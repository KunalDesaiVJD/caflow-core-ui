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hallan Details" state="visible" r:id="rId5"/>
    <sheet sheetId="3" name="TDS Entries" state="visible" r:id="rId6"/>
  </sheets>
  <calcPr calcId="171027"/>
</workbook>
</file>

<file path=xl/sharedStrings.xml><?xml version="1.0" encoding="utf-8"?>
<sst xmlns="http://schemas.openxmlformats.org/spreadsheetml/2006/main" count="113" uniqueCount="74">
  <si>
    <t>TDS DATA ENTRY TEMPLATE</t>
  </si>
  <si>
    <t>For client use — please read this sheet fully before entering data</t>
  </si>
  <si>
    <t>How This Template Works</t>
  </si>
  <si>
    <t>•</t>
  </si>
  <si>
    <t>This workbook has THREE sheets: this Instructions sheet, "Challan Details", and "TDS Entries".</t>
  </si>
  <si>
    <t>Fill in "Challan Details" FIRST — one row per TDS challan you have deposited with the bank.</t>
  </si>
  <si>
    <t>Then fill in "TDS Entries" — one row per deductee transaction. Every entry row must reference the Challan ID of the challan it was paid under, using the "Challan ID" dropdown.</t>
  </si>
  <si>
    <t>One Challan can have MANY TDS Entries linked to it. Many entries can share the same Challan ID.</t>
  </si>
  <si>
    <t>Row 4 on both sheets is a WORKED EXAMPLE, shown in gray — delete or overwrite it before submitting; it exists only to show the expected format.</t>
  </si>
  <si>
    <t>Yellow-shaded cells are where you enter data. Green-shaded cells calculate automatically — do not type into them.</t>
  </si>
  <si>
    <t>Do not rename the sheet tabs, insert/delete columns, or change the header row (row 3) on either data sheet — the software matches columns by these exact header names.</t>
  </si>
  <si>
    <t>Challan Details — Field Guide</t>
  </si>
  <si>
    <t>Challan ID*</t>
  </si>
  <si>
    <t>A short, unique code you invent to identify this challan, e.g. CH-001, CH-002. Every TDS Entry links back to one of these.  Example: CH-001</t>
  </si>
  <si>
    <t>BSR Code*</t>
  </si>
  <si>
    <t>7-digit bank branch code printed on your challan receipt.  Example: 0510002</t>
  </si>
  <si>
    <t>Challan Serial No.*</t>
  </si>
  <si>
    <t>The serial number printed on the challan receipt.  Example: 24894</t>
  </si>
  <si>
    <t>Date of Deposit*</t>
  </si>
  <si>
    <t>The date you deposited this challan with the bank. Must be a real Excel date (use the date picker) — not typed as plain text.  Example: 04-06-2026</t>
  </si>
  <si>
    <t>Total Challan Amount (₹)*</t>
  </si>
  <si>
    <t>The total amount (TDS + interest, if any) actually deposited via this challan.  Example: 5,558</t>
  </si>
  <si>
    <t>Bank Name</t>
  </si>
  <si>
    <t>Optional — the bank where the challan was deposited.  Example: HDFC Bank</t>
  </si>
  <si>
    <t>Remarks</t>
  </si>
  <si>
    <t>Optional — any note you want to keep against this challan.</t>
  </si>
  <si>
    <t>Total TDS Entries Linked (₹)</t>
  </si>
  <si>
    <t>Calculates automatically — the sum of TDS + Interest from every TDS Entry row that references this Challan ID. Do not edit.  Example: (auto)</t>
  </si>
  <si>
    <t>Match Status</t>
  </si>
  <si>
    <t>Calculates automatically — flags whether the linked entries add up to the challan amount, so you can catch data entry errors before submitting.  Example: (auto)</t>
  </si>
  <si>
    <t>TDS Entries — Field Guide</t>
  </si>
  <si>
    <t>Sr. No.</t>
  </si>
  <si>
    <t>Calculates automatically once you fill in a row. Do not edit.  Example: (auto)</t>
  </si>
  <si>
    <t>Pick from the dropdown — must match a Challan ID already entered in "Challan Details".  Example: CH-001</t>
  </si>
  <si>
    <t>Deductee Name*</t>
  </si>
  <si>
    <t>Full legal name of the person/entity the payment was made to.  Example: ABC Traders Pvt. Ltd.</t>
  </si>
  <si>
    <t>PAN*</t>
  </si>
  <si>
    <t>10-character PAN, e.g. 5 letters + 4 digits + 1 letter, in UPPERCASE. No spaces.  Example: AACCP6899F</t>
  </si>
  <si>
    <t>Section*</t>
  </si>
  <si>
    <t>Pick from the dropdown — the TDS section under which this deduction was made.  Example: 194C</t>
  </si>
  <si>
    <t>Date of Payment/Credit*</t>
  </si>
  <si>
    <t>The date the deductee was paid or credited (whichever is earlier), as a real Excel date.  Example: 31-05-2026</t>
  </si>
  <si>
    <t>Amount Paid/Credited (₹)*</t>
  </si>
  <si>
    <t>The gross amount paid or credited to the deductee, before TDS.  Example: 55,58,172</t>
  </si>
  <si>
    <t>Rate of TDS (%)*</t>
  </si>
  <si>
    <t>The TDS rate applied, as a plain percentage number (e.g. enter 1 for 1%, not 0.01).  Example: 0.10</t>
  </si>
  <si>
    <t>TDS Amount (₹)*</t>
  </si>
  <si>
    <t>The actual amount of tax deducted.  Example: 5,558</t>
  </si>
  <si>
    <t>Interest (₹)</t>
  </si>
  <si>
    <t>Interest amount, if any, for late deduction/deposit. Leave blank or 0 if none.  Example: 0</t>
  </si>
  <si>
    <t>Optional — any note you want to keep against this entry.</t>
  </si>
  <si>
    <t>Challan BSR Code</t>
  </si>
  <si>
    <t>Calculates automatically from the Challan ID you picked. Do not edit.  Example: (auto)</t>
  </si>
  <si>
    <t>Challan Date of Deposit</t>
  </si>
  <si>
    <t>Format Standards (apply throughout)</t>
  </si>
  <si>
    <t>Name: full legal name, avoid abbreviations where possible (e.g. "Private Limited" or "Pvt Ltd" — either is fine, just be consistent).</t>
  </si>
  <si>
    <t>PAN / TAN: uppercase letters and digits only, no spaces or dashes.</t>
  </si>
  <si>
    <t>Dates: use Excel's own date entry (type dd-mm-yyyy or use the calendar picker) — never type a date as a plain sentence or leave it as text.</t>
  </si>
  <si>
    <t>Amounts (₹): plain numbers only — no currency symbols, no commas typed in manually (Excel will display them; typing "₹55,58,172" yourself turns the cell into text and breaks the totals).</t>
  </si>
  <si>
    <t>Percentages (Rate): enter as a plain number, e.g. 10 for 10%, not 0.10.</t>
  </si>
  <si>
    <t>Rows marked with * are required — do not leave them blank.</t>
  </si>
  <si>
    <t>CHALLAN DETAILS  —  one row per TDS challan deposited</t>
  </si>
  <si>
    <t>Row 4 (gray) is a worked example — delete or overwrite before submitting.</t>
  </si>
  <si>
    <t>CH-001</t>
  </si>
  <si>
    <t>0510002</t>
  </si>
  <si>
    <t>24894</t>
  </si>
  <si>
    <t>HDFC Bank</t>
  </si>
  <si>
    <t>Q1 salary TDS</t>
  </si>
  <si>
    <t>(auto)</t>
  </si>
  <si>
    <t>TDS ENTRIES  —  one row per deductee transaction, linked to a Challan ID above</t>
  </si>
  <si>
    <t>ADINATH PROCESSING INDUSTRIES PRIVATE LIMITED</t>
  </si>
  <si>
    <t>AACCP6899F</t>
  </si>
  <si>
    <t>194C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</si>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</sst>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9" x14ac:knownFonts="1">
    <font>
      <color theme="1"/>
      <family val="2"/>
      <scheme val="minor"/>
      <sz val="11"/>
      <name val="Calibri"/>
    </font>
    <font>
      <b/>
      <color rgb="FF1F3864"/>
      <sz val="16"/>
      <name val="Arial"/>
    </font>
    <font>
      <i/>
      <color rgb="FF595959"/>
      <sz val="10"/>
      <name val="Arial"/>
    </font>
    <font>
      <b/>
      <color rgb="FF1F3864"/>
      <sz val="12"/>
      <name val="Arial"/>
    </font>
    <font>
      <sz val="10"/>
      <name val="Arial"/>
    </font>
    <font>
      <b/>
      <sz val="10"/>
      <name val="Arial"/>
    </font>
    <font>
      <b/>
      <color rgb="FF1F3864"/>
      <sz val="13"/>
      <name val="Arial"/>
    </font>
    <font>
      <b/>
      <color rgb="FFFFFFFF"/>
      <sz val="10"/>
      <name val="Arial"/>
    </font>
    <font>
      <i/>
      <color rgb="FF808080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2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/>
    <xf numFmtId="49" fontId="8" fillId="3" borderId="2" xfId="0" applyNumberFormat="1" applyFont="1" applyFill="1" applyBorder="1"/>
    <xf numFmtId="164" fontId="8" fillId="3" borderId="2" xfId="0" applyNumberFormat="1" applyFont="1" applyFill="1" applyBorder="1"/>
    <xf numFmtId="3" fontId="8" fillId="3" borderId="2" xfId="0" applyNumberFormat="1" applyFont="1" applyFill="1" applyBorder="1"/>
    <xf numFmtId="0" fontId="4" fillId="4" borderId="2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3" fontId="4" fillId="5" borderId="2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2" fontId="8" fillId="3" borderId="2" xfId="0" applyNumberFormat="1" applyFont="1" applyFill="1" applyBorder="1"/>
    <xf numFmtId="0" fontId="4" fillId="5" borderId="2" xfId="0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7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style="1" customWidth="1"/>
    <col min="3" max="3" width="60" style="1" customWidth="1"/>
    <col min="4" max="4" width="3" customWidth="1"/>
  </cols>
  <sheetData>
    <row r="2" spans="2:3" x14ac:dyDescent="0.25">
      <c r="B2" s="2" t="s">
        <v>0</v>
      </c>
      <c r="C2" s="2"/>
    </row>
    <row r="3" spans="2:3" x14ac:dyDescent="0.25">
      <c r="B3" s="3" t="s">
        <v>1</v>
      </c>
      <c r="C3" s="3"/>
    </row>
    <row r="5" spans="2:3" x14ac:dyDescent="0.25">
      <c r="B5" s="4" t="s">
        <v>2</v>
      </c>
      <c r="C5" s="4"/>
    </row>
    <row r="6" spans="2:3" x14ac:dyDescent="0.25">
      <c r="B6" s="5" t="s">
        <v>3</v>
      </c>
      <c r="C6" s="5" t="s">
        <v>4</v>
      </c>
    </row>
    <row r="7" spans="2:3" x14ac:dyDescent="0.25">
      <c r="B7" s="5" t="s">
        <v>3</v>
      </c>
      <c r="C7" s="5" t="s">
        <v>5</v>
      </c>
    </row>
    <row r="8" spans="2:3" x14ac:dyDescent="0.25">
      <c r="B8" s="5" t="s">
        <v>3</v>
      </c>
      <c r="C8" s="5" t="s">
        <v>6</v>
      </c>
    </row>
    <row r="9" spans="2:3" x14ac:dyDescent="0.25">
      <c r="B9" s="5" t="s">
        <v>3</v>
      </c>
      <c r="C9" s="5" t="s">
        <v>7</v>
      </c>
    </row>
    <row r="10" spans="2:3" x14ac:dyDescent="0.25">
      <c r="B10" s="5" t="s">
        <v>3</v>
      </c>
      <c r="C10" s="5" t="s">
        <v>8</v>
      </c>
    </row>
    <row r="11" spans="2:3" x14ac:dyDescent="0.25">
      <c r="B11" s="5" t="s">
        <v>3</v>
      </c>
      <c r="C11" s="5" t="s">
        <v>9</v>
      </c>
    </row>
    <row r="12" spans="2:3" x14ac:dyDescent="0.25">
      <c r="B12" s="5" t="s">
        <v>3</v>
      </c>
      <c r="C12" s="5" t="s">
        <v>10</v>
      </c>
    </row>
    <row r="14" spans="2:3" x14ac:dyDescent="0.25">
      <c r="B14" s="4" t="s">
        <v>11</v>
      </c>
      <c r="C14" s="4"/>
    </row>
    <row r="15" spans="2:3" x14ac:dyDescent="0.25">
      <c r="B15" s="6" t="s">
        <v>12</v>
      </c>
      <c r="C15" s="5" t="s">
        <v>13</v>
      </c>
    </row>
    <row r="16" spans="2:3" x14ac:dyDescent="0.25">
      <c r="B16" s="6" t="s">
        <v>14</v>
      </c>
      <c r="C16" s="5" t="s">
        <v>15</v>
      </c>
    </row>
    <row r="17" spans="2:3" x14ac:dyDescent="0.25">
      <c r="B17" s="6" t="s">
        <v>16</v>
      </c>
      <c r="C17" s="5" t="s">
        <v>17</v>
      </c>
    </row>
    <row r="18" spans="2:3" x14ac:dyDescent="0.25">
      <c r="B18" s="6" t="s">
        <v>18</v>
      </c>
      <c r="C18" s="5" t="s">
        <v>19</v>
      </c>
    </row>
    <row r="19" spans="2:3" x14ac:dyDescent="0.25">
      <c r="B19" s="6" t="s">
        <v>20</v>
      </c>
      <c r="C19" s="5" t="s">
        <v>21</v>
      </c>
    </row>
    <row r="20" spans="2:3" x14ac:dyDescent="0.25">
      <c r="B20" s="6" t="s">
        <v>22</v>
      </c>
      <c r="C20" s="5" t="s">
        <v>23</v>
      </c>
    </row>
    <row r="21" spans="2:3" x14ac:dyDescent="0.25">
      <c r="B21" s="6" t="s">
        <v>24</v>
      </c>
      <c r="C21" s="5" t="s">
        <v>25</v>
      </c>
    </row>
    <row r="22" spans="2:3" x14ac:dyDescent="0.25">
      <c r="B22" s="6" t="s">
        <v>26</v>
      </c>
      <c r="C22" s="5" t="s">
        <v>27</v>
      </c>
    </row>
    <row r="23" spans="2:3" x14ac:dyDescent="0.25">
      <c r="B23" s="6" t="s">
        <v>28</v>
      </c>
      <c r="C23" s="5" t="s">
        <v>29</v>
      </c>
    </row>
    <row r="25" spans="2:3" x14ac:dyDescent="0.25">
      <c r="B25" s="4" t="s">
        <v>30</v>
      </c>
      <c r="C25" s="4"/>
    </row>
    <row r="26" spans="2:3" x14ac:dyDescent="0.25">
      <c r="B26" s="6" t="s">
        <v>31</v>
      </c>
      <c r="C26" s="5" t="s">
        <v>32</v>
      </c>
    </row>
    <row r="27" spans="2:3" x14ac:dyDescent="0.25">
      <c r="B27" s="6" t="s">
        <v>12</v>
      </c>
      <c r="C27" s="5" t="s">
        <v>33</v>
      </c>
    </row>
    <row r="28" spans="2:3" x14ac:dyDescent="0.25">
      <c r="B28" s="6" t="s">
        <v>34</v>
      </c>
      <c r="C28" s="5" t="s">
        <v>35</v>
      </c>
    </row>
    <row r="29" spans="2:3" x14ac:dyDescent="0.25">
      <c r="B29" s="6" t="s">
        <v>36</v>
      </c>
      <c r="C29" s="5" t="s">
        <v>37</v>
      </c>
    </row>
    <row r="30" spans="2:3" x14ac:dyDescent="0.25">
      <c r="B30" s="6" t="s">
        <v>38</v>
      </c>
      <c r="C30" s="5" t="s">
        <v>39</v>
      </c>
    </row>
    <row r="31" spans="2:3" x14ac:dyDescent="0.25">
      <c r="B31" s="6" t="s">
        <v>40</v>
      </c>
      <c r="C31" s="5" t="s">
        <v>41</v>
      </c>
    </row>
    <row r="32" spans="2:3" x14ac:dyDescent="0.25">
      <c r="B32" s="6" t="s">
        <v>42</v>
      </c>
      <c r="C32" s="5" t="s">
        <v>43</v>
      </c>
    </row>
    <row r="33" spans="2:3" x14ac:dyDescent="0.25">
      <c r="B33" s="6" t="s">
        <v>44</v>
      </c>
      <c r="C33" s="5" t="s">
        <v>45</v>
      </c>
    </row>
    <row r="34" spans="2:3" x14ac:dyDescent="0.25">
      <c r="B34" s="6" t="s">
        <v>46</v>
      </c>
      <c r="C34" s="5" t="s">
        <v>47</v>
      </c>
    </row>
    <row r="35" spans="2:3" x14ac:dyDescent="0.25">
      <c r="B35" s="6" t="s">
        <v>48</v>
      </c>
      <c r="C35" s="5" t="s">
        <v>49</v>
      </c>
    </row>
    <row r="36" spans="2:3" x14ac:dyDescent="0.25">
      <c r="B36" s="6" t="s">
        <v>24</v>
      </c>
      <c r="C36" s="5" t="s">
        <v>50</v>
      </c>
    </row>
    <row r="37" spans="2:3" x14ac:dyDescent="0.25">
      <c r="B37" s="6" t="s">
        <v>51</v>
      </c>
      <c r="C37" s="5" t="s">
        <v>52</v>
      </c>
    </row>
    <row r="38" spans="2:3" x14ac:dyDescent="0.25">
      <c r="B38" s="6" t="s">
        <v>53</v>
      </c>
      <c r="C38" s="5" t="s">
        <v>52</v>
      </c>
    </row>
    <row r="40" spans="2:3" x14ac:dyDescent="0.25">
      <c r="B40" s="4" t="s">
        <v>54</v>
      </c>
      <c r="C40" s="4"/>
    </row>
    <row r="41" spans="2:3" x14ac:dyDescent="0.25">
      <c r="B41" s="5" t="s">
        <v>3</v>
      </c>
      <c r="C41" s="5" t="s">
        <v>55</v>
      </c>
    </row>
    <row r="42" spans="2:3" x14ac:dyDescent="0.25">
      <c r="B42" s="5" t="s">
        <v>3</v>
      </c>
      <c r="C42" s="5" t="s">
        <v>56</v>
      </c>
    </row>
    <row r="43" spans="2:3" x14ac:dyDescent="0.25">
      <c r="B43" s="5" t="s">
        <v>3</v>
      </c>
      <c r="C43" s="5" t="s">
        <v>57</v>
      </c>
    </row>
    <row r="44" spans="2:3" x14ac:dyDescent="0.25">
      <c r="B44" s="5" t="s">
        <v>3</v>
      </c>
      <c r="C44" s="5" t="s">
        <v>58</v>
      </c>
    </row>
    <row r="45" spans="2:3" x14ac:dyDescent="0.25">
      <c r="B45" s="5" t="s">
        <v>3</v>
      </c>
      <c r="C45" s="5" t="s">
        <v>59</v>
      </c>
    </row>
    <row r="47" spans="2:3" x14ac:dyDescent="0.25">
      <c r="B47" s="4" t="s">
        <v>60</v>
      </c>
      <c r="C47" s="4"/>
    </row>
  </sheetData>
  <mergeCells count="7">
    <mergeCell ref="B2:C2"/>
    <mergeCell ref="B3:C3"/>
    <mergeCell ref="B5:C5"/>
    <mergeCell ref="B14:C14"/>
    <mergeCell ref="B25:C25"/>
    <mergeCell ref="B40:C40"/>
    <mergeCell ref="B47:C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6" customWidth="1"/>
    <col min="5" max="5" width="20" customWidth="1"/>
    <col min="6" max="6" width="16" customWidth="1"/>
    <col min="7" max="8" width="22" customWidth="1"/>
    <col min="9" max="9" width="18" customWidth="1"/>
  </cols>
  <sheetData>
    <row r="1" ht="22" customHeight="1" spans="1:9" x14ac:dyDescent="0.25">
      <c r="A1" s="7" t="s">
        <v>61</v>
      </c>
      <c r="B1" s="7"/>
      <c r="C1" s="7"/>
      <c r="D1" s="7"/>
      <c r="E1" s="7"/>
      <c r="F1" s="7"/>
      <c r="G1" s="7"/>
      <c r="H1" s="7"/>
      <c r="I1" s="7"/>
    </row>
    <row r="2" spans="1:1" x14ac:dyDescent="0.25">
      <c r="A2" s="8" t="s">
        <v>62</v>
      </c>
    </row>
    <row r="3" ht="32" customHeight="1" spans="1:9" x14ac:dyDescent="0.25">
      <c r="A3" s="9" t="s">
        <v>12</v>
      </c>
      <c r="B3" s="9" t="s">
        <v>14</v>
      </c>
      <c r="C3" s="9" t="s">
        <v>16</v>
      </c>
      <c r="D3" s="9" t="s">
        <v>18</v>
      </c>
      <c r="E3" s="9" t="s">
        <v>20</v>
      </c>
      <c r="F3" s="9" t="s">
        <v>22</v>
      </c>
      <c r="G3" s="9" t="s">
        <v>24</v>
      </c>
      <c r="H3" s="9" t="s">
        <v>26</v>
      </c>
      <c r="I3" s="9" t="s">
        <v>28</v>
      </c>
    </row>
    <row r="4" spans="1:9" x14ac:dyDescent="0.25">
      <c r="A4" s="10" t="s">
        <v>63</v>
      </c>
      <c r="B4" s="11" t="s">
        <v>64</v>
      </c>
      <c r="C4" s="11" t="s">
        <v>65</v>
      </c>
      <c r="D4" s="12">
        <v>46177</v>
      </c>
      <c r="E4" s="13">
        <v>5558</v>
      </c>
      <c r="F4" s="10" t="s">
        <v>66</v>
      </c>
      <c r="G4" s="10" t="s">
        <v>67</v>
      </c>
      <c r="H4" s="10" t="s">
        <v>68</v>
      </c>
      <c r="I4" s="10" t="s">
        <v>68</v>
      </c>
    </row>
    <row r="5" spans="1:9" x14ac:dyDescent="0.25">
      <c r="A5" s="14"/>
      <c r="B5" s="15"/>
      <c r="C5" s="15"/>
      <c r="D5" s="16"/>
      <c r="E5" s="17"/>
      <c r="F5" s="18"/>
      <c r="G5" s="18"/>
      <c r="H5" s="19">
        <f>SUMIF('TDS Entries'!$B$5:$B$204,A5,'TDS Entries'!$I$5:$I$204)+SUMIF('TDS Entries'!$B$5:$B$204,A5,'TDS Entries'!$J$5:$J$204)</f>
      </c>
      <c r="I5" s="20">
        <f>IF(OR(A5="",H5=0),"",IF(ROUND(E5-H5,2)=0,"Matches","Check Entries"))</f>
      </c>
    </row>
    <row r="6" spans="1:9" x14ac:dyDescent="0.25">
      <c r="A6" s="14"/>
      <c r="B6" s="15"/>
      <c r="C6" s="15"/>
      <c r="D6" s="16"/>
      <c r="E6" s="17"/>
      <c r="F6" s="18"/>
      <c r="G6" s="18"/>
      <c r="H6" s="19">
        <f>SUMIF('TDS Entries'!$B$5:$B$204,A6,'TDS Entries'!$I$5:$I$204)+SUMIF('TDS Entries'!$B$5:$B$204,A6,'TDS Entries'!$J$5:$J$204)</f>
      </c>
      <c r="I6" s="20">
        <f>IF(OR(A6="",H6=0),"",IF(ROUND(E6-H6,2)=0,"Matches","Check Entries"))</f>
      </c>
    </row>
    <row r="7" spans="1:9" x14ac:dyDescent="0.25">
      <c r="A7" s="14"/>
      <c r="B7" s="15"/>
      <c r="C7" s="15"/>
      <c r="D7" s="16"/>
      <c r="E7" s="17"/>
      <c r="F7" s="18"/>
      <c r="G7" s="18"/>
      <c r="H7" s="19">
        <f>SUMIF('TDS Entries'!$B$5:$B$204,A7,'TDS Entries'!$I$5:$I$204)+SUMIF('TDS Entries'!$B$5:$B$204,A7,'TDS Entries'!$J$5:$J$204)</f>
      </c>
      <c r="I7" s="20">
        <f>IF(OR(A7="",H7=0),"",IF(ROUND(E7-H7,2)=0,"Matches","Check Entries"))</f>
      </c>
    </row>
    <row r="8" spans="1:9" x14ac:dyDescent="0.25">
      <c r="A8" s="14"/>
      <c r="B8" s="15"/>
      <c r="C8" s="15"/>
      <c r="D8" s="16"/>
      <c r="E8" s="17"/>
      <c r="F8" s="18"/>
      <c r="G8" s="18"/>
      <c r="H8" s="19">
        <f>SUMIF('TDS Entries'!$B$5:$B$204,A8,'TDS Entries'!$I$5:$I$204)+SUMIF('TDS Entries'!$B$5:$B$204,A8,'TDS Entries'!$J$5:$J$204)</f>
      </c>
      <c r="I8" s="20">
        <f>IF(OR(A8="",H8=0),"",IF(ROUND(E8-H8,2)=0,"Matches","Check Entries"))</f>
      </c>
    </row>
    <row r="9" spans="1:9" x14ac:dyDescent="0.25">
      <c r="A9" s="14"/>
      <c r="B9" s="15"/>
      <c r="C9" s="15"/>
      <c r="D9" s="16"/>
      <c r="E9" s="17"/>
      <c r="F9" s="18"/>
      <c r="G9" s="18"/>
      <c r="H9" s="19">
        <f>SUMIF('TDS Entries'!$B$5:$B$204,A9,'TDS Entries'!$I$5:$I$204)+SUMIF('TDS Entries'!$B$5:$B$204,A9,'TDS Entries'!$J$5:$J$204)</f>
      </c>
      <c r="I9" s="20">
        <f>IF(OR(A9="",H9=0),"",IF(ROUND(E9-H9,2)=0,"Matches","Check Entries"))</f>
      </c>
    </row>
    <row r="10" spans="1:9" x14ac:dyDescent="0.25">
      <c r="A10" s="14"/>
      <c r="B10" s="15"/>
      <c r="C10" s="15"/>
      <c r="D10" s="16"/>
      <c r="E10" s="17"/>
      <c r="F10" s="18"/>
      <c r="G10" s="18"/>
      <c r="H10" s="19">
        <f>SUMIF('TDS Entries'!$B$5:$B$204,A10,'TDS Entries'!$I$5:$I$204)+SUMIF('TDS Entries'!$B$5:$B$204,A10,'TDS Entries'!$J$5:$J$204)</f>
      </c>
      <c r="I10" s="20">
        <f>IF(OR(A10="",H10=0),"",IF(ROUND(E10-H10,2)=0,"Matches","Check Entries"))</f>
      </c>
    </row>
    <row r="11" spans="1:9" x14ac:dyDescent="0.25">
      <c r="A11" s="14"/>
      <c r="B11" s="15"/>
      <c r="C11" s="15"/>
      <c r="D11" s="16"/>
      <c r="E11" s="17"/>
      <c r="F11" s="18"/>
      <c r="G11" s="18"/>
      <c r="H11" s="19">
        <f>SUMIF('TDS Entries'!$B$5:$B$204,A11,'TDS Entries'!$I$5:$I$204)+SUMIF('TDS Entries'!$B$5:$B$204,A11,'TDS Entries'!$J$5:$J$204)</f>
      </c>
      <c r="I11" s="20">
        <f>IF(OR(A11="",H11=0),"",IF(ROUND(E11-H11,2)=0,"Matches","Check Entries"))</f>
      </c>
    </row>
    <row r="12" spans="1:9" x14ac:dyDescent="0.25">
      <c r="A12" s="14"/>
      <c r="B12" s="15"/>
      <c r="C12" s="15"/>
      <c r="D12" s="16"/>
      <c r="E12" s="17"/>
      <c r="F12" s="18"/>
      <c r="G12" s="18"/>
      <c r="H12" s="19">
        <f>SUMIF('TDS Entries'!$B$5:$B$204,A12,'TDS Entries'!$I$5:$I$204)+SUMIF('TDS Entries'!$B$5:$B$204,A12,'TDS Entries'!$J$5:$J$204)</f>
      </c>
      <c r="I12" s="20">
        <f>IF(OR(A12="",H12=0),"",IF(ROUND(E12-H12,2)=0,"Matches","Check Entries"))</f>
      </c>
    </row>
    <row r="13" spans="1:9" x14ac:dyDescent="0.25">
      <c r="A13" s="14"/>
      <c r="B13" s="15"/>
      <c r="C13" s="15"/>
      <c r="D13" s="16"/>
      <c r="E13" s="17"/>
      <c r="F13" s="18"/>
      <c r="G13" s="18"/>
      <c r="H13" s="19">
        <f>SUMIF('TDS Entries'!$B$5:$B$204,A13,'TDS Entries'!$I$5:$I$204)+SUMIF('TDS Entries'!$B$5:$B$204,A13,'TDS Entries'!$J$5:$J$204)</f>
      </c>
      <c r="I13" s="20">
        <f>IF(OR(A13="",H13=0),"",IF(ROUND(E13-H13,2)=0,"Matches","Check Entries"))</f>
      </c>
    </row>
    <row r="14" spans="1:9" x14ac:dyDescent="0.25">
      <c r="A14" s="14"/>
      <c r="B14" s="15"/>
      <c r="C14" s="15"/>
      <c r="D14" s="16"/>
      <c r="E14" s="17"/>
      <c r="F14" s="18"/>
      <c r="G14" s="18"/>
      <c r="H14" s="19">
        <f>SUMIF('TDS Entries'!$B$5:$B$204,A14,'TDS Entries'!$I$5:$I$204)+SUMIF('TDS Entries'!$B$5:$B$204,A14,'TDS Entries'!$J$5:$J$204)</f>
      </c>
      <c r="I14" s="20">
        <f>IF(OR(A14="",H14=0),"",IF(ROUND(E14-H14,2)=0,"Matches","Check Entries"))</f>
      </c>
    </row>
    <row r="15" spans="1:9" x14ac:dyDescent="0.25">
      <c r="A15" s="14"/>
      <c r="B15" s="15"/>
      <c r="C15" s="15"/>
      <c r="D15" s="16"/>
      <c r="E15" s="17"/>
      <c r="F15" s="18"/>
      <c r="G15" s="18"/>
      <c r="H15" s="19">
        <f>SUMIF('TDS Entries'!$B$5:$B$204,A15,'TDS Entries'!$I$5:$I$204)+SUMIF('TDS Entries'!$B$5:$B$204,A15,'TDS Entries'!$J$5:$J$204)</f>
      </c>
      <c r="I15" s="20">
        <f>IF(OR(A15="",H15=0),"",IF(ROUND(E15-H15,2)=0,"Matches","Check Entries"))</f>
      </c>
    </row>
    <row r="16" spans="1:9" x14ac:dyDescent="0.25">
      <c r="A16" s="14"/>
      <c r="B16" s="15"/>
      <c r="C16" s="15"/>
      <c r="D16" s="16"/>
      <c r="E16" s="17"/>
      <c r="F16" s="18"/>
      <c r="G16" s="18"/>
      <c r="H16" s="19">
        <f>SUMIF('TDS Entries'!$B$5:$B$204,A16,'TDS Entries'!$I$5:$I$204)+SUMIF('TDS Entries'!$B$5:$B$204,A16,'TDS Entries'!$J$5:$J$204)</f>
      </c>
      <c r="I16" s="20">
        <f>IF(OR(A16="",H16=0),"",IF(ROUND(E16-H16,2)=0,"Matches","Check Entries"))</f>
      </c>
    </row>
    <row r="17" spans="1:9" x14ac:dyDescent="0.25">
      <c r="A17" s="14"/>
      <c r="B17" s="15"/>
      <c r="C17" s="15"/>
      <c r="D17" s="16"/>
      <c r="E17" s="17"/>
      <c r="F17" s="18"/>
      <c r="G17" s="18"/>
      <c r="H17" s="19">
        <f>SUMIF('TDS Entries'!$B$5:$B$204,A17,'TDS Entries'!$I$5:$I$204)+SUMIF('TDS Entries'!$B$5:$B$204,A17,'TDS Entries'!$J$5:$J$204)</f>
      </c>
      <c r="I17" s="20">
        <f>IF(OR(A17="",H17=0),"",IF(ROUND(E17-H17,2)=0,"Matches","Check Entries"))</f>
      </c>
    </row>
    <row r="18" spans="1:9" x14ac:dyDescent="0.25">
      <c r="A18" s="14"/>
      <c r="B18" s="15"/>
      <c r="C18" s="15"/>
      <c r="D18" s="16"/>
      <c r="E18" s="17"/>
      <c r="F18" s="18"/>
      <c r="G18" s="18"/>
      <c r="H18" s="19">
        <f>SUMIF('TDS Entries'!$B$5:$B$204,A18,'TDS Entries'!$I$5:$I$204)+SUMIF('TDS Entries'!$B$5:$B$204,A18,'TDS Entries'!$J$5:$J$204)</f>
      </c>
      <c r="I18" s="20">
        <f>IF(OR(A18="",H18=0),"",IF(ROUND(E18-H18,2)=0,"Matches","Check Entries"))</f>
      </c>
    </row>
    <row r="19" spans="1:9" x14ac:dyDescent="0.25">
      <c r="A19" s="14"/>
      <c r="B19" s="15"/>
      <c r="C19" s="15"/>
      <c r="D19" s="16"/>
      <c r="E19" s="17"/>
      <c r="F19" s="18"/>
      <c r="G19" s="18"/>
      <c r="H19" s="19">
        <f>SUMIF('TDS Entries'!$B$5:$B$204,A19,'TDS Entries'!$I$5:$I$204)+SUMIF('TDS Entries'!$B$5:$B$204,A19,'TDS Entries'!$J$5:$J$204)</f>
      </c>
      <c r="I19" s="20">
        <f>IF(OR(A19="",H19=0),"",IF(ROUND(E19-H19,2)=0,"Matches","Check Entries"))</f>
      </c>
    </row>
    <row r="20" spans="1:9" x14ac:dyDescent="0.25">
      <c r="A20" s="14"/>
      <c r="B20" s="15"/>
      <c r="C20" s="15"/>
      <c r="D20" s="16"/>
      <c r="E20" s="17"/>
      <c r="F20" s="18"/>
      <c r="G20" s="18"/>
      <c r="H20" s="19">
        <f>SUMIF('TDS Entries'!$B$5:$B$204,A20,'TDS Entries'!$I$5:$I$204)+SUMIF('TDS Entries'!$B$5:$B$204,A20,'TDS Entries'!$J$5:$J$204)</f>
      </c>
      <c r="I20" s="20">
        <f>IF(OR(A20="",H20=0),"",IF(ROUND(E20-H20,2)=0,"Matches","Check Entries"))</f>
      </c>
    </row>
    <row r="21" spans="1:9" x14ac:dyDescent="0.25">
      <c r="A21" s="14"/>
      <c r="B21" s="15"/>
      <c r="C21" s="15"/>
      <c r="D21" s="16"/>
      <c r="E21" s="17"/>
      <c r="F21" s="18"/>
      <c r="G21" s="18"/>
      <c r="H21" s="19">
        <f>SUMIF('TDS Entries'!$B$5:$B$204,A21,'TDS Entries'!$I$5:$I$204)+SUMIF('TDS Entries'!$B$5:$B$204,A21,'TDS Entries'!$J$5:$J$204)</f>
      </c>
      <c r="I21" s="20">
        <f>IF(OR(A21="",H21=0),"",IF(ROUND(E21-H21,2)=0,"Matches","Check Entries"))</f>
      </c>
    </row>
    <row r="22" spans="1:9" x14ac:dyDescent="0.25">
      <c r="A22" s="14"/>
      <c r="B22" s="15"/>
      <c r="C22" s="15"/>
      <c r="D22" s="16"/>
      <c r="E22" s="17"/>
      <c r="F22" s="18"/>
      <c r="G22" s="18"/>
      <c r="H22" s="19">
        <f>SUMIF('TDS Entries'!$B$5:$B$204,A22,'TDS Entries'!$I$5:$I$204)+SUMIF('TDS Entries'!$B$5:$B$204,A22,'TDS Entries'!$J$5:$J$204)</f>
      </c>
      <c r="I22" s="20">
        <f>IF(OR(A22="",H22=0),"",IF(ROUND(E22-H22,2)=0,"Matches","Check Entries"))</f>
      </c>
    </row>
    <row r="23" spans="1:9" x14ac:dyDescent="0.25">
      <c r="A23" s="14"/>
      <c r="B23" s="15"/>
      <c r="C23" s="15"/>
      <c r="D23" s="16"/>
      <c r="E23" s="17"/>
      <c r="F23" s="18"/>
      <c r="G23" s="18"/>
      <c r="H23" s="19">
        <f>SUMIF('TDS Entries'!$B$5:$B$204,A23,'TDS Entries'!$I$5:$I$204)+SUMIF('TDS Entries'!$B$5:$B$204,A23,'TDS Entries'!$J$5:$J$204)</f>
      </c>
      <c r="I23" s="20">
        <f>IF(OR(A23="",H23=0),"",IF(ROUND(E23-H23,2)=0,"Matches","Check Entries"))</f>
      </c>
    </row>
    <row r="24" spans="1:9" x14ac:dyDescent="0.25">
      <c r="A24" s="14"/>
      <c r="B24" s="15"/>
      <c r="C24" s="15"/>
      <c r="D24" s="16"/>
      <c r="E24" s="17"/>
      <c r="F24" s="18"/>
      <c r="G24" s="18"/>
      <c r="H24" s="19">
        <f>SUMIF('TDS Entries'!$B$5:$B$204,A24,'TDS Entries'!$I$5:$I$204)+SUMIF('TDS Entries'!$B$5:$B$204,A24,'TDS Entries'!$J$5:$J$204)</f>
      </c>
      <c r="I24" s="20">
        <f>IF(OR(A24="",H24=0),"",IF(ROUND(E24-H24,2)=0,"Matches","Check Entries"))</f>
      </c>
    </row>
    <row r="25" spans="1:9" x14ac:dyDescent="0.25">
      <c r="A25" s="14"/>
      <c r="B25" s="15"/>
      <c r="C25" s="15"/>
      <c r="D25" s="16"/>
      <c r="E25" s="17"/>
      <c r="F25" s="18"/>
      <c r="G25" s="18"/>
      <c r="H25" s="19">
        <f>SUMIF('TDS Entries'!$B$5:$B$204,A25,'TDS Entries'!$I$5:$I$204)+SUMIF('TDS Entries'!$B$5:$B$204,A25,'TDS Entries'!$J$5:$J$204)</f>
      </c>
      <c r="I25" s="20">
        <f>IF(OR(A25="",H25=0),"",IF(ROUND(E25-H25,2)=0,"Matches","Check Entries"))</f>
      </c>
    </row>
    <row r="26" spans="1:9" x14ac:dyDescent="0.25">
      <c r="A26" s="14"/>
      <c r="B26" s="15"/>
      <c r="C26" s="15"/>
      <c r="D26" s="16"/>
      <c r="E26" s="17"/>
      <c r="F26" s="18"/>
      <c r="G26" s="18"/>
      <c r="H26" s="19">
        <f>SUMIF('TDS Entries'!$B$5:$B$204,A26,'TDS Entries'!$I$5:$I$204)+SUMIF('TDS Entries'!$B$5:$B$204,A26,'TDS Entries'!$J$5:$J$204)</f>
      </c>
      <c r="I26" s="20">
        <f>IF(OR(A26="",H26=0),"",IF(ROUND(E26-H26,2)=0,"Matches","Check Entries"))</f>
      </c>
    </row>
    <row r="27" spans="1:9" x14ac:dyDescent="0.25">
      <c r="A27" s="14"/>
      <c r="B27" s="15"/>
      <c r="C27" s="15"/>
      <c r="D27" s="16"/>
      <c r="E27" s="17"/>
      <c r="F27" s="18"/>
      <c r="G27" s="18"/>
      <c r="H27" s="19">
        <f>SUMIF('TDS Entries'!$B$5:$B$204,A27,'TDS Entries'!$I$5:$I$204)+SUMIF('TDS Entries'!$B$5:$B$204,A27,'TDS Entries'!$J$5:$J$204)</f>
      </c>
      <c r="I27" s="20">
        <f>IF(OR(A27="",H27=0),"",IF(ROUND(E27-H27,2)=0,"Matches","Check Entries"))</f>
      </c>
    </row>
    <row r="28" spans="1:9" x14ac:dyDescent="0.25">
      <c r="A28" s="14"/>
      <c r="B28" s="15"/>
      <c r="C28" s="15"/>
      <c r="D28" s="16"/>
      <c r="E28" s="17"/>
      <c r="F28" s="18"/>
      <c r="G28" s="18"/>
      <c r="H28" s="19">
        <f>SUMIF('TDS Entries'!$B$5:$B$204,A28,'TDS Entries'!$I$5:$I$204)+SUMIF('TDS Entries'!$B$5:$B$204,A28,'TDS Entries'!$J$5:$J$204)</f>
      </c>
      <c r="I28" s="20">
        <f>IF(OR(A28="",H28=0),"",IF(ROUND(E28-H28,2)=0,"Matches","Check Entries"))</f>
      </c>
    </row>
    <row r="29" spans="1:9" x14ac:dyDescent="0.25">
      <c r="A29" s="14"/>
      <c r="B29" s="15"/>
      <c r="C29" s="15"/>
      <c r="D29" s="16"/>
      <c r="E29" s="17"/>
      <c r="F29" s="18"/>
      <c r="G29" s="18"/>
      <c r="H29" s="19">
        <f>SUMIF('TDS Entries'!$B$5:$B$204,A29,'TDS Entries'!$I$5:$I$204)+SUMIF('TDS Entries'!$B$5:$B$204,A29,'TDS Entries'!$J$5:$J$204)</f>
      </c>
      <c r="I29" s="20">
        <f>IF(OR(A29="",H29=0),"",IF(ROUND(E29-H29,2)=0,"Matches","Check Entries"))</f>
      </c>
    </row>
    <row r="30" spans="1:9" x14ac:dyDescent="0.25">
      <c r="A30" s="14"/>
      <c r="B30" s="15"/>
      <c r="C30" s="15"/>
      <c r="D30" s="16"/>
      <c r="E30" s="17"/>
      <c r="F30" s="18"/>
      <c r="G30" s="18"/>
      <c r="H30" s="19">
        <f>SUMIF('TDS Entries'!$B$5:$B$204,A30,'TDS Entries'!$I$5:$I$204)+SUMIF('TDS Entries'!$B$5:$B$204,A30,'TDS Entries'!$J$5:$J$204)</f>
      </c>
      <c r="I30" s="20">
        <f>IF(OR(A30="",H30=0),"",IF(ROUND(E30-H30,2)=0,"Matches","Check Entries"))</f>
      </c>
    </row>
    <row r="31" spans="1:9" x14ac:dyDescent="0.25">
      <c r="A31" s="14"/>
      <c r="B31" s="15"/>
      <c r="C31" s="15"/>
      <c r="D31" s="16"/>
      <c r="E31" s="17"/>
      <c r="F31" s="18"/>
      <c r="G31" s="18"/>
      <c r="H31" s="19">
        <f>SUMIF('TDS Entries'!$B$5:$B$204,A31,'TDS Entries'!$I$5:$I$204)+SUMIF('TDS Entries'!$B$5:$B$204,A31,'TDS Entries'!$J$5:$J$204)</f>
      </c>
      <c r="I31" s="20">
        <f>IF(OR(A31="",H31=0),"",IF(ROUND(E31-H31,2)=0,"Matches","Check Entries"))</f>
      </c>
    </row>
    <row r="32" spans="1:9" x14ac:dyDescent="0.25">
      <c r="A32" s="14"/>
      <c r="B32" s="15"/>
      <c r="C32" s="15"/>
      <c r="D32" s="16"/>
      <c r="E32" s="17"/>
      <c r="F32" s="18"/>
      <c r="G32" s="18"/>
      <c r="H32" s="19">
        <f>SUMIF('TDS Entries'!$B$5:$B$204,A32,'TDS Entries'!$I$5:$I$204)+SUMIF('TDS Entries'!$B$5:$B$204,A32,'TDS Entries'!$J$5:$J$204)</f>
      </c>
      <c r="I32" s="20">
        <f>IF(OR(A32="",H32=0),"",IF(ROUND(E32-H32,2)=0,"Matches","Check Entries"))</f>
      </c>
    </row>
    <row r="33" spans="1:9" x14ac:dyDescent="0.25">
      <c r="A33" s="14"/>
      <c r="B33" s="15"/>
      <c r="C33" s="15"/>
      <c r="D33" s="16"/>
      <c r="E33" s="17"/>
      <c r="F33" s="18"/>
      <c r="G33" s="18"/>
      <c r="H33" s="19">
        <f>SUMIF('TDS Entries'!$B$5:$B$204,A33,'TDS Entries'!$I$5:$I$204)+SUMIF('TDS Entries'!$B$5:$B$204,A33,'TDS Entries'!$J$5:$J$204)</f>
      </c>
      <c r="I33" s="20">
        <f>IF(OR(A33="",H33=0),"",IF(ROUND(E33-H33,2)=0,"Matches","Check Entries"))</f>
      </c>
    </row>
    <row r="34" spans="1:9" x14ac:dyDescent="0.25">
      <c r="A34" s="14"/>
      <c r="B34" s="15"/>
      <c r="C34" s="15"/>
      <c r="D34" s="16"/>
      <c r="E34" s="17"/>
      <c r="F34" s="18"/>
      <c r="G34" s="18"/>
      <c r="H34" s="19">
        <f>SUMIF('TDS Entries'!$B$5:$B$204,A34,'TDS Entries'!$I$5:$I$204)+SUMIF('TDS Entries'!$B$5:$B$204,A34,'TDS Entries'!$J$5:$J$204)</f>
      </c>
      <c r="I34" s="20">
        <f>IF(OR(A34="",H34=0),"",IF(ROUND(E34-H34,2)=0,"Matches","Check Entries"))</f>
      </c>
    </row>
    <row r="35" spans="1:9" x14ac:dyDescent="0.25">
      <c r="A35" s="14"/>
      <c r="B35" s="15"/>
      <c r="C35" s="15"/>
      <c r="D35" s="16"/>
      <c r="E35" s="17"/>
      <c r="F35" s="18"/>
      <c r="G35" s="18"/>
      <c r="H35" s="19">
        <f>SUMIF('TDS Entries'!$B$5:$B$204,A35,'TDS Entries'!$I$5:$I$204)+SUMIF('TDS Entries'!$B$5:$B$204,A35,'TDS Entries'!$J$5:$J$204)</f>
      </c>
      <c r="I35" s="20">
        <f>IF(OR(A35="",H35=0),"",IF(ROUND(E35-H35,2)=0,"Matches","Check Entries"))</f>
      </c>
    </row>
    <row r="36" spans="1:9" x14ac:dyDescent="0.25">
      <c r="A36" s="14"/>
      <c r="B36" s="15"/>
      <c r="C36" s="15"/>
      <c r="D36" s="16"/>
      <c r="E36" s="17"/>
      <c r="F36" s="18"/>
      <c r="G36" s="18"/>
      <c r="H36" s="19">
        <f>SUMIF('TDS Entries'!$B$5:$B$204,A36,'TDS Entries'!$I$5:$I$204)+SUMIF('TDS Entries'!$B$5:$B$204,A36,'TDS Entries'!$J$5:$J$204)</f>
      </c>
      <c r="I36" s="20">
        <f>IF(OR(A36="",H36=0),"",IF(ROUND(E36-H36,2)=0,"Matches","Check Entries"))</f>
      </c>
    </row>
    <row r="37" spans="1:9" x14ac:dyDescent="0.25">
      <c r="A37" s="14"/>
      <c r="B37" s="15"/>
      <c r="C37" s="15"/>
      <c r="D37" s="16"/>
      <c r="E37" s="17"/>
      <c r="F37" s="18"/>
      <c r="G37" s="18"/>
      <c r="H37" s="19">
        <f>SUMIF('TDS Entries'!$B$5:$B$204,A37,'TDS Entries'!$I$5:$I$204)+SUMIF('TDS Entries'!$B$5:$B$204,A37,'TDS Entries'!$J$5:$J$204)</f>
      </c>
      <c r="I37" s="20">
        <f>IF(OR(A37="",H37=0),"",IF(ROUND(E37-H37,2)=0,"Matches","Check Entries"))</f>
      </c>
    </row>
    <row r="38" spans="1:9" x14ac:dyDescent="0.25">
      <c r="A38" s="14"/>
      <c r="B38" s="15"/>
      <c r="C38" s="15"/>
      <c r="D38" s="16"/>
      <c r="E38" s="17"/>
      <c r="F38" s="18"/>
      <c r="G38" s="18"/>
      <c r="H38" s="19">
        <f>SUMIF('TDS Entries'!$B$5:$B$204,A38,'TDS Entries'!$I$5:$I$204)+SUMIF('TDS Entries'!$B$5:$B$204,A38,'TDS Entries'!$J$5:$J$204)</f>
      </c>
      <c r="I38" s="20">
        <f>IF(OR(A38="",H38=0),"",IF(ROUND(E38-H38,2)=0,"Matches","Check Entries"))</f>
      </c>
    </row>
    <row r="39" spans="1:9" x14ac:dyDescent="0.25">
      <c r="A39" s="14"/>
      <c r="B39" s="15"/>
      <c r="C39" s="15"/>
      <c r="D39" s="16"/>
      <c r="E39" s="17"/>
      <c r="F39" s="18"/>
      <c r="G39" s="18"/>
      <c r="H39" s="19">
        <f>SUMIF('TDS Entries'!$B$5:$B$204,A39,'TDS Entries'!$I$5:$I$204)+SUMIF('TDS Entries'!$B$5:$B$204,A39,'TDS Entries'!$J$5:$J$204)</f>
      </c>
      <c r="I39" s="20">
        <f>IF(OR(A39="",H39=0),"",IF(ROUND(E39-H39,2)=0,"Matches","Check Entries"))</f>
      </c>
    </row>
    <row r="40" spans="1:9" x14ac:dyDescent="0.25">
      <c r="A40" s="14"/>
      <c r="B40" s="15"/>
      <c r="C40" s="15"/>
      <c r="D40" s="16"/>
      <c r="E40" s="17"/>
      <c r="F40" s="18"/>
      <c r="G40" s="18"/>
      <c r="H40" s="19">
        <f>SUMIF('TDS Entries'!$B$5:$B$204,A40,'TDS Entries'!$I$5:$I$204)+SUMIF('TDS Entries'!$B$5:$B$204,A40,'TDS Entries'!$J$5:$J$204)</f>
      </c>
      <c r="I40" s="20">
        <f>IF(OR(A40="",H40=0),"",IF(ROUND(E40-H40,2)=0,"Matches","Check Entries"))</f>
      </c>
    </row>
    <row r="41" spans="1:9" x14ac:dyDescent="0.25">
      <c r="A41" s="14"/>
      <c r="B41" s="15"/>
      <c r="C41" s="15"/>
      <c r="D41" s="16"/>
      <c r="E41" s="17"/>
      <c r="F41" s="18"/>
      <c r="G41" s="18"/>
      <c r="H41" s="19">
        <f>SUMIF('TDS Entries'!$B$5:$B$204,A41,'TDS Entries'!$I$5:$I$204)+SUMIF('TDS Entries'!$B$5:$B$204,A41,'TDS Entries'!$J$5:$J$204)</f>
      </c>
      <c r="I41" s="20">
        <f>IF(OR(A41="",H41=0),"",IF(ROUND(E41-H41,2)=0,"Matches","Check Entries"))</f>
      </c>
    </row>
    <row r="42" spans="1:9" x14ac:dyDescent="0.25">
      <c r="A42" s="14"/>
      <c r="B42" s="15"/>
      <c r="C42" s="15"/>
      <c r="D42" s="16"/>
      <c r="E42" s="17"/>
      <c r="F42" s="18"/>
      <c r="G42" s="18"/>
      <c r="H42" s="19">
        <f>SUMIF('TDS Entries'!$B$5:$B$204,A42,'TDS Entries'!$I$5:$I$204)+SUMIF('TDS Entries'!$B$5:$B$204,A42,'TDS Entries'!$J$5:$J$204)</f>
      </c>
      <c r="I42" s="20">
        <f>IF(OR(A42="",H42=0),"",IF(ROUND(E42-H42,2)=0,"Matches","Check Entries"))</f>
      </c>
    </row>
    <row r="43" spans="1:9" x14ac:dyDescent="0.25">
      <c r="A43" s="14"/>
      <c r="B43" s="15"/>
      <c r="C43" s="15"/>
      <c r="D43" s="16"/>
      <c r="E43" s="17"/>
      <c r="F43" s="18"/>
      <c r="G43" s="18"/>
      <c r="H43" s="19">
        <f>SUMIF('TDS Entries'!$B$5:$B$204,A43,'TDS Entries'!$I$5:$I$204)+SUMIF('TDS Entries'!$B$5:$B$204,A43,'TDS Entries'!$J$5:$J$204)</f>
      </c>
      <c r="I43" s="20">
        <f>IF(OR(A43="",H43=0),"",IF(ROUND(E43-H43,2)=0,"Matches","Check Entries"))</f>
      </c>
    </row>
    <row r="44" spans="1:9" x14ac:dyDescent="0.25">
      <c r="A44" s="14"/>
      <c r="B44" s="15"/>
      <c r="C44" s="15"/>
      <c r="D44" s="16"/>
      <c r="E44" s="17"/>
      <c r="F44" s="18"/>
      <c r="G44" s="18"/>
      <c r="H44" s="19">
        <f>SUMIF('TDS Entries'!$B$5:$B$204,A44,'TDS Entries'!$I$5:$I$204)+SUMIF('TDS Entries'!$B$5:$B$204,A44,'TDS Entries'!$J$5:$J$204)</f>
      </c>
      <c r="I44" s="20">
        <f>IF(OR(A44="",H44=0),"",IF(ROUND(E44-H44,2)=0,"Matches","Check Entries"))</f>
      </c>
    </row>
    <row r="45" spans="1:9" x14ac:dyDescent="0.25">
      <c r="A45" s="14"/>
      <c r="B45" s="15"/>
      <c r="C45" s="15"/>
      <c r="D45" s="16"/>
      <c r="E45" s="17"/>
      <c r="F45" s="18"/>
      <c r="G45" s="18"/>
      <c r="H45" s="19">
        <f>SUMIF('TDS Entries'!$B$5:$B$204,A45,'TDS Entries'!$I$5:$I$204)+SUMIF('TDS Entries'!$B$5:$B$204,A45,'TDS Entries'!$J$5:$J$204)</f>
      </c>
      <c r="I45" s="20">
        <f>IF(OR(A45="",H45=0),"",IF(ROUND(E45-H45,2)=0,"Matches","Check Entries"))</f>
      </c>
    </row>
    <row r="46" spans="1:9" x14ac:dyDescent="0.25">
      <c r="A46" s="14"/>
      <c r="B46" s="15"/>
      <c r="C46" s="15"/>
      <c r="D46" s="16"/>
      <c r="E46" s="17"/>
      <c r="F46" s="18"/>
      <c r="G46" s="18"/>
      <c r="H46" s="19">
        <f>SUMIF('TDS Entries'!$B$5:$B$204,A46,'TDS Entries'!$I$5:$I$204)+SUMIF('TDS Entries'!$B$5:$B$204,A46,'TDS Entries'!$J$5:$J$204)</f>
      </c>
      <c r="I46" s="20">
        <f>IF(OR(A46="",H46=0),"",IF(ROUND(E46-H46,2)=0,"Matches","Check Entries"))</f>
      </c>
    </row>
    <row r="47" spans="1:9" x14ac:dyDescent="0.25">
      <c r="A47" s="14"/>
      <c r="B47" s="15"/>
      <c r="C47" s="15"/>
      <c r="D47" s="16"/>
      <c r="E47" s="17"/>
      <c r="F47" s="18"/>
      <c r="G47" s="18"/>
      <c r="H47" s="19">
        <f>SUMIF('TDS Entries'!$B$5:$B$204,A47,'TDS Entries'!$I$5:$I$204)+SUMIF('TDS Entries'!$B$5:$B$204,A47,'TDS Entries'!$J$5:$J$204)</f>
      </c>
      <c r="I47" s="20">
        <f>IF(OR(A47="",H47=0),"",IF(ROUND(E47-H47,2)=0,"Matches","Check Entries"))</f>
      </c>
    </row>
    <row r="48" spans="1:9" x14ac:dyDescent="0.25">
      <c r="A48" s="14"/>
      <c r="B48" s="15"/>
      <c r="C48" s="15"/>
      <c r="D48" s="16"/>
      <c r="E48" s="17"/>
      <c r="F48" s="18"/>
      <c r="G48" s="18"/>
      <c r="H48" s="19">
        <f>SUMIF('TDS Entries'!$B$5:$B$204,A48,'TDS Entries'!$I$5:$I$204)+SUMIF('TDS Entries'!$B$5:$B$204,A48,'TDS Entries'!$J$5:$J$204)</f>
      </c>
      <c r="I48" s="20">
        <f>IF(OR(A48="",H48=0),"",IF(ROUND(E48-H48,2)=0,"Matches","Check Entries"))</f>
      </c>
    </row>
    <row r="49" spans="1:9" x14ac:dyDescent="0.25">
      <c r="A49" s="14"/>
      <c r="B49" s="15"/>
      <c r="C49" s="15"/>
      <c r="D49" s="16"/>
      <c r="E49" s="17"/>
      <c r="F49" s="18"/>
      <c r="G49" s="18"/>
      <c r="H49" s="19">
        <f>SUMIF('TDS Entries'!$B$5:$B$204,A49,'TDS Entries'!$I$5:$I$204)+SUMIF('TDS Entries'!$B$5:$B$204,A49,'TDS Entries'!$J$5:$J$204)</f>
      </c>
      <c r="I49" s="20">
        <f>IF(OR(A49="",H49=0),"",IF(ROUND(E49-H49,2)=0,"Matches","Check Entries"))</f>
      </c>
    </row>
    <row r="50" spans="1:9" x14ac:dyDescent="0.25">
      <c r="A50" s="14"/>
      <c r="B50" s="15"/>
      <c r="C50" s="15"/>
      <c r="D50" s="16"/>
      <c r="E50" s="17"/>
      <c r="F50" s="18"/>
      <c r="G50" s="18"/>
      <c r="H50" s="19">
        <f>SUMIF('TDS Entries'!$B$5:$B$204,A50,'TDS Entries'!$I$5:$I$204)+SUMIF('TDS Entries'!$B$5:$B$204,A50,'TDS Entries'!$J$5:$J$204)</f>
      </c>
      <c r="I50" s="20">
        <f>IF(OR(A50="",H50=0),"",IF(ROUND(E50-H50,2)=0,"Matches","Check Entries"))</f>
      </c>
    </row>
    <row r="51" spans="1:9" x14ac:dyDescent="0.25">
      <c r="A51" s="14"/>
      <c r="B51" s="15"/>
      <c r="C51" s="15"/>
      <c r="D51" s="16"/>
      <c r="E51" s="17"/>
      <c r="F51" s="18"/>
      <c r="G51" s="18"/>
      <c r="H51" s="19">
        <f>SUMIF('TDS Entries'!$B$5:$B$204,A51,'TDS Entries'!$I$5:$I$204)+SUMIF('TDS Entries'!$B$5:$B$204,A51,'TDS Entries'!$J$5:$J$204)</f>
      </c>
      <c r="I51" s="20">
        <f>IF(OR(A51="",H51=0),"",IF(ROUND(E51-H51,2)=0,"Matches","Check Entries"))</f>
      </c>
    </row>
    <row r="52" spans="1:9" x14ac:dyDescent="0.25">
      <c r="A52" s="14"/>
      <c r="B52" s="15"/>
      <c r="C52" s="15"/>
      <c r="D52" s="16"/>
      <c r="E52" s="17"/>
      <c r="F52" s="18"/>
      <c r="G52" s="18"/>
      <c r="H52" s="19">
        <f>SUMIF('TDS Entries'!$B$5:$B$204,A52,'TDS Entries'!$I$5:$I$204)+SUMIF('TDS Entries'!$B$5:$B$204,A52,'TDS Entries'!$J$5:$J$204)</f>
      </c>
      <c r="I52" s="20">
        <f>IF(OR(A52="",H52=0),"",IF(ROUND(E52-H52,2)=0,"Matches","Check Entries"))</f>
      </c>
    </row>
    <row r="53" spans="1:9" x14ac:dyDescent="0.25">
      <c r="A53" s="14"/>
      <c r="B53" s="15"/>
      <c r="C53" s="15"/>
      <c r="D53" s="16"/>
      <c r="E53" s="17"/>
      <c r="F53" s="18"/>
      <c r="G53" s="18"/>
      <c r="H53" s="19">
        <f>SUMIF('TDS Entries'!$B$5:$B$204,A53,'TDS Entries'!$I$5:$I$204)+SUMIF('TDS Entries'!$B$5:$B$204,A53,'TDS Entries'!$J$5:$J$204)</f>
      </c>
      <c r="I53" s="20">
        <f>IF(OR(A53="",H53=0),"",IF(ROUND(E53-H53,2)=0,"Matches","Check Entries"))</f>
      </c>
    </row>
    <row r="54" spans="1:9" x14ac:dyDescent="0.25">
      <c r="A54" s="14"/>
      <c r="B54" s="15"/>
      <c r="C54" s="15"/>
      <c r="D54" s="16"/>
      <c r="E54" s="17"/>
      <c r="F54" s="18"/>
      <c r="G54" s="18"/>
      <c r="H54" s="19">
        <f>SUMIF('TDS Entries'!$B$5:$B$204,A54,'TDS Entries'!$I$5:$I$204)+SUMIF('TDS Entries'!$B$5:$B$204,A54,'TDS Entries'!$J$5:$J$204)</f>
      </c>
      <c r="I54" s="20">
        <f>IF(OR(A54="",H54=0),"",IF(ROUND(E54-H54,2)=0,"Matches","Check Entries"))</f>
      </c>
    </row>
    <row r="55" spans="1:9" x14ac:dyDescent="0.25">
      <c r="A55" s="14"/>
      <c r="B55" s="15"/>
      <c r="C55" s="15"/>
      <c r="D55" s="16"/>
      <c r="E55" s="17"/>
      <c r="F55" s="18"/>
      <c r="G55" s="18"/>
      <c r="H55" s="19">
        <f>SUMIF('TDS Entries'!$B$5:$B$204,A55,'TDS Entries'!$I$5:$I$204)+SUMIF('TDS Entries'!$B$5:$B$204,A55,'TDS Entries'!$J$5:$J$204)</f>
      </c>
      <c r="I55" s="20">
        <f>IF(OR(A55="",H55=0),"",IF(ROUND(E55-H55,2)=0,"Matches","Check Entries"))</f>
      </c>
    </row>
    <row r="56" spans="1:9" x14ac:dyDescent="0.25">
      <c r="A56" s="14"/>
      <c r="B56" s="15"/>
      <c r="C56" s="15"/>
      <c r="D56" s="16"/>
      <c r="E56" s="17"/>
      <c r="F56" s="18"/>
      <c r="G56" s="18"/>
      <c r="H56" s="19">
        <f>SUMIF('TDS Entries'!$B$5:$B$204,A56,'TDS Entries'!$I$5:$I$204)+SUMIF('TDS Entries'!$B$5:$B$204,A56,'TDS Entries'!$J$5:$J$204)</f>
      </c>
      <c r="I56" s="20">
        <f>IF(OR(A56="",H56=0),"",IF(ROUND(E56-H56,2)=0,"Matches","Check Entries"))</f>
      </c>
    </row>
    <row r="57" spans="1:9" x14ac:dyDescent="0.25">
      <c r="A57" s="14"/>
      <c r="B57" s="15"/>
      <c r="C57" s="15"/>
      <c r="D57" s="16"/>
      <c r="E57" s="17"/>
      <c r="F57" s="18"/>
      <c r="G57" s="18"/>
      <c r="H57" s="19">
        <f>SUMIF('TDS Entries'!$B$5:$B$204,A57,'TDS Entries'!$I$5:$I$204)+SUMIF('TDS Entries'!$B$5:$B$204,A57,'TDS Entries'!$J$5:$J$204)</f>
      </c>
      <c r="I57" s="20">
        <f>IF(OR(A57="",H57=0),"",IF(ROUND(E57-H57,2)=0,"Matches","Check Entries"))</f>
      </c>
    </row>
    <row r="58" spans="1:9" x14ac:dyDescent="0.25">
      <c r="A58" s="14"/>
      <c r="B58" s="15"/>
      <c r="C58" s="15"/>
      <c r="D58" s="16"/>
      <c r="E58" s="17"/>
      <c r="F58" s="18"/>
      <c r="G58" s="18"/>
      <c r="H58" s="19">
        <f>SUMIF('TDS Entries'!$B$5:$B$204,A58,'TDS Entries'!$I$5:$I$204)+SUMIF('TDS Entries'!$B$5:$B$204,A58,'TDS Entries'!$J$5:$J$204)</f>
      </c>
      <c r="I58" s="20">
        <f>IF(OR(A58="",H58=0),"",IF(ROUND(E58-H58,2)=0,"Matches","Check Entries"))</f>
      </c>
    </row>
    <row r="59" spans="1:9" x14ac:dyDescent="0.25">
      <c r="A59" s="14"/>
      <c r="B59" s="15"/>
      <c r="C59" s="15"/>
      <c r="D59" s="16"/>
      <c r="E59" s="17"/>
      <c r="F59" s="18"/>
      <c r="G59" s="18"/>
      <c r="H59" s="19">
        <f>SUMIF('TDS Entries'!$B$5:$B$204,A59,'TDS Entries'!$I$5:$I$204)+SUMIF('TDS Entries'!$B$5:$B$204,A59,'TDS Entries'!$J$5:$J$204)</f>
      </c>
      <c r="I59" s="20">
        <f>IF(OR(A59="",H59=0),"",IF(ROUND(E59-H59,2)=0,"Matches","Check Entries"))</f>
      </c>
    </row>
    <row r="60" spans="1:9" x14ac:dyDescent="0.25">
      <c r="A60" s="14"/>
      <c r="B60" s="15"/>
      <c r="C60" s="15"/>
      <c r="D60" s="16"/>
      <c r="E60" s="17"/>
      <c r="F60" s="18"/>
      <c r="G60" s="18"/>
      <c r="H60" s="19">
        <f>SUMIF('TDS Entries'!$B$5:$B$204,A60,'TDS Entries'!$I$5:$I$204)+SUMIF('TDS Entries'!$B$5:$B$204,A60,'TDS Entries'!$J$5:$J$204)</f>
      </c>
      <c r="I60" s="20">
        <f>IF(OR(A60="",H60=0),"",IF(ROUND(E60-H60,2)=0,"Matches","Check Entries"))</f>
      </c>
    </row>
    <row r="61" spans="1:9" x14ac:dyDescent="0.25">
      <c r="A61" s="14"/>
      <c r="B61" s="15"/>
      <c r="C61" s="15"/>
      <c r="D61" s="16"/>
      <c r="E61" s="17"/>
      <c r="F61" s="18"/>
      <c r="G61" s="18"/>
      <c r="H61" s="19">
        <f>SUMIF('TDS Entries'!$B$5:$B$204,A61,'TDS Entries'!$I$5:$I$204)+SUMIF('TDS Entries'!$B$5:$B$204,A61,'TDS Entries'!$J$5:$J$204)</f>
      </c>
      <c r="I61" s="20">
        <f>IF(OR(A61="",H61=0),"",IF(ROUND(E61-H61,2)=0,"Matches","Check Entries"))</f>
      </c>
    </row>
    <row r="62" spans="1:9" x14ac:dyDescent="0.25">
      <c r="A62" s="14"/>
      <c r="B62" s="15"/>
      <c r="C62" s="15"/>
      <c r="D62" s="16"/>
      <c r="E62" s="17"/>
      <c r="F62" s="18"/>
      <c r="G62" s="18"/>
      <c r="H62" s="19">
        <f>SUMIF('TDS Entries'!$B$5:$B$204,A62,'TDS Entries'!$I$5:$I$204)+SUMIF('TDS Entries'!$B$5:$B$204,A62,'TDS Entries'!$J$5:$J$204)</f>
      </c>
      <c r="I62" s="20">
        <f>IF(OR(A62="",H62=0),"",IF(ROUND(E62-H62,2)=0,"Matches","Check Entries"))</f>
      </c>
    </row>
    <row r="63" spans="1:9" x14ac:dyDescent="0.25">
      <c r="A63" s="14"/>
      <c r="B63" s="15"/>
      <c r="C63" s="15"/>
      <c r="D63" s="16"/>
      <c r="E63" s="17"/>
      <c r="F63" s="18"/>
      <c r="G63" s="18"/>
      <c r="H63" s="19">
        <f>SUMIF('TDS Entries'!$B$5:$B$204,A63,'TDS Entries'!$I$5:$I$204)+SUMIF('TDS Entries'!$B$5:$B$204,A63,'TDS Entries'!$J$5:$J$204)</f>
      </c>
      <c r="I63" s="20">
        <f>IF(OR(A63="",H63=0),"",IF(ROUND(E63-H63,2)=0,"Matches","Check Entries"))</f>
      </c>
    </row>
    <row r="64" spans="1:9" x14ac:dyDescent="0.25">
      <c r="A64" s="14"/>
      <c r="B64" s="15"/>
      <c r="C64" s="15"/>
      <c r="D64" s="16"/>
      <c r="E64" s="17"/>
      <c r="F64" s="18"/>
      <c r="G64" s="18"/>
      <c r="H64" s="19">
        <f>SUMIF('TDS Entries'!$B$5:$B$204,A64,'TDS Entries'!$I$5:$I$204)+SUMIF('TDS Entries'!$B$5:$B$204,A64,'TDS Entries'!$J$5:$J$204)</f>
      </c>
      <c r="I64" s="20">
        <f>IF(OR(A64="",H64=0),"",IF(ROUND(E64-H64,2)=0,"Matches","Check Entries"))</f>
      </c>
    </row>
    <row r="65" spans="1:9" x14ac:dyDescent="0.25">
      <c r="A65" s="14"/>
      <c r="B65" s="15"/>
      <c r="C65" s="15"/>
      <c r="D65" s="16"/>
      <c r="E65" s="17"/>
      <c r="F65" s="18"/>
      <c r="G65" s="18"/>
      <c r="H65" s="19">
        <f>SUMIF('TDS Entries'!$B$5:$B$204,A65,'TDS Entries'!$I$5:$I$204)+SUMIF('TDS Entries'!$B$5:$B$204,A65,'TDS Entries'!$J$5:$J$204)</f>
      </c>
      <c r="I65" s="20">
        <f>IF(OR(A65="",H65=0),"",IF(ROUND(E65-H65,2)=0,"Matches","Check Entries"))</f>
      </c>
    </row>
    <row r="66" spans="1:9" x14ac:dyDescent="0.25">
      <c r="A66" s="14"/>
      <c r="B66" s="15"/>
      <c r="C66" s="15"/>
      <c r="D66" s="16"/>
      <c r="E66" s="17"/>
      <c r="F66" s="18"/>
      <c r="G66" s="18"/>
      <c r="H66" s="19">
        <f>SUMIF('TDS Entries'!$B$5:$B$204,A66,'TDS Entries'!$I$5:$I$204)+SUMIF('TDS Entries'!$B$5:$B$204,A66,'TDS Entries'!$J$5:$J$204)</f>
      </c>
      <c r="I66" s="20">
        <f>IF(OR(A66="",H66=0),"",IF(ROUND(E66-H66,2)=0,"Matches","Check Entries"))</f>
      </c>
    </row>
    <row r="67" spans="1:9" x14ac:dyDescent="0.25">
      <c r="A67" s="14"/>
      <c r="B67" s="15"/>
      <c r="C67" s="15"/>
      <c r="D67" s="16"/>
      <c r="E67" s="17"/>
      <c r="F67" s="18"/>
      <c r="G67" s="18"/>
      <c r="H67" s="19">
        <f>SUMIF('TDS Entries'!$B$5:$B$204,A67,'TDS Entries'!$I$5:$I$204)+SUMIF('TDS Entries'!$B$5:$B$204,A67,'TDS Entries'!$J$5:$J$204)</f>
      </c>
      <c r="I67" s="20">
        <f>IF(OR(A67="",H67=0),"",IF(ROUND(E67-H67,2)=0,"Matches","Check Entries"))</f>
      </c>
    </row>
    <row r="68" spans="1:9" x14ac:dyDescent="0.25">
      <c r="A68" s="14"/>
      <c r="B68" s="15"/>
      <c r="C68" s="15"/>
      <c r="D68" s="16"/>
      <c r="E68" s="17"/>
      <c r="F68" s="18"/>
      <c r="G68" s="18"/>
      <c r="H68" s="19">
        <f>SUMIF('TDS Entries'!$B$5:$B$204,A68,'TDS Entries'!$I$5:$I$204)+SUMIF('TDS Entries'!$B$5:$B$204,A68,'TDS Entries'!$J$5:$J$204)</f>
      </c>
      <c r="I68" s="20">
        <f>IF(OR(A68="",H68=0),"",IF(ROUND(E68-H68,2)=0,"Matches","Check Entries"))</f>
      </c>
    </row>
    <row r="69" spans="1:9" x14ac:dyDescent="0.25">
      <c r="A69" s="14"/>
      <c r="B69" s="15"/>
      <c r="C69" s="15"/>
      <c r="D69" s="16"/>
      <c r="E69" s="17"/>
      <c r="F69" s="18"/>
      <c r="G69" s="18"/>
      <c r="H69" s="19">
        <f>SUMIF('TDS Entries'!$B$5:$B$204,A69,'TDS Entries'!$I$5:$I$204)+SUMIF('TDS Entries'!$B$5:$B$204,A69,'TDS Entries'!$J$5:$J$204)</f>
      </c>
      <c r="I69" s="20">
        <f>IF(OR(A69="",H69=0),"",IF(ROUND(E69-H69,2)=0,"Matches","Check Entries"))</f>
      </c>
    </row>
    <row r="70" spans="1:9" x14ac:dyDescent="0.25">
      <c r="A70" s="14"/>
      <c r="B70" s="15"/>
      <c r="C70" s="15"/>
      <c r="D70" s="16"/>
      <c r="E70" s="17"/>
      <c r="F70" s="18"/>
      <c r="G70" s="18"/>
      <c r="H70" s="19">
        <f>SUMIF('TDS Entries'!$B$5:$B$204,A70,'TDS Entries'!$I$5:$I$204)+SUMIF('TDS Entries'!$B$5:$B$204,A70,'TDS Entries'!$J$5:$J$204)</f>
      </c>
      <c r="I70" s="20">
        <f>IF(OR(A70="",H70=0),"",IF(ROUND(E70-H70,2)=0,"Matches","Check Entries"))</f>
      </c>
    </row>
    <row r="71" spans="1:9" x14ac:dyDescent="0.25">
      <c r="A71" s="14"/>
      <c r="B71" s="15"/>
      <c r="C71" s="15"/>
      <c r="D71" s="16"/>
      <c r="E71" s="17"/>
      <c r="F71" s="18"/>
      <c r="G71" s="18"/>
      <c r="H71" s="19">
        <f>SUMIF('TDS Entries'!$B$5:$B$204,A71,'TDS Entries'!$I$5:$I$204)+SUMIF('TDS Entries'!$B$5:$B$204,A71,'TDS Entries'!$J$5:$J$204)</f>
      </c>
      <c r="I71" s="20">
        <f>IF(OR(A71="",H71=0),"",IF(ROUND(E71-H71,2)=0,"Matches","Check Entries"))</f>
      </c>
    </row>
    <row r="72" spans="1:9" x14ac:dyDescent="0.25">
      <c r="A72" s="14"/>
      <c r="B72" s="15"/>
      <c r="C72" s="15"/>
      <c r="D72" s="16"/>
      <c r="E72" s="17"/>
      <c r="F72" s="18"/>
      <c r="G72" s="18"/>
      <c r="H72" s="19">
        <f>SUMIF('TDS Entries'!$B$5:$B$204,A72,'TDS Entries'!$I$5:$I$204)+SUMIF('TDS Entries'!$B$5:$B$204,A72,'TDS Entries'!$J$5:$J$204)</f>
      </c>
      <c r="I72" s="20">
        <f>IF(OR(A72="",H72=0),"",IF(ROUND(E72-H72,2)=0,"Matches","Check Entries"))</f>
      </c>
    </row>
    <row r="73" spans="1:9" x14ac:dyDescent="0.25">
      <c r="A73" s="14"/>
      <c r="B73" s="15"/>
      <c r="C73" s="15"/>
      <c r="D73" s="16"/>
      <c r="E73" s="17"/>
      <c r="F73" s="18"/>
      <c r="G73" s="18"/>
      <c r="H73" s="19">
        <f>SUMIF('TDS Entries'!$B$5:$B$204,A73,'TDS Entries'!$I$5:$I$204)+SUMIF('TDS Entries'!$B$5:$B$204,A73,'TDS Entries'!$J$5:$J$204)</f>
      </c>
      <c r="I73" s="20">
        <f>IF(OR(A73="",H73=0),"",IF(ROUND(E73-H73,2)=0,"Matches","Check Entries"))</f>
      </c>
    </row>
    <row r="74" spans="1:9" x14ac:dyDescent="0.25">
      <c r="A74" s="14"/>
      <c r="B74" s="15"/>
      <c r="C74" s="15"/>
      <c r="D74" s="16"/>
      <c r="E74" s="17"/>
      <c r="F74" s="18"/>
      <c r="G74" s="18"/>
      <c r="H74" s="19">
        <f>SUMIF('TDS Entries'!$B$5:$B$204,A74,'TDS Entries'!$I$5:$I$204)+SUMIF('TDS Entries'!$B$5:$B$204,A74,'TDS Entries'!$J$5:$J$204)</f>
      </c>
      <c r="I74" s="20">
        <f>IF(OR(A74="",H74=0),"",IF(ROUND(E74-H74,2)=0,"Matches","Check Entries"))</f>
      </c>
    </row>
    <row r="75" spans="1:9" x14ac:dyDescent="0.25">
      <c r="A75" s="14"/>
      <c r="B75" s="15"/>
      <c r="C75" s="15"/>
      <c r="D75" s="16"/>
      <c r="E75" s="17"/>
      <c r="F75" s="18"/>
      <c r="G75" s="18"/>
      <c r="H75" s="19">
        <f>SUMIF('TDS Entries'!$B$5:$B$204,A75,'TDS Entries'!$I$5:$I$204)+SUMIF('TDS Entries'!$B$5:$B$204,A75,'TDS Entries'!$J$5:$J$204)</f>
      </c>
      <c r="I75" s="20">
        <f>IF(OR(A75="",H75=0),"",IF(ROUND(E75-H75,2)=0,"Matches","Check Entries"))</f>
      </c>
    </row>
    <row r="76" spans="1:9" x14ac:dyDescent="0.25">
      <c r="A76" s="14"/>
      <c r="B76" s="15"/>
      <c r="C76" s="15"/>
      <c r="D76" s="16"/>
      <c r="E76" s="17"/>
      <c r="F76" s="18"/>
      <c r="G76" s="18"/>
      <c r="H76" s="19">
        <f>SUMIF('TDS Entries'!$B$5:$B$204,A76,'TDS Entries'!$I$5:$I$204)+SUMIF('TDS Entries'!$B$5:$B$204,A76,'TDS Entries'!$J$5:$J$204)</f>
      </c>
      <c r="I76" s="20">
        <f>IF(OR(A76="",H76=0),"",IF(ROUND(E76-H76,2)=0,"Matches","Check Entries"))</f>
      </c>
    </row>
    <row r="77" spans="1:9" x14ac:dyDescent="0.25">
      <c r="A77" s="14"/>
      <c r="B77" s="15"/>
      <c r="C77" s="15"/>
      <c r="D77" s="16"/>
      <c r="E77" s="17"/>
      <c r="F77" s="18"/>
      <c r="G77" s="18"/>
      <c r="H77" s="19">
        <f>SUMIF('TDS Entries'!$B$5:$B$204,A77,'TDS Entries'!$I$5:$I$204)+SUMIF('TDS Entries'!$B$5:$B$204,A77,'TDS Entries'!$J$5:$J$204)</f>
      </c>
      <c r="I77" s="20">
        <f>IF(OR(A77="",H77=0),"",IF(ROUND(E77-H77,2)=0,"Matches","Check Entries"))</f>
      </c>
    </row>
    <row r="78" spans="1:9" x14ac:dyDescent="0.25">
      <c r="A78" s="14"/>
      <c r="B78" s="15"/>
      <c r="C78" s="15"/>
      <c r="D78" s="16"/>
      <c r="E78" s="17"/>
      <c r="F78" s="18"/>
      <c r="G78" s="18"/>
      <c r="H78" s="19">
        <f>SUMIF('TDS Entries'!$B$5:$B$204,A78,'TDS Entries'!$I$5:$I$204)+SUMIF('TDS Entries'!$B$5:$B$204,A78,'TDS Entries'!$J$5:$J$204)</f>
      </c>
      <c r="I78" s="20">
        <f>IF(OR(A78="",H78=0),"",IF(ROUND(E78-H78,2)=0,"Matches","Check Entries"))</f>
      </c>
    </row>
    <row r="79" spans="1:9" x14ac:dyDescent="0.25">
      <c r="A79" s="14"/>
      <c r="B79" s="15"/>
      <c r="C79" s="15"/>
      <c r="D79" s="16"/>
      <c r="E79" s="17"/>
      <c r="F79" s="18"/>
      <c r="G79" s="18"/>
      <c r="H79" s="19">
        <f>SUMIF('TDS Entries'!$B$5:$B$204,A79,'TDS Entries'!$I$5:$I$204)+SUMIF('TDS Entries'!$B$5:$B$204,A79,'TDS Entries'!$J$5:$J$204)</f>
      </c>
      <c r="I79" s="20">
        <f>IF(OR(A79="",H79=0),"",IF(ROUND(E79-H79,2)=0,"Matches","Check Entries"))</f>
      </c>
    </row>
    <row r="80" spans="1:9" x14ac:dyDescent="0.25">
      <c r="A80" s="14"/>
      <c r="B80" s="15"/>
      <c r="C80" s="15"/>
      <c r="D80" s="16"/>
      <c r="E80" s="17"/>
      <c r="F80" s="18"/>
      <c r="G80" s="18"/>
      <c r="H80" s="19">
        <f>SUMIF('TDS Entries'!$B$5:$B$204,A80,'TDS Entries'!$I$5:$I$204)+SUMIF('TDS Entries'!$B$5:$B$204,A80,'TDS Entries'!$J$5:$J$204)</f>
      </c>
      <c r="I80" s="20">
        <f>IF(OR(A80="",H80=0),"",IF(ROUND(E80-H80,2)=0,"Matches","Check Entries"))</f>
      </c>
    </row>
    <row r="81" spans="1:9" x14ac:dyDescent="0.25">
      <c r="A81" s="14"/>
      <c r="B81" s="15"/>
      <c r="C81" s="15"/>
      <c r="D81" s="16"/>
      <c r="E81" s="17"/>
      <c r="F81" s="18"/>
      <c r="G81" s="18"/>
      <c r="H81" s="19">
        <f>SUMIF('TDS Entries'!$B$5:$B$204,A81,'TDS Entries'!$I$5:$I$204)+SUMIF('TDS Entries'!$B$5:$B$204,A81,'TDS Entries'!$J$5:$J$204)</f>
      </c>
      <c r="I81" s="20">
        <f>IF(OR(A81="",H81=0),"",IF(ROUND(E81-H81,2)=0,"Matches","Check Entries"))</f>
      </c>
    </row>
    <row r="82" spans="1:9" x14ac:dyDescent="0.25">
      <c r="A82" s="14"/>
      <c r="B82" s="15"/>
      <c r="C82" s="15"/>
      <c r="D82" s="16"/>
      <c r="E82" s="17"/>
      <c r="F82" s="18"/>
      <c r="G82" s="18"/>
      <c r="H82" s="19">
        <f>SUMIF('TDS Entries'!$B$5:$B$204,A82,'TDS Entries'!$I$5:$I$204)+SUMIF('TDS Entries'!$B$5:$B$204,A82,'TDS Entries'!$J$5:$J$204)</f>
      </c>
      <c r="I82" s="20">
        <f>IF(OR(A82="",H82=0),"",IF(ROUND(E82-H82,2)=0,"Matches","Check Entries"))</f>
      </c>
    </row>
    <row r="83" spans="1:9" x14ac:dyDescent="0.25">
      <c r="A83" s="14"/>
      <c r="B83" s="15"/>
      <c r="C83" s="15"/>
      <c r="D83" s="16"/>
      <c r="E83" s="17"/>
      <c r="F83" s="18"/>
      <c r="G83" s="18"/>
      <c r="H83" s="19">
        <f>SUMIF('TDS Entries'!$B$5:$B$204,A83,'TDS Entries'!$I$5:$I$204)+SUMIF('TDS Entries'!$B$5:$B$204,A83,'TDS Entries'!$J$5:$J$204)</f>
      </c>
      <c r="I83" s="20">
        <f>IF(OR(A83="",H83=0),"",IF(ROUND(E83-H83,2)=0,"Matches","Check Entries"))</f>
      </c>
    </row>
    <row r="84" spans="1:9" x14ac:dyDescent="0.25">
      <c r="A84" s="14"/>
      <c r="B84" s="15"/>
      <c r="C84" s="15"/>
      <c r="D84" s="16"/>
      <c r="E84" s="17"/>
      <c r="F84" s="18"/>
      <c r="G84" s="18"/>
      <c r="H84" s="19">
        <f>SUMIF('TDS Entries'!$B$5:$B$204,A84,'TDS Entries'!$I$5:$I$204)+SUMIF('TDS Entries'!$B$5:$B$204,A84,'TDS Entries'!$J$5:$J$204)</f>
      </c>
      <c r="I84" s="20">
        <f>IF(OR(A84="",H84=0),"",IF(ROUND(E84-H84,2)=0,"Matches","Check Entries"))</f>
      </c>
    </row>
    <row r="85" spans="1:9" x14ac:dyDescent="0.25">
      <c r="A85" s="14"/>
      <c r="B85" s="15"/>
      <c r="C85" s="15"/>
      <c r="D85" s="16"/>
      <c r="E85" s="17"/>
      <c r="F85" s="18"/>
      <c r="G85" s="18"/>
      <c r="H85" s="19">
        <f>SUMIF('TDS Entries'!$B$5:$B$204,A85,'TDS Entries'!$I$5:$I$204)+SUMIF('TDS Entries'!$B$5:$B$204,A85,'TDS Entries'!$J$5:$J$204)</f>
      </c>
      <c r="I85" s="20">
        <f>IF(OR(A85="",H85=0),"",IF(ROUND(E85-H85,2)=0,"Matches","Check Entries"))</f>
      </c>
    </row>
    <row r="86" spans="1:9" x14ac:dyDescent="0.25">
      <c r="A86" s="14"/>
      <c r="B86" s="15"/>
      <c r="C86" s="15"/>
      <c r="D86" s="16"/>
      <c r="E86" s="17"/>
      <c r="F86" s="18"/>
      <c r="G86" s="18"/>
      <c r="H86" s="19">
        <f>SUMIF('TDS Entries'!$B$5:$B$204,A86,'TDS Entries'!$I$5:$I$204)+SUMIF('TDS Entries'!$B$5:$B$204,A86,'TDS Entries'!$J$5:$J$204)</f>
      </c>
      <c r="I86" s="20">
        <f>IF(OR(A86="",H86=0),"",IF(ROUND(E86-H86,2)=0,"Matches","Check Entries"))</f>
      </c>
    </row>
    <row r="87" spans="1:9" x14ac:dyDescent="0.25">
      <c r="A87" s="14"/>
      <c r="B87" s="15"/>
      <c r="C87" s="15"/>
      <c r="D87" s="16"/>
      <c r="E87" s="17"/>
      <c r="F87" s="18"/>
      <c r="G87" s="18"/>
      <c r="H87" s="19">
        <f>SUMIF('TDS Entries'!$B$5:$B$204,A87,'TDS Entries'!$I$5:$I$204)+SUMIF('TDS Entries'!$B$5:$B$204,A87,'TDS Entries'!$J$5:$J$204)</f>
      </c>
      <c r="I87" s="20">
        <f>IF(OR(A87="",H87=0),"",IF(ROUND(E87-H87,2)=0,"Matches","Check Entries"))</f>
      </c>
    </row>
    <row r="88" spans="1:9" x14ac:dyDescent="0.25">
      <c r="A88" s="14"/>
      <c r="B88" s="15"/>
      <c r="C88" s="15"/>
      <c r="D88" s="16"/>
      <c r="E88" s="17"/>
      <c r="F88" s="18"/>
      <c r="G88" s="18"/>
      <c r="H88" s="19">
        <f>SUMIF('TDS Entries'!$B$5:$B$204,A88,'TDS Entries'!$I$5:$I$204)+SUMIF('TDS Entries'!$B$5:$B$204,A88,'TDS Entries'!$J$5:$J$204)</f>
      </c>
      <c r="I88" s="20">
        <f>IF(OR(A88="",H88=0),"",IF(ROUND(E88-H88,2)=0,"Matches","Check Entries"))</f>
      </c>
    </row>
    <row r="89" spans="1:9" x14ac:dyDescent="0.25">
      <c r="A89" s="14"/>
      <c r="B89" s="15"/>
      <c r="C89" s="15"/>
      <c r="D89" s="16"/>
      <c r="E89" s="17"/>
      <c r="F89" s="18"/>
      <c r="G89" s="18"/>
      <c r="H89" s="19">
        <f>SUMIF('TDS Entries'!$B$5:$B$204,A89,'TDS Entries'!$I$5:$I$204)+SUMIF('TDS Entries'!$B$5:$B$204,A89,'TDS Entries'!$J$5:$J$204)</f>
      </c>
      <c r="I89" s="20">
        <f>IF(OR(A89="",H89=0),"",IF(ROUND(E89-H89,2)=0,"Matches","Check Entries"))</f>
      </c>
    </row>
    <row r="90" spans="1:9" x14ac:dyDescent="0.25">
      <c r="A90" s="14"/>
      <c r="B90" s="15"/>
      <c r="C90" s="15"/>
      <c r="D90" s="16"/>
      <c r="E90" s="17"/>
      <c r="F90" s="18"/>
      <c r="G90" s="18"/>
      <c r="H90" s="19">
        <f>SUMIF('TDS Entries'!$B$5:$B$204,A90,'TDS Entries'!$I$5:$I$204)+SUMIF('TDS Entries'!$B$5:$B$204,A90,'TDS Entries'!$J$5:$J$204)</f>
      </c>
      <c r="I90" s="20">
        <f>IF(OR(A90="",H90=0),"",IF(ROUND(E90-H90,2)=0,"Matches","Check Entries"))</f>
      </c>
    </row>
    <row r="91" spans="1:9" x14ac:dyDescent="0.25">
      <c r="A91" s="14"/>
      <c r="B91" s="15"/>
      <c r="C91" s="15"/>
      <c r="D91" s="16"/>
      <c r="E91" s="17"/>
      <c r="F91" s="18"/>
      <c r="G91" s="18"/>
      <c r="H91" s="19">
        <f>SUMIF('TDS Entries'!$B$5:$B$204,A91,'TDS Entries'!$I$5:$I$204)+SUMIF('TDS Entries'!$B$5:$B$204,A91,'TDS Entries'!$J$5:$J$204)</f>
      </c>
      <c r="I91" s="20">
        <f>IF(OR(A91="",H91=0),"",IF(ROUND(E91-H91,2)=0,"Matches","Check Entries"))</f>
      </c>
    </row>
    <row r="92" spans="1:9" x14ac:dyDescent="0.25">
      <c r="A92" s="14"/>
      <c r="B92" s="15"/>
      <c r="C92" s="15"/>
      <c r="D92" s="16"/>
      <c r="E92" s="17"/>
      <c r="F92" s="18"/>
      <c r="G92" s="18"/>
      <c r="H92" s="19">
        <f>SUMIF('TDS Entries'!$B$5:$B$204,A92,'TDS Entries'!$I$5:$I$204)+SUMIF('TDS Entries'!$B$5:$B$204,A92,'TDS Entries'!$J$5:$J$204)</f>
      </c>
      <c r="I92" s="20">
        <f>IF(OR(A92="",H92=0),"",IF(ROUND(E92-H92,2)=0,"Matches","Check Entries"))</f>
      </c>
    </row>
    <row r="93" spans="1:9" x14ac:dyDescent="0.25">
      <c r="A93" s="14"/>
      <c r="B93" s="15"/>
      <c r="C93" s="15"/>
      <c r="D93" s="16"/>
      <c r="E93" s="17"/>
      <c r="F93" s="18"/>
      <c r="G93" s="18"/>
      <c r="H93" s="19">
        <f>SUMIF('TDS Entries'!$B$5:$B$204,A93,'TDS Entries'!$I$5:$I$204)+SUMIF('TDS Entries'!$B$5:$B$204,A93,'TDS Entries'!$J$5:$J$204)</f>
      </c>
      <c r="I93" s="20">
        <f>IF(OR(A93="",H93=0),"",IF(ROUND(E93-H93,2)=0,"Matches","Check Entries"))</f>
      </c>
    </row>
    <row r="94" spans="1:9" x14ac:dyDescent="0.25">
      <c r="A94" s="14"/>
      <c r="B94" s="15"/>
      <c r="C94" s="15"/>
      <c r="D94" s="16"/>
      <c r="E94" s="17"/>
      <c r="F94" s="18"/>
      <c r="G94" s="18"/>
      <c r="H94" s="19">
        <f>SUMIF('TDS Entries'!$B$5:$B$204,A94,'TDS Entries'!$I$5:$I$204)+SUMIF('TDS Entries'!$B$5:$B$204,A94,'TDS Entries'!$J$5:$J$204)</f>
      </c>
      <c r="I94" s="20">
        <f>IF(OR(A94="",H94=0),"",IF(ROUND(E94-H94,2)=0,"Matches","Check Entries"))</f>
      </c>
    </row>
    <row r="95" spans="1:9" x14ac:dyDescent="0.25">
      <c r="A95" s="14"/>
      <c r="B95" s="15"/>
      <c r="C95" s="15"/>
      <c r="D95" s="16"/>
      <c r="E95" s="17"/>
      <c r="F95" s="18"/>
      <c r="G95" s="18"/>
      <c r="H95" s="19">
        <f>SUMIF('TDS Entries'!$B$5:$B$204,A95,'TDS Entries'!$I$5:$I$204)+SUMIF('TDS Entries'!$B$5:$B$204,A95,'TDS Entries'!$J$5:$J$204)</f>
      </c>
      <c r="I95" s="20">
        <f>IF(OR(A95="",H95=0),"",IF(ROUND(E95-H95,2)=0,"Matches","Check Entries"))</f>
      </c>
    </row>
    <row r="96" spans="1:9" x14ac:dyDescent="0.25">
      <c r="A96" s="14"/>
      <c r="B96" s="15"/>
      <c r="C96" s="15"/>
      <c r="D96" s="16"/>
      <c r="E96" s="17"/>
      <c r="F96" s="18"/>
      <c r="G96" s="18"/>
      <c r="H96" s="19">
        <f>SUMIF('TDS Entries'!$B$5:$B$204,A96,'TDS Entries'!$I$5:$I$204)+SUMIF('TDS Entries'!$B$5:$B$204,A96,'TDS Entries'!$J$5:$J$204)</f>
      </c>
      <c r="I96" s="20">
        <f>IF(OR(A96="",H96=0),"",IF(ROUND(E96-H96,2)=0,"Matches","Check Entries"))</f>
      </c>
    </row>
    <row r="97" spans="1:9" x14ac:dyDescent="0.25">
      <c r="A97" s="14"/>
      <c r="B97" s="15"/>
      <c r="C97" s="15"/>
      <c r="D97" s="16"/>
      <c r="E97" s="17"/>
      <c r="F97" s="18"/>
      <c r="G97" s="18"/>
      <c r="H97" s="19">
        <f>SUMIF('TDS Entries'!$B$5:$B$204,A97,'TDS Entries'!$I$5:$I$204)+SUMIF('TDS Entries'!$B$5:$B$204,A97,'TDS Entries'!$J$5:$J$204)</f>
      </c>
      <c r="I97" s="20">
        <f>IF(OR(A97="",H97=0),"",IF(ROUND(E97-H97,2)=0,"Matches","Check Entries"))</f>
      </c>
    </row>
    <row r="98" spans="1:9" x14ac:dyDescent="0.25">
      <c r="A98" s="14"/>
      <c r="B98" s="15"/>
      <c r="C98" s="15"/>
      <c r="D98" s="16"/>
      <c r="E98" s="17"/>
      <c r="F98" s="18"/>
      <c r="G98" s="18"/>
      <c r="H98" s="19">
        <f>SUMIF('TDS Entries'!$B$5:$B$204,A98,'TDS Entries'!$I$5:$I$204)+SUMIF('TDS Entries'!$B$5:$B$204,A98,'TDS Entries'!$J$5:$J$204)</f>
      </c>
      <c r="I98" s="20">
        <f>IF(OR(A98="",H98=0),"",IF(ROUND(E98-H98,2)=0,"Matches","Check Entries"))</f>
      </c>
    </row>
    <row r="99" spans="1:9" x14ac:dyDescent="0.25">
      <c r="A99" s="14"/>
      <c r="B99" s="15"/>
      <c r="C99" s="15"/>
      <c r="D99" s="16"/>
      <c r="E99" s="17"/>
      <c r="F99" s="18"/>
      <c r="G99" s="18"/>
      <c r="H99" s="19">
        <f>SUMIF('TDS Entries'!$B$5:$B$204,A99,'TDS Entries'!$I$5:$I$204)+SUMIF('TDS Entries'!$B$5:$B$204,A99,'TDS Entries'!$J$5:$J$204)</f>
      </c>
      <c r="I99" s="20">
        <f>IF(OR(A99="",H99=0),"",IF(ROUND(E99-H99,2)=0,"Matches","Check Entries"))</f>
      </c>
    </row>
    <row r="100" spans="1:9" x14ac:dyDescent="0.25">
      <c r="A100" s="14"/>
      <c r="B100" s="15"/>
      <c r="C100" s="15"/>
      <c r="D100" s="16"/>
      <c r="E100" s="17"/>
      <c r="F100" s="18"/>
      <c r="G100" s="18"/>
      <c r="H100" s="19">
        <f>SUMIF('TDS Entries'!$B$5:$B$204,A100,'TDS Entries'!$I$5:$I$204)+SUMIF('TDS Entries'!$B$5:$B$204,A100,'TDS Entries'!$J$5:$J$204)</f>
      </c>
      <c r="I100" s="20">
        <f>IF(OR(A100="",H100=0),"",IF(ROUND(E100-H100,2)=0,"Matches","Check Entries"))</f>
      </c>
    </row>
    <row r="101" spans="1:9" x14ac:dyDescent="0.25">
      <c r="A101" s="14"/>
      <c r="B101" s="15"/>
      <c r="C101" s="15"/>
      <c r="D101" s="16"/>
      <c r="E101" s="17"/>
      <c r="F101" s="18"/>
      <c r="G101" s="18"/>
      <c r="H101" s="19">
        <f>SUMIF('TDS Entries'!$B$5:$B$204,A101,'TDS Entries'!$I$5:$I$204)+SUMIF('TDS Entries'!$B$5:$B$204,A101,'TDS Entries'!$J$5:$J$204)</f>
      </c>
      <c r="I101" s="20">
        <f>IF(OR(A101="",H101=0),"",IF(ROUND(E101-H101,2)=0,"Matches","Check Entries"))</f>
      </c>
    </row>
    <row r="102" spans="1:9" x14ac:dyDescent="0.25">
      <c r="A102" s="14"/>
      <c r="B102" s="15"/>
      <c r="C102" s="15"/>
      <c r="D102" s="16"/>
      <c r="E102" s="17"/>
      <c r="F102" s="18"/>
      <c r="G102" s="18"/>
      <c r="H102" s="19">
        <f>SUMIF('TDS Entries'!$B$5:$B$204,A102,'TDS Entries'!$I$5:$I$204)+SUMIF('TDS Entries'!$B$5:$B$204,A102,'TDS Entries'!$J$5:$J$204)</f>
      </c>
      <c r="I102" s="20">
        <f>IF(OR(A102="",H102=0),"",IF(ROUND(E102-H102,2)=0,"Matches","Check Entries"))</f>
      </c>
    </row>
    <row r="103" spans="1:9" x14ac:dyDescent="0.25">
      <c r="A103" s="14"/>
      <c r="B103" s="15"/>
      <c r="C103" s="15"/>
      <c r="D103" s="16"/>
      <c r="E103" s="17"/>
      <c r="F103" s="18"/>
      <c r="G103" s="18"/>
      <c r="H103" s="19">
        <f>SUMIF('TDS Entries'!$B$5:$B$204,A103,'TDS Entries'!$I$5:$I$204)+SUMIF('TDS Entries'!$B$5:$B$204,A103,'TDS Entries'!$J$5:$J$204)</f>
      </c>
      <c r="I103" s="20">
        <f>IF(OR(A103="",H103=0),"",IF(ROUND(E103-H103,2)=0,"Matches","Check Entries"))</f>
      </c>
    </row>
    <row r="104" spans="1:9" x14ac:dyDescent="0.25">
      <c r="A104" s="14"/>
      <c r="B104" s="15"/>
      <c r="C104" s="15"/>
      <c r="D104" s="16"/>
      <c r="E104" s="17"/>
      <c r="F104" s="18"/>
      <c r="G104" s="18"/>
      <c r="H104" s="19">
        <f>SUMIF('TDS Entries'!$B$5:$B$204,A104,'TDS Entries'!$I$5:$I$204)+SUMIF('TDS Entries'!$B$5:$B$204,A104,'TDS Entries'!$J$5:$J$204)</f>
      </c>
      <c r="I104" s="20">
        <f>IF(OR(A104="",H104=0),"",IF(ROUND(E104-H104,2)=0,"Matches","Check Entries"))</f>
      </c>
    </row>
    <row r="105" spans="1:9" x14ac:dyDescent="0.25">
      <c r="A105" s="14"/>
      <c r="B105" s="15"/>
      <c r="C105" s="15"/>
      <c r="D105" s="16"/>
      <c r="E105" s="17"/>
      <c r="F105" s="18"/>
      <c r="G105" s="18"/>
      <c r="H105" s="19">
        <f>SUMIF('TDS Entries'!$B$5:$B$204,A105,'TDS Entries'!$I$5:$I$204)+SUMIF('TDS Entries'!$B$5:$B$204,A105,'TDS Entries'!$J$5:$J$204)</f>
      </c>
      <c r="I105" s="20">
        <f>IF(OR(A105="",H105=0),"",IF(ROUND(E105-H105,2)=0,"Matches","Check Entries"))</f>
      </c>
    </row>
    <row r="106" spans="1:9" x14ac:dyDescent="0.25">
      <c r="A106" s="14"/>
      <c r="B106" s="15"/>
      <c r="C106" s="15"/>
      <c r="D106" s="16"/>
      <c r="E106" s="17"/>
      <c r="F106" s="18"/>
      <c r="G106" s="18"/>
      <c r="H106" s="19">
        <f>SUMIF('TDS Entries'!$B$5:$B$204,A106,'TDS Entries'!$I$5:$I$204)+SUMIF('TDS Entries'!$B$5:$B$204,A106,'TDS Entries'!$J$5:$J$204)</f>
      </c>
      <c r="I106" s="20">
        <f>IF(OR(A106="",H106=0),"",IF(ROUND(E106-H106,2)=0,"Matches","Check Entries"))</f>
      </c>
    </row>
    <row r="107" spans="1:9" x14ac:dyDescent="0.25">
      <c r="A107" s="14"/>
      <c r="B107" s="15"/>
      <c r="C107" s="15"/>
      <c r="D107" s="16"/>
      <c r="E107" s="17"/>
      <c r="F107" s="18"/>
      <c r="G107" s="18"/>
      <c r="H107" s="19">
        <f>SUMIF('TDS Entries'!$B$5:$B$204,A107,'TDS Entries'!$I$5:$I$204)+SUMIF('TDS Entries'!$B$5:$B$204,A107,'TDS Entries'!$J$5:$J$204)</f>
      </c>
      <c r="I107" s="20">
        <f>IF(OR(A107="",H107=0),"",IF(ROUND(E107-H107,2)=0,"Matches","Check Entries"))</f>
      </c>
    </row>
    <row r="108" spans="1:9" x14ac:dyDescent="0.25">
      <c r="A108" s="14"/>
      <c r="B108" s="15"/>
      <c r="C108" s="15"/>
      <c r="D108" s="16"/>
      <c r="E108" s="17"/>
      <c r="F108" s="18"/>
      <c r="G108" s="18"/>
      <c r="H108" s="19">
        <f>SUMIF('TDS Entries'!$B$5:$B$204,A108,'TDS Entries'!$I$5:$I$204)+SUMIF('TDS Entries'!$B$5:$B$204,A108,'TDS Entries'!$J$5:$J$204)</f>
      </c>
      <c r="I108" s="20">
        <f>IF(OR(A108="",H108=0),"",IF(ROUND(E108-H108,2)=0,"Matches","Check Entries"))</f>
      </c>
    </row>
    <row r="109" spans="1:9" x14ac:dyDescent="0.25">
      <c r="A109" s="14"/>
      <c r="B109" s="15"/>
      <c r="C109" s="15"/>
      <c r="D109" s="16"/>
      <c r="E109" s="17"/>
      <c r="F109" s="18"/>
      <c r="G109" s="18"/>
      <c r="H109" s="19">
        <f>SUMIF('TDS Entries'!$B$5:$B$204,A109,'TDS Entries'!$I$5:$I$204)+SUMIF('TDS Entries'!$B$5:$B$204,A109,'TDS Entries'!$J$5:$J$204)</f>
      </c>
      <c r="I109" s="20">
        <f>IF(OR(A109="",H109=0),"",IF(ROUND(E109-H109,2)=0,"Matches","Check Entries"))</f>
      </c>
    </row>
    <row r="110" spans="1:9" x14ac:dyDescent="0.25">
      <c r="A110" s="14"/>
      <c r="B110" s="15"/>
      <c r="C110" s="15"/>
      <c r="D110" s="16"/>
      <c r="E110" s="17"/>
      <c r="F110" s="18"/>
      <c r="G110" s="18"/>
      <c r="H110" s="19">
        <f>SUMIF('TDS Entries'!$B$5:$B$204,A110,'TDS Entries'!$I$5:$I$204)+SUMIF('TDS Entries'!$B$5:$B$204,A110,'TDS Entries'!$J$5:$J$204)</f>
      </c>
      <c r="I110" s="20">
        <f>IF(OR(A110="",H110=0),"",IF(ROUND(E110-H110,2)=0,"Matches","Check Entries"))</f>
      </c>
    </row>
    <row r="111" spans="1:9" x14ac:dyDescent="0.25">
      <c r="A111" s="14"/>
      <c r="B111" s="15"/>
      <c r="C111" s="15"/>
      <c r="D111" s="16"/>
      <c r="E111" s="17"/>
      <c r="F111" s="18"/>
      <c r="G111" s="18"/>
      <c r="H111" s="19">
        <f>SUMIF('TDS Entries'!$B$5:$B$204,A111,'TDS Entries'!$I$5:$I$204)+SUMIF('TDS Entries'!$B$5:$B$204,A111,'TDS Entries'!$J$5:$J$204)</f>
      </c>
      <c r="I111" s="20">
        <f>IF(OR(A111="",H111=0),"",IF(ROUND(E111-H111,2)=0,"Matches","Check Entries"))</f>
      </c>
    </row>
    <row r="112" spans="1:9" x14ac:dyDescent="0.25">
      <c r="A112" s="14"/>
      <c r="B112" s="15"/>
      <c r="C112" s="15"/>
      <c r="D112" s="16"/>
      <c r="E112" s="17"/>
      <c r="F112" s="18"/>
      <c r="G112" s="18"/>
      <c r="H112" s="19">
        <f>SUMIF('TDS Entries'!$B$5:$B$204,A112,'TDS Entries'!$I$5:$I$204)+SUMIF('TDS Entries'!$B$5:$B$204,A112,'TDS Entries'!$J$5:$J$204)</f>
      </c>
      <c r="I112" s="20">
        <f>IF(OR(A112="",H112=0),"",IF(ROUND(E112-H112,2)=0,"Matches","Check Entries"))</f>
      </c>
    </row>
    <row r="113" spans="1:9" x14ac:dyDescent="0.25">
      <c r="A113" s="14"/>
      <c r="B113" s="15"/>
      <c r="C113" s="15"/>
      <c r="D113" s="16"/>
      <c r="E113" s="17"/>
      <c r="F113" s="18"/>
      <c r="G113" s="18"/>
      <c r="H113" s="19">
        <f>SUMIF('TDS Entries'!$B$5:$B$204,A113,'TDS Entries'!$I$5:$I$204)+SUMIF('TDS Entries'!$B$5:$B$204,A113,'TDS Entries'!$J$5:$J$204)</f>
      </c>
      <c r="I113" s="20">
        <f>IF(OR(A113="",H113=0),"",IF(ROUND(E113-H113,2)=0,"Matches","Check Entries"))</f>
      </c>
    </row>
    <row r="114" spans="1:9" x14ac:dyDescent="0.25">
      <c r="A114" s="14"/>
      <c r="B114" s="15"/>
      <c r="C114" s="15"/>
      <c r="D114" s="16"/>
      <c r="E114" s="17"/>
      <c r="F114" s="18"/>
      <c r="G114" s="18"/>
      <c r="H114" s="19">
        <f>SUMIF('TDS Entries'!$B$5:$B$204,A114,'TDS Entries'!$I$5:$I$204)+SUMIF('TDS Entries'!$B$5:$B$204,A114,'TDS Entries'!$J$5:$J$204)</f>
      </c>
      <c r="I114" s="20">
        <f>IF(OR(A114="",H114=0),"",IF(ROUND(E114-H114,2)=0,"Matches","Check Entries"))</f>
      </c>
    </row>
    <row r="115" spans="1:9" x14ac:dyDescent="0.25">
      <c r="A115" s="14"/>
      <c r="B115" s="15"/>
      <c r="C115" s="15"/>
      <c r="D115" s="16"/>
      <c r="E115" s="17"/>
      <c r="F115" s="18"/>
      <c r="G115" s="18"/>
      <c r="H115" s="19">
        <f>SUMIF('TDS Entries'!$B$5:$B$204,A115,'TDS Entries'!$I$5:$I$204)+SUMIF('TDS Entries'!$B$5:$B$204,A115,'TDS Entries'!$J$5:$J$204)</f>
      </c>
      <c r="I115" s="20">
        <f>IF(OR(A115="",H115=0),"",IF(ROUND(E115-H115,2)=0,"Matches","Check Entries"))</f>
      </c>
    </row>
    <row r="116" spans="1:9" x14ac:dyDescent="0.25">
      <c r="A116" s="14"/>
      <c r="B116" s="15"/>
      <c r="C116" s="15"/>
      <c r="D116" s="16"/>
      <c r="E116" s="17"/>
      <c r="F116" s="18"/>
      <c r="G116" s="18"/>
      <c r="H116" s="19">
        <f>SUMIF('TDS Entries'!$B$5:$B$204,A116,'TDS Entries'!$I$5:$I$204)+SUMIF('TDS Entries'!$B$5:$B$204,A116,'TDS Entries'!$J$5:$J$204)</f>
      </c>
      <c r="I116" s="20">
        <f>IF(OR(A116="",H116=0),"",IF(ROUND(E116-H116,2)=0,"Matches","Check Entries"))</f>
      </c>
    </row>
    <row r="117" spans="1:9" x14ac:dyDescent="0.25">
      <c r="A117" s="14"/>
      <c r="B117" s="15"/>
      <c r="C117" s="15"/>
      <c r="D117" s="16"/>
      <c r="E117" s="17"/>
      <c r="F117" s="18"/>
      <c r="G117" s="18"/>
      <c r="H117" s="19">
        <f>SUMIF('TDS Entries'!$B$5:$B$204,A117,'TDS Entries'!$I$5:$I$204)+SUMIF('TDS Entries'!$B$5:$B$204,A117,'TDS Entries'!$J$5:$J$204)</f>
      </c>
      <c r="I117" s="20">
        <f>IF(OR(A117="",H117=0),"",IF(ROUND(E117-H117,2)=0,"Matches","Check Entries"))</f>
      </c>
    </row>
    <row r="118" spans="1:9" x14ac:dyDescent="0.25">
      <c r="A118" s="14"/>
      <c r="B118" s="15"/>
      <c r="C118" s="15"/>
      <c r="D118" s="16"/>
      <c r="E118" s="17"/>
      <c r="F118" s="18"/>
      <c r="G118" s="18"/>
      <c r="H118" s="19">
        <f>SUMIF('TDS Entries'!$B$5:$B$204,A118,'TDS Entries'!$I$5:$I$204)+SUMIF('TDS Entries'!$B$5:$B$204,A118,'TDS Entries'!$J$5:$J$204)</f>
      </c>
      <c r="I118" s="20">
        <f>IF(OR(A118="",H118=0),"",IF(ROUND(E118-H118,2)=0,"Matches","Check Entries"))</f>
      </c>
    </row>
    <row r="119" spans="1:9" x14ac:dyDescent="0.25">
      <c r="A119" s="14"/>
      <c r="B119" s="15"/>
      <c r="C119" s="15"/>
      <c r="D119" s="16"/>
      <c r="E119" s="17"/>
      <c r="F119" s="18"/>
      <c r="G119" s="18"/>
      <c r="H119" s="19">
        <f>SUMIF('TDS Entries'!$B$5:$B$204,A119,'TDS Entries'!$I$5:$I$204)+SUMIF('TDS Entries'!$B$5:$B$204,A119,'TDS Entries'!$J$5:$J$204)</f>
      </c>
      <c r="I119" s="20">
        <f>IF(OR(A119="",H119=0),"",IF(ROUND(E119-H119,2)=0,"Matches","Check Entries"))</f>
      </c>
    </row>
    <row r="120" spans="1:9" x14ac:dyDescent="0.25">
      <c r="A120" s="14"/>
      <c r="B120" s="15"/>
      <c r="C120" s="15"/>
      <c r="D120" s="16"/>
      <c r="E120" s="17"/>
      <c r="F120" s="18"/>
      <c r="G120" s="18"/>
      <c r="H120" s="19">
        <f>SUMIF('TDS Entries'!$B$5:$B$204,A120,'TDS Entries'!$I$5:$I$204)+SUMIF('TDS Entries'!$B$5:$B$204,A120,'TDS Entries'!$J$5:$J$204)</f>
      </c>
      <c r="I120" s="20">
        <f>IF(OR(A120="",H120=0),"",IF(ROUND(E120-H120,2)=0,"Matches","Check Entries"))</f>
      </c>
    </row>
    <row r="121" spans="1:9" x14ac:dyDescent="0.25">
      <c r="A121" s="14"/>
      <c r="B121" s="15"/>
      <c r="C121" s="15"/>
      <c r="D121" s="16"/>
      <c r="E121" s="17"/>
      <c r="F121" s="18"/>
      <c r="G121" s="18"/>
      <c r="H121" s="19">
        <f>SUMIF('TDS Entries'!$B$5:$B$204,A121,'TDS Entries'!$I$5:$I$204)+SUMIF('TDS Entries'!$B$5:$B$204,A121,'TDS Entries'!$J$5:$J$204)</f>
      </c>
      <c r="I121" s="20">
        <f>IF(OR(A121="",H121=0),"",IF(ROUND(E121-H121,2)=0,"Matches","Check Entries"))</f>
      </c>
    </row>
    <row r="122" spans="1:9" x14ac:dyDescent="0.25">
      <c r="A122" s="14"/>
      <c r="B122" s="15"/>
      <c r="C122" s="15"/>
      <c r="D122" s="16"/>
      <c r="E122" s="17"/>
      <c r="F122" s="18"/>
      <c r="G122" s="18"/>
      <c r="H122" s="19">
        <f>SUMIF('TDS Entries'!$B$5:$B$204,A122,'TDS Entries'!$I$5:$I$204)+SUMIF('TDS Entries'!$B$5:$B$204,A122,'TDS Entries'!$J$5:$J$204)</f>
      </c>
      <c r="I122" s="20">
        <f>IF(OR(A122="",H122=0),"",IF(ROUND(E122-H122,2)=0,"Matches","Check Entries"))</f>
      </c>
    </row>
    <row r="123" spans="1:9" x14ac:dyDescent="0.25">
      <c r="A123" s="14"/>
      <c r="B123" s="15"/>
      <c r="C123" s="15"/>
      <c r="D123" s="16"/>
      <c r="E123" s="17"/>
      <c r="F123" s="18"/>
      <c r="G123" s="18"/>
      <c r="H123" s="19">
        <f>SUMIF('TDS Entries'!$B$5:$B$204,A123,'TDS Entries'!$I$5:$I$204)+SUMIF('TDS Entries'!$B$5:$B$204,A123,'TDS Entries'!$J$5:$J$204)</f>
      </c>
      <c r="I123" s="20">
        <f>IF(OR(A123="",H123=0),"",IF(ROUND(E123-H123,2)=0,"Matches","Check Entries"))</f>
      </c>
    </row>
    <row r="124" spans="1:9" x14ac:dyDescent="0.25">
      <c r="A124" s="14"/>
      <c r="B124" s="15"/>
      <c r="C124" s="15"/>
      <c r="D124" s="16"/>
      <c r="E124" s="17"/>
      <c r="F124" s="18"/>
      <c r="G124" s="18"/>
      <c r="H124" s="19">
        <f>SUMIF('TDS Entries'!$B$5:$B$204,A124,'TDS Entries'!$I$5:$I$204)+SUMIF('TDS Entries'!$B$5:$B$204,A124,'TDS Entries'!$J$5:$J$204)</f>
      </c>
      <c r="I124" s="20">
        <f>IF(OR(A124="",H124=0),"",IF(ROUND(E124-H124,2)=0,"Matches","Check Entries"))</f>
      </c>
    </row>
    <row r="125" spans="1:9" x14ac:dyDescent="0.25">
      <c r="A125" s="14"/>
      <c r="B125" s="15"/>
      <c r="C125" s="15"/>
      <c r="D125" s="16"/>
      <c r="E125" s="17"/>
      <c r="F125" s="18"/>
      <c r="G125" s="18"/>
      <c r="H125" s="19">
        <f>SUMIF('TDS Entries'!$B$5:$B$204,A125,'TDS Entries'!$I$5:$I$204)+SUMIF('TDS Entries'!$B$5:$B$204,A125,'TDS Entries'!$J$5:$J$204)</f>
      </c>
      <c r="I125" s="20">
        <f>IF(OR(A125="",H125=0),"",IF(ROUND(E125-H125,2)=0,"Matches","Check Entries"))</f>
      </c>
    </row>
    <row r="126" spans="1:9" x14ac:dyDescent="0.25">
      <c r="A126" s="14"/>
      <c r="B126" s="15"/>
      <c r="C126" s="15"/>
      <c r="D126" s="16"/>
      <c r="E126" s="17"/>
      <c r="F126" s="18"/>
      <c r="G126" s="18"/>
      <c r="H126" s="19">
        <f>SUMIF('TDS Entries'!$B$5:$B$204,A126,'TDS Entries'!$I$5:$I$204)+SUMIF('TDS Entries'!$B$5:$B$204,A126,'TDS Entries'!$J$5:$J$204)</f>
      </c>
      <c r="I126" s="20">
        <f>IF(OR(A126="",H126=0),"",IF(ROUND(E126-H126,2)=0,"Matches","Check Entries"))</f>
      </c>
    </row>
    <row r="127" spans="1:9" x14ac:dyDescent="0.25">
      <c r="A127" s="14"/>
      <c r="B127" s="15"/>
      <c r="C127" s="15"/>
      <c r="D127" s="16"/>
      <c r="E127" s="17"/>
      <c r="F127" s="18"/>
      <c r="G127" s="18"/>
      <c r="H127" s="19">
        <f>SUMIF('TDS Entries'!$B$5:$B$204,A127,'TDS Entries'!$I$5:$I$204)+SUMIF('TDS Entries'!$B$5:$B$204,A127,'TDS Entries'!$J$5:$J$204)</f>
      </c>
      <c r="I127" s="20">
        <f>IF(OR(A127="",H127=0),"",IF(ROUND(E127-H127,2)=0,"Matches","Check Entries"))</f>
      </c>
    </row>
    <row r="128" spans="1:9" x14ac:dyDescent="0.25">
      <c r="A128" s="14"/>
      <c r="B128" s="15"/>
      <c r="C128" s="15"/>
      <c r="D128" s="16"/>
      <c r="E128" s="17"/>
      <c r="F128" s="18"/>
      <c r="G128" s="18"/>
      <c r="H128" s="19">
        <f>SUMIF('TDS Entries'!$B$5:$B$204,A128,'TDS Entries'!$I$5:$I$204)+SUMIF('TDS Entries'!$B$5:$B$204,A128,'TDS Entries'!$J$5:$J$204)</f>
      </c>
      <c r="I128" s="20">
        <f>IF(OR(A128="",H128=0),"",IF(ROUND(E128-H128,2)=0,"Matches","Check Entries"))</f>
      </c>
    </row>
    <row r="129" spans="1:9" x14ac:dyDescent="0.25">
      <c r="A129" s="14"/>
      <c r="B129" s="15"/>
      <c r="C129" s="15"/>
      <c r="D129" s="16"/>
      <c r="E129" s="17"/>
      <c r="F129" s="18"/>
      <c r="G129" s="18"/>
      <c r="H129" s="19">
        <f>SUMIF('TDS Entries'!$B$5:$B$204,A129,'TDS Entries'!$I$5:$I$204)+SUMIF('TDS Entries'!$B$5:$B$204,A129,'TDS Entries'!$J$5:$J$204)</f>
      </c>
      <c r="I129" s="20">
        <f>IF(OR(A129="",H129=0),"",IF(ROUND(E129-H129,2)=0,"Matches","Check Entries"))</f>
      </c>
    </row>
    <row r="130" spans="1:9" x14ac:dyDescent="0.25">
      <c r="A130" s="14"/>
      <c r="B130" s="15"/>
      <c r="C130" s="15"/>
      <c r="D130" s="16"/>
      <c r="E130" s="17"/>
      <c r="F130" s="18"/>
      <c r="G130" s="18"/>
      <c r="H130" s="19">
        <f>SUMIF('TDS Entries'!$B$5:$B$204,A130,'TDS Entries'!$I$5:$I$204)+SUMIF('TDS Entries'!$B$5:$B$204,A130,'TDS Entries'!$J$5:$J$204)</f>
      </c>
      <c r="I130" s="20">
        <f>IF(OR(A130="",H130=0),"",IF(ROUND(E130-H130,2)=0,"Matches","Check Entries"))</f>
      </c>
    </row>
    <row r="131" spans="1:9" x14ac:dyDescent="0.25">
      <c r="A131" s="14"/>
      <c r="B131" s="15"/>
      <c r="C131" s="15"/>
      <c r="D131" s="16"/>
      <c r="E131" s="17"/>
      <c r="F131" s="18"/>
      <c r="G131" s="18"/>
      <c r="H131" s="19">
        <f>SUMIF('TDS Entries'!$B$5:$B$204,A131,'TDS Entries'!$I$5:$I$204)+SUMIF('TDS Entries'!$B$5:$B$204,A131,'TDS Entries'!$J$5:$J$204)</f>
      </c>
      <c r="I131" s="20">
        <f>IF(OR(A131="",H131=0),"",IF(ROUND(E131-H131,2)=0,"Matches","Check Entries"))</f>
      </c>
    </row>
    <row r="132" spans="1:9" x14ac:dyDescent="0.25">
      <c r="A132" s="14"/>
      <c r="B132" s="15"/>
      <c r="C132" s="15"/>
      <c r="D132" s="16"/>
      <c r="E132" s="17"/>
      <c r="F132" s="18"/>
      <c r="G132" s="18"/>
      <c r="H132" s="19">
        <f>SUMIF('TDS Entries'!$B$5:$B$204,A132,'TDS Entries'!$I$5:$I$204)+SUMIF('TDS Entries'!$B$5:$B$204,A132,'TDS Entries'!$J$5:$J$204)</f>
      </c>
      <c r="I132" s="20">
        <f>IF(OR(A132="",H132=0),"",IF(ROUND(E132-H132,2)=0,"Matches","Check Entries"))</f>
      </c>
    </row>
    <row r="133" spans="1:9" x14ac:dyDescent="0.25">
      <c r="A133" s="14"/>
      <c r="B133" s="15"/>
      <c r="C133" s="15"/>
      <c r="D133" s="16"/>
      <c r="E133" s="17"/>
      <c r="F133" s="18"/>
      <c r="G133" s="18"/>
      <c r="H133" s="19">
        <f>SUMIF('TDS Entries'!$B$5:$B$204,A133,'TDS Entries'!$I$5:$I$204)+SUMIF('TDS Entries'!$B$5:$B$204,A133,'TDS Entries'!$J$5:$J$204)</f>
      </c>
      <c r="I133" s="20">
        <f>IF(OR(A133="",H133=0),"",IF(ROUND(E133-H133,2)=0,"Matches","Check Entries"))</f>
      </c>
    </row>
    <row r="134" spans="1:9" x14ac:dyDescent="0.25">
      <c r="A134" s="14"/>
      <c r="B134" s="15"/>
      <c r="C134" s="15"/>
      <c r="D134" s="16"/>
      <c r="E134" s="17"/>
      <c r="F134" s="18"/>
      <c r="G134" s="18"/>
      <c r="H134" s="19">
        <f>SUMIF('TDS Entries'!$B$5:$B$204,A134,'TDS Entries'!$I$5:$I$204)+SUMIF('TDS Entries'!$B$5:$B$204,A134,'TDS Entries'!$J$5:$J$204)</f>
      </c>
      <c r="I134" s="20">
        <f>IF(OR(A134="",H134=0),"",IF(ROUND(E134-H134,2)=0,"Matches","Check Entries"))</f>
      </c>
    </row>
    <row r="135" spans="1:9" x14ac:dyDescent="0.25">
      <c r="A135" s="14"/>
      <c r="B135" s="15"/>
      <c r="C135" s="15"/>
      <c r="D135" s="16"/>
      <c r="E135" s="17"/>
      <c r="F135" s="18"/>
      <c r="G135" s="18"/>
      <c r="H135" s="19">
        <f>SUMIF('TDS Entries'!$B$5:$B$204,A135,'TDS Entries'!$I$5:$I$204)+SUMIF('TDS Entries'!$B$5:$B$204,A135,'TDS Entries'!$J$5:$J$204)</f>
      </c>
      <c r="I135" s="20">
        <f>IF(OR(A135="",H135=0),"",IF(ROUND(E135-H135,2)=0,"Matches","Check Entries"))</f>
      </c>
    </row>
    <row r="136" spans="1:9" x14ac:dyDescent="0.25">
      <c r="A136" s="14"/>
      <c r="B136" s="15"/>
      <c r="C136" s="15"/>
      <c r="D136" s="16"/>
      <c r="E136" s="17"/>
      <c r="F136" s="18"/>
      <c r="G136" s="18"/>
      <c r="H136" s="19">
        <f>SUMIF('TDS Entries'!$B$5:$B$204,A136,'TDS Entries'!$I$5:$I$204)+SUMIF('TDS Entries'!$B$5:$B$204,A136,'TDS Entries'!$J$5:$J$204)</f>
      </c>
      <c r="I136" s="20">
        <f>IF(OR(A136="",H136=0),"",IF(ROUND(E136-H136,2)=0,"Matches","Check Entries"))</f>
      </c>
    </row>
    <row r="137" spans="1:9" x14ac:dyDescent="0.25">
      <c r="A137" s="14"/>
      <c r="B137" s="15"/>
      <c r="C137" s="15"/>
      <c r="D137" s="16"/>
      <c r="E137" s="17"/>
      <c r="F137" s="18"/>
      <c r="G137" s="18"/>
      <c r="H137" s="19">
        <f>SUMIF('TDS Entries'!$B$5:$B$204,A137,'TDS Entries'!$I$5:$I$204)+SUMIF('TDS Entries'!$B$5:$B$204,A137,'TDS Entries'!$J$5:$J$204)</f>
      </c>
      <c r="I137" s="20">
        <f>IF(OR(A137="",H137=0),"",IF(ROUND(E137-H137,2)=0,"Matches","Check Entries"))</f>
      </c>
    </row>
    <row r="138" spans="1:9" x14ac:dyDescent="0.25">
      <c r="A138" s="14"/>
      <c r="B138" s="15"/>
      <c r="C138" s="15"/>
      <c r="D138" s="16"/>
      <c r="E138" s="17"/>
      <c r="F138" s="18"/>
      <c r="G138" s="18"/>
      <c r="H138" s="19">
        <f>SUMIF('TDS Entries'!$B$5:$B$204,A138,'TDS Entries'!$I$5:$I$204)+SUMIF('TDS Entries'!$B$5:$B$204,A138,'TDS Entries'!$J$5:$J$204)</f>
      </c>
      <c r="I138" s="20">
        <f>IF(OR(A138="",H138=0),"",IF(ROUND(E138-H138,2)=0,"Matches","Check Entries"))</f>
      </c>
    </row>
    <row r="139" spans="1:9" x14ac:dyDescent="0.25">
      <c r="A139" s="14"/>
      <c r="B139" s="15"/>
      <c r="C139" s="15"/>
      <c r="D139" s="16"/>
      <c r="E139" s="17"/>
      <c r="F139" s="18"/>
      <c r="G139" s="18"/>
      <c r="H139" s="19">
        <f>SUMIF('TDS Entries'!$B$5:$B$204,A139,'TDS Entries'!$I$5:$I$204)+SUMIF('TDS Entries'!$B$5:$B$204,A139,'TDS Entries'!$J$5:$J$204)</f>
      </c>
      <c r="I139" s="20">
        <f>IF(OR(A139="",H139=0),"",IF(ROUND(E139-H139,2)=0,"Matches","Check Entries"))</f>
      </c>
    </row>
    <row r="140" spans="1:9" x14ac:dyDescent="0.25">
      <c r="A140" s="14"/>
      <c r="B140" s="15"/>
      <c r="C140" s="15"/>
      <c r="D140" s="16"/>
      <c r="E140" s="17"/>
      <c r="F140" s="18"/>
      <c r="G140" s="18"/>
      <c r="H140" s="19">
        <f>SUMIF('TDS Entries'!$B$5:$B$204,A140,'TDS Entries'!$I$5:$I$204)+SUMIF('TDS Entries'!$B$5:$B$204,A140,'TDS Entries'!$J$5:$J$204)</f>
      </c>
      <c r="I140" s="20">
        <f>IF(OR(A140="",H140=0),"",IF(ROUND(E140-H140,2)=0,"Matches","Check Entries"))</f>
      </c>
    </row>
    <row r="141" spans="1:9" x14ac:dyDescent="0.25">
      <c r="A141" s="14"/>
      <c r="B141" s="15"/>
      <c r="C141" s="15"/>
      <c r="D141" s="16"/>
      <c r="E141" s="17"/>
      <c r="F141" s="18"/>
      <c r="G141" s="18"/>
      <c r="H141" s="19">
        <f>SUMIF('TDS Entries'!$B$5:$B$204,A141,'TDS Entries'!$I$5:$I$204)+SUMIF('TDS Entries'!$B$5:$B$204,A141,'TDS Entries'!$J$5:$J$204)</f>
      </c>
      <c r="I141" s="20">
        <f>IF(OR(A141="",H141=0),"",IF(ROUND(E141-H141,2)=0,"Matches","Check Entries"))</f>
      </c>
    </row>
    <row r="142" spans="1:9" x14ac:dyDescent="0.25">
      <c r="A142" s="14"/>
      <c r="B142" s="15"/>
      <c r="C142" s="15"/>
      <c r="D142" s="16"/>
      <c r="E142" s="17"/>
      <c r="F142" s="18"/>
      <c r="G142" s="18"/>
      <c r="H142" s="19">
        <f>SUMIF('TDS Entries'!$B$5:$B$204,A142,'TDS Entries'!$I$5:$I$204)+SUMIF('TDS Entries'!$B$5:$B$204,A142,'TDS Entries'!$J$5:$J$204)</f>
      </c>
      <c r="I142" s="20">
        <f>IF(OR(A142="",H142=0),"",IF(ROUND(E142-H142,2)=0,"Matches","Check Entries"))</f>
      </c>
    </row>
    <row r="143" spans="1:9" x14ac:dyDescent="0.25">
      <c r="A143" s="14"/>
      <c r="B143" s="15"/>
      <c r="C143" s="15"/>
      <c r="D143" s="16"/>
      <c r="E143" s="17"/>
      <c r="F143" s="18"/>
      <c r="G143" s="18"/>
      <c r="H143" s="19">
        <f>SUMIF('TDS Entries'!$B$5:$B$204,A143,'TDS Entries'!$I$5:$I$204)+SUMIF('TDS Entries'!$B$5:$B$204,A143,'TDS Entries'!$J$5:$J$204)</f>
      </c>
      <c r="I143" s="20">
        <f>IF(OR(A143="",H143=0),"",IF(ROUND(E143-H143,2)=0,"Matches","Check Entries"))</f>
      </c>
    </row>
    <row r="144" spans="1:9" x14ac:dyDescent="0.25">
      <c r="A144" s="14"/>
      <c r="B144" s="15"/>
      <c r="C144" s="15"/>
      <c r="D144" s="16"/>
      <c r="E144" s="17"/>
      <c r="F144" s="18"/>
      <c r="G144" s="18"/>
      <c r="H144" s="19">
        <f>SUMIF('TDS Entries'!$B$5:$B$204,A144,'TDS Entries'!$I$5:$I$204)+SUMIF('TDS Entries'!$B$5:$B$204,A144,'TDS Entries'!$J$5:$J$204)</f>
      </c>
      <c r="I144" s="20">
        <f>IF(OR(A144="",H144=0),"",IF(ROUND(E144-H144,2)=0,"Matches","Check Entries"))</f>
      </c>
    </row>
    <row r="145" spans="1:9" x14ac:dyDescent="0.25">
      <c r="A145" s="14"/>
      <c r="B145" s="15"/>
      <c r="C145" s="15"/>
      <c r="D145" s="16"/>
      <c r="E145" s="17"/>
      <c r="F145" s="18"/>
      <c r="G145" s="18"/>
      <c r="H145" s="19">
        <f>SUMIF('TDS Entries'!$B$5:$B$204,A145,'TDS Entries'!$I$5:$I$204)+SUMIF('TDS Entries'!$B$5:$B$204,A145,'TDS Entries'!$J$5:$J$204)</f>
      </c>
      <c r="I145" s="20">
        <f>IF(OR(A145="",H145=0),"",IF(ROUND(E145-H145,2)=0,"Matches","Check Entries"))</f>
      </c>
    </row>
    <row r="146" spans="1:9" x14ac:dyDescent="0.25">
      <c r="A146" s="14"/>
      <c r="B146" s="15"/>
      <c r="C146" s="15"/>
      <c r="D146" s="16"/>
      <c r="E146" s="17"/>
      <c r="F146" s="18"/>
      <c r="G146" s="18"/>
      <c r="H146" s="19">
        <f>SUMIF('TDS Entries'!$B$5:$B$204,A146,'TDS Entries'!$I$5:$I$204)+SUMIF('TDS Entries'!$B$5:$B$204,A146,'TDS Entries'!$J$5:$J$204)</f>
      </c>
      <c r="I146" s="20">
        <f>IF(OR(A146="",H146=0),"",IF(ROUND(E146-H146,2)=0,"Matches","Check Entries"))</f>
      </c>
    </row>
    <row r="147" spans="1:9" x14ac:dyDescent="0.25">
      <c r="A147" s="14"/>
      <c r="B147" s="15"/>
      <c r="C147" s="15"/>
      <c r="D147" s="16"/>
      <c r="E147" s="17"/>
      <c r="F147" s="18"/>
      <c r="G147" s="18"/>
      <c r="H147" s="19">
        <f>SUMIF('TDS Entries'!$B$5:$B$204,A147,'TDS Entries'!$I$5:$I$204)+SUMIF('TDS Entries'!$B$5:$B$204,A147,'TDS Entries'!$J$5:$J$204)</f>
      </c>
      <c r="I147" s="20">
        <f>IF(OR(A147="",H147=0),"",IF(ROUND(E147-H147,2)=0,"Matches","Check Entries"))</f>
      </c>
    </row>
    <row r="148" spans="1:9" x14ac:dyDescent="0.25">
      <c r="A148" s="14"/>
      <c r="B148" s="15"/>
      <c r="C148" s="15"/>
      <c r="D148" s="16"/>
      <c r="E148" s="17"/>
      <c r="F148" s="18"/>
      <c r="G148" s="18"/>
      <c r="H148" s="19">
        <f>SUMIF('TDS Entries'!$B$5:$B$204,A148,'TDS Entries'!$I$5:$I$204)+SUMIF('TDS Entries'!$B$5:$B$204,A148,'TDS Entries'!$J$5:$J$204)</f>
      </c>
      <c r="I148" s="20">
        <f>IF(OR(A148="",H148=0),"",IF(ROUND(E148-H148,2)=0,"Matches","Check Entries"))</f>
      </c>
    </row>
    <row r="149" spans="1:9" x14ac:dyDescent="0.25">
      <c r="A149" s="14"/>
      <c r="B149" s="15"/>
      <c r="C149" s="15"/>
      <c r="D149" s="16"/>
      <c r="E149" s="17"/>
      <c r="F149" s="18"/>
      <c r="G149" s="18"/>
      <c r="H149" s="19">
        <f>SUMIF('TDS Entries'!$B$5:$B$204,A149,'TDS Entries'!$I$5:$I$204)+SUMIF('TDS Entries'!$B$5:$B$204,A149,'TDS Entries'!$J$5:$J$204)</f>
      </c>
      <c r="I149" s="20">
        <f>IF(OR(A149="",H149=0),"",IF(ROUND(E149-H149,2)=0,"Matches","Check Entries"))</f>
      </c>
    </row>
    <row r="150" spans="1:9" x14ac:dyDescent="0.25">
      <c r="A150" s="14"/>
      <c r="B150" s="15"/>
      <c r="C150" s="15"/>
      <c r="D150" s="16"/>
      <c r="E150" s="17"/>
      <c r="F150" s="18"/>
      <c r="G150" s="18"/>
      <c r="H150" s="19">
        <f>SUMIF('TDS Entries'!$B$5:$B$204,A150,'TDS Entries'!$I$5:$I$204)+SUMIF('TDS Entries'!$B$5:$B$204,A150,'TDS Entries'!$J$5:$J$204)</f>
      </c>
      <c r="I150" s="20">
        <f>IF(OR(A150="",H150=0),"",IF(ROUND(E150-H150,2)=0,"Matches","Check Entries"))</f>
      </c>
    </row>
    <row r="151" spans="1:9" x14ac:dyDescent="0.25">
      <c r="A151" s="14"/>
      <c r="B151" s="15"/>
      <c r="C151" s="15"/>
      <c r="D151" s="16"/>
      <c r="E151" s="17"/>
      <c r="F151" s="18"/>
      <c r="G151" s="18"/>
      <c r="H151" s="19">
        <f>SUMIF('TDS Entries'!$B$5:$B$204,A151,'TDS Entries'!$I$5:$I$204)+SUMIF('TDS Entries'!$B$5:$B$204,A151,'TDS Entries'!$J$5:$J$204)</f>
      </c>
      <c r="I151" s="20">
        <f>IF(OR(A151="",H151=0),"",IF(ROUND(E151-H151,2)=0,"Matches","Check Entries"))</f>
      </c>
    </row>
    <row r="152" spans="1:9" x14ac:dyDescent="0.25">
      <c r="A152" s="14"/>
      <c r="B152" s="15"/>
      <c r="C152" s="15"/>
      <c r="D152" s="16"/>
      <c r="E152" s="17"/>
      <c r="F152" s="18"/>
      <c r="G152" s="18"/>
      <c r="H152" s="19">
        <f>SUMIF('TDS Entries'!$B$5:$B$204,A152,'TDS Entries'!$I$5:$I$204)+SUMIF('TDS Entries'!$B$5:$B$204,A152,'TDS Entries'!$J$5:$J$204)</f>
      </c>
      <c r="I152" s="20">
        <f>IF(OR(A152="",H152=0),"",IF(ROUND(E152-H152,2)=0,"Matches","Check Entries"))</f>
      </c>
    </row>
    <row r="153" spans="1:9" x14ac:dyDescent="0.25">
      <c r="A153" s="14"/>
      <c r="B153" s="15"/>
      <c r="C153" s="15"/>
      <c r="D153" s="16"/>
      <c r="E153" s="17"/>
      <c r="F153" s="18"/>
      <c r="G153" s="18"/>
      <c r="H153" s="19">
        <f>SUMIF('TDS Entries'!$B$5:$B$204,A153,'TDS Entries'!$I$5:$I$204)+SUMIF('TDS Entries'!$B$5:$B$204,A153,'TDS Entries'!$J$5:$J$204)</f>
      </c>
      <c r="I153" s="20">
        <f>IF(OR(A153="",H153=0),"",IF(ROUND(E153-H153,2)=0,"Matches","Check Entries"))</f>
      </c>
    </row>
    <row r="154" spans="1:9" x14ac:dyDescent="0.25">
      <c r="A154" s="14"/>
      <c r="B154" s="15"/>
      <c r="C154" s="15"/>
      <c r="D154" s="16"/>
      <c r="E154" s="17"/>
      <c r="F154" s="18"/>
      <c r="G154" s="18"/>
      <c r="H154" s="19">
        <f>SUMIF('TDS Entries'!$B$5:$B$204,A154,'TDS Entries'!$I$5:$I$204)+SUMIF('TDS Entries'!$B$5:$B$204,A154,'TDS Entries'!$J$5:$J$204)</f>
      </c>
      <c r="I154" s="20">
        <f>IF(OR(A154="",H154=0),"",IF(ROUND(E154-H154,2)=0,"Matches","Check Entries"))</f>
      </c>
    </row>
    <row r="155" spans="1:9" x14ac:dyDescent="0.25">
      <c r="A155" s="14"/>
      <c r="B155" s="15"/>
      <c r="C155" s="15"/>
      <c r="D155" s="16"/>
      <c r="E155" s="17"/>
      <c r="F155" s="18"/>
      <c r="G155" s="18"/>
      <c r="H155" s="19">
        <f>SUMIF('TDS Entries'!$B$5:$B$204,A155,'TDS Entries'!$I$5:$I$204)+SUMIF('TDS Entries'!$B$5:$B$204,A155,'TDS Entries'!$J$5:$J$204)</f>
      </c>
      <c r="I155" s="20">
        <f>IF(OR(A155="",H155=0),"",IF(ROUND(E155-H155,2)=0,"Matches","Check Entries"))</f>
      </c>
    </row>
    <row r="156" spans="1:9" x14ac:dyDescent="0.25">
      <c r="A156" s="14"/>
      <c r="B156" s="15"/>
      <c r="C156" s="15"/>
      <c r="D156" s="16"/>
      <c r="E156" s="17"/>
      <c r="F156" s="18"/>
      <c r="G156" s="18"/>
      <c r="H156" s="19">
        <f>SUMIF('TDS Entries'!$B$5:$B$204,A156,'TDS Entries'!$I$5:$I$204)+SUMIF('TDS Entries'!$B$5:$B$204,A156,'TDS Entries'!$J$5:$J$204)</f>
      </c>
      <c r="I156" s="20">
        <f>IF(OR(A156="",H156=0),"",IF(ROUND(E156-H156,2)=0,"Matches","Check Entries"))</f>
      </c>
    </row>
    <row r="157" spans="1:9" x14ac:dyDescent="0.25">
      <c r="A157" s="14"/>
      <c r="B157" s="15"/>
      <c r="C157" s="15"/>
      <c r="D157" s="16"/>
      <c r="E157" s="17"/>
      <c r="F157" s="18"/>
      <c r="G157" s="18"/>
      <c r="H157" s="19">
        <f>SUMIF('TDS Entries'!$B$5:$B$204,A157,'TDS Entries'!$I$5:$I$204)+SUMIF('TDS Entries'!$B$5:$B$204,A157,'TDS Entries'!$J$5:$J$204)</f>
      </c>
      <c r="I157" s="20">
        <f>IF(OR(A157="",H157=0),"",IF(ROUND(E157-H157,2)=0,"Matches","Check Entries"))</f>
      </c>
    </row>
    <row r="158" spans="1:9" x14ac:dyDescent="0.25">
      <c r="A158" s="14"/>
      <c r="B158" s="15"/>
      <c r="C158" s="15"/>
      <c r="D158" s="16"/>
      <c r="E158" s="17"/>
      <c r="F158" s="18"/>
      <c r="G158" s="18"/>
      <c r="H158" s="19">
        <f>SUMIF('TDS Entries'!$B$5:$B$204,A158,'TDS Entries'!$I$5:$I$204)+SUMIF('TDS Entries'!$B$5:$B$204,A158,'TDS Entries'!$J$5:$J$204)</f>
      </c>
      <c r="I158" s="20">
        <f>IF(OR(A158="",H158=0),"",IF(ROUND(E158-H158,2)=0,"Matches","Check Entries"))</f>
      </c>
    </row>
    <row r="159" spans="1:9" x14ac:dyDescent="0.25">
      <c r="A159" s="14"/>
      <c r="B159" s="15"/>
      <c r="C159" s="15"/>
      <c r="D159" s="16"/>
      <c r="E159" s="17"/>
      <c r="F159" s="18"/>
      <c r="G159" s="18"/>
      <c r="H159" s="19">
        <f>SUMIF('TDS Entries'!$B$5:$B$204,A159,'TDS Entries'!$I$5:$I$204)+SUMIF('TDS Entries'!$B$5:$B$204,A159,'TDS Entries'!$J$5:$J$204)</f>
      </c>
      <c r="I159" s="20">
        <f>IF(OR(A159="",H159=0),"",IF(ROUND(E159-H159,2)=0,"Matches","Check Entries"))</f>
      </c>
    </row>
    <row r="160" spans="1:9" x14ac:dyDescent="0.25">
      <c r="A160" s="14"/>
      <c r="B160" s="15"/>
      <c r="C160" s="15"/>
      <c r="D160" s="16"/>
      <c r="E160" s="17"/>
      <c r="F160" s="18"/>
      <c r="G160" s="18"/>
      <c r="H160" s="19">
        <f>SUMIF('TDS Entries'!$B$5:$B$204,A160,'TDS Entries'!$I$5:$I$204)+SUMIF('TDS Entries'!$B$5:$B$204,A160,'TDS Entries'!$J$5:$J$204)</f>
      </c>
      <c r="I160" s="20">
        <f>IF(OR(A160="",H160=0),"",IF(ROUND(E160-H160,2)=0,"Matches","Check Entries"))</f>
      </c>
    </row>
    <row r="161" spans="1:9" x14ac:dyDescent="0.25">
      <c r="A161" s="14"/>
      <c r="B161" s="15"/>
      <c r="C161" s="15"/>
      <c r="D161" s="16"/>
      <c r="E161" s="17"/>
      <c r="F161" s="18"/>
      <c r="G161" s="18"/>
      <c r="H161" s="19">
        <f>SUMIF('TDS Entries'!$B$5:$B$204,A161,'TDS Entries'!$I$5:$I$204)+SUMIF('TDS Entries'!$B$5:$B$204,A161,'TDS Entries'!$J$5:$J$204)</f>
      </c>
      <c r="I161" s="20">
        <f>IF(OR(A161="",H161=0),"",IF(ROUND(E161-H161,2)=0,"Matches","Check Entries"))</f>
      </c>
    </row>
    <row r="162" spans="1:9" x14ac:dyDescent="0.25">
      <c r="A162" s="14"/>
      <c r="B162" s="15"/>
      <c r="C162" s="15"/>
      <c r="D162" s="16"/>
      <c r="E162" s="17"/>
      <c r="F162" s="18"/>
      <c r="G162" s="18"/>
      <c r="H162" s="19">
        <f>SUMIF('TDS Entries'!$B$5:$B$204,A162,'TDS Entries'!$I$5:$I$204)+SUMIF('TDS Entries'!$B$5:$B$204,A162,'TDS Entries'!$J$5:$J$204)</f>
      </c>
      <c r="I162" s="20">
        <f>IF(OR(A162="",H162=0),"",IF(ROUND(E162-H162,2)=0,"Matches","Check Entries"))</f>
      </c>
    </row>
    <row r="163" spans="1:9" x14ac:dyDescent="0.25">
      <c r="A163" s="14"/>
      <c r="B163" s="15"/>
      <c r="C163" s="15"/>
      <c r="D163" s="16"/>
      <c r="E163" s="17"/>
      <c r="F163" s="18"/>
      <c r="G163" s="18"/>
      <c r="H163" s="19">
        <f>SUMIF('TDS Entries'!$B$5:$B$204,A163,'TDS Entries'!$I$5:$I$204)+SUMIF('TDS Entries'!$B$5:$B$204,A163,'TDS Entries'!$J$5:$J$204)</f>
      </c>
      <c r="I163" s="20">
        <f>IF(OR(A163="",H163=0),"",IF(ROUND(E163-H163,2)=0,"Matches","Check Entries"))</f>
      </c>
    </row>
    <row r="164" spans="1:9" x14ac:dyDescent="0.25">
      <c r="A164" s="14"/>
      <c r="B164" s="15"/>
      <c r="C164" s="15"/>
      <c r="D164" s="16"/>
      <c r="E164" s="17"/>
      <c r="F164" s="18"/>
      <c r="G164" s="18"/>
      <c r="H164" s="19">
        <f>SUMIF('TDS Entries'!$B$5:$B$204,A164,'TDS Entries'!$I$5:$I$204)+SUMIF('TDS Entries'!$B$5:$B$204,A164,'TDS Entries'!$J$5:$J$204)</f>
      </c>
      <c r="I164" s="20">
        <f>IF(OR(A164="",H164=0),"",IF(ROUND(E164-H164,2)=0,"Matches","Check Entries"))</f>
      </c>
    </row>
    <row r="165" spans="1:9" x14ac:dyDescent="0.25">
      <c r="A165" s="14"/>
      <c r="B165" s="15"/>
      <c r="C165" s="15"/>
      <c r="D165" s="16"/>
      <c r="E165" s="17"/>
      <c r="F165" s="18"/>
      <c r="G165" s="18"/>
      <c r="H165" s="19">
        <f>SUMIF('TDS Entries'!$B$5:$B$204,A165,'TDS Entries'!$I$5:$I$204)+SUMIF('TDS Entries'!$B$5:$B$204,A165,'TDS Entries'!$J$5:$J$204)</f>
      </c>
      <c r="I165" s="20">
        <f>IF(OR(A165="",H165=0),"",IF(ROUND(E165-H165,2)=0,"Matches","Check Entries"))</f>
      </c>
    </row>
    <row r="166" spans="1:9" x14ac:dyDescent="0.25">
      <c r="A166" s="14"/>
      <c r="B166" s="15"/>
      <c r="C166" s="15"/>
      <c r="D166" s="16"/>
      <c r="E166" s="17"/>
      <c r="F166" s="18"/>
      <c r="G166" s="18"/>
      <c r="H166" s="19">
        <f>SUMIF('TDS Entries'!$B$5:$B$204,A166,'TDS Entries'!$I$5:$I$204)+SUMIF('TDS Entries'!$B$5:$B$204,A166,'TDS Entries'!$J$5:$J$204)</f>
      </c>
      <c r="I166" s="20">
        <f>IF(OR(A166="",H166=0),"",IF(ROUND(E166-H166,2)=0,"Matches","Check Entries"))</f>
      </c>
    </row>
    <row r="167" spans="1:9" x14ac:dyDescent="0.25">
      <c r="A167" s="14"/>
      <c r="B167" s="15"/>
      <c r="C167" s="15"/>
      <c r="D167" s="16"/>
      <c r="E167" s="17"/>
      <c r="F167" s="18"/>
      <c r="G167" s="18"/>
      <c r="H167" s="19">
        <f>SUMIF('TDS Entries'!$B$5:$B$204,A167,'TDS Entries'!$I$5:$I$204)+SUMIF('TDS Entries'!$B$5:$B$204,A167,'TDS Entries'!$J$5:$J$204)</f>
      </c>
      <c r="I167" s="20">
        <f>IF(OR(A167="",H167=0),"",IF(ROUND(E167-H167,2)=0,"Matches","Check Entries"))</f>
      </c>
    </row>
    <row r="168" spans="1:9" x14ac:dyDescent="0.25">
      <c r="A168" s="14"/>
      <c r="B168" s="15"/>
      <c r="C168" s="15"/>
      <c r="D168" s="16"/>
      <c r="E168" s="17"/>
      <c r="F168" s="18"/>
      <c r="G168" s="18"/>
      <c r="H168" s="19">
        <f>SUMIF('TDS Entries'!$B$5:$B$204,A168,'TDS Entries'!$I$5:$I$204)+SUMIF('TDS Entries'!$B$5:$B$204,A168,'TDS Entries'!$J$5:$J$204)</f>
      </c>
      <c r="I168" s="20">
        <f>IF(OR(A168="",H168=0),"",IF(ROUND(E168-H168,2)=0,"Matches","Check Entries"))</f>
      </c>
    </row>
    <row r="169" spans="1:9" x14ac:dyDescent="0.25">
      <c r="A169" s="14"/>
      <c r="B169" s="15"/>
      <c r="C169" s="15"/>
      <c r="D169" s="16"/>
      <c r="E169" s="17"/>
      <c r="F169" s="18"/>
      <c r="G169" s="18"/>
      <c r="H169" s="19">
        <f>SUMIF('TDS Entries'!$B$5:$B$204,A169,'TDS Entries'!$I$5:$I$204)+SUMIF('TDS Entries'!$B$5:$B$204,A169,'TDS Entries'!$J$5:$J$204)</f>
      </c>
      <c r="I169" s="20">
        <f>IF(OR(A169="",H169=0),"",IF(ROUND(E169-H169,2)=0,"Matches","Check Entries"))</f>
      </c>
    </row>
    <row r="170" spans="1:9" x14ac:dyDescent="0.25">
      <c r="A170" s="14"/>
      <c r="B170" s="15"/>
      <c r="C170" s="15"/>
      <c r="D170" s="16"/>
      <c r="E170" s="17"/>
      <c r="F170" s="18"/>
      <c r="G170" s="18"/>
      <c r="H170" s="19">
        <f>SUMIF('TDS Entries'!$B$5:$B$204,A170,'TDS Entries'!$I$5:$I$204)+SUMIF('TDS Entries'!$B$5:$B$204,A170,'TDS Entries'!$J$5:$J$204)</f>
      </c>
      <c r="I170" s="20">
        <f>IF(OR(A170="",H170=0),"",IF(ROUND(E170-H170,2)=0,"Matches","Check Entries"))</f>
      </c>
    </row>
    <row r="171" spans="1:9" x14ac:dyDescent="0.25">
      <c r="A171" s="14"/>
      <c r="B171" s="15"/>
      <c r="C171" s="15"/>
      <c r="D171" s="16"/>
      <c r="E171" s="17"/>
      <c r="F171" s="18"/>
      <c r="G171" s="18"/>
      <c r="H171" s="19">
        <f>SUMIF('TDS Entries'!$B$5:$B$204,A171,'TDS Entries'!$I$5:$I$204)+SUMIF('TDS Entries'!$B$5:$B$204,A171,'TDS Entries'!$J$5:$J$204)</f>
      </c>
      <c r="I171" s="20">
        <f>IF(OR(A171="",H171=0),"",IF(ROUND(E171-H171,2)=0,"Matches","Check Entries"))</f>
      </c>
    </row>
    <row r="172" spans="1:9" x14ac:dyDescent="0.25">
      <c r="A172" s="14"/>
      <c r="B172" s="15"/>
      <c r="C172" s="15"/>
      <c r="D172" s="16"/>
      <c r="E172" s="17"/>
      <c r="F172" s="18"/>
      <c r="G172" s="18"/>
      <c r="H172" s="19">
        <f>SUMIF('TDS Entries'!$B$5:$B$204,A172,'TDS Entries'!$I$5:$I$204)+SUMIF('TDS Entries'!$B$5:$B$204,A172,'TDS Entries'!$J$5:$J$204)</f>
      </c>
      <c r="I172" s="20">
        <f>IF(OR(A172="",H172=0),"",IF(ROUND(E172-H172,2)=0,"Matches","Check Entries"))</f>
      </c>
    </row>
    <row r="173" spans="1:9" x14ac:dyDescent="0.25">
      <c r="A173" s="14"/>
      <c r="B173" s="15"/>
      <c r="C173" s="15"/>
      <c r="D173" s="16"/>
      <c r="E173" s="17"/>
      <c r="F173" s="18"/>
      <c r="G173" s="18"/>
      <c r="H173" s="19">
        <f>SUMIF('TDS Entries'!$B$5:$B$204,A173,'TDS Entries'!$I$5:$I$204)+SUMIF('TDS Entries'!$B$5:$B$204,A173,'TDS Entries'!$J$5:$J$204)</f>
      </c>
      <c r="I173" s="20">
        <f>IF(OR(A173="",H173=0),"",IF(ROUND(E173-H173,2)=0,"Matches","Check Entries"))</f>
      </c>
    </row>
    <row r="174" spans="1:9" x14ac:dyDescent="0.25">
      <c r="A174" s="14"/>
      <c r="B174" s="15"/>
      <c r="C174" s="15"/>
      <c r="D174" s="16"/>
      <c r="E174" s="17"/>
      <c r="F174" s="18"/>
      <c r="G174" s="18"/>
      <c r="H174" s="19">
        <f>SUMIF('TDS Entries'!$B$5:$B$204,A174,'TDS Entries'!$I$5:$I$204)+SUMIF('TDS Entries'!$B$5:$B$204,A174,'TDS Entries'!$J$5:$J$204)</f>
      </c>
      <c r="I174" s="20">
        <f>IF(OR(A174="",H174=0),"",IF(ROUND(E174-H174,2)=0,"Matches","Check Entries"))</f>
      </c>
    </row>
    <row r="175" spans="1:9" x14ac:dyDescent="0.25">
      <c r="A175" s="14"/>
      <c r="B175" s="15"/>
      <c r="C175" s="15"/>
      <c r="D175" s="16"/>
      <c r="E175" s="17"/>
      <c r="F175" s="18"/>
      <c r="G175" s="18"/>
      <c r="H175" s="19">
        <f>SUMIF('TDS Entries'!$B$5:$B$204,A175,'TDS Entries'!$I$5:$I$204)+SUMIF('TDS Entries'!$B$5:$B$204,A175,'TDS Entries'!$J$5:$J$204)</f>
      </c>
      <c r="I175" s="20">
        <f>IF(OR(A175="",H175=0),"",IF(ROUND(E175-H175,2)=0,"Matches","Check Entries"))</f>
      </c>
    </row>
    <row r="176" spans="1:9" x14ac:dyDescent="0.25">
      <c r="A176" s="14"/>
      <c r="B176" s="15"/>
      <c r="C176" s="15"/>
      <c r="D176" s="16"/>
      <c r="E176" s="17"/>
      <c r="F176" s="18"/>
      <c r="G176" s="18"/>
      <c r="H176" s="19">
        <f>SUMIF('TDS Entries'!$B$5:$B$204,A176,'TDS Entries'!$I$5:$I$204)+SUMIF('TDS Entries'!$B$5:$B$204,A176,'TDS Entries'!$J$5:$J$204)</f>
      </c>
      <c r="I176" s="20">
        <f>IF(OR(A176="",H176=0),"",IF(ROUND(E176-H176,2)=0,"Matches","Check Entries"))</f>
      </c>
    </row>
    <row r="177" spans="1:9" x14ac:dyDescent="0.25">
      <c r="A177" s="14"/>
      <c r="B177" s="15"/>
      <c r="C177" s="15"/>
      <c r="D177" s="16"/>
      <c r="E177" s="17"/>
      <c r="F177" s="18"/>
      <c r="G177" s="18"/>
      <c r="H177" s="19">
        <f>SUMIF('TDS Entries'!$B$5:$B$204,A177,'TDS Entries'!$I$5:$I$204)+SUMIF('TDS Entries'!$B$5:$B$204,A177,'TDS Entries'!$J$5:$J$204)</f>
      </c>
      <c r="I177" s="20">
        <f>IF(OR(A177="",H177=0),"",IF(ROUND(E177-H177,2)=0,"Matches","Check Entries"))</f>
      </c>
    </row>
    <row r="178" spans="1:9" x14ac:dyDescent="0.25">
      <c r="A178" s="14"/>
      <c r="B178" s="15"/>
      <c r="C178" s="15"/>
      <c r="D178" s="16"/>
      <c r="E178" s="17"/>
      <c r="F178" s="18"/>
      <c r="G178" s="18"/>
      <c r="H178" s="19">
        <f>SUMIF('TDS Entries'!$B$5:$B$204,A178,'TDS Entries'!$I$5:$I$204)+SUMIF('TDS Entries'!$B$5:$B$204,A178,'TDS Entries'!$J$5:$J$204)</f>
      </c>
      <c r="I178" s="20">
        <f>IF(OR(A178="",H178=0),"",IF(ROUND(E178-H178,2)=0,"Matches","Check Entries"))</f>
      </c>
    </row>
    <row r="179" spans="1:9" x14ac:dyDescent="0.25">
      <c r="A179" s="14"/>
      <c r="B179" s="15"/>
      <c r="C179" s="15"/>
      <c r="D179" s="16"/>
      <c r="E179" s="17"/>
      <c r="F179" s="18"/>
      <c r="G179" s="18"/>
      <c r="H179" s="19">
        <f>SUMIF('TDS Entries'!$B$5:$B$204,A179,'TDS Entries'!$I$5:$I$204)+SUMIF('TDS Entries'!$B$5:$B$204,A179,'TDS Entries'!$J$5:$J$204)</f>
      </c>
      <c r="I179" s="20">
        <f>IF(OR(A179="",H179=0),"",IF(ROUND(E179-H179,2)=0,"Matches","Check Entries"))</f>
      </c>
    </row>
    <row r="180" spans="1:9" x14ac:dyDescent="0.25">
      <c r="A180" s="14"/>
      <c r="B180" s="15"/>
      <c r="C180" s="15"/>
      <c r="D180" s="16"/>
      <c r="E180" s="17"/>
      <c r="F180" s="18"/>
      <c r="G180" s="18"/>
      <c r="H180" s="19">
        <f>SUMIF('TDS Entries'!$B$5:$B$204,A180,'TDS Entries'!$I$5:$I$204)+SUMIF('TDS Entries'!$B$5:$B$204,A180,'TDS Entries'!$J$5:$J$204)</f>
      </c>
      <c r="I180" s="20">
        <f>IF(OR(A180="",H180=0),"",IF(ROUND(E180-H180,2)=0,"Matches","Check Entries"))</f>
      </c>
    </row>
    <row r="181" spans="1:9" x14ac:dyDescent="0.25">
      <c r="A181" s="14"/>
      <c r="B181" s="15"/>
      <c r="C181" s="15"/>
      <c r="D181" s="16"/>
      <c r="E181" s="17"/>
      <c r="F181" s="18"/>
      <c r="G181" s="18"/>
      <c r="H181" s="19">
        <f>SUMIF('TDS Entries'!$B$5:$B$204,A181,'TDS Entries'!$I$5:$I$204)+SUMIF('TDS Entries'!$B$5:$B$204,A181,'TDS Entries'!$J$5:$J$204)</f>
      </c>
      <c r="I181" s="20">
        <f>IF(OR(A181="",H181=0),"",IF(ROUND(E181-H181,2)=0,"Matches","Check Entries"))</f>
      </c>
    </row>
    <row r="182" spans="1:9" x14ac:dyDescent="0.25">
      <c r="A182" s="14"/>
      <c r="B182" s="15"/>
      <c r="C182" s="15"/>
      <c r="D182" s="16"/>
      <c r="E182" s="17"/>
      <c r="F182" s="18"/>
      <c r="G182" s="18"/>
      <c r="H182" s="19">
        <f>SUMIF('TDS Entries'!$B$5:$B$204,A182,'TDS Entries'!$I$5:$I$204)+SUMIF('TDS Entries'!$B$5:$B$204,A182,'TDS Entries'!$J$5:$J$204)</f>
      </c>
      <c r="I182" s="20">
        <f>IF(OR(A182="",H182=0),"",IF(ROUND(E182-H182,2)=0,"Matches","Check Entries"))</f>
      </c>
    </row>
    <row r="183" spans="1:9" x14ac:dyDescent="0.25">
      <c r="A183" s="14"/>
      <c r="B183" s="15"/>
      <c r="C183" s="15"/>
      <c r="D183" s="16"/>
      <c r="E183" s="17"/>
      <c r="F183" s="18"/>
      <c r="G183" s="18"/>
      <c r="H183" s="19">
        <f>SUMIF('TDS Entries'!$B$5:$B$204,A183,'TDS Entries'!$I$5:$I$204)+SUMIF('TDS Entries'!$B$5:$B$204,A183,'TDS Entries'!$J$5:$J$204)</f>
      </c>
      <c r="I183" s="20">
        <f>IF(OR(A183="",H183=0),"",IF(ROUND(E183-H183,2)=0,"Matches","Check Entries"))</f>
      </c>
    </row>
    <row r="184" spans="1:9" x14ac:dyDescent="0.25">
      <c r="A184" s="14"/>
      <c r="B184" s="15"/>
      <c r="C184" s="15"/>
      <c r="D184" s="16"/>
      <c r="E184" s="17"/>
      <c r="F184" s="18"/>
      <c r="G184" s="18"/>
      <c r="H184" s="19">
        <f>SUMIF('TDS Entries'!$B$5:$B$204,A184,'TDS Entries'!$I$5:$I$204)+SUMIF('TDS Entries'!$B$5:$B$204,A184,'TDS Entries'!$J$5:$J$204)</f>
      </c>
      <c r="I184" s="20">
        <f>IF(OR(A184="",H184=0),"",IF(ROUND(E184-H184,2)=0,"Matches","Check Entries"))</f>
      </c>
    </row>
    <row r="185" spans="1:9" x14ac:dyDescent="0.25">
      <c r="A185" s="14"/>
      <c r="B185" s="15"/>
      <c r="C185" s="15"/>
      <c r="D185" s="16"/>
      <c r="E185" s="17"/>
      <c r="F185" s="18"/>
      <c r="G185" s="18"/>
      <c r="H185" s="19">
        <f>SUMIF('TDS Entries'!$B$5:$B$204,A185,'TDS Entries'!$I$5:$I$204)+SUMIF('TDS Entries'!$B$5:$B$204,A185,'TDS Entries'!$J$5:$J$204)</f>
      </c>
      <c r="I185" s="20">
        <f>IF(OR(A185="",H185=0),"",IF(ROUND(E185-H185,2)=0,"Matches","Check Entries"))</f>
      </c>
    </row>
    <row r="186" spans="1:9" x14ac:dyDescent="0.25">
      <c r="A186" s="14"/>
      <c r="B186" s="15"/>
      <c r="C186" s="15"/>
      <c r="D186" s="16"/>
      <c r="E186" s="17"/>
      <c r="F186" s="18"/>
      <c r="G186" s="18"/>
      <c r="H186" s="19">
        <f>SUMIF('TDS Entries'!$B$5:$B$204,A186,'TDS Entries'!$I$5:$I$204)+SUMIF('TDS Entries'!$B$5:$B$204,A186,'TDS Entries'!$J$5:$J$204)</f>
      </c>
      <c r="I186" s="20">
        <f>IF(OR(A186="",H186=0),"",IF(ROUND(E186-H186,2)=0,"Matches","Check Entries"))</f>
      </c>
    </row>
    <row r="187" spans="1:9" x14ac:dyDescent="0.25">
      <c r="A187" s="14"/>
      <c r="B187" s="15"/>
      <c r="C187" s="15"/>
      <c r="D187" s="16"/>
      <c r="E187" s="17"/>
      <c r="F187" s="18"/>
      <c r="G187" s="18"/>
      <c r="H187" s="19">
        <f>SUMIF('TDS Entries'!$B$5:$B$204,A187,'TDS Entries'!$I$5:$I$204)+SUMIF('TDS Entries'!$B$5:$B$204,A187,'TDS Entries'!$J$5:$J$204)</f>
      </c>
      <c r="I187" s="20">
        <f>IF(OR(A187="",H187=0),"",IF(ROUND(E187-H187,2)=0,"Matches","Check Entries"))</f>
      </c>
    </row>
    <row r="188" spans="1:9" x14ac:dyDescent="0.25">
      <c r="A188" s="14"/>
      <c r="B188" s="15"/>
      <c r="C188" s="15"/>
      <c r="D188" s="16"/>
      <c r="E188" s="17"/>
      <c r="F188" s="18"/>
      <c r="G188" s="18"/>
      <c r="H188" s="19">
        <f>SUMIF('TDS Entries'!$B$5:$B$204,A188,'TDS Entries'!$I$5:$I$204)+SUMIF('TDS Entries'!$B$5:$B$204,A188,'TDS Entries'!$J$5:$J$204)</f>
      </c>
      <c r="I188" s="20">
        <f>IF(OR(A188="",H188=0),"",IF(ROUND(E188-H188,2)=0,"Matches","Check Entries"))</f>
      </c>
    </row>
    <row r="189" spans="1:9" x14ac:dyDescent="0.25">
      <c r="A189" s="14"/>
      <c r="B189" s="15"/>
      <c r="C189" s="15"/>
      <c r="D189" s="16"/>
      <c r="E189" s="17"/>
      <c r="F189" s="18"/>
      <c r="G189" s="18"/>
      <c r="H189" s="19">
        <f>SUMIF('TDS Entries'!$B$5:$B$204,A189,'TDS Entries'!$I$5:$I$204)+SUMIF('TDS Entries'!$B$5:$B$204,A189,'TDS Entries'!$J$5:$J$204)</f>
      </c>
      <c r="I189" s="20">
        <f>IF(OR(A189="",H189=0),"",IF(ROUND(E189-H189,2)=0,"Matches","Check Entries"))</f>
      </c>
    </row>
    <row r="190" spans="1:9" x14ac:dyDescent="0.25">
      <c r="A190" s="14"/>
      <c r="B190" s="15"/>
      <c r="C190" s="15"/>
      <c r="D190" s="16"/>
      <c r="E190" s="17"/>
      <c r="F190" s="18"/>
      <c r="G190" s="18"/>
      <c r="H190" s="19">
        <f>SUMIF('TDS Entries'!$B$5:$B$204,A190,'TDS Entries'!$I$5:$I$204)+SUMIF('TDS Entries'!$B$5:$B$204,A190,'TDS Entries'!$J$5:$J$204)</f>
      </c>
      <c r="I190" s="20">
        <f>IF(OR(A190="",H190=0),"",IF(ROUND(E190-H190,2)=0,"Matches","Check Entries"))</f>
      </c>
    </row>
    <row r="191" spans="1:9" x14ac:dyDescent="0.25">
      <c r="A191" s="14"/>
      <c r="B191" s="15"/>
      <c r="C191" s="15"/>
      <c r="D191" s="16"/>
      <c r="E191" s="17"/>
      <c r="F191" s="18"/>
      <c r="G191" s="18"/>
      <c r="H191" s="19">
        <f>SUMIF('TDS Entries'!$B$5:$B$204,A191,'TDS Entries'!$I$5:$I$204)+SUMIF('TDS Entries'!$B$5:$B$204,A191,'TDS Entries'!$J$5:$J$204)</f>
      </c>
      <c r="I191" s="20">
        <f>IF(OR(A191="",H191=0),"",IF(ROUND(E191-H191,2)=0,"Matches","Check Entries"))</f>
      </c>
    </row>
    <row r="192" spans="1:9" x14ac:dyDescent="0.25">
      <c r="A192" s="14"/>
      <c r="B192" s="15"/>
      <c r="C192" s="15"/>
      <c r="D192" s="16"/>
      <c r="E192" s="17"/>
      <c r="F192" s="18"/>
      <c r="G192" s="18"/>
      <c r="H192" s="19">
        <f>SUMIF('TDS Entries'!$B$5:$B$204,A192,'TDS Entries'!$I$5:$I$204)+SUMIF('TDS Entries'!$B$5:$B$204,A192,'TDS Entries'!$J$5:$J$204)</f>
      </c>
      <c r="I192" s="20">
        <f>IF(OR(A192="",H192=0),"",IF(ROUND(E192-H192,2)=0,"Matches","Check Entries"))</f>
      </c>
    </row>
    <row r="193" spans="1:9" x14ac:dyDescent="0.25">
      <c r="A193" s="14"/>
      <c r="B193" s="15"/>
      <c r="C193" s="15"/>
      <c r="D193" s="16"/>
      <c r="E193" s="17"/>
      <c r="F193" s="18"/>
      <c r="G193" s="18"/>
      <c r="H193" s="19">
        <f>SUMIF('TDS Entries'!$B$5:$B$204,A193,'TDS Entries'!$I$5:$I$204)+SUMIF('TDS Entries'!$B$5:$B$204,A193,'TDS Entries'!$J$5:$J$204)</f>
      </c>
      <c r="I193" s="20">
        <f>IF(OR(A193="",H193=0),"",IF(ROUND(E193-H193,2)=0,"Matches","Check Entries"))</f>
      </c>
    </row>
    <row r="194" spans="1:9" x14ac:dyDescent="0.25">
      <c r="A194" s="14"/>
      <c r="B194" s="15"/>
      <c r="C194" s="15"/>
      <c r="D194" s="16"/>
      <c r="E194" s="17"/>
      <c r="F194" s="18"/>
      <c r="G194" s="18"/>
      <c r="H194" s="19">
        <f>SUMIF('TDS Entries'!$B$5:$B$204,A194,'TDS Entries'!$I$5:$I$204)+SUMIF('TDS Entries'!$B$5:$B$204,A194,'TDS Entries'!$J$5:$J$204)</f>
      </c>
      <c r="I194" s="20">
        <f>IF(OR(A194="",H194=0),"",IF(ROUND(E194-H194,2)=0,"Matches","Check Entries"))</f>
      </c>
    </row>
    <row r="195" spans="1:9" x14ac:dyDescent="0.25">
      <c r="A195" s="14"/>
      <c r="B195" s="15"/>
      <c r="C195" s="15"/>
      <c r="D195" s="16"/>
      <c r="E195" s="17"/>
      <c r="F195" s="18"/>
      <c r="G195" s="18"/>
      <c r="H195" s="19">
        <f>SUMIF('TDS Entries'!$B$5:$B$204,A195,'TDS Entries'!$I$5:$I$204)+SUMIF('TDS Entries'!$B$5:$B$204,A195,'TDS Entries'!$J$5:$J$204)</f>
      </c>
      <c r="I195" s="20">
        <f>IF(OR(A195="",H195=0),"",IF(ROUND(E195-H195,2)=0,"Matches","Check Entries"))</f>
      </c>
    </row>
    <row r="196" spans="1:9" x14ac:dyDescent="0.25">
      <c r="A196" s="14"/>
      <c r="B196" s="15"/>
      <c r="C196" s="15"/>
      <c r="D196" s="16"/>
      <c r="E196" s="17"/>
      <c r="F196" s="18"/>
      <c r="G196" s="18"/>
      <c r="H196" s="19">
        <f>SUMIF('TDS Entries'!$B$5:$B$204,A196,'TDS Entries'!$I$5:$I$204)+SUMIF('TDS Entries'!$B$5:$B$204,A196,'TDS Entries'!$J$5:$J$204)</f>
      </c>
      <c r="I196" s="20">
        <f>IF(OR(A196="",H196=0),"",IF(ROUND(E196-H196,2)=0,"Matches","Check Entries"))</f>
      </c>
    </row>
    <row r="197" spans="1:9" x14ac:dyDescent="0.25">
      <c r="A197" s="14"/>
      <c r="B197" s="15"/>
      <c r="C197" s="15"/>
      <c r="D197" s="16"/>
      <c r="E197" s="17"/>
      <c r="F197" s="18"/>
      <c r="G197" s="18"/>
      <c r="H197" s="19">
        <f>SUMIF('TDS Entries'!$B$5:$B$204,A197,'TDS Entries'!$I$5:$I$204)+SUMIF('TDS Entries'!$B$5:$B$204,A197,'TDS Entries'!$J$5:$J$204)</f>
      </c>
      <c r="I197" s="20">
        <f>IF(OR(A197="",H197=0),"",IF(ROUND(E197-H197,2)=0,"Matches","Check Entries"))</f>
      </c>
    </row>
    <row r="198" spans="1:9" x14ac:dyDescent="0.25">
      <c r="A198" s="14"/>
      <c r="B198" s="15"/>
      <c r="C198" s="15"/>
      <c r="D198" s="16"/>
      <c r="E198" s="17"/>
      <c r="F198" s="18"/>
      <c r="G198" s="18"/>
      <c r="H198" s="19">
        <f>SUMIF('TDS Entries'!$B$5:$B$204,A198,'TDS Entries'!$I$5:$I$204)+SUMIF('TDS Entries'!$B$5:$B$204,A198,'TDS Entries'!$J$5:$J$204)</f>
      </c>
      <c r="I198" s="20">
        <f>IF(OR(A198="",H198=0),"",IF(ROUND(E198-H198,2)=0,"Matches","Check Entries"))</f>
      </c>
    </row>
    <row r="199" spans="1:9" x14ac:dyDescent="0.25">
      <c r="A199" s="14"/>
      <c r="B199" s="15"/>
      <c r="C199" s="15"/>
      <c r="D199" s="16"/>
      <c r="E199" s="17"/>
      <c r="F199" s="18"/>
      <c r="G199" s="18"/>
      <c r="H199" s="19">
        <f>SUMIF('TDS Entries'!$B$5:$B$204,A199,'TDS Entries'!$I$5:$I$204)+SUMIF('TDS Entries'!$B$5:$B$204,A199,'TDS Entries'!$J$5:$J$204)</f>
      </c>
      <c r="I199" s="20">
        <f>IF(OR(A199="",H199=0),"",IF(ROUND(E199-H199,2)=0,"Matches","Check Entries"))</f>
      </c>
    </row>
    <row r="200" spans="1:9" x14ac:dyDescent="0.25">
      <c r="A200" s="14"/>
      <c r="B200" s="15"/>
      <c r="C200" s="15"/>
      <c r="D200" s="16"/>
      <c r="E200" s="17"/>
      <c r="F200" s="18"/>
      <c r="G200" s="18"/>
      <c r="H200" s="19">
        <f>SUMIF('TDS Entries'!$B$5:$B$204,A200,'TDS Entries'!$I$5:$I$204)+SUMIF('TDS Entries'!$B$5:$B$204,A200,'TDS Entries'!$J$5:$J$204)</f>
      </c>
      <c r="I200" s="20">
        <f>IF(OR(A200="",H200=0),"",IF(ROUND(E200-H200,2)=0,"Matches","Check Entries"))</f>
      </c>
    </row>
    <row r="201" spans="1:9" x14ac:dyDescent="0.25">
      <c r="A201" s="14"/>
      <c r="B201" s="15"/>
      <c r="C201" s="15"/>
      <c r="D201" s="16"/>
      <c r="E201" s="17"/>
      <c r="F201" s="18"/>
      <c r="G201" s="18"/>
      <c r="H201" s="19">
        <f>SUMIF('TDS Entries'!$B$5:$B$204,A201,'TDS Entries'!$I$5:$I$204)+SUMIF('TDS Entries'!$B$5:$B$204,A201,'TDS Entries'!$J$5:$J$204)</f>
      </c>
      <c r="I201" s="20">
        <f>IF(OR(A201="",H201=0),"",IF(ROUND(E201-H201,2)=0,"Matches","Check Entries"))</f>
      </c>
    </row>
    <row r="202" spans="1:9" x14ac:dyDescent="0.25">
      <c r="A202" s="14"/>
      <c r="B202" s="15"/>
      <c r="C202" s="15"/>
      <c r="D202" s="16"/>
      <c r="E202" s="17"/>
      <c r="F202" s="18"/>
      <c r="G202" s="18"/>
      <c r="H202" s="19">
        <f>SUMIF('TDS Entries'!$B$5:$B$204,A202,'TDS Entries'!$I$5:$I$204)+SUMIF('TDS Entries'!$B$5:$B$204,A202,'TDS Entries'!$J$5:$J$204)</f>
      </c>
      <c r="I202" s="20">
        <f>IF(OR(A202="",H202=0),"",IF(ROUND(E202-H202,2)=0,"Matches","Check Entries"))</f>
      </c>
    </row>
    <row r="203" spans="1:9" x14ac:dyDescent="0.25">
      <c r="A203" s="14"/>
      <c r="B203" s="15"/>
      <c r="C203" s="15"/>
      <c r="D203" s="16"/>
      <c r="E203" s="17"/>
      <c r="F203" s="18"/>
      <c r="G203" s="18"/>
      <c r="H203" s="19">
        <f>SUMIF('TDS Entries'!$B$5:$B$204,A203,'TDS Entries'!$I$5:$I$204)+SUMIF('TDS Entries'!$B$5:$B$204,A203,'TDS Entries'!$J$5:$J$204)</f>
      </c>
      <c r="I203" s="20">
        <f>IF(OR(A203="",H203=0),"",IF(ROUND(E203-H203,2)=0,"Matches","Check Entries"))</f>
      </c>
    </row>
    <row r="204" spans="1:9" x14ac:dyDescent="0.25">
      <c r="A204" s="14"/>
      <c r="B204" s="15"/>
      <c r="C204" s="15"/>
      <c r="D204" s="16"/>
      <c r="E204" s="17"/>
      <c r="F204" s="18"/>
      <c r="G204" s="18"/>
      <c r="H204" s="19">
        <f>SUMIF('TDS Entries'!$B$5:$B$204,A204,'TDS Entries'!$I$5:$I$204)+SUMIF('TDS Entries'!$B$5:$B$204,A204,'TDS Entries'!$J$5:$J$204)</f>
      </c>
      <c r="I204" s="20">
        <f>IF(OR(A204="",H204=0),"",IF(ROUND(E204-H204,2)=0,"Matches","Check Entries"))</f>
      </c>
    </row>
  </sheetData>
  <mergeCells count="1">
    <mergeCell ref="A1:I1"/>
  </mergeCells>
  <dataValidations count="4">
    <dataValidation type="custom" allowBlank="1" showErrorMessage="1" errorTitle="Duplicate Challan ID" error="Each Challan ID must be unique." sqref="A5:A204">
      <formula1>COUNTIF($A$5:$A$204,A5)&lt;=1</formula1>
    </dataValidation>
    <dataValidation type="textLength" operator="equal" allowBlank="1" showErrorMessage="1" errorTitle="Invalid BSR Code" error="BSR Code must be exactly 7 characters." sqref="B5:B204">
      <formula1>7</formula1>
    </dataValidation>
    <dataValidation type="date" allowBlank="1" showErrorMessage="1" errorTitle="Invalid Date" error="Enter a real date (use the date picker), between 01-Apr-2020 and 31-Mar-2030." sqref="D5:D204">
      <formula1>43922</formula1>
      <formula2>47573</formula2>
    </dataValidation>
    <dataValidation type="decimal" operator="greaterThanOrEqual" allowBlank="1" showErrorMessage="1" errorTitle="Invalid Amount" error="Amount must be a number of 0 or more (no currency symbols or commas typed in)." sqref="E5:E20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6" customWidth="1"/>
    <col min="4" max="4" width="13" customWidth="1"/>
    <col min="5" max="5" width="10" customWidth="1"/>
    <col min="6" max="6" width="16" customWidth="1"/>
    <col min="7" max="7" width="18" customWidth="1"/>
    <col min="8" max="8" width="12" customWidth="1"/>
    <col min="9" max="9" width="14" customWidth="1"/>
    <col min="10" max="10" width="12" customWidth="1"/>
    <col min="11" max="11" width="20" customWidth="1"/>
    <col min="12" max="12" width="16" customWidth="1"/>
    <col min="13" max="13" width="18" customWidth="1"/>
  </cols>
  <sheetData>
    <row r="1" ht="22" customHeight="1" spans="1:13" x14ac:dyDescent="0.25">
      <c r="A1" s="7" t="s">
        <v>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" x14ac:dyDescent="0.25">
      <c r="A2" s="8" t="s">
        <v>62</v>
      </c>
    </row>
    <row r="3" ht="32" customHeight="1" spans="1:13" x14ac:dyDescent="0.25">
      <c r="A3" s="9" t="s">
        <v>31</v>
      </c>
      <c r="B3" s="9" t="s">
        <v>12</v>
      </c>
      <c r="C3" s="9" t="s">
        <v>34</v>
      </c>
      <c r="D3" s="9" t="s">
        <v>36</v>
      </c>
      <c r="E3" s="9" t="s">
        <v>38</v>
      </c>
      <c r="F3" s="9" t="s">
        <v>40</v>
      </c>
      <c r="G3" s="9" t="s">
        <v>42</v>
      </c>
      <c r="H3" s="9" t="s">
        <v>44</v>
      </c>
      <c r="I3" s="9" t="s">
        <v>46</v>
      </c>
      <c r="J3" s="9" t="s">
        <v>48</v>
      </c>
      <c r="K3" s="9" t="s">
        <v>24</v>
      </c>
      <c r="L3" s="9" t="s">
        <v>51</v>
      </c>
      <c r="M3" s="9" t="s">
        <v>53</v>
      </c>
    </row>
    <row r="4" spans="1:13" x14ac:dyDescent="0.25">
      <c r="A4" s="10">
        <f>IF(C4="","",ROW()-3)</f>
      </c>
      <c r="B4" s="10" t="s">
        <v>63</v>
      </c>
      <c r="C4" s="10" t="s">
        <v>70</v>
      </c>
      <c r="D4" s="10" t="s">
        <v>71</v>
      </c>
      <c r="E4" s="10" t="s">
        <v>72</v>
      </c>
      <c r="F4" s="12">
        <v>46173</v>
      </c>
      <c r="G4" s="13">
        <v>5558172</v>
      </c>
      <c r="H4" s="21">
        <v>0.1</v>
      </c>
      <c r="I4" s="13">
        <v>5558</v>
      </c>
      <c r="J4" s="13">
        <v>0</v>
      </c>
      <c r="K4" s="10" t="s">
        <v>73</v>
      </c>
      <c r="L4" s="10">
        <f>IFERROR(INDEX('Challan Details'!$B$5:$B$204,MATCH(B4,'Challan Details'!$A$5:$A$204,0)),"")</f>
      </c>
      <c r="M4" s="12">
        <f>IFERROR(INDEX('Challan Details'!$D$5:$D$204,MATCH(B4,'Challan Details'!$A$5:$A$204,0)),"")</f>
      </c>
    </row>
    <row r="5" spans="1:13" x14ac:dyDescent="0.25">
      <c r="A5" s="22">
        <f>IF(C5="","",ROW()-3)</f>
      </c>
      <c r="B5" s="18"/>
      <c r="C5" s="18"/>
      <c r="D5" s="18"/>
      <c r="E5" s="18"/>
      <c r="F5" s="16"/>
      <c r="G5" s="17"/>
      <c r="H5" s="23"/>
      <c r="I5" s="17"/>
      <c r="J5" s="17"/>
      <c r="K5" s="18"/>
      <c r="L5" s="20">
        <f>IFERROR(INDEX('Challan Details'!$B$5:$B$204,MATCH(B5,'Challan Details'!$A$5:$A$204,0)),"")</f>
      </c>
      <c r="M5" s="24">
        <f>IFERROR(INDEX('Challan Details'!$D$5:$D$204,MATCH(B5,'Challan Details'!$A$5:$A$204,0)),"")</f>
      </c>
    </row>
    <row r="6" spans="1:13" x14ac:dyDescent="0.25">
      <c r="A6" s="22">
        <f>IF(C6="","",ROW()-3)</f>
      </c>
      <c r="B6" s="18"/>
      <c r="C6" s="18"/>
      <c r="D6" s="18"/>
      <c r="E6" s="18"/>
      <c r="F6" s="16"/>
      <c r="G6" s="17"/>
      <c r="H6" s="23"/>
      <c r="I6" s="17"/>
      <c r="J6" s="17"/>
      <c r="K6" s="18"/>
      <c r="L6" s="20">
        <f>IFERROR(INDEX('Challan Details'!$B$5:$B$204,MATCH(B6,'Challan Details'!$A$5:$A$204,0)),"")</f>
      </c>
      <c r="M6" s="24">
        <f>IFERROR(INDEX('Challan Details'!$D$5:$D$204,MATCH(B6,'Challan Details'!$A$5:$A$204,0)),"")</f>
      </c>
    </row>
    <row r="7" spans="1:13" x14ac:dyDescent="0.25">
      <c r="A7" s="22">
        <f>IF(C7="","",ROW()-3)</f>
      </c>
      <c r="B7" s="18"/>
      <c r="C7" s="18"/>
      <c r="D7" s="18"/>
      <c r="E7" s="18"/>
      <c r="F7" s="16"/>
      <c r="G7" s="17"/>
      <c r="H7" s="23"/>
      <c r="I7" s="17"/>
      <c r="J7" s="17"/>
      <c r="K7" s="18"/>
      <c r="L7" s="20">
        <f>IFERROR(INDEX('Challan Details'!$B$5:$B$204,MATCH(B7,'Challan Details'!$A$5:$A$204,0)),"")</f>
      </c>
      <c r="M7" s="24">
        <f>IFERROR(INDEX('Challan Details'!$D$5:$D$204,MATCH(B7,'Challan Details'!$A$5:$A$204,0)),"")</f>
      </c>
    </row>
    <row r="8" spans="1:13" x14ac:dyDescent="0.25">
      <c r="A8" s="22">
        <f>IF(C8="","",ROW()-3)</f>
      </c>
      <c r="B8" s="18"/>
      <c r="C8" s="18"/>
      <c r="D8" s="18"/>
      <c r="E8" s="18"/>
      <c r="F8" s="16"/>
      <c r="G8" s="17"/>
      <c r="H8" s="23"/>
      <c r="I8" s="17"/>
      <c r="J8" s="17"/>
      <c r="K8" s="18"/>
      <c r="L8" s="20">
        <f>IFERROR(INDEX('Challan Details'!$B$5:$B$204,MATCH(B8,'Challan Details'!$A$5:$A$204,0)),"")</f>
      </c>
      <c r="M8" s="24">
        <f>IFERROR(INDEX('Challan Details'!$D$5:$D$204,MATCH(B8,'Challan Details'!$A$5:$A$204,0)),"")</f>
      </c>
    </row>
    <row r="9" spans="1:13" x14ac:dyDescent="0.25">
      <c r="A9" s="22">
        <f>IF(C9="","",ROW()-3)</f>
      </c>
      <c r="B9" s="18"/>
      <c r="C9" s="18"/>
      <c r="D9" s="18"/>
      <c r="E9" s="18"/>
      <c r="F9" s="16"/>
      <c r="G9" s="17"/>
      <c r="H9" s="23"/>
      <c r="I9" s="17"/>
      <c r="J9" s="17"/>
      <c r="K9" s="18"/>
      <c r="L9" s="20">
        <f>IFERROR(INDEX('Challan Details'!$B$5:$B$204,MATCH(B9,'Challan Details'!$A$5:$A$204,0)),"")</f>
      </c>
      <c r="M9" s="24">
        <f>IFERROR(INDEX('Challan Details'!$D$5:$D$204,MATCH(B9,'Challan Details'!$A$5:$A$204,0)),"")</f>
      </c>
    </row>
    <row r="10" spans="1:13" x14ac:dyDescent="0.25">
      <c r="A10" s="22">
        <f>IF(C10="","",ROW()-3)</f>
      </c>
      <c r="B10" s="18"/>
      <c r="C10" s="18"/>
      <c r="D10" s="18"/>
      <c r="E10" s="18"/>
      <c r="F10" s="16"/>
      <c r="G10" s="17"/>
      <c r="H10" s="23"/>
      <c r="I10" s="17"/>
      <c r="J10" s="17"/>
      <c r="K10" s="18"/>
      <c r="L10" s="20">
        <f>IFERROR(INDEX('Challan Details'!$B$5:$B$204,MATCH(B10,'Challan Details'!$A$5:$A$204,0)),"")</f>
      </c>
      <c r="M10" s="24">
        <f>IFERROR(INDEX('Challan Details'!$D$5:$D$204,MATCH(B10,'Challan Details'!$A$5:$A$204,0)),"")</f>
      </c>
    </row>
    <row r="11" spans="1:13" x14ac:dyDescent="0.25">
      <c r="A11" s="22">
        <f>IF(C11="","",ROW()-3)</f>
      </c>
      <c r="B11" s="18"/>
      <c r="C11" s="18"/>
      <c r="D11" s="18"/>
      <c r="E11" s="18"/>
      <c r="F11" s="16"/>
      <c r="G11" s="17"/>
      <c r="H11" s="23"/>
      <c r="I11" s="17"/>
      <c r="J11" s="17"/>
      <c r="K11" s="18"/>
      <c r="L11" s="20">
        <f>IFERROR(INDEX('Challan Details'!$B$5:$B$204,MATCH(B11,'Challan Details'!$A$5:$A$204,0)),"")</f>
      </c>
      <c r="M11" s="24">
        <f>IFERROR(INDEX('Challan Details'!$D$5:$D$204,MATCH(B11,'Challan Details'!$A$5:$A$204,0)),"")</f>
      </c>
    </row>
    <row r="12" spans="1:13" x14ac:dyDescent="0.25">
      <c r="A12" s="22">
        <f>IF(C12="","",ROW()-3)</f>
      </c>
      <c r="B12" s="18"/>
      <c r="C12" s="18"/>
      <c r="D12" s="18"/>
      <c r="E12" s="18"/>
      <c r="F12" s="16"/>
      <c r="G12" s="17"/>
      <c r="H12" s="23"/>
      <c r="I12" s="17"/>
      <c r="J12" s="17"/>
      <c r="K12" s="18"/>
      <c r="L12" s="20">
        <f>IFERROR(INDEX('Challan Details'!$B$5:$B$204,MATCH(B12,'Challan Details'!$A$5:$A$204,0)),"")</f>
      </c>
      <c r="M12" s="24">
        <f>IFERROR(INDEX('Challan Details'!$D$5:$D$204,MATCH(B12,'Challan Details'!$A$5:$A$204,0)),"")</f>
      </c>
    </row>
    <row r="13" spans="1:13" x14ac:dyDescent="0.25">
      <c r="A13" s="22">
        <f>IF(C13="","",ROW()-3)</f>
      </c>
      <c r="B13" s="18"/>
      <c r="C13" s="18"/>
      <c r="D13" s="18"/>
      <c r="E13" s="18"/>
      <c r="F13" s="16"/>
      <c r="G13" s="17"/>
      <c r="H13" s="23"/>
      <c r="I13" s="17"/>
      <c r="J13" s="17"/>
      <c r="K13" s="18"/>
      <c r="L13" s="20">
        <f>IFERROR(INDEX('Challan Details'!$B$5:$B$204,MATCH(B13,'Challan Details'!$A$5:$A$204,0)),"")</f>
      </c>
      <c r="M13" s="24">
        <f>IFERROR(INDEX('Challan Details'!$D$5:$D$204,MATCH(B13,'Challan Details'!$A$5:$A$204,0)),"")</f>
      </c>
    </row>
    <row r="14" spans="1:13" x14ac:dyDescent="0.25">
      <c r="A14" s="22">
        <f>IF(C14="","",ROW()-3)</f>
      </c>
      <c r="B14" s="18"/>
      <c r="C14" s="18"/>
      <c r="D14" s="18"/>
      <c r="E14" s="18"/>
      <c r="F14" s="16"/>
      <c r="G14" s="17"/>
      <c r="H14" s="23"/>
      <c r="I14" s="17"/>
      <c r="J14" s="17"/>
      <c r="K14" s="18"/>
      <c r="L14" s="20">
        <f>IFERROR(INDEX('Challan Details'!$B$5:$B$204,MATCH(B14,'Challan Details'!$A$5:$A$204,0)),"")</f>
      </c>
      <c r="M14" s="24">
        <f>IFERROR(INDEX('Challan Details'!$D$5:$D$204,MATCH(B14,'Challan Details'!$A$5:$A$204,0)),"")</f>
      </c>
    </row>
    <row r="15" spans="1:13" x14ac:dyDescent="0.25">
      <c r="A15" s="22">
        <f>IF(C15="","",ROW()-3)</f>
      </c>
      <c r="B15" s="18"/>
      <c r="C15" s="18"/>
      <c r="D15" s="18"/>
      <c r="E15" s="18"/>
      <c r="F15" s="16"/>
      <c r="G15" s="17"/>
      <c r="H15" s="23"/>
      <c r="I15" s="17"/>
      <c r="J15" s="17"/>
      <c r="K15" s="18"/>
      <c r="L15" s="20">
        <f>IFERROR(INDEX('Challan Details'!$B$5:$B$204,MATCH(B15,'Challan Details'!$A$5:$A$204,0)),"")</f>
      </c>
      <c r="M15" s="24">
        <f>IFERROR(INDEX('Challan Details'!$D$5:$D$204,MATCH(B15,'Challan Details'!$A$5:$A$204,0)),"")</f>
      </c>
    </row>
    <row r="16" spans="1:13" x14ac:dyDescent="0.25">
      <c r="A16" s="22">
        <f>IF(C16="","",ROW()-3)</f>
      </c>
      <c r="B16" s="18"/>
      <c r="C16" s="18"/>
      <c r="D16" s="18"/>
      <c r="E16" s="18"/>
      <c r="F16" s="16"/>
      <c r="G16" s="17"/>
      <c r="H16" s="23"/>
      <c r="I16" s="17"/>
      <c r="J16" s="17"/>
      <c r="K16" s="18"/>
      <c r="L16" s="20">
        <f>IFERROR(INDEX('Challan Details'!$B$5:$B$204,MATCH(B16,'Challan Details'!$A$5:$A$204,0)),"")</f>
      </c>
      <c r="M16" s="24">
        <f>IFERROR(INDEX('Challan Details'!$D$5:$D$204,MATCH(B16,'Challan Details'!$A$5:$A$204,0)),"")</f>
      </c>
    </row>
    <row r="17" spans="1:13" x14ac:dyDescent="0.25">
      <c r="A17" s="22">
        <f>IF(C17="","",ROW()-3)</f>
      </c>
      <c r="B17" s="18"/>
      <c r="C17" s="18"/>
      <c r="D17" s="18"/>
      <c r="E17" s="18"/>
      <c r="F17" s="16"/>
      <c r="G17" s="17"/>
      <c r="H17" s="23"/>
      <c r="I17" s="17"/>
      <c r="J17" s="17"/>
      <c r="K17" s="18"/>
      <c r="L17" s="20">
        <f>IFERROR(INDEX('Challan Details'!$B$5:$B$204,MATCH(B17,'Challan Details'!$A$5:$A$204,0)),"")</f>
      </c>
      <c r="M17" s="24">
        <f>IFERROR(INDEX('Challan Details'!$D$5:$D$204,MATCH(B17,'Challan Details'!$A$5:$A$204,0)),"")</f>
      </c>
    </row>
    <row r="18" spans="1:13" x14ac:dyDescent="0.25">
      <c r="A18" s="22">
        <f>IF(C18="","",ROW()-3)</f>
      </c>
      <c r="B18" s="18"/>
      <c r="C18" s="18"/>
      <c r="D18" s="18"/>
      <c r="E18" s="18"/>
      <c r="F18" s="16"/>
      <c r="G18" s="17"/>
      <c r="H18" s="23"/>
      <c r="I18" s="17"/>
      <c r="J18" s="17"/>
      <c r="K18" s="18"/>
      <c r="L18" s="20">
        <f>IFERROR(INDEX('Challan Details'!$B$5:$B$204,MATCH(B18,'Challan Details'!$A$5:$A$204,0)),"")</f>
      </c>
      <c r="M18" s="24">
        <f>IFERROR(INDEX('Challan Details'!$D$5:$D$204,MATCH(B18,'Challan Details'!$A$5:$A$204,0)),"")</f>
      </c>
    </row>
    <row r="19" spans="1:13" x14ac:dyDescent="0.25">
      <c r="A19" s="22">
        <f>IF(C19="","",ROW()-3)</f>
      </c>
      <c r="B19" s="18"/>
      <c r="C19" s="18"/>
      <c r="D19" s="18"/>
      <c r="E19" s="18"/>
      <c r="F19" s="16"/>
      <c r="G19" s="17"/>
      <c r="H19" s="23"/>
      <c r="I19" s="17"/>
      <c r="J19" s="17"/>
      <c r="K19" s="18"/>
      <c r="L19" s="20">
        <f>IFERROR(INDEX('Challan Details'!$B$5:$B$204,MATCH(B19,'Challan Details'!$A$5:$A$204,0)),"")</f>
      </c>
      <c r="M19" s="24">
        <f>IFERROR(INDEX('Challan Details'!$D$5:$D$204,MATCH(B19,'Challan Details'!$A$5:$A$204,0)),"")</f>
      </c>
    </row>
    <row r="20" spans="1:13" x14ac:dyDescent="0.25">
      <c r="A20" s="22">
        <f>IF(C20="","",ROW()-3)</f>
      </c>
      <c r="B20" s="18"/>
      <c r="C20" s="18"/>
      <c r="D20" s="18"/>
      <c r="E20" s="18"/>
      <c r="F20" s="16"/>
      <c r="G20" s="17"/>
      <c r="H20" s="23"/>
      <c r="I20" s="17"/>
      <c r="J20" s="17"/>
      <c r="K20" s="18"/>
      <c r="L20" s="20">
        <f>IFERROR(INDEX('Challan Details'!$B$5:$B$204,MATCH(B20,'Challan Details'!$A$5:$A$204,0)),"")</f>
      </c>
      <c r="M20" s="24">
        <f>IFERROR(INDEX('Challan Details'!$D$5:$D$204,MATCH(B20,'Challan Details'!$A$5:$A$204,0)),"")</f>
      </c>
    </row>
    <row r="21" spans="1:13" x14ac:dyDescent="0.25">
      <c r="A21" s="22">
        <f>IF(C21="","",ROW()-3)</f>
      </c>
      <c r="B21" s="18"/>
      <c r="C21" s="18"/>
      <c r="D21" s="18"/>
      <c r="E21" s="18"/>
      <c r="F21" s="16"/>
      <c r="G21" s="17"/>
      <c r="H21" s="23"/>
      <c r="I21" s="17"/>
      <c r="J21" s="17"/>
      <c r="K21" s="18"/>
      <c r="L21" s="20">
        <f>IFERROR(INDEX('Challan Details'!$B$5:$B$204,MATCH(B21,'Challan Details'!$A$5:$A$204,0)),"")</f>
      </c>
      <c r="M21" s="24">
        <f>IFERROR(INDEX('Challan Details'!$D$5:$D$204,MATCH(B21,'Challan Details'!$A$5:$A$204,0)),"")</f>
      </c>
    </row>
    <row r="22" spans="1:13" x14ac:dyDescent="0.25">
      <c r="A22" s="22">
        <f>IF(C22="","",ROW()-3)</f>
      </c>
      <c r="B22" s="18"/>
      <c r="C22" s="18"/>
      <c r="D22" s="18"/>
      <c r="E22" s="18"/>
      <c r="F22" s="16"/>
      <c r="G22" s="17"/>
      <c r="H22" s="23"/>
      <c r="I22" s="17"/>
      <c r="J22" s="17"/>
      <c r="K22" s="18"/>
      <c r="L22" s="20">
        <f>IFERROR(INDEX('Challan Details'!$B$5:$B$204,MATCH(B22,'Challan Details'!$A$5:$A$204,0)),"")</f>
      </c>
      <c r="M22" s="24">
        <f>IFERROR(INDEX('Challan Details'!$D$5:$D$204,MATCH(B22,'Challan Details'!$A$5:$A$204,0)),"")</f>
      </c>
    </row>
    <row r="23" spans="1:13" x14ac:dyDescent="0.25">
      <c r="A23" s="22">
        <f>IF(C23="","",ROW()-3)</f>
      </c>
      <c r="B23" s="18"/>
      <c r="C23" s="18"/>
      <c r="D23" s="18"/>
      <c r="E23" s="18"/>
      <c r="F23" s="16"/>
      <c r="G23" s="17"/>
      <c r="H23" s="23"/>
      <c r="I23" s="17"/>
      <c r="J23" s="17"/>
      <c r="K23" s="18"/>
      <c r="L23" s="20">
        <f>IFERROR(INDEX('Challan Details'!$B$5:$B$204,MATCH(B23,'Challan Details'!$A$5:$A$204,0)),"")</f>
      </c>
      <c r="M23" s="24">
        <f>IFERROR(INDEX('Challan Details'!$D$5:$D$204,MATCH(B23,'Challan Details'!$A$5:$A$204,0)),"")</f>
      </c>
    </row>
    <row r="24" spans="1:13" x14ac:dyDescent="0.25">
      <c r="A24" s="22">
        <f>IF(C24="","",ROW()-3)</f>
      </c>
      <c r="B24" s="18"/>
      <c r="C24" s="18"/>
      <c r="D24" s="18"/>
      <c r="E24" s="18"/>
      <c r="F24" s="16"/>
      <c r="G24" s="17"/>
      <c r="H24" s="23"/>
      <c r="I24" s="17"/>
      <c r="J24" s="17"/>
      <c r="K24" s="18"/>
      <c r="L24" s="20">
        <f>IFERROR(INDEX('Challan Details'!$B$5:$B$204,MATCH(B24,'Challan Details'!$A$5:$A$204,0)),"")</f>
      </c>
      <c r="M24" s="24">
        <f>IFERROR(INDEX('Challan Details'!$D$5:$D$204,MATCH(B24,'Challan Details'!$A$5:$A$204,0)),"")</f>
      </c>
    </row>
    <row r="25" spans="1:13" x14ac:dyDescent="0.25">
      <c r="A25" s="22">
        <f>IF(C25="","",ROW()-3)</f>
      </c>
      <c r="B25" s="18"/>
      <c r="C25" s="18"/>
      <c r="D25" s="18"/>
      <c r="E25" s="18"/>
      <c r="F25" s="16"/>
      <c r="G25" s="17"/>
      <c r="H25" s="23"/>
      <c r="I25" s="17"/>
      <c r="J25" s="17"/>
      <c r="K25" s="18"/>
      <c r="L25" s="20">
        <f>IFERROR(INDEX('Challan Details'!$B$5:$B$204,MATCH(B25,'Challan Details'!$A$5:$A$204,0)),"")</f>
      </c>
      <c r="M25" s="24">
        <f>IFERROR(INDEX('Challan Details'!$D$5:$D$204,MATCH(B25,'Challan Details'!$A$5:$A$204,0)),"")</f>
      </c>
    </row>
    <row r="26" spans="1:13" x14ac:dyDescent="0.25">
      <c r="A26" s="22">
        <f>IF(C26="","",ROW()-3)</f>
      </c>
      <c r="B26" s="18"/>
      <c r="C26" s="18"/>
      <c r="D26" s="18"/>
      <c r="E26" s="18"/>
      <c r="F26" s="16"/>
      <c r="G26" s="17"/>
      <c r="H26" s="23"/>
      <c r="I26" s="17"/>
      <c r="J26" s="17"/>
      <c r="K26" s="18"/>
      <c r="L26" s="20">
        <f>IFERROR(INDEX('Challan Details'!$B$5:$B$204,MATCH(B26,'Challan Details'!$A$5:$A$204,0)),"")</f>
      </c>
      <c r="M26" s="24">
        <f>IFERROR(INDEX('Challan Details'!$D$5:$D$204,MATCH(B26,'Challan Details'!$A$5:$A$204,0)),"")</f>
      </c>
    </row>
    <row r="27" spans="1:13" x14ac:dyDescent="0.25">
      <c r="A27" s="22">
        <f>IF(C27="","",ROW()-3)</f>
      </c>
      <c r="B27" s="18"/>
      <c r="C27" s="18"/>
      <c r="D27" s="18"/>
      <c r="E27" s="18"/>
      <c r="F27" s="16"/>
      <c r="G27" s="17"/>
      <c r="H27" s="23"/>
      <c r="I27" s="17"/>
      <c r="J27" s="17"/>
      <c r="K27" s="18"/>
      <c r="L27" s="20">
        <f>IFERROR(INDEX('Challan Details'!$B$5:$B$204,MATCH(B27,'Challan Details'!$A$5:$A$204,0)),"")</f>
      </c>
      <c r="M27" s="24">
        <f>IFERROR(INDEX('Challan Details'!$D$5:$D$204,MATCH(B27,'Challan Details'!$A$5:$A$204,0)),"")</f>
      </c>
    </row>
    <row r="28" spans="1:13" x14ac:dyDescent="0.25">
      <c r="A28" s="22">
        <f>IF(C28="","",ROW()-3)</f>
      </c>
      <c r="B28" s="18"/>
      <c r="C28" s="18"/>
      <c r="D28" s="18"/>
      <c r="E28" s="18"/>
      <c r="F28" s="16"/>
      <c r="G28" s="17"/>
      <c r="H28" s="23"/>
      <c r="I28" s="17"/>
      <c r="J28" s="17"/>
      <c r="K28" s="18"/>
      <c r="L28" s="20">
        <f>IFERROR(INDEX('Challan Details'!$B$5:$B$204,MATCH(B28,'Challan Details'!$A$5:$A$204,0)),"")</f>
      </c>
      <c r="M28" s="24">
        <f>IFERROR(INDEX('Challan Details'!$D$5:$D$204,MATCH(B28,'Challan Details'!$A$5:$A$204,0)),"")</f>
      </c>
    </row>
    <row r="29" spans="1:13" x14ac:dyDescent="0.25">
      <c r="A29" s="22">
        <f>IF(C29="","",ROW()-3)</f>
      </c>
      <c r="B29" s="18"/>
      <c r="C29" s="18"/>
      <c r="D29" s="18"/>
      <c r="E29" s="18"/>
      <c r="F29" s="16"/>
      <c r="G29" s="17"/>
      <c r="H29" s="23"/>
      <c r="I29" s="17"/>
      <c r="J29" s="17"/>
      <c r="K29" s="18"/>
      <c r="L29" s="20">
        <f>IFERROR(INDEX('Challan Details'!$B$5:$B$204,MATCH(B29,'Challan Details'!$A$5:$A$204,0)),"")</f>
      </c>
      <c r="M29" s="24">
        <f>IFERROR(INDEX('Challan Details'!$D$5:$D$204,MATCH(B29,'Challan Details'!$A$5:$A$204,0)),"")</f>
      </c>
    </row>
    <row r="30" spans="1:13" x14ac:dyDescent="0.25">
      <c r="A30" s="22">
        <f>IF(C30="","",ROW()-3)</f>
      </c>
      <c r="B30" s="18"/>
      <c r="C30" s="18"/>
      <c r="D30" s="18"/>
      <c r="E30" s="18"/>
      <c r="F30" s="16"/>
      <c r="G30" s="17"/>
      <c r="H30" s="23"/>
      <c r="I30" s="17"/>
      <c r="J30" s="17"/>
      <c r="K30" s="18"/>
      <c r="L30" s="20">
        <f>IFERROR(INDEX('Challan Details'!$B$5:$B$204,MATCH(B30,'Challan Details'!$A$5:$A$204,0)),"")</f>
      </c>
      <c r="M30" s="24">
        <f>IFERROR(INDEX('Challan Details'!$D$5:$D$204,MATCH(B30,'Challan Details'!$A$5:$A$204,0)),"")</f>
      </c>
    </row>
    <row r="31" spans="1:13" x14ac:dyDescent="0.25">
      <c r="A31" s="22">
        <f>IF(C31="","",ROW()-3)</f>
      </c>
      <c r="B31" s="18"/>
      <c r="C31" s="18"/>
      <c r="D31" s="18"/>
      <c r="E31" s="18"/>
      <c r="F31" s="16"/>
      <c r="G31" s="17"/>
      <c r="H31" s="23"/>
      <c r="I31" s="17"/>
      <c r="J31" s="17"/>
      <c r="K31" s="18"/>
      <c r="L31" s="20">
        <f>IFERROR(INDEX('Challan Details'!$B$5:$B$204,MATCH(B31,'Challan Details'!$A$5:$A$204,0)),"")</f>
      </c>
      <c r="M31" s="24">
        <f>IFERROR(INDEX('Challan Details'!$D$5:$D$204,MATCH(B31,'Challan Details'!$A$5:$A$204,0)),"")</f>
      </c>
    </row>
    <row r="32" spans="1:13" x14ac:dyDescent="0.25">
      <c r="A32" s="22">
        <f>IF(C32="","",ROW()-3)</f>
      </c>
      <c r="B32" s="18"/>
      <c r="C32" s="18"/>
      <c r="D32" s="18"/>
      <c r="E32" s="18"/>
      <c r="F32" s="16"/>
      <c r="G32" s="17"/>
      <c r="H32" s="23"/>
      <c r="I32" s="17"/>
      <c r="J32" s="17"/>
      <c r="K32" s="18"/>
      <c r="L32" s="20">
        <f>IFERROR(INDEX('Challan Details'!$B$5:$B$204,MATCH(B32,'Challan Details'!$A$5:$A$204,0)),"")</f>
      </c>
      <c r="M32" s="24">
        <f>IFERROR(INDEX('Challan Details'!$D$5:$D$204,MATCH(B32,'Challan Details'!$A$5:$A$204,0)),"")</f>
      </c>
    </row>
    <row r="33" spans="1:13" x14ac:dyDescent="0.25">
      <c r="A33" s="22">
        <f>IF(C33="","",ROW()-3)</f>
      </c>
      <c r="B33" s="18"/>
      <c r="C33" s="18"/>
      <c r="D33" s="18"/>
      <c r="E33" s="18"/>
      <c r="F33" s="16"/>
      <c r="G33" s="17"/>
      <c r="H33" s="23"/>
      <c r="I33" s="17"/>
      <c r="J33" s="17"/>
      <c r="K33" s="18"/>
      <c r="L33" s="20">
        <f>IFERROR(INDEX('Challan Details'!$B$5:$B$204,MATCH(B33,'Challan Details'!$A$5:$A$204,0)),"")</f>
      </c>
      <c r="M33" s="24">
        <f>IFERROR(INDEX('Challan Details'!$D$5:$D$204,MATCH(B33,'Challan Details'!$A$5:$A$204,0)),"")</f>
      </c>
    </row>
    <row r="34" spans="1:13" x14ac:dyDescent="0.25">
      <c r="A34" s="22">
        <f>IF(C34="","",ROW()-3)</f>
      </c>
      <c r="B34" s="18"/>
      <c r="C34" s="18"/>
      <c r="D34" s="18"/>
      <c r="E34" s="18"/>
      <c r="F34" s="16"/>
      <c r="G34" s="17"/>
      <c r="H34" s="23"/>
      <c r="I34" s="17"/>
      <c r="J34" s="17"/>
      <c r="K34" s="18"/>
      <c r="L34" s="20">
        <f>IFERROR(INDEX('Challan Details'!$B$5:$B$204,MATCH(B34,'Challan Details'!$A$5:$A$204,0)),"")</f>
      </c>
      <c r="M34" s="24">
        <f>IFERROR(INDEX('Challan Details'!$D$5:$D$204,MATCH(B34,'Challan Details'!$A$5:$A$204,0)),"")</f>
      </c>
    </row>
    <row r="35" spans="1:13" x14ac:dyDescent="0.25">
      <c r="A35" s="22">
        <f>IF(C35="","",ROW()-3)</f>
      </c>
      <c r="B35" s="18"/>
      <c r="C35" s="18"/>
      <c r="D35" s="18"/>
      <c r="E35" s="18"/>
      <c r="F35" s="16"/>
      <c r="G35" s="17"/>
      <c r="H35" s="23"/>
      <c r="I35" s="17"/>
      <c r="J35" s="17"/>
      <c r="K35" s="18"/>
      <c r="L35" s="20">
        <f>IFERROR(INDEX('Challan Details'!$B$5:$B$204,MATCH(B35,'Challan Details'!$A$5:$A$204,0)),"")</f>
      </c>
      <c r="M35" s="24">
        <f>IFERROR(INDEX('Challan Details'!$D$5:$D$204,MATCH(B35,'Challan Details'!$A$5:$A$204,0)),"")</f>
      </c>
    </row>
    <row r="36" spans="1:13" x14ac:dyDescent="0.25">
      <c r="A36" s="22">
        <f>IF(C36="","",ROW()-3)</f>
      </c>
      <c r="B36" s="18"/>
      <c r="C36" s="18"/>
      <c r="D36" s="18"/>
      <c r="E36" s="18"/>
      <c r="F36" s="16"/>
      <c r="G36" s="17"/>
      <c r="H36" s="23"/>
      <c r="I36" s="17"/>
      <c r="J36" s="17"/>
      <c r="K36" s="18"/>
      <c r="L36" s="20">
        <f>IFERROR(INDEX('Challan Details'!$B$5:$B$204,MATCH(B36,'Challan Details'!$A$5:$A$204,0)),"")</f>
      </c>
      <c r="M36" s="24">
        <f>IFERROR(INDEX('Challan Details'!$D$5:$D$204,MATCH(B36,'Challan Details'!$A$5:$A$204,0)),"")</f>
      </c>
    </row>
    <row r="37" spans="1:13" x14ac:dyDescent="0.25">
      <c r="A37" s="22">
        <f>IF(C37="","",ROW()-3)</f>
      </c>
      <c r="B37" s="18"/>
      <c r="C37" s="18"/>
      <c r="D37" s="18"/>
      <c r="E37" s="18"/>
      <c r="F37" s="16"/>
      <c r="G37" s="17"/>
      <c r="H37" s="23"/>
      <c r="I37" s="17"/>
      <c r="J37" s="17"/>
      <c r="K37" s="18"/>
      <c r="L37" s="20">
        <f>IFERROR(INDEX('Challan Details'!$B$5:$B$204,MATCH(B37,'Challan Details'!$A$5:$A$204,0)),"")</f>
      </c>
      <c r="M37" s="24">
        <f>IFERROR(INDEX('Challan Details'!$D$5:$D$204,MATCH(B37,'Challan Details'!$A$5:$A$204,0)),"")</f>
      </c>
    </row>
    <row r="38" spans="1:13" x14ac:dyDescent="0.25">
      <c r="A38" s="22">
        <f>IF(C38="","",ROW()-3)</f>
      </c>
      <c r="B38" s="18"/>
      <c r="C38" s="18"/>
      <c r="D38" s="18"/>
      <c r="E38" s="18"/>
      <c r="F38" s="16"/>
      <c r="G38" s="17"/>
      <c r="H38" s="23"/>
      <c r="I38" s="17"/>
      <c r="J38" s="17"/>
      <c r="K38" s="18"/>
      <c r="L38" s="20">
        <f>IFERROR(INDEX('Challan Details'!$B$5:$B$204,MATCH(B38,'Challan Details'!$A$5:$A$204,0)),"")</f>
      </c>
      <c r="M38" s="24">
        <f>IFERROR(INDEX('Challan Details'!$D$5:$D$204,MATCH(B38,'Challan Details'!$A$5:$A$204,0)),"")</f>
      </c>
    </row>
    <row r="39" spans="1:13" x14ac:dyDescent="0.25">
      <c r="A39" s="22">
        <f>IF(C39="","",ROW()-3)</f>
      </c>
      <c r="B39" s="18"/>
      <c r="C39" s="18"/>
      <c r="D39" s="18"/>
      <c r="E39" s="18"/>
      <c r="F39" s="16"/>
      <c r="G39" s="17"/>
      <c r="H39" s="23"/>
      <c r="I39" s="17"/>
      <c r="J39" s="17"/>
      <c r="K39" s="18"/>
      <c r="L39" s="20">
        <f>IFERROR(INDEX('Challan Details'!$B$5:$B$204,MATCH(B39,'Challan Details'!$A$5:$A$204,0)),"")</f>
      </c>
      <c r="M39" s="24">
        <f>IFERROR(INDEX('Challan Details'!$D$5:$D$204,MATCH(B39,'Challan Details'!$A$5:$A$204,0)),"")</f>
      </c>
    </row>
    <row r="40" spans="1:13" x14ac:dyDescent="0.25">
      <c r="A40" s="22">
        <f>IF(C40="","",ROW()-3)</f>
      </c>
      <c r="B40" s="18"/>
      <c r="C40" s="18"/>
      <c r="D40" s="18"/>
      <c r="E40" s="18"/>
      <c r="F40" s="16"/>
      <c r="G40" s="17"/>
      <c r="H40" s="23"/>
      <c r="I40" s="17"/>
      <c r="J40" s="17"/>
      <c r="K40" s="18"/>
      <c r="L40" s="20">
        <f>IFERROR(INDEX('Challan Details'!$B$5:$B$204,MATCH(B40,'Challan Details'!$A$5:$A$204,0)),"")</f>
      </c>
      <c r="M40" s="24">
        <f>IFERROR(INDEX('Challan Details'!$D$5:$D$204,MATCH(B40,'Challan Details'!$A$5:$A$204,0)),"")</f>
      </c>
    </row>
    <row r="41" spans="1:13" x14ac:dyDescent="0.25">
      <c r="A41" s="22">
        <f>IF(C41="","",ROW()-3)</f>
      </c>
      <c r="B41" s="18"/>
      <c r="C41" s="18"/>
      <c r="D41" s="18"/>
      <c r="E41" s="18"/>
      <c r="F41" s="16"/>
      <c r="G41" s="17"/>
      <c r="H41" s="23"/>
      <c r="I41" s="17"/>
      <c r="J41" s="17"/>
      <c r="K41" s="18"/>
      <c r="L41" s="20">
        <f>IFERROR(INDEX('Challan Details'!$B$5:$B$204,MATCH(B41,'Challan Details'!$A$5:$A$204,0)),"")</f>
      </c>
      <c r="M41" s="24">
        <f>IFERROR(INDEX('Challan Details'!$D$5:$D$204,MATCH(B41,'Challan Details'!$A$5:$A$204,0)),"")</f>
      </c>
    </row>
    <row r="42" spans="1:13" x14ac:dyDescent="0.25">
      <c r="A42" s="22">
        <f>IF(C42="","",ROW()-3)</f>
      </c>
      <c r="B42" s="18"/>
      <c r="C42" s="18"/>
      <c r="D42" s="18"/>
      <c r="E42" s="18"/>
      <c r="F42" s="16"/>
      <c r="G42" s="17"/>
      <c r="H42" s="23"/>
      <c r="I42" s="17"/>
      <c r="J42" s="17"/>
      <c r="K42" s="18"/>
      <c r="L42" s="20">
        <f>IFERROR(INDEX('Challan Details'!$B$5:$B$204,MATCH(B42,'Challan Details'!$A$5:$A$204,0)),"")</f>
      </c>
      <c r="M42" s="24">
        <f>IFERROR(INDEX('Challan Details'!$D$5:$D$204,MATCH(B42,'Challan Details'!$A$5:$A$204,0)),"")</f>
      </c>
    </row>
    <row r="43" spans="1:13" x14ac:dyDescent="0.25">
      <c r="A43" s="22">
        <f>IF(C43="","",ROW()-3)</f>
      </c>
      <c r="B43" s="18"/>
      <c r="C43" s="18"/>
      <c r="D43" s="18"/>
      <c r="E43" s="18"/>
      <c r="F43" s="16"/>
      <c r="G43" s="17"/>
      <c r="H43" s="23"/>
      <c r="I43" s="17"/>
      <c r="J43" s="17"/>
      <c r="K43" s="18"/>
      <c r="L43" s="20">
        <f>IFERROR(INDEX('Challan Details'!$B$5:$B$204,MATCH(B43,'Challan Details'!$A$5:$A$204,0)),"")</f>
      </c>
      <c r="M43" s="24">
        <f>IFERROR(INDEX('Challan Details'!$D$5:$D$204,MATCH(B43,'Challan Details'!$A$5:$A$204,0)),"")</f>
      </c>
    </row>
    <row r="44" spans="1:13" x14ac:dyDescent="0.25">
      <c r="A44" s="22">
        <f>IF(C44="","",ROW()-3)</f>
      </c>
      <c r="B44" s="18"/>
      <c r="C44" s="18"/>
      <c r="D44" s="18"/>
      <c r="E44" s="18"/>
      <c r="F44" s="16"/>
      <c r="G44" s="17"/>
      <c r="H44" s="23"/>
      <c r="I44" s="17"/>
      <c r="J44" s="17"/>
      <c r="K44" s="18"/>
      <c r="L44" s="20">
        <f>IFERROR(INDEX('Challan Details'!$B$5:$B$204,MATCH(B44,'Challan Details'!$A$5:$A$204,0)),"")</f>
      </c>
      <c r="M44" s="24">
        <f>IFERROR(INDEX('Challan Details'!$D$5:$D$204,MATCH(B44,'Challan Details'!$A$5:$A$204,0)),"")</f>
      </c>
    </row>
    <row r="45" spans="1:13" x14ac:dyDescent="0.25">
      <c r="A45" s="22">
        <f>IF(C45="","",ROW()-3)</f>
      </c>
      <c r="B45" s="18"/>
      <c r="C45" s="18"/>
      <c r="D45" s="18"/>
      <c r="E45" s="18"/>
      <c r="F45" s="16"/>
      <c r="G45" s="17"/>
      <c r="H45" s="23"/>
      <c r="I45" s="17"/>
      <c r="J45" s="17"/>
      <c r="K45" s="18"/>
      <c r="L45" s="20">
        <f>IFERROR(INDEX('Challan Details'!$B$5:$B$204,MATCH(B45,'Challan Details'!$A$5:$A$204,0)),"")</f>
      </c>
      <c r="M45" s="24">
        <f>IFERROR(INDEX('Challan Details'!$D$5:$D$204,MATCH(B45,'Challan Details'!$A$5:$A$204,0)),"")</f>
      </c>
    </row>
    <row r="46" spans="1:13" x14ac:dyDescent="0.25">
      <c r="A46" s="22">
        <f>IF(C46="","",ROW()-3)</f>
      </c>
      <c r="B46" s="18"/>
      <c r="C46" s="18"/>
      <c r="D46" s="18"/>
      <c r="E46" s="18"/>
      <c r="F46" s="16"/>
      <c r="G46" s="17"/>
      <c r="H46" s="23"/>
      <c r="I46" s="17"/>
      <c r="J46" s="17"/>
      <c r="K46" s="18"/>
      <c r="L46" s="20">
        <f>IFERROR(INDEX('Challan Details'!$B$5:$B$204,MATCH(B46,'Challan Details'!$A$5:$A$204,0)),"")</f>
      </c>
      <c r="M46" s="24">
        <f>IFERROR(INDEX('Challan Details'!$D$5:$D$204,MATCH(B46,'Challan Details'!$A$5:$A$204,0)),"")</f>
      </c>
    </row>
    <row r="47" spans="1:13" x14ac:dyDescent="0.25">
      <c r="A47" s="22">
        <f>IF(C47="","",ROW()-3)</f>
      </c>
      <c r="B47" s="18"/>
      <c r="C47" s="18"/>
      <c r="D47" s="18"/>
      <c r="E47" s="18"/>
      <c r="F47" s="16"/>
      <c r="G47" s="17"/>
      <c r="H47" s="23"/>
      <c r="I47" s="17"/>
      <c r="J47" s="17"/>
      <c r="K47" s="18"/>
      <c r="L47" s="20">
        <f>IFERROR(INDEX('Challan Details'!$B$5:$B$204,MATCH(B47,'Challan Details'!$A$5:$A$204,0)),"")</f>
      </c>
      <c r="M47" s="24">
        <f>IFERROR(INDEX('Challan Details'!$D$5:$D$204,MATCH(B47,'Challan Details'!$A$5:$A$204,0)),"")</f>
      </c>
    </row>
    <row r="48" spans="1:13" x14ac:dyDescent="0.25">
      <c r="A48" s="22">
        <f>IF(C48="","",ROW()-3)</f>
      </c>
      <c r="B48" s="18"/>
      <c r="C48" s="18"/>
      <c r="D48" s="18"/>
      <c r="E48" s="18"/>
      <c r="F48" s="16"/>
      <c r="G48" s="17"/>
      <c r="H48" s="23"/>
      <c r="I48" s="17"/>
      <c r="J48" s="17"/>
      <c r="K48" s="18"/>
      <c r="L48" s="20">
        <f>IFERROR(INDEX('Challan Details'!$B$5:$B$204,MATCH(B48,'Challan Details'!$A$5:$A$204,0)),"")</f>
      </c>
      <c r="M48" s="24">
        <f>IFERROR(INDEX('Challan Details'!$D$5:$D$204,MATCH(B48,'Challan Details'!$A$5:$A$204,0)),"")</f>
      </c>
    </row>
    <row r="49" spans="1:13" x14ac:dyDescent="0.25">
      <c r="A49" s="22">
        <f>IF(C49="","",ROW()-3)</f>
      </c>
      <c r="B49" s="18"/>
      <c r="C49" s="18"/>
      <c r="D49" s="18"/>
      <c r="E49" s="18"/>
      <c r="F49" s="16"/>
      <c r="G49" s="17"/>
      <c r="H49" s="23"/>
      <c r="I49" s="17"/>
      <c r="J49" s="17"/>
      <c r="K49" s="18"/>
      <c r="L49" s="20">
        <f>IFERROR(INDEX('Challan Details'!$B$5:$B$204,MATCH(B49,'Challan Details'!$A$5:$A$204,0)),"")</f>
      </c>
      <c r="M49" s="24">
        <f>IFERROR(INDEX('Challan Details'!$D$5:$D$204,MATCH(B49,'Challan Details'!$A$5:$A$204,0)),"")</f>
      </c>
    </row>
    <row r="50" spans="1:13" x14ac:dyDescent="0.25">
      <c r="A50" s="22">
        <f>IF(C50="","",ROW()-3)</f>
      </c>
      <c r="B50" s="18"/>
      <c r="C50" s="18"/>
      <c r="D50" s="18"/>
      <c r="E50" s="18"/>
      <c r="F50" s="16"/>
      <c r="G50" s="17"/>
      <c r="H50" s="23"/>
      <c r="I50" s="17"/>
      <c r="J50" s="17"/>
      <c r="K50" s="18"/>
      <c r="L50" s="20">
        <f>IFERROR(INDEX('Challan Details'!$B$5:$B$204,MATCH(B50,'Challan Details'!$A$5:$A$204,0)),"")</f>
      </c>
      <c r="M50" s="24">
        <f>IFERROR(INDEX('Challan Details'!$D$5:$D$204,MATCH(B50,'Challan Details'!$A$5:$A$204,0)),"")</f>
      </c>
    </row>
    <row r="51" spans="1:13" x14ac:dyDescent="0.25">
      <c r="A51" s="22">
        <f>IF(C51="","",ROW()-3)</f>
      </c>
      <c r="B51" s="18"/>
      <c r="C51" s="18"/>
      <c r="D51" s="18"/>
      <c r="E51" s="18"/>
      <c r="F51" s="16"/>
      <c r="G51" s="17"/>
      <c r="H51" s="23"/>
      <c r="I51" s="17"/>
      <c r="J51" s="17"/>
      <c r="K51" s="18"/>
      <c r="L51" s="20">
        <f>IFERROR(INDEX('Challan Details'!$B$5:$B$204,MATCH(B51,'Challan Details'!$A$5:$A$204,0)),"")</f>
      </c>
      <c r="M51" s="24">
        <f>IFERROR(INDEX('Challan Details'!$D$5:$D$204,MATCH(B51,'Challan Details'!$A$5:$A$204,0)),"")</f>
      </c>
    </row>
    <row r="52" spans="1:13" x14ac:dyDescent="0.25">
      <c r="A52" s="22">
        <f>IF(C52="","",ROW()-3)</f>
      </c>
      <c r="B52" s="18"/>
      <c r="C52" s="18"/>
      <c r="D52" s="18"/>
      <c r="E52" s="18"/>
      <c r="F52" s="16"/>
      <c r="G52" s="17"/>
      <c r="H52" s="23"/>
      <c r="I52" s="17"/>
      <c r="J52" s="17"/>
      <c r="K52" s="18"/>
      <c r="L52" s="20">
        <f>IFERROR(INDEX('Challan Details'!$B$5:$B$204,MATCH(B52,'Challan Details'!$A$5:$A$204,0)),"")</f>
      </c>
      <c r="M52" s="24">
        <f>IFERROR(INDEX('Challan Details'!$D$5:$D$204,MATCH(B52,'Challan Details'!$A$5:$A$204,0)),"")</f>
      </c>
    </row>
    <row r="53" spans="1:13" x14ac:dyDescent="0.25">
      <c r="A53" s="22">
        <f>IF(C53="","",ROW()-3)</f>
      </c>
      <c r="B53" s="18"/>
      <c r="C53" s="18"/>
      <c r="D53" s="18"/>
      <c r="E53" s="18"/>
      <c r="F53" s="16"/>
      <c r="G53" s="17"/>
      <c r="H53" s="23"/>
      <c r="I53" s="17"/>
      <c r="J53" s="17"/>
      <c r="K53" s="18"/>
      <c r="L53" s="20">
        <f>IFERROR(INDEX('Challan Details'!$B$5:$B$204,MATCH(B53,'Challan Details'!$A$5:$A$204,0)),"")</f>
      </c>
      <c r="M53" s="24">
        <f>IFERROR(INDEX('Challan Details'!$D$5:$D$204,MATCH(B53,'Challan Details'!$A$5:$A$204,0)),"")</f>
      </c>
    </row>
    <row r="54" spans="1:13" x14ac:dyDescent="0.25">
      <c r="A54" s="22">
        <f>IF(C54="","",ROW()-3)</f>
      </c>
      <c r="B54" s="18"/>
      <c r="C54" s="18"/>
      <c r="D54" s="18"/>
      <c r="E54" s="18"/>
      <c r="F54" s="16"/>
      <c r="G54" s="17"/>
      <c r="H54" s="23"/>
      <c r="I54" s="17"/>
      <c r="J54" s="17"/>
      <c r="K54" s="18"/>
      <c r="L54" s="20">
        <f>IFERROR(INDEX('Challan Details'!$B$5:$B$204,MATCH(B54,'Challan Details'!$A$5:$A$204,0)),"")</f>
      </c>
      <c r="M54" s="24">
        <f>IFERROR(INDEX('Challan Details'!$D$5:$D$204,MATCH(B54,'Challan Details'!$A$5:$A$204,0)),"")</f>
      </c>
    </row>
    <row r="55" spans="1:13" x14ac:dyDescent="0.25">
      <c r="A55" s="22">
        <f>IF(C55="","",ROW()-3)</f>
      </c>
      <c r="B55" s="18"/>
      <c r="C55" s="18"/>
      <c r="D55" s="18"/>
      <c r="E55" s="18"/>
      <c r="F55" s="16"/>
      <c r="G55" s="17"/>
      <c r="H55" s="23"/>
      <c r="I55" s="17"/>
      <c r="J55" s="17"/>
      <c r="K55" s="18"/>
      <c r="L55" s="20">
        <f>IFERROR(INDEX('Challan Details'!$B$5:$B$204,MATCH(B55,'Challan Details'!$A$5:$A$204,0)),"")</f>
      </c>
      <c r="M55" s="24">
        <f>IFERROR(INDEX('Challan Details'!$D$5:$D$204,MATCH(B55,'Challan Details'!$A$5:$A$204,0)),"")</f>
      </c>
    </row>
    <row r="56" spans="1:13" x14ac:dyDescent="0.25">
      <c r="A56" s="22">
        <f>IF(C56="","",ROW()-3)</f>
      </c>
      <c r="B56" s="18"/>
      <c r="C56" s="18"/>
      <c r="D56" s="18"/>
      <c r="E56" s="18"/>
      <c r="F56" s="16"/>
      <c r="G56" s="17"/>
      <c r="H56" s="23"/>
      <c r="I56" s="17"/>
      <c r="J56" s="17"/>
      <c r="K56" s="18"/>
      <c r="L56" s="20">
        <f>IFERROR(INDEX('Challan Details'!$B$5:$B$204,MATCH(B56,'Challan Details'!$A$5:$A$204,0)),"")</f>
      </c>
      <c r="M56" s="24">
        <f>IFERROR(INDEX('Challan Details'!$D$5:$D$204,MATCH(B56,'Challan Details'!$A$5:$A$204,0)),"")</f>
      </c>
    </row>
    <row r="57" spans="1:13" x14ac:dyDescent="0.25">
      <c r="A57" s="22">
        <f>IF(C57="","",ROW()-3)</f>
      </c>
      <c r="B57" s="18"/>
      <c r="C57" s="18"/>
      <c r="D57" s="18"/>
      <c r="E57" s="18"/>
      <c r="F57" s="16"/>
      <c r="G57" s="17"/>
      <c r="H57" s="23"/>
      <c r="I57" s="17"/>
      <c r="J57" s="17"/>
      <c r="K57" s="18"/>
      <c r="L57" s="20">
        <f>IFERROR(INDEX('Challan Details'!$B$5:$B$204,MATCH(B57,'Challan Details'!$A$5:$A$204,0)),"")</f>
      </c>
      <c r="M57" s="24">
        <f>IFERROR(INDEX('Challan Details'!$D$5:$D$204,MATCH(B57,'Challan Details'!$A$5:$A$204,0)),"")</f>
      </c>
    </row>
    <row r="58" spans="1:13" x14ac:dyDescent="0.25">
      <c r="A58" s="22">
        <f>IF(C58="","",ROW()-3)</f>
      </c>
      <c r="B58" s="18"/>
      <c r="C58" s="18"/>
      <c r="D58" s="18"/>
      <c r="E58" s="18"/>
      <c r="F58" s="16"/>
      <c r="G58" s="17"/>
      <c r="H58" s="23"/>
      <c r="I58" s="17"/>
      <c r="J58" s="17"/>
      <c r="K58" s="18"/>
      <c r="L58" s="20">
        <f>IFERROR(INDEX('Challan Details'!$B$5:$B$204,MATCH(B58,'Challan Details'!$A$5:$A$204,0)),"")</f>
      </c>
      <c r="M58" s="24">
        <f>IFERROR(INDEX('Challan Details'!$D$5:$D$204,MATCH(B58,'Challan Details'!$A$5:$A$204,0)),"")</f>
      </c>
    </row>
    <row r="59" spans="1:13" x14ac:dyDescent="0.25">
      <c r="A59" s="22">
        <f>IF(C59="","",ROW()-3)</f>
      </c>
      <c r="B59" s="18"/>
      <c r="C59" s="18"/>
      <c r="D59" s="18"/>
      <c r="E59" s="18"/>
      <c r="F59" s="16"/>
      <c r="G59" s="17"/>
      <c r="H59" s="23"/>
      <c r="I59" s="17"/>
      <c r="J59" s="17"/>
      <c r="K59" s="18"/>
      <c r="L59" s="20">
        <f>IFERROR(INDEX('Challan Details'!$B$5:$B$204,MATCH(B59,'Challan Details'!$A$5:$A$204,0)),"")</f>
      </c>
      <c r="M59" s="24">
        <f>IFERROR(INDEX('Challan Details'!$D$5:$D$204,MATCH(B59,'Challan Details'!$A$5:$A$204,0)),"")</f>
      </c>
    </row>
    <row r="60" spans="1:13" x14ac:dyDescent="0.25">
      <c r="A60" s="22">
        <f>IF(C60="","",ROW()-3)</f>
      </c>
      <c r="B60" s="18"/>
      <c r="C60" s="18"/>
      <c r="D60" s="18"/>
      <c r="E60" s="18"/>
      <c r="F60" s="16"/>
      <c r="G60" s="17"/>
      <c r="H60" s="23"/>
      <c r="I60" s="17"/>
      <c r="J60" s="17"/>
      <c r="K60" s="18"/>
      <c r="L60" s="20">
        <f>IFERROR(INDEX('Challan Details'!$B$5:$B$204,MATCH(B60,'Challan Details'!$A$5:$A$204,0)),"")</f>
      </c>
      <c r="M60" s="24">
        <f>IFERROR(INDEX('Challan Details'!$D$5:$D$204,MATCH(B60,'Challan Details'!$A$5:$A$204,0)),"")</f>
      </c>
    </row>
    <row r="61" spans="1:13" x14ac:dyDescent="0.25">
      <c r="A61" s="22">
        <f>IF(C61="","",ROW()-3)</f>
      </c>
      <c r="B61" s="18"/>
      <c r="C61" s="18"/>
      <c r="D61" s="18"/>
      <c r="E61" s="18"/>
      <c r="F61" s="16"/>
      <c r="G61" s="17"/>
      <c r="H61" s="23"/>
      <c r="I61" s="17"/>
      <c r="J61" s="17"/>
      <c r="K61" s="18"/>
      <c r="L61" s="20">
        <f>IFERROR(INDEX('Challan Details'!$B$5:$B$204,MATCH(B61,'Challan Details'!$A$5:$A$204,0)),"")</f>
      </c>
      <c r="M61" s="24">
        <f>IFERROR(INDEX('Challan Details'!$D$5:$D$204,MATCH(B61,'Challan Details'!$A$5:$A$204,0)),"")</f>
      </c>
    </row>
    <row r="62" spans="1:13" x14ac:dyDescent="0.25">
      <c r="A62" s="22">
        <f>IF(C62="","",ROW()-3)</f>
      </c>
      <c r="B62" s="18"/>
      <c r="C62" s="18"/>
      <c r="D62" s="18"/>
      <c r="E62" s="18"/>
      <c r="F62" s="16"/>
      <c r="G62" s="17"/>
      <c r="H62" s="23"/>
      <c r="I62" s="17"/>
      <c r="J62" s="17"/>
      <c r="K62" s="18"/>
      <c r="L62" s="20">
        <f>IFERROR(INDEX('Challan Details'!$B$5:$B$204,MATCH(B62,'Challan Details'!$A$5:$A$204,0)),"")</f>
      </c>
      <c r="M62" s="24">
        <f>IFERROR(INDEX('Challan Details'!$D$5:$D$204,MATCH(B62,'Challan Details'!$A$5:$A$204,0)),"")</f>
      </c>
    </row>
    <row r="63" spans="1:13" x14ac:dyDescent="0.25">
      <c r="A63" s="22">
        <f>IF(C63="","",ROW()-3)</f>
      </c>
      <c r="B63" s="18"/>
      <c r="C63" s="18"/>
      <c r="D63" s="18"/>
      <c r="E63" s="18"/>
      <c r="F63" s="16"/>
      <c r="G63" s="17"/>
      <c r="H63" s="23"/>
      <c r="I63" s="17"/>
      <c r="J63" s="17"/>
      <c r="K63" s="18"/>
      <c r="L63" s="20">
        <f>IFERROR(INDEX('Challan Details'!$B$5:$B$204,MATCH(B63,'Challan Details'!$A$5:$A$204,0)),"")</f>
      </c>
      <c r="M63" s="24">
        <f>IFERROR(INDEX('Challan Details'!$D$5:$D$204,MATCH(B63,'Challan Details'!$A$5:$A$204,0)),"")</f>
      </c>
    </row>
    <row r="64" spans="1:13" x14ac:dyDescent="0.25">
      <c r="A64" s="22">
        <f>IF(C64="","",ROW()-3)</f>
      </c>
      <c r="B64" s="18"/>
      <c r="C64" s="18"/>
      <c r="D64" s="18"/>
      <c r="E64" s="18"/>
      <c r="F64" s="16"/>
      <c r="G64" s="17"/>
      <c r="H64" s="23"/>
      <c r="I64" s="17"/>
      <c r="J64" s="17"/>
      <c r="K64" s="18"/>
      <c r="L64" s="20">
        <f>IFERROR(INDEX('Challan Details'!$B$5:$B$204,MATCH(B64,'Challan Details'!$A$5:$A$204,0)),"")</f>
      </c>
      <c r="M64" s="24">
        <f>IFERROR(INDEX('Challan Details'!$D$5:$D$204,MATCH(B64,'Challan Details'!$A$5:$A$204,0)),"")</f>
      </c>
    </row>
    <row r="65" spans="1:13" x14ac:dyDescent="0.25">
      <c r="A65" s="22">
        <f>IF(C65="","",ROW()-3)</f>
      </c>
      <c r="B65" s="18"/>
      <c r="C65" s="18"/>
      <c r="D65" s="18"/>
      <c r="E65" s="18"/>
      <c r="F65" s="16"/>
      <c r="G65" s="17"/>
      <c r="H65" s="23"/>
      <c r="I65" s="17"/>
      <c r="J65" s="17"/>
      <c r="K65" s="18"/>
      <c r="L65" s="20">
        <f>IFERROR(INDEX('Challan Details'!$B$5:$B$204,MATCH(B65,'Challan Details'!$A$5:$A$204,0)),"")</f>
      </c>
      <c r="M65" s="24">
        <f>IFERROR(INDEX('Challan Details'!$D$5:$D$204,MATCH(B65,'Challan Details'!$A$5:$A$204,0)),"")</f>
      </c>
    </row>
    <row r="66" spans="1:13" x14ac:dyDescent="0.25">
      <c r="A66" s="22">
        <f>IF(C66="","",ROW()-3)</f>
      </c>
      <c r="B66" s="18"/>
      <c r="C66" s="18"/>
      <c r="D66" s="18"/>
      <c r="E66" s="18"/>
      <c r="F66" s="16"/>
      <c r="G66" s="17"/>
      <c r="H66" s="23"/>
      <c r="I66" s="17"/>
      <c r="J66" s="17"/>
      <c r="K66" s="18"/>
      <c r="L66" s="20">
        <f>IFERROR(INDEX('Challan Details'!$B$5:$B$204,MATCH(B66,'Challan Details'!$A$5:$A$204,0)),"")</f>
      </c>
      <c r="M66" s="24">
        <f>IFERROR(INDEX('Challan Details'!$D$5:$D$204,MATCH(B66,'Challan Details'!$A$5:$A$204,0)),"")</f>
      </c>
    </row>
    <row r="67" spans="1:13" x14ac:dyDescent="0.25">
      <c r="A67" s="22">
        <f>IF(C67="","",ROW()-3)</f>
      </c>
      <c r="B67" s="18"/>
      <c r="C67" s="18"/>
      <c r="D67" s="18"/>
      <c r="E67" s="18"/>
      <c r="F67" s="16"/>
      <c r="G67" s="17"/>
      <c r="H67" s="23"/>
      <c r="I67" s="17"/>
      <c r="J67" s="17"/>
      <c r="K67" s="18"/>
      <c r="L67" s="20">
        <f>IFERROR(INDEX('Challan Details'!$B$5:$B$204,MATCH(B67,'Challan Details'!$A$5:$A$204,0)),"")</f>
      </c>
      <c r="M67" s="24">
        <f>IFERROR(INDEX('Challan Details'!$D$5:$D$204,MATCH(B67,'Challan Details'!$A$5:$A$204,0)),"")</f>
      </c>
    </row>
    <row r="68" spans="1:13" x14ac:dyDescent="0.25">
      <c r="A68" s="22">
        <f>IF(C68="","",ROW()-3)</f>
      </c>
      <c r="B68" s="18"/>
      <c r="C68" s="18"/>
      <c r="D68" s="18"/>
      <c r="E68" s="18"/>
      <c r="F68" s="16"/>
      <c r="G68" s="17"/>
      <c r="H68" s="23"/>
      <c r="I68" s="17"/>
      <c r="J68" s="17"/>
      <c r="K68" s="18"/>
      <c r="L68" s="20">
        <f>IFERROR(INDEX('Challan Details'!$B$5:$B$204,MATCH(B68,'Challan Details'!$A$5:$A$204,0)),"")</f>
      </c>
      <c r="M68" s="24">
        <f>IFERROR(INDEX('Challan Details'!$D$5:$D$204,MATCH(B68,'Challan Details'!$A$5:$A$204,0)),"")</f>
      </c>
    </row>
    <row r="69" spans="1:13" x14ac:dyDescent="0.25">
      <c r="A69" s="22">
        <f>IF(C69="","",ROW()-3)</f>
      </c>
      <c r="B69" s="18"/>
      <c r="C69" s="18"/>
      <c r="D69" s="18"/>
      <c r="E69" s="18"/>
      <c r="F69" s="16"/>
      <c r="G69" s="17"/>
      <c r="H69" s="23"/>
      <c r="I69" s="17"/>
      <c r="J69" s="17"/>
      <c r="K69" s="18"/>
      <c r="L69" s="20">
        <f>IFERROR(INDEX('Challan Details'!$B$5:$B$204,MATCH(B69,'Challan Details'!$A$5:$A$204,0)),"")</f>
      </c>
      <c r="M69" s="24">
        <f>IFERROR(INDEX('Challan Details'!$D$5:$D$204,MATCH(B69,'Challan Details'!$A$5:$A$204,0)),"")</f>
      </c>
    </row>
    <row r="70" spans="1:13" x14ac:dyDescent="0.25">
      <c r="A70" s="22">
        <f>IF(C70="","",ROW()-3)</f>
      </c>
      <c r="B70" s="18"/>
      <c r="C70" s="18"/>
      <c r="D70" s="18"/>
      <c r="E70" s="18"/>
      <c r="F70" s="16"/>
      <c r="G70" s="17"/>
      <c r="H70" s="23"/>
      <c r="I70" s="17"/>
      <c r="J70" s="17"/>
      <c r="K70" s="18"/>
      <c r="L70" s="20">
        <f>IFERROR(INDEX('Challan Details'!$B$5:$B$204,MATCH(B70,'Challan Details'!$A$5:$A$204,0)),"")</f>
      </c>
      <c r="M70" s="24">
        <f>IFERROR(INDEX('Challan Details'!$D$5:$D$204,MATCH(B70,'Challan Details'!$A$5:$A$204,0)),"")</f>
      </c>
    </row>
    <row r="71" spans="1:13" x14ac:dyDescent="0.25">
      <c r="A71" s="22">
        <f>IF(C71="","",ROW()-3)</f>
      </c>
      <c r="B71" s="18"/>
      <c r="C71" s="18"/>
      <c r="D71" s="18"/>
      <c r="E71" s="18"/>
      <c r="F71" s="16"/>
      <c r="G71" s="17"/>
      <c r="H71" s="23"/>
      <c r="I71" s="17"/>
      <c r="J71" s="17"/>
      <c r="K71" s="18"/>
      <c r="L71" s="20">
        <f>IFERROR(INDEX('Challan Details'!$B$5:$B$204,MATCH(B71,'Challan Details'!$A$5:$A$204,0)),"")</f>
      </c>
      <c r="M71" s="24">
        <f>IFERROR(INDEX('Challan Details'!$D$5:$D$204,MATCH(B71,'Challan Details'!$A$5:$A$204,0)),"")</f>
      </c>
    </row>
    <row r="72" spans="1:13" x14ac:dyDescent="0.25">
      <c r="A72" s="22">
        <f>IF(C72="","",ROW()-3)</f>
      </c>
      <c r="B72" s="18"/>
      <c r="C72" s="18"/>
      <c r="D72" s="18"/>
      <c r="E72" s="18"/>
      <c r="F72" s="16"/>
      <c r="G72" s="17"/>
      <c r="H72" s="23"/>
      <c r="I72" s="17"/>
      <c r="J72" s="17"/>
      <c r="K72" s="18"/>
      <c r="L72" s="20">
        <f>IFERROR(INDEX('Challan Details'!$B$5:$B$204,MATCH(B72,'Challan Details'!$A$5:$A$204,0)),"")</f>
      </c>
      <c r="M72" s="24">
        <f>IFERROR(INDEX('Challan Details'!$D$5:$D$204,MATCH(B72,'Challan Details'!$A$5:$A$204,0)),"")</f>
      </c>
    </row>
    <row r="73" spans="1:13" x14ac:dyDescent="0.25">
      <c r="A73" s="22">
        <f>IF(C73="","",ROW()-3)</f>
      </c>
      <c r="B73" s="18"/>
      <c r="C73" s="18"/>
      <c r="D73" s="18"/>
      <c r="E73" s="18"/>
      <c r="F73" s="16"/>
      <c r="G73" s="17"/>
      <c r="H73" s="23"/>
      <c r="I73" s="17"/>
      <c r="J73" s="17"/>
      <c r="K73" s="18"/>
      <c r="L73" s="20">
        <f>IFERROR(INDEX('Challan Details'!$B$5:$B$204,MATCH(B73,'Challan Details'!$A$5:$A$204,0)),"")</f>
      </c>
      <c r="M73" s="24">
        <f>IFERROR(INDEX('Challan Details'!$D$5:$D$204,MATCH(B73,'Challan Details'!$A$5:$A$204,0)),"")</f>
      </c>
    </row>
    <row r="74" spans="1:13" x14ac:dyDescent="0.25">
      <c r="A74" s="22">
        <f>IF(C74="","",ROW()-3)</f>
      </c>
      <c r="B74" s="18"/>
      <c r="C74" s="18"/>
      <c r="D74" s="18"/>
      <c r="E74" s="18"/>
      <c r="F74" s="16"/>
      <c r="G74" s="17"/>
      <c r="H74" s="23"/>
      <c r="I74" s="17"/>
      <c r="J74" s="17"/>
      <c r="K74" s="18"/>
      <c r="L74" s="20">
        <f>IFERROR(INDEX('Challan Details'!$B$5:$B$204,MATCH(B74,'Challan Details'!$A$5:$A$204,0)),"")</f>
      </c>
      <c r="M74" s="24">
        <f>IFERROR(INDEX('Challan Details'!$D$5:$D$204,MATCH(B74,'Challan Details'!$A$5:$A$204,0)),"")</f>
      </c>
    </row>
    <row r="75" spans="1:13" x14ac:dyDescent="0.25">
      <c r="A75" s="22">
        <f>IF(C75="","",ROW()-3)</f>
      </c>
      <c r="B75" s="18"/>
      <c r="C75" s="18"/>
      <c r="D75" s="18"/>
      <c r="E75" s="18"/>
      <c r="F75" s="16"/>
      <c r="G75" s="17"/>
      <c r="H75" s="23"/>
      <c r="I75" s="17"/>
      <c r="J75" s="17"/>
      <c r="K75" s="18"/>
      <c r="L75" s="20">
        <f>IFERROR(INDEX('Challan Details'!$B$5:$B$204,MATCH(B75,'Challan Details'!$A$5:$A$204,0)),"")</f>
      </c>
      <c r="M75" s="24">
        <f>IFERROR(INDEX('Challan Details'!$D$5:$D$204,MATCH(B75,'Challan Details'!$A$5:$A$204,0)),"")</f>
      </c>
    </row>
    <row r="76" spans="1:13" x14ac:dyDescent="0.25">
      <c r="A76" s="22">
        <f>IF(C76="","",ROW()-3)</f>
      </c>
      <c r="B76" s="18"/>
      <c r="C76" s="18"/>
      <c r="D76" s="18"/>
      <c r="E76" s="18"/>
      <c r="F76" s="16"/>
      <c r="G76" s="17"/>
      <c r="H76" s="23"/>
      <c r="I76" s="17"/>
      <c r="J76" s="17"/>
      <c r="K76" s="18"/>
      <c r="L76" s="20">
        <f>IFERROR(INDEX('Challan Details'!$B$5:$B$204,MATCH(B76,'Challan Details'!$A$5:$A$204,0)),"")</f>
      </c>
      <c r="M76" s="24">
        <f>IFERROR(INDEX('Challan Details'!$D$5:$D$204,MATCH(B76,'Challan Details'!$A$5:$A$204,0)),"")</f>
      </c>
    </row>
    <row r="77" spans="1:13" x14ac:dyDescent="0.25">
      <c r="A77" s="22">
        <f>IF(C77="","",ROW()-3)</f>
      </c>
      <c r="B77" s="18"/>
      <c r="C77" s="18"/>
      <c r="D77" s="18"/>
      <c r="E77" s="18"/>
      <c r="F77" s="16"/>
      <c r="G77" s="17"/>
      <c r="H77" s="23"/>
      <c r="I77" s="17"/>
      <c r="J77" s="17"/>
      <c r="K77" s="18"/>
      <c r="L77" s="20">
        <f>IFERROR(INDEX('Challan Details'!$B$5:$B$204,MATCH(B77,'Challan Details'!$A$5:$A$204,0)),"")</f>
      </c>
      <c r="M77" s="24">
        <f>IFERROR(INDEX('Challan Details'!$D$5:$D$204,MATCH(B77,'Challan Details'!$A$5:$A$204,0)),"")</f>
      </c>
    </row>
    <row r="78" spans="1:13" x14ac:dyDescent="0.25">
      <c r="A78" s="22">
        <f>IF(C78="","",ROW()-3)</f>
      </c>
      <c r="B78" s="18"/>
      <c r="C78" s="18"/>
      <c r="D78" s="18"/>
      <c r="E78" s="18"/>
      <c r="F78" s="16"/>
      <c r="G78" s="17"/>
      <c r="H78" s="23"/>
      <c r="I78" s="17"/>
      <c r="J78" s="17"/>
      <c r="K78" s="18"/>
      <c r="L78" s="20">
        <f>IFERROR(INDEX('Challan Details'!$B$5:$B$204,MATCH(B78,'Challan Details'!$A$5:$A$204,0)),"")</f>
      </c>
      <c r="M78" s="24">
        <f>IFERROR(INDEX('Challan Details'!$D$5:$D$204,MATCH(B78,'Challan Details'!$A$5:$A$204,0)),"")</f>
      </c>
    </row>
    <row r="79" spans="1:13" x14ac:dyDescent="0.25">
      <c r="A79" s="22">
        <f>IF(C79="","",ROW()-3)</f>
      </c>
      <c r="B79" s="18"/>
      <c r="C79" s="18"/>
      <c r="D79" s="18"/>
      <c r="E79" s="18"/>
      <c r="F79" s="16"/>
      <c r="G79" s="17"/>
      <c r="H79" s="23"/>
      <c r="I79" s="17"/>
      <c r="J79" s="17"/>
      <c r="K79" s="18"/>
      <c r="L79" s="20">
        <f>IFERROR(INDEX('Challan Details'!$B$5:$B$204,MATCH(B79,'Challan Details'!$A$5:$A$204,0)),"")</f>
      </c>
      <c r="M79" s="24">
        <f>IFERROR(INDEX('Challan Details'!$D$5:$D$204,MATCH(B79,'Challan Details'!$A$5:$A$204,0)),"")</f>
      </c>
    </row>
    <row r="80" spans="1:13" x14ac:dyDescent="0.25">
      <c r="A80" s="22">
        <f>IF(C80="","",ROW()-3)</f>
      </c>
      <c r="B80" s="18"/>
      <c r="C80" s="18"/>
      <c r="D80" s="18"/>
      <c r="E80" s="18"/>
      <c r="F80" s="16"/>
      <c r="G80" s="17"/>
      <c r="H80" s="23"/>
      <c r="I80" s="17"/>
      <c r="J80" s="17"/>
      <c r="K80" s="18"/>
      <c r="L80" s="20">
        <f>IFERROR(INDEX('Challan Details'!$B$5:$B$204,MATCH(B80,'Challan Details'!$A$5:$A$204,0)),"")</f>
      </c>
      <c r="M80" s="24">
        <f>IFERROR(INDEX('Challan Details'!$D$5:$D$204,MATCH(B80,'Challan Details'!$A$5:$A$204,0)),"")</f>
      </c>
    </row>
    <row r="81" spans="1:13" x14ac:dyDescent="0.25">
      <c r="A81" s="22">
        <f>IF(C81="","",ROW()-3)</f>
      </c>
      <c r="B81" s="18"/>
      <c r="C81" s="18"/>
      <c r="D81" s="18"/>
      <c r="E81" s="18"/>
      <c r="F81" s="16"/>
      <c r="G81" s="17"/>
      <c r="H81" s="23"/>
      <c r="I81" s="17"/>
      <c r="J81" s="17"/>
      <c r="K81" s="18"/>
      <c r="L81" s="20">
        <f>IFERROR(INDEX('Challan Details'!$B$5:$B$204,MATCH(B81,'Challan Details'!$A$5:$A$204,0)),"")</f>
      </c>
      <c r="M81" s="24">
        <f>IFERROR(INDEX('Challan Details'!$D$5:$D$204,MATCH(B81,'Challan Details'!$A$5:$A$204,0)),"")</f>
      </c>
    </row>
    <row r="82" spans="1:13" x14ac:dyDescent="0.25">
      <c r="A82" s="22">
        <f>IF(C82="","",ROW()-3)</f>
      </c>
      <c r="B82" s="18"/>
      <c r="C82" s="18"/>
      <c r="D82" s="18"/>
      <c r="E82" s="18"/>
      <c r="F82" s="16"/>
      <c r="G82" s="17"/>
      <c r="H82" s="23"/>
      <c r="I82" s="17"/>
      <c r="J82" s="17"/>
      <c r="K82" s="18"/>
      <c r="L82" s="20">
        <f>IFERROR(INDEX('Challan Details'!$B$5:$B$204,MATCH(B82,'Challan Details'!$A$5:$A$204,0)),"")</f>
      </c>
      <c r="M82" s="24">
        <f>IFERROR(INDEX('Challan Details'!$D$5:$D$204,MATCH(B82,'Challan Details'!$A$5:$A$204,0)),"")</f>
      </c>
    </row>
    <row r="83" spans="1:13" x14ac:dyDescent="0.25">
      <c r="A83" s="22">
        <f>IF(C83="","",ROW()-3)</f>
      </c>
      <c r="B83" s="18"/>
      <c r="C83" s="18"/>
      <c r="D83" s="18"/>
      <c r="E83" s="18"/>
      <c r="F83" s="16"/>
      <c r="G83" s="17"/>
      <c r="H83" s="23"/>
      <c r="I83" s="17"/>
      <c r="J83" s="17"/>
      <c r="K83" s="18"/>
      <c r="L83" s="20">
        <f>IFERROR(INDEX('Challan Details'!$B$5:$B$204,MATCH(B83,'Challan Details'!$A$5:$A$204,0)),"")</f>
      </c>
      <c r="M83" s="24">
        <f>IFERROR(INDEX('Challan Details'!$D$5:$D$204,MATCH(B83,'Challan Details'!$A$5:$A$204,0)),"")</f>
      </c>
    </row>
    <row r="84" spans="1:13" x14ac:dyDescent="0.25">
      <c r="A84" s="22">
        <f>IF(C84="","",ROW()-3)</f>
      </c>
      <c r="B84" s="18"/>
      <c r="C84" s="18"/>
      <c r="D84" s="18"/>
      <c r="E84" s="18"/>
      <c r="F84" s="16"/>
      <c r="G84" s="17"/>
      <c r="H84" s="23"/>
      <c r="I84" s="17"/>
      <c r="J84" s="17"/>
      <c r="K84" s="18"/>
      <c r="L84" s="20">
        <f>IFERROR(INDEX('Challan Details'!$B$5:$B$204,MATCH(B84,'Challan Details'!$A$5:$A$204,0)),"")</f>
      </c>
      <c r="M84" s="24">
        <f>IFERROR(INDEX('Challan Details'!$D$5:$D$204,MATCH(B84,'Challan Details'!$A$5:$A$204,0)),"")</f>
      </c>
    </row>
    <row r="85" spans="1:13" x14ac:dyDescent="0.25">
      <c r="A85" s="22">
        <f>IF(C85="","",ROW()-3)</f>
      </c>
      <c r="B85" s="18"/>
      <c r="C85" s="18"/>
      <c r="D85" s="18"/>
      <c r="E85" s="18"/>
      <c r="F85" s="16"/>
      <c r="G85" s="17"/>
      <c r="H85" s="23"/>
      <c r="I85" s="17"/>
      <c r="J85" s="17"/>
      <c r="K85" s="18"/>
      <c r="L85" s="20">
        <f>IFERROR(INDEX('Challan Details'!$B$5:$B$204,MATCH(B85,'Challan Details'!$A$5:$A$204,0)),"")</f>
      </c>
      <c r="M85" s="24">
        <f>IFERROR(INDEX('Challan Details'!$D$5:$D$204,MATCH(B85,'Challan Details'!$A$5:$A$204,0)),"")</f>
      </c>
    </row>
    <row r="86" spans="1:13" x14ac:dyDescent="0.25">
      <c r="A86" s="22">
        <f>IF(C86="","",ROW()-3)</f>
      </c>
      <c r="B86" s="18"/>
      <c r="C86" s="18"/>
      <c r="D86" s="18"/>
      <c r="E86" s="18"/>
      <c r="F86" s="16"/>
      <c r="G86" s="17"/>
      <c r="H86" s="23"/>
      <c r="I86" s="17"/>
      <c r="J86" s="17"/>
      <c r="K86" s="18"/>
      <c r="L86" s="20">
        <f>IFERROR(INDEX('Challan Details'!$B$5:$B$204,MATCH(B86,'Challan Details'!$A$5:$A$204,0)),"")</f>
      </c>
      <c r="M86" s="24">
        <f>IFERROR(INDEX('Challan Details'!$D$5:$D$204,MATCH(B86,'Challan Details'!$A$5:$A$204,0)),"")</f>
      </c>
    </row>
    <row r="87" spans="1:13" x14ac:dyDescent="0.25">
      <c r="A87" s="22">
        <f>IF(C87="","",ROW()-3)</f>
      </c>
      <c r="B87" s="18"/>
      <c r="C87" s="18"/>
      <c r="D87" s="18"/>
      <c r="E87" s="18"/>
      <c r="F87" s="16"/>
      <c r="G87" s="17"/>
      <c r="H87" s="23"/>
      <c r="I87" s="17"/>
      <c r="J87" s="17"/>
      <c r="K87" s="18"/>
      <c r="L87" s="20">
        <f>IFERROR(INDEX('Challan Details'!$B$5:$B$204,MATCH(B87,'Challan Details'!$A$5:$A$204,0)),"")</f>
      </c>
      <c r="M87" s="24">
        <f>IFERROR(INDEX('Challan Details'!$D$5:$D$204,MATCH(B87,'Challan Details'!$A$5:$A$204,0)),"")</f>
      </c>
    </row>
    <row r="88" spans="1:13" x14ac:dyDescent="0.25">
      <c r="A88" s="22">
        <f>IF(C88="","",ROW()-3)</f>
      </c>
      <c r="B88" s="18"/>
      <c r="C88" s="18"/>
      <c r="D88" s="18"/>
      <c r="E88" s="18"/>
      <c r="F88" s="16"/>
      <c r="G88" s="17"/>
      <c r="H88" s="23"/>
      <c r="I88" s="17"/>
      <c r="J88" s="17"/>
      <c r="K88" s="18"/>
      <c r="L88" s="20">
        <f>IFERROR(INDEX('Challan Details'!$B$5:$B$204,MATCH(B88,'Challan Details'!$A$5:$A$204,0)),"")</f>
      </c>
      <c r="M88" s="24">
        <f>IFERROR(INDEX('Challan Details'!$D$5:$D$204,MATCH(B88,'Challan Details'!$A$5:$A$204,0)),"")</f>
      </c>
    </row>
    <row r="89" spans="1:13" x14ac:dyDescent="0.25">
      <c r="A89" s="22">
        <f>IF(C89="","",ROW()-3)</f>
      </c>
      <c r="B89" s="18"/>
      <c r="C89" s="18"/>
      <c r="D89" s="18"/>
      <c r="E89" s="18"/>
      <c r="F89" s="16"/>
      <c r="G89" s="17"/>
      <c r="H89" s="23"/>
      <c r="I89" s="17"/>
      <c r="J89" s="17"/>
      <c r="K89" s="18"/>
      <c r="L89" s="20">
        <f>IFERROR(INDEX('Challan Details'!$B$5:$B$204,MATCH(B89,'Challan Details'!$A$5:$A$204,0)),"")</f>
      </c>
      <c r="M89" s="24">
        <f>IFERROR(INDEX('Challan Details'!$D$5:$D$204,MATCH(B89,'Challan Details'!$A$5:$A$204,0)),"")</f>
      </c>
    </row>
    <row r="90" spans="1:13" x14ac:dyDescent="0.25">
      <c r="A90" s="22">
        <f>IF(C90="","",ROW()-3)</f>
      </c>
      <c r="B90" s="18"/>
      <c r="C90" s="18"/>
      <c r="D90" s="18"/>
      <c r="E90" s="18"/>
      <c r="F90" s="16"/>
      <c r="G90" s="17"/>
      <c r="H90" s="23"/>
      <c r="I90" s="17"/>
      <c r="J90" s="17"/>
      <c r="K90" s="18"/>
      <c r="L90" s="20">
        <f>IFERROR(INDEX('Challan Details'!$B$5:$B$204,MATCH(B90,'Challan Details'!$A$5:$A$204,0)),"")</f>
      </c>
      <c r="M90" s="24">
        <f>IFERROR(INDEX('Challan Details'!$D$5:$D$204,MATCH(B90,'Challan Details'!$A$5:$A$204,0)),"")</f>
      </c>
    </row>
    <row r="91" spans="1:13" x14ac:dyDescent="0.25">
      <c r="A91" s="22">
        <f>IF(C91="","",ROW()-3)</f>
      </c>
      <c r="B91" s="18"/>
      <c r="C91" s="18"/>
      <c r="D91" s="18"/>
      <c r="E91" s="18"/>
      <c r="F91" s="16"/>
      <c r="G91" s="17"/>
      <c r="H91" s="23"/>
      <c r="I91" s="17"/>
      <c r="J91" s="17"/>
      <c r="K91" s="18"/>
      <c r="L91" s="20">
        <f>IFERROR(INDEX('Challan Details'!$B$5:$B$204,MATCH(B91,'Challan Details'!$A$5:$A$204,0)),"")</f>
      </c>
      <c r="M91" s="24">
        <f>IFERROR(INDEX('Challan Details'!$D$5:$D$204,MATCH(B91,'Challan Details'!$A$5:$A$204,0)),"")</f>
      </c>
    </row>
    <row r="92" spans="1:13" x14ac:dyDescent="0.25">
      <c r="A92" s="22">
        <f>IF(C92="","",ROW()-3)</f>
      </c>
      <c r="B92" s="18"/>
      <c r="C92" s="18"/>
      <c r="D92" s="18"/>
      <c r="E92" s="18"/>
      <c r="F92" s="16"/>
      <c r="G92" s="17"/>
      <c r="H92" s="23"/>
      <c r="I92" s="17"/>
      <c r="J92" s="17"/>
      <c r="K92" s="18"/>
      <c r="L92" s="20">
        <f>IFERROR(INDEX('Challan Details'!$B$5:$B$204,MATCH(B92,'Challan Details'!$A$5:$A$204,0)),"")</f>
      </c>
      <c r="M92" s="24">
        <f>IFERROR(INDEX('Challan Details'!$D$5:$D$204,MATCH(B92,'Challan Details'!$A$5:$A$204,0)),"")</f>
      </c>
    </row>
    <row r="93" spans="1:13" x14ac:dyDescent="0.25">
      <c r="A93" s="22">
        <f>IF(C93="","",ROW()-3)</f>
      </c>
      <c r="B93" s="18"/>
      <c r="C93" s="18"/>
      <c r="D93" s="18"/>
      <c r="E93" s="18"/>
      <c r="F93" s="16"/>
      <c r="G93" s="17"/>
      <c r="H93" s="23"/>
      <c r="I93" s="17"/>
      <c r="J93" s="17"/>
      <c r="K93" s="18"/>
      <c r="L93" s="20">
        <f>IFERROR(INDEX('Challan Details'!$B$5:$B$204,MATCH(B93,'Challan Details'!$A$5:$A$204,0)),"")</f>
      </c>
      <c r="M93" s="24">
        <f>IFERROR(INDEX('Challan Details'!$D$5:$D$204,MATCH(B93,'Challan Details'!$A$5:$A$204,0)),"")</f>
      </c>
    </row>
    <row r="94" spans="1:13" x14ac:dyDescent="0.25">
      <c r="A94" s="22">
        <f>IF(C94="","",ROW()-3)</f>
      </c>
      <c r="B94" s="18"/>
      <c r="C94" s="18"/>
      <c r="D94" s="18"/>
      <c r="E94" s="18"/>
      <c r="F94" s="16"/>
      <c r="G94" s="17"/>
      <c r="H94" s="23"/>
      <c r="I94" s="17"/>
      <c r="J94" s="17"/>
      <c r="K94" s="18"/>
      <c r="L94" s="20">
        <f>IFERROR(INDEX('Challan Details'!$B$5:$B$204,MATCH(B94,'Challan Details'!$A$5:$A$204,0)),"")</f>
      </c>
      <c r="M94" s="24">
        <f>IFERROR(INDEX('Challan Details'!$D$5:$D$204,MATCH(B94,'Challan Details'!$A$5:$A$204,0)),"")</f>
      </c>
    </row>
    <row r="95" spans="1:13" x14ac:dyDescent="0.25">
      <c r="A95" s="22">
        <f>IF(C95="","",ROW()-3)</f>
      </c>
      <c r="B95" s="18"/>
      <c r="C95" s="18"/>
      <c r="D95" s="18"/>
      <c r="E95" s="18"/>
      <c r="F95" s="16"/>
      <c r="G95" s="17"/>
      <c r="H95" s="23"/>
      <c r="I95" s="17"/>
      <c r="J95" s="17"/>
      <c r="K95" s="18"/>
      <c r="L95" s="20">
        <f>IFERROR(INDEX('Challan Details'!$B$5:$B$204,MATCH(B95,'Challan Details'!$A$5:$A$204,0)),"")</f>
      </c>
      <c r="M95" s="24">
        <f>IFERROR(INDEX('Challan Details'!$D$5:$D$204,MATCH(B95,'Challan Details'!$A$5:$A$204,0)),"")</f>
      </c>
    </row>
    <row r="96" spans="1:13" x14ac:dyDescent="0.25">
      <c r="A96" s="22">
        <f>IF(C96="","",ROW()-3)</f>
      </c>
      <c r="B96" s="18"/>
      <c r="C96" s="18"/>
      <c r="D96" s="18"/>
      <c r="E96" s="18"/>
      <c r="F96" s="16"/>
      <c r="G96" s="17"/>
      <c r="H96" s="23"/>
      <c r="I96" s="17"/>
      <c r="J96" s="17"/>
      <c r="K96" s="18"/>
      <c r="L96" s="20">
        <f>IFERROR(INDEX('Challan Details'!$B$5:$B$204,MATCH(B96,'Challan Details'!$A$5:$A$204,0)),"")</f>
      </c>
      <c r="M96" s="24">
        <f>IFERROR(INDEX('Challan Details'!$D$5:$D$204,MATCH(B96,'Challan Details'!$A$5:$A$204,0)),"")</f>
      </c>
    </row>
    <row r="97" spans="1:13" x14ac:dyDescent="0.25">
      <c r="A97" s="22">
        <f>IF(C97="","",ROW()-3)</f>
      </c>
      <c r="B97" s="18"/>
      <c r="C97" s="18"/>
      <c r="D97" s="18"/>
      <c r="E97" s="18"/>
      <c r="F97" s="16"/>
      <c r="G97" s="17"/>
      <c r="H97" s="23"/>
      <c r="I97" s="17"/>
      <c r="J97" s="17"/>
      <c r="K97" s="18"/>
      <c r="L97" s="20">
        <f>IFERROR(INDEX('Challan Details'!$B$5:$B$204,MATCH(B97,'Challan Details'!$A$5:$A$204,0)),"")</f>
      </c>
      <c r="M97" s="24">
        <f>IFERROR(INDEX('Challan Details'!$D$5:$D$204,MATCH(B97,'Challan Details'!$A$5:$A$204,0)),"")</f>
      </c>
    </row>
    <row r="98" spans="1:13" x14ac:dyDescent="0.25">
      <c r="A98" s="22">
        <f>IF(C98="","",ROW()-3)</f>
      </c>
      <c r="B98" s="18"/>
      <c r="C98" s="18"/>
      <c r="D98" s="18"/>
      <c r="E98" s="18"/>
      <c r="F98" s="16"/>
      <c r="G98" s="17"/>
      <c r="H98" s="23"/>
      <c r="I98" s="17"/>
      <c r="J98" s="17"/>
      <c r="K98" s="18"/>
      <c r="L98" s="20">
        <f>IFERROR(INDEX('Challan Details'!$B$5:$B$204,MATCH(B98,'Challan Details'!$A$5:$A$204,0)),"")</f>
      </c>
      <c r="M98" s="24">
        <f>IFERROR(INDEX('Challan Details'!$D$5:$D$204,MATCH(B98,'Challan Details'!$A$5:$A$204,0)),"")</f>
      </c>
    </row>
    <row r="99" spans="1:13" x14ac:dyDescent="0.25">
      <c r="A99" s="22">
        <f>IF(C99="","",ROW()-3)</f>
      </c>
      <c r="B99" s="18"/>
      <c r="C99" s="18"/>
      <c r="D99" s="18"/>
      <c r="E99" s="18"/>
      <c r="F99" s="16"/>
      <c r="G99" s="17"/>
      <c r="H99" s="23"/>
      <c r="I99" s="17"/>
      <c r="J99" s="17"/>
      <c r="K99" s="18"/>
      <c r="L99" s="20">
        <f>IFERROR(INDEX('Challan Details'!$B$5:$B$204,MATCH(B99,'Challan Details'!$A$5:$A$204,0)),"")</f>
      </c>
      <c r="M99" s="24">
        <f>IFERROR(INDEX('Challan Details'!$D$5:$D$204,MATCH(B99,'Challan Details'!$A$5:$A$204,0)),"")</f>
      </c>
    </row>
    <row r="100" spans="1:13" x14ac:dyDescent="0.25">
      <c r="A100" s="22">
        <f>IF(C100="","",ROW()-3)</f>
      </c>
      <c r="B100" s="18"/>
      <c r="C100" s="18"/>
      <c r="D100" s="18"/>
      <c r="E100" s="18"/>
      <c r="F100" s="16"/>
      <c r="G100" s="17"/>
      <c r="H100" s="23"/>
      <c r="I100" s="17"/>
      <c r="J100" s="17"/>
      <c r="K100" s="18"/>
      <c r="L100" s="20">
        <f>IFERROR(INDEX('Challan Details'!$B$5:$B$204,MATCH(B100,'Challan Details'!$A$5:$A$204,0)),"")</f>
      </c>
      <c r="M100" s="24">
        <f>IFERROR(INDEX('Challan Details'!$D$5:$D$204,MATCH(B100,'Challan Details'!$A$5:$A$204,0)),"")</f>
      </c>
    </row>
    <row r="101" spans="1:13" x14ac:dyDescent="0.25">
      <c r="A101" s="22">
        <f>IF(C101="","",ROW()-3)</f>
      </c>
      <c r="B101" s="18"/>
      <c r="C101" s="18"/>
      <c r="D101" s="18"/>
      <c r="E101" s="18"/>
      <c r="F101" s="16"/>
      <c r="G101" s="17"/>
      <c r="H101" s="23"/>
      <c r="I101" s="17"/>
      <c r="J101" s="17"/>
      <c r="K101" s="18"/>
      <c r="L101" s="20">
        <f>IFERROR(INDEX('Challan Details'!$B$5:$B$204,MATCH(B101,'Challan Details'!$A$5:$A$204,0)),"")</f>
      </c>
      <c r="M101" s="24">
        <f>IFERROR(INDEX('Challan Details'!$D$5:$D$204,MATCH(B101,'Challan Details'!$A$5:$A$204,0)),"")</f>
      </c>
    </row>
    <row r="102" spans="1:13" x14ac:dyDescent="0.25">
      <c r="A102" s="22">
        <f>IF(C102="","",ROW()-3)</f>
      </c>
      <c r="B102" s="18"/>
      <c r="C102" s="18"/>
      <c r="D102" s="18"/>
      <c r="E102" s="18"/>
      <c r="F102" s="16"/>
      <c r="G102" s="17"/>
      <c r="H102" s="23"/>
      <c r="I102" s="17"/>
      <c r="J102" s="17"/>
      <c r="K102" s="18"/>
      <c r="L102" s="20">
        <f>IFERROR(INDEX('Challan Details'!$B$5:$B$204,MATCH(B102,'Challan Details'!$A$5:$A$204,0)),"")</f>
      </c>
      <c r="M102" s="24">
        <f>IFERROR(INDEX('Challan Details'!$D$5:$D$204,MATCH(B102,'Challan Details'!$A$5:$A$204,0)),"")</f>
      </c>
    </row>
    <row r="103" spans="1:13" x14ac:dyDescent="0.25">
      <c r="A103" s="22">
        <f>IF(C103="","",ROW()-3)</f>
      </c>
      <c r="B103" s="18"/>
      <c r="C103" s="18"/>
      <c r="D103" s="18"/>
      <c r="E103" s="18"/>
      <c r="F103" s="16"/>
      <c r="G103" s="17"/>
      <c r="H103" s="23"/>
      <c r="I103" s="17"/>
      <c r="J103" s="17"/>
      <c r="K103" s="18"/>
      <c r="L103" s="20">
        <f>IFERROR(INDEX('Challan Details'!$B$5:$B$204,MATCH(B103,'Challan Details'!$A$5:$A$204,0)),"")</f>
      </c>
      <c r="M103" s="24">
        <f>IFERROR(INDEX('Challan Details'!$D$5:$D$204,MATCH(B103,'Challan Details'!$A$5:$A$204,0)),"")</f>
      </c>
    </row>
    <row r="104" spans="1:13" x14ac:dyDescent="0.25">
      <c r="A104" s="22">
        <f>IF(C104="","",ROW()-3)</f>
      </c>
      <c r="B104" s="18"/>
      <c r="C104" s="18"/>
      <c r="D104" s="18"/>
      <c r="E104" s="18"/>
      <c r="F104" s="16"/>
      <c r="G104" s="17"/>
      <c r="H104" s="23"/>
      <c r="I104" s="17"/>
      <c r="J104" s="17"/>
      <c r="K104" s="18"/>
      <c r="L104" s="20">
        <f>IFERROR(INDEX('Challan Details'!$B$5:$B$204,MATCH(B104,'Challan Details'!$A$5:$A$204,0)),"")</f>
      </c>
      <c r="M104" s="24">
        <f>IFERROR(INDEX('Challan Details'!$D$5:$D$204,MATCH(B104,'Challan Details'!$A$5:$A$204,0)),"")</f>
      </c>
    </row>
    <row r="105" spans="1:13" x14ac:dyDescent="0.25">
      <c r="A105" s="22">
        <f>IF(C105="","",ROW()-3)</f>
      </c>
      <c r="B105" s="18"/>
      <c r="C105" s="18"/>
      <c r="D105" s="18"/>
      <c r="E105" s="18"/>
      <c r="F105" s="16"/>
      <c r="G105" s="17"/>
      <c r="H105" s="23"/>
      <c r="I105" s="17"/>
      <c r="J105" s="17"/>
      <c r="K105" s="18"/>
      <c r="L105" s="20">
        <f>IFERROR(INDEX('Challan Details'!$B$5:$B$204,MATCH(B105,'Challan Details'!$A$5:$A$204,0)),"")</f>
      </c>
      <c r="M105" s="24">
        <f>IFERROR(INDEX('Challan Details'!$D$5:$D$204,MATCH(B105,'Challan Details'!$A$5:$A$204,0)),"")</f>
      </c>
    </row>
    <row r="106" spans="1:13" x14ac:dyDescent="0.25">
      <c r="A106" s="22">
        <f>IF(C106="","",ROW()-3)</f>
      </c>
      <c r="B106" s="18"/>
      <c r="C106" s="18"/>
      <c r="D106" s="18"/>
      <c r="E106" s="18"/>
      <c r="F106" s="16"/>
      <c r="G106" s="17"/>
      <c r="H106" s="23"/>
      <c r="I106" s="17"/>
      <c r="J106" s="17"/>
      <c r="K106" s="18"/>
      <c r="L106" s="20">
        <f>IFERROR(INDEX('Challan Details'!$B$5:$B$204,MATCH(B106,'Challan Details'!$A$5:$A$204,0)),"")</f>
      </c>
      <c r="M106" s="24">
        <f>IFERROR(INDEX('Challan Details'!$D$5:$D$204,MATCH(B106,'Challan Details'!$A$5:$A$204,0)),"")</f>
      </c>
    </row>
    <row r="107" spans="1:13" x14ac:dyDescent="0.25">
      <c r="A107" s="22">
        <f>IF(C107="","",ROW()-3)</f>
      </c>
      <c r="B107" s="18"/>
      <c r="C107" s="18"/>
      <c r="D107" s="18"/>
      <c r="E107" s="18"/>
      <c r="F107" s="16"/>
      <c r="G107" s="17"/>
      <c r="H107" s="23"/>
      <c r="I107" s="17"/>
      <c r="J107" s="17"/>
      <c r="K107" s="18"/>
      <c r="L107" s="20">
        <f>IFERROR(INDEX('Challan Details'!$B$5:$B$204,MATCH(B107,'Challan Details'!$A$5:$A$204,0)),"")</f>
      </c>
      <c r="M107" s="24">
        <f>IFERROR(INDEX('Challan Details'!$D$5:$D$204,MATCH(B107,'Challan Details'!$A$5:$A$204,0)),"")</f>
      </c>
    </row>
    <row r="108" spans="1:13" x14ac:dyDescent="0.25">
      <c r="A108" s="22">
        <f>IF(C108="","",ROW()-3)</f>
      </c>
      <c r="B108" s="18"/>
      <c r="C108" s="18"/>
      <c r="D108" s="18"/>
      <c r="E108" s="18"/>
      <c r="F108" s="16"/>
      <c r="G108" s="17"/>
      <c r="H108" s="23"/>
      <c r="I108" s="17"/>
      <c r="J108" s="17"/>
      <c r="K108" s="18"/>
      <c r="L108" s="20">
        <f>IFERROR(INDEX('Challan Details'!$B$5:$B$204,MATCH(B108,'Challan Details'!$A$5:$A$204,0)),"")</f>
      </c>
      <c r="M108" s="24">
        <f>IFERROR(INDEX('Challan Details'!$D$5:$D$204,MATCH(B108,'Challan Details'!$A$5:$A$204,0)),"")</f>
      </c>
    </row>
    <row r="109" spans="1:13" x14ac:dyDescent="0.25">
      <c r="A109" s="22">
        <f>IF(C109="","",ROW()-3)</f>
      </c>
      <c r="B109" s="18"/>
      <c r="C109" s="18"/>
      <c r="D109" s="18"/>
      <c r="E109" s="18"/>
      <c r="F109" s="16"/>
      <c r="G109" s="17"/>
      <c r="H109" s="23"/>
      <c r="I109" s="17"/>
      <c r="J109" s="17"/>
      <c r="K109" s="18"/>
      <c r="L109" s="20">
        <f>IFERROR(INDEX('Challan Details'!$B$5:$B$204,MATCH(B109,'Challan Details'!$A$5:$A$204,0)),"")</f>
      </c>
      <c r="M109" s="24">
        <f>IFERROR(INDEX('Challan Details'!$D$5:$D$204,MATCH(B109,'Challan Details'!$A$5:$A$204,0)),"")</f>
      </c>
    </row>
    <row r="110" spans="1:13" x14ac:dyDescent="0.25">
      <c r="A110" s="22">
        <f>IF(C110="","",ROW()-3)</f>
      </c>
      <c r="B110" s="18"/>
      <c r="C110" s="18"/>
      <c r="D110" s="18"/>
      <c r="E110" s="18"/>
      <c r="F110" s="16"/>
      <c r="G110" s="17"/>
      <c r="H110" s="23"/>
      <c r="I110" s="17"/>
      <c r="J110" s="17"/>
      <c r="K110" s="18"/>
      <c r="L110" s="20">
        <f>IFERROR(INDEX('Challan Details'!$B$5:$B$204,MATCH(B110,'Challan Details'!$A$5:$A$204,0)),"")</f>
      </c>
      <c r="M110" s="24">
        <f>IFERROR(INDEX('Challan Details'!$D$5:$D$204,MATCH(B110,'Challan Details'!$A$5:$A$204,0)),"")</f>
      </c>
    </row>
    <row r="111" spans="1:13" x14ac:dyDescent="0.25">
      <c r="A111" s="22">
        <f>IF(C111="","",ROW()-3)</f>
      </c>
      <c r="B111" s="18"/>
      <c r="C111" s="18"/>
      <c r="D111" s="18"/>
      <c r="E111" s="18"/>
      <c r="F111" s="16"/>
      <c r="G111" s="17"/>
      <c r="H111" s="23"/>
      <c r="I111" s="17"/>
      <c r="J111" s="17"/>
      <c r="K111" s="18"/>
      <c r="L111" s="20">
        <f>IFERROR(INDEX('Challan Details'!$B$5:$B$204,MATCH(B111,'Challan Details'!$A$5:$A$204,0)),"")</f>
      </c>
      <c r="M111" s="24">
        <f>IFERROR(INDEX('Challan Details'!$D$5:$D$204,MATCH(B111,'Challan Details'!$A$5:$A$204,0)),"")</f>
      </c>
    </row>
    <row r="112" spans="1:13" x14ac:dyDescent="0.25">
      <c r="A112" s="22">
        <f>IF(C112="","",ROW()-3)</f>
      </c>
      <c r="B112" s="18"/>
      <c r="C112" s="18"/>
      <c r="D112" s="18"/>
      <c r="E112" s="18"/>
      <c r="F112" s="16"/>
      <c r="G112" s="17"/>
      <c r="H112" s="23"/>
      <c r="I112" s="17"/>
      <c r="J112" s="17"/>
      <c r="K112" s="18"/>
      <c r="L112" s="20">
        <f>IFERROR(INDEX('Challan Details'!$B$5:$B$204,MATCH(B112,'Challan Details'!$A$5:$A$204,0)),"")</f>
      </c>
      <c r="M112" s="24">
        <f>IFERROR(INDEX('Challan Details'!$D$5:$D$204,MATCH(B112,'Challan Details'!$A$5:$A$204,0)),"")</f>
      </c>
    </row>
    <row r="113" spans="1:13" x14ac:dyDescent="0.25">
      <c r="A113" s="22">
        <f>IF(C113="","",ROW()-3)</f>
      </c>
      <c r="B113" s="18"/>
      <c r="C113" s="18"/>
      <c r="D113" s="18"/>
      <c r="E113" s="18"/>
      <c r="F113" s="16"/>
      <c r="G113" s="17"/>
      <c r="H113" s="23"/>
      <c r="I113" s="17"/>
      <c r="J113" s="17"/>
      <c r="K113" s="18"/>
      <c r="L113" s="20">
        <f>IFERROR(INDEX('Challan Details'!$B$5:$B$204,MATCH(B113,'Challan Details'!$A$5:$A$204,0)),"")</f>
      </c>
      <c r="M113" s="24">
        <f>IFERROR(INDEX('Challan Details'!$D$5:$D$204,MATCH(B113,'Challan Details'!$A$5:$A$204,0)),"")</f>
      </c>
    </row>
    <row r="114" spans="1:13" x14ac:dyDescent="0.25">
      <c r="A114" s="22">
        <f>IF(C114="","",ROW()-3)</f>
      </c>
      <c r="B114" s="18"/>
      <c r="C114" s="18"/>
      <c r="D114" s="18"/>
      <c r="E114" s="18"/>
      <c r="F114" s="16"/>
      <c r="G114" s="17"/>
      <c r="H114" s="23"/>
      <c r="I114" s="17"/>
      <c r="J114" s="17"/>
      <c r="K114" s="18"/>
      <c r="L114" s="20">
        <f>IFERROR(INDEX('Challan Details'!$B$5:$B$204,MATCH(B114,'Challan Details'!$A$5:$A$204,0)),"")</f>
      </c>
      <c r="M114" s="24">
        <f>IFERROR(INDEX('Challan Details'!$D$5:$D$204,MATCH(B114,'Challan Details'!$A$5:$A$204,0)),"")</f>
      </c>
    </row>
    <row r="115" spans="1:13" x14ac:dyDescent="0.25">
      <c r="A115" s="22">
        <f>IF(C115="","",ROW()-3)</f>
      </c>
      <c r="B115" s="18"/>
      <c r="C115" s="18"/>
      <c r="D115" s="18"/>
      <c r="E115" s="18"/>
      <c r="F115" s="16"/>
      <c r="G115" s="17"/>
      <c r="H115" s="23"/>
      <c r="I115" s="17"/>
      <c r="J115" s="17"/>
      <c r="K115" s="18"/>
      <c r="L115" s="20">
        <f>IFERROR(INDEX('Challan Details'!$B$5:$B$204,MATCH(B115,'Challan Details'!$A$5:$A$204,0)),"")</f>
      </c>
      <c r="M115" s="24">
        <f>IFERROR(INDEX('Challan Details'!$D$5:$D$204,MATCH(B115,'Challan Details'!$A$5:$A$204,0)),"")</f>
      </c>
    </row>
    <row r="116" spans="1:13" x14ac:dyDescent="0.25">
      <c r="A116" s="22">
        <f>IF(C116="","",ROW()-3)</f>
      </c>
      <c r="B116" s="18"/>
      <c r="C116" s="18"/>
      <c r="D116" s="18"/>
      <c r="E116" s="18"/>
      <c r="F116" s="16"/>
      <c r="G116" s="17"/>
      <c r="H116" s="23"/>
      <c r="I116" s="17"/>
      <c r="J116" s="17"/>
      <c r="K116" s="18"/>
      <c r="L116" s="20">
        <f>IFERROR(INDEX('Challan Details'!$B$5:$B$204,MATCH(B116,'Challan Details'!$A$5:$A$204,0)),"")</f>
      </c>
      <c r="M116" s="24">
        <f>IFERROR(INDEX('Challan Details'!$D$5:$D$204,MATCH(B116,'Challan Details'!$A$5:$A$204,0)),"")</f>
      </c>
    </row>
    <row r="117" spans="1:13" x14ac:dyDescent="0.25">
      <c r="A117" s="22">
        <f>IF(C117="","",ROW()-3)</f>
      </c>
      <c r="B117" s="18"/>
      <c r="C117" s="18"/>
      <c r="D117" s="18"/>
      <c r="E117" s="18"/>
      <c r="F117" s="16"/>
      <c r="G117" s="17"/>
      <c r="H117" s="23"/>
      <c r="I117" s="17"/>
      <c r="J117" s="17"/>
      <c r="K117" s="18"/>
      <c r="L117" s="20">
        <f>IFERROR(INDEX('Challan Details'!$B$5:$B$204,MATCH(B117,'Challan Details'!$A$5:$A$204,0)),"")</f>
      </c>
      <c r="M117" s="24">
        <f>IFERROR(INDEX('Challan Details'!$D$5:$D$204,MATCH(B117,'Challan Details'!$A$5:$A$204,0)),"")</f>
      </c>
    </row>
    <row r="118" spans="1:13" x14ac:dyDescent="0.25">
      <c r="A118" s="22">
        <f>IF(C118="","",ROW()-3)</f>
      </c>
      <c r="B118" s="18"/>
      <c r="C118" s="18"/>
      <c r="D118" s="18"/>
      <c r="E118" s="18"/>
      <c r="F118" s="16"/>
      <c r="G118" s="17"/>
      <c r="H118" s="23"/>
      <c r="I118" s="17"/>
      <c r="J118" s="17"/>
      <c r="K118" s="18"/>
      <c r="L118" s="20">
        <f>IFERROR(INDEX('Challan Details'!$B$5:$B$204,MATCH(B118,'Challan Details'!$A$5:$A$204,0)),"")</f>
      </c>
      <c r="M118" s="24">
        <f>IFERROR(INDEX('Challan Details'!$D$5:$D$204,MATCH(B118,'Challan Details'!$A$5:$A$204,0)),"")</f>
      </c>
    </row>
    <row r="119" spans="1:13" x14ac:dyDescent="0.25">
      <c r="A119" s="22">
        <f>IF(C119="","",ROW()-3)</f>
      </c>
      <c r="B119" s="18"/>
      <c r="C119" s="18"/>
      <c r="D119" s="18"/>
      <c r="E119" s="18"/>
      <c r="F119" s="16"/>
      <c r="G119" s="17"/>
      <c r="H119" s="23"/>
      <c r="I119" s="17"/>
      <c r="J119" s="17"/>
      <c r="K119" s="18"/>
      <c r="L119" s="20">
        <f>IFERROR(INDEX('Challan Details'!$B$5:$B$204,MATCH(B119,'Challan Details'!$A$5:$A$204,0)),"")</f>
      </c>
      <c r="M119" s="24">
        <f>IFERROR(INDEX('Challan Details'!$D$5:$D$204,MATCH(B119,'Challan Details'!$A$5:$A$204,0)),"")</f>
      </c>
    </row>
    <row r="120" spans="1:13" x14ac:dyDescent="0.25">
      <c r="A120" s="22">
        <f>IF(C120="","",ROW()-3)</f>
      </c>
      <c r="B120" s="18"/>
      <c r="C120" s="18"/>
      <c r="D120" s="18"/>
      <c r="E120" s="18"/>
      <c r="F120" s="16"/>
      <c r="G120" s="17"/>
      <c r="H120" s="23"/>
      <c r="I120" s="17"/>
      <c r="J120" s="17"/>
      <c r="K120" s="18"/>
      <c r="L120" s="20">
        <f>IFERROR(INDEX('Challan Details'!$B$5:$B$204,MATCH(B120,'Challan Details'!$A$5:$A$204,0)),"")</f>
      </c>
      <c r="M120" s="24">
        <f>IFERROR(INDEX('Challan Details'!$D$5:$D$204,MATCH(B120,'Challan Details'!$A$5:$A$204,0)),"")</f>
      </c>
    </row>
    <row r="121" spans="1:13" x14ac:dyDescent="0.25">
      <c r="A121" s="22">
        <f>IF(C121="","",ROW()-3)</f>
      </c>
      <c r="B121" s="18"/>
      <c r="C121" s="18"/>
      <c r="D121" s="18"/>
      <c r="E121" s="18"/>
      <c r="F121" s="16"/>
      <c r="G121" s="17"/>
      <c r="H121" s="23"/>
      <c r="I121" s="17"/>
      <c r="J121" s="17"/>
      <c r="K121" s="18"/>
      <c r="L121" s="20">
        <f>IFERROR(INDEX('Challan Details'!$B$5:$B$204,MATCH(B121,'Challan Details'!$A$5:$A$204,0)),"")</f>
      </c>
      <c r="M121" s="24">
        <f>IFERROR(INDEX('Challan Details'!$D$5:$D$204,MATCH(B121,'Challan Details'!$A$5:$A$204,0)),"")</f>
      </c>
    </row>
    <row r="122" spans="1:13" x14ac:dyDescent="0.25">
      <c r="A122" s="22">
        <f>IF(C122="","",ROW()-3)</f>
      </c>
      <c r="B122" s="18"/>
      <c r="C122" s="18"/>
      <c r="D122" s="18"/>
      <c r="E122" s="18"/>
      <c r="F122" s="16"/>
      <c r="G122" s="17"/>
      <c r="H122" s="23"/>
      <c r="I122" s="17"/>
      <c r="J122" s="17"/>
      <c r="K122" s="18"/>
      <c r="L122" s="20">
        <f>IFERROR(INDEX('Challan Details'!$B$5:$B$204,MATCH(B122,'Challan Details'!$A$5:$A$204,0)),"")</f>
      </c>
      <c r="M122" s="24">
        <f>IFERROR(INDEX('Challan Details'!$D$5:$D$204,MATCH(B122,'Challan Details'!$A$5:$A$204,0)),"")</f>
      </c>
    </row>
    <row r="123" spans="1:13" x14ac:dyDescent="0.25">
      <c r="A123" s="22">
        <f>IF(C123="","",ROW()-3)</f>
      </c>
      <c r="B123" s="18"/>
      <c r="C123" s="18"/>
      <c r="D123" s="18"/>
      <c r="E123" s="18"/>
      <c r="F123" s="16"/>
      <c r="G123" s="17"/>
      <c r="H123" s="23"/>
      <c r="I123" s="17"/>
      <c r="J123" s="17"/>
      <c r="K123" s="18"/>
      <c r="L123" s="20">
        <f>IFERROR(INDEX('Challan Details'!$B$5:$B$204,MATCH(B123,'Challan Details'!$A$5:$A$204,0)),"")</f>
      </c>
      <c r="M123" s="24">
        <f>IFERROR(INDEX('Challan Details'!$D$5:$D$204,MATCH(B123,'Challan Details'!$A$5:$A$204,0)),"")</f>
      </c>
    </row>
    <row r="124" spans="1:13" x14ac:dyDescent="0.25">
      <c r="A124" s="22">
        <f>IF(C124="","",ROW()-3)</f>
      </c>
      <c r="B124" s="18"/>
      <c r="C124" s="18"/>
      <c r="D124" s="18"/>
      <c r="E124" s="18"/>
      <c r="F124" s="16"/>
      <c r="G124" s="17"/>
      <c r="H124" s="23"/>
      <c r="I124" s="17"/>
      <c r="J124" s="17"/>
      <c r="K124" s="18"/>
      <c r="L124" s="20">
        <f>IFERROR(INDEX('Challan Details'!$B$5:$B$204,MATCH(B124,'Challan Details'!$A$5:$A$204,0)),"")</f>
      </c>
      <c r="M124" s="24">
        <f>IFERROR(INDEX('Challan Details'!$D$5:$D$204,MATCH(B124,'Challan Details'!$A$5:$A$204,0)),"")</f>
      </c>
    </row>
    <row r="125" spans="1:13" x14ac:dyDescent="0.25">
      <c r="A125" s="22">
        <f>IF(C125="","",ROW()-3)</f>
      </c>
      <c r="B125" s="18"/>
      <c r="C125" s="18"/>
      <c r="D125" s="18"/>
      <c r="E125" s="18"/>
      <c r="F125" s="16"/>
      <c r="G125" s="17"/>
      <c r="H125" s="23"/>
      <c r="I125" s="17"/>
      <c r="J125" s="17"/>
      <c r="K125" s="18"/>
      <c r="L125" s="20">
        <f>IFERROR(INDEX('Challan Details'!$B$5:$B$204,MATCH(B125,'Challan Details'!$A$5:$A$204,0)),"")</f>
      </c>
      <c r="M125" s="24">
        <f>IFERROR(INDEX('Challan Details'!$D$5:$D$204,MATCH(B125,'Challan Details'!$A$5:$A$204,0)),"")</f>
      </c>
    </row>
    <row r="126" spans="1:13" x14ac:dyDescent="0.25">
      <c r="A126" s="22">
        <f>IF(C126="","",ROW()-3)</f>
      </c>
      <c r="B126" s="18"/>
      <c r="C126" s="18"/>
      <c r="D126" s="18"/>
      <c r="E126" s="18"/>
      <c r="F126" s="16"/>
      <c r="G126" s="17"/>
      <c r="H126" s="23"/>
      <c r="I126" s="17"/>
      <c r="J126" s="17"/>
      <c r="K126" s="18"/>
      <c r="L126" s="20">
        <f>IFERROR(INDEX('Challan Details'!$B$5:$B$204,MATCH(B126,'Challan Details'!$A$5:$A$204,0)),"")</f>
      </c>
      <c r="M126" s="24">
        <f>IFERROR(INDEX('Challan Details'!$D$5:$D$204,MATCH(B126,'Challan Details'!$A$5:$A$204,0)),"")</f>
      </c>
    </row>
    <row r="127" spans="1:13" x14ac:dyDescent="0.25">
      <c r="A127" s="22">
        <f>IF(C127="","",ROW()-3)</f>
      </c>
      <c r="B127" s="18"/>
      <c r="C127" s="18"/>
      <c r="D127" s="18"/>
      <c r="E127" s="18"/>
      <c r="F127" s="16"/>
      <c r="G127" s="17"/>
      <c r="H127" s="23"/>
      <c r="I127" s="17"/>
      <c r="J127" s="17"/>
      <c r="K127" s="18"/>
      <c r="L127" s="20">
        <f>IFERROR(INDEX('Challan Details'!$B$5:$B$204,MATCH(B127,'Challan Details'!$A$5:$A$204,0)),"")</f>
      </c>
      <c r="M127" s="24">
        <f>IFERROR(INDEX('Challan Details'!$D$5:$D$204,MATCH(B127,'Challan Details'!$A$5:$A$204,0)),"")</f>
      </c>
    </row>
    <row r="128" spans="1:13" x14ac:dyDescent="0.25">
      <c r="A128" s="22">
        <f>IF(C128="","",ROW()-3)</f>
      </c>
      <c r="B128" s="18"/>
      <c r="C128" s="18"/>
      <c r="D128" s="18"/>
      <c r="E128" s="18"/>
      <c r="F128" s="16"/>
      <c r="G128" s="17"/>
      <c r="H128" s="23"/>
      <c r="I128" s="17"/>
      <c r="J128" s="17"/>
      <c r="K128" s="18"/>
      <c r="L128" s="20">
        <f>IFERROR(INDEX('Challan Details'!$B$5:$B$204,MATCH(B128,'Challan Details'!$A$5:$A$204,0)),"")</f>
      </c>
      <c r="M128" s="24">
        <f>IFERROR(INDEX('Challan Details'!$D$5:$D$204,MATCH(B128,'Challan Details'!$A$5:$A$204,0)),"")</f>
      </c>
    </row>
    <row r="129" spans="1:13" x14ac:dyDescent="0.25">
      <c r="A129" s="22">
        <f>IF(C129="","",ROW()-3)</f>
      </c>
      <c r="B129" s="18"/>
      <c r="C129" s="18"/>
      <c r="D129" s="18"/>
      <c r="E129" s="18"/>
      <c r="F129" s="16"/>
      <c r="G129" s="17"/>
      <c r="H129" s="23"/>
      <c r="I129" s="17"/>
      <c r="J129" s="17"/>
      <c r="K129" s="18"/>
      <c r="L129" s="20">
        <f>IFERROR(INDEX('Challan Details'!$B$5:$B$204,MATCH(B129,'Challan Details'!$A$5:$A$204,0)),"")</f>
      </c>
      <c r="M129" s="24">
        <f>IFERROR(INDEX('Challan Details'!$D$5:$D$204,MATCH(B129,'Challan Details'!$A$5:$A$204,0)),"")</f>
      </c>
    </row>
    <row r="130" spans="1:13" x14ac:dyDescent="0.25">
      <c r="A130" s="22">
        <f>IF(C130="","",ROW()-3)</f>
      </c>
      <c r="B130" s="18"/>
      <c r="C130" s="18"/>
      <c r="D130" s="18"/>
      <c r="E130" s="18"/>
      <c r="F130" s="16"/>
      <c r="G130" s="17"/>
      <c r="H130" s="23"/>
      <c r="I130" s="17"/>
      <c r="J130" s="17"/>
      <c r="K130" s="18"/>
      <c r="L130" s="20">
        <f>IFERROR(INDEX('Challan Details'!$B$5:$B$204,MATCH(B130,'Challan Details'!$A$5:$A$204,0)),"")</f>
      </c>
      <c r="M130" s="24">
        <f>IFERROR(INDEX('Challan Details'!$D$5:$D$204,MATCH(B130,'Challan Details'!$A$5:$A$204,0)),"")</f>
      </c>
    </row>
    <row r="131" spans="1:13" x14ac:dyDescent="0.25">
      <c r="A131" s="22">
        <f>IF(C131="","",ROW()-3)</f>
      </c>
      <c r="B131" s="18"/>
      <c r="C131" s="18"/>
      <c r="D131" s="18"/>
      <c r="E131" s="18"/>
      <c r="F131" s="16"/>
      <c r="G131" s="17"/>
      <c r="H131" s="23"/>
      <c r="I131" s="17"/>
      <c r="J131" s="17"/>
      <c r="K131" s="18"/>
      <c r="L131" s="20">
        <f>IFERROR(INDEX('Challan Details'!$B$5:$B$204,MATCH(B131,'Challan Details'!$A$5:$A$204,0)),"")</f>
      </c>
      <c r="M131" s="24">
        <f>IFERROR(INDEX('Challan Details'!$D$5:$D$204,MATCH(B131,'Challan Details'!$A$5:$A$204,0)),"")</f>
      </c>
    </row>
    <row r="132" spans="1:13" x14ac:dyDescent="0.25">
      <c r="A132" s="22">
        <f>IF(C132="","",ROW()-3)</f>
      </c>
      <c r="B132" s="18"/>
      <c r="C132" s="18"/>
      <c r="D132" s="18"/>
      <c r="E132" s="18"/>
      <c r="F132" s="16"/>
      <c r="G132" s="17"/>
      <c r="H132" s="23"/>
      <c r="I132" s="17"/>
      <c r="J132" s="17"/>
      <c r="K132" s="18"/>
      <c r="L132" s="20">
        <f>IFERROR(INDEX('Challan Details'!$B$5:$B$204,MATCH(B132,'Challan Details'!$A$5:$A$204,0)),"")</f>
      </c>
      <c r="M132" s="24">
        <f>IFERROR(INDEX('Challan Details'!$D$5:$D$204,MATCH(B132,'Challan Details'!$A$5:$A$204,0)),"")</f>
      </c>
    </row>
    <row r="133" spans="1:13" x14ac:dyDescent="0.25">
      <c r="A133" s="22">
        <f>IF(C133="","",ROW()-3)</f>
      </c>
      <c r="B133" s="18"/>
      <c r="C133" s="18"/>
      <c r="D133" s="18"/>
      <c r="E133" s="18"/>
      <c r="F133" s="16"/>
      <c r="G133" s="17"/>
      <c r="H133" s="23"/>
      <c r="I133" s="17"/>
      <c r="J133" s="17"/>
      <c r="K133" s="18"/>
      <c r="L133" s="20">
        <f>IFERROR(INDEX('Challan Details'!$B$5:$B$204,MATCH(B133,'Challan Details'!$A$5:$A$204,0)),"")</f>
      </c>
      <c r="M133" s="24">
        <f>IFERROR(INDEX('Challan Details'!$D$5:$D$204,MATCH(B133,'Challan Details'!$A$5:$A$204,0)),"")</f>
      </c>
    </row>
    <row r="134" spans="1:13" x14ac:dyDescent="0.25">
      <c r="A134" s="22">
        <f>IF(C134="","",ROW()-3)</f>
      </c>
      <c r="B134" s="18"/>
      <c r="C134" s="18"/>
      <c r="D134" s="18"/>
      <c r="E134" s="18"/>
      <c r="F134" s="16"/>
      <c r="G134" s="17"/>
      <c r="H134" s="23"/>
      <c r="I134" s="17"/>
      <c r="J134" s="17"/>
      <c r="K134" s="18"/>
      <c r="L134" s="20">
        <f>IFERROR(INDEX('Challan Details'!$B$5:$B$204,MATCH(B134,'Challan Details'!$A$5:$A$204,0)),"")</f>
      </c>
      <c r="M134" s="24">
        <f>IFERROR(INDEX('Challan Details'!$D$5:$D$204,MATCH(B134,'Challan Details'!$A$5:$A$204,0)),"")</f>
      </c>
    </row>
    <row r="135" spans="1:13" x14ac:dyDescent="0.25">
      <c r="A135" s="22">
        <f>IF(C135="","",ROW()-3)</f>
      </c>
      <c r="B135" s="18"/>
      <c r="C135" s="18"/>
      <c r="D135" s="18"/>
      <c r="E135" s="18"/>
      <c r="F135" s="16"/>
      <c r="G135" s="17"/>
      <c r="H135" s="23"/>
      <c r="I135" s="17"/>
      <c r="J135" s="17"/>
      <c r="K135" s="18"/>
      <c r="L135" s="20">
        <f>IFERROR(INDEX('Challan Details'!$B$5:$B$204,MATCH(B135,'Challan Details'!$A$5:$A$204,0)),"")</f>
      </c>
      <c r="M135" s="24">
        <f>IFERROR(INDEX('Challan Details'!$D$5:$D$204,MATCH(B135,'Challan Details'!$A$5:$A$204,0)),"")</f>
      </c>
    </row>
    <row r="136" spans="1:13" x14ac:dyDescent="0.25">
      <c r="A136" s="22">
        <f>IF(C136="","",ROW()-3)</f>
      </c>
      <c r="B136" s="18"/>
      <c r="C136" s="18"/>
      <c r="D136" s="18"/>
      <c r="E136" s="18"/>
      <c r="F136" s="16"/>
      <c r="G136" s="17"/>
      <c r="H136" s="23"/>
      <c r="I136" s="17"/>
      <c r="J136" s="17"/>
      <c r="K136" s="18"/>
      <c r="L136" s="20">
        <f>IFERROR(INDEX('Challan Details'!$B$5:$B$204,MATCH(B136,'Challan Details'!$A$5:$A$204,0)),"")</f>
      </c>
      <c r="M136" s="24">
        <f>IFERROR(INDEX('Challan Details'!$D$5:$D$204,MATCH(B136,'Challan Details'!$A$5:$A$204,0)),"")</f>
      </c>
    </row>
    <row r="137" spans="1:13" x14ac:dyDescent="0.25">
      <c r="A137" s="22">
        <f>IF(C137="","",ROW()-3)</f>
      </c>
      <c r="B137" s="18"/>
      <c r="C137" s="18"/>
      <c r="D137" s="18"/>
      <c r="E137" s="18"/>
      <c r="F137" s="16"/>
      <c r="G137" s="17"/>
      <c r="H137" s="23"/>
      <c r="I137" s="17"/>
      <c r="J137" s="17"/>
      <c r="K137" s="18"/>
      <c r="L137" s="20">
        <f>IFERROR(INDEX('Challan Details'!$B$5:$B$204,MATCH(B137,'Challan Details'!$A$5:$A$204,0)),"")</f>
      </c>
      <c r="M137" s="24">
        <f>IFERROR(INDEX('Challan Details'!$D$5:$D$204,MATCH(B137,'Challan Details'!$A$5:$A$204,0)),"")</f>
      </c>
    </row>
    <row r="138" spans="1:13" x14ac:dyDescent="0.25">
      <c r="A138" s="22">
        <f>IF(C138="","",ROW()-3)</f>
      </c>
      <c r="B138" s="18"/>
      <c r="C138" s="18"/>
      <c r="D138" s="18"/>
      <c r="E138" s="18"/>
      <c r="F138" s="16"/>
      <c r="G138" s="17"/>
      <c r="H138" s="23"/>
      <c r="I138" s="17"/>
      <c r="J138" s="17"/>
      <c r="K138" s="18"/>
      <c r="L138" s="20">
        <f>IFERROR(INDEX('Challan Details'!$B$5:$B$204,MATCH(B138,'Challan Details'!$A$5:$A$204,0)),"")</f>
      </c>
      <c r="M138" s="24">
        <f>IFERROR(INDEX('Challan Details'!$D$5:$D$204,MATCH(B138,'Challan Details'!$A$5:$A$204,0)),"")</f>
      </c>
    </row>
    <row r="139" spans="1:13" x14ac:dyDescent="0.25">
      <c r="A139" s="22">
        <f>IF(C139="","",ROW()-3)</f>
      </c>
      <c r="B139" s="18"/>
      <c r="C139" s="18"/>
      <c r="D139" s="18"/>
      <c r="E139" s="18"/>
      <c r="F139" s="16"/>
      <c r="G139" s="17"/>
      <c r="H139" s="23"/>
      <c r="I139" s="17"/>
      <c r="J139" s="17"/>
      <c r="K139" s="18"/>
      <c r="L139" s="20">
        <f>IFERROR(INDEX('Challan Details'!$B$5:$B$204,MATCH(B139,'Challan Details'!$A$5:$A$204,0)),"")</f>
      </c>
      <c r="M139" s="24">
        <f>IFERROR(INDEX('Challan Details'!$D$5:$D$204,MATCH(B139,'Challan Details'!$A$5:$A$204,0)),"")</f>
      </c>
    </row>
    <row r="140" spans="1:13" x14ac:dyDescent="0.25">
      <c r="A140" s="22">
        <f>IF(C140="","",ROW()-3)</f>
      </c>
      <c r="B140" s="18"/>
      <c r="C140" s="18"/>
      <c r="D140" s="18"/>
      <c r="E140" s="18"/>
      <c r="F140" s="16"/>
      <c r="G140" s="17"/>
      <c r="H140" s="23"/>
      <c r="I140" s="17"/>
      <c r="J140" s="17"/>
      <c r="K140" s="18"/>
      <c r="L140" s="20">
        <f>IFERROR(INDEX('Challan Details'!$B$5:$B$204,MATCH(B140,'Challan Details'!$A$5:$A$204,0)),"")</f>
      </c>
      <c r="M140" s="24">
        <f>IFERROR(INDEX('Challan Details'!$D$5:$D$204,MATCH(B140,'Challan Details'!$A$5:$A$204,0)),"")</f>
      </c>
    </row>
    <row r="141" spans="1:13" x14ac:dyDescent="0.25">
      <c r="A141" s="22">
        <f>IF(C141="","",ROW()-3)</f>
      </c>
      <c r="B141" s="18"/>
      <c r="C141" s="18"/>
      <c r="D141" s="18"/>
      <c r="E141" s="18"/>
      <c r="F141" s="16"/>
      <c r="G141" s="17"/>
      <c r="H141" s="23"/>
      <c r="I141" s="17"/>
      <c r="J141" s="17"/>
      <c r="K141" s="18"/>
      <c r="L141" s="20">
        <f>IFERROR(INDEX('Challan Details'!$B$5:$B$204,MATCH(B141,'Challan Details'!$A$5:$A$204,0)),"")</f>
      </c>
      <c r="M141" s="24">
        <f>IFERROR(INDEX('Challan Details'!$D$5:$D$204,MATCH(B141,'Challan Details'!$A$5:$A$204,0)),"")</f>
      </c>
    </row>
    <row r="142" spans="1:13" x14ac:dyDescent="0.25">
      <c r="A142" s="22">
        <f>IF(C142="","",ROW()-3)</f>
      </c>
      <c r="B142" s="18"/>
      <c r="C142" s="18"/>
      <c r="D142" s="18"/>
      <c r="E142" s="18"/>
      <c r="F142" s="16"/>
      <c r="G142" s="17"/>
      <c r="H142" s="23"/>
      <c r="I142" s="17"/>
      <c r="J142" s="17"/>
      <c r="K142" s="18"/>
      <c r="L142" s="20">
        <f>IFERROR(INDEX('Challan Details'!$B$5:$B$204,MATCH(B142,'Challan Details'!$A$5:$A$204,0)),"")</f>
      </c>
      <c r="M142" s="24">
        <f>IFERROR(INDEX('Challan Details'!$D$5:$D$204,MATCH(B142,'Challan Details'!$A$5:$A$204,0)),"")</f>
      </c>
    </row>
    <row r="143" spans="1:13" x14ac:dyDescent="0.25">
      <c r="A143" s="22">
        <f>IF(C143="","",ROW()-3)</f>
      </c>
      <c r="B143" s="18"/>
      <c r="C143" s="18"/>
      <c r="D143" s="18"/>
      <c r="E143" s="18"/>
      <c r="F143" s="16"/>
      <c r="G143" s="17"/>
      <c r="H143" s="23"/>
      <c r="I143" s="17"/>
      <c r="J143" s="17"/>
      <c r="K143" s="18"/>
      <c r="L143" s="20">
        <f>IFERROR(INDEX('Challan Details'!$B$5:$B$204,MATCH(B143,'Challan Details'!$A$5:$A$204,0)),"")</f>
      </c>
      <c r="M143" s="24">
        <f>IFERROR(INDEX('Challan Details'!$D$5:$D$204,MATCH(B143,'Challan Details'!$A$5:$A$204,0)),"")</f>
      </c>
    </row>
    <row r="144" spans="1:13" x14ac:dyDescent="0.25">
      <c r="A144" s="22">
        <f>IF(C144="","",ROW()-3)</f>
      </c>
      <c r="B144" s="18"/>
      <c r="C144" s="18"/>
      <c r="D144" s="18"/>
      <c r="E144" s="18"/>
      <c r="F144" s="16"/>
      <c r="G144" s="17"/>
      <c r="H144" s="23"/>
      <c r="I144" s="17"/>
      <c r="J144" s="17"/>
      <c r="K144" s="18"/>
      <c r="L144" s="20">
        <f>IFERROR(INDEX('Challan Details'!$B$5:$B$204,MATCH(B144,'Challan Details'!$A$5:$A$204,0)),"")</f>
      </c>
      <c r="M144" s="24">
        <f>IFERROR(INDEX('Challan Details'!$D$5:$D$204,MATCH(B144,'Challan Details'!$A$5:$A$204,0)),"")</f>
      </c>
    </row>
    <row r="145" spans="1:13" x14ac:dyDescent="0.25">
      <c r="A145" s="22">
        <f>IF(C145="","",ROW()-3)</f>
      </c>
      <c r="B145" s="18"/>
      <c r="C145" s="18"/>
      <c r="D145" s="18"/>
      <c r="E145" s="18"/>
      <c r="F145" s="16"/>
      <c r="G145" s="17"/>
      <c r="H145" s="23"/>
      <c r="I145" s="17"/>
      <c r="J145" s="17"/>
      <c r="K145" s="18"/>
      <c r="L145" s="20">
        <f>IFERROR(INDEX('Challan Details'!$B$5:$B$204,MATCH(B145,'Challan Details'!$A$5:$A$204,0)),"")</f>
      </c>
      <c r="M145" s="24">
        <f>IFERROR(INDEX('Challan Details'!$D$5:$D$204,MATCH(B145,'Challan Details'!$A$5:$A$204,0)),"")</f>
      </c>
    </row>
    <row r="146" spans="1:13" x14ac:dyDescent="0.25">
      <c r="A146" s="22">
        <f>IF(C146="","",ROW()-3)</f>
      </c>
      <c r="B146" s="18"/>
      <c r="C146" s="18"/>
      <c r="D146" s="18"/>
      <c r="E146" s="18"/>
      <c r="F146" s="16"/>
      <c r="G146" s="17"/>
      <c r="H146" s="23"/>
      <c r="I146" s="17"/>
      <c r="J146" s="17"/>
      <c r="K146" s="18"/>
      <c r="L146" s="20">
        <f>IFERROR(INDEX('Challan Details'!$B$5:$B$204,MATCH(B146,'Challan Details'!$A$5:$A$204,0)),"")</f>
      </c>
      <c r="M146" s="24">
        <f>IFERROR(INDEX('Challan Details'!$D$5:$D$204,MATCH(B146,'Challan Details'!$A$5:$A$204,0)),"")</f>
      </c>
    </row>
    <row r="147" spans="1:13" x14ac:dyDescent="0.25">
      <c r="A147" s="22">
        <f>IF(C147="","",ROW()-3)</f>
      </c>
      <c r="B147" s="18"/>
      <c r="C147" s="18"/>
      <c r="D147" s="18"/>
      <c r="E147" s="18"/>
      <c r="F147" s="16"/>
      <c r="G147" s="17"/>
      <c r="H147" s="23"/>
      <c r="I147" s="17"/>
      <c r="J147" s="17"/>
      <c r="K147" s="18"/>
      <c r="L147" s="20">
        <f>IFERROR(INDEX('Challan Details'!$B$5:$B$204,MATCH(B147,'Challan Details'!$A$5:$A$204,0)),"")</f>
      </c>
      <c r="M147" s="24">
        <f>IFERROR(INDEX('Challan Details'!$D$5:$D$204,MATCH(B147,'Challan Details'!$A$5:$A$204,0)),"")</f>
      </c>
    </row>
    <row r="148" spans="1:13" x14ac:dyDescent="0.25">
      <c r="A148" s="22">
        <f>IF(C148="","",ROW()-3)</f>
      </c>
      <c r="B148" s="18"/>
      <c r="C148" s="18"/>
      <c r="D148" s="18"/>
      <c r="E148" s="18"/>
      <c r="F148" s="16"/>
      <c r="G148" s="17"/>
      <c r="H148" s="23"/>
      <c r="I148" s="17"/>
      <c r="J148" s="17"/>
      <c r="K148" s="18"/>
      <c r="L148" s="20">
        <f>IFERROR(INDEX('Challan Details'!$B$5:$B$204,MATCH(B148,'Challan Details'!$A$5:$A$204,0)),"")</f>
      </c>
      <c r="M148" s="24">
        <f>IFERROR(INDEX('Challan Details'!$D$5:$D$204,MATCH(B148,'Challan Details'!$A$5:$A$204,0)),"")</f>
      </c>
    </row>
    <row r="149" spans="1:13" x14ac:dyDescent="0.25">
      <c r="A149" s="22">
        <f>IF(C149="","",ROW()-3)</f>
      </c>
      <c r="B149" s="18"/>
      <c r="C149" s="18"/>
      <c r="D149" s="18"/>
      <c r="E149" s="18"/>
      <c r="F149" s="16"/>
      <c r="G149" s="17"/>
      <c r="H149" s="23"/>
      <c r="I149" s="17"/>
      <c r="J149" s="17"/>
      <c r="K149" s="18"/>
      <c r="L149" s="20">
        <f>IFERROR(INDEX('Challan Details'!$B$5:$B$204,MATCH(B149,'Challan Details'!$A$5:$A$204,0)),"")</f>
      </c>
      <c r="M149" s="24">
        <f>IFERROR(INDEX('Challan Details'!$D$5:$D$204,MATCH(B149,'Challan Details'!$A$5:$A$204,0)),"")</f>
      </c>
    </row>
    <row r="150" spans="1:13" x14ac:dyDescent="0.25">
      <c r="A150" s="22">
        <f>IF(C150="","",ROW()-3)</f>
      </c>
      <c r="B150" s="18"/>
      <c r="C150" s="18"/>
      <c r="D150" s="18"/>
      <c r="E150" s="18"/>
      <c r="F150" s="16"/>
      <c r="G150" s="17"/>
      <c r="H150" s="23"/>
      <c r="I150" s="17"/>
      <c r="J150" s="17"/>
      <c r="K150" s="18"/>
      <c r="L150" s="20">
        <f>IFERROR(INDEX('Challan Details'!$B$5:$B$204,MATCH(B150,'Challan Details'!$A$5:$A$204,0)),"")</f>
      </c>
      <c r="M150" s="24">
        <f>IFERROR(INDEX('Challan Details'!$D$5:$D$204,MATCH(B150,'Challan Details'!$A$5:$A$204,0)),"")</f>
      </c>
    </row>
    <row r="151" spans="1:13" x14ac:dyDescent="0.25">
      <c r="A151" s="22">
        <f>IF(C151="","",ROW()-3)</f>
      </c>
      <c r="B151" s="18"/>
      <c r="C151" s="18"/>
      <c r="D151" s="18"/>
      <c r="E151" s="18"/>
      <c r="F151" s="16"/>
      <c r="G151" s="17"/>
      <c r="H151" s="23"/>
      <c r="I151" s="17"/>
      <c r="J151" s="17"/>
      <c r="K151" s="18"/>
      <c r="L151" s="20">
        <f>IFERROR(INDEX('Challan Details'!$B$5:$B$204,MATCH(B151,'Challan Details'!$A$5:$A$204,0)),"")</f>
      </c>
      <c r="M151" s="24">
        <f>IFERROR(INDEX('Challan Details'!$D$5:$D$204,MATCH(B151,'Challan Details'!$A$5:$A$204,0)),"")</f>
      </c>
    </row>
    <row r="152" spans="1:13" x14ac:dyDescent="0.25">
      <c r="A152" s="22">
        <f>IF(C152="","",ROW()-3)</f>
      </c>
      <c r="B152" s="18"/>
      <c r="C152" s="18"/>
      <c r="D152" s="18"/>
      <c r="E152" s="18"/>
      <c r="F152" s="16"/>
      <c r="G152" s="17"/>
      <c r="H152" s="23"/>
      <c r="I152" s="17"/>
      <c r="J152" s="17"/>
      <c r="K152" s="18"/>
      <c r="L152" s="20">
        <f>IFERROR(INDEX('Challan Details'!$B$5:$B$204,MATCH(B152,'Challan Details'!$A$5:$A$204,0)),"")</f>
      </c>
      <c r="M152" s="24">
        <f>IFERROR(INDEX('Challan Details'!$D$5:$D$204,MATCH(B152,'Challan Details'!$A$5:$A$204,0)),"")</f>
      </c>
    </row>
    <row r="153" spans="1:13" x14ac:dyDescent="0.25">
      <c r="A153" s="22">
        <f>IF(C153="","",ROW()-3)</f>
      </c>
      <c r="B153" s="18"/>
      <c r="C153" s="18"/>
      <c r="D153" s="18"/>
      <c r="E153" s="18"/>
      <c r="F153" s="16"/>
      <c r="G153" s="17"/>
      <c r="H153" s="23"/>
      <c r="I153" s="17"/>
      <c r="J153" s="17"/>
      <c r="K153" s="18"/>
      <c r="L153" s="20">
        <f>IFERROR(INDEX('Challan Details'!$B$5:$B$204,MATCH(B153,'Challan Details'!$A$5:$A$204,0)),"")</f>
      </c>
      <c r="M153" s="24">
        <f>IFERROR(INDEX('Challan Details'!$D$5:$D$204,MATCH(B153,'Challan Details'!$A$5:$A$204,0)),"")</f>
      </c>
    </row>
    <row r="154" spans="1:13" x14ac:dyDescent="0.25">
      <c r="A154" s="22">
        <f>IF(C154="","",ROW()-3)</f>
      </c>
      <c r="B154" s="18"/>
      <c r="C154" s="18"/>
      <c r="D154" s="18"/>
      <c r="E154" s="18"/>
      <c r="F154" s="16"/>
      <c r="G154" s="17"/>
      <c r="H154" s="23"/>
      <c r="I154" s="17"/>
      <c r="J154" s="17"/>
      <c r="K154" s="18"/>
      <c r="L154" s="20">
        <f>IFERROR(INDEX('Challan Details'!$B$5:$B$204,MATCH(B154,'Challan Details'!$A$5:$A$204,0)),"")</f>
      </c>
      <c r="M154" s="24">
        <f>IFERROR(INDEX('Challan Details'!$D$5:$D$204,MATCH(B154,'Challan Details'!$A$5:$A$204,0)),"")</f>
      </c>
    </row>
    <row r="155" spans="1:13" x14ac:dyDescent="0.25">
      <c r="A155" s="22">
        <f>IF(C155="","",ROW()-3)</f>
      </c>
      <c r="B155" s="18"/>
      <c r="C155" s="18"/>
      <c r="D155" s="18"/>
      <c r="E155" s="18"/>
      <c r="F155" s="16"/>
      <c r="G155" s="17"/>
      <c r="H155" s="23"/>
      <c r="I155" s="17"/>
      <c r="J155" s="17"/>
      <c r="K155" s="18"/>
      <c r="L155" s="20">
        <f>IFERROR(INDEX('Challan Details'!$B$5:$B$204,MATCH(B155,'Challan Details'!$A$5:$A$204,0)),"")</f>
      </c>
      <c r="M155" s="24">
        <f>IFERROR(INDEX('Challan Details'!$D$5:$D$204,MATCH(B155,'Challan Details'!$A$5:$A$204,0)),"")</f>
      </c>
    </row>
    <row r="156" spans="1:13" x14ac:dyDescent="0.25">
      <c r="A156" s="22">
        <f>IF(C156="","",ROW()-3)</f>
      </c>
      <c r="B156" s="18"/>
      <c r="C156" s="18"/>
      <c r="D156" s="18"/>
      <c r="E156" s="18"/>
      <c r="F156" s="16"/>
      <c r="G156" s="17"/>
      <c r="H156" s="23"/>
      <c r="I156" s="17"/>
      <c r="J156" s="17"/>
      <c r="K156" s="18"/>
      <c r="L156" s="20">
        <f>IFERROR(INDEX('Challan Details'!$B$5:$B$204,MATCH(B156,'Challan Details'!$A$5:$A$204,0)),"")</f>
      </c>
      <c r="M156" s="24">
        <f>IFERROR(INDEX('Challan Details'!$D$5:$D$204,MATCH(B156,'Challan Details'!$A$5:$A$204,0)),"")</f>
      </c>
    </row>
    <row r="157" spans="1:13" x14ac:dyDescent="0.25">
      <c r="A157" s="22">
        <f>IF(C157="","",ROW()-3)</f>
      </c>
      <c r="B157" s="18"/>
      <c r="C157" s="18"/>
      <c r="D157" s="18"/>
      <c r="E157" s="18"/>
      <c r="F157" s="16"/>
      <c r="G157" s="17"/>
      <c r="H157" s="23"/>
      <c r="I157" s="17"/>
      <c r="J157" s="17"/>
      <c r="K157" s="18"/>
      <c r="L157" s="20">
        <f>IFERROR(INDEX('Challan Details'!$B$5:$B$204,MATCH(B157,'Challan Details'!$A$5:$A$204,0)),"")</f>
      </c>
      <c r="M157" s="24">
        <f>IFERROR(INDEX('Challan Details'!$D$5:$D$204,MATCH(B157,'Challan Details'!$A$5:$A$204,0)),"")</f>
      </c>
    </row>
    <row r="158" spans="1:13" x14ac:dyDescent="0.25">
      <c r="A158" s="22">
        <f>IF(C158="","",ROW()-3)</f>
      </c>
      <c r="B158" s="18"/>
      <c r="C158" s="18"/>
      <c r="D158" s="18"/>
      <c r="E158" s="18"/>
      <c r="F158" s="16"/>
      <c r="G158" s="17"/>
      <c r="H158" s="23"/>
      <c r="I158" s="17"/>
      <c r="J158" s="17"/>
      <c r="K158" s="18"/>
      <c r="L158" s="20">
        <f>IFERROR(INDEX('Challan Details'!$B$5:$B$204,MATCH(B158,'Challan Details'!$A$5:$A$204,0)),"")</f>
      </c>
      <c r="M158" s="24">
        <f>IFERROR(INDEX('Challan Details'!$D$5:$D$204,MATCH(B158,'Challan Details'!$A$5:$A$204,0)),"")</f>
      </c>
    </row>
    <row r="159" spans="1:13" x14ac:dyDescent="0.25">
      <c r="A159" s="22">
        <f>IF(C159="","",ROW()-3)</f>
      </c>
      <c r="B159" s="18"/>
      <c r="C159" s="18"/>
      <c r="D159" s="18"/>
      <c r="E159" s="18"/>
      <c r="F159" s="16"/>
      <c r="G159" s="17"/>
      <c r="H159" s="23"/>
      <c r="I159" s="17"/>
      <c r="J159" s="17"/>
      <c r="K159" s="18"/>
      <c r="L159" s="20">
        <f>IFERROR(INDEX('Challan Details'!$B$5:$B$204,MATCH(B159,'Challan Details'!$A$5:$A$204,0)),"")</f>
      </c>
      <c r="M159" s="24">
        <f>IFERROR(INDEX('Challan Details'!$D$5:$D$204,MATCH(B159,'Challan Details'!$A$5:$A$204,0)),"")</f>
      </c>
    </row>
    <row r="160" spans="1:13" x14ac:dyDescent="0.25">
      <c r="A160" s="22">
        <f>IF(C160="","",ROW()-3)</f>
      </c>
      <c r="B160" s="18"/>
      <c r="C160" s="18"/>
      <c r="D160" s="18"/>
      <c r="E160" s="18"/>
      <c r="F160" s="16"/>
      <c r="G160" s="17"/>
      <c r="H160" s="23"/>
      <c r="I160" s="17"/>
      <c r="J160" s="17"/>
      <c r="K160" s="18"/>
      <c r="L160" s="20">
        <f>IFERROR(INDEX('Challan Details'!$B$5:$B$204,MATCH(B160,'Challan Details'!$A$5:$A$204,0)),"")</f>
      </c>
      <c r="M160" s="24">
        <f>IFERROR(INDEX('Challan Details'!$D$5:$D$204,MATCH(B160,'Challan Details'!$A$5:$A$204,0)),"")</f>
      </c>
    </row>
    <row r="161" spans="1:13" x14ac:dyDescent="0.25">
      <c r="A161" s="22">
        <f>IF(C161="","",ROW()-3)</f>
      </c>
      <c r="B161" s="18"/>
      <c r="C161" s="18"/>
      <c r="D161" s="18"/>
      <c r="E161" s="18"/>
      <c r="F161" s="16"/>
      <c r="G161" s="17"/>
      <c r="H161" s="23"/>
      <c r="I161" s="17"/>
      <c r="J161" s="17"/>
      <c r="K161" s="18"/>
      <c r="L161" s="20">
        <f>IFERROR(INDEX('Challan Details'!$B$5:$B$204,MATCH(B161,'Challan Details'!$A$5:$A$204,0)),"")</f>
      </c>
      <c r="M161" s="24">
        <f>IFERROR(INDEX('Challan Details'!$D$5:$D$204,MATCH(B161,'Challan Details'!$A$5:$A$204,0)),"")</f>
      </c>
    </row>
    <row r="162" spans="1:13" x14ac:dyDescent="0.25">
      <c r="A162" s="22">
        <f>IF(C162="","",ROW()-3)</f>
      </c>
      <c r="B162" s="18"/>
      <c r="C162" s="18"/>
      <c r="D162" s="18"/>
      <c r="E162" s="18"/>
      <c r="F162" s="16"/>
      <c r="G162" s="17"/>
      <c r="H162" s="23"/>
      <c r="I162" s="17"/>
      <c r="J162" s="17"/>
      <c r="K162" s="18"/>
      <c r="L162" s="20">
        <f>IFERROR(INDEX('Challan Details'!$B$5:$B$204,MATCH(B162,'Challan Details'!$A$5:$A$204,0)),"")</f>
      </c>
      <c r="M162" s="24">
        <f>IFERROR(INDEX('Challan Details'!$D$5:$D$204,MATCH(B162,'Challan Details'!$A$5:$A$204,0)),"")</f>
      </c>
    </row>
    <row r="163" spans="1:13" x14ac:dyDescent="0.25">
      <c r="A163" s="22">
        <f>IF(C163="","",ROW()-3)</f>
      </c>
      <c r="B163" s="18"/>
      <c r="C163" s="18"/>
      <c r="D163" s="18"/>
      <c r="E163" s="18"/>
      <c r="F163" s="16"/>
      <c r="G163" s="17"/>
      <c r="H163" s="23"/>
      <c r="I163" s="17"/>
      <c r="J163" s="17"/>
      <c r="K163" s="18"/>
      <c r="L163" s="20">
        <f>IFERROR(INDEX('Challan Details'!$B$5:$B$204,MATCH(B163,'Challan Details'!$A$5:$A$204,0)),"")</f>
      </c>
      <c r="M163" s="24">
        <f>IFERROR(INDEX('Challan Details'!$D$5:$D$204,MATCH(B163,'Challan Details'!$A$5:$A$204,0)),"")</f>
      </c>
    </row>
    <row r="164" spans="1:13" x14ac:dyDescent="0.25">
      <c r="A164" s="22">
        <f>IF(C164="","",ROW()-3)</f>
      </c>
      <c r="B164" s="18"/>
      <c r="C164" s="18"/>
      <c r="D164" s="18"/>
      <c r="E164" s="18"/>
      <c r="F164" s="16"/>
      <c r="G164" s="17"/>
      <c r="H164" s="23"/>
      <c r="I164" s="17"/>
      <c r="J164" s="17"/>
      <c r="K164" s="18"/>
      <c r="L164" s="20">
        <f>IFERROR(INDEX('Challan Details'!$B$5:$B$204,MATCH(B164,'Challan Details'!$A$5:$A$204,0)),"")</f>
      </c>
      <c r="M164" s="24">
        <f>IFERROR(INDEX('Challan Details'!$D$5:$D$204,MATCH(B164,'Challan Details'!$A$5:$A$204,0)),"")</f>
      </c>
    </row>
    <row r="165" spans="1:13" x14ac:dyDescent="0.25">
      <c r="A165" s="22">
        <f>IF(C165="","",ROW()-3)</f>
      </c>
      <c r="B165" s="18"/>
      <c r="C165" s="18"/>
      <c r="D165" s="18"/>
      <c r="E165" s="18"/>
      <c r="F165" s="16"/>
      <c r="G165" s="17"/>
      <c r="H165" s="23"/>
      <c r="I165" s="17"/>
      <c r="J165" s="17"/>
      <c r="K165" s="18"/>
      <c r="L165" s="20">
        <f>IFERROR(INDEX('Challan Details'!$B$5:$B$204,MATCH(B165,'Challan Details'!$A$5:$A$204,0)),"")</f>
      </c>
      <c r="M165" s="24">
        <f>IFERROR(INDEX('Challan Details'!$D$5:$D$204,MATCH(B165,'Challan Details'!$A$5:$A$204,0)),"")</f>
      </c>
    </row>
    <row r="166" spans="1:13" x14ac:dyDescent="0.25">
      <c r="A166" s="22">
        <f>IF(C166="","",ROW()-3)</f>
      </c>
      <c r="B166" s="18"/>
      <c r="C166" s="18"/>
      <c r="D166" s="18"/>
      <c r="E166" s="18"/>
      <c r="F166" s="16"/>
      <c r="G166" s="17"/>
      <c r="H166" s="23"/>
      <c r="I166" s="17"/>
      <c r="J166" s="17"/>
      <c r="K166" s="18"/>
      <c r="L166" s="20">
        <f>IFERROR(INDEX('Challan Details'!$B$5:$B$204,MATCH(B166,'Challan Details'!$A$5:$A$204,0)),"")</f>
      </c>
      <c r="M166" s="24">
        <f>IFERROR(INDEX('Challan Details'!$D$5:$D$204,MATCH(B166,'Challan Details'!$A$5:$A$204,0)),"")</f>
      </c>
    </row>
    <row r="167" spans="1:13" x14ac:dyDescent="0.25">
      <c r="A167" s="22">
        <f>IF(C167="","",ROW()-3)</f>
      </c>
      <c r="B167" s="18"/>
      <c r="C167" s="18"/>
      <c r="D167" s="18"/>
      <c r="E167" s="18"/>
      <c r="F167" s="16"/>
      <c r="G167" s="17"/>
      <c r="H167" s="23"/>
      <c r="I167" s="17"/>
      <c r="J167" s="17"/>
      <c r="K167" s="18"/>
      <c r="L167" s="20">
        <f>IFERROR(INDEX('Challan Details'!$B$5:$B$204,MATCH(B167,'Challan Details'!$A$5:$A$204,0)),"")</f>
      </c>
      <c r="M167" s="24">
        <f>IFERROR(INDEX('Challan Details'!$D$5:$D$204,MATCH(B167,'Challan Details'!$A$5:$A$204,0)),"")</f>
      </c>
    </row>
    <row r="168" spans="1:13" x14ac:dyDescent="0.25">
      <c r="A168" s="22">
        <f>IF(C168="","",ROW()-3)</f>
      </c>
      <c r="B168" s="18"/>
      <c r="C168" s="18"/>
      <c r="D168" s="18"/>
      <c r="E168" s="18"/>
      <c r="F168" s="16"/>
      <c r="G168" s="17"/>
      <c r="H168" s="23"/>
      <c r="I168" s="17"/>
      <c r="J168" s="17"/>
      <c r="K168" s="18"/>
      <c r="L168" s="20">
        <f>IFERROR(INDEX('Challan Details'!$B$5:$B$204,MATCH(B168,'Challan Details'!$A$5:$A$204,0)),"")</f>
      </c>
      <c r="M168" s="24">
        <f>IFERROR(INDEX('Challan Details'!$D$5:$D$204,MATCH(B168,'Challan Details'!$A$5:$A$204,0)),"")</f>
      </c>
    </row>
    <row r="169" spans="1:13" x14ac:dyDescent="0.25">
      <c r="A169" s="22">
        <f>IF(C169="","",ROW()-3)</f>
      </c>
      <c r="B169" s="18"/>
      <c r="C169" s="18"/>
      <c r="D169" s="18"/>
      <c r="E169" s="18"/>
      <c r="F169" s="16"/>
      <c r="G169" s="17"/>
      <c r="H169" s="23"/>
      <c r="I169" s="17"/>
      <c r="J169" s="17"/>
      <c r="K169" s="18"/>
      <c r="L169" s="20">
        <f>IFERROR(INDEX('Challan Details'!$B$5:$B$204,MATCH(B169,'Challan Details'!$A$5:$A$204,0)),"")</f>
      </c>
      <c r="M169" s="24">
        <f>IFERROR(INDEX('Challan Details'!$D$5:$D$204,MATCH(B169,'Challan Details'!$A$5:$A$204,0)),"")</f>
      </c>
    </row>
    <row r="170" spans="1:13" x14ac:dyDescent="0.25">
      <c r="A170" s="22">
        <f>IF(C170="","",ROW()-3)</f>
      </c>
      <c r="B170" s="18"/>
      <c r="C170" s="18"/>
      <c r="D170" s="18"/>
      <c r="E170" s="18"/>
      <c r="F170" s="16"/>
      <c r="G170" s="17"/>
      <c r="H170" s="23"/>
      <c r="I170" s="17"/>
      <c r="J170" s="17"/>
      <c r="K170" s="18"/>
      <c r="L170" s="20">
        <f>IFERROR(INDEX('Challan Details'!$B$5:$B$204,MATCH(B170,'Challan Details'!$A$5:$A$204,0)),"")</f>
      </c>
      <c r="M170" s="24">
        <f>IFERROR(INDEX('Challan Details'!$D$5:$D$204,MATCH(B170,'Challan Details'!$A$5:$A$204,0)),"")</f>
      </c>
    </row>
    <row r="171" spans="1:13" x14ac:dyDescent="0.25">
      <c r="A171" s="22">
        <f>IF(C171="","",ROW()-3)</f>
      </c>
      <c r="B171" s="18"/>
      <c r="C171" s="18"/>
      <c r="D171" s="18"/>
      <c r="E171" s="18"/>
      <c r="F171" s="16"/>
      <c r="G171" s="17"/>
      <c r="H171" s="23"/>
      <c r="I171" s="17"/>
      <c r="J171" s="17"/>
      <c r="K171" s="18"/>
      <c r="L171" s="20">
        <f>IFERROR(INDEX('Challan Details'!$B$5:$B$204,MATCH(B171,'Challan Details'!$A$5:$A$204,0)),"")</f>
      </c>
      <c r="M171" s="24">
        <f>IFERROR(INDEX('Challan Details'!$D$5:$D$204,MATCH(B171,'Challan Details'!$A$5:$A$204,0)),"")</f>
      </c>
    </row>
    <row r="172" spans="1:13" x14ac:dyDescent="0.25">
      <c r="A172" s="22">
        <f>IF(C172="","",ROW()-3)</f>
      </c>
      <c r="B172" s="18"/>
      <c r="C172" s="18"/>
      <c r="D172" s="18"/>
      <c r="E172" s="18"/>
      <c r="F172" s="16"/>
      <c r="G172" s="17"/>
      <c r="H172" s="23"/>
      <c r="I172" s="17"/>
      <c r="J172" s="17"/>
      <c r="K172" s="18"/>
      <c r="L172" s="20">
        <f>IFERROR(INDEX('Challan Details'!$B$5:$B$204,MATCH(B172,'Challan Details'!$A$5:$A$204,0)),"")</f>
      </c>
      <c r="M172" s="24">
        <f>IFERROR(INDEX('Challan Details'!$D$5:$D$204,MATCH(B172,'Challan Details'!$A$5:$A$204,0)),"")</f>
      </c>
    </row>
    <row r="173" spans="1:13" x14ac:dyDescent="0.25">
      <c r="A173" s="22">
        <f>IF(C173="","",ROW()-3)</f>
      </c>
      <c r="B173" s="18"/>
      <c r="C173" s="18"/>
      <c r="D173" s="18"/>
      <c r="E173" s="18"/>
      <c r="F173" s="16"/>
      <c r="G173" s="17"/>
      <c r="H173" s="23"/>
      <c r="I173" s="17"/>
      <c r="J173" s="17"/>
      <c r="K173" s="18"/>
      <c r="L173" s="20">
        <f>IFERROR(INDEX('Challan Details'!$B$5:$B$204,MATCH(B173,'Challan Details'!$A$5:$A$204,0)),"")</f>
      </c>
      <c r="M173" s="24">
        <f>IFERROR(INDEX('Challan Details'!$D$5:$D$204,MATCH(B173,'Challan Details'!$A$5:$A$204,0)),"")</f>
      </c>
    </row>
    <row r="174" spans="1:13" x14ac:dyDescent="0.25">
      <c r="A174" s="22">
        <f>IF(C174="","",ROW()-3)</f>
      </c>
      <c r="B174" s="18"/>
      <c r="C174" s="18"/>
      <c r="D174" s="18"/>
      <c r="E174" s="18"/>
      <c r="F174" s="16"/>
      <c r="G174" s="17"/>
      <c r="H174" s="23"/>
      <c r="I174" s="17"/>
      <c r="J174" s="17"/>
      <c r="K174" s="18"/>
      <c r="L174" s="20">
        <f>IFERROR(INDEX('Challan Details'!$B$5:$B$204,MATCH(B174,'Challan Details'!$A$5:$A$204,0)),"")</f>
      </c>
      <c r="M174" s="24">
        <f>IFERROR(INDEX('Challan Details'!$D$5:$D$204,MATCH(B174,'Challan Details'!$A$5:$A$204,0)),"")</f>
      </c>
    </row>
    <row r="175" spans="1:13" x14ac:dyDescent="0.25">
      <c r="A175" s="22">
        <f>IF(C175="","",ROW()-3)</f>
      </c>
      <c r="B175" s="18"/>
      <c r="C175" s="18"/>
      <c r="D175" s="18"/>
      <c r="E175" s="18"/>
      <c r="F175" s="16"/>
      <c r="G175" s="17"/>
      <c r="H175" s="23"/>
      <c r="I175" s="17"/>
      <c r="J175" s="17"/>
      <c r="K175" s="18"/>
      <c r="L175" s="20">
        <f>IFERROR(INDEX('Challan Details'!$B$5:$B$204,MATCH(B175,'Challan Details'!$A$5:$A$204,0)),"")</f>
      </c>
      <c r="M175" s="24">
        <f>IFERROR(INDEX('Challan Details'!$D$5:$D$204,MATCH(B175,'Challan Details'!$A$5:$A$204,0)),"")</f>
      </c>
    </row>
    <row r="176" spans="1:13" x14ac:dyDescent="0.25">
      <c r="A176" s="22">
        <f>IF(C176="","",ROW()-3)</f>
      </c>
      <c r="B176" s="18"/>
      <c r="C176" s="18"/>
      <c r="D176" s="18"/>
      <c r="E176" s="18"/>
      <c r="F176" s="16"/>
      <c r="G176" s="17"/>
      <c r="H176" s="23"/>
      <c r="I176" s="17"/>
      <c r="J176" s="17"/>
      <c r="K176" s="18"/>
      <c r="L176" s="20">
        <f>IFERROR(INDEX('Challan Details'!$B$5:$B$204,MATCH(B176,'Challan Details'!$A$5:$A$204,0)),"")</f>
      </c>
      <c r="M176" s="24">
        <f>IFERROR(INDEX('Challan Details'!$D$5:$D$204,MATCH(B176,'Challan Details'!$A$5:$A$204,0)),"")</f>
      </c>
    </row>
    <row r="177" spans="1:13" x14ac:dyDescent="0.25">
      <c r="A177" s="22">
        <f>IF(C177="","",ROW()-3)</f>
      </c>
      <c r="B177" s="18"/>
      <c r="C177" s="18"/>
      <c r="D177" s="18"/>
      <c r="E177" s="18"/>
      <c r="F177" s="16"/>
      <c r="G177" s="17"/>
      <c r="H177" s="23"/>
      <c r="I177" s="17"/>
      <c r="J177" s="17"/>
      <c r="K177" s="18"/>
      <c r="L177" s="20">
        <f>IFERROR(INDEX('Challan Details'!$B$5:$B$204,MATCH(B177,'Challan Details'!$A$5:$A$204,0)),"")</f>
      </c>
      <c r="M177" s="24">
        <f>IFERROR(INDEX('Challan Details'!$D$5:$D$204,MATCH(B177,'Challan Details'!$A$5:$A$204,0)),"")</f>
      </c>
    </row>
    <row r="178" spans="1:13" x14ac:dyDescent="0.25">
      <c r="A178" s="22">
        <f>IF(C178="","",ROW()-3)</f>
      </c>
      <c r="B178" s="18"/>
      <c r="C178" s="18"/>
      <c r="D178" s="18"/>
      <c r="E178" s="18"/>
      <c r="F178" s="16"/>
      <c r="G178" s="17"/>
      <c r="H178" s="23"/>
      <c r="I178" s="17"/>
      <c r="J178" s="17"/>
      <c r="K178" s="18"/>
      <c r="L178" s="20">
        <f>IFERROR(INDEX('Challan Details'!$B$5:$B$204,MATCH(B178,'Challan Details'!$A$5:$A$204,0)),"")</f>
      </c>
      <c r="M178" s="24">
        <f>IFERROR(INDEX('Challan Details'!$D$5:$D$204,MATCH(B178,'Challan Details'!$A$5:$A$204,0)),"")</f>
      </c>
    </row>
    <row r="179" spans="1:13" x14ac:dyDescent="0.25">
      <c r="A179" s="22">
        <f>IF(C179="","",ROW()-3)</f>
      </c>
      <c r="B179" s="18"/>
      <c r="C179" s="18"/>
      <c r="D179" s="18"/>
      <c r="E179" s="18"/>
      <c r="F179" s="16"/>
      <c r="G179" s="17"/>
      <c r="H179" s="23"/>
      <c r="I179" s="17"/>
      <c r="J179" s="17"/>
      <c r="K179" s="18"/>
      <c r="L179" s="20">
        <f>IFERROR(INDEX('Challan Details'!$B$5:$B$204,MATCH(B179,'Challan Details'!$A$5:$A$204,0)),"")</f>
      </c>
      <c r="M179" s="24">
        <f>IFERROR(INDEX('Challan Details'!$D$5:$D$204,MATCH(B179,'Challan Details'!$A$5:$A$204,0)),"")</f>
      </c>
    </row>
    <row r="180" spans="1:13" x14ac:dyDescent="0.25">
      <c r="A180" s="22">
        <f>IF(C180="","",ROW()-3)</f>
      </c>
      <c r="B180" s="18"/>
      <c r="C180" s="18"/>
      <c r="D180" s="18"/>
      <c r="E180" s="18"/>
      <c r="F180" s="16"/>
      <c r="G180" s="17"/>
      <c r="H180" s="23"/>
      <c r="I180" s="17"/>
      <c r="J180" s="17"/>
      <c r="K180" s="18"/>
      <c r="L180" s="20">
        <f>IFERROR(INDEX('Challan Details'!$B$5:$B$204,MATCH(B180,'Challan Details'!$A$5:$A$204,0)),"")</f>
      </c>
      <c r="M180" s="24">
        <f>IFERROR(INDEX('Challan Details'!$D$5:$D$204,MATCH(B180,'Challan Details'!$A$5:$A$204,0)),"")</f>
      </c>
    </row>
    <row r="181" spans="1:13" x14ac:dyDescent="0.25">
      <c r="A181" s="22">
        <f>IF(C181="","",ROW()-3)</f>
      </c>
      <c r="B181" s="18"/>
      <c r="C181" s="18"/>
      <c r="D181" s="18"/>
      <c r="E181" s="18"/>
      <c r="F181" s="16"/>
      <c r="G181" s="17"/>
      <c r="H181" s="23"/>
      <c r="I181" s="17"/>
      <c r="J181" s="17"/>
      <c r="K181" s="18"/>
      <c r="L181" s="20">
        <f>IFERROR(INDEX('Challan Details'!$B$5:$B$204,MATCH(B181,'Challan Details'!$A$5:$A$204,0)),"")</f>
      </c>
      <c r="M181" s="24">
        <f>IFERROR(INDEX('Challan Details'!$D$5:$D$204,MATCH(B181,'Challan Details'!$A$5:$A$204,0)),"")</f>
      </c>
    </row>
    <row r="182" spans="1:13" x14ac:dyDescent="0.25">
      <c r="A182" s="22">
        <f>IF(C182="","",ROW()-3)</f>
      </c>
      <c r="B182" s="18"/>
      <c r="C182" s="18"/>
      <c r="D182" s="18"/>
      <c r="E182" s="18"/>
      <c r="F182" s="16"/>
      <c r="G182" s="17"/>
      <c r="H182" s="23"/>
      <c r="I182" s="17"/>
      <c r="J182" s="17"/>
      <c r="K182" s="18"/>
      <c r="L182" s="20">
        <f>IFERROR(INDEX('Challan Details'!$B$5:$B$204,MATCH(B182,'Challan Details'!$A$5:$A$204,0)),"")</f>
      </c>
      <c r="M182" s="24">
        <f>IFERROR(INDEX('Challan Details'!$D$5:$D$204,MATCH(B182,'Challan Details'!$A$5:$A$204,0)),"")</f>
      </c>
    </row>
    <row r="183" spans="1:13" x14ac:dyDescent="0.25">
      <c r="A183" s="22">
        <f>IF(C183="","",ROW()-3)</f>
      </c>
      <c r="B183" s="18"/>
      <c r="C183" s="18"/>
      <c r="D183" s="18"/>
      <c r="E183" s="18"/>
      <c r="F183" s="16"/>
      <c r="G183" s="17"/>
      <c r="H183" s="23"/>
      <c r="I183" s="17"/>
      <c r="J183" s="17"/>
      <c r="K183" s="18"/>
      <c r="L183" s="20">
        <f>IFERROR(INDEX('Challan Details'!$B$5:$B$204,MATCH(B183,'Challan Details'!$A$5:$A$204,0)),"")</f>
      </c>
      <c r="M183" s="24">
        <f>IFERROR(INDEX('Challan Details'!$D$5:$D$204,MATCH(B183,'Challan Details'!$A$5:$A$204,0)),"")</f>
      </c>
    </row>
    <row r="184" spans="1:13" x14ac:dyDescent="0.25">
      <c r="A184" s="22">
        <f>IF(C184="","",ROW()-3)</f>
      </c>
      <c r="B184" s="18"/>
      <c r="C184" s="18"/>
      <c r="D184" s="18"/>
      <c r="E184" s="18"/>
      <c r="F184" s="16"/>
      <c r="G184" s="17"/>
      <c r="H184" s="23"/>
      <c r="I184" s="17"/>
      <c r="J184" s="17"/>
      <c r="K184" s="18"/>
      <c r="L184" s="20">
        <f>IFERROR(INDEX('Challan Details'!$B$5:$B$204,MATCH(B184,'Challan Details'!$A$5:$A$204,0)),"")</f>
      </c>
      <c r="M184" s="24">
        <f>IFERROR(INDEX('Challan Details'!$D$5:$D$204,MATCH(B184,'Challan Details'!$A$5:$A$204,0)),"")</f>
      </c>
    </row>
    <row r="185" spans="1:13" x14ac:dyDescent="0.25">
      <c r="A185" s="22">
        <f>IF(C185="","",ROW()-3)</f>
      </c>
      <c r="B185" s="18"/>
      <c r="C185" s="18"/>
      <c r="D185" s="18"/>
      <c r="E185" s="18"/>
      <c r="F185" s="16"/>
      <c r="G185" s="17"/>
      <c r="H185" s="23"/>
      <c r="I185" s="17"/>
      <c r="J185" s="17"/>
      <c r="K185" s="18"/>
      <c r="L185" s="20">
        <f>IFERROR(INDEX('Challan Details'!$B$5:$B$204,MATCH(B185,'Challan Details'!$A$5:$A$204,0)),"")</f>
      </c>
      <c r="M185" s="24">
        <f>IFERROR(INDEX('Challan Details'!$D$5:$D$204,MATCH(B185,'Challan Details'!$A$5:$A$204,0)),"")</f>
      </c>
    </row>
    <row r="186" spans="1:13" x14ac:dyDescent="0.25">
      <c r="A186" s="22">
        <f>IF(C186="","",ROW()-3)</f>
      </c>
      <c r="B186" s="18"/>
      <c r="C186" s="18"/>
      <c r="D186" s="18"/>
      <c r="E186" s="18"/>
      <c r="F186" s="16"/>
      <c r="G186" s="17"/>
      <c r="H186" s="23"/>
      <c r="I186" s="17"/>
      <c r="J186" s="17"/>
      <c r="K186" s="18"/>
      <c r="L186" s="20">
        <f>IFERROR(INDEX('Challan Details'!$B$5:$B$204,MATCH(B186,'Challan Details'!$A$5:$A$204,0)),"")</f>
      </c>
      <c r="M186" s="24">
        <f>IFERROR(INDEX('Challan Details'!$D$5:$D$204,MATCH(B186,'Challan Details'!$A$5:$A$204,0)),"")</f>
      </c>
    </row>
    <row r="187" spans="1:13" x14ac:dyDescent="0.25">
      <c r="A187" s="22">
        <f>IF(C187="","",ROW()-3)</f>
      </c>
      <c r="B187" s="18"/>
      <c r="C187" s="18"/>
      <c r="D187" s="18"/>
      <c r="E187" s="18"/>
      <c r="F187" s="16"/>
      <c r="G187" s="17"/>
      <c r="H187" s="23"/>
      <c r="I187" s="17"/>
      <c r="J187" s="17"/>
      <c r="K187" s="18"/>
      <c r="L187" s="20">
        <f>IFERROR(INDEX('Challan Details'!$B$5:$B$204,MATCH(B187,'Challan Details'!$A$5:$A$204,0)),"")</f>
      </c>
      <c r="M187" s="24">
        <f>IFERROR(INDEX('Challan Details'!$D$5:$D$204,MATCH(B187,'Challan Details'!$A$5:$A$204,0)),"")</f>
      </c>
    </row>
    <row r="188" spans="1:13" x14ac:dyDescent="0.25">
      <c r="A188" s="22">
        <f>IF(C188="","",ROW()-3)</f>
      </c>
      <c r="B188" s="18"/>
      <c r="C188" s="18"/>
      <c r="D188" s="18"/>
      <c r="E188" s="18"/>
      <c r="F188" s="16"/>
      <c r="G188" s="17"/>
      <c r="H188" s="23"/>
      <c r="I188" s="17"/>
      <c r="J188" s="17"/>
      <c r="K188" s="18"/>
      <c r="L188" s="20">
        <f>IFERROR(INDEX('Challan Details'!$B$5:$B$204,MATCH(B188,'Challan Details'!$A$5:$A$204,0)),"")</f>
      </c>
      <c r="M188" s="24">
        <f>IFERROR(INDEX('Challan Details'!$D$5:$D$204,MATCH(B188,'Challan Details'!$A$5:$A$204,0)),"")</f>
      </c>
    </row>
    <row r="189" spans="1:13" x14ac:dyDescent="0.25">
      <c r="A189" s="22">
        <f>IF(C189="","",ROW()-3)</f>
      </c>
      <c r="B189" s="18"/>
      <c r="C189" s="18"/>
      <c r="D189" s="18"/>
      <c r="E189" s="18"/>
      <c r="F189" s="16"/>
      <c r="G189" s="17"/>
      <c r="H189" s="23"/>
      <c r="I189" s="17"/>
      <c r="J189" s="17"/>
      <c r="K189" s="18"/>
      <c r="L189" s="20">
        <f>IFERROR(INDEX('Challan Details'!$B$5:$B$204,MATCH(B189,'Challan Details'!$A$5:$A$204,0)),"")</f>
      </c>
      <c r="M189" s="24">
        <f>IFERROR(INDEX('Challan Details'!$D$5:$D$204,MATCH(B189,'Challan Details'!$A$5:$A$204,0)),"")</f>
      </c>
    </row>
    <row r="190" spans="1:13" x14ac:dyDescent="0.25">
      <c r="A190" s="22">
        <f>IF(C190="","",ROW()-3)</f>
      </c>
      <c r="B190" s="18"/>
      <c r="C190" s="18"/>
      <c r="D190" s="18"/>
      <c r="E190" s="18"/>
      <c r="F190" s="16"/>
      <c r="G190" s="17"/>
      <c r="H190" s="23"/>
      <c r="I190" s="17"/>
      <c r="J190" s="17"/>
      <c r="K190" s="18"/>
      <c r="L190" s="20">
        <f>IFERROR(INDEX('Challan Details'!$B$5:$B$204,MATCH(B190,'Challan Details'!$A$5:$A$204,0)),"")</f>
      </c>
      <c r="M190" s="24">
        <f>IFERROR(INDEX('Challan Details'!$D$5:$D$204,MATCH(B190,'Challan Details'!$A$5:$A$204,0)),"")</f>
      </c>
    </row>
    <row r="191" spans="1:13" x14ac:dyDescent="0.25">
      <c r="A191" s="22">
        <f>IF(C191="","",ROW()-3)</f>
      </c>
      <c r="B191" s="18"/>
      <c r="C191" s="18"/>
      <c r="D191" s="18"/>
      <c r="E191" s="18"/>
      <c r="F191" s="16"/>
      <c r="G191" s="17"/>
      <c r="H191" s="23"/>
      <c r="I191" s="17"/>
      <c r="J191" s="17"/>
      <c r="K191" s="18"/>
      <c r="L191" s="20">
        <f>IFERROR(INDEX('Challan Details'!$B$5:$B$204,MATCH(B191,'Challan Details'!$A$5:$A$204,0)),"")</f>
      </c>
      <c r="M191" s="24">
        <f>IFERROR(INDEX('Challan Details'!$D$5:$D$204,MATCH(B191,'Challan Details'!$A$5:$A$204,0)),"")</f>
      </c>
    </row>
    <row r="192" spans="1:13" x14ac:dyDescent="0.25">
      <c r="A192" s="22">
        <f>IF(C192="","",ROW()-3)</f>
      </c>
      <c r="B192" s="18"/>
      <c r="C192" s="18"/>
      <c r="D192" s="18"/>
      <c r="E192" s="18"/>
      <c r="F192" s="16"/>
      <c r="G192" s="17"/>
      <c r="H192" s="23"/>
      <c r="I192" s="17"/>
      <c r="J192" s="17"/>
      <c r="K192" s="18"/>
      <c r="L192" s="20">
        <f>IFERROR(INDEX('Challan Details'!$B$5:$B$204,MATCH(B192,'Challan Details'!$A$5:$A$204,0)),"")</f>
      </c>
      <c r="M192" s="24">
        <f>IFERROR(INDEX('Challan Details'!$D$5:$D$204,MATCH(B192,'Challan Details'!$A$5:$A$204,0)),"")</f>
      </c>
    </row>
    <row r="193" spans="1:13" x14ac:dyDescent="0.25">
      <c r="A193" s="22">
        <f>IF(C193="","",ROW()-3)</f>
      </c>
      <c r="B193" s="18"/>
      <c r="C193" s="18"/>
      <c r="D193" s="18"/>
      <c r="E193" s="18"/>
      <c r="F193" s="16"/>
      <c r="G193" s="17"/>
      <c r="H193" s="23"/>
      <c r="I193" s="17"/>
      <c r="J193" s="17"/>
      <c r="K193" s="18"/>
      <c r="L193" s="20">
        <f>IFERROR(INDEX('Challan Details'!$B$5:$B$204,MATCH(B193,'Challan Details'!$A$5:$A$204,0)),"")</f>
      </c>
      <c r="M193" s="24">
        <f>IFERROR(INDEX('Challan Details'!$D$5:$D$204,MATCH(B193,'Challan Details'!$A$5:$A$204,0)),"")</f>
      </c>
    </row>
    <row r="194" spans="1:13" x14ac:dyDescent="0.25">
      <c r="A194" s="22">
        <f>IF(C194="","",ROW()-3)</f>
      </c>
      <c r="B194" s="18"/>
      <c r="C194" s="18"/>
      <c r="D194" s="18"/>
      <c r="E194" s="18"/>
      <c r="F194" s="16"/>
      <c r="G194" s="17"/>
      <c r="H194" s="23"/>
      <c r="I194" s="17"/>
      <c r="J194" s="17"/>
      <c r="K194" s="18"/>
      <c r="L194" s="20">
        <f>IFERROR(INDEX('Challan Details'!$B$5:$B$204,MATCH(B194,'Challan Details'!$A$5:$A$204,0)),"")</f>
      </c>
      <c r="M194" s="24">
        <f>IFERROR(INDEX('Challan Details'!$D$5:$D$204,MATCH(B194,'Challan Details'!$A$5:$A$204,0)),"")</f>
      </c>
    </row>
    <row r="195" spans="1:13" x14ac:dyDescent="0.25">
      <c r="A195" s="22">
        <f>IF(C195="","",ROW()-3)</f>
      </c>
      <c r="B195" s="18"/>
      <c r="C195" s="18"/>
      <c r="D195" s="18"/>
      <c r="E195" s="18"/>
      <c r="F195" s="16"/>
      <c r="G195" s="17"/>
      <c r="H195" s="23"/>
      <c r="I195" s="17"/>
      <c r="J195" s="17"/>
      <c r="K195" s="18"/>
      <c r="L195" s="20">
        <f>IFERROR(INDEX('Challan Details'!$B$5:$B$204,MATCH(B195,'Challan Details'!$A$5:$A$204,0)),"")</f>
      </c>
      <c r="M195" s="24">
        <f>IFERROR(INDEX('Challan Details'!$D$5:$D$204,MATCH(B195,'Challan Details'!$A$5:$A$204,0)),"")</f>
      </c>
    </row>
    <row r="196" spans="1:13" x14ac:dyDescent="0.25">
      <c r="A196" s="22">
        <f>IF(C196="","",ROW()-3)</f>
      </c>
      <c r="B196" s="18"/>
      <c r="C196" s="18"/>
      <c r="D196" s="18"/>
      <c r="E196" s="18"/>
      <c r="F196" s="16"/>
      <c r="G196" s="17"/>
      <c r="H196" s="23"/>
      <c r="I196" s="17"/>
      <c r="J196" s="17"/>
      <c r="K196" s="18"/>
      <c r="L196" s="20">
        <f>IFERROR(INDEX('Challan Details'!$B$5:$B$204,MATCH(B196,'Challan Details'!$A$5:$A$204,0)),"")</f>
      </c>
      <c r="M196" s="24">
        <f>IFERROR(INDEX('Challan Details'!$D$5:$D$204,MATCH(B196,'Challan Details'!$A$5:$A$204,0)),"")</f>
      </c>
    </row>
    <row r="197" spans="1:13" x14ac:dyDescent="0.25">
      <c r="A197" s="22">
        <f>IF(C197="","",ROW()-3)</f>
      </c>
      <c r="B197" s="18"/>
      <c r="C197" s="18"/>
      <c r="D197" s="18"/>
      <c r="E197" s="18"/>
      <c r="F197" s="16"/>
      <c r="G197" s="17"/>
      <c r="H197" s="23"/>
      <c r="I197" s="17"/>
      <c r="J197" s="17"/>
      <c r="K197" s="18"/>
      <c r="L197" s="20">
        <f>IFERROR(INDEX('Challan Details'!$B$5:$B$204,MATCH(B197,'Challan Details'!$A$5:$A$204,0)),"")</f>
      </c>
      <c r="M197" s="24">
        <f>IFERROR(INDEX('Challan Details'!$D$5:$D$204,MATCH(B197,'Challan Details'!$A$5:$A$204,0)),"")</f>
      </c>
    </row>
    <row r="198" spans="1:13" x14ac:dyDescent="0.25">
      <c r="A198" s="22">
        <f>IF(C198="","",ROW()-3)</f>
      </c>
      <c r="B198" s="18"/>
      <c r="C198" s="18"/>
      <c r="D198" s="18"/>
      <c r="E198" s="18"/>
      <c r="F198" s="16"/>
      <c r="G198" s="17"/>
      <c r="H198" s="23"/>
      <c r="I198" s="17"/>
      <c r="J198" s="17"/>
      <c r="K198" s="18"/>
      <c r="L198" s="20">
        <f>IFERROR(INDEX('Challan Details'!$B$5:$B$204,MATCH(B198,'Challan Details'!$A$5:$A$204,0)),"")</f>
      </c>
      <c r="M198" s="24">
        <f>IFERROR(INDEX('Challan Details'!$D$5:$D$204,MATCH(B198,'Challan Details'!$A$5:$A$204,0)),"")</f>
      </c>
    </row>
    <row r="199" spans="1:13" x14ac:dyDescent="0.25">
      <c r="A199" s="22">
        <f>IF(C199="","",ROW()-3)</f>
      </c>
      <c r="B199" s="18"/>
      <c r="C199" s="18"/>
      <c r="D199" s="18"/>
      <c r="E199" s="18"/>
      <c r="F199" s="16"/>
      <c r="G199" s="17"/>
      <c r="H199" s="23"/>
      <c r="I199" s="17"/>
      <c r="J199" s="17"/>
      <c r="K199" s="18"/>
      <c r="L199" s="20">
        <f>IFERROR(INDEX('Challan Details'!$B$5:$B$204,MATCH(B199,'Challan Details'!$A$5:$A$204,0)),"")</f>
      </c>
      <c r="M199" s="24">
        <f>IFERROR(INDEX('Challan Details'!$D$5:$D$204,MATCH(B199,'Challan Details'!$A$5:$A$204,0)),"")</f>
      </c>
    </row>
    <row r="200" spans="1:13" x14ac:dyDescent="0.25">
      <c r="A200" s="22">
        <f>IF(C200="","",ROW()-3)</f>
      </c>
      <c r="B200" s="18"/>
      <c r="C200" s="18"/>
      <c r="D200" s="18"/>
      <c r="E200" s="18"/>
      <c r="F200" s="16"/>
      <c r="G200" s="17"/>
      <c r="H200" s="23"/>
      <c r="I200" s="17"/>
      <c r="J200" s="17"/>
      <c r="K200" s="18"/>
      <c r="L200" s="20">
        <f>IFERROR(INDEX('Challan Details'!$B$5:$B$204,MATCH(B200,'Challan Details'!$A$5:$A$204,0)),"")</f>
      </c>
      <c r="M200" s="24">
        <f>IFERROR(INDEX('Challan Details'!$D$5:$D$204,MATCH(B200,'Challan Details'!$A$5:$A$204,0)),"")</f>
      </c>
    </row>
    <row r="201" spans="1:13" x14ac:dyDescent="0.25">
      <c r="A201" s="22">
        <f>IF(C201="","",ROW()-3)</f>
      </c>
      <c r="B201" s="18"/>
      <c r="C201" s="18"/>
      <c r="D201" s="18"/>
      <c r="E201" s="18"/>
      <c r="F201" s="16"/>
      <c r="G201" s="17"/>
      <c r="H201" s="23"/>
      <c r="I201" s="17"/>
      <c r="J201" s="17"/>
      <c r="K201" s="18"/>
      <c r="L201" s="20">
        <f>IFERROR(INDEX('Challan Details'!$B$5:$B$204,MATCH(B201,'Challan Details'!$A$5:$A$204,0)),"")</f>
      </c>
      <c r="M201" s="24">
        <f>IFERROR(INDEX('Challan Details'!$D$5:$D$204,MATCH(B201,'Challan Details'!$A$5:$A$204,0)),"")</f>
      </c>
    </row>
    <row r="202" spans="1:13" x14ac:dyDescent="0.25">
      <c r="A202" s="22">
        <f>IF(C202="","",ROW()-3)</f>
      </c>
      <c r="B202" s="18"/>
      <c r="C202" s="18"/>
      <c r="D202" s="18"/>
      <c r="E202" s="18"/>
      <c r="F202" s="16"/>
      <c r="G202" s="17"/>
      <c r="H202" s="23"/>
      <c r="I202" s="17"/>
      <c r="J202" s="17"/>
      <c r="K202" s="18"/>
      <c r="L202" s="20">
        <f>IFERROR(INDEX('Challan Details'!$B$5:$B$204,MATCH(B202,'Challan Details'!$A$5:$A$204,0)),"")</f>
      </c>
      <c r="M202" s="24">
        <f>IFERROR(INDEX('Challan Details'!$D$5:$D$204,MATCH(B202,'Challan Details'!$A$5:$A$204,0)),"")</f>
      </c>
    </row>
    <row r="203" spans="1:13" x14ac:dyDescent="0.25">
      <c r="A203" s="22">
        <f>IF(C203="","",ROW()-3)</f>
      </c>
      <c r="B203" s="18"/>
      <c r="C203" s="18"/>
      <c r="D203" s="18"/>
      <c r="E203" s="18"/>
      <c r="F203" s="16"/>
      <c r="G203" s="17"/>
      <c r="H203" s="23"/>
      <c r="I203" s="17"/>
      <c r="J203" s="17"/>
      <c r="K203" s="18"/>
      <c r="L203" s="20">
        <f>IFERROR(INDEX('Challan Details'!$B$5:$B$204,MATCH(B203,'Challan Details'!$A$5:$A$204,0)),"")</f>
      </c>
      <c r="M203" s="24">
        <f>IFERROR(INDEX('Challan Details'!$D$5:$D$204,MATCH(B203,'Challan Details'!$A$5:$A$204,0)),"")</f>
      </c>
    </row>
    <row r="204" spans="1:13" x14ac:dyDescent="0.25">
      <c r="A204" s="22">
        <f>IF(C204="","",ROW()-3)</f>
      </c>
      <c r="B204" s="18"/>
      <c r="C204" s="18"/>
      <c r="D204" s="18"/>
      <c r="E204" s="18"/>
      <c r="F204" s="16"/>
      <c r="G204" s="17"/>
      <c r="H204" s="23"/>
      <c r="I204" s="17"/>
      <c r="J204" s="17"/>
      <c r="K204" s="18"/>
      <c r="L204" s="20">
        <f>IFERROR(INDEX('Challan Details'!$B$5:$B$204,MATCH(B204,'Challan Details'!$A$5:$A$204,0)),"")</f>
      </c>
      <c r="M204" s="24">
        <f>IFERROR(INDEX('Challan Details'!$D$5:$D$204,MATCH(B204,'Challan Details'!$A$5:$A$204,0)),"")</f>
      </c>
    </row>
  </sheetData>
  <mergeCells count="1">
    <mergeCell ref="A1:M1"/>
  </mergeCells>
  <dataValidations count="8">
    <dataValidation type="list" allowBlank="1" showErrorMessage="1" errorTitle="Unknown Challan ID" error="Pick a Challan ID that already exists in the Challan Details sheet." sqref="B5:B204">
      <formula1>'Challan Details'!$A$5:$A$204</formula1>
    </dataValidation>
    <dataValidation type="custom" allowBlank="1" showErrorMessage="1" errorTitle="Invalid PAN" error="PAN must be 10 characters: 5 letters, 4 digits, 1 letter, all uppercase — e.g. AACCP6899F." sqref="D5:D204">
      <formula1>AND(LEN(D5)=10,CODE(MID(D5,1,1))&gt;=65,CODE(MID(D5,1,1))&lt;=90,CODE(MID(D5,2,1))&gt;=65,CODE(MID(D5,2,1))&lt;=90,CODE(MID(D5,3,1))&gt;=65,CODE(MID(D5,3,1))&lt;=90,CODE(MID(D5,4,1))&gt;=65,CODE(MID(D5,4,1))&lt;=90,CODE(MID(D5,5,1))&gt;=65,CODE(MID(D5,5,1))&lt;=90,CODE(MID(D5,6,1))&gt;=48,CODE(MID(D5,6,1))&lt;=57,CODE(MID(D5,7,1))&gt;=48,CODE(MID(D5,7,1))&lt;=57,CODE(MID(D5,8,1))&gt;=48,CODE(MID(D5,8,1))&lt;=57,CODE(MID(D5,9,1))&gt;=48,CODE(MID(D5,9,1))&lt;=57,CODE(MID(D5,10,1))&gt;=65,CODE(MID(D5,10,1))&lt;=90)</formula1>
    </dataValidation>
    <dataValidation type="list" allowBlank="1" showErrorMessage="1" errorTitle="Unknown Section" error="Pick a section from the dropdown list." sqref="E5:E204">
      <formula1>"192,194A,194C,194D,194H,194I,194IA,194IB,194J,194K,194M,194Q,206C"</formula1>
    </dataValidation>
    <dataValidation type="date" allowBlank="1" showErrorMessage="1" errorTitle="Invalid Date" error="Enter a real date (use the date picker), between 01-Apr-2020 and 31-Mar-2030." sqref="F5:F204">
      <formula1>43922</formula1>
      <formula2>47573</formula2>
    </dataValidation>
    <dataValidation type="decimal" operator="greaterThanOrEqual" allowBlank="1" showErrorMessage="1" errorTitle="Invalid Amount" error="Amount must be a number of 0 or more." sqref="G5:G204">
      <formula1>0</formula1>
    </dataValidation>
    <dataValidation type="decimal" allowBlank="1" showErrorMessage="1" errorTitle="Invalid Rate" error="Rate must be a number between 0 and 100 (e.g. enter 10 for 10%, not 0.10)." sqref="H5:H204">
      <formula1>0</formula1>
      <formula2>100</formula2>
    </dataValidation>
    <dataValidation type="decimal" operator="greaterThanOrEqual" allowBlank="1" showErrorMessage="1" errorTitle="Invalid TDS Amount" error="TDS Amount must be a number of 0 or more." sqref="I5:I204">
      <formula1>0</formula1>
    </dataValidation>
    <dataValidation type="decimal" operator="greaterThanOrEqual" allowBlank="1" showErrorMessage="1" errorTitle="Invalid Interest" error="Interest must be a number of 0 or more." sqref="J5:J20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Challan Details</vt:lpstr>
      <vt:lpstr>TDS Entries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CAFlow</dc:creator>
  <dc:title/>
  <dc:subject/>
  <dc:description/>
  <cp:keywords/>
  <cp:category/>
  <cp:lastModifiedBy>Unknown</cp:lastModifiedBy>
  <dcterms:created xsi:type="dcterms:W3CDTF">2026-07-28T00:00:00Z</dcterms:created>
  <dcterms:modified xsi:type="dcterms:W3CDTF">2026-07-28T12:51:12Z</dcterms:modified>
</cp:coreProperties>
</file>