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Rate Lookup" state="veryHidden" r:id="rId5"/>
    <sheet sheetId="3" name="Challan Master" state="visible" r:id="rId6"/>
    <sheet sheetId="4" name="Q1 Data" state="visible" r:id="rId7"/>
    <sheet sheetId="5" name="Q2 Data" state="visible" r:id="rId8"/>
    <sheet sheetId="6" name="Q3 Data" state="visible" r:id="rId9"/>
    <sheet sheetId="7" name="Q4 Data" state="visible" r:id="rId10"/>
  </sheets>
  <calcPr calcId="171027"/>
</workbook>
</file>

<file path=xl/sharedStrings.xml><?xml version="1.0" encoding="utf-8"?>
<sst xmlns="http://schemas.openxmlformats.org/spreadsheetml/2006/main" count="171" uniqueCount="106">
  <si>
    <t>TDS Data Entry — Client Template</t>
  </si>
  <si>
    <t>Challan Master sheet + four quarter entry tabs, cross-linked by dropdown — mirrors the software’s own Data Entry screen, where a challan is created once and every deductee entry picks it from a list.</t>
  </si>
  <si>
    <t>How This Template Works</t>
  </si>
  <si>
    <t>•  This workbook has SIX sheets: this Instructions sheet, "Challan Master", and four entry tabs — Q1 Data, Q2 Data, Q3 Data, Q4 Data. Fill in Challan Master FIRST, then go to whichever quarter tab a deductee was actually paid in and record the entry there.</t>
  </si>
  <si>
    <t>•  Challan Master: one row per PHYSICAL challan, entered exactly ONCE, no matter how many quarters or deductees draw against it. Fill BSR Code, Challan Serial No., Date of Deposit, Minor Head, Tax Deposited (all four marked * are mandatory — leaving one blank highlights that cell pink and the Row 2 banner counts it as a failure), plus Surcharge/Cess/Interest/Others/Late Fees if applicable.</t>
  </si>
  <si>
    <t>•  Quarter tabs (Q1–Q4 Data): every row is ONE deductee entry. The first editable field, "Challan (select)", is a dropdown listing every challan already on Challan Master — pick the right one and its BSR Code, Serial No., Date of Deposit, Minor Head, Tax Deposited and Section are pulled from Challan Master automatically wherever a formula needs them (interest calc, section-rate lookup). There is no more separate "Challan row" to type on a quarter tab, and no way to mistype or leave blank the BSR/Serial link — you are always picking a challan that already exists.</t>
  </si>
  <si>
    <t>•  The entry’s own "Section*" (for TDS rate lookup) stays independently editable — pick the section that actually applies to THIS payment, regardless of whichever Section is registered on the linked challan (one challan can legitimately cover deductees under more than one section).</t>
  </si>
  <si>
    <t>•  CHALLAN CARRY-FORWARD: Challan Master’s "Amount Used Q1/Q2/Q3/Q4" columns sum every entry linked to that challan on each specific quarter tab; "Total Amount Used", "Allocatable" and "Unconsumed / Balance" total across all four. Post part of a challan’s entries in Q1 and the rest in Q2 — the challan’s own row updates live either way, exactly like the software’s own database lookup.</t>
  </si>
  <si>
    <t>•  "Status" on Challan Master (green, auto) shows Over-applied / Fully Utilised / Unconsumed for each challan; an Over-applied challan’s entire row is highlighted red on Challan Master, AND every entry on every quarter tab that references it is also highlighted red (via the "Challan Status (ref)" column) so you see the problem from wherever you’re looking, not just on Challan Master.</t>
  </si>
  <si>
    <t>•  Row 2 on Challan Master is a live banner: over-applied challans + challans missing a mandatory field. Row 2 on each quarter tab is a separate live banner scoped to that tab: entries missing a Challan selection + entries posted against an already over-applied challan.</t>
  </si>
  <si>
    <t>•  "Rate of TDS" calculates automatically from Section + Deductee Type (detected from the PAN’s 4th character, same P/H/C/F/L/T/A mapping the software uses); "TDS Amount" = Amount Paid × Rate; "Interest Amount" follows Section 201(1A) — 1.5% per month (or part) late, from the deduction month’s 7th-of-next-month due date to the linked challan’s own deposit date, now a simple same-row lookup instead of a cross-sheet search.</t>
  </si>
  <si>
    <t>•  "PAN Not Available" calculates automatically — Y whenever PAN is blank or not in valid PAN format, N otherwise; a no-PAN row is highlighted pink and gets the flat higher no-PAN rate under Section 206AA, same as the software.</t>
  </si>
  <si>
    <t>•  Surcharge Amount, Education Cess Amount, and Late Fees Amount (per entry) are always 0 — the software has no way to enter these on a deductee through this screen either.</t>
  </si>
  <si>
    <t>•  Every grey auto-calculated cell is LOCKED (sheets are protected, no password — Review → Unprotect Sheet removes it instantly if ever needed) — exactly like the software, where these are displayed values, never fields you type into. Do not rename a tab, insert/delete columns, or change the header row (row 3) on any sheet — formulas and dropdowns match columns by these exact positions.</t>
  </si>
  <si>
    <t>•  The Challan dropdown on quarter tabs lists Challan Master’s full row range, so a few blank entries may appear at the end of the dropdown list past your last real challan — harmless, just skip past them.</t>
  </si>
  <si>
    <t>•  If a formula cell ever looks blank or stale while you’re actively editing, press Ctrl+Alt+F9 (Formulas → Calculate Now → Calculate Workbook) to force a full refresh.</t>
  </si>
  <si>
    <t>•  "Reason Code" now uses the official 13-code scheme (A–E, N, O, P, Q, S, T, Y, Z) instead of the old 7-code shorthand. Four rules enforce it: (1) any "no deduction" reason (B, D, E, N, O, P, Q, S, Y, Z) forces TDS Amount to 0 regardless of the section rate; (2) Reason A (lower/no deduction via certificate) requires Lower Deduction Certificate No. AND Lower Deduction Rate both filled — pink if either is blank; (3) Reason C (higher rate, PAN not furnished) is pink-flagged if PAN Not Available isn’t Y, and Reason T (transporter, PAN mandatory) is pink-flagged if PAN Not Available IS Y — these two catch a reason that contradicts the PAN status you actually entered; (4) the remaining notification/circular-based reasons (D, E, N, O, P, Q, S, Z) pink-flag the Remarks cell if left blank, so there’s a paper trail for why.</t>
  </si>
  <si>
    <t>•  Lower Deduction Rate now drives the TDS calculation directly: whenever it’s filled (including an explicit 0 for a NIL-rate certificate), "Rate of TDS" and "TDS Amount" use that figure instead of the section’s default rate. Leave it blank and the section rate applies exactly as before. Note: this is a template-only enhancement — the live software does not yet apply Lower Deduction Rate to its own TDS calculation, so the two will disagree on this one point for a Reason-A row until/unless the software is updated to match.</t>
  </si>
  <si>
    <t>1004 : [192A] : 393(7) – Premature withdrawal from Employees' Provident Fund</t>
  </si>
  <si>
    <t>192B — Salary</t>
  </si>
  <si>
    <t>1019 : [193] : 393(1) [Table: S.N. 5(i)] – Interest on securities</t>
  </si>
  <si>
    <t>1029 : [194] : 393(1) [Table: S.N. 7] – Dividend</t>
  </si>
  <si>
    <t>1021 : [194A] : 393(1) [Table: S.N. 5(ii).D(b)] – Interest other than securities - Other Individuals</t>
  </si>
  <si>
    <t>1022 : [194A- Other than Bank] : 393(1) [Table: S.N. 5(iii)] – Interest other than securities - Others</t>
  </si>
  <si>
    <t>1020 : [194A-SC] : 393(1) [Table: S.N. 5(ii).D(a)] – Interest other than securities - Senior Citizens</t>
  </si>
  <si>
    <t>1058 : [194B] : 393(3) [Table: Sl. No. 1] – Winnings from lottery, crossword puzzles, card games and other games</t>
  </si>
  <si>
    <t>1062 : [194BB] : 393(3) [Table: S.No. 3] – Winnings from horse races</t>
  </si>
  <si>
    <t>194C — Contractor / Sub-contractor</t>
  </si>
  <si>
    <t>1023 : [194C(a)] : 393(1) [Table: S.N. 6(i).D(a)] – Payments to contractors and sub-contractors (Individual/HUF)</t>
  </si>
  <si>
    <t>1024 : [194C(b)] : 393(1) [Table: S.N. 6(i).D(b)] – Payments to contractors and sub-contractors (Others)</t>
  </si>
  <si>
    <t>1005 : [194D] : 393(1) [Table: S.No. 1(i)] – Insurance commission</t>
  </si>
  <si>
    <t>1030 : [194DA] : 393(1) [Table: Sl. No. 8(i)] – Payment in respect of life insurance policy (maturity proceeds)</t>
  </si>
  <si>
    <t>1063 : [194G] : 393(3) [Table: S.No. 4] – Commission on sale of lottery tickets</t>
  </si>
  <si>
    <t>1006 : [194H] : 393(1) [Table: S.N. 1(ii)] – Commission or brokerage</t>
  </si>
  <si>
    <t>1008 : [194I(a)] : 393(1) [Table: S.N. 2(ii).D(a)] – Rent - Plant &amp; Machinery</t>
  </si>
  <si>
    <t>1009 : [194I(b)] : 393(1) [Table: S.N. 2(ii).D(b)] – Rent - Land/Building/Furniture</t>
  </si>
  <si>
    <t>194IA — Immovable Property Purchase</t>
  </si>
  <si>
    <t>194IB — Rent by Ind/HUF (&gt;50k/month)</t>
  </si>
  <si>
    <t>1011 : [194IC] : 393(1) [Table: S.N. 3(ii)] – Payment under a Joint Development Agreement (JDA)</t>
  </si>
  <si>
    <t>1027 : [194J(a)] : 393(1) [Table: S.N. 6(iii).D(b)] – Professional services / director remuneration</t>
  </si>
  <si>
    <t>1026 : [194J(b)] : 393(1) [Table: S.N. 6(iii).D(a)] – Fees for technical services</t>
  </si>
  <si>
    <t>1013 : [194K] : 393(1) [Table: Sl. No. 4(i)] – Income from units of a mutual fund</t>
  </si>
  <si>
    <t>1012 : [194LA] : 393(1) [Table: S.No. 3(iii)] – Compensation on compulsory acquisition of certain immovable property</t>
  </si>
  <si>
    <t>1044 : [194LB] : 393(2) [Table: S.No. 5] – Interest from an infrastructure debt fund</t>
  </si>
  <si>
    <t>1018 : [194LBC] : 393(1) [Table: Sl. No. 4(iv)] – Income from investment in a securitisation trust, paid to a resident</t>
  </si>
  <si>
    <t>194M — Contractor/Professional by Ind</t>
  </si>
  <si>
    <t>194N-F — Cash Withdrawal (ITR Filer)</t>
  </si>
  <si>
    <t>194N-NF — Cash Withdrawal (Non-Filer)</t>
  </si>
  <si>
    <t>194O — E-Commerce</t>
  </si>
  <si>
    <t>1031 : [194Q] : 393(1) [Table: S.N. 8(ii)] – Purchase of goods (buyer TDS)</t>
  </si>
  <si>
    <t>194R — Benefit/Perquisite in Business</t>
  </si>
  <si>
    <t>1034 : [194R(a)] : 393(1) [Table: S.N. 8(iv)] – Perquisite/benefit in business or profession (Cash)</t>
  </si>
  <si>
    <t>1035 : [194R(b)] : 393(1) [Table: S.N. 8(iv) Note 6] – Perquisite/benefit in business or profession (In Kind/Mixed)</t>
  </si>
  <si>
    <t>1037 : [194S] : 393(1) [Table: Sl. No. 8(vi)] – Consideration for transfer of a virtual digital asset (crypto)</t>
  </si>
  <si>
    <t>1067 : [194T] : 393(3) [Table: S.N. 7] – Payment to partners of a firm (salary/remuneration/interest)</t>
  </si>
  <si>
    <t>Challan Master — enter every challan ONCE here; quarter tabs pick it from a dropdown</t>
  </si>
  <si>
    <t>Sr. No.</t>
  </si>
  <si>
    <t>BSR Code*</t>
  </si>
  <si>
    <t>Challan Serial No.*</t>
  </si>
  <si>
    <t>Date of Deposit*</t>
  </si>
  <si>
    <t>Minor Head*</t>
  </si>
  <si>
    <t>Section</t>
  </si>
  <si>
    <t>Tax Deposited (₹)*</t>
  </si>
  <si>
    <t>Surcharge Deposited (₹)</t>
  </si>
  <si>
    <t>Education Cess Deposited (₹)</t>
  </si>
  <si>
    <t>Interest Deposited (₹)</t>
  </si>
  <si>
    <t>Others Deposited (₹)</t>
  </si>
  <si>
    <t>Late Fees u/s 234E (₹)</t>
  </si>
  <si>
    <t>Total Challan Amount (₹)</t>
  </si>
  <si>
    <t>Bank Name</t>
  </si>
  <si>
    <t>Book Entry?</t>
  </si>
  <si>
    <t>Transfer Voucher No.</t>
  </si>
  <si>
    <t>Cheque/DD No.</t>
  </si>
  <si>
    <t>Remarks</t>
  </si>
  <si>
    <t>Dropdown Label (internal)</t>
  </si>
  <si>
    <t>Amount Used Q1 (₹)</t>
  </si>
  <si>
    <t>Amount Used Q2 (₹)</t>
  </si>
  <si>
    <t>Amount Used Q3 (₹)</t>
  </si>
  <si>
    <t>Amount Used Q4 (₹)</t>
  </si>
  <si>
    <t>Total Amount Used (₹)</t>
  </si>
  <si>
    <t>Allocatable (₹)</t>
  </si>
  <si>
    <t>Unconsumed / Balance (₹)</t>
  </si>
  <si>
    <t>Status</t>
  </si>
  <si>
    <t>Q1 — pick a Challan for every deductee entry below</t>
  </si>
  <si>
    <t>Challan (select)*</t>
  </si>
  <si>
    <t>Deductee Name*</t>
  </si>
  <si>
    <t>PAN*</t>
  </si>
  <si>
    <t>PAN Not Available (auto)</t>
  </si>
  <si>
    <t>Deductee Type (auto)</t>
  </si>
  <si>
    <t>Section*</t>
  </si>
  <si>
    <t>Rate of TDS (%)</t>
  </si>
  <si>
    <t>Date of Payment/Credit*</t>
  </si>
  <si>
    <t>Amount Paid/Credited (₹)*</t>
  </si>
  <si>
    <t>TDS Amount (₹)</t>
  </si>
  <si>
    <t>Surcharge Amount (₹)</t>
  </si>
  <si>
    <t>Education Cess Amount (₹)</t>
  </si>
  <si>
    <t>Interest Amount (₹)</t>
  </si>
  <si>
    <t>Late Fees Amount (₹)</t>
  </si>
  <si>
    <t>Reason Code</t>
  </si>
  <si>
    <t>Lower Deduction Certificate No.</t>
  </si>
  <si>
    <t>Lower Deduction Rate (%)</t>
  </si>
  <si>
    <t>Country of Residence</t>
  </si>
  <si>
    <t>Challan Status (ref)</t>
  </si>
  <si>
    <t>Q2 — pick a Challan for every deductee entry below</t>
  </si>
  <si>
    <t>Q3 — pick a Challan for every deductee entry below</t>
  </si>
  <si>
    <t>Q4 — pick a Challan for every deductee entry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</si>
</sst>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F3864"/>
      <sz val="16"/>
      <name val="Arial"/>
    </font>
    <font>
      <i/>
      <sz val="10"/>
      <name val="Arial"/>
    </font>
    <font>
      <b/>
      <color rgb="FF1F3864"/>
      <sz val="12"/>
      <name val="Arial"/>
    </font>
    <font>
      <sz val="10"/>
      <name val="Arial"/>
    </font>
    <font>
      <b/>
      <sz val="11"/>
      <name val="Arial"/>
    </font>
    <font>
      <b/>
      <color rgb="FFFFFFFF"/>
      <sz val="10"/>
      <name val="Arial"/>
    </font>
    <font>
      <color rgb="FF3C3C3C"/>
      <sz val="10"/>
      <name val="Arial"/>
    </font>
    <font>
      <color rgb="FF1F4E79"/>
      <sz val="10"/>
      <name val="Arial"/>
    </font>
  </fonts>
  <fills count="4">
    <fill>
      <patternFill patternType="none"/>
    </fill>
    <fill>
      <patternFill patternType="gray125"/>
    </fill>
    <fill>
      <patternFill patternType="solid">
        <fgColor rgb="FF1F3864"/>
      </patternFill>
    </fill>
    <fill>
      <patternFill patternType="solid">
        <fgColor rgb="FFF3F5F8"/>
      </patternFill>
    </fill>
  </fills>
  <borders count="3">
    <border>
      <left/>
      <right/>
      <top/>
      <bottom/>
      <diagonal/>
    </border>
    <border>
      <left style="thin">
        <color rgb="FF1F3864"/>
      </left>
      <right style="thin">
        <color rgb="FF1F3864"/>
      </right>
      <top style="thin">
        <color rgb="FF1F3864"/>
      </top>
      <bottom style="medium">
        <color rgb="FF1F3864"/>
      </bottom>
      <diagonal/>
    </border>
    <border>
      <left style="thin">
        <color rgb="FFC9CDD3"/>
      </left>
      <right style="thin">
        <color rgb="FFC9CDD3"/>
      </right>
      <top style="thin">
        <color rgb="FFC9CDD3"/>
      </top>
      <bottom style="thin">
        <color rgb="FFC9CDD3"/>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center"/>
    </xf>
    <xf numFmtId="0" fontId="6" fillId="2" borderId="1" xfId="0" applyFont="1" applyFill="1" applyBorder="1" applyAlignment="1">
      <alignment horizontal="center" vertical="center" wrapText="1"/>
    </xf>
    <xf numFmtId="0" fontId="7" fillId="3" borderId="2" xfId="0" applyFont="1" applyFill="1" applyBorder="1"/>
    <xf numFmtId="0" fontId="8" fillId="0" borderId="2" xfId="0" applyFont="1" applyBorder="1" applyProtection="1">
      <protection locked="0"/>
    </xf>
  </cellXfs>
  <cellStyles count="1">
    <cellStyle name="Normal" xfId="0" builtinId="0"/>
  </cellStyles>
  <dxfs count="44">
    <dxf>
      <font>
        <b/>
        <color rgb="FFFFFFFF"/>
      </font>
      <fill>
        <patternFill patternType="solid">
          <bgColor rgb="FFC0392B"/>
        </patternFill>
      </fill>
    </dxf>
    <dxf>
      <font>
        <b/>
        <color rgb="FF1B7A43"/>
      </font>
      <fill>
        <patternFill patternType="solid">
          <bgColor rgb="FFD9F2E6"/>
        </patternFill>
      </fill>
    </dxf>
    <dxf>
      <font>
        <b/>
        <color rgb="FFFFFFFF"/>
      </font>
      <fill>
        <patternFill patternType="solid">
          <bgColor rgb="FFC0392B"/>
        </patternFill>
      </fill>
    </dxf>
    <dxf>
      <font>
        <b/>
        <color rgb="FF1B7A43"/>
      </font>
      <fill>
        <patternFill patternType="solid">
          <bgColor rgb="FFD9F2E6"/>
        </patternFill>
      </fill>
    </dxf>
    <dxf>
      <font>
        <color rgb="FF8A6D1D"/>
      </font>
      <fill>
        <patternFill patternType="solid">
          <bgColor rgb="FFFDF3D9"/>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
      <font>
        <b/>
        <color rgb="FFFFFFFF"/>
      </font>
      <fill>
        <patternFill patternType="solid">
          <bgColor rgb="FFC0392B"/>
        </patternFill>
      </fill>
    </dxf>
    <dxf>
      <font>
        <b/>
        <color rgb="FF1B7A43"/>
      </font>
      <fill>
        <patternFill patternType="solid">
          <bgColor rgb="FFD9F2E6"/>
        </patternFill>
      </fill>
    </dxf>
    <dxf>
      <font>
        <b/>
        <color rgb="FFA13A3A"/>
      </font>
      <fill>
        <patternFill patternType="solid">
          <bgColor rgb="FFFBE4E4"/>
        </patternFill>
      </fill>
    </dxf>
    <dxf>
      <font>
        <b/>
        <color rgb="FFA13A3A"/>
      </font>
      <fill>
        <patternFill patternType="solid">
          <bgColor rgb="FFFBE4E4"/>
        </patternFill>
      </fill>
    </dxf>
    <dxf>
      <font>
        <b/>
        <color rgb="FFFFFFFF"/>
      </font>
      <fill>
        <patternFill patternType="solid">
          <bgColor rgb="FFC0392B"/>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
      <font>
        <b/>
        <color rgb="FFFFFFFF"/>
      </font>
      <fill>
        <patternFill patternType="solid">
          <bgColor rgb="FFC0392B"/>
        </patternFill>
      </fill>
    </dxf>
    <dxf>
      <font>
        <b/>
        <color rgb="FF1B7A43"/>
      </font>
      <fill>
        <patternFill patternType="solid">
          <bgColor rgb="FFD9F2E6"/>
        </patternFill>
      </fill>
    </dxf>
    <dxf>
      <font>
        <b/>
        <color rgb="FFA13A3A"/>
      </font>
      <fill>
        <patternFill patternType="solid">
          <bgColor rgb="FFFBE4E4"/>
        </patternFill>
      </fill>
    </dxf>
    <dxf>
      <font>
        <b/>
        <color rgb="FFA13A3A"/>
      </font>
      <fill>
        <patternFill patternType="solid">
          <bgColor rgb="FFFBE4E4"/>
        </patternFill>
      </fill>
    </dxf>
    <dxf>
      <font>
        <b/>
        <color rgb="FFFFFFFF"/>
      </font>
      <fill>
        <patternFill patternType="solid">
          <bgColor rgb="FFC0392B"/>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
      <font>
        <b/>
        <color rgb="FFFFFFFF"/>
      </font>
      <fill>
        <patternFill patternType="solid">
          <bgColor rgb="FFC0392B"/>
        </patternFill>
      </fill>
    </dxf>
    <dxf>
      <font>
        <b/>
        <color rgb="FF1B7A43"/>
      </font>
      <fill>
        <patternFill patternType="solid">
          <bgColor rgb="FFD9F2E6"/>
        </patternFill>
      </fill>
    </dxf>
    <dxf>
      <font>
        <b/>
        <color rgb="FFA13A3A"/>
      </font>
      <fill>
        <patternFill patternType="solid">
          <bgColor rgb="FFFBE4E4"/>
        </patternFill>
      </fill>
    </dxf>
    <dxf>
      <font>
        <b/>
        <color rgb="FFA13A3A"/>
      </font>
      <fill>
        <patternFill patternType="solid">
          <bgColor rgb="FFFBE4E4"/>
        </patternFill>
      </fill>
    </dxf>
    <dxf>
      <font>
        <b/>
        <color rgb="FFFFFFFF"/>
      </font>
      <fill>
        <patternFill patternType="solid">
          <bgColor rgb="FFC0392B"/>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
      <font>
        <b/>
        <color rgb="FFFFFFFF"/>
      </font>
      <fill>
        <patternFill patternType="solid">
          <bgColor rgb="FFC0392B"/>
        </patternFill>
      </fill>
    </dxf>
    <dxf>
      <font>
        <b/>
        <color rgb="FF1B7A43"/>
      </font>
      <fill>
        <patternFill patternType="solid">
          <bgColor rgb="FFD9F2E6"/>
        </patternFill>
      </fill>
    </dxf>
    <dxf>
      <font>
        <b/>
        <color rgb="FFA13A3A"/>
      </font>
      <fill>
        <patternFill patternType="solid">
          <bgColor rgb="FFFBE4E4"/>
        </patternFill>
      </fill>
    </dxf>
    <dxf>
      <font>
        <b/>
        <color rgb="FFA13A3A"/>
      </font>
      <fill>
        <patternFill patternType="solid">
          <bgColor rgb="FFFBE4E4"/>
        </patternFill>
      </fill>
    </dxf>
    <dxf>
      <font>
        <b/>
        <color rgb="FFFFFFFF"/>
      </font>
      <fill>
        <patternFill patternType="solid">
          <bgColor rgb="FFC0392B"/>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
      <font>
        <b/>
        <color rgb="FFA13A3A"/>
      </font>
      <fill>
        <patternFill patternType="solid">
          <bgColor rgb="FFFBE4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FormatPr defaultRowHeight="15" outlineLevelRow="0" outlineLevelCol="0" x14ac:dyDescent="55"/>
  <cols>
    <col min="1" max="1" width="100" customWidth="1"/>
  </cols>
  <sheetData>
    <row r="1" spans="1:1" x14ac:dyDescent="0.25">
      <c r="A1" s="1" t="s">
        <v>0</v>
      </c>
    </row>
    <row r="2" ht="4" customHeight="1" x14ac:dyDescent="0.25"/>
    <row r="3" spans="1:1" x14ac:dyDescent="0.25">
      <c r="A3" s="2" t="s">
        <v>1</v>
      </c>
    </row>
    <row r="4" ht="8" customHeight="1" x14ac:dyDescent="0.25"/>
    <row r="5" spans="1:1" x14ac:dyDescent="0.25">
      <c r="A5" s="3" t="s">
        <v>2</v>
      </c>
    </row>
    <row r="6" spans="1:1" x14ac:dyDescent="0.25">
      <c r="A6" s="4" t="s">
        <v>3</v>
      </c>
    </row>
    <row r="7" spans="1:1" x14ac:dyDescent="0.25">
      <c r="A7" s="4" t="s">
        <v>4</v>
      </c>
    </row>
    <row r="8" spans="1:1" x14ac:dyDescent="0.25">
      <c r="A8" s="4" t="s">
        <v>5</v>
      </c>
    </row>
    <row r="9" spans="1:1" x14ac:dyDescent="0.25">
      <c r="A9" s="4" t="s">
        <v>6</v>
      </c>
    </row>
    <row r="10" spans="1:1" x14ac:dyDescent="0.25">
      <c r="A10" s="4" t="s">
        <v>7</v>
      </c>
    </row>
    <row r="11" spans="1:1" x14ac:dyDescent="0.25">
      <c r="A11" s="4" t="s">
        <v>8</v>
      </c>
    </row>
    <row r="12" spans="1:1" x14ac:dyDescent="0.25">
      <c r="A12" s="4" t="s">
        <v>9</v>
      </c>
    </row>
    <row r="13" spans="1:1" x14ac:dyDescent="0.25">
      <c r="A13" s="4" t="s">
        <v>10</v>
      </c>
    </row>
    <row r="14" spans="1:1" x14ac:dyDescent="0.25">
      <c r="A14" s="4" t="s">
        <v>11</v>
      </c>
    </row>
    <row r="15" spans="1:1" x14ac:dyDescent="0.25">
      <c r="A15" s="4" t="s">
        <v>12</v>
      </c>
    </row>
    <row r="16" spans="1:1" x14ac:dyDescent="0.25">
      <c r="A16" s="4" t="s">
        <v>13</v>
      </c>
    </row>
    <row r="17" spans="1:1" x14ac:dyDescent="0.25">
      <c r="A17" s="4" t="s">
        <v>14</v>
      </c>
    </row>
    <row r="18" spans="1:1" x14ac:dyDescent="0.25">
      <c r="A18" s="4" t="s">
        <v>15</v>
      </c>
    </row>
    <row r="19" spans="1:1" x14ac:dyDescent="0.25">
      <c r="A19" s="4" t="s">
        <v>16</v>
      </c>
    </row>
    <row r="20" spans="1:1" x14ac:dyDescent="0.25">
      <c r="A20" s="4" t="s">
        <v>17</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FormatPr defaultRowHeight="15" outlineLevelRow="0" outlineLevelCol="0" x14ac:dyDescent="55"/>
  <sheetData>
    <row r="1" spans="1:4" x14ac:dyDescent="0.25">
      <c r="A1" t="s">
        <v>18</v>
      </c>
      <c r="B1">
        <v>10</v>
      </c>
      <c r="C1">
        <v>10</v>
      </c>
      <c r="D1">
        <v>20</v>
      </c>
    </row>
    <row r="2" spans="1:4" x14ac:dyDescent="0.25">
      <c r="A2" t="s">
        <v>19</v>
      </c>
      <c r="B2">
        <v>0</v>
      </c>
      <c r="C2">
        <v>0</v>
      </c>
      <c r="D2">
        <v>20</v>
      </c>
    </row>
    <row r="3" spans="1:4" x14ac:dyDescent="0.25">
      <c r="A3" t="s">
        <v>20</v>
      </c>
      <c r="B3">
        <v>10</v>
      </c>
      <c r="C3">
        <v>10</v>
      </c>
      <c r="D3">
        <v>20</v>
      </c>
    </row>
    <row r="4" spans="1:4" x14ac:dyDescent="0.25">
      <c r="A4" t="s">
        <v>21</v>
      </c>
      <c r="B4">
        <v>10</v>
      </c>
      <c r="C4">
        <v>10</v>
      </c>
      <c r="D4">
        <v>20</v>
      </c>
    </row>
    <row r="5" spans="1:4" x14ac:dyDescent="0.25">
      <c r="A5" t="s">
        <v>22</v>
      </c>
      <c r="B5">
        <v>10</v>
      </c>
      <c r="C5">
        <v>10</v>
      </c>
      <c r="D5">
        <v>20</v>
      </c>
    </row>
    <row r="6" spans="1:4" x14ac:dyDescent="0.25">
      <c r="A6" t="s">
        <v>23</v>
      </c>
      <c r="B6">
        <v>10</v>
      </c>
      <c r="C6">
        <v>10</v>
      </c>
      <c r="D6">
        <v>20</v>
      </c>
    </row>
    <row r="7" spans="1:4" x14ac:dyDescent="0.25">
      <c r="A7" t="s">
        <v>24</v>
      </c>
      <c r="B7">
        <v>10</v>
      </c>
      <c r="C7">
        <v>10</v>
      </c>
      <c r="D7">
        <v>20</v>
      </c>
    </row>
    <row r="8" spans="1:4" x14ac:dyDescent="0.25">
      <c r="A8" t="s">
        <v>25</v>
      </c>
      <c r="B8">
        <v>30</v>
      </c>
      <c r="C8">
        <v>30</v>
      </c>
      <c r="D8">
        <v>30</v>
      </c>
    </row>
    <row r="9" spans="1:4" x14ac:dyDescent="0.25">
      <c r="A9" t="s">
        <v>26</v>
      </c>
      <c r="B9">
        <v>30</v>
      </c>
      <c r="C9">
        <v>30</v>
      </c>
      <c r="D9">
        <v>30</v>
      </c>
    </row>
    <row r="10" spans="1:4" x14ac:dyDescent="0.25">
      <c r="A10" t="s">
        <v>27</v>
      </c>
      <c r="B10">
        <v>1</v>
      </c>
      <c r="C10">
        <v>2</v>
      </c>
      <c r="D10">
        <v>20</v>
      </c>
    </row>
    <row r="11" spans="1:4" x14ac:dyDescent="0.25">
      <c r="A11" t="s">
        <v>28</v>
      </c>
      <c r="B11">
        <v>1</v>
      </c>
      <c r="C11">
        <v>1</v>
      </c>
      <c r="D11">
        <v>20</v>
      </c>
    </row>
    <row r="12" spans="1:4" x14ac:dyDescent="0.25">
      <c r="A12" t="s">
        <v>29</v>
      </c>
      <c r="B12">
        <v>2</v>
      </c>
      <c r="C12">
        <v>2</v>
      </c>
      <c r="D12">
        <v>20</v>
      </c>
    </row>
    <row r="13" spans="1:4" x14ac:dyDescent="0.25">
      <c r="A13" t="s">
        <v>30</v>
      </c>
      <c r="B13">
        <v>2</v>
      </c>
      <c r="C13">
        <v>10</v>
      </c>
      <c r="D13">
        <v>20</v>
      </c>
    </row>
    <row r="14" spans="1:4" x14ac:dyDescent="0.25">
      <c r="A14" t="s">
        <v>31</v>
      </c>
      <c r="B14">
        <v>2</v>
      </c>
      <c r="C14">
        <v>2</v>
      </c>
      <c r="D14">
        <v>20</v>
      </c>
    </row>
    <row r="15" spans="1:4" x14ac:dyDescent="0.25">
      <c r="A15" t="s">
        <v>32</v>
      </c>
      <c r="B15">
        <v>2</v>
      </c>
      <c r="C15">
        <v>2</v>
      </c>
      <c r="D15">
        <v>20</v>
      </c>
    </row>
    <row r="16" spans="1:4" x14ac:dyDescent="0.25">
      <c r="A16" t="s">
        <v>33</v>
      </c>
      <c r="B16">
        <v>2</v>
      </c>
      <c r="C16">
        <v>2</v>
      </c>
      <c r="D16">
        <v>20</v>
      </c>
    </row>
    <row r="17" spans="1:4" x14ac:dyDescent="0.25">
      <c r="A17" t="s">
        <v>34</v>
      </c>
      <c r="B17">
        <v>2</v>
      </c>
      <c r="C17">
        <v>2</v>
      </c>
      <c r="D17">
        <v>20</v>
      </c>
    </row>
    <row r="18" spans="1:4" x14ac:dyDescent="0.25">
      <c r="A18" t="s">
        <v>35</v>
      </c>
      <c r="B18">
        <v>10</v>
      </c>
      <c r="C18">
        <v>10</v>
      </c>
      <c r="D18">
        <v>20</v>
      </c>
    </row>
    <row r="19" spans="1:4" x14ac:dyDescent="0.25">
      <c r="A19" t="s">
        <v>36</v>
      </c>
      <c r="B19">
        <v>1</v>
      </c>
      <c r="C19">
        <v>1</v>
      </c>
      <c r="D19">
        <v>20</v>
      </c>
    </row>
    <row r="20" spans="1:4" x14ac:dyDescent="0.25">
      <c r="A20" t="s">
        <v>37</v>
      </c>
      <c r="B20">
        <v>2</v>
      </c>
      <c r="C20">
        <v>0</v>
      </c>
      <c r="D20">
        <v>20</v>
      </c>
    </row>
    <row r="21" spans="1:4" x14ac:dyDescent="0.25">
      <c r="A21" t="s">
        <v>38</v>
      </c>
      <c r="B21">
        <v>10</v>
      </c>
      <c r="C21">
        <v>10</v>
      </c>
      <c r="D21">
        <v>20</v>
      </c>
    </row>
    <row r="22" spans="1:4" x14ac:dyDescent="0.25">
      <c r="A22" t="s">
        <v>39</v>
      </c>
      <c r="B22">
        <v>10</v>
      </c>
      <c r="C22">
        <v>10</v>
      </c>
      <c r="D22">
        <v>20</v>
      </c>
    </row>
    <row r="23" spans="1:4" x14ac:dyDescent="0.25">
      <c r="A23" t="s">
        <v>40</v>
      </c>
      <c r="B23">
        <v>2</v>
      </c>
      <c r="C23">
        <v>2</v>
      </c>
      <c r="D23">
        <v>20</v>
      </c>
    </row>
    <row r="24" spans="1:4" x14ac:dyDescent="0.25">
      <c r="A24" t="s">
        <v>41</v>
      </c>
      <c r="B24">
        <v>10</v>
      </c>
      <c r="C24">
        <v>10</v>
      </c>
      <c r="D24">
        <v>20</v>
      </c>
    </row>
    <row r="25" spans="1:4" x14ac:dyDescent="0.25">
      <c r="A25" t="s">
        <v>42</v>
      </c>
      <c r="B25">
        <v>10</v>
      </c>
      <c r="C25">
        <v>10</v>
      </c>
      <c r="D25">
        <v>20</v>
      </c>
    </row>
    <row r="26" spans="1:4" x14ac:dyDescent="0.25">
      <c r="A26" t="s">
        <v>43</v>
      </c>
      <c r="B26">
        <v>5</v>
      </c>
      <c r="C26">
        <v>5</v>
      </c>
      <c r="D26">
        <v>20</v>
      </c>
    </row>
    <row r="27" spans="1:4" x14ac:dyDescent="0.25">
      <c r="A27" t="s">
        <v>44</v>
      </c>
      <c r="B27">
        <v>10</v>
      </c>
      <c r="C27">
        <v>10</v>
      </c>
      <c r="D27">
        <v>20</v>
      </c>
    </row>
    <row r="28" spans="1:4" x14ac:dyDescent="0.25">
      <c r="A28" t="s">
        <v>45</v>
      </c>
      <c r="B28">
        <v>2</v>
      </c>
      <c r="C28">
        <v>0</v>
      </c>
      <c r="D28">
        <v>20</v>
      </c>
    </row>
    <row r="29" spans="1:4" x14ac:dyDescent="0.25">
      <c r="A29" t="s">
        <v>46</v>
      </c>
      <c r="B29">
        <v>2</v>
      </c>
      <c r="C29">
        <v>2</v>
      </c>
      <c r="D29">
        <v>20</v>
      </c>
    </row>
    <row r="30" spans="1:4" x14ac:dyDescent="0.25">
      <c r="A30" t="s">
        <v>47</v>
      </c>
      <c r="B30">
        <v>2</v>
      </c>
      <c r="C30">
        <v>2</v>
      </c>
      <c r="D30">
        <v>20</v>
      </c>
    </row>
    <row r="31" spans="1:4" x14ac:dyDescent="0.25">
      <c r="A31" t="s">
        <v>48</v>
      </c>
      <c r="B31">
        <v>0.1</v>
      </c>
      <c r="C31">
        <v>0.1</v>
      </c>
      <c r="D31">
        <v>20</v>
      </c>
    </row>
    <row r="32" spans="1:4" x14ac:dyDescent="0.25">
      <c r="A32" t="s">
        <v>49</v>
      </c>
      <c r="B32">
        <v>0.1</v>
      </c>
      <c r="C32">
        <v>0.1</v>
      </c>
      <c r="D32">
        <v>5</v>
      </c>
    </row>
    <row r="33" spans="1:4" x14ac:dyDescent="0.25">
      <c r="A33" t="s">
        <v>50</v>
      </c>
      <c r="B33">
        <v>10</v>
      </c>
      <c r="C33">
        <v>10</v>
      </c>
      <c r="D33">
        <v>20</v>
      </c>
    </row>
    <row r="34" spans="1:4" x14ac:dyDescent="0.25">
      <c r="A34" t="s">
        <v>51</v>
      </c>
      <c r="B34">
        <v>10</v>
      </c>
      <c r="C34">
        <v>10</v>
      </c>
      <c r="D34">
        <v>20</v>
      </c>
    </row>
    <row r="35" spans="1:4" x14ac:dyDescent="0.25">
      <c r="A35" t="s">
        <v>52</v>
      </c>
      <c r="B35">
        <v>10</v>
      </c>
      <c r="C35">
        <v>10</v>
      </c>
      <c r="D35">
        <v>20</v>
      </c>
    </row>
    <row r="36" spans="1:4" x14ac:dyDescent="0.25">
      <c r="A36" t="s">
        <v>53</v>
      </c>
      <c r="B36">
        <v>1</v>
      </c>
      <c r="C36">
        <v>1</v>
      </c>
      <c r="D36">
        <v>20</v>
      </c>
    </row>
    <row r="37" spans="1:4" x14ac:dyDescent="0.25">
      <c r="A37" t="s">
        <v>54</v>
      </c>
      <c r="B37">
        <v>10</v>
      </c>
      <c r="C37">
        <v>0</v>
      </c>
      <c r="D37">
        <v>20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07"/>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2" customWidth="1"/>
    <col min="3" max="3" width="16" customWidth="1"/>
    <col min="4" max="4" width="13" customWidth="1"/>
    <col min="5" max="5" width="12" customWidth="1"/>
    <col min="6" max="6" width="55" customWidth="1"/>
    <col min="7" max="12" width="13" customWidth="1"/>
    <col min="13" max="13" width="15" customWidth="1"/>
    <col min="14" max="14" width="16" customWidth="1"/>
    <col min="15" max="15" width="11" customWidth="1"/>
    <col min="16" max="16" width="16" customWidth="1"/>
    <col min="17" max="17" width="14" customWidth="1"/>
    <col min="18" max="18" width="22" customWidth="1"/>
    <col min="19" max="19" width="40" customWidth="1"/>
    <col min="20" max="27" width="14" customWidth="1"/>
  </cols>
  <sheetData>
    <row r="1" ht="22" customHeight="1" spans="1:27" x14ac:dyDescent="0.25">
      <c r="A1" s="3" t="s">
        <v>55</v>
      </c>
      <c r="B1" s="3"/>
      <c r="C1" s="3"/>
      <c r="D1" s="3"/>
      <c r="E1" s="3"/>
      <c r="F1" s="3"/>
      <c r="G1" s="3"/>
      <c r="H1" s="3"/>
      <c r="I1" s="3"/>
      <c r="J1" s="3"/>
      <c r="K1" s="3"/>
      <c r="L1" s="3"/>
      <c r="M1" s="3"/>
      <c r="N1" s="3"/>
      <c r="O1" s="3"/>
      <c r="P1" s="3"/>
      <c r="Q1" s="3"/>
      <c r="R1" s="3"/>
      <c r="S1" s="3"/>
      <c r="T1" s="3"/>
      <c r="U1" s="3"/>
      <c r="V1" s="3"/>
      <c r="W1" s="3"/>
      <c r="X1" s="3"/>
      <c r="Y1" s="3"/>
      <c r="Z1" s="3"/>
      <c r="AA1" s="3"/>
    </row>
    <row r="2" ht="20" customHeight="1" spans="1:27" x14ac:dyDescent="0.25">
      <c r="A2" s="5">
        <f>IF(AND(COUNTIF($AA$4:$AA$207,"Over-applied")=0,SUMPRODUCT(($C$4:$C$207&lt;&gt;"")*((($D$4:$D$207="")+($E$4:$E$207="")+($G$4:$G$207=""))&gt;0))=0),"✅ Validation Successful — no over-applied challans, no missing mandatory fields ("&amp;COUNTIF($C$4:$C$207,"&lt;&gt;")&amp;" challans on file).","❌ VALIDATION FAILED — "&amp;COUNTIF($AA$4:$AA$207,"Over-applied")&amp;" challan(s) Over-applied, "&amp;SUMPRODUCT(($C$4:$C$207&lt;&gt;"")*((($D$4:$D$207="")+($E$4:$E$207="")+($G$4:$G$207=""))&gt;0))&amp;" challan(s) missing a mandatory field (Date of Deposit / Minor Head / Tax Deposited). See the red/pink-highlighted row(s) below.")</f>
      </c>
      <c r="B2" s="5"/>
      <c r="C2" s="5"/>
      <c r="D2" s="5"/>
      <c r="E2" s="5"/>
      <c r="F2" s="5"/>
      <c r="G2" s="5"/>
      <c r="H2" s="5"/>
      <c r="I2" s="5"/>
      <c r="J2" s="5"/>
      <c r="K2" s="5"/>
      <c r="L2" s="5"/>
      <c r="M2" s="5"/>
      <c r="N2" s="5"/>
      <c r="O2" s="5"/>
      <c r="P2" s="5"/>
      <c r="Q2" s="5"/>
      <c r="R2" s="5"/>
      <c r="S2" s="5"/>
      <c r="T2" s="5"/>
      <c r="U2" s="5"/>
      <c r="V2" s="5"/>
      <c r="W2" s="5"/>
      <c r="X2" s="5"/>
      <c r="Y2" s="5"/>
      <c r="Z2" s="5"/>
      <c r="AA2" s="5"/>
    </row>
    <row r="3" ht="40" customHeight="1" spans="1:27" x14ac:dyDescent="0.25">
      <c r="A3" s="6" t="s">
        <v>56</v>
      </c>
      <c r="B3" s="6" t="s">
        <v>57</v>
      </c>
      <c r="C3" s="6" t="s">
        <v>58</v>
      </c>
      <c r="D3" s="6" t="s">
        <v>59</v>
      </c>
      <c r="E3" s="6" t="s">
        <v>60</v>
      </c>
      <c r="F3" s="6" t="s">
        <v>61</v>
      </c>
      <c r="G3" s="6" t="s">
        <v>62</v>
      </c>
      <c r="H3" s="6" t="s">
        <v>63</v>
      </c>
      <c r="I3" s="6" t="s">
        <v>64</v>
      </c>
      <c r="J3" s="6" t="s">
        <v>65</v>
      </c>
      <c r="K3" s="6" t="s">
        <v>66</v>
      </c>
      <c r="L3" s="6" t="s">
        <v>67</v>
      </c>
      <c r="M3" s="6" t="s">
        <v>68</v>
      </c>
      <c r="N3" s="6" t="s">
        <v>69</v>
      </c>
      <c r="O3" s="6" t="s">
        <v>70</v>
      </c>
      <c r="P3" s="6" t="s">
        <v>71</v>
      </c>
      <c r="Q3" s="6" t="s">
        <v>72</v>
      </c>
      <c r="R3" s="6" t="s">
        <v>73</v>
      </c>
      <c r="S3" s="6" t="s">
        <v>74</v>
      </c>
      <c r="T3" s="6" t="s">
        <v>75</v>
      </c>
      <c r="U3" s="6" t="s">
        <v>76</v>
      </c>
      <c r="V3" s="6" t="s">
        <v>77</v>
      </c>
      <c r="W3" s="6" t="s">
        <v>78</v>
      </c>
      <c r="X3" s="6" t="s">
        <v>79</v>
      </c>
      <c r="Y3" s="6" t="s">
        <v>80</v>
      </c>
      <c r="Z3" s="6" t="s">
        <v>81</v>
      </c>
      <c r="AA3" s="6" t="s">
        <v>82</v>
      </c>
    </row>
    <row r="4" spans="1:27" x14ac:dyDescent="0.25">
      <c r="A4" s="7">
        <f>IF($C4="","",COUNTIF($C$4:$C4,"&lt;&gt;"))</f>
      </c>
      <c r="B4" s="8"/>
      <c r="C4" s="8"/>
      <c r="D4" s="8"/>
      <c r="E4" s="8"/>
      <c r="F4" s="8"/>
      <c r="G4" s="8"/>
      <c r="H4" s="8"/>
      <c r="I4" s="8"/>
      <c r="J4" s="8"/>
      <c r="K4" s="8"/>
      <c r="L4" s="8"/>
      <c r="M4" s="7">
        <f>IF($C4="","",G4+H4+I4+J4+K4+L4)</f>
      </c>
      <c r="N4" s="8"/>
      <c r="O4" s="8"/>
      <c r="P4" s="8"/>
      <c r="Q4" s="8"/>
      <c r="R4" s="8"/>
      <c r="S4" s="7">
        <f>IF($C4="","",C4&amp;" | BSR "&amp;B4&amp;" | "&amp;TEXT(D4,"dd-mm-yyyy")&amp;" | ₹"&amp;TEXT(M4,"#,##0"))</f>
      </c>
      <c r="T4" s="7">
        <f>IF($C4="","",SUMIFS('Q1 Data'!$K$4:$K$207,'Q1 Data'!$B$4:$B$207,$S4)+SUMIFS('Q1 Data'!$N$4:$N$207,'Q1 Data'!$B$4:$B$207,$S4)+SUMIFS('Q1 Data'!$L$4:$L$207,'Q1 Data'!$B$4:$B$207,$S4))</f>
      </c>
      <c r="U4" s="7">
        <f>IF($C4="","",SUMIFS('Q2 Data'!$K$4:$K$207,'Q2 Data'!$B$4:$B$207,$S4)+SUMIFS('Q2 Data'!$N$4:$N$207,'Q2 Data'!$B$4:$B$207,$S4)+SUMIFS('Q2 Data'!$L$4:$L$207,'Q2 Data'!$B$4:$B$207,$S4))</f>
      </c>
      <c r="V4" s="7">
        <f>IF($C4="","",SUMIFS('Q3 Data'!$K$4:$K$207,'Q3 Data'!$B$4:$B$207,$S4)+SUMIFS('Q3 Data'!$N$4:$N$207,'Q3 Data'!$B$4:$B$207,$S4)+SUMIFS('Q3 Data'!$L$4:$L$207,'Q3 Data'!$B$4:$B$207,$S4))</f>
      </c>
      <c r="W4" s="7">
        <f>IF($C4="","",SUMIFS('Q4 Data'!$K$4:$K$207,'Q4 Data'!$B$4:$B$207,$S4)+SUMIFS('Q4 Data'!$N$4:$N$207,'Q4 Data'!$B$4:$B$207,$S4)+SUMIFS('Q4 Data'!$L$4:$L$207,'Q4 Data'!$B$4:$B$207,$S4))</f>
      </c>
      <c r="X4" s="7">
        <f>IF($C4="","",T4+U4+V4+W4)</f>
      </c>
      <c r="Y4" s="7">
        <f>IF($C4="","",M4-L4)</f>
      </c>
      <c r="Z4" s="7">
        <f>IF($C4="","",Y4-X4)</f>
      </c>
      <c r="AA4" s="7">
        <f>IF($C4="","",IF(ROUND(X4-Y4,2)&gt;0,"Over-applied",IF(ROUND(X4-Y4,2)=0,"Fully Utilised","Unconsumed")))</f>
      </c>
    </row>
    <row r="5" spans="1:27" x14ac:dyDescent="0.25">
      <c r="A5" s="7">
        <f>IF($C5="","",COUNTIF($C$4:$C5,"&lt;&gt;"))</f>
      </c>
      <c r="B5" s="8"/>
      <c r="C5" s="8"/>
      <c r="D5" s="8"/>
      <c r="E5" s="8"/>
      <c r="F5" s="8"/>
      <c r="G5" s="8"/>
      <c r="H5" s="8"/>
      <c r="I5" s="8"/>
      <c r="J5" s="8"/>
      <c r="K5" s="8"/>
      <c r="L5" s="8"/>
      <c r="M5" s="7">
        <f>IF($C5="","",G5+H5+I5+J5+K5+L5)</f>
      </c>
      <c r="N5" s="8"/>
      <c r="O5" s="8"/>
      <c r="P5" s="8"/>
      <c r="Q5" s="8"/>
      <c r="R5" s="8"/>
      <c r="S5" s="7">
        <f>IF($C5="","",C5&amp;" | BSR "&amp;B5&amp;" | "&amp;TEXT(D5,"dd-mm-yyyy")&amp;" | ₹"&amp;TEXT(M5,"#,##0"))</f>
      </c>
      <c r="T5" s="7">
        <f>IF($C5="","",SUMIFS('Q1 Data'!$K$4:$K$207,'Q1 Data'!$B$4:$B$207,$S5)+SUMIFS('Q1 Data'!$N$4:$N$207,'Q1 Data'!$B$4:$B$207,$S5)+SUMIFS('Q1 Data'!$L$4:$L$207,'Q1 Data'!$B$4:$B$207,$S5))</f>
      </c>
      <c r="U5" s="7">
        <f>IF($C5="","",SUMIFS('Q2 Data'!$K$4:$K$207,'Q2 Data'!$B$4:$B$207,$S5)+SUMIFS('Q2 Data'!$N$4:$N$207,'Q2 Data'!$B$4:$B$207,$S5)+SUMIFS('Q2 Data'!$L$4:$L$207,'Q2 Data'!$B$4:$B$207,$S5))</f>
      </c>
      <c r="V5" s="7">
        <f>IF($C5="","",SUMIFS('Q3 Data'!$K$4:$K$207,'Q3 Data'!$B$4:$B$207,$S5)+SUMIFS('Q3 Data'!$N$4:$N$207,'Q3 Data'!$B$4:$B$207,$S5)+SUMIFS('Q3 Data'!$L$4:$L$207,'Q3 Data'!$B$4:$B$207,$S5))</f>
      </c>
      <c r="W5" s="7">
        <f>IF($C5="","",SUMIFS('Q4 Data'!$K$4:$K$207,'Q4 Data'!$B$4:$B$207,$S5)+SUMIFS('Q4 Data'!$N$4:$N$207,'Q4 Data'!$B$4:$B$207,$S5)+SUMIFS('Q4 Data'!$L$4:$L$207,'Q4 Data'!$B$4:$B$207,$S5))</f>
      </c>
      <c r="X5" s="7">
        <f>IF($C5="","",T5+U5+V5+W5)</f>
      </c>
      <c r="Y5" s="7">
        <f>IF($C5="","",M5-L5)</f>
      </c>
      <c r="Z5" s="7">
        <f>IF($C5="","",Y5-X5)</f>
      </c>
      <c r="AA5" s="7">
        <f>IF($C5="","",IF(ROUND(X5-Y5,2)&gt;0,"Over-applied",IF(ROUND(X5-Y5,2)=0,"Fully Utilised","Unconsumed")))</f>
      </c>
    </row>
    <row r="6" spans="1:27" x14ac:dyDescent="0.25">
      <c r="A6" s="7">
        <f>IF($C6="","",COUNTIF($C$4:$C6,"&lt;&gt;"))</f>
      </c>
      <c r="B6" s="8"/>
      <c r="C6" s="8"/>
      <c r="D6" s="8"/>
      <c r="E6" s="8"/>
      <c r="F6" s="8"/>
      <c r="G6" s="8"/>
      <c r="H6" s="8"/>
      <c r="I6" s="8"/>
      <c r="J6" s="8"/>
      <c r="K6" s="8"/>
      <c r="L6" s="8"/>
      <c r="M6" s="7">
        <f>IF($C6="","",G6+H6+I6+J6+K6+L6)</f>
      </c>
      <c r="N6" s="8"/>
      <c r="O6" s="8"/>
      <c r="P6" s="8"/>
      <c r="Q6" s="8"/>
      <c r="R6" s="8"/>
      <c r="S6" s="7">
        <f>IF($C6="","",C6&amp;" | BSR "&amp;B6&amp;" | "&amp;TEXT(D6,"dd-mm-yyyy")&amp;" | ₹"&amp;TEXT(M6,"#,##0"))</f>
      </c>
      <c r="T6" s="7">
        <f>IF($C6="","",SUMIFS('Q1 Data'!$K$4:$K$207,'Q1 Data'!$B$4:$B$207,$S6)+SUMIFS('Q1 Data'!$N$4:$N$207,'Q1 Data'!$B$4:$B$207,$S6)+SUMIFS('Q1 Data'!$L$4:$L$207,'Q1 Data'!$B$4:$B$207,$S6))</f>
      </c>
      <c r="U6" s="7">
        <f>IF($C6="","",SUMIFS('Q2 Data'!$K$4:$K$207,'Q2 Data'!$B$4:$B$207,$S6)+SUMIFS('Q2 Data'!$N$4:$N$207,'Q2 Data'!$B$4:$B$207,$S6)+SUMIFS('Q2 Data'!$L$4:$L$207,'Q2 Data'!$B$4:$B$207,$S6))</f>
      </c>
      <c r="V6" s="7">
        <f>IF($C6="","",SUMIFS('Q3 Data'!$K$4:$K$207,'Q3 Data'!$B$4:$B$207,$S6)+SUMIFS('Q3 Data'!$N$4:$N$207,'Q3 Data'!$B$4:$B$207,$S6)+SUMIFS('Q3 Data'!$L$4:$L$207,'Q3 Data'!$B$4:$B$207,$S6))</f>
      </c>
      <c r="W6" s="7">
        <f>IF($C6="","",SUMIFS('Q4 Data'!$K$4:$K$207,'Q4 Data'!$B$4:$B$207,$S6)+SUMIFS('Q4 Data'!$N$4:$N$207,'Q4 Data'!$B$4:$B$207,$S6)+SUMIFS('Q4 Data'!$L$4:$L$207,'Q4 Data'!$B$4:$B$207,$S6))</f>
      </c>
      <c r="X6" s="7">
        <f>IF($C6="","",T6+U6+V6+W6)</f>
      </c>
      <c r="Y6" s="7">
        <f>IF($C6="","",M6-L6)</f>
      </c>
      <c r="Z6" s="7">
        <f>IF($C6="","",Y6-X6)</f>
      </c>
      <c r="AA6" s="7">
        <f>IF($C6="","",IF(ROUND(X6-Y6,2)&gt;0,"Over-applied",IF(ROUND(X6-Y6,2)=0,"Fully Utilised","Unconsumed")))</f>
      </c>
    </row>
    <row r="7" spans="1:27" x14ac:dyDescent="0.25">
      <c r="A7" s="7">
        <f>IF($C7="","",COUNTIF($C$4:$C7,"&lt;&gt;"))</f>
      </c>
      <c r="B7" s="8"/>
      <c r="C7" s="8"/>
      <c r="D7" s="8"/>
      <c r="E7" s="8"/>
      <c r="F7" s="8"/>
      <c r="G7" s="8"/>
      <c r="H7" s="8"/>
      <c r="I7" s="8"/>
      <c r="J7" s="8"/>
      <c r="K7" s="8"/>
      <c r="L7" s="8"/>
      <c r="M7" s="7">
        <f>IF($C7="","",G7+H7+I7+J7+K7+L7)</f>
      </c>
      <c r="N7" s="8"/>
      <c r="O7" s="8"/>
      <c r="P7" s="8"/>
      <c r="Q7" s="8"/>
      <c r="R7" s="8"/>
      <c r="S7" s="7">
        <f>IF($C7="","",C7&amp;" | BSR "&amp;B7&amp;" | "&amp;TEXT(D7,"dd-mm-yyyy")&amp;" | ₹"&amp;TEXT(M7,"#,##0"))</f>
      </c>
      <c r="T7" s="7">
        <f>IF($C7="","",SUMIFS('Q1 Data'!$K$4:$K$207,'Q1 Data'!$B$4:$B$207,$S7)+SUMIFS('Q1 Data'!$N$4:$N$207,'Q1 Data'!$B$4:$B$207,$S7)+SUMIFS('Q1 Data'!$L$4:$L$207,'Q1 Data'!$B$4:$B$207,$S7))</f>
      </c>
      <c r="U7" s="7">
        <f>IF($C7="","",SUMIFS('Q2 Data'!$K$4:$K$207,'Q2 Data'!$B$4:$B$207,$S7)+SUMIFS('Q2 Data'!$N$4:$N$207,'Q2 Data'!$B$4:$B$207,$S7)+SUMIFS('Q2 Data'!$L$4:$L$207,'Q2 Data'!$B$4:$B$207,$S7))</f>
      </c>
      <c r="V7" s="7">
        <f>IF($C7="","",SUMIFS('Q3 Data'!$K$4:$K$207,'Q3 Data'!$B$4:$B$207,$S7)+SUMIFS('Q3 Data'!$N$4:$N$207,'Q3 Data'!$B$4:$B$207,$S7)+SUMIFS('Q3 Data'!$L$4:$L$207,'Q3 Data'!$B$4:$B$207,$S7))</f>
      </c>
      <c r="W7" s="7">
        <f>IF($C7="","",SUMIFS('Q4 Data'!$K$4:$K$207,'Q4 Data'!$B$4:$B$207,$S7)+SUMIFS('Q4 Data'!$N$4:$N$207,'Q4 Data'!$B$4:$B$207,$S7)+SUMIFS('Q4 Data'!$L$4:$L$207,'Q4 Data'!$B$4:$B$207,$S7))</f>
      </c>
      <c r="X7" s="7">
        <f>IF($C7="","",T7+U7+V7+W7)</f>
      </c>
      <c r="Y7" s="7">
        <f>IF($C7="","",M7-L7)</f>
      </c>
      <c r="Z7" s="7">
        <f>IF($C7="","",Y7-X7)</f>
      </c>
      <c r="AA7" s="7">
        <f>IF($C7="","",IF(ROUND(X7-Y7,2)&gt;0,"Over-applied",IF(ROUND(X7-Y7,2)=0,"Fully Utilised","Unconsumed")))</f>
      </c>
    </row>
    <row r="8" spans="1:27" x14ac:dyDescent="0.25">
      <c r="A8" s="7">
        <f>IF($C8="","",COUNTIF($C$4:$C8,"&lt;&gt;"))</f>
      </c>
      <c r="B8" s="8"/>
      <c r="C8" s="8"/>
      <c r="D8" s="8"/>
      <c r="E8" s="8"/>
      <c r="F8" s="8"/>
      <c r="G8" s="8"/>
      <c r="H8" s="8"/>
      <c r="I8" s="8"/>
      <c r="J8" s="8"/>
      <c r="K8" s="8"/>
      <c r="L8" s="8"/>
      <c r="M8" s="7">
        <f>IF($C8="","",G8+H8+I8+J8+K8+L8)</f>
      </c>
      <c r="N8" s="8"/>
      <c r="O8" s="8"/>
      <c r="P8" s="8"/>
      <c r="Q8" s="8"/>
      <c r="R8" s="8"/>
      <c r="S8" s="7">
        <f>IF($C8="","",C8&amp;" | BSR "&amp;B8&amp;" | "&amp;TEXT(D8,"dd-mm-yyyy")&amp;" | ₹"&amp;TEXT(M8,"#,##0"))</f>
      </c>
      <c r="T8" s="7">
        <f>IF($C8="","",SUMIFS('Q1 Data'!$K$4:$K$207,'Q1 Data'!$B$4:$B$207,$S8)+SUMIFS('Q1 Data'!$N$4:$N$207,'Q1 Data'!$B$4:$B$207,$S8)+SUMIFS('Q1 Data'!$L$4:$L$207,'Q1 Data'!$B$4:$B$207,$S8))</f>
      </c>
      <c r="U8" s="7">
        <f>IF($C8="","",SUMIFS('Q2 Data'!$K$4:$K$207,'Q2 Data'!$B$4:$B$207,$S8)+SUMIFS('Q2 Data'!$N$4:$N$207,'Q2 Data'!$B$4:$B$207,$S8)+SUMIFS('Q2 Data'!$L$4:$L$207,'Q2 Data'!$B$4:$B$207,$S8))</f>
      </c>
      <c r="V8" s="7">
        <f>IF($C8="","",SUMIFS('Q3 Data'!$K$4:$K$207,'Q3 Data'!$B$4:$B$207,$S8)+SUMIFS('Q3 Data'!$N$4:$N$207,'Q3 Data'!$B$4:$B$207,$S8)+SUMIFS('Q3 Data'!$L$4:$L$207,'Q3 Data'!$B$4:$B$207,$S8))</f>
      </c>
      <c r="W8" s="7">
        <f>IF($C8="","",SUMIFS('Q4 Data'!$K$4:$K$207,'Q4 Data'!$B$4:$B$207,$S8)+SUMIFS('Q4 Data'!$N$4:$N$207,'Q4 Data'!$B$4:$B$207,$S8)+SUMIFS('Q4 Data'!$L$4:$L$207,'Q4 Data'!$B$4:$B$207,$S8))</f>
      </c>
      <c r="X8" s="7">
        <f>IF($C8="","",T8+U8+V8+W8)</f>
      </c>
      <c r="Y8" s="7">
        <f>IF($C8="","",M8-L8)</f>
      </c>
      <c r="Z8" s="7">
        <f>IF($C8="","",Y8-X8)</f>
      </c>
      <c r="AA8" s="7">
        <f>IF($C8="","",IF(ROUND(X8-Y8,2)&gt;0,"Over-applied",IF(ROUND(X8-Y8,2)=0,"Fully Utilised","Unconsumed")))</f>
      </c>
    </row>
    <row r="9" spans="1:27" x14ac:dyDescent="0.25">
      <c r="A9" s="7">
        <f>IF($C9="","",COUNTIF($C$4:$C9,"&lt;&gt;"))</f>
      </c>
      <c r="B9" s="8"/>
      <c r="C9" s="8"/>
      <c r="D9" s="8"/>
      <c r="E9" s="8"/>
      <c r="F9" s="8"/>
      <c r="G9" s="8"/>
      <c r="H9" s="8"/>
      <c r="I9" s="8"/>
      <c r="J9" s="8"/>
      <c r="K9" s="8"/>
      <c r="L9" s="8"/>
      <c r="M9" s="7">
        <f>IF($C9="","",G9+H9+I9+J9+K9+L9)</f>
      </c>
      <c r="N9" s="8"/>
      <c r="O9" s="8"/>
      <c r="P9" s="8"/>
      <c r="Q9" s="8"/>
      <c r="R9" s="8"/>
      <c r="S9" s="7">
        <f>IF($C9="","",C9&amp;" | BSR "&amp;B9&amp;" | "&amp;TEXT(D9,"dd-mm-yyyy")&amp;" | ₹"&amp;TEXT(M9,"#,##0"))</f>
      </c>
      <c r="T9" s="7">
        <f>IF($C9="","",SUMIFS('Q1 Data'!$K$4:$K$207,'Q1 Data'!$B$4:$B$207,$S9)+SUMIFS('Q1 Data'!$N$4:$N$207,'Q1 Data'!$B$4:$B$207,$S9)+SUMIFS('Q1 Data'!$L$4:$L$207,'Q1 Data'!$B$4:$B$207,$S9))</f>
      </c>
      <c r="U9" s="7">
        <f>IF($C9="","",SUMIFS('Q2 Data'!$K$4:$K$207,'Q2 Data'!$B$4:$B$207,$S9)+SUMIFS('Q2 Data'!$N$4:$N$207,'Q2 Data'!$B$4:$B$207,$S9)+SUMIFS('Q2 Data'!$L$4:$L$207,'Q2 Data'!$B$4:$B$207,$S9))</f>
      </c>
      <c r="V9" s="7">
        <f>IF($C9="","",SUMIFS('Q3 Data'!$K$4:$K$207,'Q3 Data'!$B$4:$B$207,$S9)+SUMIFS('Q3 Data'!$N$4:$N$207,'Q3 Data'!$B$4:$B$207,$S9)+SUMIFS('Q3 Data'!$L$4:$L$207,'Q3 Data'!$B$4:$B$207,$S9))</f>
      </c>
      <c r="W9" s="7">
        <f>IF($C9="","",SUMIFS('Q4 Data'!$K$4:$K$207,'Q4 Data'!$B$4:$B$207,$S9)+SUMIFS('Q4 Data'!$N$4:$N$207,'Q4 Data'!$B$4:$B$207,$S9)+SUMIFS('Q4 Data'!$L$4:$L$207,'Q4 Data'!$B$4:$B$207,$S9))</f>
      </c>
      <c r="X9" s="7">
        <f>IF($C9="","",T9+U9+V9+W9)</f>
      </c>
      <c r="Y9" s="7">
        <f>IF($C9="","",M9-L9)</f>
      </c>
      <c r="Z9" s="7">
        <f>IF($C9="","",Y9-X9)</f>
      </c>
      <c r="AA9" s="7">
        <f>IF($C9="","",IF(ROUND(X9-Y9,2)&gt;0,"Over-applied",IF(ROUND(X9-Y9,2)=0,"Fully Utilised","Unconsumed")))</f>
      </c>
    </row>
    <row r="10" spans="1:27" x14ac:dyDescent="0.25">
      <c r="A10" s="7">
        <f>IF($C10="","",COUNTIF($C$4:$C10,"&lt;&gt;"))</f>
      </c>
      <c r="B10" s="8"/>
      <c r="C10" s="8"/>
      <c r="D10" s="8"/>
      <c r="E10" s="8"/>
      <c r="F10" s="8"/>
      <c r="G10" s="8"/>
      <c r="H10" s="8"/>
      <c r="I10" s="8"/>
      <c r="J10" s="8"/>
      <c r="K10" s="8"/>
      <c r="L10" s="8"/>
      <c r="M10" s="7">
        <f>IF($C10="","",G10+H10+I10+J10+K10+L10)</f>
      </c>
      <c r="N10" s="8"/>
      <c r="O10" s="8"/>
      <c r="P10" s="8"/>
      <c r="Q10" s="8"/>
      <c r="R10" s="8"/>
      <c r="S10" s="7">
        <f>IF($C10="","",C10&amp;" | BSR "&amp;B10&amp;" | "&amp;TEXT(D10,"dd-mm-yyyy")&amp;" | ₹"&amp;TEXT(M10,"#,##0"))</f>
      </c>
      <c r="T10" s="7">
        <f>IF($C10="","",SUMIFS('Q1 Data'!$K$4:$K$207,'Q1 Data'!$B$4:$B$207,$S10)+SUMIFS('Q1 Data'!$N$4:$N$207,'Q1 Data'!$B$4:$B$207,$S10)+SUMIFS('Q1 Data'!$L$4:$L$207,'Q1 Data'!$B$4:$B$207,$S10))</f>
      </c>
      <c r="U10" s="7">
        <f>IF($C10="","",SUMIFS('Q2 Data'!$K$4:$K$207,'Q2 Data'!$B$4:$B$207,$S10)+SUMIFS('Q2 Data'!$N$4:$N$207,'Q2 Data'!$B$4:$B$207,$S10)+SUMIFS('Q2 Data'!$L$4:$L$207,'Q2 Data'!$B$4:$B$207,$S10))</f>
      </c>
      <c r="V10" s="7">
        <f>IF($C10="","",SUMIFS('Q3 Data'!$K$4:$K$207,'Q3 Data'!$B$4:$B$207,$S10)+SUMIFS('Q3 Data'!$N$4:$N$207,'Q3 Data'!$B$4:$B$207,$S10)+SUMIFS('Q3 Data'!$L$4:$L$207,'Q3 Data'!$B$4:$B$207,$S10))</f>
      </c>
      <c r="W10" s="7">
        <f>IF($C10="","",SUMIFS('Q4 Data'!$K$4:$K$207,'Q4 Data'!$B$4:$B$207,$S10)+SUMIFS('Q4 Data'!$N$4:$N$207,'Q4 Data'!$B$4:$B$207,$S10)+SUMIFS('Q4 Data'!$L$4:$L$207,'Q4 Data'!$B$4:$B$207,$S10))</f>
      </c>
      <c r="X10" s="7">
        <f>IF($C10="","",T10+U10+V10+W10)</f>
      </c>
      <c r="Y10" s="7">
        <f>IF($C10="","",M10-L10)</f>
      </c>
      <c r="Z10" s="7">
        <f>IF($C10="","",Y10-X10)</f>
      </c>
      <c r="AA10" s="7">
        <f>IF($C10="","",IF(ROUND(X10-Y10,2)&gt;0,"Over-applied",IF(ROUND(X10-Y10,2)=0,"Fully Utilised","Unconsumed")))</f>
      </c>
    </row>
    <row r="11" spans="1:27" x14ac:dyDescent="0.25">
      <c r="A11" s="7">
        <f>IF($C11="","",COUNTIF($C$4:$C11,"&lt;&gt;"))</f>
      </c>
      <c r="B11" s="8"/>
      <c r="C11" s="8"/>
      <c r="D11" s="8"/>
      <c r="E11" s="8"/>
      <c r="F11" s="8"/>
      <c r="G11" s="8"/>
      <c r="H11" s="8"/>
      <c r="I11" s="8"/>
      <c r="J11" s="8"/>
      <c r="K11" s="8"/>
      <c r="L11" s="8"/>
      <c r="M11" s="7">
        <f>IF($C11="","",G11+H11+I11+J11+K11+L11)</f>
      </c>
      <c r="N11" s="8"/>
      <c r="O11" s="8"/>
      <c r="P11" s="8"/>
      <c r="Q11" s="8"/>
      <c r="R11" s="8"/>
      <c r="S11" s="7">
        <f>IF($C11="","",C11&amp;" | BSR "&amp;B11&amp;" | "&amp;TEXT(D11,"dd-mm-yyyy")&amp;" | ₹"&amp;TEXT(M11,"#,##0"))</f>
      </c>
      <c r="T11" s="7">
        <f>IF($C11="","",SUMIFS('Q1 Data'!$K$4:$K$207,'Q1 Data'!$B$4:$B$207,$S11)+SUMIFS('Q1 Data'!$N$4:$N$207,'Q1 Data'!$B$4:$B$207,$S11)+SUMIFS('Q1 Data'!$L$4:$L$207,'Q1 Data'!$B$4:$B$207,$S11))</f>
      </c>
      <c r="U11" s="7">
        <f>IF($C11="","",SUMIFS('Q2 Data'!$K$4:$K$207,'Q2 Data'!$B$4:$B$207,$S11)+SUMIFS('Q2 Data'!$N$4:$N$207,'Q2 Data'!$B$4:$B$207,$S11)+SUMIFS('Q2 Data'!$L$4:$L$207,'Q2 Data'!$B$4:$B$207,$S11))</f>
      </c>
      <c r="V11" s="7">
        <f>IF($C11="","",SUMIFS('Q3 Data'!$K$4:$K$207,'Q3 Data'!$B$4:$B$207,$S11)+SUMIFS('Q3 Data'!$N$4:$N$207,'Q3 Data'!$B$4:$B$207,$S11)+SUMIFS('Q3 Data'!$L$4:$L$207,'Q3 Data'!$B$4:$B$207,$S11))</f>
      </c>
      <c r="W11" s="7">
        <f>IF($C11="","",SUMIFS('Q4 Data'!$K$4:$K$207,'Q4 Data'!$B$4:$B$207,$S11)+SUMIFS('Q4 Data'!$N$4:$N$207,'Q4 Data'!$B$4:$B$207,$S11)+SUMIFS('Q4 Data'!$L$4:$L$207,'Q4 Data'!$B$4:$B$207,$S11))</f>
      </c>
      <c r="X11" s="7">
        <f>IF($C11="","",T11+U11+V11+W11)</f>
      </c>
      <c r="Y11" s="7">
        <f>IF($C11="","",M11-L11)</f>
      </c>
      <c r="Z11" s="7">
        <f>IF($C11="","",Y11-X11)</f>
      </c>
      <c r="AA11" s="7">
        <f>IF($C11="","",IF(ROUND(X11-Y11,2)&gt;0,"Over-applied",IF(ROUND(X11-Y11,2)=0,"Fully Utilised","Unconsumed")))</f>
      </c>
    </row>
    <row r="12" spans="1:27" x14ac:dyDescent="0.25">
      <c r="A12" s="7">
        <f>IF($C12="","",COUNTIF($C$4:$C12,"&lt;&gt;"))</f>
      </c>
      <c r="B12" s="8"/>
      <c r="C12" s="8"/>
      <c r="D12" s="8"/>
      <c r="E12" s="8"/>
      <c r="F12" s="8"/>
      <c r="G12" s="8"/>
      <c r="H12" s="8"/>
      <c r="I12" s="8"/>
      <c r="J12" s="8"/>
      <c r="K12" s="8"/>
      <c r="L12" s="8"/>
      <c r="M12" s="7">
        <f>IF($C12="","",G12+H12+I12+J12+K12+L12)</f>
      </c>
      <c r="N12" s="8"/>
      <c r="O12" s="8"/>
      <c r="P12" s="8"/>
      <c r="Q12" s="8"/>
      <c r="R12" s="8"/>
      <c r="S12" s="7">
        <f>IF($C12="","",C12&amp;" | BSR "&amp;B12&amp;" | "&amp;TEXT(D12,"dd-mm-yyyy")&amp;" | ₹"&amp;TEXT(M12,"#,##0"))</f>
      </c>
      <c r="T12" s="7">
        <f>IF($C12="","",SUMIFS('Q1 Data'!$K$4:$K$207,'Q1 Data'!$B$4:$B$207,$S12)+SUMIFS('Q1 Data'!$N$4:$N$207,'Q1 Data'!$B$4:$B$207,$S12)+SUMIFS('Q1 Data'!$L$4:$L$207,'Q1 Data'!$B$4:$B$207,$S12))</f>
      </c>
      <c r="U12" s="7">
        <f>IF($C12="","",SUMIFS('Q2 Data'!$K$4:$K$207,'Q2 Data'!$B$4:$B$207,$S12)+SUMIFS('Q2 Data'!$N$4:$N$207,'Q2 Data'!$B$4:$B$207,$S12)+SUMIFS('Q2 Data'!$L$4:$L$207,'Q2 Data'!$B$4:$B$207,$S12))</f>
      </c>
      <c r="V12" s="7">
        <f>IF($C12="","",SUMIFS('Q3 Data'!$K$4:$K$207,'Q3 Data'!$B$4:$B$207,$S12)+SUMIFS('Q3 Data'!$N$4:$N$207,'Q3 Data'!$B$4:$B$207,$S12)+SUMIFS('Q3 Data'!$L$4:$L$207,'Q3 Data'!$B$4:$B$207,$S12))</f>
      </c>
      <c r="W12" s="7">
        <f>IF($C12="","",SUMIFS('Q4 Data'!$K$4:$K$207,'Q4 Data'!$B$4:$B$207,$S12)+SUMIFS('Q4 Data'!$N$4:$N$207,'Q4 Data'!$B$4:$B$207,$S12)+SUMIFS('Q4 Data'!$L$4:$L$207,'Q4 Data'!$B$4:$B$207,$S12))</f>
      </c>
      <c r="X12" s="7">
        <f>IF($C12="","",T12+U12+V12+W12)</f>
      </c>
      <c r="Y12" s="7">
        <f>IF($C12="","",M12-L12)</f>
      </c>
      <c r="Z12" s="7">
        <f>IF($C12="","",Y12-X12)</f>
      </c>
      <c r="AA12" s="7">
        <f>IF($C12="","",IF(ROUND(X12-Y12,2)&gt;0,"Over-applied",IF(ROUND(X12-Y12,2)=0,"Fully Utilised","Unconsumed")))</f>
      </c>
    </row>
    <row r="13" spans="1:27" x14ac:dyDescent="0.25">
      <c r="A13" s="7">
        <f>IF($C13="","",COUNTIF($C$4:$C13,"&lt;&gt;"))</f>
      </c>
      <c r="B13" s="8"/>
      <c r="C13" s="8"/>
      <c r="D13" s="8"/>
      <c r="E13" s="8"/>
      <c r="F13" s="8"/>
      <c r="G13" s="8"/>
      <c r="H13" s="8"/>
      <c r="I13" s="8"/>
      <c r="J13" s="8"/>
      <c r="K13" s="8"/>
      <c r="L13" s="8"/>
      <c r="M13" s="7">
        <f>IF($C13="","",G13+H13+I13+J13+K13+L13)</f>
      </c>
      <c r="N13" s="8"/>
      <c r="O13" s="8"/>
      <c r="P13" s="8"/>
      <c r="Q13" s="8"/>
      <c r="R13" s="8"/>
      <c r="S13" s="7">
        <f>IF($C13="","",C13&amp;" | BSR "&amp;B13&amp;" | "&amp;TEXT(D13,"dd-mm-yyyy")&amp;" | ₹"&amp;TEXT(M13,"#,##0"))</f>
      </c>
      <c r="T13" s="7">
        <f>IF($C13="","",SUMIFS('Q1 Data'!$K$4:$K$207,'Q1 Data'!$B$4:$B$207,$S13)+SUMIFS('Q1 Data'!$N$4:$N$207,'Q1 Data'!$B$4:$B$207,$S13)+SUMIFS('Q1 Data'!$L$4:$L$207,'Q1 Data'!$B$4:$B$207,$S13))</f>
      </c>
      <c r="U13" s="7">
        <f>IF($C13="","",SUMIFS('Q2 Data'!$K$4:$K$207,'Q2 Data'!$B$4:$B$207,$S13)+SUMIFS('Q2 Data'!$N$4:$N$207,'Q2 Data'!$B$4:$B$207,$S13)+SUMIFS('Q2 Data'!$L$4:$L$207,'Q2 Data'!$B$4:$B$207,$S13))</f>
      </c>
      <c r="V13" s="7">
        <f>IF($C13="","",SUMIFS('Q3 Data'!$K$4:$K$207,'Q3 Data'!$B$4:$B$207,$S13)+SUMIFS('Q3 Data'!$N$4:$N$207,'Q3 Data'!$B$4:$B$207,$S13)+SUMIFS('Q3 Data'!$L$4:$L$207,'Q3 Data'!$B$4:$B$207,$S13))</f>
      </c>
      <c r="W13" s="7">
        <f>IF($C13="","",SUMIFS('Q4 Data'!$K$4:$K$207,'Q4 Data'!$B$4:$B$207,$S13)+SUMIFS('Q4 Data'!$N$4:$N$207,'Q4 Data'!$B$4:$B$207,$S13)+SUMIFS('Q4 Data'!$L$4:$L$207,'Q4 Data'!$B$4:$B$207,$S13))</f>
      </c>
      <c r="X13" s="7">
        <f>IF($C13="","",T13+U13+V13+W13)</f>
      </c>
      <c r="Y13" s="7">
        <f>IF($C13="","",M13-L13)</f>
      </c>
      <c r="Z13" s="7">
        <f>IF($C13="","",Y13-X13)</f>
      </c>
      <c r="AA13" s="7">
        <f>IF($C13="","",IF(ROUND(X13-Y13,2)&gt;0,"Over-applied",IF(ROUND(X13-Y13,2)=0,"Fully Utilised","Unconsumed")))</f>
      </c>
    </row>
    <row r="14" spans="1:27" x14ac:dyDescent="0.25">
      <c r="A14" s="7">
        <f>IF($C14="","",COUNTIF($C$4:$C14,"&lt;&gt;"))</f>
      </c>
      <c r="B14" s="8"/>
      <c r="C14" s="8"/>
      <c r="D14" s="8"/>
      <c r="E14" s="8"/>
      <c r="F14" s="8"/>
      <c r="G14" s="8"/>
      <c r="H14" s="8"/>
      <c r="I14" s="8"/>
      <c r="J14" s="8"/>
      <c r="K14" s="8"/>
      <c r="L14" s="8"/>
      <c r="M14" s="7">
        <f>IF($C14="","",G14+H14+I14+J14+K14+L14)</f>
      </c>
      <c r="N14" s="8"/>
      <c r="O14" s="8"/>
      <c r="P14" s="8"/>
      <c r="Q14" s="8"/>
      <c r="R14" s="8"/>
      <c r="S14" s="7">
        <f>IF($C14="","",C14&amp;" | BSR "&amp;B14&amp;" | "&amp;TEXT(D14,"dd-mm-yyyy")&amp;" | ₹"&amp;TEXT(M14,"#,##0"))</f>
      </c>
      <c r="T14" s="7">
        <f>IF($C14="","",SUMIFS('Q1 Data'!$K$4:$K$207,'Q1 Data'!$B$4:$B$207,$S14)+SUMIFS('Q1 Data'!$N$4:$N$207,'Q1 Data'!$B$4:$B$207,$S14)+SUMIFS('Q1 Data'!$L$4:$L$207,'Q1 Data'!$B$4:$B$207,$S14))</f>
      </c>
      <c r="U14" s="7">
        <f>IF($C14="","",SUMIFS('Q2 Data'!$K$4:$K$207,'Q2 Data'!$B$4:$B$207,$S14)+SUMIFS('Q2 Data'!$N$4:$N$207,'Q2 Data'!$B$4:$B$207,$S14)+SUMIFS('Q2 Data'!$L$4:$L$207,'Q2 Data'!$B$4:$B$207,$S14))</f>
      </c>
      <c r="V14" s="7">
        <f>IF($C14="","",SUMIFS('Q3 Data'!$K$4:$K$207,'Q3 Data'!$B$4:$B$207,$S14)+SUMIFS('Q3 Data'!$N$4:$N$207,'Q3 Data'!$B$4:$B$207,$S14)+SUMIFS('Q3 Data'!$L$4:$L$207,'Q3 Data'!$B$4:$B$207,$S14))</f>
      </c>
      <c r="W14" s="7">
        <f>IF($C14="","",SUMIFS('Q4 Data'!$K$4:$K$207,'Q4 Data'!$B$4:$B$207,$S14)+SUMIFS('Q4 Data'!$N$4:$N$207,'Q4 Data'!$B$4:$B$207,$S14)+SUMIFS('Q4 Data'!$L$4:$L$207,'Q4 Data'!$B$4:$B$207,$S14))</f>
      </c>
      <c r="X14" s="7">
        <f>IF($C14="","",T14+U14+V14+W14)</f>
      </c>
      <c r="Y14" s="7">
        <f>IF($C14="","",M14-L14)</f>
      </c>
      <c r="Z14" s="7">
        <f>IF($C14="","",Y14-X14)</f>
      </c>
      <c r="AA14" s="7">
        <f>IF($C14="","",IF(ROUND(X14-Y14,2)&gt;0,"Over-applied",IF(ROUND(X14-Y14,2)=0,"Fully Utilised","Unconsumed")))</f>
      </c>
    </row>
    <row r="15" spans="1:27" x14ac:dyDescent="0.25">
      <c r="A15" s="7">
        <f>IF($C15="","",COUNTIF($C$4:$C15,"&lt;&gt;"))</f>
      </c>
      <c r="B15" s="8"/>
      <c r="C15" s="8"/>
      <c r="D15" s="8"/>
      <c r="E15" s="8"/>
      <c r="F15" s="8"/>
      <c r="G15" s="8"/>
      <c r="H15" s="8"/>
      <c r="I15" s="8"/>
      <c r="J15" s="8"/>
      <c r="K15" s="8"/>
      <c r="L15" s="8"/>
      <c r="M15" s="7">
        <f>IF($C15="","",G15+H15+I15+J15+K15+L15)</f>
      </c>
      <c r="N15" s="8"/>
      <c r="O15" s="8"/>
      <c r="P15" s="8"/>
      <c r="Q15" s="8"/>
      <c r="R15" s="8"/>
      <c r="S15" s="7">
        <f>IF($C15="","",C15&amp;" | BSR "&amp;B15&amp;" | "&amp;TEXT(D15,"dd-mm-yyyy")&amp;" | ₹"&amp;TEXT(M15,"#,##0"))</f>
      </c>
      <c r="T15" s="7">
        <f>IF($C15="","",SUMIFS('Q1 Data'!$K$4:$K$207,'Q1 Data'!$B$4:$B$207,$S15)+SUMIFS('Q1 Data'!$N$4:$N$207,'Q1 Data'!$B$4:$B$207,$S15)+SUMIFS('Q1 Data'!$L$4:$L$207,'Q1 Data'!$B$4:$B$207,$S15))</f>
      </c>
      <c r="U15" s="7">
        <f>IF($C15="","",SUMIFS('Q2 Data'!$K$4:$K$207,'Q2 Data'!$B$4:$B$207,$S15)+SUMIFS('Q2 Data'!$N$4:$N$207,'Q2 Data'!$B$4:$B$207,$S15)+SUMIFS('Q2 Data'!$L$4:$L$207,'Q2 Data'!$B$4:$B$207,$S15))</f>
      </c>
      <c r="V15" s="7">
        <f>IF($C15="","",SUMIFS('Q3 Data'!$K$4:$K$207,'Q3 Data'!$B$4:$B$207,$S15)+SUMIFS('Q3 Data'!$N$4:$N$207,'Q3 Data'!$B$4:$B$207,$S15)+SUMIFS('Q3 Data'!$L$4:$L$207,'Q3 Data'!$B$4:$B$207,$S15))</f>
      </c>
      <c r="W15" s="7">
        <f>IF($C15="","",SUMIFS('Q4 Data'!$K$4:$K$207,'Q4 Data'!$B$4:$B$207,$S15)+SUMIFS('Q4 Data'!$N$4:$N$207,'Q4 Data'!$B$4:$B$207,$S15)+SUMIFS('Q4 Data'!$L$4:$L$207,'Q4 Data'!$B$4:$B$207,$S15))</f>
      </c>
      <c r="X15" s="7">
        <f>IF($C15="","",T15+U15+V15+W15)</f>
      </c>
      <c r="Y15" s="7">
        <f>IF($C15="","",M15-L15)</f>
      </c>
      <c r="Z15" s="7">
        <f>IF($C15="","",Y15-X15)</f>
      </c>
      <c r="AA15" s="7">
        <f>IF($C15="","",IF(ROUND(X15-Y15,2)&gt;0,"Over-applied",IF(ROUND(X15-Y15,2)=0,"Fully Utilised","Unconsumed")))</f>
      </c>
    </row>
    <row r="16" spans="1:27" x14ac:dyDescent="0.25">
      <c r="A16" s="7">
        <f>IF($C16="","",COUNTIF($C$4:$C16,"&lt;&gt;"))</f>
      </c>
      <c r="B16" s="8"/>
      <c r="C16" s="8"/>
      <c r="D16" s="8"/>
      <c r="E16" s="8"/>
      <c r="F16" s="8"/>
      <c r="G16" s="8"/>
      <c r="H16" s="8"/>
      <c r="I16" s="8"/>
      <c r="J16" s="8"/>
      <c r="K16" s="8"/>
      <c r="L16" s="8"/>
      <c r="M16" s="7">
        <f>IF($C16="","",G16+H16+I16+J16+K16+L16)</f>
      </c>
      <c r="N16" s="8"/>
      <c r="O16" s="8"/>
      <c r="P16" s="8"/>
      <c r="Q16" s="8"/>
      <c r="R16" s="8"/>
      <c r="S16" s="7">
        <f>IF($C16="","",C16&amp;" | BSR "&amp;B16&amp;" | "&amp;TEXT(D16,"dd-mm-yyyy")&amp;" | ₹"&amp;TEXT(M16,"#,##0"))</f>
      </c>
      <c r="T16" s="7">
        <f>IF($C16="","",SUMIFS('Q1 Data'!$K$4:$K$207,'Q1 Data'!$B$4:$B$207,$S16)+SUMIFS('Q1 Data'!$N$4:$N$207,'Q1 Data'!$B$4:$B$207,$S16)+SUMIFS('Q1 Data'!$L$4:$L$207,'Q1 Data'!$B$4:$B$207,$S16))</f>
      </c>
      <c r="U16" s="7">
        <f>IF($C16="","",SUMIFS('Q2 Data'!$K$4:$K$207,'Q2 Data'!$B$4:$B$207,$S16)+SUMIFS('Q2 Data'!$N$4:$N$207,'Q2 Data'!$B$4:$B$207,$S16)+SUMIFS('Q2 Data'!$L$4:$L$207,'Q2 Data'!$B$4:$B$207,$S16))</f>
      </c>
      <c r="V16" s="7">
        <f>IF($C16="","",SUMIFS('Q3 Data'!$K$4:$K$207,'Q3 Data'!$B$4:$B$207,$S16)+SUMIFS('Q3 Data'!$N$4:$N$207,'Q3 Data'!$B$4:$B$207,$S16)+SUMIFS('Q3 Data'!$L$4:$L$207,'Q3 Data'!$B$4:$B$207,$S16))</f>
      </c>
      <c r="W16" s="7">
        <f>IF($C16="","",SUMIFS('Q4 Data'!$K$4:$K$207,'Q4 Data'!$B$4:$B$207,$S16)+SUMIFS('Q4 Data'!$N$4:$N$207,'Q4 Data'!$B$4:$B$207,$S16)+SUMIFS('Q4 Data'!$L$4:$L$207,'Q4 Data'!$B$4:$B$207,$S16))</f>
      </c>
      <c r="X16" s="7">
        <f>IF($C16="","",T16+U16+V16+W16)</f>
      </c>
      <c r="Y16" s="7">
        <f>IF($C16="","",M16-L16)</f>
      </c>
      <c r="Z16" s="7">
        <f>IF($C16="","",Y16-X16)</f>
      </c>
      <c r="AA16" s="7">
        <f>IF($C16="","",IF(ROUND(X16-Y16,2)&gt;0,"Over-applied",IF(ROUND(X16-Y16,2)=0,"Fully Utilised","Unconsumed")))</f>
      </c>
    </row>
    <row r="17" spans="1:27" x14ac:dyDescent="0.25">
      <c r="A17" s="7">
        <f>IF($C17="","",COUNTIF($C$4:$C17,"&lt;&gt;"))</f>
      </c>
      <c r="B17" s="8"/>
      <c r="C17" s="8"/>
      <c r="D17" s="8"/>
      <c r="E17" s="8"/>
      <c r="F17" s="8"/>
      <c r="G17" s="8"/>
      <c r="H17" s="8"/>
      <c r="I17" s="8"/>
      <c r="J17" s="8"/>
      <c r="K17" s="8"/>
      <c r="L17" s="8"/>
      <c r="M17" s="7">
        <f>IF($C17="","",G17+H17+I17+J17+K17+L17)</f>
      </c>
      <c r="N17" s="8"/>
      <c r="O17" s="8"/>
      <c r="P17" s="8"/>
      <c r="Q17" s="8"/>
      <c r="R17" s="8"/>
      <c r="S17" s="7">
        <f>IF($C17="","",C17&amp;" | BSR "&amp;B17&amp;" | "&amp;TEXT(D17,"dd-mm-yyyy")&amp;" | ₹"&amp;TEXT(M17,"#,##0"))</f>
      </c>
      <c r="T17" s="7">
        <f>IF($C17="","",SUMIFS('Q1 Data'!$K$4:$K$207,'Q1 Data'!$B$4:$B$207,$S17)+SUMIFS('Q1 Data'!$N$4:$N$207,'Q1 Data'!$B$4:$B$207,$S17)+SUMIFS('Q1 Data'!$L$4:$L$207,'Q1 Data'!$B$4:$B$207,$S17))</f>
      </c>
      <c r="U17" s="7">
        <f>IF($C17="","",SUMIFS('Q2 Data'!$K$4:$K$207,'Q2 Data'!$B$4:$B$207,$S17)+SUMIFS('Q2 Data'!$N$4:$N$207,'Q2 Data'!$B$4:$B$207,$S17)+SUMIFS('Q2 Data'!$L$4:$L$207,'Q2 Data'!$B$4:$B$207,$S17))</f>
      </c>
      <c r="V17" s="7">
        <f>IF($C17="","",SUMIFS('Q3 Data'!$K$4:$K$207,'Q3 Data'!$B$4:$B$207,$S17)+SUMIFS('Q3 Data'!$N$4:$N$207,'Q3 Data'!$B$4:$B$207,$S17)+SUMIFS('Q3 Data'!$L$4:$L$207,'Q3 Data'!$B$4:$B$207,$S17))</f>
      </c>
      <c r="W17" s="7">
        <f>IF($C17="","",SUMIFS('Q4 Data'!$K$4:$K$207,'Q4 Data'!$B$4:$B$207,$S17)+SUMIFS('Q4 Data'!$N$4:$N$207,'Q4 Data'!$B$4:$B$207,$S17)+SUMIFS('Q4 Data'!$L$4:$L$207,'Q4 Data'!$B$4:$B$207,$S17))</f>
      </c>
      <c r="X17" s="7">
        <f>IF($C17="","",T17+U17+V17+W17)</f>
      </c>
      <c r="Y17" s="7">
        <f>IF($C17="","",M17-L17)</f>
      </c>
      <c r="Z17" s="7">
        <f>IF($C17="","",Y17-X17)</f>
      </c>
      <c r="AA17" s="7">
        <f>IF($C17="","",IF(ROUND(X17-Y17,2)&gt;0,"Over-applied",IF(ROUND(X17-Y17,2)=0,"Fully Utilised","Unconsumed")))</f>
      </c>
    </row>
    <row r="18" spans="1:27" x14ac:dyDescent="0.25">
      <c r="A18" s="7">
        <f>IF($C18="","",COUNTIF($C$4:$C18,"&lt;&gt;"))</f>
      </c>
      <c r="B18" s="8"/>
      <c r="C18" s="8"/>
      <c r="D18" s="8"/>
      <c r="E18" s="8"/>
      <c r="F18" s="8"/>
      <c r="G18" s="8"/>
      <c r="H18" s="8"/>
      <c r="I18" s="8"/>
      <c r="J18" s="8"/>
      <c r="K18" s="8"/>
      <c r="L18" s="8"/>
      <c r="M18" s="7">
        <f>IF($C18="","",G18+H18+I18+J18+K18+L18)</f>
      </c>
      <c r="N18" s="8"/>
      <c r="O18" s="8"/>
      <c r="P18" s="8"/>
      <c r="Q18" s="8"/>
      <c r="R18" s="8"/>
      <c r="S18" s="7">
        <f>IF($C18="","",C18&amp;" | BSR "&amp;B18&amp;" | "&amp;TEXT(D18,"dd-mm-yyyy")&amp;" | ₹"&amp;TEXT(M18,"#,##0"))</f>
      </c>
      <c r="T18" s="7">
        <f>IF($C18="","",SUMIFS('Q1 Data'!$K$4:$K$207,'Q1 Data'!$B$4:$B$207,$S18)+SUMIFS('Q1 Data'!$N$4:$N$207,'Q1 Data'!$B$4:$B$207,$S18)+SUMIFS('Q1 Data'!$L$4:$L$207,'Q1 Data'!$B$4:$B$207,$S18))</f>
      </c>
      <c r="U18" s="7">
        <f>IF($C18="","",SUMIFS('Q2 Data'!$K$4:$K$207,'Q2 Data'!$B$4:$B$207,$S18)+SUMIFS('Q2 Data'!$N$4:$N$207,'Q2 Data'!$B$4:$B$207,$S18)+SUMIFS('Q2 Data'!$L$4:$L$207,'Q2 Data'!$B$4:$B$207,$S18))</f>
      </c>
      <c r="V18" s="7">
        <f>IF($C18="","",SUMIFS('Q3 Data'!$K$4:$K$207,'Q3 Data'!$B$4:$B$207,$S18)+SUMIFS('Q3 Data'!$N$4:$N$207,'Q3 Data'!$B$4:$B$207,$S18)+SUMIFS('Q3 Data'!$L$4:$L$207,'Q3 Data'!$B$4:$B$207,$S18))</f>
      </c>
      <c r="W18" s="7">
        <f>IF($C18="","",SUMIFS('Q4 Data'!$K$4:$K$207,'Q4 Data'!$B$4:$B$207,$S18)+SUMIFS('Q4 Data'!$N$4:$N$207,'Q4 Data'!$B$4:$B$207,$S18)+SUMIFS('Q4 Data'!$L$4:$L$207,'Q4 Data'!$B$4:$B$207,$S18))</f>
      </c>
      <c r="X18" s="7">
        <f>IF($C18="","",T18+U18+V18+W18)</f>
      </c>
      <c r="Y18" s="7">
        <f>IF($C18="","",M18-L18)</f>
      </c>
      <c r="Z18" s="7">
        <f>IF($C18="","",Y18-X18)</f>
      </c>
      <c r="AA18" s="7">
        <f>IF($C18="","",IF(ROUND(X18-Y18,2)&gt;0,"Over-applied",IF(ROUND(X18-Y18,2)=0,"Fully Utilised","Unconsumed")))</f>
      </c>
    </row>
    <row r="19" spans="1:27" x14ac:dyDescent="0.25">
      <c r="A19" s="7">
        <f>IF($C19="","",COUNTIF($C$4:$C19,"&lt;&gt;"))</f>
      </c>
      <c r="B19" s="8"/>
      <c r="C19" s="8"/>
      <c r="D19" s="8"/>
      <c r="E19" s="8"/>
      <c r="F19" s="8"/>
      <c r="G19" s="8"/>
      <c r="H19" s="8"/>
      <c r="I19" s="8"/>
      <c r="J19" s="8"/>
      <c r="K19" s="8"/>
      <c r="L19" s="8"/>
      <c r="M19" s="7">
        <f>IF($C19="","",G19+H19+I19+J19+K19+L19)</f>
      </c>
      <c r="N19" s="8"/>
      <c r="O19" s="8"/>
      <c r="P19" s="8"/>
      <c r="Q19" s="8"/>
      <c r="R19" s="8"/>
      <c r="S19" s="7">
        <f>IF($C19="","",C19&amp;" | BSR "&amp;B19&amp;" | "&amp;TEXT(D19,"dd-mm-yyyy")&amp;" | ₹"&amp;TEXT(M19,"#,##0"))</f>
      </c>
      <c r="T19" s="7">
        <f>IF($C19="","",SUMIFS('Q1 Data'!$K$4:$K$207,'Q1 Data'!$B$4:$B$207,$S19)+SUMIFS('Q1 Data'!$N$4:$N$207,'Q1 Data'!$B$4:$B$207,$S19)+SUMIFS('Q1 Data'!$L$4:$L$207,'Q1 Data'!$B$4:$B$207,$S19))</f>
      </c>
      <c r="U19" s="7">
        <f>IF($C19="","",SUMIFS('Q2 Data'!$K$4:$K$207,'Q2 Data'!$B$4:$B$207,$S19)+SUMIFS('Q2 Data'!$N$4:$N$207,'Q2 Data'!$B$4:$B$207,$S19)+SUMIFS('Q2 Data'!$L$4:$L$207,'Q2 Data'!$B$4:$B$207,$S19))</f>
      </c>
      <c r="V19" s="7">
        <f>IF($C19="","",SUMIFS('Q3 Data'!$K$4:$K$207,'Q3 Data'!$B$4:$B$207,$S19)+SUMIFS('Q3 Data'!$N$4:$N$207,'Q3 Data'!$B$4:$B$207,$S19)+SUMIFS('Q3 Data'!$L$4:$L$207,'Q3 Data'!$B$4:$B$207,$S19))</f>
      </c>
      <c r="W19" s="7">
        <f>IF($C19="","",SUMIFS('Q4 Data'!$K$4:$K$207,'Q4 Data'!$B$4:$B$207,$S19)+SUMIFS('Q4 Data'!$N$4:$N$207,'Q4 Data'!$B$4:$B$207,$S19)+SUMIFS('Q4 Data'!$L$4:$L$207,'Q4 Data'!$B$4:$B$207,$S19))</f>
      </c>
      <c r="X19" s="7">
        <f>IF($C19="","",T19+U19+V19+W19)</f>
      </c>
      <c r="Y19" s="7">
        <f>IF($C19="","",M19-L19)</f>
      </c>
      <c r="Z19" s="7">
        <f>IF($C19="","",Y19-X19)</f>
      </c>
      <c r="AA19" s="7">
        <f>IF($C19="","",IF(ROUND(X19-Y19,2)&gt;0,"Over-applied",IF(ROUND(X19-Y19,2)=0,"Fully Utilised","Unconsumed")))</f>
      </c>
    </row>
    <row r="20" spans="1:27" x14ac:dyDescent="0.25">
      <c r="A20" s="7">
        <f>IF($C20="","",COUNTIF($C$4:$C20,"&lt;&gt;"))</f>
      </c>
      <c r="B20" s="8"/>
      <c r="C20" s="8"/>
      <c r="D20" s="8"/>
      <c r="E20" s="8"/>
      <c r="F20" s="8"/>
      <c r="G20" s="8"/>
      <c r="H20" s="8"/>
      <c r="I20" s="8"/>
      <c r="J20" s="8"/>
      <c r="K20" s="8"/>
      <c r="L20" s="8"/>
      <c r="M20" s="7">
        <f>IF($C20="","",G20+H20+I20+J20+K20+L20)</f>
      </c>
      <c r="N20" s="8"/>
      <c r="O20" s="8"/>
      <c r="P20" s="8"/>
      <c r="Q20" s="8"/>
      <c r="R20" s="8"/>
      <c r="S20" s="7">
        <f>IF($C20="","",C20&amp;" | BSR "&amp;B20&amp;" | "&amp;TEXT(D20,"dd-mm-yyyy")&amp;" | ₹"&amp;TEXT(M20,"#,##0"))</f>
      </c>
      <c r="T20" s="7">
        <f>IF($C20="","",SUMIFS('Q1 Data'!$K$4:$K$207,'Q1 Data'!$B$4:$B$207,$S20)+SUMIFS('Q1 Data'!$N$4:$N$207,'Q1 Data'!$B$4:$B$207,$S20)+SUMIFS('Q1 Data'!$L$4:$L$207,'Q1 Data'!$B$4:$B$207,$S20))</f>
      </c>
      <c r="U20" s="7">
        <f>IF($C20="","",SUMIFS('Q2 Data'!$K$4:$K$207,'Q2 Data'!$B$4:$B$207,$S20)+SUMIFS('Q2 Data'!$N$4:$N$207,'Q2 Data'!$B$4:$B$207,$S20)+SUMIFS('Q2 Data'!$L$4:$L$207,'Q2 Data'!$B$4:$B$207,$S20))</f>
      </c>
      <c r="V20" s="7">
        <f>IF($C20="","",SUMIFS('Q3 Data'!$K$4:$K$207,'Q3 Data'!$B$4:$B$207,$S20)+SUMIFS('Q3 Data'!$N$4:$N$207,'Q3 Data'!$B$4:$B$207,$S20)+SUMIFS('Q3 Data'!$L$4:$L$207,'Q3 Data'!$B$4:$B$207,$S20))</f>
      </c>
      <c r="W20" s="7">
        <f>IF($C20="","",SUMIFS('Q4 Data'!$K$4:$K$207,'Q4 Data'!$B$4:$B$207,$S20)+SUMIFS('Q4 Data'!$N$4:$N$207,'Q4 Data'!$B$4:$B$207,$S20)+SUMIFS('Q4 Data'!$L$4:$L$207,'Q4 Data'!$B$4:$B$207,$S20))</f>
      </c>
      <c r="X20" s="7">
        <f>IF($C20="","",T20+U20+V20+W20)</f>
      </c>
      <c r="Y20" s="7">
        <f>IF($C20="","",M20-L20)</f>
      </c>
      <c r="Z20" s="7">
        <f>IF($C20="","",Y20-X20)</f>
      </c>
      <c r="AA20" s="7">
        <f>IF($C20="","",IF(ROUND(X20-Y20,2)&gt;0,"Over-applied",IF(ROUND(X20-Y20,2)=0,"Fully Utilised","Unconsumed")))</f>
      </c>
    </row>
    <row r="21" spans="1:27" x14ac:dyDescent="0.25">
      <c r="A21" s="7">
        <f>IF($C21="","",COUNTIF($C$4:$C21,"&lt;&gt;"))</f>
      </c>
      <c r="B21" s="8"/>
      <c r="C21" s="8"/>
      <c r="D21" s="8"/>
      <c r="E21" s="8"/>
      <c r="F21" s="8"/>
      <c r="G21" s="8"/>
      <c r="H21" s="8"/>
      <c r="I21" s="8"/>
      <c r="J21" s="8"/>
      <c r="K21" s="8"/>
      <c r="L21" s="8"/>
      <c r="M21" s="7">
        <f>IF($C21="","",G21+H21+I21+J21+K21+L21)</f>
      </c>
      <c r="N21" s="8"/>
      <c r="O21" s="8"/>
      <c r="P21" s="8"/>
      <c r="Q21" s="8"/>
      <c r="R21" s="8"/>
      <c r="S21" s="7">
        <f>IF($C21="","",C21&amp;" | BSR "&amp;B21&amp;" | "&amp;TEXT(D21,"dd-mm-yyyy")&amp;" | ₹"&amp;TEXT(M21,"#,##0"))</f>
      </c>
      <c r="T21" s="7">
        <f>IF($C21="","",SUMIFS('Q1 Data'!$K$4:$K$207,'Q1 Data'!$B$4:$B$207,$S21)+SUMIFS('Q1 Data'!$N$4:$N$207,'Q1 Data'!$B$4:$B$207,$S21)+SUMIFS('Q1 Data'!$L$4:$L$207,'Q1 Data'!$B$4:$B$207,$S21))</f>
      </c>
      <c r="U21" s="7">
        <f>IF($C21="","",SUMIFS('Q2 Data'!$K$4:$K$207,'Q2 Data'!$B$4:$B$207,$S21)+SUMIFS('Q2 Data'!$N$4:$N$207,'Q2 Data'!$B$4:$B$207,$S21)+SUMIFS('Q2 Data'!$L$4:$L$207,'Q2 Data'!$B$4:$B$207,$S21))</f>
      </c>
      <c r="V21" s="7">
        <f>IF($C21="","",SUMIFS('Q3 Data'!$K$4:$K$207,'Q3 Data'!$B$4:$B$207,$S21)+SUMIFS('Q3 Data'!$N$4:$N$207,'Q3 Data'!$B$4:$B$207,$S21)+SUMIFS('Q3 Data'!$L$4:$L$207,'Q3 Data'!$B$4:$B$207,$S21))</f>
      </c>
      <c r="W21" s="7">
        <f>IF($C21="","",SUMIFS('Q4 Data'!$K$4:$K$207,'Q4 Data'!$B$4:$B$207,$S21)+SUMIFS('Q4 Data'!$N$4:$N$207,'Q4 Data'!$B$4:$B$207,$S21)+SUMIFS('Q4 Data'!$L$4:$L$207,'Q4 Data'!$B$4:$B$207,$S21))</f>
      </c>
      <c r="X21" s="7">
        <f>IF($C21="","",T21+U21+V21+W21)</f>
      </c>
      <c r="Y21" s="7">
        <f>IF($C21="","",M21-L21)</f>
      </c>
      <c r="Z21" s="7">
        <f>IF($C21="","",Y21-X21)</f>
      </c>
      <c r="AA21" s="7">
        <f>IF($C21="","",IF(ROUND(X21-Y21,2)&gt;0,"Over-applied",IF(ROUND(X21-Y21,2)=0,"Fully Utilised","Unconsumed")))</f>
      </c>
    </row>
    <row r="22" spans="1:27" x14ac:dyDescent="0.25">
      <c r="A22" s="7">
        <f>IF($C22="","",COUNTIF($C$4:$C22,"&lt;&gt;"))</f>
      </c>
      <c r="B22" s="8"/>
      <c r="C22" s="8"/>
      <c r="D22" s="8"/>
      <c r="E22" s="8"/>
      <c r="F22" s="8"/>
      <c r="G22" s="8"/>
      <c r="H22" s="8"/>
      <c r="I22" s="8"/>
      <c r="J22" s="8"/>
      <c r="K22" s="8"/>
      <c r="L22" s="8"/>
      <c r="M22" s="7">
        <f>IF($C22="","",G22+H22+I22+J22+K22+L22)</f>
      </c>
      <c r="N22" s="8"/>
      <c r="O22" s="8"/>
      <c r="P22" s="8"/>
      <c r="Q22" s="8"/>
      <c r="R22" s="8"/>
      <c r="S22" s="7">
        <f>IF($C22="","",C22&amp;" | BSR "&amp;B22&amp;" | "&amp;TEXT(D22,"dd-mm-yyyy")&amp;" | ₹"&amp;TEXT(M22,"#,##0"))</f>
      </c>
      <c r="T22" s="7">
        <f>IF($C22="","",SUMIFS('Q1 Data'!$K$4:$K$207,'Q1 Data'!$B$4:$B$207,$S22)+SUMIFS('Q1 Data'!$N$4:$N$207,'Q1 Data'!$B$4:$B$207,$S22)+SUMIFS('Q1 Data'!$L$4:$L$207,'Q1 Data'!$B$4:$B$207,$S22))</f>
      </c>
      <c r="U22" s="7">
        <f>IF($C22="","",SUMIFS('Q2 Data'!$K$4:$K$207,'Q2 Data'!$B$4:$B$207,$S22)+SUMIFS('Q2 Data'!$N$4:$N$207,'Q2 Data'!$B$4:$B$207,$S22)+SUMIFS('Q2 Data'!$L$4:$L$207,'Q2 Data'!$B$4:$B$207,$S22))</f>
      </c>
      <c r="V22" s="7">
        <f>IF($C22="","",SUMIFS('Q3 Data'!$K$4:$K$207,'Q3 Data'!$B$4:$B$207,$S22)+SUMIFS('Q3 Data'!$N$4:$N$207,'Q3 Data'!$B$4:$B$207,$S22)+SUMIFS('Q3 Data'!$L$4:$L$207,'Q3 Data'!$B$4:$B$207,$S22))</f>
      </c>
      <c r="W22" s="7">
        <f>IF($C22="","",SUMIFS('Q4 Data'!$K$4:$K$207,'Q4 Data'!$B$4:$B$207,$S22)+SUMIFS('Q4 Data'!$N$4:$N$207,'Q4 Data'!$B$4:$B$207,$S22)+SUMIFS('Q4 Data'!$L$4:$L$207,'Q4 Data'!$B$4:$B$207,$S22))</f>
      </c>
      <c r="X22" s="7">
        <f>IF($C22="","",T22+U22+V22+W22)</f>
      </c>
      <c r="Y22" s="7">
        <f>IF($C22="","",M22-L22)</f>
      </c>
      <c r="Z22" s="7">
        <f>IF($C22="","",Y22-X22)</f>
      </c>
      <c r="AA22" s="7">
        <f>IF($C22="","",IF(ROUND(X22-Y22,2)&gt;0,"Over-applied",IF(ROUND(X22-Y22,2)=0,"Fully Utilised","Unconsumed")))</f>
      </c>
    </row>
    <row r="23" spans="1:27" x14ac:dyDescent="0.25">
      <c r="A23" s="7">
        <f>IF($C23="","",COUNTIF($C$4:$C23,"&lt;&gt;"))</f>
      </c>
      <c r="B23" s="8"/>
      <c r="C23" s="8"/>
      <c r="D23" s="8"/>
      <c r="E23" s="8"/>
      <c r="F23" s="8"/>
      <c r="G23" s="8"/>
      <c r="H23" s="8"/>
      <c r="I23" s="8"/>
      <c r="J23" s="8"/>
      <c r="K23" s="8"/>
      <c r="L23" s="8"/>
      <c r="M23" s="7">
        <f>IF($C23="","",G23+H23+I23+J23+K23+L23)</f>
      </c>
      <c r="N23" s="8"/>
      <c r="O23" s="8"/>
      <c r="P23" s="8"/>
      <c r="Q23" s="8"/>
      <c r="R23" s="8"/>
      <c r="S23" s="7">
        <f>IF($C23="","",C23&amp;" | BSR "&amp;B23&amp;" | "&amp;TEXT(D23,"dd-mm-yyyy")&amp;" | ₹"&amp;TEXT(M23,"#,##0"))</f>
      </c>
      <c r="T23" s="7">
        <f>IF($C23="","",SUMIFS('Q1 Data'!$K$4:$K$207,'Q1 Data'!$B$4:$B$207,$S23)+SUMIFS('Q1 Data'!$N$4:$N$207,'Q1 Data'!$B$4:$B$207,$S23)+SUMIFS('Q1 Data'!$L$4:$L$207,'Q1 Data'!$B$4:$B$207,$S23))</f>
      </c>
      <c r="U23" s="7">
        <f>IF($C23="","",SUMIFS('Q2 Data'!$K$4:$K$207,'Q2 Data'!$B$4:$B$207,$S23)+SUMIFS('Q2 Data'!$N$4:$N$207,'Q2 Data'!$B$4:$B$207,$S23)+SUMIFS('Q2 Data'!$L$4:$L$207,'Q2 Data'!$B$4:$B$207,$S23))</f>
      </c>
      <c r="V23" s="7">
        <f>IF($C23="","",SUMIFS('Q3 Data'!$K$4:$K$207,'Q3 Data'!$B$4:$B$207,$S23)+SUMIFS('Q3 Data'!$N$4:$N$207,'Q3 Data'!$B$4:$B$207,$S23)+SUMIFS('Q3 Data'!$L$4:$L$207,'Q3 Data'!$B$4:$B$207,$S23))</f>
      </c>
      <c r="W23" s="7">
        <f>IF($C23="","",SUMIFS('Q4 Data'!$K$4:$K$207,'Q4 Data'!$B$4:$B$207,$S23)+SUMIFS('Q4 Data'!$N$4:$N$207,'Q4 Data'!$B$4:$B$207,$S23)+SUMIFS('Q4 Data'!$L$4:$L$207,'Q4 Data'!$B$4:$B$207,$S23))</f>
      </c>
      <c r="X23" s="7">
        <f>IF($C23="","",T23+U23+V23+W23)</f>
      </c>
      <c r="Y23" s="7">
        <f>IF($C23="","",M23-L23)</f>
      </c>
      <c r="Z23" s="7">
        <f>IF($C23="","",Y23-X23)</f>
      </c>
      <c r="AA23" s="7">
        <f>IF($C23="","",IF(ROUND(X23-Y23,2)&gt;0,"Over-applied",IF(ROUND(X23-Y23,2)=0,"Fully Utilised","Unconsumed")))</f>
      </c>
    </row>
    <row r="24" spans="1:27" x14ac:dyDescent="0.25">
      <c r="A24" s="7">
        <f>IF($C24="","",COUNTIF($C$4:$C24,"&lt;&gt;"))</f>
      </c>
      <c r="B24" s="8"/>
      <c r="C24" s="8"/>
      <c r="D24" s="8"/>
      <c r="E24" s="8"/>
      <c r="F24" s="8"/>
      <c r="G24" s="8"/>
      <c r="H24" s="8"/>
      <c r="I24" s="8"/>
      <c r="J24" s="8"/>
      <c r="K24" s="8"/>
      <c r="L24" s="8"/>
      <c r="M24" s="7">
        <f>IF($C24="","",G24+H24+I24+J24+K24+L24)</f>
      </c>
      <c r="N24" s="8"/>
      <c r="O24" s="8"/>
      <c r="P24" s="8"/>
      <c r="Q24" s="8"/>
      <c r="R24" s="8"/>
      <c r="S24" s="7">
        <f>IF($C24="","",C24&amp;" | BSR "&amp;B24&amp;" | "&amp;TEXT(D24,"dd-mm-yyyy")&amp;" | ₹"&amp;TEXT(M24,"#,##0"))</f>
      </c>
      <c r="T24" s="7">
        <f>IF($C24="","",SUMIFS('Q1 Data'!$K$4:$K$207,'Q1 Data'!$B$4:$B$207,$S24)+SUMIFS('Q1 Data'!$N$4:$N$207,'Q1 Data'!$B$4:$B$207,$S24)+SUMIFS('Q1 Data'!$L$4:$L$207,'Q1 Data'!$B$4:$B$207,$S24))</f>
      </c>
      <c r="U24" s="7">
        <f>IF($C24="","",SUMIFS('Q2 Data'!$K$4:$K$207,'Q2 Data'!$B$4:$B$207,$S24)+SUMIFS('Q2 Data'!$N$4:$N$207,'Q2 Data'!$B$4:$B$207,$S24)+SUMIFS('Q2 Data'!$L$4:$L$207,'Q2 Data'!$B$4:$B$207,$S24))</f>
      </c>
      <c r="V24" s="7">
        <f>IF($C24="","",SUMIFS('Q3 Data'!$K$4:$K$207,'Q3 Data'!$B$4:$B$207,$S24)+SUMIFS('Q3 Data'!$N$4:$N$207,'Q3 Data'!$B$4:$B$207,$S24)+SUMIFS('Q3 Data'!$L$4:$L$207,'Q3 Data'!$B$4:$B$207,$S24))</f>
      </c>
      <c r="W24" s="7">
        <f>IF($C24="","",SUMIFS('Q4 Data'!$K$4:$K$207,'Q4 Data'!$B$4:$B$207,$S24)+SUMIFS('Q4 Data'!$N$4:$N$207,'Q4 Data'!$B$4:$B$207,$S24)+SUMIFS('Q4 Data'!$L$4:$L$207,'Q4 Data'!$B$4:$B$207,$S24))</f>
      </c>
      <c r="X24" s="7">
        <f>IF($C24="","",T24+U24+V24+W24)</f>
      </c>
      <c r="Y24" s="7">
        <f>IF($C24="","",M24-L24)</f>
      </c>
      <c r="Z24" s="7">
        <f>IF($C24="","",Y24-X24)</f>
      </c>
      <c r="AA24" s="7">
        <f>IF($C24="","",IF(ROUND(X24-Y24,2)&gt;0,"Over-applied",IF(ROUND(X24-Y24,2)=0,"Fully Utilised","Unconsumed")))</f>
      </c>
    </row>
    <row r="25" spans="1:27" x14ac:dyDescent="0.25">
      <c r="A25" s="7">
        <f>IF($C25="","",COUNTIF($C$4:$C25,"&lt;&gt;"))</f>
      </c>
      <c r="B25" s="8"/>
      <c r="C25" s="8"/>
      <c r="D25" s="8"/>
      <c r="E25" s="8"/>
      <c r="F25" s="8"/>
      <c r="G25" s="8"/>
      <c r="H25" s="8"/>
      <c r="I25" s="8"/>
      <c r="J25" s="8"/>
      <c r="K25" s="8"/>
      <c r="L25" s="8"/>
      <c r="M25" s="7">
        <f>IF($C25="","",G25+H25+I25+J25+K25+L25)</f>
      </c>
      <c r="N25" s="8"/>
      <c r="O25" s="8"/>
      <c r="P25" s="8"/>
      <c r="Q25" s="8"/>
      <c r="R25" s="8"/>
      <c r="S25" s="7">
        <f>IF($C25="","",C25&amp;" | BSR "&amp;B25&amp;" | "&amp;TEXT(D25,"dd-mm-yyyy")&amp;" | ₹"&amp;TEXT(M25,"#,##0"))</f>
      </c>
      <c r="T25" s="7">
        <f>IF($C25="","",SUMIFS('Q1 Data'!$K$4:$K$207,'Q1 Data'!$B$4:$B$207,$S25)+SUMIFS('Q1 Data'!$N$4:$N$207,'Q1 Data'!$B$4:$B$207,$S25)+SUMIFS('Q1 Data'!$L$4:$L$207,'Q1 Data'!$B$4:$B$207,$S25))</f>
      </c>
      <c r="U25" s="7">
        <f>IF($C25="","",SUMIFS('Q2 Data'!$K$4:$K$207,'Q2 Data'!$B$4:$B$207,$S25)+SUMIFS('Q2 Data'!$N$4:$N$207,'Q2 Data'!$B$4:$B$207,$S25)+SUMIFS('Q2 Data'!$L$4:$L$207,'Q2 Data'!$B$4:$B$207,$S25))</f>
      </c>
      <c r="V25" s="7">
        <f>IF($C25="","",SUMIFS('Q3 Data'!$K$4:$K$207,'Q3 Data'!$B$4:$B$207,$S25)+SUMIFS('Q3 Data'!$N$4:$N$207,'Q3 Data'!$B$4:$B$207,$S25)+SUMIFS('Q3 Data'!$L$4:$L$207,'Q3 Data'!$B$4:$B$207,$S25))</f>
      </c>
      <c r="W25" s="7">
        <f>IF($C25="","",SUMIFS('Q4 Data'!$K$4:$K$207,'Q4 Data'!$B$4:$B$207,$S25)+SUMIFS('Q4 Data'!$N$4:$N$207,'Q4 Data'!$B$4:$B$207,$S25)+SUMIFS('Q4 Data'!$L$4:$L$207,'Q4 Data'!$B$4:$B$207,$S25))</f>
      </c>
      <c r="X25" s="7">
        <f>IF($C25="","",T25+U25+V25+W25)</f>
      </c>
      <c r="Y25" s="7">
        <f>IF($C25="","",M25-L25)</f>
      </c>
      <c r="Z25" s="7">
        <f>IF($C25="","",Y25-X25)</f>
      </c>
      <c r="AA25" s="7">
        <f>IF($C25="","",IF(ROUND(X25-Y25,2)&gt;0,"Over-applied",IF(ROUND(X25-Y25,2)=0,"Fully Utilised","Unconsumed")))</f>
      </c>
    </row>
    <row r="26" spans="1:27" x14ac:dyDescent="0.25">
      <c r="A26" s="7">
        <f>IF($C26="","",COUNTIF($C$4:$C26,"&lt;&gt;"))</f>
      </c>
      <c r="B26" s="8"/>
      <c r="C26" s="8"/>
      <c r="D26" s="8"/>
      <c r="E26" s="8"/>
      <c r="F26" s="8"/>
      <c r="G26" s="8"/>
      <c r="H26" s="8"/>
      <c r="I26" s="8"/>
      <c r="J26" s="8"/>
      <c r="K26" s="8"/>
      <c r="L26" s="8"/>
      <c r="M26" s="7">
        <f>IF($C26="","",G26+H26+I26+J26+K26+L26)</f>
      </c>
      <c r="N26" s="8"/>
      <c r="O26" s="8"/>
      <c r="P26" s="8"/>
      <c r="Q26" s="8"/>
      <c r="R26" s="8"/>
      <c r="S26" s="7">
        <f>IF($C26="","",C26&amp;" | BSR "&amp;B26&amp;" | "&amp;TEXT(D26,"dd-mm-yyyy")&amp;" | ₹"&amp;TEXT(M26,"#,##0"))</f>
      </c>
      <c r="T26" s="7">
        <f>IF($C26="","",SUMIFS('Q1 Data'!$K$4:$K$207,'Q1 Data'!$B$4:$B$207,$S26)+SUMIFS('Q1 Data'!$N$4:$N$207,'Q1 Data'!$B$4:$B$207,$S26)+SUMIFS('Q1 Data'!$L$4:$L$207,'Q1 Data'!$B$4:$B$207,$S26))</f>
      </c>
      <c r="U26" s="7">
        <f>IF($C26="","",SUMIFS('Q2 Data'!$K$4:$K$207,'Q2 Data'!$B$4:$B$207,$S26)+SUMIFS('Q2 Data'!$N$4:$N$207,'Q2 Data'!$B$4:$B$207,$S26)+SUMIFS('Q2 Data'!$L$4:$L$207,'Q2 Data'!$B$4:$B$207,$S26))</f>
      </c>
      <c r="V26" s="7">
        <f>IF($C26="","",SUMIFS('Q3 Data'!$K$4:$K$207,'Q3 Data'!$B$4:$B$207,$S26)+SUMIFS('Q3 Data'!$N$4:$N$207,'Q3 Data'!$B$4:$B$207,$S26)+SUMIFS('Q3 Data'!$L$4:$L$207,'Q3 Data'!$B$4:$B$207,$S26))</f>
      </c>
      <c r="W26" s="7">
        <f>IF($C26="","",SUMIFS('Q4 Data'!$K$4:$K$207,'Q4 Data'!$B$4:$B$207,$S26)+SUMIFS('Q4 Data'!$N$4:$N$207,'Q4 Data'!$B$4:$B$207,$S26)+SUMIFS('Q4 Data'!$L$4:$L$207,'Q4 Data'!$B$4:$B$207,$S26))</f>
      </c>
      <c r="X26" s="7">
        <f>IF($C26="","",T26+U26+V26+W26)</f>
      </c>
      <c r="Y26" s="7">
        <f>IF($C26="","",M26-L26)</f>
      </c>
      <c r="Z26" s="7">
        <f>IF($C26="","",Y26-X26)</f>
      </c>
      <c r="AA26" s="7">
        <f>IF($C26="","",IF(ROUND(X26-Y26,2)&gt;0,"Over-applied",IF(ROUND(X26-Y26,2)=0,"Fully Utilised","Unconsumed")))</f>
      </c>
    </row>
    <row r="27" spans="1:27" x14ac:dyDescent="0.25">
      <c r="A27" s="7">
        <f>IF($C27="","",COUNTIF($C$4:$C27,"&lt;&gt;"))</f>
      </c>
      <c r="B27" s="8"/>
      <c r="C27" s="8"/>
      <c r="D27" s="8"/>
      <c r="E27" s="8"/>
      <c r="F27" s="8"/>
      <c r="G27" s="8"/>
      <c r="H27" s="8"/>
      <c r="I27" s="8"/>
      <c r="J27" s="8"/>
      <c r="K27" s="8"/>
      <c r="L27" s="8"/>
      <c r="M27" s="7">
        <f>IF($C27="","",G27+H27+I27+J27+K27+L27)</f>
      </c>
      <c r="N27" s="8"/>
      <c r="O27" s="8"/>
      <c r="P27" s="8"/>
      <c r="Q27" s="8"/>
      <c r="R27" s="8"/>
      <c r="S27" s="7">
        <f>IF($C27="","",C27&amp;" | BSR "&amp;B27&amp;" | "&amp;TEXT(D27,"dd-mm-yyyy")&amp;" | ₹"&amp;TEXT(M27,"#,##0"))</f>
      </c>
      <c r="T27" s="7">
        <f>IF($C27="","",SUMIFS('Q1 Data'!$K$4:$K$207,'Q1 Data'!$B$4:$B$207,$S27)+SUMIFS('Q1 Data'!$N$4:$N$207,'Q1 Data'!$B$4:$B$207,$S27)+SUMIFS('Q1 Data'!$L$4:$L$207,'Q1 Data'!$B$4:$B$207,$S27))</f>
      </c>
      <c r="U27" s="7">
        <f>IF($C27="","",SUMIFS('Q2 Data'!$K$4:$K$207,'Q2 Data'!$B$4:$B$207,$S27)+SUMIFS('Q2 Data'!$N$4:$N$207,'Q2 Data'!$B$4:$B$207,$S27)+SUMIFS('Q2 Data'!$L$4:$L$207,'Q2 Data'!$B$4:$B$207,$S27))</f>
      </c>
      <c r="V27" s="7">
        <f>IF($C27="","",SUMIFS('Q3 Data'!$K$4:$K$207,'Q3 Data'!$B$4:$B$207,$S27)+SUMIFS('Q3 Data'!$N$4:$N$207,'Q3 Data'!$B$4:$B$207,$S27)+SUMIFS('Q3 Data'!$L$4:$L$207,'Q3 Data'!$B$4:$B$207,$S27))</f>
      </c>
      <c r="W27" s="7">
        <f>IF($C27="","",SUMIFS('Q4 Data'!$K$4:$K$207,'Q4 Data'!$B$4:$B$207,$S27)+SUMIFS('Q4 Data'!$N$4:$N$207,'Q4 Data'!$B$4:$B$207,$S27)+SUMIFS('Q4 Data'!$L$4:$L$207,'Q4 Data'!$B$4:$B$207,$S27))</f>
      </c>
      <c r="X27" s="7">
        <f>IF($C27="","",T27+U27+V27+W27)</f>
      </c>
      <c r="Y27" s="7">
        <f>IF($C27="","",M27-L27)</f>
      </c>
      <c r="Z27" s="7">
        <f>IF($C27="","",Y27-X27)</f>
      </c>
      <c r="AA27" s="7">
        <f>IF($C27="","",IF(ROUND(X27-Y27,2)&gt;0,"Over-applied",IF(ROUND(X27-Y27,2)=0,"Fully Utilised","Unconsumed")))</f>
      </c>
    </row>
    <row r="28" spans="1:27" x14ac:dyDescent="0.25">
      <c r="A28" s="7">
        <f>IF($C28="","",COUNTIF($C$4:$C28,"&lt;&gt;"))</f>
      </c>
      <c r="B28" s="8"/>
      <c r="C28" s="8"/>
      <c r="D28" s="8"/>
      <c r="E28" s="8"/>
      <c r="F28" s="8"/>
      <c r="G28" s="8"/>
      <c r="H28" s="8"/>
      <c r="I28" s="8"/>
      <c r="J28" s="8"/>
      <c r="K28" s="8"/>
      <c r="L28" s="8"/>
      <c r="M28" s="7">
        <f>IF($C28="","",G28+H28+I28+J28+K28+L28)</f>
      </c>
      <c r="N28" s="8"/>
      <c r="O28" s="8"/>
      <c r="P28" s="8"/>
      <c r="Q28" s="8"/>
      <c r="R28" s="8"/>
      <c r="S28" s="7">
        <f>IF($C28="","",C28&amp;" | BSR "&amp;B28&amp;" | "&amp;TEXT(D28,"dd-mm-yyyy")&amp;" | ₹"&amp;TEXT(M28,"#,##0"))</f>
      </c>
      <c r="T28" s="7">
        <f>IF($C28="","",SUMIFS('Q1 Data'!$K$4:$K$207,'Q1 Data'!$B$4:$B$207,$S28)+SUMIFS('Q1 Data'!$N$4:$N$207,'Q1 Data'!$B$4:$B$207,$S28)+SUMIFS('Q1 Data'!$L$4:$L$207,'Q1 Data'!$B$4:$B$207,$S28))</f>
      </c>
      <c r="U28" s="7">
        <f>IF($C28="","",SUMIFS('Q2 Data'!$K$4:$K$207,'Q2 Data'!$B$4:$B$207,$S28)+SUMIFS('Q2 Data'!$N$4:$N$207,'Q2 Data'!$B$4:$B$207,$S28)+SUMIFS('Q2 Data'!$L$4:$L$207,'Q2 Data'!$B$4:$B$207,$S28))</f>
      </c>
      <c r="V28" s="7">
        <f>IF($C28="","",SUMIFS('Q3 Data'!$K$4:$K$207,'Q3 Data'!$B$4:$B$207,$S28)+SUMIFS('Q3 Data'!$N$4:$N$207,'Q3 Data'!$B$4:$B$207,$S28)+SUMIFS('Q3 Data'!$L$4:$L$207,'Q3 Data'!$B$4:$B$207,$S28))</f>
      </c>
      <c r="W28" s="7">
        <f>IF($C28="","",SUMIFS('Q4 Data'!$K$4:$K$207,'Q4 Data'!$B$4:$B$207,$S28)+SUMIFS('Q4 Data'!$N$4:$N$207,'Q4 Data'!$B$4:$B$207,$S28)+SUMIFS('Q4 Data'!$L$4:$L$207,'Q4 Data'!$B$4:$B$207,$S28))</f>
      </c>
      <c r="X28" s="7">
        <f>IF($C28="","",T28+U28+V28+W28)</f>
      </c>
      <c r="Y28" s="7">
        <f>IF($C28="","",M28-L28)</f>
      </c>
      <c r="Z28" s="7">
        <f>IF($C28="","",Y28-X28)</f>
      </c>
      <c r="AA28" s="7">
        <f>IF($C28="","",IF(ROUND(X28-Y28,2)&gt;0,"Over-applied",IF(ROUND(X28-Y28,2)=0,"Fully Utilised","Unconsumed")))</f>
      </c>
    </row>
    <row r="29" spans="1:27" x14ac:dyDescent="0.25">
      <c r="A29" s="7">
        <f>IF($C29="","",COUNTIF($C$4:$C29,"&lt;&gt;"))</f>
      </c>
      <c r="B29" s="8"/>
      <c r="C29" s="8"/>
      <c r="D29" s="8"/>
      <c r="E29" s="8"/>
      <c r="F29" s="8"/>
      <c r="G29" s="8"/>
      <c r="H29" s="8"/>
      <c r="I29" s="8"/>
      <c r="J29" s="8"/>
      <c r="K29" s="8"/>
      <c r="L29" s="8"/>
      <c r="M29" s="7">
        <f>IF($C29="","",G29+H29+I29+J29+K29+L29)</f>
      </c>
      <c r="N29" s="8"/>
      <c r="O29" s="8"/>
      <c r="P29" s="8"/>
      <c r="Q29" s="8"/>
      <c r="R29" s="8"/>
      <c r="S29" s="7">
        <f>IF($C29="","",C29&amp;" | BSR "&amp;B29&amp;" | "&amp;TEXT(D29,"dd-mm-yyyy")&amp;" | ₹"&amp;TEXT(M29,"#,##0"))</f>
      </c>
      <c r="T29" s="7">
        <f>IF($C29="","",SUMIFS('Q1 Data'!$K$4:$K$207,'Q1 Data'!$B$4:$B$207,$S29)+SUMIFS('Q1 Data'!$N$4:$N$207,'Q1 Data'!$B$4:$B$207,$S29)+SUMIFS('Q1 Data'!$L$4:$L$207,'Q1 Data'!$B$4:$B$207,$S29))</f>
      </c>
      <c r="U29" s="7">
        <f>IF($C29="","",SUMIFS('Q2 Data'!$K$4:$K$207,'Q2 Data'!$B$4:$B$207,$S29)+SUMIFS('Q2 Data'!$N$4:$N$207,'Q2 Data'!$B$4:$B$207,$S29)+SUMIFS('Q2 Data'!$L$4:$L$207,'Q2 Data'!$B$4:$B$207,$S29))</f>
      </c>
      <c r="V29" s="7">
        <f>IF($C29="","",SUMIFS('Q3 Data'!$K$4:$K$207,'Q3 Data'!$B$4:$B$207,$S29)+SUMIFS('Q3 Data'!$N$4:$N$207,'Q3 Data'!$B$4:$B$207,$S29)+SUMIFS('Q3 Data'!$L$4:$L$207,'Q3 Data'!$B$4:$B$207,$S29))</f>
      </c>
      <c r="W29" s="7">
        <f>IF($C29="","",SUMIFS('Q4 Data'!$K$4:$K$207,'Q4 Data'!$B$4:$B$207,$S29)+SUMIFS('Q4 Data'!$N$4:$N$207,'Q4 Data'!$B$4:$B$207,$S29)+SUMIFS('Q4 Data'!$L$4:$L$207,'Q4 Data'!$B$4:$B$207,$S29))</f>
      </c>
      <c r="X29" s="7">
        <f>IF($C29="","",T29+U29+V29+W29)</f>
      </c>
      <c r="Y29" s="7">
        <f>IF($C29="","",M29-L29)</f>
      </c>
      <c r="Z29" s="7">
        <f>IF($C29="","",Y29-X29)</f>
      </c>
      <c r="AA29" s="7">
        <f>IF($C29="","",IF(ROUND(X29-Y29,2)&gt;0,"Over-applied",IF(ROUND(X29-Y29,2)=0,"Fully Utilised","Unconsumed")))</f>
      </c>
    </row>
    <row r="30" spans="1:27" x14ac:dyDescent="0.25">
      <c r="A30" s="7">
        <f>IF($C30="","",COUNTIF($C$4:$C30,"&lt;&gt;"))</f>
      </c>
      <c r="B30" s="8"/>
      <c r="C30" s="8"/>
      <c r="D30" s="8"/>
      <c r="E30" s="8"/>
      <c r="F30" s="8"/>
      <c r="G30" s="8"/>
      <c r="H30" s="8"/>
      <c r="I30" s="8"/>
      <c r="J30" s="8"/>
      <c r="K30" s="8"/>
      <c r="L30" s="8"/>
      <c r="M30" s="7">
        <f>IF($C30="","",G30+H30+I30+J30+K30+L30)</f>
      </c>
      <c r="N30" s="8"/>
      <c r="O30" s="8"/>
      <c r="P30" s="8"/>
      <c r="Q30" s="8"/>
      <c r="R30" s="8"/>
      <c r="S30" s="7">
        <f>IF($C30="","",C30&amp;" | BSR "&amp;B30&amp;" | "&amp;TEXT(D30,"dd-mm-yyyy")&amp;" | ₹"&amp;TEXT(M30,"#,##0"))</f>
      </c>
      <c r="T30" s="7">
        <f>IF($C30="","",SUMIFS('Q1 Data'!$K$4:$K$207,'Q1 Data'!$B$4:$B$207,$S30)+SUMIFS('Q1 Data'!$N$4:$N$207,'Q1 Data'!$B$4:$B$207,$S30)+SUMIFS('Q1 Data'!$L$4:$L$207,'Q1 Data'!$B$4:$B$207,$S30))</f>
      </c>
      <c r="U30" s="7">
        <f>IF($C30="","",SUMIFS('Q2 Data'!$K$4:$K$207,'Q2 Data'!$B$4:$B$207,$S30)+SUMIFS('Q2 Data'!$N$4:$N$207,'Q2 Data'!$B$4:$B$207,$S30)+SUMIFS('Q2 Data'!$L$4:$L$207,'Q2 Data'!$B$4:$B$207,$S30))</f>
      </c>
      <c r="V30" s="7">
        <f>IF($C30="","",SUMIFS('Q3 Data'!$K$4:$K$207,'Q3 Data'!$B$4:$B$207,$S30)+SUMIFS('Q3 Data'!$N$4:$N$207,'Q3 Data'!$B$4:$B$207,$S30)+SUMIFS('Q3 Data'!$L$4:$L$207,'Q3 Data'!$B$4:$B$207,$S30))</f>
      </c>
      <c r="W30" s="7">
        <f>IF($C30="","",SUMIFS('Q4 Data'!$K$4:$K$207,'Q4 Data'!$B$4:$B$207,$S30)+SUMIFS('Q4 Data'!$N$4:$N$207,'Q4 Data'!$B$4:$B$207,$S30)+SUMIFS('Q4 Data'!$L$4:$L$207,'Q4 Data'!$B$4:$B$207,$S30))</f>
      </c>
      <c r="X30" s="7">
        <f>IF($C30="","",T30+U30+V30+W30)</f>
      </c>
      <c r="Y30" s="7">
        <f>IF($C30="","",M30-L30)</f>
      </c>
      <c r="Z30" s="7">
        <f>IF($C30="","",Y30-X30)</f>
      </c>
      <c r="AA30" s="7">
        <f>IF($C30="","",IF(ROUND(X30-Y30,2)&gt;0,"Over-applied",IF(ROUND(X30-Y30,2)=0,"Fully Utilised","Unconsumed")))</f>
      </c>
    </row>
    <row r="31" spans="1:27" x14ac:dyDescent="0.25">
      <c r="A31" s="7">
        <f>IF($C31="","",COUNTIF($C$4:$C31,"&lt;&gt;"))</f>
      </c>
      <c r="B31" s="8"/>
      <c r="C31" s="8"/>
      <c r="D31" s="8"/>
      <c r="E31" s="8"/>
      <c r="F31" s="8"/>
      <c r="G31" s="8"/>
      <c r="H31" s="8"/>
      <c r="I31" s="8"/>
      <c r="J31" s="8"/>
      <c r="K31" s="8"/>
      <c r="L31" s="8"/>
      <c r="M31" s="7">
        <f>IF($C31="","",G31+H31+I31+J31+K31+L31)</f>
      </c>
      <c r="N31" s="8"/>
      <c r="O31" s="8"/>
      <c r="P31" s="8"/>
      <c r="Q31" s="8"/>
      <c r="R31" s="8"/>
      <c r="S31" s="7">
        <f>IF($C31="","",C31&amp;" | BSR "&amp;B31&amp;" | "&amp;TEXT(D31,"dd-mm-yyyy")&amp;" | ₹"&amp;TEXT(M31,"#,##0"))</f>
      </c>
      <c r="T31" s="7">
        <f>IF($C31="","",SUMIFS('Q1 Data'!$K$4:$K$207,'Q1 Data'!$B$4:$B$207,$S31)+SUMIFS('Q1 Data'!$N$4:$N$207,'Q1 Data'!$B$4:$B$207,$S31)+SUMIFS('Q1 Data'!$L$4:$L$207,'Q1 Data'!$B$4:$B$207,$S31))</f>
      </c>
      <c r="U31" s="7">
        <f>IF($C31="","",SUMIFS('Q2 Data'!$K$4:$K$207,'Q2 Data'!$B$4:$B$207,$S31)+SUMIFS('Q2 Data'!$N$4:$N$207,'Q2 Data'!$B$4:$B$207,$S31)+SUMIFS('Q2 Data'!$L$4:$L$207,'Q2 Data'!$B$4:$B$207,$S31))</f>
      </c>
      <c r="V31" s="7">
        <f>IF($C31="","",SUMIFS('Q3 Data'!$K$4:$K$207,'Q3 Data'!$B$4:$B$207,$S31)+SUMIFS('Q3 Data'!$N$4:$N$207,'Q3 Data'!$B$4:$B$207,$S31)+SUMIFS('Q3 Data'!$L$4:$L$207,'Q3 Data'!$B$4:$B$207,$S31))</f>
      </c>
      <c r="W31" s="7">
        <f>IF($C31="","",SUMIFS('Q4 Data'!$K$4:$K$207,'Q4 Data'!$B$4:$B$207,$S31)+SUMIFS('Q4 Data'!$N$4:$N$207,'Q4 Data'!$B$4:$B$207,$S31)+SUMIFS('Q4 Data'!$L$4:$L$207,'Q4 Data'!$B$4:$B$207,$S31))</f>
      </c>
      <c r="X31" s="7">
        <f>IF($C31="","",T31+U31+V31+W31)</f>
      </c>
      <c r="Y31" s="7">
        <f>IF($C31="","",M31-L31)</f>
      </c>
      <c r="Z31" s="7">
        <f>IF($C31="","",Y31-X31)</f>
      </c>
      <c r="AA31" s="7">
        <f>IF($C31="","",IF(ROUND(X31-Y31,2)&gt;0,"Over-applied",IF(ROUND(X31-Y31,2)=0,"Fully Utilised","Unconsumed")))</f>
      </c>
    </row>
    <row r="32" spans="1:27" x14ac:dyDescent="0.25">
      <c r="A32" s="7">
        <f>IF($C32="","",COUNTIF($C$4:$C32,"&lt;&gt;"))</f>
      </c>
      <c r="B32" s="8"/>
      <c r="C32" s="8"/>
      <c r="D32" s="8"/>
      <c r="E32" s="8"/>
      <c r="F32" s="8"/>
      <c r="G32" s="8"/>
      <c r="H32" s="8"/>
      <c r="I32" s="8"/>
      <c r="J32" s="8"/>
      <c r="K32" s="8"/>
      <c r="L32" s="8"/>
      <c r="M32" s="7">
        <f>IF($C32="","",G32+H32+I32+J32+K32+L32)</f>
      </c>
      <c r="N32" s="8"/>
      <c r="O32" s="8"/>
      <c r="P32" s="8"/>
      <c r="Q32" s="8"/>
      <c r="R32" s="8"/>
      <c r="S32" s="7">
        <f>IF($C32="","",C32&amp;" | BSR "&amp;B32&amp;" | "&amp;TEXT(D32,"dd-mm-yyyy")&amp;" | ₹"&amp;TEXT(M32,"#,##0"))</f>
      </c>
      <c r="T32" s="7">
        <f>IF($C32="","",SUMIFS('Q1 Data'!$K$4:$K$207,'Q1 Data'!$B$4:$B$207,$S32)+SUMIFS('Q1 Data'!$N$4:$N$207,'Q1 Data'!$B$4:$B$207,$S32)+SUMIFS('Q1 Data'!$L$4:$L$207,'Q1 Data'!$B$4:$B$207,$S32))</f>
      </c>
      <c r="U32" s="7">
        <f>IF($C32="","",SUMIFS('Q2 Data'!$K$4:$K$207,'Q2 Data'!$B$4:$B$207,$S32)+SUMIFS('Q2 Data'!$N$4:$N$207,'Q2 Data'!$B$4:$B$207,$S32)+SUMIFS('Q2 Data'!$L$4:$L$207,'Q2 Data'!$B$4:$B$207,$S32))</f>
      </c>
      <c r="V32" s="7">
        <f>IF($C32="","",SUMIFS('Q3 Data'!$K$4:$K$207,'Q3 Data'!$B$4:$B$207,$S32)+SUMIFS('Q3 Data'!$N$4:$N$207,'Q3 Data'!$B$4:$B$207,$S32)+SUMIFS('Q3 Data'!$L$4:$L$207,'Q3 Data'!$B$4:$B$207,$S32))</f>
      </c>
      <c r="W32" s="7">
        <f>IF($C32="","",SUMIFS('Q4 Data'!$K$4:$K$207,'Q4 Data'!$B$4:$B$207,$S32)+SUMIFS('Q4 Data'!$N$4:$N$207,'Q4 Data'!$B$4:$B$207,$S32)+SUMIFS('Q4 Data'!$L$4:$L$207,'Q4 Data'!$B$4:$B$207,$S32))</f>
      </c>
      <c r="X32" s="7">
        <f>IF($C32="","",T32+U32+V32+W32)</f>
      </c>
      <c r="Y32" s="7">
        <f>IF($C32="","",M32-L32)</f>
      </c>
      <c r="Z32" s="7">
        <f>IF($C32="","",Y32-X32)</f>
      </c>
      <c r="AA32" s="7">
        <f>IF($C32="","",IF(ROUND(X32-Y32,2)&gt;0,"Over-applied",IF(ROUND(X32-Y32,2)=0,"Fully Utilised","Unconsumed")))</f>
      </c>
    </row>
    <row r="33" spans="1:27" x14ac:dyDescent="0.25">
      <c r="A33" s="7">
        <f>IF($C33="","",COUNTIF($C$4:$C33,"&lt;&gt;"))</f>
      </c>
      <c r="B33" s="8"/>
      <c r="C33" s="8"/>
      <c r="D33" s="8"/>
      <c r="E33" s="8"/>
      <c r="F33" s="8"/>
      <c r="G33" s="8"/>
      <c r="H33" s="8"/>
      <c r="I33" s="8"/>
      <c r="J33" s="8"/>
      <c r="K33" s="8"/>
      <c r="L33" s="8"/>
      <c r="M33" s="7">
        <f>IF($C33="","",G33+H33+I33+J33+K33+L33)</f>
      </c>
      <c r="N33" s="8"/>
      <c r="O33" s="8"/>
      <c r="P33" s="8"/>
      <c r="Q33" s="8"/>
      <c r="R33" s="8"/>
      <c r="S33" s="7">
        <f>IF($C33="","",C33&amp;" | BSR "&amp;B33&amp;" | "&amp;TEXT(D33,"dd-mm-yyyy")&amp;" | ₹"&amp;TEXT(M33,"#,##0"))</f>
      </c>
      <c r="T33" s="7">
        <f>IF($C33="","",SUMIFS('Q1 Data'!$K$4:$K$207,'Q1 Data'!$B$4:$B$207,$S33)+SUMIFS('Q1 Data'!$N$4:$N$207,'Q1 Data'!$B$4:$B$207,$S33)+SUMIFS('Q1 Data'!$L$4:$L$207,'Q1 Data'!$B$4:$B$207,$S33))</f>
      </c>
      <c r="U33" s="7">
        <f>IF($C33="","",SUMIFS('Q2 Data'!$K$4:$K$207,'Q2 Data'!$B$4:$B$207,$S33)+SUMIFS('Q2 Data'!$N$4:$N$207,'Q2 Data'!$B$4:$B$207,$S33)+SUMIFS('Q2 Data'!$L$4:$L$207,'Q2 Data'!$B$4:$B$207,$S33))</f>
      </c>
      <c r="V33" s="7">
        <f>IF($C33="","",SUMIFS('Q3 Data'!$K$4:$K$207,'Q3 Data'!$B$4:$B$207,$S33)+SUMIFS('Q3 Data'!$N$4:$N$207,'Q3 Data'!$B$4:$B$207,$S33)+SUMIFS('Q3 Data'!$L$4:$L$207,'Q3 Data'!$B$4:$B$207,$S33))</f>
      </c>
      <c r="W33" s="7">
        <f>IF($C33="","",SUMIFS('Q4 Data'!$K$4:$K$207,'Q4 Data'!$B$4:$B$207,$S33)+SUMIFS('Q4 Data'!$N$4:$N$207,'Q4 Data'!$B$4:$B$207,$S33)+SUMIFS('Q4 Data'!$L$4:$L$207,'Q4 Data'!$B$4:$B$207,$S33))</f>
      </c>
      <c r="X33" s="7">
        <f>IF($C33="","",T33+U33+V33+W33)</f>
      </c>
      <c r="Y33" s="7">
        <f>IF($C33="","",M33-L33)</f>
      </c>
      <c r="Z33" s="7">
        <f>IF($C33="","",Y33-X33)</f>
      </c>
      <c r="AA33" s="7">
        <f>IF($C33="","",IF(ROUND(X33-Y33,2)&gt;0,"Over-applied",IF(ROUND(X33-Y33,2)=0,"Fully Utilised","Unconsumed")))</f>
      </c>
    </row>
    <row r="34" spans="1:27" x14ac:dyDescent="0.25">
      <c r="A34" s="7">
        <f>IF($C34="","",COUNTIF($C$4:$C34,"&lt;&gt;"))</f>
      </c>
      <c r="B34" s="8"/>
      <c r="C34" s="8"/>
      <c r="D34" s="8"/>
      <c r="E34" s="8"/>
      <c r="F34" s="8"/>
      <c r="G34" s="8"/>
      <c r="H34" s="8"/>
      <c r="I34" s="8"/>
      <c r="J34" s="8"/>
      <c r="K34" s="8"/>
      <c r="L34" s="8"/>
      <c r="M34" s="7">
        <f>IF($C34="","",G34+H34+I34+J34+K34+L34)</f>
      </c>
      <c r="N34" s="8"/>
      <c r="O34" s="8"/>
      <c r="P34" s="8"/>
      <c r="Q34" s="8"/>
      <c r="R34" s="8"/>
      <c r="S34" s="7">
        <f>IF($C34="","",C34&amp;" | BSR "&amp;B34&amp;" | "&amp;TEXT(D34,"dd-mm-yyyy")&amp;" | ₹"&amp;TEXT(M34,"#,##0"))</f>
      </c>
      <c r="T34" s="7">
        <f>IF($C34="","",SUMIFS('Q1 Data'!$K$4:$K$207,'Q1 Data'!$B$4:$B$207,$S34)+SUMIFS('Q1 Data'!$N$4:$N$207,'Q1 Data'!$B$4:$B$207,$S34)+SUMIFS('Q1 Data'!$L$4:$L$207,'Q1 Data'!$B$4:$B$207,$S34))</f>
      </c>
      <c r="U34" s="7">
        <f>IF($C34="","",SUMIFS('Q2 Data'!$K$4:$K$207,'Q2 Data'!$B$4:$B$207,$S34)+SUMIFS('Q2 Data'!$N$4:$N$207,'Q2 Data'!$B$4:$B$207,$S34)+SUMIFS('Q2 Data'!$L$4:$L$207,'Q2 Data'!$B$4:$B$207,$S34))</f>
      </c>
      <c r="V34" s="7">
        <f>IF($C34="","",SUMIFS('Q3 Data'!$K$4:$K$207,'Q3 Data'!$B$4:$B$207,$S34)+SUMIFS('Q3 Data'!$N$4:$N$207,'Q3 Data'!$B$4:$B$207,$S34)+SUMIFS('Q3 Data'!$L$4:$L$207,'Q3 Data'!$B$4:$B$207,$S34))</f>
      </c>
      <c r="W34" s="7">
        <f>IF($C34="","",SUMIFS('Q4 Data'!$K$4:$K$207,'Q4 Data'!$B$4:$B$207,$S34)+SUMIFS('Q4 Data'!$N$4:$N$207,'Q4 Data'!$B$4:$B$207,$S34)+SUMIFS('Q4 Data'!$L$4:$L$207,'Q4 Data'!$B$4:$B$207,$S34))</f>
      </c>
      <c r="X34" s="7">
        <f>IF($C34="","",T34+U34+V34+W34)</f>
      </c>
      <c r="Y34" s="7">
        <f>IF($C34="","",M34-L34)</f>
      </c>
      <c r="Z34" s="7">
        <f>IF($C34="","",Y34-X34)</f>
      </c>
      <c r="AA34" s="7">
        <f>IF($C34="","",IF(ROUND(X34-Y34,2)&gt;0,"Over-applied",IF(ROUND(X34-Y34,2)=0,"Fully Utilised","Unconsumed")))</f>
      </c>
    </row>
    <row r="35" spans="1:27" x14ac:dyDescent="0.25">
      <c r="A35" s="7">
        <f>IF($C35="","",COUNTIF($C$4:$C35,"&lt;&gt;"))</f>
      </c>
      <c r="B35" s="8"/>
      <c r="C35" s="8"/>
      <c r="D35" s="8"/>
      <c r="E35" s="8"/>
      <c r="F35" s="8"/>
      <c r="G35" s="8"/>
      <c r="H35" s="8"/>
      <c r="I35" s="8"/>
      <c r="J35" s="8"/>
      <c r="K35" s="8"/>
      <c r="L35" s="8"/>
      <c r="M35" s="7">
        <f>IF($C35="","",G35+H35+I35+J35+K35+L35)</f>
      </c>
      <c r="N35" s="8"/>
      <c r="O35" s="8"/>
      <c r="P35" s="8"/>
      <c r="Q35" s="8"/>
      <c r="R35" s="8"/>
      <c r="S35" s="7">
        <f>IF($C35="","",C35&amp;" | BSR "&amp;B35&amp;" | "&amp;TEXT(D35,"dd-mm-yyyy")&amp;" | ₹"&amp;TEXT(M35,"#,##0"))</f>
      </c>
      <c r="T35" s="7">
        <f>IF($C35="","",SUMIFS('Q1 Data'!$K$4:$K$207,'Q1 Data'!$B$4:$B$207,$S35)+SUMIFS('Q1 Data'!$N$4:$N$207,'Q1 Data'!$B$4:$B$207,$S35)+SUMIFS('Q1 Data'!$L$4:$L$207,'Q1 Data'!$B$4:$B$207,$S35))</f>
      </c>
      <c r="U35" s="7">
        <f>IF($C35="","",SUMIFS('Q2 Data'!$K$4:$K$207,'Q2 Data'!$B$4:$B$207,$S35)+SUMIFS('Q2 Data'!$N$4:$N$207,'Q2 Data'!$B$4:$B$207,$S35)+SUMIFS('Q2 Data'!$L$4:$L$207,'Q2 Data'!$B$4:$B$207,$S35))</f>
      </c>
      <c r="V35" s="7">
        <f>IF($C35="","",SUMIFS('Q3 Data'!$K$4:$K$207,'Q3 Data'!$B$4:$B$207,$S35)+SUMIFS('Q3 Data'!$N$4:$N$207,'Q3 Data'!$B$4:$B$207,$S35)+SUMIFS('Q3 Data'!$L$4:$L$207,'Q3 Data'!$B$4:$B$207,$S35))</f>
      </c>
      <c r="W35" s="7">
        <f>IF($C35="","",SUMIFS('Q4 Data'!$K$4:$K$207,'Q4 Data'!$B$4:$B$207,$S35)+SUMIFS('Q4 Data'!$N$4:$N$207,'Q4 Data'!$B$4:$B$207,$S35)+SUMIFS('Q4 Data'!$L$4:$L$207,'Q4 Data'!$B$4:$B$207,$S35))</f>
      </c>
      <c r="X35" s="7">
        <f>IF($C35="","",T35+U35+V35+W35)</f>
      </c>
      <c r="Y35" s="7">
        <f>IF($C35="","",M35-L35)</f>
      </c>
      <c r="Z35" s="7">
        <f>IF($C35="","",Y35-X35)</f>
      </c>
      <c r="AA35" s="7">
        <f>IF($C35="","",IF(ROUND(X35-Y35,2)&gt;0,"Over-applied",IF(ROUND(X35-Y35,2)=0,"Fully Utilised","Unconsumed")))</f>
      </c>
    </row>
    <row r="36" spans="1:27" x14ac:dyDescent="0.25">
      <c r="A36" s="7">
        <f>IF($C36="","",COUNTIF($C$4:$C36,"&lt;&gt;"))</f>
      </c>
      <c r="B36" s="8"/>
      <c r="C36" s="8"/>
      <c r="D36" s="8"/>
      <c r="E36" s="8"/>
      <c r="F36" s="8"/>
      <c r="G36" s="8"/>
      <c r="H36" s="8"/>
      <c r="I36" s="8"/>
      <c r="J36" s="8"/>
      <c r="K36" s="8"/>
      <c r="L36" s="8"/>
      <c r="M36" s="7">
        <f>IF($C36="","",G36+H36+I36+J36+K36+L36)</f>
      </c>
      <c r="N36" s="8"/>
      <c r="O36" s="8"/>
      <c r="P36" s="8"/>
      <c r="Q36" s="8"/>
      <c r="R36" s="8"/>
      <c r="S36" s="7">
        <f>IF($C36="","",C36&amp;" | BSR "&amp;B36&amp;" | "&amp;TEXT(D36,"dd-mm-yyyy")&amp;" | ₹"&amp;TEXT(M36,"#,##0"))</f>
      </c>
      <c r="T36" s="7">
        <f>IF($C36="","",SUMIFS('Q1 Data'!$K$4:$K$207,'Q1 Data'!$B$4:$B$207,$S36)+SUMIFS('Q1 Data'!$N$4:$N$207,'Q1 Data'!$B$4:$B$207,$S36)+SUMIFS('Q1 Data'!$L$4:$L$207,'Q1 Data'!$B$4:$B$207,$S36))</f>
      </c>
      <c r="U36" s="7">
        <f>IF($C36="","",SUMIFS('Q2 Data'!$K$4:$K$207,'Q2 Data'!$B$4:$B$207,$S36)+SUMIFS('Q2 Data'!$N$4:$N$207,'Q2 Data'!$B$4:$B$207,$S36)+SUMIFS('Q2 Data'!$L$4:$L$207,'Q2 Data'!$B$4:$B$207,$S36))</f>
      </c>
      <c r="V36" s="7">
        <f>IF($C36="","",SUMIFS('Q3 Data'!$K$4:$K$207,'Q3 Data'!$B$4:$B$207,$S36)+SUMIFS('Q3 Data'!$N$4:$N$207,'Q3 Data'!$B$4:$B$207,$S36)+SUMIFS('Q3 Data'!$L$4:$L$207,'Q3 Data'!$B$4:$B$207,$S36))</f>
      </c>
      <c r="W36" s="7">
        <f>IF($C36="","",SUMIFS('Q4 Data'!$K$4:$K$207,'Q4 Data'!$B$4:$B$207,$S36)+SUMIFS('Q4 Data'!$N$4:$N$207,'Q4 Data'!$B$4:$B$207,$S36)+SUMIFS('Q4 Data'!$L$4:$L$207,'Q4 Data'!$B$4:$B$207,$S36))</f>
      </c>
      <c r="X36" s="7">
        <f>IF($C36="","",T36+U36+V36+W36)</f>
      </c>
      <c r="Y36" s="7">
        <f>IF($C36="","",M36-L36)</f>
      </c>
      <c r="Z36" s="7">
        <f>IF($C36="","",Y36-X36)</f>
      </c>
      <c r="AA36" s="7">
        <f>IF($C36="","",IF(ROUND(X36-Y36,2)&gt;0,"Over-applied",IF(ROUND(X36-Y36,2)=0,"Fully Utilised","Unconsumed")))</f>
      </c>
    </row>
    <row r="37" spans="1:27" x14ac:dyDescent="0.25">
      <c r="A37" s="7">
        <f>IF($C37="","",COUNTIF($C$4:$C37,"&lt;&gt;"))</f>
      </c>
      <c r="B37" s="8"/>
      <c r="C37" s="8"/>
      <c r="D37" s="8"/>
      <c r="E37" s="8"/>
      <c r="F37" s="8"/>
      <c r="G37" s="8"/>
      <c r="H37" s="8"/>
      <c r="I37" s="8"/>
      <c r="J37" s="8"/>
      <c r="K37" s="8"/>
      <c r="L37" s="8"/>
      <c r="M37" s="7">
        <f>IF($C37="","",G37+H37+I37+J37+K37+L37)</f>
      </c>
      <c r="N37" s="8"/>
      <c r="O37" s="8"/>
      <c r="P37" s="8"/>
      <c r="Q37" s="8"/>
      <c r="R37" s="8"/>
      <c r="S37" s="7">
        <f>IF($C37="","",C37&amp;" | BSR "&amp;B37&amp;" | "&amp;TEXT(D37,"dd-mm-yyyy")&amp;" | ₹"&amp;TEXT(M37,"#,##0"))</f>
      </c>
      <c r="T37" s="7">
        <f>IF($C37="","",SUMIFS('Q1 Data'!$K$4:$K$207,'Q1 Data'!$B$4:$B$207,$S37)+SUMIFS('Q1 Data'!$N$4:$N$207,'Q1 Data'!$B$4:$B$207,$S37)+SUMIFS('Q1 Data'!$L$4:$L$207,'Q1 Data'!$B$4:$B$207,$S37))</f>
      </c>
      <c r="U37" s="7">
        <f>IF($C37="","",SUMIFS('Q2 Data'!$K$4:$K$207,'Q2 Data'!$B$4:$B$207,$S37)+SUMIFS('Q2 Data'!$N$4:$N$207,'Q2 Data'!$B$4:$B$207,$S37)+SUMIFS('Q2 Data'!$L$4:$L$207,'Q2 Data'!$B$4:$B$207,$S37))</f>
      </c>
      <c r="V37" s="7">
        <f>IF($C37="","",SUMIFS('Q3 Data'!$K$4:$K$207,'Q3 Data'!$B$4:$B$207,$S37)+SUMIFS('Q3 Data'!$N$4:$N$207,'Q3 Data'!$B$4:$B$207,$S37)+SUMIFS('Q3 Data'!$L$4:$L$207,'Q3 Data'!$B$4:$B$207,$S37))</f>
      </c>
      <c r="W37" s="7">
        <f>IF($C37="","",SUMIFS('Q4 Data'!$K$4:$K$207,'Q4 Data'!$B$4:$B$207,$S37)+SUMIFS('Q4 Data'!$N$4:$N$207,'Q4 Data'!$B$4:$B$207,$S37)+SUMIFS('Q4 Data'!$L$4:$L$207,'Q4 Data'!$B$4:$B$207,$S37))</f>
      </c>
      <c r="X37" s="7">
        <f>IF($C37="","",T37+U37+V37+W37)</f>
      </c>
      <c r="Y37" s="7">
        <f>IF($C37="","",M37-L37)</f>
      </c>
      <c r="Z37" s="7">
        <f>IF($C37="","",Y37-X37)</f>
      </c>
      <c r="AA37" s="7">
        <f>IF($C37="","",IF(ROUND(X37-Y37,2)&gt;0,"Over-applied",IF(ROUND(X37-Y37,2)=0,"Fully Utilised","Unconsumed")))</f>
      </c>
    </row>
    <row r="38" spans="1:27" x14ac:dyDescent="0.25">
      <c r="A38" s="7">
        <f>IF($C38="","",COUNTIF($C$4:$C38,"&lt;&gt;"))</f>
      </c>
      <c r="B38" s="8"/>
      <c r="C38" s="8"/>
      <c r="D38" s="8"/>
      <c r="E38" s="8"/>
      <c r="F38" s="8"/>
      <c r="G38" s="8"/>
      <c r="H38" s="8"/>
      <c r="I38" s="8"/>
      <c r="J38" s="8"/>
      <c r="K38" s="8"/>
      <c r="L38" s="8"/>
      <c r="M38" s="7">
        <f>IF($C38="","",G38+H38+I38+J38+K38+L38)</f>
      </c>
      <c r="N38" s="8"/>
      <c r="O38" s="8"/>
      <c r="P38" s="8"/>
      <c r="Q38" s="8"/>
      <c r="R38" s="8"/>
      <c r="S38" s="7">
        <f>IF($C38="","",C38&amp;" | BSR "&amp;B38&amp;" | "&amp;TEXT(D38,"dd-mm-yyyy")&amp;" | ₹"&amp;TEXT(M38,"#,##0"))</f>
      </c>
      <c r="T38" s="7">
        <f>IF($C38="","",SUMIFS('Q1 Data'!$K$4:$K$207,'Q1 Data'!$B$4:$B$207,$S38)+SUMIFS('Q1 Data'!$N$4:$N$207,'Q1 Data'!$B$4:$B$207,$S38)+SUMIFS('Q1 Data'!$L$4:$L$207,'Q1 Data'!$B$4:$B$207,$S38))</f>
      </c>
      <c r="U38" s="7">
        <f>IF($C38="","",SUMIFS('Q2 Data'!$K$4:$K$207,'Q2 Data'!$B$4:$B$207,$S38)+SUMIFS('Q2 Data'!$N$4:$N$207,'Q2 Data'!$B$4:$B$207,$S38)+SUMIFS('Q2 Data'!$L$4:$L$207,'Q2 Data'!$B$4:$B$207,$S38))</f>
      </c>
      <c r="V38" s="7">
        <f>IF($C38="","",SUMIFS('Q3 Data'!$K$4:$K$207,'Q3 Data'!$B$4:$B$207,$S38)+SUMIFS('Q3 Data'!$N$4:$N$207,'Q3 Data'!$B$4:$B$207,$S38)+SUMIFS('Q3 Data'!$L$4:$L$207,'Q3 Data'!$B$4:$B$207,$S38))</f>
      </c>
      <c r="W38" s="7">
        <f>IF($C38="","",SUMIFS('Q4 Data'!$K$4:$K$207,'Q4 Data'!$B$4:$B$207,$S38)+SUMIFS('Q4 Data'!$N$4:$N$207,'Q4 Data'!$B$4:$B$207,$S38)+SUMIFS('Q4 Data'!$L$4:$L$207,'Q4 Data'!$B$4:$B$207,$S38))</f>
      </c>
      <c r="X38" s="7">
        <f>IF($C38="","",T38+U38+V38+W38)</f>
      </c>
      <c r="Y38" s="7">
        <f>IF($C38="","",M38-L38)</f>
      </c>
      <c r="Z38" s="7">
        <f>IF($C38="","",Y38-X38)</f>
      </c>
      <c r="AA38" s="7">
        <f>IF($C38="","",IF(ROUND(X38-Y38,2)&gt;0,"Over-applied",IF(ROUND(X38-Y38,2)=0,"Fully Utilised","Unconsumed")))</f>
      </c>
    </row>
    <row r="39" spans="1:27" x14ac:dyDescent="0.25">
      <c r="A39" s="7">
        <f>IF($C39="","",COUNTIF($C$4:$C39,"&lt;&gt;"))</f>
      </c>
      <c r="B39" s="8"/>
      <c r="C39" s="8"/>
      <c r="D39" s="8"/>
      <c r="E39" s="8"/>
      <c r="F39" s="8"/>
      <c r="G39" s="8"/>
      <c r="H39" s="8"/>
      <c r="I39" s="8"/>
      <c r="J39" s="8"/>
      <c r="K39" s="8"/>
      <c r="L39" s="8"/>
      <c r="M39" s="7">
        <f>IF($C39="","",G39+H39+I39+J39+K39+L39)</f>
      </c>
      <c r="N39" s="8"/>
      <c r="O39" s="8"/>
      <c r="P39" s="8"/>
      <c r="Q39" s="8"/>
      <c r="R39" s="8"/>
      <c r="S39" s="7">
        <f>IF($C39="","",C39&amp;" | BSR "&amp;B39&amp;" | "&amp;TEXT(D39,"dd-mm-yyyy")&amp;" | ₹"&amp;TEXT(M39,"#,##0"))</f>
      </c>
      <c r="T39" s="7">
        <f>IF($C39="","",SUMIFS('Q1 Data'!$K$4:$K$207,'Q1 Data'!$B$4:$B$207,$S39)+SUMIFS('Q1 Data'!$N$4:$N$207,'Q1 Data'!$B$4:$B$207,$S39)+SUMIFS('Q1 Data'!$L$4:$L$207,'Q1 Data'!$B$4:$B$207,$S39))</f>
      </c>
      <c r="U39" s="7">
        <f>IF($C39="","",SUMIFS('Q2 Data'!$K$4:$K$207,'Q2 Data'!$B$4:$B$207,$S39)+SUMIFS('Q2 Data'!$N$4:$N$207,'Q2 Data'!$B$4:$B$207,$S39)+SUMIFS('Q2 Data'!$L$4:$L$207,'Q2 Data'!$B$4:$B$207,$S39))</f>
      </c>
      <c r="V39" s="7">
        <f>IF($C39="","",SUMIFS('Q3 Data'!$K$4:$K$207,'Q3 Data'!$B$4:$B$207,$S39)+SUMIFS('Q3 Data'!$N$4:$N$207,'Q3 Data'!$B$4:$B$207,$S39)+SUMIFS('Q3 Data'!$L$4:$L$207,'Q3 Data'!$B$4:$B$207,$S39))</f>
      </c>
      <c r="W39" s="7">
        <f>IF($C39="","",SUMIFS('Q4 Data'!$K$4:$K$207,'Q4 Data'!$B$4:$B$207,$S39)+SUMIFS('Q4 Data'!$N$4:$N$207,'Q4 Data'!$B$4:$B$207,$S39)+SUMIFS('Q4 Data'!$L$4:$L$207,'Q4 Data'!$B$4:$B$207,$S39))</f>
      </c>
      <c r="X39" s="7">
        <f>IF($C39="","",T39+U39+V39+W39)</f>
      </c>
      <c r="Y39" s="7">
        <f>IF($C39="","",M39-L39)</f>
      </c>
      <c r="Z39" s="7">
        <f>IF($C39="","",Y39-X39)</f>
      </c>
      <c r="AA39" s="7">
        <f>IF($C39="","",IF(ROUND(X39-Y39,2)&gt;0,"Over-applied",IF(ROUND(X39-Y39,2)=0,"Fully Utilised","Unconsumed")))</f>
      </c>
    </row>
    <row r="40" spans="1:27" x14ac:dyDescent="0.25">
      <c r="A40" s="7">
        <f>IF($C40="","",COUNTIF($C$4:$C40,"&lt;&gt;"))</f>
      </c>
      <c r="B40" s="8"/>
      <c r="C40" s="8"/>
      <c r="D40" s="8"/>
      <c r="E40" s="8"/>
      <c r="F40" s="8"/>
      <c r="G40" s="8"/>
      <c r="H40" s="8"/>
      <c r="I40" s="8"/>
      <c r="J40" s="8"/>
      <c r="K40" s="8"/>
      <c r="L40" s="8"/>
      <c r="M40" s="7">
        <f>IF($C40="","",G40+H40+I40+J40+K40+L40)</f>
      </c>
      <c r="N40" s="8"/>
      <c r="O40" s="8"/>
      <c r="P40" s="8"/>
      <c r="Q40" s="8"/>
      <c r="R40" s="8"/>
      <c r="S40" s="7">
        <f>IF($C40="","",C40&amp;" | BSR "&amp;B40&amp;" | "&amp;TEXT(D40,"dd-mm-yyyy")&amp;" | ₹"&amp;TEXT(M40,"#,##0"))</f>
      </c>
      <c r="T40" s="7">
        <f>IF($C40="","",SUMIFS('Q1 Data'!$K$4:$K$207,'Q1 Data'!$B$4:$B$207,$S40)+SUMIFS('Q1 Data'!$N$4:$N$207,'Q1 Data'!$B$4:$B$207,$S40)+SUMIFS('Q1 Data'!$L$4:$L$207,'Q1 Data'!$B$4:$B$207,$S40))</f>
      </c>
      <c r="U40" s="7">
        <f>IF($C40="","",SUMIFS('Q2 Data'!$K$4:$K$207,'Q2 Data'!$B$4:$B$207,$S40)+SUMIFS('Q2 Data'!$N$4:$N$207,'Q2 Data'!$B$4:$B$207,$S40)+SUMIFS('Q2 Data'!$L$4:$L$207,'Q2 Data'!$B$4:$B$207,$S40))</f>
      </c>
      <c r="V40" s="7">
        <f>IF($C40="","",SUMIFS('Q3 Data'!$K$4:$K$207,'Q3 Data'!$B$4:$B$207,$S40)+SUMIFS('Q3 Data'!$N$4:$N$207,'Q3 Data'!$B$4:$B$207,$S40)+SUMIFS('Q3 Data'!$L$4:$L$207,'Q3 Data'!$B$4:$B$207,$S40))</f>
      </c>
      <c r="W40" s="7">
        <f>IF($C40="","",SUMIFS('Q4 Data'!$K$4:$K$207,'Q4 Data'!$B$4:$B$207,$S40)+SUMIFS('Q4 Data'!$N$4:$N$207,'Q4 Data'!$B$4:$B$207,$S40)+SUMIFS('Q4 Data'!$L$4:$L$207,'Q4 Data'!$B$4:$B$207,$S40))</f>
      </c>
      <c r="X40" s="7">
        <f>IF($C40="","",T40+U40+V40+W40)</f>
      </c>
      <c r="Y40" s="7">
        <f>IF($C40="","",M40-L40)</f>
      </c>
      <c r="Z40" s="7">
        <f>IF($C40="","",Y40-X40)</f>
      </c>
      <c r="AA40" s="7">
        <f>IF($C40="","",IF(ROUND(X40-Y40,2)&gt;0,"Over-applied",IF(ROUND(X40-Y40,2)=0,"Fully Utilised","Unconsumed")))</f>
      </c>
    </row>
    <row r="41" spans="1:27" x14ac:dyDescent="0.25">
      <c r="A41" s="7">
        <f>IF($C41="","",COUNTIF($C$4:$C41,"&lt;&gt;"))</f>
      </c>
      <c r="B41" s="8"/>
      <c r="C41" s="8"/>
      <c r="D41" s="8"/>
      <c r="E41" s="8"/>
      <c r="F41" s="8"/>
      <c r="G41" s="8"/>
      <c r="H41" s="8"/>
      <c r="I41" s="8"/>
      <c r="J41" s="8"/>
      <c r="K41" s="8"/>
      <c r="L41" s="8"/>
      <c r="M41" s="7">
        <f>IF($C41="","",G41+H41+I41+J41+K41+L41)</f>
      </c>
      <c r="N41" s="8"/>
      <c r="O41" s="8"/>
      <c r="P41" s="8"/>
      <c r="Q41" s="8"/>
      <c r="R41" s="8"/>
      <c r="S41" s="7">
        <f>IF($C41="","",C41&amp;" | BSR "&amp;B41&amp;" | "&amp;TEXT(D41,"dd-mm-yyyy")&amp;" | ₹"&amp;TEXT(M41,"#,##0"))</f>
      </c>
      <c r="T41" s="7">
        <f>IF($C41="","",SUMIFS('Q1 Data'!$K$4:$K$207,'Q1 Data'!$B$4:$B$207,$S41)+SUMIFS('Q1 Data'!$N$4:$N$207,'Q1 Data'!$B$4:$B$207,$S41)+SUMIFS('Q1 Data'!$L$4:$L$207,'Q1 Data'!$B$4:$B$207,$S41))</f>
      </c>
      <c r="U41" s="7">
        <f>IF($C41="","",SUMIFS('Q2 Data'!$K$4:$K$207,'Q2 Data'!$B$4:$B$207,$S41)+SUMIFS('Q2 Data'!$N$4:$N$207,'Q2 Data'!$B$4:$B$207,$S41)+SUMIFS('Q2 Data'!$L$4:$L$207,'Q2 Data'!$B$4:$B$207,$S41))</f>
      </c>
      <c r="V41" s="7">
        <f>IF($C41="","",SUMIFS('Q3 Data'!$K$4:$K$207,'Q3 Data'!$B$4:$B$207,$S41)+SUMIFS('Q3 Data'!$N$4:$N$207,'Q3 Data'!$B$4:$B$207,$S41)+SUMIFS('Q3 Data'!$L$4:$L$207,'Q3 Data'!$B$4:$B$207,$S41))</f>
      </c>
      <c r="W41" s="7">
        <f>IF($C41="","",SUMIFS('Q4 Data'!$K$4:$K$207,'Q4 Data'!$B$4:$B$207,$S41)+SUMIFS('Q4 Data'!$N$4:$N$207,'Q4 Data'!$B$4:$B$207,$S41)+SUMIFS('Q4 Data'!$L$4:$L$207,'Q4 Data'!$B$4:$B$207,$S41))</f>
      </c>
      <c r="X41" s="7">
        <f>IF($C41="","",T41+U41+V41+W41)</f>
      </c>
      <c r="Y41" s="7">
        <f>IF($C41="","",M41-L41)</f>
      </c>
      <c r="Z41" s="7">
        <f>IF($C41="","",Y41-X41)</f>
      </c>
      <c r="AA41" s="7">
        <f>IF($C41="","",IF(ROUND(X41-Y41,2)&gt;0,"Over-applied",IF(ROUND(X41-Y41,2)=0,"Fully Utilised","Unconsumed")))</f>
      </c>
    </row>
    <row r="42" spans="1:27" x14ac:dyDescent="0.25">
      <c r="A42" s="7">
        <f>IF($C42="","",COUNTIF($C$4:$C42,"&lt;&gt;"))</f>
      </c>
      <c r="B42" s="8"/>
      <c r="C42" s="8"/>
      <c r="D42" s="8"/>
      <c r="E42" s="8"/>
      <c r="F42" s="8"/>
      <c r="G42" s="8"/>
      <c r="H42" s="8"/>
      <c r="I42" s="8"/>
      <c r="J42" s="8"/>
      <c r="K42" s="8"/>
      <c r="L42" s="8"/>
      <c r="M42" s="7">
        <f>IF($C42="","",G42+H42+I42+J42+K42+L42)</f>
      </c>
      <c r="N42" s="8"/>
      <c r="O42" s="8"/>
      <c r="P42" s="8"/>
      <c r="Q42" s="8"/>
      <c r="R42" s="8"/>
      <c r="S42" s="7">
        <f>IF($C42="","",C42&amp;" | BSR "&amp;B42&amp;" | "&amp;TEXT(D42,"dd-mm-yyyy")&amp;" | ₹"&amp;TEXT(M42,"#,##0"))</f>
      </c>
      <c r="T42" s="7">
        <f>IF($C42="","",SUMIFS('Q1 Data'!$K$4:$K$207,'Q1 Data'!$B$4:$B$207,$S42)+SUMIFS('Q1 Data'!$N$4:$N$207,'Q1 Data'!$B$4:$B$207,$S42)+SUMIFS('Q1 Data'!$L$4:$L$207,'Q1 Data'!$B$4:$B$207,$S42))</f>
      </c>
      <c r="U42" s="7">
        <f>IF($C42="","",SUMIFS('Q2 Data'!$K$4:$K$207,'Q2 Data'!$B$4:$B$207,$S42)+SUMIFS('Q2 Data'!$N$4:$N$207,'Q2 Data'!$B$4:$B$207,$S42)+SUMIFS('Q2 Data'!$L$4:$L$207,'Q2 Data'!$B$4:$B$207,$S42))</f>
      </c>
      <c r="V42" s="7">
        <f>IF($C42="","",SUMIFS('Q3 Data'!$K$4:$K$207,'Q3 Data'!$B$4:$B$207,$S42)+SUMIFS('Q3 Data'!$N$4:$N$207,'Q3 Data'!$B$4:$B$207,$S42)+SUMIFS('Q3 Data'!$L$4:$L$207,'Q3 Data'!$B$4:$B$207,$S42))</f>
      </c>
      <c r="W42" s="7">
        <f>IF($C42="","",SUMIFS('Q4 Data'!$K$4:$K$207,'Q4 Data'!$B$4:$B$207,$S42)+SUMIFS('Q4 Data'!$N$4:$N$207,'Q4 Data'!$B$4:$B$207,$S42)+SUMIFS('Q4 Data'!$L$4:$L$207,'Q4 Data'!$B$4:$B$207,$S42))</f>
      </c>
      <c r="X42" s="7">
        <f>IF($C42="","",T42+U42+V42+W42)</f>
      </c>
      <c r="Y42" s="7">
        <f>IF($C42="","",M42-L42)</f>
      </c>
      <c r="Z42" s="7">
        <f>IF($C42="","",Y42-X42)</f>
      </c>
      <c r="AA42" s="7">
        <f>IF($C42="","",IF(ROUND(X42-Y42,2)&gt;0,"Over-applied",IF(ROUND(X42-Y42,2)=0,"Fully Utilised","Unconsumed")))</f>
      </c>
    </row>
    <row r="43" spans="1:27" x14ac:dyDescent="0.25">
      <c r="A43" s="7">
        <f>IF($C43="","",COUNTIF($C$4:$C43,"&lt;&gt;"))</f>
      </c>
      <c r="B43" s="8"/>
      <c r="C43" s="8"/>
      <c r="D43" s="8"/>
      <c r="E43" s="8"/>
      <c r="F43" s="8"/>
      <c r="G43" s="8"/>
      <c r="H43" s="8"/>
      <c r="I43" s="8"/>
      <c r="J43" s="8"/>
      <c r="K43" s="8"/>
      <c r="L43" s="8"/>
      <c r="M43" s="7">
        <f>IF($C43="","",G43+H43+I43+J43+K43+L43)</f>
      </c>
      <c r="N43" s="8"/>
      <c r="O43" s="8"/>
      <c r="P43" s="8"/>
      <c r="Q43" s="8"/>
      <c r="R43" s="8"/>
      <c r="S43" s="7">
        <f>IF($C43="","",C43&amp;" | BSR "&amp;B43&amp;" | "&amp;TEXT(D43,"dd-mm-yyyy")&amp;" | ₹"&amp;TEXT(M43,"#,##0"))</f>
      </c>
      <c r="T43" s="7">
        <f>IF($C43="","",SUMIFS('Q1 Data'!$K$4:$K$207,'Q1 Data'!$B$4:$B$207,$S43)+SUMIFS('Q1 Data'!$N$4:$N$207,'Q1 Data'!$B$4:$B$207,$S43)+SUMIFS('Q1 Data'!$L$4:$L$207,'Q1 Data'!$B$4:$B$207,$S43))</f>
      </c>
      <c r="U43" s="7">
        <f>IF($C43="","",SUMIFS('Q2 Data'!$K$4:$K$207,'Q2 Data'!$B$4:$B$207,$S43)+SUMIFS('Q2 Data'!$N$4:$N$207,'Q2 Data'!$B$4:$B$207,$S43)+SUMIFS('Q2 Data'!$L$4:$L$207,'Q2 Data'!$B$4:$B$207,$S43))</f>
      </c>
      <c r="V43" s="7">
        <f>IF($C43="","",SUMIFS('Q3 Data'!$K$4:$K$207,'Q3 Data'!$B$4:$B$207,$S43)+SUMIFS('Q3 Data'!$N$4:$N$207,'Q3 Data'!$B$4:$B$207,$S43)+SUMIFS('Q3 Data'!$L$4:$L$207,'Q3 Data'!$B$4:$B$207,$S43))</f>
      </c>
      <c r="W43" s="7">
        <f>IF($C43="","",SUMIFS('Q4 Data'!$K$4:$K$207,'Q4 Data'!$B$4:$B$207,$S43)+SUMIFS('Q4 Data'!$N$4:$N$207,'Q4 Data'!$B$4:$B$207,$S43)+SUMIFS('Q4 Data'!$L$4:$L$207,'Q4 Data'!$B$4:$B$207,$S43))</f>
      </c>
      <c r="X43" s="7">
        <f>IF($C43="","",T43+U43+V43+W43)</f>
      </c>
      <c r="Y43" s="7">
        <f>IF($C43="","",M43-L43)</f>
      </c>
      <c r="Z43" s="7">
        <f>IF($C43="","",Y43-X43)</f>
      </c>
      <c r="AA43" s="7">
        <f>IF($C43="","",IF(ROUND(X43-Y43,2)&gt;0,"Over-applied",IF(ROUND(X43-Y43,2)=0,"Fully Utilised","Unconsumed")))</f>
      </c>
    </row>
    <row r="44" spans="1:27" x14ac:dyDescent="0.25">
      <c r="A44" s="7">
        <f>IF($C44="","",COUNTIF($C$4:$C44,"&lt;&gt;"))</f>
      </c>
      <c r="B44" s="8"/>
      <c r="C44" s="8"/>
      <c r="D44" s="8"/>
      <c r="E44" s="8"/>
      <c r="F44" s="8"/>
      <c r="G44" s="8"/>
      <c r="H44" s="8"/>
      <c r="I44" s="8"/>
      <c r="J44" s="8"/>
      <c r="K44" s="8"/>
      <c r="L44" s="8"/>
      <c r="M44" s="7">
        <f>IF($C44="","",G44+H44+I44+J44+K44+L44)</f>
      </c>
      <c r="N44" s="8"/>
      <c r="O44" s="8"/>
      <c r="P44" s="8"/>
      <c r="Q44" s="8"/>
      <c r="R44" s="8"/>
      <c r="S44" s="7">
        <f>IF($C44="","",C44&amp;" | BSR "&amp;B44&amp;" | "&amp;TEXT(D44,"dd-mm-yyyy")&amp;" | ₹"&amp;TEXT(M44,"#,##0"))</f>
      </c>
      <c r="T44" s="7">
        <f>IF($C44="","",SUMIFS('Q1 Data'!$K$4:$K$207,'Q1 Data'!$B$4:$B$207,$S44)+SUMIFS('Q1 Data'!$N$4:$N$207,'Q1 Data'!$B$4:$B$207,$S44)+SUMIFS('Q1 Data'!$L$4:$L$207,'Q1 Data'!$B$4:$B$207,$S44))</f>
      </c>
      <c r="U44" s="7">
        <f>IF($C44="","",SUMIFS('Q2 Data'!$K$4:$K$207,'Q2 Data'!$B$4:$B$207,$S44)+SUMIFS('Q2 Data'!$N$4:$N$207,'Q2 Data'!$B$4:$B$207,$S44)+SUMIFS('Q2 Data'!$L$4:$L$207,'Q2 Data'!$B$4:$B$207,$S44))</f>
      </c>
      <c r="V44" s="7">
        <f>IF($C44="","",SUMIFS('Q3 Data'!$K$4:$K$207,'Q3 Data'!$B$4:$B$207,$S44)+SUMIFS('Q3 Data'!$N$4:$N$207,'Q3 Data'!$B$4:$B$207,$S44)+SUMIFS('Q3 Data'!$L$4:$L$207,'Q3 Data'!$B$4:$B$207,$S44))</f>
      </c>
      <c r="W44" s="7">
        <f>IF($C44="","",SUMIFS('Q4 Data'!$K$4:$K$207,'Q4 Data'!$B$4:$B$207,$S44)+SUMIFS('Q4 Data'!$N$4:$N$207,'Q4 Data'!$B$4:$B$207,$S44)+SUMIFS('Q4 Data'!$L$4:$L$207,'Q4 Data'!$B$4:$B$207,$S44))</f>
      </c>
      <c r="X44" s="7">
        <f>IF($C44="","",T44+U44+V44+W44)</f>
      </c>
      <c r="Y44" s="7">
        <f>IF($C44="","",M44-L44)</f>
      </c>
      <c r="Z44" s="7">
        <f>IF($C44="","",Y44-X44)</f>
      </c>
      <c r="AA44" s="7">
        <f>IF($C44="","",IF(ROUND(X44-Y44,2)&gt;0,"Over-applied",IF(ROUND(X44-Y44,2)=0,"Fully Utilised","Unconsumed")))</f>
      </c>
    </row>
    <row r="45" spans="1:27" x14ac:dyDescent="0.25">
      <c r="A45" s="7">
        <f>IF($C45="","",COUNTIF($C$4:$C45,"&lt;&gt;"))</f>
      </c>
      <c r="B45" s="8"/>
      <c r="C45" s="8"/>
      <c r="D45" s="8"/>
      <c r="E45" s="8"/>
      <c r="F45" s="8"/>
      <c r="G45" s="8"/>
      <c r="H45" s="8"/>
      <c r="I45" s="8"/>
      <c r="J45" s="8"/>
      <c r="K45" s="8"/>
      <c r="L45" s="8"/>
      <c r="M45" s="7">
        <f>IF($C45="","",G45+H45+I45+J45+K45+L45)</f>
      </c>
      <c r="N45" s="8"/>
      <c r="O45" s="8"/>
      <c r="P45" s="8"/>
      <c r="Q45" s="8"/>
      <c r="R45" s="8"/>
      <c r="S45" s="7">
        <f>IF($C45="","",C45&amp;" | BSR "&amp;B45&amp;" | "&amp;TEXT(D45,"dd-mm-yyyy")&amp;" | ₹"&amp;TEXT(M45,"#,##0"))</f>
      </c>
      <c r="T45" s="7">
        <f>IF($C45="","",SUMIFS('Q1 Data'!$K$4:$K$207,'Q1 Data'!$B$4:$B$207,$S45)+SUMIFS('Q1 Data'!$N$4:$N$207,'Q1 Data'!$B$4:$B$207,$S45)+SUMIFS('Q1 Data'!$L$4:$L$207,'Q1 Data'!$B$4:$B$207,$S45))</f>
      </c>
      <c r="U45" s="7">
        <f>IF($C45="","",SUMIFS('Q2 Data'!$K$4:$K$207,'Q2 Data'!$B$4:$B$207,$S45)+SUMIFS('Q2 Data'!$N$4:$N$207,'Q2 Data'!$B$4:$B$207,$S45)+SUMIFS('Q2 Data'!$L$4:$L$207,'Q2 Data'!$B$4:$B$207,$S45))</f>
      </c>
      <c r="V45" s="7">
        <f>IF($C45="","",SUMIFS('Q3 Data'!$K$4:$K$207,'Q3 Data'!$B$4:$B$207,$S45)+SUMIFS('Q3 Data'!$N$4:$N$207,'Q3 Data'!$B$4:$B$207,$S45)+SUMIFS('Q3 Data'!$L$4:$L$207,'Q3 Data'!$B$4:$B$207,$S45))</f>
      </c>
      <c r="W45" s="7">
        <f>IF($C45="","",SUMIFS('Q4 Data'!$K$4:$K$207,'Q4 Data'!$B$4:$B$207,$S45)+SUMIFS('Q4 Data'!$N$4:$N$207,'Q4 Data'!$B$4:$B$207,$S45)+SUMIFS('Q4 Data'!$L$4:$L$207,'Q4 Data'!$B$4:$B$207,$S45))</f>
      </c>
      <c r="X45" s="7">
        <f>IF($C45="","",T45+U45+V45+W45)</f>
      </c>
      <c r="Y45" s="7">
        <f>IF($C45="","",M45-L45)</f>
      </c>
      <c r="Z45" s="7">
        <f>IF($C45="","",Y45-X45)</f>
      </c>
      <c r="AA45" s="7">
        <f>IF($C45="","",IF(ROUND(X45-Y45,2)&gt;0,"Over-applied",IF(ROUND(X45-Y45,2)=0,"Fully Utilised","Unconsumed")))</f>
      </c>
    </row>
    <row r="46" spans="1:27" x14ac:dyDescent="0.25">
      <c r="A46" s="7">
        <f>IF($C46="","",COUNTIF($C$4:$C46,"&lt;&gt;"))</f>
      </c>
      <c r="B46" s="8"/>
      <c r="C46" s="8"/>
      <c r="D46" s="8"/>
      <c r="E46" s="8"/>
      <c r="F46" s="8"/>
      <c r="G46" s="8"/>
      <c r="H46" s="8"/>
      <c r="I46" s="8"/>
      <c r="J46" s="8"/>
      <c r="K46" s="8"/>
      <c r="L46" s="8"/>
      <c r="M46" s="7">
        <f>IF($C46="","",G46+H46+I46+J46+K46+L46)</f>
      </c>
      <c r="N46" s="8"/>
      <c r="O46" s="8"/>
      <c r="P46" s="8"/>
      <c r="Q46" s="8"/>
      <c r="R46" s="8"/>
      <c r="S46" s="7">
        <f>IF($C46="","",C46&amp;" | BSR "&amp;B46&amp;" | "&amp;TEXT(D46,"dd-mm-yyyy")&amp;" | ₹"&amp;TEXT(M46,"#,##0"))</f>
      </c>
      <c r="T46" s="7">
        <f>IF($C46="","",SUMIFS('Q1 Data'!$K$4:$K$207,'Q1 Data'!$B$4:$B$207,$S46)+SUMIFS('Q1 Data'!$N$4:$N$207,'Q1 Data'!$B$4:$B$207,$S46)+SUMIFS('Q1 Data'!$L$4:$L$207,'Q1 Data'!$B$4:$B$207,$S46))</f>
      </c>
      <c r="U46" s="7">
        <f>IF($C46="","",SUMIFS('Q2 Data'!$K$4:$K$207,'Q2 Data'!$B$4:$B$207,$S46)+SUMIFS('Q2 Data'!$N$4:$N$207,'Q2 Data'!$B$4:$B$207,$S46)+SUMIFS('Q2 Data'!$L$4:$L$207,'Q2 Data'!$B$4:$B$207,$S46))</f>
      </c>
      <c r="V46" s="7">
        <f>IF($C46="","",SUMIFS('Q3 Data'!$K$4:$K$207,'Q3 Data'!$B$4:$B$207,$S46)+SUMIFS('Q3 Data'!$N$4:$N$207,'Q3 Data'!$B$4:$B$207,$S46)+SUMIFS('Q3 Data'!$L$4:$L$207,'Q3 Data'!$B$4:$B$207,$S46))</f>
      </c>
      <c r="W46" s="7">
        <f>IF($C46="","",SUMIFS('Q4 Data'!$K$4:$K$207,'Q4 Data'!$B$4:$B$207,$S46)+SUMIFS('Q4 Data'!$N$4:$N$207,'Q4 Data'!$B$4:$B$207,$S46)+SUMIFS('Q4 Data'!$L$4:$L$207,'Q4 Data'!$B$4:$B$207,$S46))</f>
      </c>
      <c r="X46" s="7">
        <f>IF($C46="","",T46+U46+V46+W46)</f>
      </c>
      <c r="Y46" s="7">
        <f>IF($C46="","",M46-L46)</f>
      </c>
      <c r="Z46" s="7">
        <f>IF($C46="","",Y46-X46)</f>
      </c>
      <c r="AA46" s="7">
        <f>IF($C46="","",IF(ROUND(X46-Y46,2)&gt;0,"Over-applied",IF(ROUND(X46-Y46,2)=0,"Fully Utilised","Unconsumed")))</f>
      </c>
    </row>
    <row r="47" spans="1:27" x14ac:dyDescent="0.25">
      <c r="A47" s="7">
        <f>IF($C47="","",COUNTIF($C$4:$C47,"&lt;&gt;"))</f>
      </c>
      <c r="B47" s="8"/>
      <c r="C47" s="8"/>
      <c r="D47" s="8"/>
      <c r="E47" s="8"/>
      <c r="F47" s="8"/>
      <c r="G47" s="8"/>
      <c r="H47" s="8"/>
      <c r="I47" s="8"/>
      <c r="J47" s="8"/>
      <c r="K47" s="8"/>
      <c r="L47" s="8"/>
      <c r="M47" s="7">
        <f>IF($C47="","",G47+H47+I47+J47+K47+L47)</f>
      </c>
      <c r="N47" s="8"/>
      <c r="O47" s="8"/>
      <c r="P47" s="8"/>
      <c r="Q47" s="8"/>
      <c r="R47" s="8"/>
      <c r="S47" s="7">
        <f>IF($C47="","",C47&amp;" | BSR "&amp;B47&amp;" | "&amp;TEXT(D47,"dd-mm-yyyy")&amp;" | ₹"&amp;TEXT(M47,"#,##0"))</f>
      </c>
      <c r="T47" s="7">
        <f>IF($C47="","",SUMIFS('Q1 Data'!$K$4:$K$207,'Q1 Data'!$B$4:$B$207,$S47)+SUMIFS('Q1 Data'!$N$4:$N$207,'Q1 Data'!$B$4:$B$207,$S47)+SUMIFS('Q1 Data'!$L$4:$L$207,'Q1 Data'!$B$4:$B$207,$S47))</f>
      </c>
      <c r="U47" s="7">
        <f>IF($C47="","",SUMIFS('Q2 Data'!$K$4:$K$207,'Q2 Data'!$B$4:$B$207,$S47)+SUMIFS('Q2 Data'!$N$4:$N$207,'Q2 Data'!$B$4:$B$207,$S47)+SUMIFS('Q2 Data'!$L$4:$L$207,'Q2 Data'!$B$4:$B$207,$S47))</f>
      </c>
      <c r="V47" s="7">
        <f>IF($C47="","",SUMIFS('Q3 Data'!$K$4:$K$207,'Q3 Data'!$B$4:$B$207,$S47)+SUMIFS('Q3 Data'!$N$4:$N$207,'Q3 Data'!$B$4:$B$207,$S47)+SUMIFS('Q3 Data'!$L$4:$L$207,'Q3 Data'!$B$4:$B$207,$S47))</f>
      </c>
      <c r="W47" s="7">
        <f>IF($C47="","",SUMIFS('Q4 Data'!$K$4:$K$207,'Q4 Data'!$B$4:$B$207,$S47)+SUMIFS('Q4 Data'!$N$4:$N$207,'Q4 Data'!$B$4:$B$207,$S47)+SUMIFS('Q4 Data'!$L$4:$L$207,'Q4 Data'!$B$4:$B$207,$S47))</f>
      </c>
      <c r="X47" s="7">
        <f>IF($C47="","",T47+U47+V47+W47)</f>
      </c>
      <c r="Y47" s="7">
        <f>IF($C47="","",M47-L47)</f>
      </c>
      <c r="Z47" s="7">
        <f>IF($C47="","",Y47-X47)</f>
      </c>
      <c r="AA47" s="7">
        <f>IF($C47="","",IF(ROUND(X47-Y47,2)&gt;0,"Over-applied",IF(ROUND(X47-Y47,2)=0,"Fully Utilised","Unconsumed")))</f>
      </c>
    </row>
    <row r="48" spans="1:27" x14ac:dyDescent="0.25">
      <c r="A48" s="7">
        <f>IF($C48="","",COUNTIF($C$4:$C48,"&lt;&gt;"))</f>
      </c>
      <c r="B48" s="8"/>
      <c r="C48" s="8"/>
      <c r="D48" s="8"/>
      <c r="E48" s="8"/>
      <c r="F48" s="8"/>
      <c r="G48" s="8"/>
      <c r="H48" s="8"/>
      <c r="I48" s="8"/>
      <c r="J48" s="8"/>
      <c r="K48" s="8"/>
      <c r="L48" s="8"/>
      <c r="M48" s="7">
        <f>IF($C48="","",G48+H48+I48+J48+K48+L48)</f>
      </c>
      <c r="N48" s="8"/>
      <c r="O48" s="8"/>
      <c r="P48" s="8"/>
      <c r="Q48" s="8"/>
      <c r="R48" s="8"/>
      <c r="S48" s="7">
        <f>IF($C48="","",C48&amp;" | BSR "&amp;B48&amp;" | "&amp;TEXT(D48,"dd-mm-yyyy")&amp;" | ₹"&amp;TEXT(M48,"#,##0"))</f>
      </c>
      <c r="T48" s="7">
        <f>IF($C48="","",SUMIFS('Q1 Data'!$K$4:$K$207,'Q1 Data'!$B$4:$B$207,$S48)+SUMIFS('Q1 Data'!$N$4:$N$207,'Q1 Data'!$B$4:$B$207,$S48)+SUMIFS('Q1 Data'!$L$4:$L$207,'Q1 Data'!$B$4:$B$207,$S48))</f>
      </c>
      <c r="U48" s="7">
        <f>IF($C48="","",SUMIFS('Q2 Data'!$K$4:$K$207,'Q2 Data'!$B$4:$B$207,$S48)+SUMIFS('Q2 Data'!$N$4:$N$207,'Q2 Data'!$B$4:$B$207,$S48)+SUMIFS('Q2 Data'!$L$4:$L$207,'Q2 Data'!$B$4:$B$207,$S48))</f>
      </c>
      <c r="V48" s="7">
        <f>IF($C48="","",SUMIFS('Q3 Data'!$K$4:$K$207,'Q3 Data'!$B$4:$B$207,$S48)+SUMIFS('Q3 Data'!$N$4:$N$207,'Q3 Data'!$B$4:$B$207,$S48)+SUMIFS('Q3 Data'!$L$4:$L$207,'Q3 Data'!$B$4:$B$207,$S48))</f>
      </c>
      <c r="W48" s="7">
        <f>IF($C48="","",SUMIFS('Q4 Data'!$K$4:$K$207,'Q4 Data'!$B$4:$B$207,$S48)+SUMIFS('Q4 Data'!$N$4:$N$207,'Q4 Data'!$B$4:$B$207,$S48)+SUMIFS('Q4 Data'!$L$4:$L$207,'Q4 Data'!$B$4:$B$207,$S48))</f>
      </c>
      <c r="X48" s="7">
        <f>IF($C48="","",T48+U48+V48+W48)</f>
      </c>
      <c r="Y48" s="7">
        <f>IF($C48="","",M48-L48)</f>
      </c>
      <c r="Z48" s="7">
        <f>IF($C48="","",Y48-X48)</f>
      </c>
      <c r="AA48" s="7">
        <f>IF($C48="","",IF(ROUND(X48-Y48,2)&gt;0,"Over-applied",IF(ROUND(X48-Y48,2)=0,"Fully Utilised","Unconsumed")))</f>
      </c>
    </row>
    <row r="49" spans="1:27" x14ac:dyDescent="0.25">
      <c r="A49" s="7">
        <f>IF($C49="","",COUNTIF($C$4:$C49,"&lt;&gt;"))</f>
      </c>
      <c r="B49" s="8"/>
      <c r="C49" s="8"/>
      <c r="D49" s="8"/>
      <c r="E49" s="8"/>
      <c r="F49" s="8"/>
      <c r="G49" s="8"/>
      <c r="H49" s="8"/>
      <c r="I49" s="8"/>
      <c r="J49" s="8"/>
      <c r="K49" s="8"/>
      <c r="L49" s="8"/>
      <c r="M49" s="7">
        <f>IF($C49="","",G49+H49+I49+J49+K49+L49)</f>
      </c>
      <c r="N49" s="8"/>
      <c r="O49" s="8"/>
      <c r="P49" s="8"/>
      <c r="Q49" s="8"/>
      <c r="R49" s="8"/>
      <c r="S49" s="7">
        <f>IF($C49="","",C49&amp;" | BSR "&amp;B49&amp;" | "&amp;TEXT(D49,"dd-mm-yyyy")&amp;" | ₹"&amp;TEXT(M49,"#,##0"))</f>
      </c>
      <c r="T49" s="7">
        <f>IF($C49="","",SUMIFS('Q1 Data'!$K$4:$K$207,'Q1 Data'!$B$4:$B$207,$S49)+SUMIFS('Q1 Data'!$N$4:$N$207,'Q1 Data'!$B$4:$B$207,$S49)+SUMIFS('Q1 Data'!$L$4:$L$207,'Q1 Data'!$B$4:$B$207,$S49))</f>
      </c>
      <c r="U49" s="7">
        <f>IF($C49="","",SUMIFS('Q2 Data'!$K$4:$K$207,'Q2 Data'!$B$4:$B$207,$S49)+SUMIFS('Q2 Data'!$N$4:$N$207,'Q2 Data'!$B$4:$B$207,$S49)+SUMIFS('Q2 Data'!$L$4:$L$207,'Q2 Data'!$B$4:$B$207,$S49))</f>
      </c>
      <c r="V49" s="7">
        <f>IF($C49="","",SUMIFS('Q3 Data'!$K$4:$K$207,'Q3 Data'!$B$4:$B$207,$S49)+SUMIFS('Q3 Data'!$N$4:$N$207,'Q3 Data'!$B$4:$B$207,$S49)+SUMIFS('Q3 Data'!$L$4:$L$207,'Q3 Data'!$B$4:$B$207,$S49))</f>
      </c>
      <c r="W49" s="7">
        <f>IF($C49="","",SUMIFS('Q4 Data'!$K$4:$K$207,'Q4 Data'!$B$4:$B$207,$S49)+SUMIFS('Q4 Data'!$N$4:$N$207,'Q4 Data'!$B$4:$B$207,$S49)+SUMIFS('Q4 Data'!$L$4:$L$207,'Q4 Data'!$B$4:$B$207,$S49))</f>
      </c>
      <c r="X49" s="7">
        <f>IF($C49="","",T49+U49+V49+W49)</f>
      </c>
      <c r="Y49" s="7">
        <f>IF($C49="","",M49-L49)</f>
      </c>
      <c r="Z49" s="7">
        <f>IF($C49="","",Y49-X49)</f>
      </c>
      <c r="AA49" s="7">
        <f>IF($C49="","",IF(ROUND(X49-Y49,2)&gt;0,"Over-applied",IF(ROUND(X49-Y49,2)=0,"Fully Utilised","Unconsumed")))</f>
      </c>
    </row>
    <row r="50" spans="1:27" x14ac:dyDescent="0.25">
      <c r="A50" s="7">
        <f>IF($C50="","",COUNTIF($C$4:$C50,"&lt;&gt;"))</f>
      </c>
      <c r="B50" s="8"/>
      <c r="C50" s="8"/>
      <c r="D50" s="8"/>
      <c r="E50" s="8"/>
      <c r="F50" s="8"/>
      <c r="G50" s="8"/>
      <c r="H50" s="8"/>
      <c r="I50" s="8"/>
      <c r="J50" s="8"/>
      <c r="K50" s="8"/>
      <c r="L50" s="8"/>
      <c r="M50" s="7">
        <f>IF($C50="","",G50+H50+I50+J50+K50+L50)</f>
      </c>
      <c r="N50" s="8"/>
      <c r="O50" s="8"/>
      <c r="P50" s="8"/>
      <c r="Q50" s="8"/>
      <c r="R50" s="8"/>
      <c r="S50" s="7">
        <f>IF($C50="","",C50&amp;" | BSR "&amp;B50&amp;" | "&amp;TEXT(D50,"dd-mm-yyyy")&amp;" | ₹"&amp;TEXT(M50,"#,##0"))</f>
      </c>
      <c r="T50" s="7">
        <f>IF($C50="","",SUMIFS('Q1 Data'!$K$4:$K$207,'Q1 Data'!$B$4:$B$207,$S50)+SUMIFS('Q1 Data'!$N$4:$N$207,'Q1 Data'!$B$4:$B$207,$S50)+SUMIFS('Q1 Data'!$L$4:$L$207,'Q1 Data'!$B$4:$B$207,$S50))</f>
      </c>
      <c r="U50" s="7">
        <f>IF($C50="","",SUMIFS('Q2 Data'!$K$4:$K$207,'Q2 Data'!$B$4:$B$207,$S50)+SUMIFS('Q2 Data'!$N$4:$N$207,'Q2 Data'!$B$4:$B$207,$S50)+SUMIFS('Q2 Data'!$L$4:$L$207,'Q2 Data'!$B$4:$B$207,$S50))</f>
      </c>
      <c r="V50" s="7">
        <f>IF($C50="","",SUMIFS('Q3 Data'!$K$4:$K$207,'Q3 Data'!$B$4:$B$207,$S50)+SUMIFS('Q3 Data'!$N$4:$N$207,'Q3 Data'!$B$4:$B$207,$S50)+SUMIFS('Q3 Data'!$L$4:$L$207,'Q3 Data'!$B$4:$B$207,$S50))</f>
      </c>
      <c r="W50" s="7">
        <f>IF($C50="","",SUMIFS('Q4 Data'!$K$4:$K$207,'Q4 Data'!$B$4:$B$207,$S50)+SUMIFS('Q4 Data'!$N$4:$N$207,'Q4 Data'!$B$4:$B$207,$S50)+SUMIFS('Q4 Data'!$L$4:$L$207,'Q4 Data'!$B$4:$B$207,$S50))</f>
      </c>
      <c r="X50" s="7">
        <f>IF($C50="","",T50+U50+V50+W50)</f>
      </c>
      <c r="Y50" s="7">
        <f>IF($C50="","",M50-L50)</f>
      </c>
      <c r="Z50" s="7">
        <f>IF($C50="","",Y50-X50)</f>
      </c>
      <c r="AA50" s="7">
        <f>IF($C50="","",IF(ROUND(X50-Y50,2)&gt;0,"Over-applied",IF(ROUND(X50-Y50,2)=0,"Fully Utilised","Unconsumed")))</f>
      </c>
    </row>
    <row r="51" spans="1:27" x14ac:dyDescent="0.25">
      <c r="A51" s="7">
        <f>IF($C51="","",COUNTIF($C$4:$C51,"&lt;&gt;"))</f>
      </c>
      <c r="B51" s="8"/>
      <c r="C51" s="8"/>
      <c r="D51" s="8"/>
      <c r="E51" s="8"/>
      <c r="F51" s="8"/>
      <c r="G51" s="8"/>
      <c r="H51" s="8"/>
      <c r="I51" s="8"/>
      <c r="J51" s="8"/>
      <c r="K51" s="8"/>
      <c r="L51" s="8"/>
      <c r="M51" s="7">
        <f>IF($C51="","",G51+H51+I51+J51+K51+L51)</f>
      </c>
      <c r="N51" s="8"/>
      <c r="O51" s="8"/>
      <c r="P51" s="8"/>
      <c r="Q51" s="8"/>
      <c r="R51" s="8"/>
      <c r="S51" s="7">
        <f>IF($C51="","",C51&amp;" | BSR "&amp;B51&amp;" | "&amp;TEXT(D51,"dd-mm-yyyy")&amp;" | ₹"&amp;TEXT(M51,"#,##0"))</f>
      </c>
      <c r="T51" s="7">
        <f>IF($C51="","",SUMIFS('Q1 Data'!$K$4:$K$207,'Q1 Data'!$B$4:$B$207,$S51)+SUMIFS('Q1 Data'!$N$4:$N$207,'Q1 Data'!$B$4:$B$207,$S51)+SUMIFS('Q1 Data'!$L$4:$L$207,'Q1 Data'!$B$4:$B$207,$S51))</f>
      </c>
      <c r="U51" s="7">
        <f>IF($C51="","",SUMIFS('Q2 Data'!$K$4:$K$207,'Q2 Data'!$B$4:$B$207,$S51)+SUMIFS('Q2 Data'!$N$4:$N$207,'Q2 Data'!$B$4:$B$207,$S51)+SUMIFS('Q2 Data'!$L$4:$L$207,'Q2 Data'!$B$4:$B$207,$S51))</f>
      </c>
      <c r="V51" s="7">
        <f>IF($C51="","",SUMIFS('Q3 Data'!$K$4:$K$207,'Q3 Data'!$B$4:$B$207,$S51)+SUMIFS('Q3 Data'!$N$4:$N$207,'Q3 Data'!$B$4:$B$207,$S51)+SUMIFS('Q3 Data'!$L$4:$L$207,'Q3 Data'!$B$4:$B$207,$S51))</f>
      </c>
      <c r="W51" s="7">
        <f>IF($C51="","",SUMIFS('Q4 Data'!$K$4:$K$207,'Q4 Data'!$B$4:$B$207,$S51)+SUMIFS('Q4 Data'!$N$4:$N$207,'Q4 Data'!$B$4:$B$207,$S51)+SUMIFS('Q4 Data'!$L$4:$L$207,'Q4 Data'!$B$4:$B$207,$S51))</f>
      </c>
      <c r="X51" s="7">
        <f>IF($C51="","",T51+U51+V51+W51)</f>
      </c>
      <c r="Y51" s="7">
        <f>IF($C51="","",M51-L51)</f>
      </c>
      <c r="Z51" s="7">
        <f>IF($C51="","",Y51-X51)</f>
      </c>
      <c r="AA51" s="7">
        <f>IF($C51="","",IF(ROUND(X51-Y51,2)&gt;0,"Over-applied",IF(ROUND(X51-Y51,2)=0,"Fully Utilised","Unconsumed")))</f>
      </c>
    </row>
    <row r="52" spans="1:27" x14ac:dyDescent="0.25">
      <c r="A52" s="7">
        <f>IF($C52="","",COUNTIF($C$4:$C52,"&lt;&gt;"))</f>
      </c>
      <c r="B52" s="8"/>
      <c r="C52" s="8"/>
      <c r="D52" s="8"/>
      <c r="E52" s="8"/>
      <c r="F52" s="8"/>
      <c r="G52" s="8"/>
      <c r="H52" s="8"/>
      <c r="I52" s="8"/>
      <c r="J52" s="8"/>
      <c r="K52" s="8"/>
      <c r="L52" s="8"/>
      <c r="M52" s="7">
        <f>IF($C52="","",G52+H52+I52+J52+K52+L52)</f>
      </c>
      <c r="N52" s="8"/>
      <c r="O52" s="8"/>
      <c r="P52" s="8"/>
      <c r="Q52" s="8"/>
      <c r="R52" s="8"/>
      <c r="S52" s="7">
        <f>IF($C52="","",C52&amp;" | BSR "&amp;B52&amp;" | "&amp;TEXT(D52,"dd-mm-yyyy")&amp;" | ₹"&amp;TEXT(M52,"#,##0"))</f>
      </c>
      <c r="T52" s="7">
        <f>IF($C52="","",SUMIFS('Q1 Data'!$K$4:$K$207,'Q1 Data'!$B$4:$B$207,$S52)+SUMIFS('Q1 Data'!$N$4:$N$207,'Q1 Data'!$B$4:$B$207,$S52)+SUMIFS('Q1 Data'!$L$4:$L$207,'Q1 Data'!$B$4:$B$207,$S52))</f>
      </c>
      <c r="U52" s="7">
        <f>IF($C52="","",SUMIFS('Q2 Data'!$K$4:$K$207,'Q2 Data'!$B$4:$B$207,$S52)+SUMIFS('Q2 Data'!$N$4:$N$207,'Q2 Data'!$B$4:$B$207,$S52)+SUMIFS('Q2 Data'!$L$4:$L$207,'Q2 Data'!$B$4:$B$207,$S52))</f>
      </c>
      <c r="V52" s="7">
        <f>IF($C52="","",SUMIFS('Q3 Data'!$K$4:$K$207,'Q3 Data'!$B$4:$B$207,$S52)+SUMIFS('Q3 Data'!$N$4:$N$207,'Q3 Data'!$B$4:$B$207,$S52)+SUMIFS('Q3 Data'!$L$4:$L$207,'Q3 Data'!$B$4:$B$207,$S52))</f>
      </c>
      <c r="W52" s="7">
        <f>IF($C52="","",SUMIFS('Q4 Data'!$K$4:$K$207,'Q4 Data'!$B$4:$B$207,$S52)+SUMIFS('Q4 Data'!$N$4:$N$207,'Q4 Data'!$B$4:$B$207,$S52)+SUMIFS('Q4 Data'!$L$4:$L$207,'Q4 Data'!$B$4:$B$207,$S52))</f>
      </c>
      <c r="X52" s="7">
        <f>IF($C52="","",T52+U52+V52+W52)</f>
      </c>
      <c r="Y52" s="7">
        <f>IF($C52="","",M52-L52)</f>
      </c>
      <c r="Z52" s="7">
        <f>IF($C52="","",Y52-X52)</f>
      </c>
      <c r="AA52" s="7">
        <f>IF($C52="","",IF(ROUND(X52-Y52,2)&gt;0,"Over-applied",IF(ROUND(X52-Y52,2)=0,"Fully Utilised","Unconsumed")))</f>
      </c>
    </row>
    <row r="53" spans="1:27" x14ac:dyDescent="0.25">
      <c r="A53" s="7">
        <f>IF($C53="","",COUNTIF($C$4:$C53,"&lt;&gt;"))</f>
      </c>
      <c r="B53" s="8"/>
      <c r="C53" s="8"/>
      <c r="D53" s="8"/>
      <c r="E53" s="8"/>
      <c r="F53" s="8"/>
      <c r="G53" s="8"/>
      <c r="H53" s="8"/>
      <c r="I53" s="8"/>
      <c r="J53" s="8"/>
      <c r="K53" s="8"/>
      <c r="L53" s="8"/>
      <c r="M53" s="7">
        <f>IF($C53="","",G53+H53+I53+J53+K53+L53)</f>
      </c>
      <c r="N53" s="8"/>
      <c r="O53" s="8"/>
      <c r="P53" s="8"/>
      <c r="Q53" s="8"/>
      <c r="R53" s="8"/>
      <c r="S53" s="7">
        <f>IF($C53="","",C53&amp;" | BSR "&amp;B53&amp;" | "&amp;TEXT(D53,"dd-mm-yyyy")&amp;" | ₹"&amp;TEXT(M53,"#,##0"))</f>
      </c>
      <c r="T53" s="7">
        <f>IF($C53="","",SUMIFS('Q1 Data'!$K$4:$K$207,'Q1 Data'!$B$4:$B$207,$S53)+SUMIFS('Q1 Data'!$N$4:$N$207,'Q1 Data'!$B$4:$B$207,$S53)+SUMIFS('Q1 Data'!$L$4:$L$207,'Q1 Data'!$B$4:$B$207,$S53))</f>
      </c>
      <c r="U53" s="7">
        <f>IF($C53="","",SUMIFS('Q2 Data'!$K$4:$K$207,'Q2 Data'!$B$4:$B$207,$S53)+SUMIFS('Q2 Data'!$N$4:$N$207,'Q2 Data'!$B$4:$B$207,$S53)+SUMIFS('Q2 Data'!$L$4:$L$207,'Q2 Data'!$B$4:$B$207,$S53))</f>
      </c>
      <c r="V53" s="7">
        <f>IF($C53="","",SUMIFS('Q3 Data'!$K$4:$K$207,'Q3 Data'!$B$4:$B$207,$S53)+SUMIFS('Q3 Data'!$N$4:$N$207,'Q3 Data'!$B$4:$B$207,$S53)+SUMIFS('Q3 Data'!$L$4:$L$207,'Q3 Data'!$B$4:$B$207,$S53))</f>
      </c>
      <c r="W53" s="7">
        <f>IF($C53="","",SUMIFS('Q4 Data'!$K$4:$K$207,'Q4 Data'!$B$4:$B$207,$S53)+SUMIFS('Q4 Data'!$N$4:$N$207,'Q4 Data'!$B$4:$B$207,$S53)+SUMIFS('Q4 Data'!$L$4:$L$207,'Q4 Data'!$B$4:$B$207,$S53))</f>
      </c>
      <c r="X53" s="7">
        <f>IF($C53="","",T53+U53+V53+W53)</f>
      </c>
      <c r="Y53" s="7">
        <f>IF($C53="","",M53-L53)</f>
      </c>
      <c r="Z53" s="7">
        <f>IF($C53="","",Y53-X53)</f>
      </c>
      <c r="AA53" s="7">
        <f>IF($C53="","",IF(ROUND(X53-Y53,2)&gt;0,"Over-applied",IF(ROUND(X53-Y53,2)=0,"Fully Utilised","Unconsumed")))</f>
      </c>
    </row>
    <row r="54" spans="1:27" x14ac:dyDescent="0.25">
      <c r="A54" s="7">
        <f>IF($C54="","",COUNTIF($C$4:$C54,"&lt;&gt;"))</f>
      </c>
      <c r="B54" s="8"/>
      <c r="C54" s="8"/>
      <c r="D54" s="8"/>
      <c r="E54" s="8"/>
      <c r="F54" s="8"/>
      <c r="G54" s="8"/>
      <c r="H54" s="8"/>
      <c r="I54" s="8"/>
      <c r="J54" s="8"/>
      <c r="K54" s="8"/>
      <c r="L54" s="8"/>
      <c r="M54" s="7">
        <f>IF($C54="","",G54+H54+I54+J54+K54+L54)</f>
      </c>
      <c r="N54" s="8"/>
      <c r="O54" s="8"/>
      <c r="P54" s="8"/>
      <c r="Q54" s="8"/>
      <c r="R54" s="8"/>
      <c r="S54" s="7">
        <f>IF($C54="","",C54&amp;" | BSR "&amp;B54&amp;" | "&amp;TEXT(D54,"dd-mm-yyyy")&amp;" | ₹"&amp;TEXT(M54,"#,##0"))</f>
      </c>
      <c r="T54" s="7">
        <f>IF($C54="","",SUMIFS('Q1 Data'!$K$4:$K$207,'Q1 Data'!$B$4:$B$207,$S54)+SUMIFS('Q1 Data'!$N$4:$N$207,'Q1 Data'!$B$4:$B$207,$S54)+SUMIFS('Q1 Data'!$L$4:$L$207,'Q1 Data'!$B$4:$B$207,$S54))</f>
      </c>
      <c r="U54" s="7">
        <f>IF($C54="","",SUMIFS('Q2 Data'!$K$4:$K$207,'Q2 Data'!$B$4:$B$207,$S54)+SUMIFS('Q2 Data'!$N$4:$N$207,'Q2 Data'!$B$4:$B$207,$S54)+SUMIFS('Q2 Data'!$L$4:$L$207,'Q2 Data'!$B$4:$B$207,$S54))</f>
      </c>
      <c r="V54" s="7">
        <f>IF($C54="","",SUMIFS('Q3 Data'!$K$4:$K$207,'Q3 Data'!$B$4:$B$207,$S54)+SUMIFS('Q3 Data'!$N$4:$N$207,'Q3 Data'!$B$4:$B$207,$S54)+SUMIFS('Q3 Data'!$L$4:$L$207,'Q3 Data'!$B$4:$B$207,$S54))</f>
      </c>
      <c r="W54" s="7">
        <f>IF($C54="","",SUMIFS('Q4 Data'!$K$4:$K$207,'Q4 Data'!$B$4:$B$207,$S54)+SUMIFS('Q4 Data'!$N$4:$N$207,'Q4 Data'!$B$4:$B$207,$S54)+SUMIFS('Q4 Data'!$L$4:$L$207,'Q4 Data'!$B$4:$B$207,$S54))</f>
      </c>
      <c r="X54" s="7">
        <f>IF($C54="","",T54+U54+V54+W54)</f>
      </c>
      <c r="Y54" s="7">
        <f>IF($C54="","",M54-L54)</f>
      </c>
      <c r="Z54" s="7">
        <f>IF($C54="","",Y54-X54)</f>
      </c>
      <c r="AA54" s="7">
        <f>IF($C54="","",IF(ROUND(X54-Y54,2)&gt;0,"Over-applied",IF(ROUND(X54-Y54,2)=0,"Fully Utilised","Unconsumed")))</f>
      </c>
    </row>
    <row r="55" spans="1:27" x14ac:dyDescent="0.25">
      <c r="A55" s="7">
        <f>IF($C55="","",COUNTIF($C$4:$C55,"&lt;&gt;"))</f>
      </c>
      <c r="B55" s="8"/>
      <c r="C55" s="8"/>
      <c r="D55" s="8"/>
      <c r="E55" s="8"/>
      <c r="F55" s="8"/>
      <c r="G55" s="8"/>
      <c r="H55" s="8"/>
      <c r="I55" s="8"/>
      <c r="J55" s="8"/>
      <c r="K55" s="8"/>
      <c r="L55" s="8"/>
      <c r="M55" s="7">
        <f>IF($C55="","",G55+H55+I55+J55+K55+L55)</f>
      </c>
      <c r="N55" s="8"/>
      <c r="O55" s="8"/>
      <c r="P55" s="8"/>
      <c r="Q55" s="8"/>
      <c r="R55" s="8"/>
      <c r="S55" s="7">
        <f>IF($C55="","",C55&amp;" | BSR "&amp;B55&amp;" | "&amp;TEXT(D55,"dd-mm-yyyy")&amp;" | ₹"&amp;TEXT(M55,"#,##0"))</f>
      </c>
      <c r="T55" s="7">
        <f>IF($C55="","",SUMIFS('Q1 Data'!$K$4:$K$207,'Q1 Data'!$B$4:$B$207,$S55)+SUMIFS('Q1 Data'!$N$4:$N$207,'Q1 Data'!$B$4:$B$207,$S55)+SUMIFS('Q1 Data'!$L$4:$L$207,'Q1 Data'!$B$4:$B$207,$S55))</f>
      </c>
      <c r="U55" s="7">
        <f>IF($C55="","",SUMIFS('Q2 Data'!$K$4:$K$207,'Q2 Data'!$B$4:$B$207,$S55)+SUMIFS('Q2 Data'!$N$4:$N$207,'Q2 Data'!$B$4:$B$207,$S55)+SUMIFS('Q2 Data'!$L$4:$L$207,'Q2 Data'!$B$4:$B$207,$S55))</f>
      </c>
      <c r="V55" s="7">
        <f>IF($C55="","",SUMIFS('Q3 Data'!$K$4:$K$207,'Q3 Data'!$B$4:$B$207,$S55)+SUMIFS('Q3 Data'!$N$4:$N$207,'Q3 Data'!$B$4:$B$207,$S55)+SUMIFS('Q3 Data'!$L$4:$L$207,'Q3 Data'!$B$4:$B$207,$S55))</f>
      </c>
      <c r="W55" s="7">
        <f>IF($C55="","",SUMIFS('Q4 Data'!$K$4:$K$207,'Q4 Data'!$B$4:$B$207,$S55)+SUMIFS('Q4 Data'!$N$4:$N$207,'Q4 Data'!$B$4:$B$207,$S55)+SUMIFS('Q4 Data'!$L$4:$L$207,'Q4 Data'!$B$4:$B$207,$S55))</f>
      </c>
      <c r="X55" s="7">
        <f>IF($C55="","",T55+U55+V55+W55)</f>
      </c>
      <c r="Y55" s="7">
        <f>IF($C55="","",M55-L55)</f>
      </c>
      <c r="Z55" s="7">
        <f>IF($C55="","",Y55-X55)</f>
      </c>
      <c r="AA55" s="7">
        <f>IF($C55="","",IF(ROUND(X55-Y55,2)&gt;0,"Over-applied",IF(ROUND(X55-Y55,2)=0,"Fully Utilised","Unconsumed")))</f>
      </c>
    </row>
    <row r="56" spans="1:27" x14ac:dyDescent="0.25">
      <c r="A56" s="7">
        <f>IF($C56="","",COUNTIF($C$4:$C56,"&lt;&gt;"))</f>
      </c>
      <c r="B56" s="8"/>
      <c r="C56" s="8"/>
      <c r="D56" s="8"/>
      <c r="E56" s="8"/>
      <c r="F56" s="8"/>
      <c r="G56" s="8"/>
      <c r="H56" s="8"/>
      <c r="I56" s="8"/>
      <c r="J56" s="8"/>
      <c r="K56" s="8"/>
      <c r="L56" s="8"/>
      <c r="M56" s="7">
        <f>IF($C56="","",G56+H56+I56+J56+K56+L56)</f>
      </c>
      <c r="N56" s="8"/>
      <c r="O56" s="8"/>
      <c r="P56" s="8"/>
      <c r="Q56" s="8"/>
      <c r="R56" s="8"/>
      <c r="S56" s="7">
        <f>IF($C56="","",C56&amp;" | BSR "&amp;B56&amp;" | "&amp;TEXT(D56,"dd-mm-yyyy")&amp;" | ₹"&amp;TEXT(M56,"#,##0"))</f>
      </c>
      <c r="T56" s="7">
        <f>IF($C56="","",SUMIFS('Q1 Data'!$K$4:$K$207,'Q1 Data'!$B$4:$B$207,$S56)+SUMIFS('Q1 Data'!$N$4:$N$207,'Q1 Data'!$B$4:$B$207,$S56)+SUMIFS('Q1 Data'!$L$4:$L$207,'Q1 Data'!$B$4:$B$207,$S56))</f>
      </c>
      <c r="U56" s="7">
        <f>IF($C56="","",SUMIFS('Q2 Data'!$K$4:$K$207,'Q2 Data'!$B$4:$B$207,$S56)+SUMIFS('Q2 Data'!$N$4:$N$207,'Q2 Data'!$B$4:$B$207,$S56)+SUMIFS('Q2 Data'!$L$4:$L$207,'Q2 Data'!$B$4:$B$207,$S56))</f>
      </c>
      <c r="V56" s="7">
        <f>IF($C56="","",SUMIFS('Q3 Data'!$K$4:$K$207,'Q3 Data'!$B$4:$B$207,$S56)+SUMIFS('Q3 Data'!$N$4:$N$207,'Q3 Data'!$B$4:$B$207,$S56)+SUMIFS('Q3 Data'!$L$4:$L$207,'Q3 Data'!$B$4:$B$207,$S56))</f>
      </c>
      <c r="W56" s="7">
        <f>IF($C56="","",SUMIFS('Q4 Data'!$K$4:$K$207,'Q4 Data'!$B$4:$B$207,$S56)+SUMIFS('Q4 Data'!$N$4:$N$207,'Q4 Data'!$B$4:$B$207,$S56)+SUMIFS('Q4 Data'!$L$4:$L$207,'Q4 Data'!$B$4:$B$207,$S56))</f>
      </c>
      <c r="X56" s="7">
        <f>IF($C56="","",T56+U56+V56+W56)</f>
      </c>
      <c r="Y56" s="7">
        <f>IF($C56="","",M56-L56)</f>
      </c>
      <c r="Z56" s="7">
        <f>IF($C56="","",Y56-X56)</f>
      </c>
      <c r="AA56" s="7">
        <f>IF($C56="","",IF(ROUND(X56-Y56,2)&gt;0,"Over-applied",IF(ROUND(X56-Y56,2)=0,"Fully Utilised","Unconsumed")))</f>
      </c>
    </row>
    <row r="57" spans="1:27" x14ac:dyDescent="0.25">
      <c r="A57" s="7">
        <f>IF($C57="","",COUNTIF($C$4:$C57,"&lt;&gt;"))</f>
      </c>
      <c r="B57" s="8"/>
      <c r="C57" s="8"/>
      <c r="D57" s="8"/>
      <c r="E57" s="8"/>
      <c r="F57" s="8"/>
      <c r="G57" s="8"/>
      <c r="H57" s="8"/>
      <c r="I57" s="8"/>
      <c r="J57" s="8"/>
      <c r="K57" s="8"/>
      <c r="L57" s="8"/>
      <c r="M57" s="7">
        <f>IF($C57="","",G57+H57+I57+J57+K57+L57)</f>
      </c>
      <c r="N57" s="8"/>
      <c r="O57" s="8"/>
      <c r="P57" s="8"/>
      <c r="Q57" s="8"/>
      <c r="R57" s="8"/>
      <c r="S57" s="7">
        <f>IF($C57="","",C57&amp;" | BSR "&amp;B57&amp;" | "&amp;TEXT(D57,"dd-mm-yyyy")&amp;" | ₹"&amp;TEXT(M57,"#,##0"))</f>
      </c>
      <c r="T57" s="7">
        <f>IF($C57="","",SUMIFS('Q1 Data'!$K$4:$K$207,'Q1 Data'!$B$4:$B$207,$S57)+SUMIFS('Q1 Data'!$N$4:$N$207,'Q1 Data'!$B$4:$B$207,$S57)+SUMIFS('Q1 Data'!$L$4:$L$207,'Q1 Data'!$B$4:$B$207,$S57))</f>
      </c>
      <c r="U57" s="7">
        <f>IF($C57="","",SUMIFS('Q2 Data'!$K$4:$K$207,'Q2 Data'!$B$4:$B$207,$S57)+SUMIFS('Q2 Data'!$N$4:$N$207,'Q2 Data'!$B$4:$B$207,$S57)+SUMIFS('Q2 Data'!$L$4:$L$207,'Q2 Data'!$B$4:$B$207,$S57))</f>
      </c>
      <c r="V57" s="7">
        <f>IF($C57="","",SUMIFS('Q3 Data'!$K$4:$K$207,'Q3 Data'!$B$4:$B$207,$S57)+SUMIFS('Q3 Data'!$N$4:$N$207,'Q3 Data'!$B$4:$B$207,$S57)+SUMIFS('Q3 Data'!$L$4:$L$207,'Q3 Data'!$B$4:$B$207,$S57))</f>
      </c>
      <c r="W57" s="7">
        <f>IF($C57="","",SUMIFS('Q4 Data'!$K$4:$K$207,'Q4 Data'!$B$4:$B$207,$S57)+SUMIFS('Q4 Data'!$N$4:$N$207,'Q4 Data'!$B$4:$B$207,$S57)+SUMIFS('Q4 Data'!$L$4:$L$207,'Q4 Data'!$B$4:$B$207,$S57))</f>
      </c>
      <c r="X57" s="7">
        <f>IF($C57="","",T57+U57+V57+W57)</f>
      </c>
      <c r="Y57" s="7">
        <f>IF($C57="","",M57-L57)</f>
      </c>
      <c r="Z57" s="7">
        <f>IF($C57="","",Y57-X57)</f>
      </c>
      <c r="AA57" s="7">
        <f>IF($C57="","",IF(ROUND(X57-Y57,2)&gt;0,"Over-applied",IF(ROUND(X57-Y57,2)=0,"Fully Utilised","Unconsumed")))</f>
      </c>
    </row>
    <row r="58" spans="1:27" x14ac:dyDescent="0.25">
      <c r="A58" s="7">
        <f>IF($C58="","",COUNTIF($C$4:$C58,"&lt;&gt;"))</f>
      </c>
      <c r="B58" s="8"/>
      <c r="C58" s="8"/>
      <c r="D58" s="8"/>
      <c r="E58" s="8"/>
      <c r="F58" s="8"/>
      <c r="G58" s="8"/>
      <c r="H58" s="8"/>
      <c r="I58" s="8"/>
      <c r="J58" s="8"/>
      <c r="K58" s="8"/>
      <c r="L58" s="8"/>
      <c r="M58" s="7">
        <f>IF($C58="","",G58+H58+I58+J58+K58+L58)</f>
      </c>
      <c r="N58" s="8"/>
      <c r="O58" s="8"/>
      <c r="P58" s="8"/>
      <c r="Q58" s="8"/>
      <c r="R58" s="8"/>
      <c r="S58" s="7">
        <f>IF($C58="","",C58&amp;" | BSR "&amp;B58&amp;" | "&amp;TEXT(D58,"dd-mm-yyyy")&amp;" | ₹"&amp;TEXT(M58,"#,##0"))</f>
      </c>
      <c r="T58" s="7">
        <f>IF($C58="","",SUMIFS('Q1 Data'!$K$4:$K$207,'Q1 Data'!$B$4:$B$207,$S58)+SUMIFS('Q1 Data'!$N$4:$N$207,'Q1 Data'!$B$4:$B$207,$S58)+SUMIFS('Q1 Data'!$L$4:$L$207,'Q1 Data'!$B$4:$B$207,$S58))</f>
      </c>
      <c r="U58" s="7">
        <f>IF($C58="","",SUMIFS('Q2 Data'!$K$4:$K$207,'Q2 Data'!$B$4:$B$207,$S58)+SUMIFS('Q2 Data'!$N$4:$N$207,'Q2 Data'!$B$4:$B$207,$S58)+SUMIFS('Q2 Data'!$L$4:$L$207,'Q2 Data'!$B$4:$B$207,$S58))</f>
      </c>
      <c r="V58" s="7">
        <f>IF($C58="","",SUMIFS('Q3 Data'!$K$4:$K$207,'Q3 Data'!$B$4:$B$207,$S58)+SUMIFS('Q3 Data'!$N$4:$N$207,'Q3 Data'!$B$4:$B$207,$S58)+SUMIFS('Q3 Data'!$L$4:$L$207,'Q3 Data'!$B$4:$B$207,$S58))</f>
      </c>
      <c r="W58" s="7">
        <f>IF($C58="","",SUMIFS('Q4 Data'!$K$4:$K$207,'Q4 Data'!$B$4:$B$207,$S58)+SUMIFS('Q4 Data'!$N$4:$N$207,'Q4 Data'!$B$4:$B$207,$S58)+SUMIFS('Q4 Data'!$L$4:$L$207,'Q4 Data'!$B$4:$B$207,$S58))</f>
      </c>
      <c r="X58" s="7">
        <f>IF($C58="","",T58+U58+V58+W58)</f>
      </c>
      <c r="Y58" s="7">
        <f>IF($C58="","",M58-L58)</f>
      </c>
      <c r="Z58" s="7">
        <f>IF($C58="","",Y58-X58)</f>
      </c>
      <c r="AA58" s="7">
        <f>IF($C58="","",IF(ROUND(X58-Y58,2)&gt;0,"Over-applied",IF(ROUND(X58-Y58,2)=0,"Fully Utilised","Unconsumed")))</f>
      </c>
    </row>
    <row r="59" spans="1:27" x14ac:dyDescent="0.25">
      <c r="A59" s="7">
        <f>IF($C59="","",COUNTIF($C$4:$C59,"&lt;&gt;"))</f>
      </c>
      <c r="B59" s="8"/>
      <c r="C59" s="8"/>
      <c r="D59" s="8"/>
      <c r="E59" s="8"/>
      <c r="F59" s="8"/>
      <c r="G59" s="8"/>
      <c r="H59" s="8"/>
      <c r="I59" s="8"/>
      <c r="J59" s="8"/>
      <c r="K59" s="8"/>
      <c r="L59" s="8"/>
      <c r="M59" s="7">
        <f>IF($C59="","",G59+H59+I59+J59+K59+L59)</f>
      </c>
      <c r="N59" s="8"/>
      <c r="O59" s="8"/>
      <c r="P59" s="8"/>
      <c r="Q59" s="8"/>
      <c r="R59" s="8"/>
      <c r="S59" s="7">
        <f>IF($C59="","",C59&amp;" | BSR "&amp;B59&amp;" | "&amp;TEXT(D59,"dd-mm-yyyy")&amp;" | ₹"&amp;TEXT(M59,"#,##0"))</f>
      </c>
      <c r="T59" s="7">
        <f>IF($C59="","",SUMIFS('Q1 Data'!$K$4:$K$207,'Q1 Data'!$B$4:$B$207,$S59)+SUMIFS('Q1 Data'!$N$4:$N$207,'Q1 Data'!$B$4:$B$207,$S59)+SUMIFS('Q1 Data'!$L$4:$L$207,'Q1 Data'!$B$4:$B$207,$S59))</f>
      </c>
      <c r="U59" s="7">
        <f>IF($C59="","",SUMIFS('Q2 Data'!$K$4:$K$207,'Q2 Data'!$B$4:$B$207,$S59)+SUMIFS('Q2 Data'!$N$4:$N$207,'Q2 Data'!$B$4:$B$207,$S59)+SUMIFS('Q2 Data'!$L$4:$L$207,'Q2 Data'!$B$4:$B$207,$S59))</f>
      </c>
      <c r="V59" s="7">
        <f>IF($C59="","",SUMIFS('Q3 Data'!$K$4:$K$207,'Q3 Data'!$B$4:$B$207,$S59)+SUMIFS('Q3 Data'!$N$4:$N$207,'Q3 Data'!$B$4:$B$207,$S59)+SUMIFS('Q3 Data'!$L$4:$L$207,'Q3 Data'!$B$4:$B$207,$S59))</f>
      </c>
      <c r="W59" s="7">
        <f>IF($C59="","",SUMIFS('Q4 Data'!$K$4:$K$207,'Q4 Data'!$B$4:$B$207,$S59)+SUMIFS('Q4 Data'!$N$4:$N$207,'Q4 Data'!$B$4:$B$207,$S59)+SUMIFS('Q4 Data'!$L$4:$L$207,'Q4 Data'!$B$4:$B$207,$S59))</f>
      </c>
      <c r="X59" s="7">
        <f>IF($C59="","",T59+U59+V59+W59)</f>
      </c>
      <c r="Y59" s="7">
        <f>IF($C59="","",M59-L59)</f>
      </c>
      <c r="Z59" s="7">
        <f>IF($C59="","",Y59-X59)</f>
      </c>
      <c r="AA59" s="7">
        <f>IF($C59="","",IF(ROUND(X59-Y59,2)&gt;0,"Over-applied",IF(ROUND(X59-Y59,2)=0,"Fully Utilised","Unconsumed")))</f>
      </c>
    </row>
    <row r="60" spans="1:27" x14ac:dyDescent="0.25">
      <c r="A60" s="7">
        <f>IF($C60="","",COUNTIF($C$4:$C60,"&lt;&gt;"))</f>
      </c>
      <c r="B60" s="8"/>
      <c r="C60" s="8"/>
      <c r="D60" s="8"/>
      <c r="E60" s="8"/>
      <c r="F60" s="8"/>
      <c r="G60" s="8"/>
      <c r="H60" s="8"/>
      <c r="I60" s="8"/>
      <c r="J60" s="8"/>
      <c r="K60" s="8"/>
      <c r="L60" s="8"/>
      <c r="M60" s="7">
        <f>IF($C60="","",G60+H60+I60+J60+K60+L60)</f>
      </c>
      <c r="N60" s="8"/>
      <c r="O60" s="8"/>
      <c r="P60" s="8"/>
      <c r="Q60" s="8"/>
      <c r="R60" s="8"/>
      <c r="S60" s="7">
        <f>IF($C60="","",C60&amp;" | BSR "&amp;B60&amp;" | "&amp;TEXT(D60,"dd-mm-yyyy")&amp;" | ₹"&amp;TEXT(M60,"#,##0"))</f>
      </c>
      <c r="T60" s="7">
        <f>IF($C60="","",SUMIFS('Q1 Data'!$K$4:$K$207,'Q1 Data'!$B$4:$B$207,$S60)+SUMIFS('Q1 Data'!$N$4:$N$207,'Q1 Data'!$B$4:$B$207,$S60)+SUMIFS('Q1 Data'!$L$4:$L$207,'Q1 Data'!$B$4:$B$207,$S60))</f>
      </c>
      <c r="U60" s="7">
        <f>IF($C60="","",SUMIFS('Q2 Data'!$K$4:$K$207,'Q2 Data'!$B$4:$B$207,$S60)+SUMIFS('Q2 Data'!$N$4:$N$207,'Q2 Data'!$B$4:$B$207,$S60)+SUMIFS('Q2 Data'!$L$4:$L$207,'Q2 Data'!$B$4:$B$207,$S60))</f>
      </c>
      <c r="V60" s="7">
        <f>IF($C60="","",SUMIFS('Q3 Data'!$K$4:$K$207,'Q3 Data'!$B$4:$B$207,$S60)+SUMIFS('Q3 Data'!$N$4:$N$207,'Q3 Data'!$B$4:$B$207,$S60)+SUMIFS('Q3 Data'!$L$4:$L$207,'Q3 Data'!$B$4:$B$207,$S60))</f>
      </c>
      <c r="W60" s="7">
        <f>IF($C60="","",SUMIFS('Q4 Data'!$K$4:$K$207,'Q4 Data'!$B$4:$B$207,$S60)+SUMIFS('Q4 Data'!$N$4:$N$207,'Q4 Data'!$B$4:$B$207,$S60)+SUMIFS('Q4 Data'!$L$4:$L$207,'Q4 Data'!$B$4:$B$207,$S60))</f>
      </c>
      <c r="X60" s="7">
        <f>IF($C60="","",T60+U60+V60+W60)</f>
      </c>
      <c r="Y60" s="7">
        <f>IF($C60="","",M60-L60)</f>
      </c>
      <c r="Z60" s="7">
        <f>IF($C60="","",Y60-X60)</f>
      </c>
      <c r="AA60" s="7">
        <f>IF($C60="","",IF(ROUND(X60-Y60,2)&gt;0,"Over-applied",IF(ROUND(X60-Y60,2)=0,"Fully Utilised","Unconsumed")))</f>
      </c>
    </row>
    <row r="61" spans="1:27" x14ac:dyDescent="0.25">
      <c r="A61" s="7">
        <f>IF($C61="","",COUNTIF($C$4:$C61,"&lt;&gt;"))</f>
      </c>
      <c r="B61" s="8"/>
      <c r="C61" s="8"/>
      <c r="D61" s="8"/>
      <c r="E61" s="8"/>
      <c r="F61" s="8"/>
      <c r="G61" s="8"/>
      <c r="H61" s="8"/>
      <c r="I61" s="8"/>
      <c r="J61" s="8"/>
      <c r="K61" s="8"/>
      <c r="L61" s="8"/>
      <c r="M61" s="7">
        <f>IF($C61="","",G61+H61+I61+J61+K61+L61)</f>
      </c>
      <c r="N61" s="8"/>
      <c r="O61" s="8"/>
      <c r="P61" s="8"/>
      <c r="Q61" s="8"/>
      <c r="R61" s="8"/>
      <c r="S61" s="7">
        <f>IF($C61="","",C61&amp;" | BSR "&amp;B61&amp;" | "&amp;TEXT(D61,"dd-mm-yyyy")&amp;" | ₹"&amp;TEXT(M61,"#,##0"))</f>
      </c>
      <c r="T61" s="7">
        <f>IF($C61="","",SUMIFS('Q1 Data'!$K$4:$K$207,'Q1 Data'!$B$4:$B$207,$S61)+SUMIFS('Q1 Data'!$N$4:$N$207,'Q1 Data'!$B$4:$B$207,$S61)+SUMIFS('Q1 Data'!$L$4:$L$207,'Q1 Data'!$B$4:$B$207,$S61))</f>
      </c>
      <c r="U61" s="7">
        <f>IF($C61="","",SUMIFS('Q2 Data'!$K$4:$K$207,'Q2 Data'!$B$4:$B$207,$S61)+SUMIFS('Q2 Data'!$N$4:$N$207,'Q2 Data'!$B$4:$B$207,$S61)+SUMIFS('Q2 Data'!$L$4:$L$207,'Q2 Data'!$B$4:$B$207,$S61))</f>
      </c>
      <c r="V61" s="7">
        <f>IF($C61="","",SUMIFS('Q3 Data'!$K$4:$K$207,'Q3 Data'!$B$4:$B$207,$S61)+SUMIFS('Q3 Data'!$N$4:$N$207,'Q3 Data'!$B$4:$B$207,$S61)+SUMIFS('Q3 Data'!$L$4:$L$207,'Q3 Data'!$B$4:$B$207,$S61))</f>
      </c>
      <c r="W61" s="7">
        <f>IF($C61="","",SUMIFS('Q4 Data'!$K$4:$K$207,'Q4 Data'!$B$4:$B$207,$S61)+SUMIFS('Q4 Data'!$N$4:$N$207,'Q4 Data'!$B$4:$B$207,$S61)+SUMIFS('Q4 Data'!$L$4:$L$207,'Q4 Data'!$B$4:$B$207,$S61))</f>
      </c>
      <c r="X61" s="7">
        <f>IF($C61="","",T61+U61+V61+W61)</f>
      </c>
      <c r="Y61" s="7">
        <f>IF($C61="","",M61-L61)</f>
      </c>
      <c r="Z61" s="7">
        <f>IF($C61="","",Y61-X61)</f>
      </c>
      <c r="AA61" s="7">
        <f>IF($C61="","",IF(ROUND(X61-Y61,2)&gt;0,"Over-applied",IF(ROUND(X61-Y61,2)=0,"Fully Utilised","Unconsumed")))</f>
      </c>
    </row>
    <row r="62" spans="1:27" x14ac:dyDescent="0.25">
      <c r="A62" s="7">
        <f>IF($C62="","",COUNTIF($C$4:$C62,"&lt;&gt;"))</f>
      </c>
      <c r="B62" s="8"/>
      <c r="C62" s="8"/>
      <c r="D62" s="8"/>
      <c r="E62" s="8"/>
      <c r="F62" s="8"/>
      <c r="G62" s="8"/>
      <c r="H62" s="8"/>
      <c r="I62" s="8"/>
      <c r="J62" s="8"/>
      <c r="K62" s="8"/>
      <c r="L62" s="8"/>
      <c r="M62" s="7">
        <f>IF($C62="","",G62+H62+I62+J62+K62+L62)</f>
      </c>
      <c r="N62" s="8"/>
      <c r="O62" s="8"/>
      <c r="P62" s="8"/>
      <c r="Q62" s="8"/>
      <c r="R62" s="8"/>
      <c r="S62" s="7">
        <f>IF($C62="","",C62&amp;" | BSR "&amp;B62&amp;" | "&amp;TEXT(D62,"dd-mm-yyyy")&amp;" | ₹"&amp;TEXT(M62,"#,##0"))</f>
      </c>
      <c r="T62" s="7">
        <f>IF($C62="","",SUMIFS('Q1 Data'!$K$4:$K$207,'Q1 Data'!$B$4:$B$207,$S62)+SUMIFS('Q1 Data'!$N$4:$N$207,'Q1 Data'!$B$4:$B$207,$S62)+SUMIFS('Q1 Data'!$L$4:$L$207,'Q1 Data'!$B$4:$B$207,$S62))</f>
      </c>
      <c r="U62" s="7">
        <f>IF($C62="","",SUMIFS('Q2 Data'!$K$4:$K$207,'Q2 Data'!$B$4:$B$207,$S62)+SUMIFS('Q2 Data'!$N$4:$N$207,'Q2 Data'!$B$4:$B$207,$S62)+SUMIFS('Q2 Data'!$L$4:$L$207,'Q2 Data'!$B$4:$B$207,$S62))</f>
      </c>
      <c r="V62" s="7">
        <f>IF($C62="","",SUMIFS('Q3 Data'!$K$4:$K$207,'Q3 Data'!$B$4:$B$207,$S62)+SUMIFS('Q3 Data'!$N$4:$N$207,'Q3 Data'!$B$4:$B$207,$S62)+SUMIFS('Q3 Data'!$L$4:$L$207,'Q3 Data'!$B$4:$B$207,$S62))</f>
      </c>
      <c r="W62" s="7">
        <f>IF($C62="","",SUMIFS('Q4 Data'!$K$4:$K$207,'Q4 Data'!$B$4:$B$207,$S62)+SUMIFS('Q4 Data'!$N$4:$N$207,'Q4 Data'!$B$4:$B$207,$S62)+SUMIFS('Q4 Data'!$L$4:$L$207,'Q4 Data'!$B$4:$B$207,$S62))</f>
      </c>
      <c r="X62" s="7">
        <f>IF($C62="","",T62+U62+V62+W62)</f>
      </c>
      <c r="Y62" s="7">
        <f>IF($C62="","",M62-L62)</f>
      </c>
      <c r="Z62" s="7">
        <f>IF($C62="","",Y62-X62)</f>
      </c>
      <c r="AA62" s="7">
        <f>IF($C62="","",IF(ROUND(X62-Y62,2)&gt;0,"Over-applied",IF(ROUND(X62-Y62,2)=0,"Fully Utilised","Unconsumed")))</f>
      </c>
    </row>
    <row r="63" spans="1:27" x14ac:dyDescent="0.25">
      <c r="A63" s="7">
        <f>IF($C63="","",COUNTIF($C$4:$C63,"&lt;&gt;"))</f>
      </c>
      <c r="B63" s="8"/>
      <c r="C63" s="8"/>
      <c r="D63" s="8"/>
      <c r="E63" s="8"/>
      <c r="F63" s="8"/>
      <c r="G63" s="8"/>
      <c r="H63" s="8"/>
      <c r="I63" s="8"/>
      <c r="J63" s="8"/>
      <c r="K63" s="8"/>
      <c r="L63" s="8"/>
      <c r="M63" s="7">
        <f>IF($C63="","",G63+H63+I63+J63+K63+L63)</f>
      </c>
      <c r="N63" s="8"/>
      <c r="O63" s="8"/>
      <c r="P63" s="8"/>
      <c r="Q63" s="8"/>
      <c r="R63" s="8"/>
      <c r="S63" s="7">
        <f>IF($C63="","",C63&amp;" | BSR "&amp;B63&amp;" | "&amp;TEXT(D63,"dd-mm-yyyy")&amp;" | ₹"&amp;TEXT(M63,"#,##0"))</f>
      </c>
      <c r="T63" s="7">
        <f>IF($C63="","",SUMIFS('Q1 Data'!$K$4:$K$207,'Q1 Data'!$B$4:$B$207,$S63)+SUMIFS('Q1 Data'!$N$4:$N$207,'Q1 Data'!$B$4:$B$207,$S63)+SUMIFS('Q1 Data'!$L$4:$L$207,'Q1 Data'!$B$4:$B$207,$S63))</f>
      </c>
      <c r="U63" s="7">
        <f>IF($C63="","",SUMIFS('Q2 Data'!$K$4:$K$207,'Q2 Data'!$B$4:$B$207,$S63)+SUMIFS('Q2 Data'!$N$4:$N$207,'Q2 Data'!$B$4:$B$207,$S63)+SUMIFS('Q2 Data'!$L$4:$L$207,'Q2 Data'!$B$4:$B$207,$S63))</f>
      </c>
      <c r="V63" s="7">
        <f>IF($C63="","",SUMIFS('Q3 Data'!$K$4:$K$207,'Q3 Data'!$B$4:$B$207,$S63)+SUMIFS('Q3 Data'!$N$4:$N$207,'Q3 Data'!$B$4:$B$207,$S63)+SUMIFS('Q3 Data'!$L$4:$L$207,'Q3 Data'!$B$4:$B$207,$S63))</f>
      </c>
      <c r="W63" s="7">
        <f>IF($C63="","",SUMIFS('Q4 Data'!$K$4:$K$207,'Q4 Data'!$B$4:$B$207,$S63)+SUMIFS('Q4 Data'!$N$4:$N$207,'Q4 Data'!$B$4:$B$207,$S63)+SUMIFS('Q4 Data'!$L$4:$L$207,'Q4 Data'!$B$4:$B$207,$S63))</f>
      </c>
      <c r="X63" s="7">
        <f>IF($C63="","",T63+U63+V63+W63)</f>
      </c>
      <c r="Y63" s="7">
        <f>IF($C63="","",M63-L63)</f>
      </c>
      <c r="Z63" s="7">
        <f>IF($C63="","",Y63-X63)</f>
      </c>
      <c r="AA63" s="7">
        <f>IF($C63="","",IF(ROUND(X63-Y63,2)&gt;0,"Over-applied",IF(ROUND(X63-Y63,2)=0,"Fully Utilised","Unconsumed")))</f>
      </c>
    </row>
    <row r="64" spans="1:27" x14ac:dyDescent="0.25">
      <c r="A64" s="7">
        <f>IF($C64="","",COUNTIF($C$4:$C64,"&lt;&gt;"))</f>
      </c>
      <c r="B64" s="8"/>
      <c r="C64" s="8"/>
      <c r="D64" s="8"/>
      <c r="E64" s="8"/>
      <c r="F64" s="8"/>
      <c r="G64" s="8"/>
      <c r="H64" s="8"/>
      <c r="I64" s="8"/>
      <c r="J64" s="8"/>
      <c r="K64" s="8"/>
      <c r="L64" s="8"/>
      <c r="M64" s="7">
        <f>IF($C64="","",G64+H64+I64+J64+K64+L64)</f>
      </c>
      <c r="N64" s="8"/>
      <c r="O64" s="8"/>
      <c r="P64" s="8"/>
      <c r="Q64" s="8"/>
      <c r="R64" s="8"/>
      <c r="S64" s="7">
        <f>IF($C64="","",C64&amp;" | BSR "&amp;B64&amp;" | "&amp;TEXT(D64,"dd-mm-yyyy")&amp;" | ₹"&amp;TEXT(M64,"#,##0"))</f>
      </c>
      <c r="T64" s="7">
        <f>IF($C64="","",SUMIFS('Q1 Data'!$K$4:$K$207,'Q1 Data'!$B$4:$B$207,$S64)+SUMIFS('Q1 Data'!$N$4:$N$207,'Q1 Data'!$B$4:$B$207,$S64)+SUMIFS('Q1 Data'!$L$4:$L$207,'Q1 Data'!$B$4:$B$207,$S64))</f>
      </c>
      <c r="U64" s="7">
        <f>IF($C64="","",SUMIFS('Q2 Data'!$K$4:$K$207,'Q2 Data'!$B$4:$B$207,$S64)+SUMIFS('Q2 Data'!$N$4:$N$207,'Q2 Data'!$B$4:$B$207,$S64)+SUMIFS('Q2 Data'!$L$4:$L$207,'Q2 Data'!$B$4:$B$207,$S64))</f>
      </c>
      <c r="V64" s="7">
        <f>IF($C64="","",SUMIFS('Q3 Data'!$K$4:$K$207,'Q3 Data'!$B$4:$B$207,$S64)+SUMIFS('Q3 Data'!$N$4:$N$207,'Q3 Data'!$B$4:$B$207,$S64)+SUMIFS('Q3 Data'!$L$4:$L$207,'Q3 Data'!$B$4:$B$207,$S64))</f>
      </c>
      <c r="W64" s="7">
        <f>IF($C64="","",SUMIFS('Q4 Data'!$K$4:$K$207,'Q4 Data'!$B$4:$B$207,$S64)+SUMIFS('Q4 Data'!$N$4:$N$207,'Q4 Data'!$B$4:$B$207,$S64)+SUMIFS('Q4 Data'!$L$4:$L$207,'Q4 Data'!$B$4:$B$207,$S64))</f>
      </c>
      <c r="X64" s="7">
        <f>IF($C64="","",T64+U64+V64+W64)</f>
      </c>
      <c r="Y64" s="7">
        <f>IF($C64="","",M64-L64)</f>
      </c>
      <c r="Z64" s="7">
        <f>IF($C64="","",Y64-X64)</f>
      </c>
      <c r="AA64" s="7">
        <f>IF($C64="","",IF(ROUND(X64-Y64,2)&gt;0,"Over-applied",IF(ROUND(X64-Y64,2)=0,"Fully Utilised","Unconsumed")))</f>
      </c>
    </row>
    <row r="65" spans="1:27" x14ac:dyDescent="0.25">
      <c r="A65" s="7">
        <f>IF($C65="","",COUNTIF($C$4:$C65,"&lt;&gt;"))</f>
      </c>
      <c r="B65" s="8"/>
      <c r="C65" s="8"/>
      <c r="D65" s="8"/>
      <c r="E65" s="8"/>
      <c r="F65" s="8"/>
      <c r="G65" s="8"/>
      <c r="H65" s="8"/>
      <c r="I65" s="8"/>
      <c r="J65" s="8"/>
      <c r="K65" s="8"/>
      <c r="L65" s="8"/>
      <c r="M65" s="7">
        <f>IF($C65="","",G65+H65+I65+J65+K65+L65)</f>
      </c>
      <c r="N65" s="8"/>
      <c r="O65" s="8"/>
      <c r="P65" s="8"/>
      <c r="Q65" s="8"/>
      <c r="R65" s="8"/>
      <c r="S65" s="7">
        <f>IF($C65="","",C65&amp;" | BSR "&amp;B65&amp;" | "&amp;TEXT(D65,"dd-mm-yyyy")&amp;" | ₹"&amp;TEXT(M65,"#,##0"))</f>
      </c>
      <c r="T65" s="7">
        <f>IF($C65="","",SUMIFS('Q1 Data'!$K$4:$K$207,'Q1 Data'!$B$4:$B$207,$S65)+SUMIFS('Q1 Data'!$N$4:$N$207,'Q1 Data'!$B$4:$B$207,$S65)+SUMIFS('Q1 Data'!$L$4:$L$207,'Q1 Data'!$B$4:$B$207,$S65))</f>
      </c>
      <c r="U65" s="7">
        <f>IF($C65="","",SUMIFS('Q2 Data'!$K$4:$K$207,'Q2 Data'!$B$4:$B$207,$S65)+SUMIFS('Q2 Data'!$N$4:$N$207,'Q2 Data'!$B$4:$B$207,$S65)+SUMIFS('Q2 Data'!$L$4:$L$207,'Q2 Data'!$B$4:$B$207,$S65))</f>
      </c>
      <c r="V65" s="7">
        <f>IF($C65="","",SUMIFS('Q3 Data'!$K$4:$K$207,'Q3 Data'!$B$4:$B$207,$S65)+SUMIFS('Q3 Data'!$N$4:$N$207,'Q3 Data'!$B$4:$B$207,$S65)+SUMIFS('Q3 Data'!$L$4:$L$207,'Q3 Data'!$B$4:$B$207,$S65))</f>
      </c>
      <c r="W65" s="7">
        <f>IF($C65="","",SUMIFS('Q4 Data'!$K$4:$K$207,'Q4 Data'!$B$4:$B$207,$S65)+SUMIFS('Q4 Data'!$N$4:$N$207,'Q4 Data'!$B$4:$B$207,$S65)+SUMIFS('Q4 Data'!$L$4:$L$207,'Q4 Data'!$B$4:$B$207,$S65))</f>
      </c>
      <c r="X65" s="7">
        <f>IF($C65="","",T65+U65+V65+W65)</f>
      </c>
      <c r="Y65" s="7">
        <f>IF($C65="","",M65-L65)</f>
      </c>
      <c r="Z65" s="7">
        <f>IF($C65="","",Y65-X65)</f>
      </c>
      <c r="AA65" s="7">
        <f>IF($C65="","",IF(ROUND(X65-Y65,2)&gt;0,"Over-applied",IF(ROUND(X65-Y65,2)=0,"Fully Utilised","Unconsumed")))</f>
      </c>
    </row>
    <row r="66" spans="1:27" x14ac:dyDescent="0.25">
      <c r="A66" s="7">
        <f>IF($C66="","",COUNTIF($C$4:$C66,"&lt;&gt;"))</f>
      </c>
      <c r="B66" s="8"/>
      <c r="C66" s="8"/>
      <c r="D66" s="8"/>
      <c r="E66" s="8"/>
      <c r="F66" s="8"/>
      <c r="G66" s="8"/>
      <c r="H66" s="8"/>
      <c r="I66" s="8"/>
      <c r="J66" s="8"/>
      <c r="K66" s="8"/>
      <c r="L66" s="8"/>
      <c r="M66" s="7">
        <f>IF($C66="","",G66+H66+I66+J66+K66+L66)</f>
      </c>
      <c r="N66" s="8"/>
      <c r="O66" s="8"/>
      <c r="P66" s="8"/>
      <c r="Q66" s="8"/>
      <c r="R66" s="8"/>
      <c r="S66" s="7">
        <f>IF($C66="","",C66&amp;" | BSR "&amp;B66&amp;" | "&amp;TEXT(D66,"dd-mm-yyyy")&amp;" | ₹"&amp;TEXT(M66,"#,##0"))</f>
      </c>
      <c r="T66" s="7">
        <f>IF($C66="","",SUMIFS('Q1 Data'!$K$4:$K$207,'Q1 Data'!$B$4:$B$207,$S66)+SUMIFS('Q1 Data'!$N$4:$N$207,'Q1 Data'!$B$4:$B$207,$S66)+SUMIFS('Q1 Data'!$L$4:$L$207,'Q1 Data'!$B$4:$B$207,$S66))</f>
      </c>
      <c r="U66" s="7">
        <f>IF($C66="","",SUMIFS('Q2 Data'!$K$4:$K$207,'Q2 Data'!$B$4:$B$207,$S66)+SUMIFS('Q2 Data'!$N$4:$N$207,'Q2 Data'!$B$4:$B$207,$S66)+SUMIFS('Q2 Data'!$L$4:$L$207,'Q2 Data'!$B$4:$B$207,$S66))</f>
      </c>
      <c r="V66" s="7">
        <f>IF($C66="","",SUMIFS('Q3 Data'!$K$4:$K$207,'Q3 Data'!$B$4:$B$207,$S66)+SUMIFS('Q3 Data'!$N$4:$N$207,'Q3 Data'!$B$4:$B$207,$S66)+SUMIFS('Q3 Data'!$L$4:$L$207,'Q3 Data'!$B$4:$B$207,$S66))</f>
      </c>
      <c r="W66" s="7">
        <f>IF($C66="","",SUMIFS('Q4 Data'!$K$4:$K$207,'Q4 Data'!$B$4:$B$207,$S66)+SUMIFS('Q4 Data'!$N$4:$N$207,'Q4 Data'!$B$4:$B$207,$S66)+SUMIFS('Q4 Data'!$L$4:$L$207,'Q4 Data'!$B$4:$B$207,$S66))</f>
      </c>
      <c r="X66" s="7">
        <f>IF($C66="","",T66+U66+V66+W66)</f>
      </c>
      <c r="Y66" s="7">
        <f>IF($C66="","",M66-L66)</f>
      </c>
      <c r="Z66" s="7">
        <f>IF($C66="","",Y66-X66)</f>
      </c>
      <c r="AA66" s="7">
        <f>IF($C66="","",IF(ROUND(X66-Y66,2)&gt;0,"Over-applied",IF(ROUND(X66-Y66,2)=0,"Fully Utilised","Unconsumed")))</f>
      </c>
    </row>
    <row r="67" spans="1:27" x14ac:dyDescent="0.25">
      <c r="A67" s="7">
        <f>IF($C67="","",COUNTIF($C$4:$C67,"&lt;&gt;"))</f>
      </c>
      <c r="B67" s="8"/>
      <c r="C67" s="8"/>
      <c r="D67" s="8"/>
      <c r="E67" s="8"/>
      <c r="F67" s="8"/>
      <c r="G67" s="8"/>
      <c r="H67" s="8"/>
      <c r="I67" s="8"/>
      <c r="J67" s="8"/>
      <c r="K67" s="8"/>
      <c r="L67" s="8"/>
      <c r="M67" s="7">
        <f>IF($C67="","",G67+H67+I67+J67+K67+L67)</f>
      </c>
      <c r="N67" s="8"/>
      <c r="O67" s="8"/>
      <c r="P67" s="8"/>
      <c r="Q67" s="8"/>
      <c r="R67" s="8"/>
      <c r="S67" s="7">
        <f>IF($C67="","",C67&amp;" | BSR "&amp;B67&amp;" | "&amp;TEXT(D67,"dd-mm-yyyy")&amp;" | ₹"&amp;TEXT(M67,"#,##0"))</f>
      </c>
      <c r="T67" s="7">
        <f>IF($C67="","",SUMIFS('Q1 Data'!$K$4:$K$207,'Q1 Data'!$B$4:$B$207,$S67)+SUMIFS('Q1 Data'!$N$4:$N$207,'Q1 Data'!$B$4:$B$207,$S67)+SUMIFS('Q1 Data'!$L$4:$L$207,'Q1 Data'!$B$4:$B$207,$S67))</f>
      </c>
      <c r="U67" s="7">
        <f>IF($C67="","",SUMIFS('Q2 Data'!$K$4:$K$207,'Q2 Data'!$B$4:$B$207,$S67)+SUMIFS('Q2 Data'!$N$4:$N$207,'Q2 Data'!$B$4:$B$207,$S67)+SUMIFS('Q2 Data'!$L$4:$L$207,'Q2 Data'!$B$4:$B$207,$S67))</f>
      </c>
      <c r="V67" s="7">
        <f>IF($C67="","",SUMIFS('Q3 Data'!$K$4:$K$207,'Q3 Data'!$B$4:$B$207,$S67)+SUMIFS('Q3 Data'!$N$4:$N$207,'Q3 Data'!$B$4:$B$207,$S67)+SUMIFS('Q3 Data'!$L$4:$L$207,'Q3 Data'!$B$4:$B$207,$S67))</f>
      </c>
      <c r="W67" s="7">
        <f>IF($C67="","",SUMIFS('Q4 Data'!$K$4:$K$207,'Q4 Data'!$B$4:$B$207,$S67)+SUMIFS('Q4 Data'!$N$4:$N$207,'Q4 Data'!$B$4:$B$207,$S67)+SUMIFS('Q4 Data'!$L$4:$L$207,'Q4 Data'!$B$4:$B$207,$S67))</f>
      </c>
      <c r="X67" s="7">
        <f>IF($C67="","",T67+U67+V67+W67)</f>
      </c>
      <c r="Y67" s="7">
        <f>IF($C67="","",M67-L67)</f>
      </c>
      <c r="Z67" s="7">
        <f>IF($C67="","",Y67-X67)</f>
      </c>
      <c r="AA67" s="7">
        <f>IF($C67="","",IF(ROUND(X67-Y67,2)&gt;0,"Over-applied",IF(ROUND(X67-Y67,2)=0,"Fully Utilised","Unconsumed")))</f>
      </c>
    </row>
    <row r="68" spans="1:27" x14ac:dyDescent="0.25">
      <c r="A68" s="7">
        <f>IF($C68="","",COUNTIF($C$4:$C68,"&lt;&gt;"))</f>
      </c>
      <c r="B68" s="8"/>
      <c r="C68" s="8"/>
      <c r="D68" s="8"/>
      <c r="E68" s="8"/>
      <c r="F68" s="8"/>
      <c r="G68" s="8"/>
      <c r="H68" s="8"/>
      <c r="I68" s="8"/>
      <c r="J68" s="8"/>
      <c r="K68" s="8"/>
      <c r="L68" s="8"/>
      <c r="M68" s="7">
        <f>IF($C68="","",G68+H68+I68+J68+K68+L68)</f>
      </c>
      <c r="N68" s="8"/>
      <c r="O68" s="8"/>
      <c r="P68" s="8"/>
      <c r="Q68" s="8"/>
      <c r="R68" s="8"/>
      <c r="S68" s="7">
        <f>IF($C68="","",C68&amp;" | BSR "&amp;B68&amp;" | "&amp;TEXT(D68,"dd-mm-yyyy")&amp;" | ₹"&amp;TEXT(M68,"#,##0"))</f>
      </c>
      <c r="T68" s="7">
        <f>IF($C68="","",SUMIFS('Q1 Data'!$K$4:$K$207,'Q1 Data'!$B$4:$B$207,$S68)+SUMIFS('Q1 Data'!$N$4:$N$207,'Q1 Data'!$B$4:$B$207,$S68)+SUMIFS('Q1 Data'!$L$4:$L$207,'Q1 Data'!$B$4:$B$207,$S68))</f>
      </c>
      <c r="U68" s="7">
        <f>IF($C68="","",SUMIFS('Q2 Data'!$K$4:$K$207,'Q2 Data'!$B$4:$B$207,$S68)+SUMIFS('Q2 Data'!$N$4:$N$207,'Q2 Data'!$B$4:$B$207,$S68)+SUMIFS('Q2 Data'!$L$4:$L$207,'Q2 Data'!$B$4:$B$207,$S68))</f>
      </c>
      <c r="V68" s="7">
        <f>IF($C68="","",SUMIFS('Q3 Data'!$K$4:$K$207,'Q3 Data'!$B$4:$B$207,$S68)+SUMIFS('Q3 Data'!$N$4:$N$207,'Q3 Data'!$B$4:$B$207,$S68)+SUMIFS('Q3 Data'!$L$4:$L$207,'Q3 Data'!$B$4:$B$207,$S68))</f>
      </c>
      <c r="W68" s="7">
        <f>IF($C68="","",SUMIFS('Q4 Data'!$K$4:$K$207,'Q4 Data'!$B$4:$B$207,$S68)+SUMIFS('Q4 Data'!$N$4:$N$207,'Q4 Data'!$B$4:$B$207,$S68)+SUMIFS('Q4 Data'!$L$4:$L$207,'Q4 Data'!$B$4:$B$207,$S68))</f>
      </c>
      <c r="X68" s="7">
        <f>IF($C68="","",T68+U68+V68+W68)</f>
      </c>
      <c r="Y68" s="7">
        <f>IF($C68="","",M68-L68)</f>
      </c>
      <c r="Z68" s="7">
        <f>IF($C68="","",Y68-X68)</f>
      </c>
      <c r="AA68" s="7">
        <f>IF($C68="","",IF(ROUND(X68-Y68,2)&gt;0,"Over-applied",IF(ROUND(X68-Y68,2)=0,"Fully Utilised","Unconsumed")))</f>
      </c>
    </row>
    <row r="69" spans="1:27" x14ac:dyDescent="0.25">
      <c r="A69" s="7">
        <f>IF($C69="","",COUNTIF($C$4:$C69,"&lt;&gt;"))</f>
      </c>
      <c r="B69" s="8"/>
      <c r="C69" s="8"/>
      <c r="D69" s="8"/>
      <c r="E69" s="8"/>
      <c r="F69" s="8"/>
      <c r="G69" s="8"/>
      <c r="H69" s="8"/>
      <c r="I69" s="8"/>
      <c r="J69" s="8"/>
      <c r="K69" s="8"/>
      <c r="L69" s="8"/>
      <c r="M69" s="7">
        <f>IF($C69="","",G69+H69+I69+J69+K69+L69)</f>
      </c>
      <c r="N69" s="8"/>
      <c r="O69" s="8"/>
      <c r="P69" s="8"/>
      <c r="Q69" s="8"/>
      <c r="R69" s="8"/>
      <c r="S69" s="7">
        <f>IF($C69="","",C69&amp;" | BSR "&amp;B69&amp;" | "&amp;TEXT(D69,"dd-mm-yyyy")&amp;" | ₹"&amp;TEXT(M69,"#,##0"))</f>
      </c>
      <c r="T69" s="7">
        <f>IF($C69="","",SUMIFS('Q1 Data'!$K$4:$K$207,'Q1 Data'!$B$4:$B$207,$S69)+SUMIFS('Q1 Data'!$N$4:$N$207,'Q1 Data'!$B$4:$B$207,$S69)+SUMIFS('Q1 Data'!$L$4:$L$207,'Q1 Data'!$B$4:$B$207,$S69))</f>
      </c>
      <c r="U69" s="7">
        <f>IF($C69="","",SUMIFS('Q2 Data'!$K$4:$K$207,'Q2 Data'!$B$4:$B$207,$S69)+SUMIFS('Q2 Data'!$N$4:$N$207,'Q2 Data'!$B$4:$B$207,$S69)+SUMIFS('Q2 Data'!$L$4:$L$207,'Q2 Data'!$B$4:$B$207,$S69))</f>
      </c>
      <c r="V69" s="7">
        <f>IF($C69="","",SUMIFS('Q3 Data'!$K$4:$K$207,'Q3 Data'!$B$4:$B$207,$S69)+SUMIFS('Q3 Data'!$N$4:$N$207,'Q3 Data'!$B$4:$B$207,$S69)+SUMIFS('Q3 Data'!$L$4:$L$207,'Q3 Data'!$B$4:$B$207,$S69))</f>
      </c>
      <c r="W69" s="7">
        <f>IF($C69="","",SUMIFS('Q4 Data'!$K$4:$K$207,'Q4 Data'!$B$4:$B$207,$S69)+SUMIFS('Q4 Data'!$N$4:$N$207,'Q4 Data'!$B$4:$B$207,$S69)+SUMIFS('Q4 Data'!$L$4:$L$207,'Q4 Data'!$B$4:$B$207,$S69))</f>
      </c>
      <c r="X69" s="7">
        <f>IF($C69="","",T69+U69+V69+W69)</f>
      </c>
      <c r="Y69" s="7">
        <f>IF($C69="","",M69-L69)</f>
      </c>
      <c r="Z69" s="7">
        <f>IF($C69="","",Y69-X69)</f>
      </c>
      <c r="AA69" s="7">
        <f>IF($C69="","",IF(ROUND(X69-Y69,2)&gt;0,"Over-applied",IF(ROUND(X69-Y69,2)=0,"Fully Utilised","Unconsumed")))</f>
      </c>
    </row>
    <row r="70" spans="1:27" x14ac:dyDescent="0.25">
      <c r="A70" s="7">
        <f>IF($C70="","",COUNTIF($C$4:$C70,"&lt;&gt;"))</f>
      </c>
      <c r="B70" s="8"/>
      <c r="C70" s="8"/>
      <c r="D70" s="8"/>
      <c r="E70" s="8"/>
      <c r="F70" s="8"/>
      <c r="G70" s="8"/>
      <c r="H70" s="8"/>
      <c r="I70" s="8"/>
      <c r="J70" s="8"/>
      <c r="K70" s="8"/>
      <c r="L70" s="8"/>
      <c r="M70" s="7">
        <f>IF($C70="","",G70+H70+I70+J70+K70+L70)</f>
      </c>
      <c r="N70" s="8"/>
      <c r="O70" s="8"/>
      <c r="P70" s="8"/>
      <c r="Q70" s="8"/>
      <c r="R70" s="8"/>
      <c r="S70" s="7">
        <f>IF($C70="","",C70&amp;" | BSR "&amp;B70&amp;" | "&amp;TEXT(D70,"dd-mm-yyyy")&amp;" | ₹"&amp;TEXT(M70,"#,##0"))</f>
      </c>
      <c r="T70" s="7">
        <f>IF($C70="","",SUMIFS('Q1 Data'!$K$4:$K$207,'Q1 Data'!$B$4:$B$207,$S70)+SUMIFS('Q1 Data'!$N$4:$N$207,'Q1 Data'!$B$4:$B$207,$S70)+SUMIFS('Q1 Data'!$L$4:$L$207,'Q1 Data'!$B$4:$B$207,$S70))</f>
      </c>
      <c r="U70" s="7">
        <f>IF($C70="","",SUMIFS('Q2 Data'!$K$4:$K$207,'Q2 Data'!$B$4:$B$207,$S70)+SUMIFS('Q2 Data'!$N$4:$N$207,'Q2 Data'!$B$4:$B$207,$S70)+SUMIFS('Q2 Data'!$L$4:$L$207,'Q2 Data'!$B$4:$B$207,$S70))</f>
      </c>
      <c r="V70" s="7">
        <f>IF($C70="","",SUMIFS('Q3 Data'!$K$4:$K$207,'Q3 Data'!$B$4:$B$207,$S70)+SUMIFS('Q3 Data'!$N$4:$N$207,'Q3 Data'!$B$4:$B$207,$S70)+SUMIFS('Q3 Data'!$L$4:$L$207,'Q3 Data'!$B$4:$B$207,$S70))</f>
      </c>
      <c r="W70" s="7">
        <f>IF($C70="","",SUMIFS('Q4 Data'!$K$4:$K$207,'Q4 Data'!$B$4:$B$207,$S70)+SUMIFS('Q4 Data'!$N$4:$N$207,'Q4 Data'!$B$4:$B$207,$S70)+SUMIFS('Q4 Data'!$L$4:$L$207,'Q4 Data'!$B$4:$B$207,$S70))</f>
      </c>
      <c r="X70" s="7">
        <f>IF($C70="","",T70+U70+V70+W70)</f>
      </c>
      <c r="Y70" s="7">
        <f>IF($C70="","",M70-L70)</f>
      </c>
      <c r="Z70" s="7">
        <f>IF($C70="","",Y70-X70)</f>
      </c>
      <c r="AA70" s="7">
        <f>IF($C70="","",IF(ROUND(X70-Y70,2)&gt;0,"Over-applied",IF(ROUND(X70-Y70,2)=0,"Fully Utilised","Unconsumed")))</f>
      </c>
    </row>
    <row r="71" spans="1:27" x14ac:dyDescent="0.25">
      <c r="A71" s="7">
        <f>IF($C71="","",COUNTIF($C$4:$C71,"&lt;&gt;"))</f>
      </c>
      <c r="B71" s="8"/>
      <c r="C71" s="8"/>
      <c r="D71" s="8"/>
      <c r="E71" s="8"/>
      <c r="F71" s="8"/>
      <c r="G71" s="8"/>
      <c r="H71" s="8"/>
      <c r="I71" s="8"/>
      <c r="J71" s="8"/>
      <c r="K71" s="8"/>
      <c r="L71" s="8"/>
      <c r="M71" s="7">
        <f>IF($C71="","",G71+H71+I71+J71+K71+L71)</f>
      </c>
      <c r="N71" s="8"/>
      <c r="O71" s="8"/>
      <c r="P71" s="8"/>
      <c r="Q71" s="8"/>
      <c r="R71" s="8"/>
      <c r="S71" s="7">
        <f>IF($C71="","",C71&amp;" | BSR "&amp;B71&amp;" | "&amp;TEXT(D71,"dd-mm-yyyy")&amp;" | ₹"&amp;TEXT(M71,"#,##0"))</f>
      </c>
      <c r="T71" s="7">
        <f>IF($C71="","",SUMIFS('Q1 Data'!$K$4:$K$207,'Q1 Data'!$B$4:$B$207,$S71)+SUMIFS('Q1 Data'!$N$4:$N$207,'Q1 Data'!$B$4:$B$207,$S71)+SUMIFS('Q1 Data'!$L$4:$L$207,'Q1 Data'!$B$4:$B$207,$S71))</f>
      </c>
      <c r="U71" s="7">
        <f>IF($C71="","",SUMIFS('Q2 Data'!$K$4:$K$207,'Q2 Data'!$B$4:$B$207,$S71)+SUMIFS('Q2 Data'!$N$4:$N$207,'Q2 Data'!$B$4:$B$207,$S71)+SUMIFS('Q2 Data'!$L$4:$L$207,'Q2 Data'!$B$4:$B$207,$S71))</f>
      </c>
      <c r="V71" s="7">
        <f>IF($C71="","",SUMIFS('Q3 Data'!$K$4:$K$207,'Q3 Data'!$B$4:$B$207,$S71)+SUMIFS('Q3 Data'!$N$4:$N$207,'Q3 Data'!$B$4:$B$207,$S71)+SUMIFS('Q3 Data'!$L$4:$L$207,'Q3 Data'!$B$4:$B$207,$S71))</f>
      </c>
      <c r="W71" s="7">
        <f>IF($C71="","",SUMIFS('Q4 Data'!$K$4:$K$207,'Q4 Data'!$B$4:$B$207,$S71)+SUMIFS('Q4 Data'!$N$4:$N$207,'Q4 Data'!$B$4:$B$207,$S71)+SUMIFS('Q4 Data'!$L$4:$L$207,'Q4 Data'!$B$4:$B$207,$S71))</f>
      </c>
      <c r="X71" s="7">
        <f>IF($C71="","",T71+U71+V71+W71)</f>
      </c>
      <c r="Y71" s="7">
        <f>IF($C71="","",M71-L71)</f>
      </c>
      <c r="Z71" s="7">
        <f>IF($C71="","",Y71-X71)</f>
      </c>
      <c r="AA71" s="7">
        <f>IF($C71="","",IF(ROUND(X71-Y71,2)&gt;0,"Over-applied",IF(ROUND(X71-Y71,2)=0,"Fully Utilised","Unconsumed")))</f>
      </c>
    </row>
    <row r="72" spans="1:27" x14ac:dyDescent="0.25">
      <c r="A72" s="7">
        <f>IF($C72="","",COUNTIF($C$4:$C72,"&lt;&gt;"))</f>
      </c>
      <c r="B72" s="8"/>
      <c r="C72" s="8"/>
      <c r="D72" s="8"/>
      <c r="E72" s="8"/>
      <c r="F72" s="8"/>
      <c r="G72" s="8"/>
      <c r="H72" s="8"/>
      <c r="I72" s="8"/>
      <c r="J72" s="8"/>
      <c r="K72" s="8"/>
      <c r="L72" s="8"/>
      <c r="M72" s="7">
        <f>IF($C72="","",G72+H72+I72+J72+K72+L72)</f>
      </c>
      <c r="N72" s="8"/>
      <c r="O72" s="8"/>
      <c r="P72" s="8"/>
      <c r="Q72" s="8"/>
      <c r="R72" s="8"/>
      <c r="S72" s="7">
        <f>IF($C72="","",C72&amp;" | BSR "&amp;B72&amp;" | "&amp;TEXT(D72,"dd-mm-yyyy")&amp;" | ₹"&amp;TEXT(M72,"#,##0"))</f>
      </c>
      <c r="T72" s="7">
        <f>IF($C72="","",SUMIFS('Q1 Data'!$K$4:$K$207,'Q1 Data'!$B$4:$B$207,$S72)+SUMIFS('Q1 Data'!$N$4:$N$207,'Q1 Data'!$B$4:$B$207,$S72)+SUMIFS('Q1 Data'!$L$4:$L$207,'Q1 Data'!$B$4:$B$207,$S72))</f>
      </c>
      <c r="U72" s="7">
        <f>IF($C72="","",SUMIFS('Q2 Data'!$K$4:$K$207,'Q2 Data'!$B$4:$B$207,$S72)+SUMIFS('Q2 Data'!$N$4:$N$207,'Q2 Data'!$B$4:$B$207,$S72)+SUMIFS('Q2 Data'!$L$4:$L$207,'Q2 Data'!$B$4:$B$207,$S72))</f>
      </c>
      <c r="V72" s="7">
        <f>IF($C72="","",SUMIFS('Q3 Data'!$K$4:$K$207,'Q3 Data'!$B$4:$B$207,$S72)+SUMIFS('Q3 Data'!$N$4:$N$207,'Q3 Data'!$B$4:$B$207,$S72)+SUMIFS('Q3 Data'!$L$4:$L$207,'Q3 Data'!$B$4:$B$207,$S72))</f>
      </c>
      <c r="W72" s="7">
        <f>IF($C72="","",SUMIFS('Q4 Data'!$K$4:$K$207,'Q4 Data'!$B$4:$B$207,$S72)+SUMIFS('Q4 Data'!$N$4:$N$207,'Q4 Data'!$B$4:$B$207,$S72)+SUMIFS('Q4 Data'!$L$4:$L$207,'Q4 Data'!$B$4:$B$207,$S72))</f>
      </c>
      <c r="X72" s="7">
        <f>IF($C72="","",T72+U72+V72+W72)</f>
      </c>
      <c r="Y72" s="7">
        <f>IF($C72="","",M72-L72)</f>
      </c>
      <c r="Z72" s="7">
        <f>IF($C72="","",Y72-X72)</f>
      </c>
      <c r="AA72" s="7">
        <f>IF($C72="","",IF(ROUND(X72-Y72,2)&gt;0,"Over-applied",IF(ROUND(X72-Y72,2)=0,"Fully Utilised","Unconsumed")))</f>
      </c>
    </row>
    <row r="73" spans="1:27" x14ac:dyDescent="0.25">
      <c r="A73" s="7">
        <f>IF($C73="","",COUNTIF($C$4:$C73,"&lt;&gt;"))</f>
      </c>
      <c r="B73" s="8"/>
      <c r="C73" s="8"/>
      <c r="D73" s="8"/>
      <c r="E73" s="8"/>
      <c r="F73" s="8"/>
      <c r="G73" s="8"/>
      <c r="H73" s="8"/>
      <c r="I73" s="8"/>
      <c r="J73" s="8"/>
      <c r="K73" s="8"/>
      <c r="L73" s="8"/>
      <c r="M73" s="7">
        <f>IF($C73="","",G73+H73+I73+J73+K73+L73)</f>
      </c>
      <c r="N73" s="8"/>
      <c r="O73" s="8"/>
      <c r="P73" s="8"/>
      <c r="Q73" s="8"/>
      <c r="R73" s="8"/>
      <c r="S73" s="7">
        <f>IF($C73="","",C73&amp;" | BSR "&amp;B73&amp;" | "&amp;TEXT(D73,"dd-mm-yyyy")&amp;" | ₹"&amp;TEXT(M73,"#,##0"))</f>
      </c>
      <c r="T73" s="7">
        <f>IF($C73="","",SUMIFS('Q1 Data'!$K$4:$K$207,'Q1 Data'!$B$4:$B$207,$S73)+SUMIFS('Q1 Data'!$N$4:$N$207,'Q1 Data'!$B$4:$B$207,$S73)+SUMIFS('Q1 Data'!$L$4:$L$207,'Q1 Data'!$B$4:$B$207,$S73))</f>
      </c>
      <c r="U73" s="7">
        <f>IF($C73="","",SUMIFS('Q2 Data'!$K$4:$K$207,'Q2 Data'!$B$4:$B$207,$S73)+SUMIFS('Q2 Data'!$N$4:$N$207,'Q2 Data'!$B$4:$B$207,$S73)+SUMIFS('Q2 Data'!$L$4:$L$207,'Q2 Data'!$B$4:$B$207,$S73))</f>
      </c>
      <c r="V73" s="7">
        <f>IF($C73="","",SUMIFS('Q3 Data'!$K$4:$K$207,'Q3 Data'!$B$4:$B$207,$S73)+SUMIFS('Q3 Data'!$N$4:$N$207,'Q3 Data'!$B$4:$B$207,$S73)+SUMIFS('Q3 Data'!$L$4:$L$207,'Q3 Data'!$B$4:$B$207,$S73))</f>
      </c>
      <c r="W73" s="7">
        <f>IF($C73="","",SUMIFS('Q4 Data'!$K$4:$K$207,'Q4 Data'!$B$4:$B$207,$S73)+SUMIFS('Q4 Data'!$N$4:$N$207,'Q4 Data'!$B$4:$B$207,$S73)+SUMIFS('Q4 Data'!$L$4:$L$207,'Q4 Data'!$B$4:$B$207,$S73))</f>
      </c>
      <c r="X73" s="7">
        <f>IF($C73="","",T73+U73+V73+W73)</f>
      </c>
      <c r="Y73" s="7">
        <f>IF($C73="","",M73-L73)</f>
      </c>
      <c r="Z73" s="7">
        <f>IF($C73="","",Y73-X73)</f>
      </c>
      <c r="AA73" s="7">
        <f>IF($C73="","",IF(ROUND(X73-Y73,2)&gt;0,"Over-applied",IF(ROUND(X73-Y73,2)=0,"Fully Utilised","Unconsumed")))</f>
      </c>
    </row>
    <row r="74" spans="1:27" x14ac:dyDescent="0.25">
      <c r="A74" s="7">
        <f>IF($C74="","",COUNTIF($C$4:$C74,"&lt;&gt;"))</f>
      </c>
      <c r="B74" s="8"/>
      <c r="C74" s="8"/>
      <c r="D74" s="8"/>
      <c r="E74" s="8"/>
      <c r="F74" s="8"/>
      <c r="G74" s="8"/>
      <c r="H74" s="8"/>
      <c r="I74" s="8"/>
      <c r="J74" s="8"/>
      <c r="K74" s="8"/>
      <c r="L74" s="8"/>
      <c r="M74" s="7">
        <f>IF($C74="","",G74+H74+I74+J74+K74+L74)</f>
      </c>
      <c r="N74" s="8"/>
      <c r="O74" s="8"/>
      <c r="P74" s="8"/>
      <c r="Q74" s="8"/>
      <c r="R74" s="8"/>
      <c r="S74" s="7">
        <f>IF($C74="","",C74&amp;" | BSR "&amp;B74&amp;" | "&amp;TEXT(D74,"dd-mm-yyyy")&amp;" | ₹"&amp;TEXT(M74,"#,##0"))</f>
      </c>
      <c r="T74" s="7">
        <f>IF($C74="","",SUMIFS('Q1 Data'!$K$4:$K$207,'Q1 Data'!$B$4:$B$207,$S74)+SUMIFS('Q1 Data'!$N$4:$N$207,'Q1 Data'!$B$4:$B$207,$S74)+SUMIFS('Q1 Data'!$L$4:$L$207,'Q1 Data'!$B$4:$B$207,$S74))</f>
      </c>
      <c r="U74" s="7">
        <f>IF($C74="","",SUMIFS('Q2 Data'!$K$4:$K$207,'Q2 Data'!$B$4:$B$207,$S74)+SUMIFS('Q2 Data'!$N$4:$N$207,'Q2 Data'!$B$4:$B$207,$S74)+SUMIFS('Q2 Data'!$L$4:$L$207,'Q2 Data'!$B$4:$B$207,$S74))</f>
      </c>
      <c r="V74" s="7">
        <f>IF($C74="","",SUMIFS('Q3 Data'!$K$4:$K$207,'Q3 Data'!$B$4:$B$207,$S74)+SUMIFS('Q3 Data'!$N$4:$N$207,'Q3 Data'!$B$4:$B$207,$S74)+SUMIFS('Q3 Data'!$L$4:$L$207,'Q3 Data'!$B$4:$B$207,$S74))</f>
      </c>
      <c r="W74" s="7">
        <f>IF($C74="","",SUMIFS('Q4 Data'!$K$4:$K$207,'Q4 Data'!$B$4:$B$207,$S74)+SUMIFS('Q4 Data'!$N$4:$N$207,'Q4 Data'!$B$4:$B$207,$S74)+SUMIFS('Q4 Data'!$L$4:$L$207,'Q4 Data'!$B$4:$B$207,$S74))</f>
      </c>
      <c r="X74" s="7">
        <f>IF($C74="","",T74+U74+V74+W74)</f>
      </c>
      <c r="Y74" s="7">
        <f>IF($C74="","",M74-L74)</f>
      </c>
      <c r="Z74" s="7">
        <f>IF($C74="","",Y74-X74)</f>
      </c>
      <c r="AA74" s="7">
        <f>IF($C74="","",IF(ROUND(X74-Y74,2)&gt;0,"Over-applied",IF(ROUND(X74-Y74,2)=0,"Fully Utilised","Unconsumed")))</f>
      </c>
    </row>
    <row r="75" spans="1:27" x14ac:dyDescent="0.25">
      <c r="A75" s="7">
        <f>IF($C75="","",COUNTIF($C$4:$C75,"&lt;&gt;"))</f>
      </c>
      <c r="B75" s="8"/>
      <c r="C75" s="8"/>
      <c r="D75" s="8"/>
      <c r="E75" s="8"/>
      <c r="F75" s="8"/>
      <c r="G75" s="8"/>
      <c r="H75" s="8"/>
      <c r="I75" s="8"/>
      <c r="J75" s="8"/>
      <c r="K75" s="8"/>
      <c r="L75" s="8"/>
      <c r="M75" s="7">
        <f>IF($C75="","",G75+H75+I75+J75+K75+L75)</f>
      </c>
      <c r="N75" s="8"/>
      <c r="O75" s="8"/>
      <c r="P75" s="8"/>
      <c r="Q75" s="8"/>
      <c r="R75" s="8"/>
      <c r="S75" s="7">
        <f>IF($C75="","",C75&amp;" | BSR "&amp;B75&amp;" | "&amp;TEXT(D75,"dd-mm-yyyy")&amp;" | ₹"&amp;TEXT(M75,"#,##0"))</f>
      </c>
      <c r="T75" s="7">
        <f>IF($C75="","",SUMIFS('Q1 Data'!$K$4:$K$207,'Q1 Data'!$B$4:$B$207,$S75)+SUMIFS('Q1 Data'!$N$4:$N$207,'Q1 Data'!$B$4:$B$207,$S75)+SUMIFS('Q1 Data'!$L$4:$L$207,'Q1 Data'!$B$4:$B$207,$S75))</f>
      </c>
      <c r="U75" s="7">
        <f>IF($C75="","",SUMIFS('Q2 Data'!$K$4:$K$207,'Q2 Data'!$B$4:$B$207,$S75)+SUMIFS('Q2 Data'!$N$4:$N$207,'Q2 Data'!$B$4:$B$207,$S75)+SUMIFS('Q2 Data'!$L$4:$L$207,'Q2 Data'!$B$4:$B$207,$S75))</f>
      </c>
      <c r="V75" s="7">
        <f>IF($C75="","",SUMIFS('Q3 Data'!$K$4:$K$207,'Q3 Data'!$B$4:$B$207,$S75)+SUMIFS('Q3 Data'!$N$4:$N$207,'Q3 Data'!$B$4:$B$207,$S75)+SUMIFS('Q3 Data'!$L$4:$L$207,'Q3 Data'!$B$4:$B$207,$S75))</f>
      </c>
      <c r="W75" s="7">
        <f>IF($C75="","",SUMIFS('Q4 Data'!$K$4:$K$207,'Q4 Data'!$B$4:$B$207,$S75)+SUMIFS('Q4 Data'!$N$4:$N$207,'Q4 Data'!$B$4:$B$207,$S75)+SUMIFS('Q4 Data'!$L$4:$L$207,'Q4 Data'!$B$4:$B$207,$S75))</f>
      </c>
      <c r="X75" s="7">
        <f>IF($C75="","",T75+U75+V75+W75)</f>
      </c>
      <c r="Y75" s="7">
        <f>IF($C75="","",M75-L75)</f>
      </c>
      <c r="Z75" s="7">
        <f>IF($C75="","",Y75-X75)</f>
      </c>
      <c r="AA75" s="7">
        <f>IF($C75="","",IF(ROUND(X75-Y75,2)&gt;0,"Over-applied",IF(ROUND(X75-Y75,2)=0,"Fully Utilised","Unconsumed")))</f>
      </c>
    </row>
    <row r="76" spans="1:27" x14ac:dyDescent="0.25">
      <c r="A76" s="7">
        <f>IF($C76="","",COUNTIF($C$4:$C76,"&lt;&gt;"))</f>
      </c>
      <c r="B76" s="8"/>
      <c r="C76" s="8"/>
      <c r="D76" s="8"/>
      <c r="E76" s="8"/>
      <c r="F76" s="8"/>
      <c r="G76" s="8"/>
      <c r="H76" s="8"/>
      <c r="I76" s="8"/>
      <c r="J76" s="8"/>
      <c r="K76" s="8"/>
      <c r="L76" s="8"/>
      <c r="M76" s="7">
        <f>IF($C76="","",G76+H76+I76+J76+K76+L76)</f>
      </c>
      <c r="N76" s="8"/>
      <c r="O76" s="8"/>
      <c r="P76" s="8"/>
      <c r="Q76" s="8"/>
      <c r="R76" s="8"/>
      <c r="S76" s="7">
        <f>IF($C76="","",C76&amp;" | BSR "&amp;B76&amp;" | "&amp;TEXT(D76,"dd-mm-yyyy")&amp;" | ₹"&amp;TEXT(M76,"#,##0"))</f>
      </c>
      <c r="T76" s="7">
        <f>IF($C76="","",SUMIFS('Q1 Data'!$K$4:$K$207,'Q1 Data'!$B$4:$B$207,$S76)+SUMIFS('Q1 Data'!$N$4:$N$207,'Q1 Data'!$B$4:$B$207,$S76)+SUMIFS('Q1 Data'!$L$4:$L$207,'Q1 Data'!$B$4:$B$207,$S76))</f>
      </c>
      <c r="U76" s="7">
        <f>IF($C76="","",SUMIFS('Q2 Data'!$K$4:$K$207,'Q2 Data'!$B$4:$B$207,$S76)+SUMIFS('Q2 Data'!$N$4:$N$207,'Q2 Data'!$B$4:$B$207,$S76)+SUMIFS('Q2 Data'!$L$4:$L$207,'Q2 Data'!$B$4:$B$207,$S76))</f>
      </c>
      <c r="V76" s="7">
        <f>IF($C76="","",SUMIFS('Q3 Data'!$K$4:$K$207,'Q3 Data'!$B$4:$B$207,$S76)+SUMIFS('Q3 Data'!$N$4:$N$207,'Q3 Data'!$B$4:$B$207,$S76)+SUMIFS('Q3 Data'!$L$4:$L$207,'Q3 Data'!$B$4:$B$207,$S76))</f>
      </c>
      <c r="W76" s="7">
        <f>IF($C76="","",SUMIFS('Q4 Data'!$K$4:$K$207,'Q4 Data'!$B$4:$B$207,$S76)+SUMIFS('Q4 Data'!$N$4:$N$207,'Q4 Data'!$B$4:$B$207,$S76)+SUMIFS('Q4 Data'!$L$4:$L$207,'Q4 Data'!$B$4:$B$207,$S76))</f>
      </c>
      <c r="X76" s="7">
        <f>IF($C76="","",T76+U76+V76+W76)</f>
      </c>
      <c r="Y76" s="7">
        <f>IF($C76="","",M76-L76)</f>
      </c>
      <c r="Z76" s="7">
        <f>IF($C76="","",Y76-X76)</f>
      </c>
      <c r="AA76" s="7">
        <f>IF($C76="","",IF(ROUND(X76-Y76,2)&gt;0,"Over-applied",IF(ROUND(X76-Y76,2)=0,"Fully Utilised","Unconsumed")))</f>
      </c>
    </row>
    <row r="77" spans="1:27" x14ac:dyDescent="0.25">
      <c r="A77" s="7">
        <f>IF($C77="","",COUNTIF($C$4:$C77,"&lt;&gt;"))</f>
      </c>
      <c r="B77" s="8"/>
      <c r="C77" s="8"/>
      <c r="D77" s="8"/>
      <c r="E77" s="8"/>
      <c r="F77" s="8"/>
      <c r="G77" s="8"/>
      <c r="H77" s="8"/>
      <c r="I77" s="8"/>
      <c r="J77" s="8"/>
      <c r="K77" s="8"/>
      <c r="L77" s="8"/>
      <c r="M77" s="7">
        <f>IF($C77="","",G77+H77+I77+J77+K77+L77)</f>
      </c>
      <c r="N77" s="8"/>
      <c r="O77" s="8"/>
      <c r="P77" s="8"/>
      <c r="Q77" s="8"/>
      <c r="R77" s="8"/>
      <c r="S77" s="7">
        <f>IF($C77="","",C77&amp;" | BSR "&amp;B77&amp;" | "&amp;TEXT(D77,"dd-mm-yyyy")&amp;" | ₹"&amp;TEXT(M77,"#,##0"))</f>
      </c>
      <c r="T77" s="7">
        <f>IF($C77="","",SUMIFS('Q1 Data'!$K$4:$K$207,'Q1 Data'!$B$4:$B$207,$S77)+SUMIFS('Q1 Data'!$N$4:$N$207,'Q1 Data'!$B$4:$B$207,$S77)+SUMIFS('Q1 Data'!$L$4:$L$207,'Q1 Data'!$B$4:$B$207,$S77))</f>
      </c>
      <c r="U77" s="7">
        <f>IF($C77="","",SUMIFS('Q2 Data'!$K$4:$K$207,'Q2 Data'!$B$4:$B$207,$S77)+SUMIFS('Q2 Data'!$N$4:$N$207,'Q2 Data'!$B$4:$B$207,$S77)+SUMIFS('Q2 Data'!$L$4:$L$207,'Q2 Data'!$B$4:$B$207,$S77))</f>
      </c>
      <c r="V77" s="7">
        <f>IF($C77="","",SUMIFS('Q3 Data'!$K$4:$K$207,'Q3 Data'!$B$4:$B$207,$S77)+SUMIFS('Q3 Data'!$N$4:$N$207,'Q3 Data'!$B$4:$B$207,$S77)+SUMIFS('Q3 Data'!$L$4:$L$207,'Q3 Data'!$B$4:$B$207,$S77))</f>
      </c>
      <c r="W77" s="7">
        <f>IF($C77="","",SUMIFS('Q4 Data'!$K$4:$K$207,'Q4 Data'!$B$4:$B$207,$S77)+SUMIFS('Q4 Data'!$N$4:$N$207,'Q4 Data'!$B$4:$B$207,$S77)+SUMIFS('Q4 Data'!$L$4:$L$207,'Q4 Data'!$B$4:$B$207,$S77))</f>
      </c>
      <c r="X77" s="7">
        <f>IF($C77="","",T77+U77+V77+W77)</f>
      </c>
      <c r="Y77" s="7">
        <f>IF($C77="","",M77-L77)</f>
      </c>
      <c r="Z77" s="7">
        <f>IF($C77="","",Y77-X77)</f>
      </c>
      <c r="AA77" s="7">
        <f>IF($C77="","",IF(ROUND(X77-Y77,2)&gt;0,"Over-applied",IF(ROUND(X77-Y77,2)=0,"Fully Utilised","Unconsumed")))</f>
      </c>
    </row>
    <row r="78" spans="1:27" x14ac:dyDescent="0.25">
      <c r="A78" s="7">
        <f>IF($C78="","",COUNTIF($C$4:$C78,"&lt;&gt;"))</f>
      </c>
      <c r="B78" s="8"/>
      <c r="C78" s="8"/>
      <c r="D78" s="8"/>
      <c r="E78" s="8"/>
      <c r="F78" s="8"/>
      <c r="G78" s="8"/>
      <c r="H78" s="8"/>
      <c r="I78" s="8"/>
      <c r="J78" s="8"/>
      <c r="K78" s="8"/>
      <c r="L78" s="8"/>
      <c r="M78" s="7">
        <f>IF($C78="","",G78+H78+I78+J78+K78+L78)</f>
      </c>
      <c r="N78" s="8"/>
      <c r="O78" s="8"/>
      <c r="P78" s="8"/>
      <c r="Q78" s="8"/>
      <c r="R78" s="8"/>
      <c r="S78" s="7">
        <f>IF($C78="","",C78&amp;" | BSR "&amp;B78&amp;" | "&amp;TEXT(D78,"dd-mm-yyyy")&amp;" | ₹"&amp;TEXT(M78,"#,##0"))</f>
      </c>
      <c r="T78" s="7">
        <f>IF($C78="","",SUMIFS('Q1 Data'!$K$4:$K$207,'Q1 Data'!$B$4:$B$207,$S78)+SUMIFS('Q1 Data'!$N$4:$N$207,'Q1 Data'!$B$4:$B$207,$S78)+SUMIFS('Q1 Data'!$L$4:$L$207,'Q1 Data'!$B$4:$B$207,$S78))</f>
      </c>
      <c r="U78" s="7">
        <f>IF($C78="","",SUMIFS('Q2 Data'!$K$4:$K$207,'Q2 Data'!$B$4:$B$207,$S78)+SUMIFS('Q2 Data'!$N$4:$N$207,'Q2 Data'!$B$4:$B$207,$S78)+SUMIFS('Q2 Data'!$L$4:$L$207,'Q2 Data'!$B$4:$B$207,$S78))</f>
      </c>
      <c r="V78" s="7">
        <f>IF($C78="","",SUMIFS('Q3 Data'!$K$4:$K$207,'Q3 Data'!$B$4:$B$207,$S78)+SUMIFS('Q3 Data'!$N$4:$N$207,'Q3 Data'!$B$4:$B$207,$S78)+SUMIFS('Q3 Data'!$L$4:$L$207,'Q3 Data'!$B$4:$B$207,$S78))</f>
      </c>
      <c r="W78" s="7">
        <f>IF($C78="","",SUMIFS('Q4 Data'!$K$4:$K$207,'Q4 Data'!$B$4:$B$207,$S78)+SUMIFS('Q4 Data'!$N$4:$N$207,'Q4 Data'!$B$4:$B$207,$S78)+SUMIFS('Q4 Data'!$L$4:$L$207,'Q4 Data'!$B$4:$B$207,$S78))</f>
      </c>
      <c r="X78" s="7">
        <f>IF($C78="","",T78+U78+V78+W78)</f>
      </c>
      <c r="Y78" s="7">
        <f>IF($C78="","",M78-L78)</f>
      </c>
      <c r="Z78" s="7">
        <f>IF($C78="","",Y78-X78)</f>
      </c>
      <c r="AA78" s="7">
        <f>IF($C78="","",IF(ROUND(X78-Y78,2)&gt;0,"Over-applied",IF(ROUND(X78-Y78,2)=0,"Fully Utilised","Unconsumed")))</f>
      </c>
    </row>
    <row r="79" spans="1:27" x14ac:dyDescent="0.25">
      <c r="A79" s="7">
        <f>IF($C79="","",COUNTIF($C$4:$C79,"&lt;&gt;"))</f>
      </c>
      <c r="B79" s="8"/>
      <c r="C79" s="8"/>
      <c r="D79" s="8"/>
      <c r="E79" s="8"/>
      <c r="F79" s="8"/>
      <c r="G79" s="8"/>
      <c r="H79" s="8"/>
      <c r="I79" s="8"/>
      <c r="J79" s="8"/>
      <c r="K79" s="8"/>
      <c r="L79" s="8"/>
      <c r="M79" s="7">
        <f>IF($C79="","",G79+H79+I79+J79+K79+L79)</f>
      </c>
      <c r="N79" s="8"/>
      <c r="O79" s="8"/>
      <c r="P79" s="8"/>
      <c r="Q79" s="8"/>
      <c r="R79" s="8"/>
      <c r="S79" s="7">
        <f>IF($C79="","",C79&amp;" | BSR "&amp;B79&amp;" | "&amp;TEXT(D79,"dd-mm-yyyy")&amp;" | ₹"&amp;TEXT(M79,"#,##0"))</f>
      </c>
      <c r="T79" s="7">
        <f>IF($C79="","",SUMIFS('Q1 Data'!$K$4:$K$207,'Q1 Data'!$B$4:$B$207,$S79)+SUMIFS('Q1 Data'!$N$4:$N$207,'Q1 Data'!$B$4:$B$207,$S79)+SUMIFS('Q1 Data'!$L$4:$L$207,'Q1 Data'!$B$4:$B$207,$S79))</f>
      </c>
      <c r="U79" s="7">
        <f>IF($C79="","",SUMIFS('Q2 Data'!$K$4:$K$207,'Q2 Data'!$B$4:$B$207,$S79)+SUMIFS('Q2 Data'!$N$4:$N$207,'Q2 Data'!$B$4:$B$207,$S79)+SUMIFS('Q2 Data'!$L$4:$L$207,'Q2 Data'!$B$4:$B$207,$S79))</f>
      </c>
      <c r="V79" s="7">
        <f>IF($C79="","",SUMIFS('Q3 Data'!$K$4:$K$207,'Q3 Data'!$B$4:$B$207,$S79)+SUMIFS('Q3 Data'!$N$4:$N$207,'Q3 Data'!$B$4:$B$207,$S79)+SUMIFS('Q3 Data'!$L$4:$L$207,'Q3 Data'!$B$4:$B$207,$S79))</f>
      </c>
      <c r="W79" s="7">
        <f>IF($C79="","",SUMIFS('Q4 Data'!$K$4:$K$207,'Q4 Data'!$B$4:$B$207,$S79)+SUMIFS('Q4 Data'!$N$4:$N$207,'Q4 Data'!$B$4:$B$207,$S79)+SUMIFS('Q4 Data'!$L$4:$L$207,'Q4 Data'!$B$4:$B$207,$S79))</f>
      </c>
      <c r="X79" s="7">
        <f>IF($C79="","",T79+U79+V79+W79)</f>
      </c>
      <c r="Y79" s="7">
        <f>IF($C79="","",M79-L79)</f>
      </c>
      <c r="Z79" s="7">
        <f>IF($C79="","",Y79-X79)</f>
      </c>
      <c r="AA79" s="7">
        <f>IF($C79="","",IF(ROUND(X79-Y79,2)&gt;0,"Over-applied",IF(ROUND(X79-Y79,2)=0,"Fully Utilised","Unconsumed")))</f>
      </c>
    </row>
    <row r="80" spans="1:27" x14ac:dyDescent="0.25">
      <c r="A80" s="7">
        <f>IF($C80="","",COUNTIF($C$4:$C80,"&lt;&gt;"))</f>
      </c>
      <c r="B80" s="8"/>
      <c r="C80" s="8"/>
      <c r="D80" s="8"/>
      <c r="E80" s="8"/>
      <c r="F80" s="8"/>
      <c r="G80" s="8"/>
      <c r="H80" s="8"/>
      <c r="I80" s="8"/>
      <c r="J80" s="8"/>
      <c r="K80" s="8"/>
      <c r="L80" s="8"/>
      <c r="M80" s="7">
        <f>IF($C80="","",G80+H80+I80+J80+K80+L80)</f>
      </c>
      <c r="N80" s="8"/>
      <c r="O80" s="8"/>
      <c r="P80" s="8"/>
      <c r="Q80" s="8"/>
      <c r="R80" s="8"/>
      <c r="S80" s="7">
        <f>IF($C80="","",C80&amp;" | BSR "&amp;B80&amp;" | "&amp;TEXT(D80,"dd-mm-yyyy")&amp;" | ₹"&amp;TEXT(M80,"#,##0"))</f>
      </c>
      <c r="T80" s="7">
        <f>IF($C80="","",SUMIFS('Q1 Data'!$K$4:$K$207,'Q1 Data'!$B$4:$B$207,$S80)+SUMIFS('Q1 Data'!$N$4:$N$207,'Q1 Data'!$B$4:$B$207,$S80)+SUMIFS('Q1 Data'!$L$4:$L$207,'Q1 Data'!$B$4:$B$207,$S80))</f>
      </c>
      <c r="U80" s="7">
        <f>IF($C80="","",SUMIFS('Q2 Data'!$K$4:$K$207,'Q2 Data'!$B$4:$B$207,$S80)+SUMIFS('Q2 Data'!$N$4:$N$207,'Q2 Data'!$B$4:$B$207,$S80)+SUMIFS('Q2 Data'!$L$4:$L$207,'Q2 Data'!$B$4:$B$207,$S80))</f>
      </c>
      <c r="V80" s="7">
        <f>IF($C80="","",SUMIFS('Q3 Data'!$K$4:$K$207,'Q3 Data'!$B$4:$B$207,$S80)+SUMIFS('Q3 Data'!$N$4:$N$207,'Q3 Data'!$B$4:$B$207,$S80)+SUMIFS('Q3 Data'!$L$4:$L$207,'Q3 Data'!$B$4:$B$207,$S80))</f>
      </c>
      <c r="W80" s="7">
        <f>IF($C80="","",SUMIFS('Q4 Data'!$K$4:$K$207,'Q4 Data'!$B$4:$B$207,$S80)+SUMIFS('Q4 Data'!$N$4:$N$207,'Q4 Data'!$B$4:$B$207,$S80)+SUMIFS('Q4 Data'!$L$4:$L$207,'Q4 Data'!$B$4:$B$207,$S80))</f>
      </c>
      <c r="X80" s="7">
        <f>IF($C80="","",T80+U80+V80+W80)</f>
      </c>
      <c r="Y80" s="7">
        <f>IF($C80="","",M80-L80)</f>
      </c>
      <c r="Z80" s="7">
        <f>IF($C80="","",Y80-X80)</f>
      </c>
      <c r="AA80" s="7">
        <f>IF($C80="","",IF(ROUND(X80-Y80,2)&gt;0,"Over-applied",IF(ROUND(X80-Y80,2)=0,"Fully Utilised","Unconsumed")))</f>
      </c>
    </row>
    <row r="81" spans="1:27" x14ac:dyDescent="0.25">
      <c r="A81" s="7">
        <f>IF($C81="","",COUNTIF($C$4:$C81,"&lt;&gt;"))</f>
      </c>
      <c r="B81" s="8"/>
      <c r="C81" s="8"/>
      <c r="D81" s="8"/>
      <c r="E81" s="8"/>
      <c r="F81" s="8"/>
      <c r="G81" s="8"/>
      <c r="H81" s="8"/>
      <c r="I81" s="8"/>
      <c r="J81" s="8"/>
      <c r="K81" s="8"/>
      <c r="L81" s="8"/>
      <c r="M81" s="7">
        <f>IF($C81="","",G81+H81+I81+J81+K81+L81)</f>
      </c>
      <c r="N81" s="8"/>
      <c r="O81" s="8"/>
      <c r="P81" s="8"/>
      <c r="Q81" s="8"/>
      <c r="R81" s="8"/>
      <c r="S81" s="7">
        <f>IF($C81="","",C81&amp;" | BSR "&amp;B81&amp;" | "&amp;TEXT(D81,"dd-mm-yyyy")&amp;" | ₹"&amp;TEXT(M81,"#,##0"))</f>
      </c>
      <c r="T81" s="7">
        <f>IF($C81="","",SUMIFS('Q1 Data'!$K$4:$K$207,'Q1 Data'!$B$4:$B$207,$S81)+SUMIFS('Q1 Data'!$N$4:$N$207,'Q1 Data'!$B$4:$B$207,$S81)+SUMIFS('Q1 Data'!$L$4:$L$207,'Q1 Data'!$B$4:$B$207,$S81))</f>
      </c>
      <c r="U81" s="7">
        <f>IF($C81="","",SUMIFS('Q2 Data'!$K$4:$K$207,'Q2 Data'!$B$4:$B$207,$S81)+SUMIFS('Q2 Data'!$N$4:$N$207,'Q2 Data'!$B$4:$B$207,$S81)+SUMIFS('Q2 Data'!$L$4:$L$207,'Q2 Data'!$B$4:$B$207,$S81))</f>
      </c>
      <c r="V81" s="7">
        <f>IF($C81="","",SUMIFS('Q3 Data'!$K$4:$K$207,'Q3 Data'!$B$4:$B$207,$S81)+SUMIFS('Q3 Data'!$N$4:$N$207,'Q3 Data'!$B$4:$B$207,$S81)+SUMIFS('Q3 Data'!$L$4:$L$207,'Q3 Data'!$B$4:$B$207,$S81))</f>
      </c>
      <c r="W81" s="7">
        <f>IF($C81="","",SUMIFS('Q4 Data'!$K$4:$K$207,'Q4 Data'!$B$4:$B$207,$S81)+SUMIFS('Q4 Data'!$N$4:$N$207,'Q4 Data'!$B$4:$B$207,$S81)+SUMIFS('Q4 Data'!$L$4:$L$207,'Q4 Data'!$B$4:$B$207,$S81))</f>
      </c>
      <c r="X81" s="7">
        <f>IF($C81="","",T81+U81+V81+W81)</f>
      </c>
      <c r="Y81" s="7">
        <f>IF($C81="","",M81-L81)</f>
      </c>
      <c r="Z81" s="7">
        <f>IF($C81="","",Y81-X81)</f>
      </c>
      <c r="AA81" s="7">
        <f>IF($C81="","",IF(ROUND(X81-Y81,2)&gt;0,"Over-applied",IF(ROUND(X81-Y81,2)=0,"Fully Utilised","Unconsumed")))</f>
      </c>
    </row>
    <row r="82" spans="1:27" x14ac:dyDescent="0.25">
      <c r="A82" s="7">
        <f>IF($C82="","",COUNTIF($C$4:$C82,"&lt;&gt;"))</f>
      </c>
      <c r="B82" s="8"/>
      <c r="C82" s="8"/>
      <c r="D82" s="8"/>
      <c r="E82" s="8"/>
      <c r="F82" s="8"/>
      <c r="G82" s="8"/>
      <c r="H82" s="8"/>
      <c r="I82" s="8"/>
      <c r="J82" s="8"/>
      <c r="K82" s="8"/>
      <c r="L82" s="8"/>
      <c r="M82" s="7">
        <f>IF($C82="","",G82+H82+I82+J82+K82+L82)</f>
      </c>
      <c r="N82" s="8"/>
      <c r="O82" s="8"/>
      <c r="P82" s="8"/>
      <c r="Q82" s="8"/>
      <c r="R82" s="8"/>
      <c r="S82" s="7">
        <f>IF($C82="","",C82&amp;" | BSR "&amp;B82&amp;" | "&amp;TEXT(D82,"dd-mm-yyyy")&amp;" | ₹"&amp;TEXT(M82,"#,##0"))</f>
      </c>
      <c r="T82" s="7">
        <f>IF($C82="","",SUMIFS('Q1 Data'!$K$4:$K$207,'Q1 Data'!$B$4:$B$207,$S82)+SUMIFS('Q1 Data'!$N$4:$N$207,'Q1 Data'!$B$4:$B$207,$S82)+SUMIFS('Q1 Data'!$L$4:$L$207,'Q1 Data'!$B$4:$B$207,$S82))</f>
      </c>
      <c r="U82" s="7">
        <f>IF($C82="","",SUMIFS('Q2 Data'!$K$4:$K$207,'Q2 Data'!$B$4:$B$207,$S82)+SUMIFS('Q2 Data'!$N$4:$N$207,'Q2 Data'!$B$4:$B$207,$S82)+SUMIFS('Q2 Data'!$L$4:$L$207,'Q2 Data'!$B$4:$B$207,$S82))</f>
      </c>
      <c r="V82" s="7">
        <f>IF($C82="","",SUMIFS('Q3 Data'!$K$4:$K$207,'Q3 Data'!$B$4:$B$207,$S82)+SUMIFS('Q3 Data'!$N$4:$N$207,'Q3 Data'!$B$4:$B$207,$S82)+SUMIFS('Q3 Data'!$L$4:$L$207,'Q3 Data'!$B$4:$B$207,$S82))</f>
      </c>
      <c r="W82" s="7">
        <f>IF($C82="","",SUMIFS('Q4 Data'!$K$4:$K$207,'Q4 Data'!$B$4:$B$207,$S82)+SUMIFS('Q4 Data'!$N$4:$N$207,'Q4 Data'!$B$4:$B$207,$S82)+SUMIFS('Q4 Data'!$L$4:$L$207,'Q4 Data'!$B$4:$B$207,$S82))</f>
      </c>
      <c r="X82" s="7">
        <f>IF($C82="","",T82+U82+V82+W82)</f>
      </c>
      <c r="Y82" s="7">
        <f>IF($C82="","",M82-L82)</f>
      </c>
      <c r="Z82" s="7">
        <f>IF($C82="","",Y82-X82)</f>
      </c>
      <c r="AA82" s="7">
        <f>IF($C82="","",IF(ROUND(X82-Y82,2)&gt;0,"Over-applied",IF(ROUND(X82-Y82,2)=0,"Fully Utilised","Unconsumed")))</f>
      </c>
    </row>
    <row r="83" spans="1:27" x14ac:dyDescent="0.25">
      <c r="A83" s="7">
        <f>IF($C83="","",COUNTIF($C$4:$C83,"&lt;&gt;"))</f>
      </c>
      <c r="B83" s="8"/>
      <c r="C83" s="8"/>
      <c r="D83" s="8"/>
      <c r="E83" s="8"/>
      <c r="F83" s="8"/>
      <c r="G83" s="8"/>
      <c r="H83" s="8"/>
      <c r="I83" s="8"/>
      <c r="J83" s="8"/>
      <c r="K83" s="8"/>
      <c r="L83" s="8"/>
      <c r="M83" s="7">
        <f>IF($C83="","",G83+H83+I83+J83+K83+L83)</f>
      </c>
      <c r="N83" s="8"/>
      <c r="O83" s="8"/>
      <c r="P83" s="8"/>
      <c r="Q83" s="8"/>
      <c r="R83" s="8"/>
      <c r="S83" s="7">
        <f>IF($C83="","",C83&amp;" | BSR "&amp;B83&amp;" | "&amp;TEXT(D83,"dd-mm-yyyy")&amp;" | ₹"&amp;TEXT(M83,"#,##0"))</f>
      </c>
      <c r="T83" s="7">
        <f>IF($C83="","",SUMIFS('Q1 Data'!$K$4:$K$207,'Q1 Data'!$B$4:$B$207,$S83)+SUMIFS('Q1 Data'!$N$4:$N$207,'Q1 Data'!$B$4:$B$207,$S83)+SUMIFS('Q1 Data'!$L$4:$L$207,'Q1 Data'!$B$4:$B$207,$S83))</f>
      </c>
      <c r="U83" s="7">
        <f>IF($C83="","",SUMIFS('Q2 Data'!$K$4:$K$207,'Q2 Data'!$B$4:$B$207,$S83)+SUMIFS('Q2 Data'!$N$4:$N$207,'Q2 Data'!$B$4:$B$207,$S83)+SUMIFS('Q2 Data'!$L$4:$L$207,'Q2 Data'!$B$4:$B$207,$S83))</f>
      </c>
      <c r="V83" s="7">
        <f>IF($C83="","",SUMIFS('Q3 Data'!$K$4:$K$207,'Q3 Data'!$B$4:$B$207,$S83)+SUMIFS('Q3 Data'!$N$4:$N$207,'Q3 Data'!$B$4:$B$207,$S83)+SUMIFS('Q3 Data'!$L$4:$L$207,'Q3 Data'!$B$4:$B$207,$S83))</f>
      </c>
      <c r="W83" s="7">
        <f>IF($C83="","",SUMIFS('Q4 Data'!$K$4:$K$207,'Q4 Data'!$B$4:$B$207,$S83)+SUMIFS('Q4 Data'!$N$4:$N$207,'Q4 Data'!$B$4:$B$207,$S83)+SUMIFS('Q4 Data'!$L$4:$L$207,'Q4 Data'!$B$4:$B$207,$S83))</f>
      </c>
      <c r="X83" s="7">
        <f>IF($C83="","",T83+U83+V83+W83)</f>
      </c>
      <c r="Y83" s="7">
        <f>IF($C83="","",M83-L83)</f>
      </c>
      <c r="Z83" s="7">
        <f>IF($C83="","",Y83-X83)</f>
      </c>
      <c r="AA83" s="7">
        <f>IF($C83="","",IF(ROUND(X83-Y83,2)&gt;0,"Over-applied",IF(ROUND(X83-Y83,2)=0,"Fully Utilised","Unconsumed")))</f>
      </c>
    </row>
    <row r="84" spans="1:27" x14ac:dyDescent="0.25">
      <c r="A84" s="7">
        <f>IF($C84="","",COUNTIF($C$4:$C84,"&lt;&gt;"))</f>
      </c>
      <c r="B84" s="8"/>
      <c r="C84" s="8"/>
      <c r="D84" s="8"/>
      <c r="E84" s="8"/>
      <c r="F84" s="8"/>
      <c r="G84" s="8"/>
      <c r="H84" s="8"/>
      <c r="I84" s="8"/>
      <c r="J84" s="8"/>
      <c r="K84" s="8"/>
      <c r="L84" s="8"/>
      <c r="M84" s="7">
        <f>IF($C84="","",G84+H84+I84+J84+K84+L84)</f>
      </c>
      <c r="N84" s="8"/>
      <c r="O84" s="8"/>
      <c r="P84" s="8"/>
      <c r="Q84" s="8"/>
      <c r="R84" s="8"/>
      <c r="S84" s="7">
        <f>IF($C84="","",C84&amp;" | BSR "&amp;B84&amp;" | "&amp;TEXT(D84,"dd-mm-yyyy")&amp;" | ₹"&amp;TEXT(M84,"#,##0"))</f>
      </c>
      <c r="T84" s="7">
        <f>IF($C84="","",SUMIFS('Q1 Data'!$K$4:$K$207,'Q1 Data'!$B$4:$B$207,$S84)+SUMIFS('Q1 Data'!$N$4:$N$207,'Q1 Data'!$B$4:$B$207,$S84)+SUMIFS('Q1 Data'!$L$4:$L$207,'Q1 Data'!$B$4:$B$207,$S84))</f>
      </c>
      <c r="U84" s="7">
        <f>IF($C84="","",SUMIFS('Q2 Data'!$K$4:$K$207,'Q2 Data'!$B$4:$B$207,$S84)+SUMIFS('Q2 Data'!$N$4:$N$207,'Q2 Data'!$B$4:$B$207,$S84)+SUMIFS('Q2 Data'!$L$4:$L$207,'Q2 Data'!$B$4:$B$207,$S84))</f>
      </c>
      <c r="V84" s="7">
        <f>IF($C84="","",SUMIFS('Q3 Data'!$K$4:$K$207,'Q3 Data'!$B$4:$B$207,$S84)+SUMIFS('Q3 Data'!$N$4:$N$207,'Q3 Data'!$B$4:$B$207,$S84)+SUMIFS('Q3 Data'!$L$4:$L$207,'Q3 Data'!$B$4:$B$207,$S84))</f>
      </c>
      <c r="W84" s="7">
        <f>IF($C84="","",SUMIFS('Q4 Data'!$K$4:$K$207,'Q4 Data'!$B$4:$B$207,$S84)+SUMIFS('Q4 Data'!$N$4:$N$207,'Q4 Data'!$B$4:$B$207,$S84)+SUMIFS('Q4 Data'!$L$4:$L$207,'Q4 Data'!$B$4:$B$207,$S84))</f>
      </c>
      <c r="X84" s="7">
        <f>IF($C84="","",T84+U84+V84+W84)</f>
      </c>
      <c r="Y84" s="7">
        <f>IF($C84="","",M84-L84)</f>
      </c>
      <c r="Z84" s="7">
        <f>IF($C84="","",Y84-X84)</f>
      </c>
      <c r="AA84" s="7">
        <f>IF($C84="","",IF(ROUND(X84-Y84,2)&gt;0,"Over-applied",IF(ROUND(X84-Y84,2)=0,"Fully Utilised","Unconsumed")))</f>
      </c>
    </row>
    <row r="85" spans="1:27" x14ac:dyDescent="0.25">
      <c r="A85" s="7">
        <f>IF($C85="","",COUNTIF($C$4:$C85,"&lt;&gt;"))</f>
      </c>
      <c r="B85" s="8"/>
      <c r="C85" s="8"/>
      <c r="D85" s="8"/>
      <c r="E85" s="8"/>
      <c r="F85" s="8"/>
      <c r="G85" s="8"/>
      <c r="H85" s="8"/>
      <c r="I85" s="8"/>
      <c r="J85" s="8"/>
      <c r="K85" s="8"/>
      <c r="L85" s="8"/>
      <c r="M85" s="7">
        <f>IF($C85="","",G85+H85+I85+J85+K85+L85)</f>
      </c>
      <c r="N85" s="8"/>
      <c r="O85" s="8"/>
      <c r="P85" s="8"/>
      <c r="Q85" s="8"/>
      <c r="R85" s="8"/>
      <c r="S85" s="7">
        <f>IF($C85="","",C85&amp;" | BSR "&amp;B85&amp;" | "&amp;TEXT(D85,"dd-mm-yyyy")&amp;" | ₹"&amp;TEXT(M85,"#,##0"))</f>
      </c>
      <c r="T85" s="7">
        <f>IF($C85="","",SUMIFS('Q1 Data'!$K$4:$K$207,'Q1 Data'!$B$4:$B$207,$S85)+SUMIFS('Q1 Data'!$N$4:$N$207,'Q1 Data'!$B$4:$B$207,$S85)+SUMIFS('Q1 Data'!$L$4:$L$207,'Q1 Data'!$B$4:$B$207,$S85))</f>
      </c>
      <c r="U85" s="7">
        <f>IF($C85="","",SUMIFS('Q2 Data'!$K$4:$K$207,'Q2 Data'!$B$4:$B$207,$S85)+SUMIFS('Q2 Data'!$N$4:$N$207,'Q2 Data'!$B$4:$B$207,$S85)+SUMIFS('Q2 Data'!$L$4:$L$207,'Q2 Data'!$B$4:$B$207,$S85))</f>
      </c>
      <c r="V85" s="7">
        <f>IF($C85="","",SUMIFS('Q3 Data'!$K$4:$K$207,'Q3 Data'!$B$4:$B$207,$S85)+SUMIFS('Q3 Data'!$N$4:$N$207,'Q3 Data'!$B$4:$B$207,$S85)+SUMIFS('Q3 Data'!$L$4:$L$207,'Q3 Data'!$B$4:$B$207,$S85))</f>
      </c>
      <c r="W85" s="7">
        <f>IF($C85="","",SUMIFS('Q4 Data'!$K$4:$K$207,'Q4 Data'!$B$4:$B$207,$S85)+SUMIFS('Q4 Data'!$N$4:$N$207,'Q4 Data'!$B$4:$B$207,$S85)+SUMIFS('Q4 Data'!$L$4:$L$207,'Q4 Data'!$B$4:$B$207,$S85))</f>
      </c>
      <c r="X85" s="7">
        <f>IF($C85="","",T85+U85+V85+W85)</f>
      </c>
      <c r="Y85" s="7">
        <f>IF($C85="","",M85-L85)</f>
      </c>
      <c r="Z85" s="7">
        <f>IF($C85="","",Y85-X85)</f>
      </c>
      <c r="AA85" s="7">
        <f>IF($C85="","",IF(ROUND(X85-Y85,2)&gt;0,"Over-applied",IF(ROUND(X85-Y85,2)=0,"Fully Utilised","Unconsumed")))</f>
      </c>
    </row>
    <row r="86" spans="1:27" x14ac:dyDescent="0.25">
      <c r="A86" s="7">
        <f>IF($C86="","",COUNTIF($C$4:$C86,"&lt;&gt;"))</f>
      </c>
      <c r="B86" s="8"/>
      <c r="C86" s="8"/>
      <c r="D86" s="8"/>
      <c r="E86" s="8"/>
      <c r="F86" s="8"/>
      <c r="G86" s="8"/>
      <c r="H86" s="8"/>
      <c r="I86" s="8"/>
      <c r="J86" s="8"/>
      <c r="K86" s="8"/>
      <c r="L86" s="8"/>
      <c r="M86" s="7">
        <f>IF($C86="","",G86+H86+I86+J86+K86+L86)</f>
      </c>
      <c r="N86" s="8"/>
      <c r="O86" s="8"/>
      <c r="P86" s="8"/>
      <c r="Q86" s="8"/>
      <c r="R86" s="8"/>
      <c r="S86" s="7">
        <f>IF($C86="","",C86&amp;" | BSR "&amp;B86&amp;" | "&amp;TEXT(D86,"dd-mm-yyyy")&amp;" | ₹"&amp;TEXT(M86,"#,##0"))</f>
      </c>
      <c r="T86" s="7">
        <f>IF($C86="","",SUMIFS('Q1 Data'!$K$4:$K$207,'Q1 Data'!$B$4:$B$207,$S86)+SUMIFS('Q1 Data'!$N$4:$N$207,'Q1 Data'!$B$4:$B$207,$S86)+SUMIFS('Q1 Data'!$L$4:$L$207,'Q1 Data'!$B$4:$B$207,$S86))</f>
      </c>
      <c r="U86" s="7">
        <f>IF($C86="","",SUMIFS('Q2 Data'!$K$4:$K$207,'Q2 Data'!$B$4:$B$207,$S86)+SUMIFS('Q2 Data'!$N$4:$N$207,'Q2 Data'!$B$4:$B$207,$S86)+SUMIFS('Q2 Data'!$L$4:$L$207,'Q2 Data'!$B$4:$B$207,$S86))</f>
      </c>
      <c r="V86" s="7">
        <f>IF($C86="","",SUMIFS('Q3 Data'!$K$4:$K$207,'Q3 Data'!$B$4:$B$207,$S86)+SUMIFS('Q3 Data'!$N$4:$N$207,'Q3 Data'!$B$4:$B$207,$S86)+SUMIFS('Q3 Data'!$L$4:$L$207,'Q3 Data'!$B$4:$B$207,$S86))</f>
      </c>
      <c r="W86" s="7">
        <f>IF($C86="","",SUMIFS('Q4 Data'!$K$4:$K$207,'Q4 Data'!$B$4:$B$207,$S86)+SUMIFS('Q4 Data'!$N$4:$N$207,'Q4 Data'!$B$4:$B$207,$S86)+SUMIFS('Q4 Data'!$L$4:$L$207,'Q4 Data'!$B$4:$B$207,$S86))</f>
      </c>
      <c r="X86" s="7">
        <f>IF($C86="","",T86+U86+V86+W86)</f>
      </c>
      <c r="Y86" s="7">
        <f>IF($C86="","",M86-L86)</f>
      </c>
      <c r="Z86" s="7">
        <f>IF($C86="","",Y86-X86)</f>
      </c>
      <c r="AA86" s="7">
        <f>IF($C86="","",IF(ROUND(X86-Y86,2)&gt;0,"Over-applied",IF(ROUND(X86-Y86,2)=0,"Fully Utilised","Unconsumed")))</f>
      </c>
    </row>
    <row r="87" spans="1:27" x14ac:dyDescent="0.25">
      <c r="A87" s="7">
        <f>IF($C87="","",COUNTIF($C$4:$C87,"&lt;&gt;"))</f>
      </c>
      <c r="B87" s="8"/>
      <c r="C87" s="8"/>
      <c r="D87" s="8"/>
      <c r="E87" s="8"/>
      <c r="F87" s="8"/>
      <c r="G87" s="8"/>
      <c r="H87" s="8"/>
      <c r="I87" s="8"/>
      <c r="J87" s="8"/>
      <c r="K87" s="8"/>
      <c r="L87" s="8"/>
      <c r="M87" s="7">
        <f>IF($C87="","",G87+H87+I87+J87+K87+L87)</f>
      </c>
      <c r="N87" s="8"/>
      <c r="O87" s="8"/>
      <c r="P87" s="8"/>
      <c r="Q87" s="8"/>
      <c r="R87" s="8"/>
      <c r="S87" s="7">
        <f>IF($C87="","",C87&amp;" | BSR "&amp;B87&amp;" | "&amp;TEXT(D87,"dd-mm-yyyy")&amp;" | ₹"&amp;TEXT(M87,"#,##0"))</f>
      </c>
      <c r="T87" s="7">
        <f>IF($C87="","",SUMIFS('Q1 Data'!$K$4:$K$207,'Q1 Data'!$B$4:$B$207,$S87)+SUMIFS('Q1 Data'!$N$4:$N$207,'Q1 Data'!$B$4:$B$207,$S87)+SUMIFS('Q1 Data'!$L$4:$L$207,'Q1 Data'!$B$4:$B$207,$S87))</f>
      </c>
      <c r="U87" s="7">
        <f>IF($C87="","",SUMIFS('Q2 Data'!$K$4:$K$207,'Q2 Data'!$B$4:$B$207,$S87)+SUMIFS('Q2 Data'!$N$4:$N$207,'Q2 Data'!$B$4:$B$207,$S87)+SUMIFS('Q2 Data'!$L$4:$L$207,'Q2 Data'!$B$4:$B$207,$S87))</f>
      </c>
      <c r="V87" s="7">
        <f>IF($C87="","",SUMIFS('Q3 Data'!$K$4:$K$207,'Q3 Data'!$B$4:$B$207,$S87)+SUMIFS('Q3 Data'!$N$4:$N$207,'Q3 Data'!$B$4:$B$207,$S87)+SUMIFS('Q3 Data'!$L$4:$L$207,'Q3 Data'!$B$4:$B$207,$S87))</f>
      </c>
      <c r="W87" s="7">
        <f>IF($C87="","",SUMIFS('Q4 Data'!$K$4:$K$207,'Q4 Data'!$B$4:$B$207,$S87)+SUMIFS('Q4 Data'!$N$4:$N$207,'Q4 Data'!$B$4:$B$207,$S87)+SUMIFS('Q4 Data'!$L$4:$L$207,'Q4 Data'!$B$4:$B$207,$S87))</f>
      </c>
      <c r="X87" s="7">
        <f>IF($C87="","",T87+U87+V87+W87)</f>
      </c>
      <c r="Y87" s="7">
        <f>IF($C87="","",M87-L87)</f>
      </c>
      <c r="Z87" s="7">
        <f>IF($C87="","",Y87-X87)</f>
      </c>
      <c r="AA87" s="7">
        <f>IF($C87="","",IF(ROUND(X87-Y87,2)&gt;0,"Over-applied",IF(ROUND(X87-Y87,2)=0,"Fully Utilised","Unconsumed")))</f>
      </c>
    </row>
    <row r="88" spans="1:27" x14ac:dyDescent="0.25">
      <c r="A88" s="7">
        <f>IF($C88="","",COUNTIF($C$4:$C88,"&lt;&gt;"))</f>
      </c>
      <c r="B88" s="8"/>
      <c r="C88" s="8"/>
      <c r="D88" s="8"/>
      <c r="E88" s="8"/>
      <c r="F88" s="8"/>
      <c r="G88" s="8"/>
      <c r="H88" s="8"/>
      <c r="I88" s="8"/>
      <c r="J88" s="8"/>
      <c r="K88" s="8"/>
      <c r="L88" s="8"/>
      <c r="M88" s="7">
        <f>IF($C88="","",G88+H88+I88+J88+K88+L88)</f>
      </c>
      <c r="N88" s="8"/>
      <c r="O88" s="8"/>
      <c r="P88" s="8"/>
      <c r="Q88" s="8"/>
      <c r="R88" s="8"/>
      <c r="S88" s="7">
        <f>IF($C88="","",C88&amp;" | BSR "&amp;B88&amp;" | "&amp;TEXT(D88,"dd-mm-yyyy")&amp;" | ₹"&amp;TEXT(M88,"#,##0"))</f>
      </c>
      <c r="T88" s="7">
        <f>IF($C88="","",SUMIFS('Q1 Data'!$K$4:$K$207,'Q1 Data'!$B$4:$B$207,$S88)+SUMIFS('Q1 Data'!$N$4:$N$207,'Q1 Data'!$B$4:$B$207,$S88)+SUMIFS('Q1 Data'!$L$4:$L$207,'Q1 Data'!$B$4:$B$207,$S88))</f>
      </c>
      <c r="U88" s="7">
        <f>IF($C88="","",SUMIFS('Q2 Data'!$K$4:$K$207,'Q2 Data'!$B$4:$B$207,$S88)+SUMIFS('Q2 Data'!$N$4:$N$207,'Q2 Data'!$B$4:$B$207,$S88)+SUMIFS('Q2 Data'!$L$4:$L$207,'Q2 Data'!$B$4:$B$207,$S88))</f>
      </c>
      <c r="V88" s="7">
        <f>IF($C88="","",SUMIFS('Q3 Data'!$K$4:$K$207,'Q3 Data'!$B$4:$B$207,$S88)+SUMIFS('Q3 Data'!$N$4:$N$207,'Q3 Data'!$B$4:$B$207,$S88)+SUMIFS('Q3 Data'!$L$4:$L$207,'Q3 Data'!$B$4:$B$207,$S88))</f>
      </c>
      <c r="W88" s="7">
        <f>IF($C88="","",SUMIFS('Q4 Data'!$K$4:$K$207,'Q4 Data'!$B$4:$B$207,$S88)+SUMIFS('Q4 Data'!$N$4:$N$207,'Q4 Data'!$B$4:$B$207,$S88)+SUMIFS('Q4 Data'!$L$4:$L$207,'Q4 Data'!$B$4:$B$207,$S88))</f>
      </c>
      <c r="X88" s="7">
        <f>IF($C88="","",T88+U88+V88+W88)</f>
      </c>
      <c r="Y88" s="7">
        <f>IF($C88="","",M88-L88)</f>
      </c>
      <c r="Z88" s="7">
        <f>IF($C88="","",Y88-X88)</f>
      </c>
      <c r="AA88" s="7">
        <f>IF($C88="","",IF(ROUND(X88-Y88,2)&gt;0,"Over-applied",IF(ROUND(X88-Y88,2)=0,"Fully Utilised","Unconsumed")))</f>
      </c>
    </row>
    <row r="89" spans="1:27" x14ac:dyDescent="0.25">
      <c r="A89" s="7">
        <f>IF($C89="","",COUNTIF($C$4:$C89,"&lt;&gt;"))</f>
      </c>
      <c r="B89" s="8"/>
      <c r="C89" s="8"/>
      <c r="D89" s="8"/>
      <c r="E89" s="8"/>
      <c r="F89" s="8"/>
      <c r="G89" s="8"/>
      <c r="H89" s="8"/>
      <c r="I89" s="8"/>
      <c r="J89" s="8"/>
      <c r="K89" s="8"/>
      <c r="L89" s="8"/>
      <c r="M89" s="7">
        <f>IF($C89="","",G89+H89+I89+J89+K89+L89)</f>
      </c>
      <c r="N89" s="8"/>
      <c r="O89" s="8"/>
      <c r="P89" s="8"/>
      <c r="Q89" s="8"/>
      <c r="R89" s="8"/>
      <c r="S89" s="7">
        <f>IF($C89="","",C89&amp;" | BSR "&amp;B89&amp;" | "&amp;TEXT(D89,"dd-mm-yyyy")&amp;" | ₹"&amp;TEXT(M89,"#,##0"))</f>
      </c>
      <c r="T89" s="7">
        <f>IF($C89="","",SUMIFS('Q1 Data'!$K$4:$K$207,'Q1 Data'!$B$4:$B$207,$S89)+SUMIFS('Q1 Data'!$N$4:$N$207,'Q1 Data'!$B$4:$B$207,$S89)+SUMIFS('Q1 Data'!$L$4:$L$207,'Q1 Data'!$B$4:$B$207,$S89))</f>
      </c>
      <c r="U89" s="7">
        <f>IF($C89="","",SUMIFS('Q2 Data'!$K$4:$K$207,'Q2 Data'!$B$4:$B$207,$S89)+SUMIFS('Q2 Data'!$N$4:$N$207,'Q2 Data'!$B$4:$B$207,$S89)+SUMIFS('Q2 Data'!$L$4:$L$207,'Q2 Data'!$B$4:$B$207,$S89))</f>
      </c>
      <c r="V89" s="7">
        <f>IF($C89="","",SUMIFS('Q3 Data'!$K$4:$K$207,'Q3 Data'!$B$4:$B$207,$S89)+SUMIFS('Q3 Data'!$N$4:$N$207,'Q3 Data'!$B$4:$B$207,$S89)+SUMIFS('Q3 Data'!$L$4:$L$207,'Q3 Data'!$B$4:$B$207,$S89))</f>
      </c>
      <c r="W89" s="7">
        <f>IF($C89="","",SUMIFS('Q4 Data'!$K$4:$K$207,'Q4 Data'!$B$4:$B$207,$S89)+SUMIFS('Q4 Data'!$N$4:$N$207,'Q4 Data'!$B$4:$B$207,$S89)+SUMIFS('Q4 Data'!$L$4:$L$207,'Q4 Data'!$B$4:$B$207,$S89))</f>
      </c>
      <c r="X89" s="7">
        <f>IF($C89="","",T89+U89+V89+W89)</f>
      </c>
      <c r="Y89" s="7">
        <f>IF($C89="","",M89-L89)</f>
      </c>
      <c r="Z89" s="7">
        <f>IF($C89="","",Y89-X89)</f>
      </c>
      <c r="AA89" s="7">
        <f>IF($C89="","",IF(ROUND(X89-Y89,2)&gt;0,"Over-applied",IF(ROUND(X89-Y89,2)=0,"Fully Utilised","Unconsumed")))</f>
      </c>
    </row>
    <row r="90" spans="1:27" x14ac:dyDescent="0.25">
      <c r="A90" s="7">
        <f>IF($C90="","",COUNTIF($C$4:$C90,"&lt;&gt;"))</f>
      </c>
      <c r="B90" s="8"/>
      <c r="C90" s="8"/>
      <c r="D90" s="8"/>
      <c r="E90" s="8"/>
      <c r="F90" s="8"/>
      <c r="G90" s="8"/>
      <c r="H90" s="8"/>
      <c r="I90" s="8"/>
      <c r="J90" s="8"/>
      <c r="K90" s="8"/>
      <c r="L90" s="8"/>
      <c r="M90" s="7">
        <f>IF($C90="","",G90+H90+I90+J90+K90+L90)</f>
      </c>
      <c r="N90" s="8"/>
      <c r="O90" s="8"/>
      <c r="P90" s="8"/>
      <c r="Q90" s="8"/>
      <c r="R90" s="8"/>
      <c r="S90" s="7">
        <f>IF($C90="","",C90&amp;" | BSR "&amp;B90&amp;" | "&amp;TEXT(D90,"dd-mm-yyyy")&amp;" | ₹"&amp;TEXT(M90,"#,##0"))</f>
      </c>
      <c r="T90" s="7">
        <f>IF($C90="","",SUMIFS('Q1 Data'!$K$4:$K$207,'Q1 Data'!$B$4:$B$207,$S90)+SUMIFS('Q1 Data'!$N$4:$N$207,'Q1 Data'!$B$4:$B$207,$S90)+SUMIFS('Q1 Data'!$L$4:$L$207,'Q1 Data'!$B$4:$B$207,$S90))</f>
      </c>
      <c r="U90" s="7">
        <f>IF($C90="","",SUMIFS('Q2 Data'!$K$4:$K$207,'Q2 Data'!$B$4:$B$207,$S90)+SUMIFS('Q2 Data'!$N$4:$N$207,'Q2 Data'!$B$4:$B$207,$S90)+SUMIFS('Q2 Data'!$L$4:$L$207,'Q2 Data'!$B$4:$B$207,$S90))</f>
      </c>
      <c r="V90" s="7">
        <f>IF($C90="","",SUMIFS('Q3 Data'!$K$4:$K$207,'Q3 Data'!$B$4:$B$207,$S90)+SUMIFS('Q3 Data'!$N$4:$N$207,'Q3 Data'!$B$4:$B$207,$S90)+SUMIFS('Q3 Data'!$L$4:$L$207,'Q3 Data'!$B$4:$B$207,$S90))</f>
      </c>
      <c r="W90" s="7">
        <f>IF($C90="","",SUMIFS('Q4 Data'!$K$4:$K$207,'Q4 Data'!$B$4:$B$207,$S90)+SUMIFS('Q4 Data'!$N$4:$N$207,'Q4 Data'!$B$4:$B$207,$S90)+SUMIFS('Q4 Data'!$L$4:$L$207,'Q4 Data'!$B$4:$B$207,$S90))</f>
      </c>
      <c r="X90" s="7">
        <f>IF($C90="","",T90+U90+V90+W90)</f>
      </c>
      <c r="Y90" s="7">
        <f>IF($C90="","",M90-L90)</f>
      </c>
      <c r="Z90" s="7">
        <f>IF($C90="","",Y90-X90)</f>
      </c>
      <c r="AA90" s="7">
        <f>IF($C90="","",IF(ROUND(X90-Y90,2)&gt;0,"Over-applied",IF(ROUND(X90-Y90,2)=0,"Fully Utilised","Unconsumed")))</f>
      </c>
    </row>
    <row r="91" spans="1:27" x14ac:dyDescent="0.25">
      <c r="A91" s="7">
        <f>IF($C91="","",COUNTIF($C$4:$C91,"&lt;&gt;"))</f>
      </c>
      <c r="B91" s="8"/>
      <c r="C91" s="8"/>
      <c r="D91" s="8"/>
      <c r="E91" s="8"/>
      <c r="F91" s="8"/>
      <c r="G91" s="8"/>
      <c r="H91" s="8"/>
      <c r="I91" s="8"/>
      <c r="J91" s="8"/>
      <c r="K91" s="8"/>
      <c r="L91" s="8"/>
      <c r="M91" s="7">
        <f>IF($C91="","",G91+H91+I91+J91+K91+L91)</f>
      </c>
      <c r="N91" s="8"/>
      <c r="O91" s="8"/>
      <c r="P91" s="8"/>
      <c r="Q91" s="8"/>
      <c r="R91" s="8"/>
      <c r="S91" s="7">
        <f>IF($C91="","",C91&amp;" | BSR "&amp;B91&amp;" | "&amp;TEXT(D91,"dd-mm-yyyy")&amp;" | ₹"&amp;TEXT(M91,"#,##0"))</f>
      </c>
      <c r="T91" s="7">
        <f>IF($C91="","",SUMIFS('Q1 Data'!$K$4:$K$207,'Q1 Data'!$B$4:$B$207,$S91)+SUMIFS('Q1 Data'!$N$4:$N$207,'Q1 Data'!$B$4:$B$207,$S91)+SUMIFS('Q1 Data'!$L$4:$L$207,'Q1 Data'!$B$4:$B$207,$S91))</f>
      </c>
      <c r="U91" s="7">
        <f>IF($C91="","",SUMIFS('Q2 Data'!$K$4:$K$207,'Q2 Data'!$B$4:$B$207,$S91)+SUMIFS('Q2 Data'!$N$4:$N$207,'Q2 Data'!$B$4:$B$207,$S91)+SUMIFS('Q2 Data'!$L$4:$L$207,'Q2 Data'!$B$4:$B$207,$S91))</f>
      </c>
      <c r="V91" s="7">
        <f>IF($C91="","",SUMIFS('Q3 Data'!$K$4:$K$207,'Q3 Data'!$B$4:$B$207,$S91)+SUMIFS('Q3 Data'!$N$4:$N$207,'Q3 Data'!$B$4:$B$207,$S91)+SUMIFS('Q3 Data'!$L$4:$L$207,'Q3 Data'!$B$4:$B$207,$S91))</f>
      </c>
      <c r="W91" s="7">
        <f>IF($C91="","",SUMIFS('Q4 Data'!$K$4:$K$207,'Q4 Data'!$B$4:$B$207,$S91)+SUMIFS('Q4 Data'!$N$4:$N$207,'Q4 Data'!$B$4:$B$207,$S91)+SUMIFS('Q4 Data'!$L$4:$L$207,'Q4 Data'!$B$4:$B$207,$S91))</f>
      </c>
      <c r="X91" s="7">
        <f>IF($C91="","",T91+U91+V91+W91)</f>
      </c>
      <c r="Y91" s="7">
        <f>IF($C91="","",M91-L91)</f>
      </c>
      <c r="Z91" s="7">
        <f>IF($C91="","",Y91-X91)</f>
      </c>
      <c r="AA91" s="7">
        <f>IF($C91="","",IF(ROUND(X91-Y91,2)&gt;0,"Over-applied",IF(ROUND(X91-Y91,2)=0,"Fully Utilised","Unconsumed")))</f>
      </c>
    </row>
    <row r="92" spans="1:27" x14ac:dyDescent="0.25">
      <c r="A92" s="7">
        <f>IF($C92="","",COUNTIF($C$4:$C92,"&lt;&gt;"))</f>
      </c>
      <c r="B92" s="8"/>
      <c r="C92" s="8"/>
      <c r="D92" s="8"/>
      <c r="E92" s="8"/>
      <c r="F92" s="8"/>
      <c r="G92" s="8"/>
      <c r="H92" s="8"/>
      <c r="I92" s="8"/>
      <c r="J92" s="8"/>
      <c r="K92" s="8"/>
      <c r="L92" s="8"/>
      <c r="M92" s="7">
        <f>IF($C92="","",G92+H92+I92+J92+K92+L92)</f>
      </c>
      <c r="N92" s="8"/>
      <c r="O92" s="8"/>
      <c r="P92" s="8"/>
      <c r="Q92" s="8"/>
      <c r="R92" s="8"/>
      <c r="S92" s="7">
        <f>IF($C92="","",C92&amp;" | BSR "&amp;B92&amp;" | "&amp;TEXT(D92,"dd-mm-yyyy")&amp;" | ₹"&amp;TEXT(M92,"#,##0"))</f>
      </c>
      <c r="T92" s="7">
        <f>IF($C92="","",SUMIFS('Q1 Data'!$K$4:$K$207,'Q1 Data'!$B$4:$B$207,$S92)+SUMIFS('Q1 Data'!$N$4:$N$207,'Q1 Data'!$B$4:$B$207,$S92)+SUMIFS('Q1 Data'!$L$4:$L$207,'Q1 Data'!$B$4:$B$207,$S92))</f>
      </c>
      <c r="U92" s="7">
        <f>IF($C92="","",SUMIFS('Q2 Data'!$K$4:$K$207,'Q2 Data'!$B$4:$B$207,$S92)+SUMIFS('Q2 Data'!$N$4:$N$207,'Q2 Data'!$B$4:$B$207,$S92)+SUMIFS('Q2 Data'!$L$4:$L$207,'Q2 Data'!$B$4:$B$207,$S92))</f>
      </c>
      <c r="V92" s="7">
        <f>IF($C92="","",SUMIFS('Q3 Data'!$K$4:$K$207,'Q3 Data'!$B$4:$B$207,$S92)+SUMIFS('Q3 Data'!$N$4:$N$207,'Q3 Data'!$B$4:$B$207,$S92)+SUMIFS('Q3 Data'!$L$4:$L$207,'Q3 Data'!$B$4:$B$207,$S92))</f>
      </c>
      <c r="W92" s="7">
        <f>IF($C92="","",SUMIFS('Q4 Data'!$K$4:$K$207,'Q4 Data'!$B$4:$B$207,$S92)+SUMIFS('Q4 Data'!$N$4:$N$207,'Q4 Data'!$B$4:$B$207,$S92)+SUMIFS('Q4 Data'!$L$4:$L$207,'Q4 Data'!$B$4:$B$207,$S92))</f>
      </c>
      <c r="X92" s="7">
        <f>IF($C92="","",T92+U92+V92+W92)</f>
      </c>
      <c r="Y92" s="7">
        <f>IF($C92="","",M92-L92)</f>
      </c>
      <c r="Z92" s="7">
        <f>IF($C92="","",Y92-X92)</f>
      </c>
      <c r="AA92" s="7">
        <f>IF($C92="","",IF(ROUND(X92-Y92,2)&gt;0,"Over-applied",IF(ROUND(X92-Y92,2)=0,"Fully Utilised","Unconsumed")))</f>
      </c>
    </row>
    <row r="93" spans="1:27" x14ac:dyDescent="0.25">
      <c r="A93" s="7">
        <f>IF($C93="","",COUNTIF($C$4:$C93,"&lt;&gt;"))</f>
      </c>
      <c r="B93" s="8"/>
      <c r="C93" s="8"/>
      <c r="D93" s="8"/>
      <c r="E93" s="8"/>
      <c r="F93" s="8"/>
      <c r="G93" s="8"/>
      <c r="H93" s="8"/>
      <c r="I93" s="8"/>
      <c r="J93" s="8"/>
      <c r="K93" s="8"/>
      <c r="L93" s="8"/>
      <c r="M93" s="7">
        <f>IF($C93="","",G93+H93+I93+J93+K93+L93)</f>
      </c>
      <c r="N93" s="8"/>
      <c r="O93" s="8"/>
      <c r="P93" s="8"/>
      <c r="Q93" s="8"/>
      <c r="R93" s="8"/>
      <c r="S93" s="7">
        <f>IF($C93="","",C93&amp;" | BSR "&amp;B93&amp;" | "&amp;TEXT(D93,"dd-mm-yyyy")&amp;" | ₹"&amp;TEXT(M93,"#,##0"))</f>
      </c>
      <c r="T93" s="7">
        <f>IF($C93="","",SUMIFS('Q1 Data'!$K$4:$K$207,'Q1 Data'!$B$4:$B$207,$S93)+SUMIFS('Q1 Data'!$N$4:$N$207,'Q1 Data'!$B$4:$B$207,$S93)+SUMIFS('Q1 Data'!$L$4:$L$207,'Q1 Data'!$B$4:$B$207,$S93))</f>
      </c>
      <c r="U93" s="7">
        <f>IF($C93="","",SUMIFS('Q2 Data'!$K$4:$K$207,'Q2 Data'!$B$4:$B$207,$S93)+SUMIFS('Q2 Data'!$N$4:$N$207,'Q2 Data'!$B$4:$B$207,$S93)+SUMIFS('Q2 Data'!$L$4:$L$207,'Q2 Data'!$B$4:$B$207,$S93))</f>
      </c>
      <c r="V93" s="7">
        <f>IF($C93="","",SUMIFS('Q3 Data'!$K$4:$K$207,'Q3 Data'!$B$4:$B$207,$S93)+SUMIFS('Q3 Data'!$N$4:$N$207,'Q3 Data'!$B$4:$B$207,$S93)+SUMIFS('Q3 Data'!$L$4:$L$207,'Q3 Data'!$B$4:$B$207,$S93))</f>
      </c>
      <c r="W93" s="7">
        <f>IF($C93="","",SUMIFS('Q4 Data'!$K$4:$K$207,'Q4 Data'!$B$4:$B$207,$S93)+SUMIFS('Q4 Data'!$N$4:$N$207,'Q4 Data'!$B$4:$B$207,$S93)+SUMIFS('Q4 Data'!$L$4:$L$207,'Q4 Data'!$B$4:$B$207,$S93))</f>
      </c>
      <c r="X93" s="7">
        <f>IF($C93="","",T93+U93+V93+W93)</f>
      </c>
      <c r="Y93" s="7">
        <f>IF($C93="","",M93-L93)</f>
      </c>
      <c r="Z93" s="7">
        <f>IF($C93="","",Y93-X93)</f>
      </c>
      <c r="AA93" s="7">
        <f>IF($C93="","",IF(ROUND(X93-Y93,2)&gt;0,"Over-applied",IF(ROUND(X93-Y93,2)=0,"Fully Utilised","Unconsumed")))</f>
      </c>
    </row>
    <row r="94" spans="1:27" x14ac:dyDescent="0.25">
      <c r="A94" s="7">
        <f>IF($C94="","",COUNTIF($C$4:$C94,"&lt;&gt;"))</f>
      </c>
      <c r="B94" s="8"/>
      <c r="C94" s="8"/>
      <c r="D94" s="8"/>
      <c r="E94" s="8"/>
      <c r="F94" s="8"/>
      <c r="G94" s="8"/>
      <c r="H94" s="8"/>
      <c r="I94" s="8"/>
      <c r="J94" s="8"/>
      <c r="K94" s="8"/>
      <c r="L94" s="8"/>
      <c r="M94" s="7">
        <f>IF($C94="","",G94+H94+I94+J94+K94+L94)</f>
      </c>
      <c r="N94" s="8"/>
      <c r="O94" s="8"/>
      <c r="P94" s="8"/>
      <c r="Q94" s="8"/>
      <c r="R94" s="8"/>
      <c r="S94" s="7">
        <f>IF($C94="","",C94&amp;" | BSR "&amp;B94&amp;" | "&amp;TEXT(D94,"dd-mm-yyyy")&amp;" | ₹"&amp;TEXT(M94,"#,##0"))</f>
      </c>
      <c r="T94" s="7">
        <f>IF($C94="","",SUMIFS('Q1 Data'!$K$4:$K$207,'Q1 Data'!$B$4:$B$207,$S94)+SUMIFS('Q1 Data'!$N$4:$N$207,'Q1 Data'!$B$4:$B$207,$S94)+SUMIFS('Q1 Data'!$L$4:$L$207,'Q1 Data'!$B$4:$B$207,$S94))</f>
      </c>
      <c r="U94" s="7">
        <f>IF($C94="","",SUMIFS('Q2 Data'!$K$4:$K$207,'Q2 Data'!$B$4:$B$207,$S94)+SUMIFS('Q2 Data'!$N$4:$N$207,'Q2 Data'!$B$4:$B$207,$S94)+SUMIFS('Q2 Data'!$L$4:$L$207,'Q2 Data'!$B$4:$B$207,$S94))</f>
      </c>
      <c r="V94" s="7">
        <f>IF($C94="","",SUMIFS('Q3 Data'!$K$4:$K$207,'Q3 Data'!$B$4:$B$207,$S94)+SUMIFS('Q3 Data'!$N$4:$N$207,'Q3 Data'!$B$4:$B$207,$S94)+SUMIFS('Q3 Data'!$L$4:$L$207,'Q3 Data'!$B$4:$B$207,$S94))</f>
      </c>
      <c r="W94" s="7">
        <f>IF($C94="","",SUMIFS('Q4 Data'!$K$4:$K$207,'Q4 Data'!$B$4:$B$207,$S94)+SUMIFS('Q4 Data'!$N$4:$N$207,'Q4 Data'!$B$4:$B$207,$S94)+SUMIFS('Q4 Data'!$L$4:$L$207,'Q4 Data'!$B$4:$B$207,$S94))</f>
      </c>
      <c r="X94" s="7">
        <f>IF($C94="","",T94+U94+V94+W94)</f>
      </c>
      <c r="Y94" s="7">
        <f>IF($C94="","",M94-L94)</f>
      </c>
      <c r="Z94" s="7">
        <f>IF($C94="","",Y94-X94)</f>
      </c>
      <c r="AA94" s="7">
        <f>IF($C94="","",IF(ROUND(X94-Y94,2)&gt;0,"Over-applied",IF(ROUND(X94-Y94,2)=0,"Fully Utilised","Unconsumed")))</f>
      </c>
    </row>
    <row r="95" spans="1:27" x14ac:dyDescent="0.25">
      <c r="A95" s="7">
        <f>IF($C95="","",COUNTIF($C$4:$C95,"&lt;&gt;"))</f>
      </c>
      <c r="B95" s="8"/>
      <c r="C95" s="8"/>
      <c r="D95" s="8"/>
      <c r="E95" s="8"/>
      <c r="F95" s="8"/>
      <c r="G95" s="8"/>
      <c r="H95" s="8"/>
      <c r="I95" s="8"/>
      <c r="J95" s="8"/>
      <c r="K95" s="8"/>
      <c r="L95" s="8"/>
      <c r="M95" s="7">
        <f>IF($C95="","",G95+H95+I95+J95+K95+L95)</f>
      </c>
      <c r="N95" s="8"/>
      <c r="O95" s="8"/>
      <c r="P95" s="8"/>
      <c r="Q95" s="8"/>
      <c r="R95" s="8"/>
      <c r="S95" s="7">
        <f>IF($C95="","",C95&amp;" | BSR "&amp;B95&amp;" | "&amp;TEXT(D95,"dd-mm-yyyy")&amp;" | ₹"&amp;TEXT(M95,"#,##0"))</f>
      </c>
      <c r="T95" s="7">
        <f>IF($C95="","",SUMIFS('Q1 Data'!$K$4:$K$207,'Q1 Data'!$B$4:$B$207,$S95)+SUMIFS('Q1 Data'!$N$4:$N$207,'Q1 Data'!$B$4:$B$207,$S95)+SUMIFS('Q1 Data'!$L$4:$L$207,'Q1 Data'!$B$4:$B$207,$S95))</f>
      </c>
      <c r="U95" s="7">
        <f>IF($C95="","",SUMIFS('Q2 Data'!$K$4:$K$207,'Q2 Data'!$B$4:$B$207,$S95)+SUMIFS('Q2 Data'!$N$4:$N$207,'Q2 Data'!$B$4:$B$207,$S95)+SUMIFS('Q2 Data'!$L$4:$L$207,'Q2 Data'!$B$4:$B$207,$S95))</f>
      </c>
      <c r="V95" s="7">
        <f>IF($C95="","",SUMIFS('Q3 Data'!$K$4:$K$207,'Q3 Data'!$B$4:$B$207,$S95)+SUMIFS('Q3 Data'!$N$4:$N$207,'Q3 Data'!$B$4:$B$207,$S95)+SUMIFS('Q3 Data'!$L$4:$L$207,'Q3 Data'!$B$4:$B$207,$S95))</f>
      </c>
      <c r="W95" s="7">
        <f>IF($C95="","",SUMIFS('Q4 Data'!$K$4:$K$207,'Q4 Data'!$B$4:$B$207,$S95)+SUMIFS('Q4 Data'!$N$4:$N$207,'Q4 Data'!$B$4:$B$207,$S95)+SUMIFS('Q4 Data'!$L$4:$L$207,'Q4 Data'!$B$4:$B$207,$S95))</f>
      </c>
      <c r="X95" s="7">
        <f>IF($C95="","",T95+U95+V95+W95)</f>
      </c>
      <c r="Y95" s="7">
        <f>IF($C95="","",M95-L95)</f>
      </c>
      <c r="Z95" s="7">
        <f>IF($C95="","",Y95-X95)</f>
      </c>
      <c r="AA95" s="7">
        <f>IF($C95="","",IF(ROUND(X95-Y95,2)&gt;0,"Over-applied",IF(ROUND(X95-Y95,2)=0,"Fully Utilised","Unconsumed")))</f>
      </c>
    </row>
    <row r="96" spans="1:27" x14ac:dyDescent="0.25">
      <c r="A96" s="7">
        <f>IF($C96="","",COUNTIF($C$4:$C96,"&lt;&gt;"))</f>
      </c>
      <c r="B96" s="8"/>
      <c r="C96" s="8"/>
      <c r="D96" s="8"/>
      <c r="E96" s="8"/>
      <c r="F96" s="8"/>
      <c r="G96" s="8"/>
      <c r="H96" s="8"/>
      <c r="I96" s="8"/>
      <c r="J96" s="8"/>
      <c r="K96" s="8"/>
      <c r="L96" s="8"/>
      <c r="M96" s="7">
        <f>IF($C96="","",G96+H96+I96+J96+K96+L96)</f>
      </c>
      <c r="N96" s="8"/>
      <c r="O96" s="8"/>
      <c r="P96" s="8"/>
      <c r="Q96" s="8"/>
      <c r="R96" s="8"/>
      <c r="S96" s="7">
        <f>IF($C96="","",C96&amp;" | BSR "&amp;B96&amp;" | "&amp;TEXT(D96,"dd-mm-yyyy")&amp;" | ₹"&amp;TEXT(M96,"#,##0"))</f>
      </c>
      <c r="T96" s="7">
        <f>IF($C96="","",SUMIFS('Q1 Data'!$K$4:$K$207,'Q1 Data'!$B$4:$B$207,$S96)+SUMIFS('Q1 Data'!$N$4:$N$207,'Q1 Data'!$B$4:$B$207,$S96)+SUMIFS('Q1 Data'!$L$4:$L$207,'Q1 Data'!$B$4:$B$207,$S96))</f>
      </c>
      <c r="U96" s="7">
        <f>IF($C96="","",SUMIFS('Q2 Data'!$K$4:$K$207,'Q2 Data'!$B$4:$B$207,$S96)+SUMIFS('Q2 Data'!$N$4:$N$207,'Q2 Data'!$B$4:$B$207,$S96)+SUMIFS('Q2 Data'!$L$4:$L$207,'Q2 Data'!$B$4:$B$207,$S96))</f>
      </c>
      <c r="V96" s="7">
        <f>IF($C96="","",SUMIFS('Q3 Data'!$K$4:$K$207,'Q3 Data'!$B$4:$B$207,$S96)+SUMIFS('Q3 Data'!$N$4:$N$207,'Q3 Data'!$B$4:$B$207,$S96)+SUMIFS('Q3 Data'!$L$4:$L$207,'Q3 Data'!$B$4:$B$207,$S96))</f>
      </c>
      <c r="W96" s="7">
        <f>IF($C96="","",SUMIFS('Q4 Data'!$K$4:$K$207,'Q4 Data'!$B$4:$B$207,$S96)+SUMIFS('Q4 Data'!$N$4:$N$207,'Q4 Data'!$B$4:$B$207,$S96)+SUMIFS('Q4 Data'!$L$4:$L$207,'Q4 Data'!$B$4:$B$207,$S96))</f>
      </c>
      <c r="X96" s="7">
        <f>IF($C96="","",T96+U96+V96+W96)</f>
      </c>
      <c r="Y96" s="7">
        <f>IF($C96="","",M96-L96)</f>
      </c>
      <c r="Z96" s="7">
        <f>IF($C96="","",Y96-X96)</f>
      </c>
      <c r="AA96" s="7">
        <f>IF($C96="","",IF(ROUND(X96-Y96,2)&gt;0,"Over-applied",IF(ROUND(X96-Y96,2)=0,"Fully Utilised","Unconsumed")))</f>
      </c>
    </row>
    <row r="97" spans="1:27" x14ac:dyDescent="0.25">
      <c r="A97" s="7">
        <f>IF($C97="","",COUNTIF($C$4:$C97,"&lt;&gt;"))</f>
      </c>
      <c r="B97" s="8"/>
      <c r="C97" s="8"/>
      <c r="D97" s="8"/>
      <c r="E97" s="8"/>
      <c r="F97" s="8"/>
      <c r="G97" s="8"/>
      <c r="H97" s="8"/>
      <c r="I97" s="8"/>
      <c r="J97" s="8"/>
      <c r="K97" s="8"/>
      <c r="L97" s="8"/>
      <c r="M97" s="7">
        <f>IF($C97="","",G97+H97+I97+J97+K97+L97)</f>
      </c>
      <c r="N97" s="8"/>
      <c r="O97" s="8"/>
      <c r="P97" s="8"/>
      <c r="Q97" s="8"/>
      <c r="R97" s="8"/>
      <c r="S97" s="7">
        <f>IF($C97="","",C97&amp;" | BSR "&amp;B97&amp;" | "&amp;TEXT(D97,"dd-mm-yyyy")&amp;" | ₹"&amp;TEXT(M97,"#,##0"))</f>
      </c>
      <c r="T97" s="7">
        <f>IF($C97="","",SUMIFS('Q1 Data'!$K$4:$K$207,'Q1 Data'!$B$4:$B$207,$S97)+SUMIFS('Q1 Data'!$N$4:$N$207,'Q1 Data'!$B$4:$B$207,$S97)+SUMIFS('Q1 Data'!$L$4:$L$207,'Q1 Data'!$B$4:$B$207,$S97))</f>
      </c>
      <c r="U97" s="7">
        <f>IF($C97="","",SUMIFS('Q2 Data'!$K$4:$K$207,'Q2 Data'!$B$4:$B$207,$S97)+SUMIFS('Q2 Data'!$N$4:$N$207,'Q2 Data'!$B$4:$B$207,$S97)+SUMIFS('Q2 Data'!$L$4:$L$207,'Q2 Data'!$B$4:$B$207,$S97))</f>
      </c>
      <c r="V97" s="7">
        <f>IF($C97="","",SUMIFS('Q3 Data'!$K$4:$K$207,'Q3 Data'!$B$4:$B$207,$S97)+SUMIFS('Q3 Data'!$N$4:$N$207,'Q3 Data'!$B$4:$B$207,$S97)+SUMIFS('Q3 Data'!$L$4:$L$207,'Q3 Data'!$B$4:$B$207,$S97))</f>
      </c>
      <c r="W97" s="7">
        <f>IF($C97="","",SUMIFS('Q4 Data'!$K$4:$K$207,'Q4 Data'!$B$4:$B$207,$S97)+SUMIFS('Q4 Data'!$N$4:$N$207,'Q4 Data'!$B$4:$B$207,$S97)+SUMIFS('Q4 Data'!$L$4:$L$207,'Q4 Data'!$B$4:$B$207,$S97))</f>
      </c>
      <c r="X97" s="7">
        <f>IF($C97="","",T97+U97+V97+W97)</f>
      </c>
      <c r="Y97" s="7">
        <f>IF($C97="","",M97-L97)</f>
      </c>
      <c r="Z97" s="7">
        <f>IF($C97="","",Y97-X97)</f>
      </c>
      <c r="AA97" s="7">
        <f>IF($C97="","",IF(ROUND(X97-Y97,2)&gt;0,"Over-applied",IF(ROUND(X97-Y97,2)=0,"Fully Utilised","Unconsumed")))</f>
      </c>
    </row>
    <row r="98" spans="1:27" x14ac:dyDescent="0.25">
      <c r="A98" s="7">
        <f>IF($C98="","",COUNTIF($C$4:$C98,"&lt;&gt;"))</f>
      </c>
      <c r="B98" s="8"/>
      <c r="C98" s="8"/>
      <c r="D98" s="8"/>
      <c r="E98" s="8"/>
      <c r="F98" s="8"/>
      <c r="G98" s="8"/>
      <c r="H98" s="8"/>
      <c r="I98" s="8"/>
      <c r="J98" s="8"/>
      <c r="K98" s="8"/>
      <c r="L98" s="8"/>
      <c r="M98" s="7">
        <f>IF($C98="","",G98+H98+I98+J98+K98+L98)</f>
      </c>
      <c r="N98" s="8"/>
      <c r="O98" s="8"/>
      <c r="P98" s="8"/>
      <c r="Q98" s="8"/>
      <c r="R98" s="8"/>
      <c r="S98" s="7">
        <f>IF($C98="","",C98&amp;" | BSR "&amp;B98&amp;" | "&amp;TEXT(D98,"dd-mm-yyyy")&amp;" | ₹"&amp;TEXT(M98,"#,##0"))</f>
      </c>
      <c r="T98" s="7">
        <f>IF($C98="","",SUMIFS('Q1 Data'!$K$4:$K$207,'Q1 Data'!$B$4:$B$207,$S98)+SUMIFS('Q1 Data'!$N$4:$N$207,'Q1 Data'!$B$4:$B$207,$S98)+SUMIFS('Q1 Data'!$L$4:$L$207,'Q1 Data'!$B$4:$B$207,$S98))</f>
      </c>
      <c r="U98" s="7">
        <f>IF($C98="","",SUMIFS('Q2 Data'!$K$4:$K$207,'Q2 Data'!$B$4:$B$207,$S98)+SUMIFS('Q2 Data'!$N$4:$N$207,'Q2 Data'!$B$4:$B$207,$S98)+SUMIFS('Q2 Data'!$L$4:$L$207,'Q2 Data'!$B$4:$B$207,$S98))</f>
      </c>
      <c r="V98" s="7">
        <f>IF($C98="","",SUMIFS('Q3 Data'!$K$4:$K$207,'Q3 Data'!$B$4:$B$207,$S98)+SUMIFS('Q3 Data'!$N$4:$N$207,'Q3 Data'!$B$4:$B$207,$S98)+SUMIFS('Q3 Data'!$L$4:$L$207,'Q3 Data'!$B$4:$B$207,$S98))</f>
      </c>
      <c r="W98" s="7">
        <f>IF($C98="","",SUMIFS('Q4 Data'!$K$4:$K$207,'Q4 Data'!$B$4:$B$207,$S98)+SUMIFS('Q4 Data'!$N$4:$N$207,'Q4 Data'!$B$4:$B$207,$S98)+SUMIFS('Q4 Data'!$L$4:$L$207,'Q4 Data'!$B$4:$B$207,$S98))</f>
      </c>
      <c r="X98" s="7">
        <f>IF($C98="","",T98+U98+V98+W98)</f>
      </c>
      <c r="Y98" s="7">
        <f>IF($C98="","",M98-L98)</f>
      </c>
      <c r="Z98" s="7">
        <f>IF($C98="","",Y98-X98)</f>
      </c>
      <c r="AA98" s="7">
        <f>IF($C98="","",IF(ROUND(X98-Y98,2)&gt;0,"Over-applied",IF(ROUND(X98-Y98,2)=0,"Fully Utilised","Unconsumed")))</f>
      </c>
    </row>
    <row r="99" spans="1:27" x14ac:dyDescent="0.25">
      <c r="A99" s="7">
        <f>IF($C99="","",COUNTIF($C$4:$C99,"&lt;&gt;"))</f>
      </c>
      <c r="B99" s="8"/>
      <c r="C99" s="8"/>
      <c r="D99" s="8"/>
      <c r="E99" s="8"/>
      <c r="F99" s="8"/>
      <c r="G99" s="8"/>
      <c r="H99" s="8"/>
      <c r="I99" s="8"/>
      <c r="J99" s="8"/>
      <c r="K99" s="8"/>
      <c r="L99" s="8"/>
      <c r="M99" s="7">
        <f>IF($C99="","",G99+H99+I99+J99+K99+L99)</f>
      </c>
      <c r="N99" s="8"/>
      <c r="O99" s="8"/>
      <c r="P99" s="8"/>
      <c r="Q99" s="8"/>
      <c r="R99" s="8"/>
      <c r="S99" s="7">
        <f>IF($C99="","",C99&amp;" | BSR "&amp;B99&amp;" | "&amp;TEXT(D99,"dd-mm-yyyy")&amp;" | ₹"&amp;TEXT(M99,"#,##0"))</f>
      </c>
      <c r="T99" s="7">
        <f>IF($C99="","",SUMIFS('Q1 Data'!$K$4:$K$207,'Q1 Data'!$B$4:$B$207,$S99)+SUMIFS('Q1 Data'!$N$4:$N$207,'Q1 Data'!$B$4:$B$207,$S99)+SUMIFS('Q1 Data'!$L$4:$L$207,'Q1 Data'!$B$4:$B$207,$S99))</f>
      </c>
      <c r="U99" s="7">
        <f>IF($C99="","",SUMIFS('Q2 Data'!$K$4:$K$207,'Q2 Data'!$B$4:$B$207,$S99)+SUMIFS('Q2 Data'!$N$4:$N$207,'Q2 Data'!$B$4:$B$207,$S99)+SUMIFS('Q2 Data'!$L$4:$L$207,'Q2 Data'!$B$4:$B$207,$S99))</f>
      </c>
      <c r="V99" s="7">
        <f>IF($C99="","",SUMIFS('Q3 Data'!$K$4:$K$207,'Q3 Data'!$B$4:$B$207,$S99)+SUMIFS('Q3 Data'!$N$4:$N$207,'Q3 Data'!$B$4:$B$207,$S99)+SUMIFS('Q3 Data'!$L$4:$L$207,'Q3 Data'!$B$4:$B$207,$S99))</f>
      </c>
      <c r="W99" s="7">
        <f>IF($C99="","",SUMIFS('Q4 Data'!$K$4:$K$207,'Q4 Data'!$B$4:$B$207,$S99)+SUMIFS('Q4 Data'!$N$4:$N$207,'Q4 Data'!$B$4:$B$207,$S99)+SUMIFS('Q4 Data'!$L$4:$L$207,'Q4 Data'!$B$4:$B$207,$S99))</f>
      </c>
      <c r="X99" s="7">
        <f>IF($C99="","",T99+U99+V99+W99)</f>
      </c>
      <c r="Y99" s="7">
        <f>IF($C99="","",M99-L99)</f>
      </c>
      <c r="Z99" s="7">
        <f>IF($C99="","",Y99-X99)</f>
      </c>
      <c r="AA99" s="7">
        <f>IF($C99="","",IF(ROUND(X99-Y99,2)&gt;0,"Over-applied",IF(ROUND(X99-Y99,2)=0,"Fully Utilised","Unconsumed")))</f>
      </c>
    </row>
    <row r="100" spans="1:27" x14ac:dyDescent="0.25">
      <c r="A100" s="7">
        <f>IF($C100="","",COUNTIF($C$4:$C100,"&lt;&gt;"))</f>
      </c>
      <c r="B100" s="8"/>
      <c r="C100" s="8"/>
      <c r="D100" s="8"/>
      <c r="E100" s="8"/>
      <c r="F100" s="8"/>
      <c r="G100" s="8"/>
      <c r="H100" s="8"/>
      <c r="I100" s="8"/>
      <c r="J100" s="8"/>
      <c r="K100" s="8"/>
      <c r="L100" s="8"/>
      <c r="M100" s="7">
        <f>IF($C100="","",G100+H100+I100+J100+K100+L100)</f>
      </c>
      <c r="N100" s="8"/>
      <c r="O100" s="8"/>
      <c r="P100" s="8"/>
      <c r="Q100" s="8"/>
      <c r="R100" s="8"/>
      <c r="S100" s="7">
        <f>IF($C100="","",C100&amp;" | BSR "&amp;B100&amp;" | "&amp;TEXT(D100,"dd-mm-yyyy")&amp;" | ₹"&amp;TEXT(M100,"#,##0"))</f>
      </c>
      <c r="T100" s="7">
        <f>IF($C100="","",SUMIFS('Q1 Data'!$K$4:$K$207,'Q1 Data'!$B$4:$B$207,$S100)+SUMIFS('Q1 Data'!$N$4:$N$207,'Q1 Data'!$B$4:$B$207,$S100)+SUMIFS('Q1 Data'!$L$4:$L$207,'Q1 Data'!$B$4:$B$207,$S100))</f>
      </c>
      <c r="U100" s="7">
        <f>IF($C100="","",SUMIFS('Q2 Data'!$K$4:$K$207,'Q2 Data'!$B$4:$B$207,$S100)+SUMIFS('Q2 Data'!$N$4:$N$207,'Q2 Data'!$B$4:$B$207,$S100)+SUMIFS('Q2 Data'!$L$4:$L$207,'Q2 Data'!$B$4:$B$207,$S100))</f>
      </c>
      <c r="V100" s="7">
        <f>IF($C100="","",SUMIFS('Q3 Data'!$K$4:$K$207,'Q3 Data'!$B$4:$B$207,$S100)+SUMIFS('Q3 Data'!$N$4:$N$207,'Q3 Data'!$B$4:$B$207,$S100)+SUMIFS('Q3 Data'!$L$4:$L$207,'Q3 Data'!$B$4:$B$207,$S100))</f>
      </c>
      <c r="W100" s="7">
        <f>IF($C100="","",SUMIFS('Q4 Data'!$K$4:$K$207,'Q4 Data'!$B$4:$B$207,$S100)+SUMIFS('Q4 Data'!$N$4:$N$207,'Q4 Data'!$B$4:$B$207,$S100)+SUMIFS('Q4 Data'!$L$4:$L$207,'Q4 Data'!$B$4:$B$207,$S100))</f>
      </c>
      <c r="X100" s="7">
        <f>IF($C100="","",T100+U100+V100+W100)</f>
      </c>
      <c r="Y100" s="7">
        <f>IF($C100="","",M100-L100)</f>
      </c>
      <c r="Z100" s="7">
        <f>IF($C100="","",Y100-X100)</f>
      </c>
      <c r="AA100" s="7">
        <f>IF($C100="","",IF(ROUND(X100-Y100,2)&gt;0,"Over-applied",IF(ROUND(X100-Y100,2)=0,"Fully Utilised","Unconsumed")))</f>
      </c>
    </row>
    <row r="101" spans="1:27" x14ac:dyDescent="0.25">
      <c r="A101" s="7">
        <f>IF($C101="","",COUNTIF($C$4:$C101,"&lt;&gt;"))</f>
      </c>
      <c r="B101" s="8"/>
      <c r="C101" s="8"/>
      <c r="D101" s="8"/>
      <c r="E101" s="8"/>
      <c r="F101" s="8"/>
      <c r="G101" s="8"/>
      <c r="H101" s="8"/>
      <c r="I101" s="8"/>
      <c r="J101" s="8"/>
      <c r="K101" s="8"/>
      <c r="L101" s="8"/>
      <c r="M101" s="7">
        <f>IF($C101="","",G101+H101+I101+J101+K101+L101)</f>
      </c>
      <c r="N101" s="8"/>
      <c r="O101" s="8"/>
      <c r="P101" s="8"/>
      <c r="Q101" s="8"/>
      <c r="R101" s="8"/>
      <c r="S101" s="7">
        <f>IF($C101="","",C101&amp;" | BSR "&amp;B101&amp;" | "&amp;TEXT(D101,"dd-mm-yyyy")&amp;" | ₹"&amp;TEXT(M101,"#,##0"))</f>
      </c>
      <c r="T101" s="7">
        <f>IF($C101="","",SUMIFS('Q1 Data'!$K$4:$K$207,'Q1 Data'!$B$4:$B$207,$S101)+SUMIFS('Q1 Data'!$N$4:$N$207,'Q1 Data'!$B$4:$B$207,$S101)+SUMIFS('Q1 Data'!$L$4:$L$207,'Q1 Data'!$B$4:$B$207,$S101))</f>
      </c>
      <c r="U101" s="7">
        <f>IF($C101="","",SUMIFS('Q2 Data'!$K$4:$K$207,'Q2 Data'!$B$4:$B$207,$S101)+SUMIFS('Q2 Data'!$N$4:$N$207,'Q2 Data'!$B$4:$B$207,$S101)+SUMIFS('Q2 Data'!$L$4:$L$207,'Q2 Data'!$B$4:$B$207,$S101))</f>
      </c>
      <c r="V101" s="7">
        <f>IF($C101="","",SUMIFS('Q3 Data'!$K$4:$K$207,'Q3 Data'!$B$4:$B$207,$S101)+SUMIFS('Q3 Data'!$N$4:$N$207,'Q3 Data'!$B$4:$B$207,$S101)+SUMIFS('Q3 Data'!$L$4:$L$207,'Q3 Data'!$B$4:$B$207,$S101))</f>
      </c>
      <c r="W101" s="7">
        <f>IF($C101="","",SUMIFS('Q4 Data'!$K$4:$K$207,'Q4 Data'!$B$4:$B$207,$S101)+SUMIFS('Q4 Data'!$N$4:$N$207,'Q4 Data'!$B$4:$B$207,$S101)+SUMIFS('Q4 Data'!$L$4:$L$207,'Q4 Data'!$B$4:$B$207,$S101))</f>
      </c>
      <c r="X101" s="7">
        <f>IF($C101="","",T101+U101+V101+W101)</f>
      </c>
      <c r="Y101" s="7">
        <f>IF($C101="","",M101-L101)</f>
      </c>
      <c r="Z101" s="7">
        <f>IF($C101="","",Y101-X101)</f>
      </c>
      <c r="AA101" s="7">
        <f>IF($C101="","",IF(ROUND(X101-Y101,2)&gt;0,"Over-applied",IF(ROUND(X101-Y101,2)=0,"Fully Utilised","Unconsumed")))</f>
      </c>
    </row>
    <row r="102" spans="1:27" x14ac:dyDescent="0.25">
      <c r="A102" s="7">
        <f>IF($C102="","",COUNTIF($C$4:$C102,"&lt;&gt;"))</f>
      </c>
      <c r="B102" s="8"/>
      <c r="C102" s="8"/>
      <c r="D102" s="8"/>
      <c r="E102" s="8"/>
      <c r="F102" s="8"/>
      <c r="G102" s="8"/>
      <c r="H102" s="8"/>
      <c r="I102" s="8"/>
      <c r="J102" s="8"/>
      <c r="K102" s="8"/>
      <c r="L102" s="8"/>
      <c r="M102" s="7">
        <f>IF($C102="","",G102+H102+I102+J102+K102+L102)</f>
      </c>
      <c r="N102" s="8"/>
      <c r="O102" s="8"/>
      <c r="P102" s="8"/>
      <c r="Q102" s="8"/>
      <c r="R102" s="8"/>
      <c r="S102" s="7">
        <f>IF($C102="","",C102&amp;" | BSR "&amp;B102&amp;" | "&amp;TEXT(D102,"dd-mm-yyyy")&amp;" | ₹"&amp;TEXT(M102,"#,##0"))</f>
      </c>
      <c r="T102" s="7">
        <f>IF($C102="","",SUMIFS('Q1 Data'!$K$4:$K$207,'Q1 Data'!$B$4:$B$207,$S102)+SUMIFS('Q1 Data'!$N$4:$N$207,'Q1 Data'!$B$4:$B$207,$S102)+SUMIFS('Q1 Data'!$L$4:$L$207,'Q1 Data'!$B$4:$B$207,$S102))</f>
      </c>
      <c r="U102" s="7">
        <f>IF($C102="","",SUMIFS('Q2 Data'!$K$4:$K$207,'Q2 Data'!$B$4:$B$207,$S102)+SUMIFS('Q2 Data'!$N$4:$N$207,'Q2 Data'!$B$4:$B$207,$S102)+SUMIFS('Q2 Data'!$L$4:$L$207,'Q2 Data'!$B$4:$B$207,$S102))</f>
      </c>
      <c r="V102" s="7">
        <f>IF($C102="","",SUMIFS('Q3 Data'!$K$4:$K$207,'Q3 Data'!$B$4:$B$207,$S102)+SUMIFS('Q3 Data'!$N$4:$N$207,'Q3 Data'!$B$4:$B$207,$S102)+SUMIFS('Q3 Data'!$L$4:$L$207,'Q3 Data'!$B$4:$B$207,$S102))</f>
      </c>
      <c r="W102" s="7">
        <f>IF($C102="","",SUMIFS('Q4 Data'!$K$4:$K$207,'Q4 Data'!$B$4:$B$207,$S102)+SUMIFS('Q4 Data'!$N$4:$N$207,'Q4 Data'!$B$4:$B$207,$S102)+SUMIFS('Q4 Data'!$L$4:$L$207,'Q4 Data'!$B$4:$B$207,$S102))</f>
      </c>
      <c r="X102" s="7">
        <f>IF($C102="","",T102+U102+V102+W102)</f>
      </c>
      <c r="Y102" s="7">
        <f>IF($C102="","",M102-L102)</f>
      </c>
      <c r="Z102" s="7">
        <f>IF($C102="","",Y102-X102)</f>
      </c>
      <c r="AA102" s="7">
        <f>IF($C102="","",IF(ROUND(X102-Y102,2)&gt;0,"Over-applied",IF(ROUND(X102-Y102,2)=0,"Fully Utilised","Unconsumed")))</f>
      </c>
    </row>
    <row r="103" spans="1:27" x14ac:dyDescent="0.25">
      <c r="A103" s="7">
        <f>IF($C103="","",COUNTIF($C$4:$C103,"&lt;&gt;"))</f>
      </c>
      <c r="B103" s="8"/>
      <c r="C103" s="8"/>
      <c r="D103" s="8"/>
      <c r="E103" s="8"/>
      <c r="F103" s="8"/>
      <c r="G103" s="8"/>
      <c r="H103" s="8"/>
      <c r="I103" s="8"/>
      <c r="J103" s="8"/>
      <c r="K103" s="8"/>
      <c r="L103" s="8"/>
      <c r="M103" s="7">
        <f>IF($C103="","",G103+H103+I103+J103+K103+L103)</f>
      </c>
      <c r="N103" s="8"/>
      <c r="O103" s="8"/>
      <c r="P103" s="8"/>
      <c r="Q103" s="8"/>
      <c r="R103" s="8"/>
      <c r="S103" s="7">
        <f>IF($C103="","",C103&amp;" | BSR "&amp;B103&amp;" | "&amp;TEXT(D103,"dd-mm-yyyy")&amp;" | ₹"&amp;TEXT(M103,"#,##0"))</f>
      </c>
      <c r="T103" s="7">
        <f>IF($C103="","",SUMIFS('Q1 Data'!$K$4:$K$207,'Q1 Data'!$B$4:$B$207,$S103)+SUMIFS('Q1 Data'!$N$4:$N$207,'Q1 Data'!$B$4:$B$207,$S103)+SUMIFS('Q1 Data'!$L$4:$L$207,'Q1 Data'!$B$4:$B$207,$S103))</f>
      </c>
      <c r="U103" s="7">
        <f>IF($C103="","",SUMIFS('Q2 Data'!$K$4:$K$207,'Q2 Data'!$B$4:$B$207,$S103)+SUMIFS('Q2 Data'!$N$4:$N$207,'Q2 Data'!$B$4:$B$207,$S103)+SUMIFS('Q2 Data'!$L$4:$L$207,'Q2 Data'!$B$4:$B$207,$S103))</f>
      </c>
      <c r="V103" s="7">
        <f>IF($C103="","",SUMIFS('Q3 Data'!$K$4:$K$207,'Q3 Data'!$B$4:$B$207,$S103)+SUMIFS('Q3 Data'!$N$4:$N$207,'Q3 Data'!$B$4:$B$207,$S103)+SUMIFS('Q3 Data'!$L$4:$L$207,'Q3 Data'!$B$4:$B$207,$S103))</f>
      </c>
      <c r="W103" s="7">
        <f>IF($C103="","",SUMIFS('Q4 Data'!$K$4:$K$207,'Q4 Data'!$B$4:$B$207,$S103)+SUMIFS('Q4 Data'!$N$4:$N$207,'Q4 Data'!$B$4:$B$207,$S103)+SUMIFS('Q4 Data'!$L$4:$L$207,'Q4 Data'!$B$4:$B$207,$S103))</f>
      </c>
      <c r="X103" s="7">
        <f>IF($C103="","",T103+U103+V103+W103)</f>
      </c>
      <c r="Y103" s="7">
        <f>IF($C103="","",M103-L103)</f>
      </c>
      <c r="Z103" s="7">
        <f>IF($C103="","",Y103-X103)</f>
      </c>
      <c r="AA103" s="7">
        <f>IF($C103="","",IF(ROUND(X103-Y103,2)&gt;0,"Over-applied",IF(ROUND(X103-Y103,2)=0,"Fully Utilised","Unconsumed")))</f>
      </c>
    </row>
    <row r="104" spans="1:27" x14ac:dyDescent="0.25">
      <c r="A104" s="7">
        <f>IF($C104="","",COUNTIF($C$4:$C104,"&lt;&gt;"))</f>
      </c>
      <c r="B104" s="8"/>
      <c r="C104" s="8"/>
      <c r="D104" s="8"/>
      <c r="E104" s="8"/>
      <c r="F104" s="8"/>
      <c r="G104" s="8"/>
      <c r="H104" s="8"/>
      <c r="I104" s="8"/>
      <c r="J104" s="8"/>
      <c r="K104" s="8"/>
      <c r="L104" s="8"/>
      <c r="M104" s="7">
        <f>IF($C104="","",G104+H104+I104+J104+K104+L104)</f>
      </c>
      <c r="N104" s="8"/>
      <c r="O104" s="8"/>
      <c r="P104" s="8"/>
      <c r="Q104" s="8"/>
      <c r="R104" s="8"/>
      <c r="S104" s="7">
        <f>IF($C104="","",C104&amp;" | BSR "&amp;B104&amp;" | "&amp;TEXT(D104,"dd-mm-yyyy")&amp;" | ₹"&amp;TEXT(M104,"#,##0"))</f>
      </c>
      <c r="T104" s="7">
        <f>IF($C104="","",SUMIFS('Q1 Data'!$K$4:$K$207,'Q1 Data'!$B$4:$B$207,$S104)+SUMIFS('Q1 Data'!$N$4:$N$207,'Q1 Data'!$B$4:$B$207,$S104)+SUMIFS('Q1 Data'!$L$4:$L$207,'Q1 Data'!$B$4:$B$207,$S104))</f>
      </c>
      <c r="U104" s="7">
        <f>IF($C104="","",SUMIFS('Q2 Data'!$K$4:$K$207,'Q2 Data'!$B$4:$B$207,$S104)+SUMIFS('Q2 Data'!$N$4:$N$207,'Q2 Data'!$B$4:$B$207,$S104)+SUMIFS('Q2 Data'!$L$4:$L$207,'Q2 Data'!$B$4:$B$207,$S104))</f>
      </c>
      <c r="V104" s="7">
        <f>IF($C104="","",SUMIFS('Q3 Data'!$K$4:$K$207,'Q3 Data'!$B$4:$B$207,$S104)+SUMIFS('Q3 Data'!$N$4:$N$207,'Q3 Data'!$B$4:$B$207,$S104)+SUMIFS('Q3 Data'!$L$4:$L$207,'Q3 Data'!$B$4:$B$207,$S104))</f>
      </c>
      <c r="W104" s="7">
        <f>IF($C104="","",SUMIFS('Q4 Data'!$K$4:$K$207,'Q4 Data'!$B$4:$B$207,$S104)+SUMIFS('Q4 Data'!$N$4:$N$207,'Q4 Data'!$B$4:$B$207,$S104)+SUMIFS('Q4 Data'!$L$4:$L$207,'Q4 Data'!$B$4:$B$207,$S104))</f>
      </c>
      <c r="X104" s="7">
        <f>IF($C104="","",T104+U104+V104+W104)</f>
      </c>
      <c r="Y104" s="7">
        <f>IF($C104="","",M104-L104)</f>
      </c>
      <c r="Z104" s="7">
        <f>IF($C104="","",Y104-X104)</f>
      </c>
      <c r="AA104" s="7">
        <f>IF($C104="","",IF(ROUND(X104-Y104,2)&gt;0,"Over-applied",IF(ROUND(X104-Y104,2)=0,"Fully Utilised","Unconsumed")))</f>
      </c>
    </row>
    <row r="105" spans="1:27" x14ac:dyDescent="0.25">
      <c r="A105" s="7">
        <f>IF($C105="","",COUNTIF($C$4:$C105,"&lt;&gt;"))</f>
      </c>
      <c r="B105" s="8"/>
      <c r="C105" s="8"/>
      <c r="D105" s="8"/>
      <c r="E105" s="8"/>
      <c r="F105" s="8"/>
      <c r="G105" s="8"/>
      <c r="H105" s="8"/>
      <c r="I105" s="8"/>
      <c r="J105" s="8"/>
      <c r="K105" s="8"/>
      <c r="L105" s="8"/>
      <c r="M105" s="7">
        <f>IF($C105="","",G105+H105+I105+J105+K105+L105)</f>
      </c>
      <c r="N105" s="8"/>
      <c r="O105" s="8"/>
      <c r="P105" s="8"/>
      <c r="Q105" s="8"/>
      <c r="R105" s="8"/>
      <c r="S105" s="7">
        <f>IF($C105="","",C105&amp;" | BSR "&amp;B105&amp;" | "&amp;TEXT(D105,"dd-mm-yyyy")&amp;" | ₹"&amp;TEXT(M105,"#,##0"))</f>
      </c>
      <c r="T105" s="7">
        <f>IF($C105="","",SUMIFS('Q1 Data'!$K$4:$K$207,'Q1 Data'!$B$4:$B$207,$S105)+SUMIFS('Q1 Data'!$N$4:$N$207,'Q1 Data'!$B$4:$B$207,$S105)+SUMIFS('Q1 Data'!$L$4:$L$207,'Q1 Data'!$B$4:$B$207,$S105))</f>
      </c>
      <c r="U105" s="7">
        <f>IF($C105="","",SUMIFS('Q2 Data'!$K$4:$K$207,'Q2 Data'!$B$4:$B$207,$S105)+SUMIFS('Q2 Data'!$N$4:$N$207,'Q2 Data'!$B$4:$B$207,$S105)+SUMIFS('Q2 Data'!$L$4:$L$207,'Q2 Data'!$B$4:$B$207,$S105))</f>
      </c>
      <c r="V105" s="7">
        <f>IF($C105="","",SUMIFS('Q3 Data'!$K$4:$K$207,'Q3 Data'!$B$4:$B$207,$S105)+SUMIFS('Q3 Data'!$N$4:$N$207,'Q3 Data'!$B$4:$B$207,$S105)+SUMIFS('Q3 Data'!$L$4:$L$207,'Q3 Data'!$B$4:$B$207,$S105))</f>
      </c>
      <c r="W105" s="7">
        <f>IF($C105="","",SUMIFS('Q4 Data'!$K$4:$K$207,'Q4 Data'!$B$4:$B$207,$S105)+SUMIFS('Q4 Data'!$N$4:$N$207,'Q4 Data'!$B$4:$B$207,$S105)+SUMIFS('Q4 Data'!$L$4:$L$207,'Q4 Data'!$B$4:$B$207,$S105))</f>
      </c>
      <c r="X105" s="7">
        <f>IF($C105="","",T105+U105+V105+W105)</f>
      </c>
      <c r="Y105" s="7">
        <f>IF($C105="","",M105-L105)</f>
      </c>
      <c r="Z105" s="7">
        <f>IF($C105="","",Y105-X105)</f>
      </c>
      <c r="AA105" s="7">
        <f>IF($C105="","",IF(ROUND(X105-Y105,2)&gt;0,"Over-applied",IF(ROUND(X105-Y105,2)=0,"Fully Utilised","Unconsumed")))</f>
      </c>
    </row>
    <row r="106" spans="1:27" x14ac:dyDescent="0.25">
      <c r="A106" s="7">
        <f>IF($C106="","",COUNTIF($C$4:$C106,"&lt;&gt;"))</f>
      </c>
      <c r="B106" s="8"/>
      <c r="C106" s="8"/>
      <c r="D106" s="8"/>
      <c r="E106" s="8"/>
      <c r="F106" s="8"/>
      <c r="G106" s="8"/>
      <c r="H106" s="8"/>
      <c r="I106" s="8"/>
      <c r="J106" s="8"/>
      <c r="K106" s="8"/>
      <c r="L106" s="8"/>
      <c r="M106" s="7">
        <f>IF($C106="","",G106+H106+I106+J106+K106+L106)</f>
      </c>
      <c r="N106" s="8"/>
      <c r="O106" s="8"/>
      <c r="P106" s="8"/>
      <c r="Q106" s="8"/>
      <c r="R106" s="8"/>
      <c r="S106" s="7">
        <f>IF($C106="","",C106&amp;" | BSR "&amp;B106&amp;" | "&amp;TEXT(D106,"dd-mm-yyyy")&amp;" | ₹"&amp;TEXT(M106,"#,##0"))</f>
      </c>
      <c r="T106" s="7">
        <f>IF($C106="","",SUMIFS('Q1 Data'!$K$4:$K$207,'Q1 Data'!$B$4:$B$207,$S106)+SUMIFS('Q1 Data'!$N$4:$N$207,'Q1 Data'!$B$4:$B$207,$S106)+SUMIFS('Q1 Data'!$L$4:$L$207,'Q1 Data'!$B$4:$B$207,$S106))</f>
      </c>
      <c r="U106" s="7">
        <f>IF($C106="","",SUMIFS('Q2 Data'!$K$4:$K$207,'Q2 Data'!$B$4:$B$207,$S106)+SUMIFS('Q2 Data'!$N$4:$N$207,'Q2 Data'!$B$4:$B$207,$S106)+SUMIFS('Q2 Data'!$L$4:$L$207,'Q2 Data'!$B$4:$B$207,$S106))</f>
      </c>
      <c r="V106" s="7">
        <f>IF($C106="","",SUMIFS('Q3 Data'!$K$4:$K$207,'Q3 Data'!$B$4:$B$207,$S106)+SUMIFS('Q3 Data'!$N$4:$N$207,'Q3 Data'!$B$4:$B$207,$S106)+SUMIFS('Q3 Data'!$L$4:$L$207,'Q3 Data'!$B$4:$B$207,$S106))</f>
      </c>
      <c r="W106" s="7">
        <f>IF($C106="","",SUMIFS('Q4 Data'!$K$4:$K$207,'Q4 Data'!$B$4:$B$207,$S106)+SUMIFS('Q4 Data'!$N$4:$N$207,'Q4 Data'!$B$4:$B$207,$S106)+SUMIFS('Q4 Data'!$L$4:$L$207,'Q4 Data'!$B$4:$B$207,$S106))</f>
      </c>
      <c r="X106" s="7">
        <f>IF($C106="","",T106+U106+V106+W106)</f>
      </c>
      <c r="Y106" s="7">
        <f>IF($C106="","",M106-L106)</f>
      </c>
      <c r="Z106" s="7">
        <f>IF($C106="","",Y106-X106)</f>
      </c>
      <c r="AA106" s="7">
        <f>IF($C106="","",IF(ROUND(X106-Y106,2)&gt;0,"Over-applied",IF(ROUND(X106-Y106,2)=0,"Fully Utilised","Unconsumed")))</f>
      </c>
    </row>
    <row r="107" spans="1:27" x14ac:dyDescent="0.25">
      <c r="A107" s="7">
        <f>IF($C107="","",COUNTIF($C$4:$C107,"&lt;&gt;"))</f>
      </c>
      <c r="B107" s="8"/>
      <c r="C107" s="8"/>
      <c r="D107" s="8"/>
      <c r="E107" s="8"/>
      <c r="F107" s="8"/>
      <c r="G107" s="8"/>
      <c r="H107" s="8"/>
      <c r="I107" s="8"/>
      <c r="J107" s="8"/>
      <c r="K107" s="8"/>
      <c r="L107" s="8"/>
      <c r="M107" s="7">
        <f>IF($C107="","",G107+H107+I107+J107+K107+L107)</f>
      </c>
      <c r="N107" s="8"/>
      <c r="O107" s="8"/>
      <c r="P107" s="8"/>
      <c r="Q107" s="8"/>
      <c r="R107" s="8"/>
      <c r="S107" s="7">
        <f>IF($C107="","",C107&amp;" | BSR "&amp;B107&amp;" | "&amp;TEXT(D107,"dd-mm-yyyy")&amp;" | ₹"&amp;TEXT(M107,"#,##0"))</f>
      </c>
      <c r="T107" s="7">
        <f>IF($C107="","",SUMIFS('Q1 Data'!$K$4:$K$207,'Q1 Data'!$B$4:$B$207,$S107)+SUMIFS('Q1 Data'!$N$4:$N$207,'Q1 Data'!$B$4:$B$207,$S107)+SUMIFS('Q1 Data'!$L$4:$L$207,'Q1 Data'!$B$4:$B$207,$S107))</f>
      </c>
      <c r="U107" s="7">
        <f>IF($C107="","",SUMIFS('Q2 Data'!$K$4:$K$207,'Q2 Data'!$B$4:$B$207,$S107)+SUMIFS('Q2 Data'!$N$4:$N$207,'Q2 Data'!$B$4:$B$207,$S107)+SUMIFS('Q2 Data'!$L$4:$L$207,'Q2 Data'!$B$4:$B$207,$S107))</f>
      </c>
      <c r="V107" s="7">
        <f>IF($C107="","",SUMIFS('Q3 Data'!$K$4:$K$207,'Q3 Data'!$B$4:$B$207,$S107)+SUMIFS('Q3 Data'!$N$4:$N$207,'Q3 Data'!$B$4:$B$207,$S107)+SUMIFS('Q3 Data'!$L$4:$L$207,'Q3 Data'!$B$4:$B$207,$S107))</f>
      </c>
      <c r="W107" s="7">
        <f>IF($C107="","",SUMIFS('Q4 Data'!$K$4:$K$207,'Q4 Data'!$B$4:$B$207,$S107)+SUMIFS('Q4 Data'!$N$4:$N$207,'Q4 Data'!$B$4:$B$207,$S107)+SUMIFS('Q4 Data'!$L$4:$L$207,'Q4 Data'!$B$4:$B$207,$S107))</f>
      </c>
      <c r="X107" s="7">
        <f>IF($C107="","",T107+U107+V107+W107)</f>
      </c>
      <c r="Y107" s="7">
        <f>IF($C107="","",M107-L107)</f>
      </c>
      <c r="Z107" s="7">
        <f>IF($C107="","",Y107-X107)</f>
      </c>
      <c r="AA107" s="7">
        <f>IF($C107="","",IF(ROUND(X107-Y107,2)&gt;0,"Over-applied",IF(ROUND(X107-Y107,2)=0,"Fully Utilised","Unconsumed")))</f>
      </c>
    </row>
    <row r="108" spans="1:27" x14ac:dyDescent="0.25">
      <c r="A108" s="7">
        <f>IF($C108="","",COUNTIF($C$4:$C108,"&lt;&gt;"))</f>
      </c>
      <c r="B108" s="8"/>
      <c r="C108" s="8"/>
      <c r="D108" s="8"/>
      <c r="E108" s="8"/>
      <c r="F108" s="8"/>
      <c r="G108" s="8"/>
      <c r="H108" s="8"/>
      <c r="I108" s="8"/>
      <c r="J108" s="8"/>
      <c r="K108" s="8"/>
      <c r="L108" s="8"/>
      <c r="M108" s="7">
        <f>IF($C108="","",G108+H108+I108+J108+K108+L108)</f>
      </c>
      <c r="N108" s="8"/>
      <c r="O108" s="8"/>
      <c r="P108" s="8"/>
      <c r="Q108" s="8"/>
      <c r="R108" s="8"/>
      <c r="S108" s="7">
        <f>IF($C108="","",C108&amp;" | BSR "&amp;B108&amp;" | "&amp;TEXT(D108,"dd-mm-yyyy")&amp;" | ₹"&amp;TEXT(M108,"#,##0"))</f>
      </c>
      <c r="T108" s="7">
        <f>IF($C108="","",SUMIFS('Q1 Data'!$K$4:$K$207,'Q1 Data'!$B$4:$B$207,$S108)+SUMIFS('Q1 Data'!$N$4:$N$207,'Q1 Data'!$B$4:$B$207,$S108)+SUMIFS('Q1 Data'!$L$4:$L$207,'Q1 Data'!$B$4:$B$207,$S108))</f>
      </c>
      <c r="U108" s="7">
        <f>IF($C108="","",SUMIFS('Q2 Data'!$K$4:$K$207,'Q2 Data'!$B$4:$B$207,$S108)+SUMIFS('Q2 Data'!$N$4:$N$207,'Q2 Data'!$B$4:$B$207,$S108)+SUMIFS('Q2 Data'!$L$4:$L$207,'Q2 Data'!$B$4:$B$207,$S108))</f>
      </c>
      <c r="V108" s="7">
        <f>IF($C108="","",SUMIFS('Q3 Data'!$K$4:$K$207,'Q3 Data'!$B$4:$B$207,$S108)+SUMIFS('Q3 Data'!$N$4:$N$207,'Q3 Data'!$B$4:$B$207,$S108)+SUMIFS('Q3 Data'!$L$4:$L$207,'Q3 Data'!$B$4:$B$207,$S108))</f>
      </c>
      <c r="W108" s="7">
        <f>IF($C108="","",SUMIFS('Q4 Data'!$K$4:$K$207,'Q4 Data'!$B$4:$B$207,$S108)+SUMIFS('Q4 Data'!$N$4:$N$207,'Q4 Data'!$B$4:$B$207,$S108)+SUMIFS('Q4 Data'!$L$4:$L$207,'Q4 Data'!$B$4:$B$207,$S108))</f>
      </c>
      <c r="X108" s="7">
        <f>IF($C108="","",T108+U108+V108+W108)</f>
      </c>
      <c r="Y108" s="7">
        <f>IF($C108="","",M108-L108)</f>
      </c>
      <c r="Z108" s="7">
        <f>IF($C108="","",Y108-X108)</f>
      </c>
      <c r="AA108" s="7">
        <f>IF($C108="","",IF(ROUND(X108-Y108,2)&gt;0,"Over-applied",IF(ROUND(X108-Y108,2)=0,"Fully Utilised","Unconsumed")))</f>
      </c>
    </row>
    <row r="109" spans="1:27" x14ac:dyDescent="0.25">
      <c r="A109" s="7">
        <f>IF($C109="","",COUNTIF($C$4:$C109,"&lt;&gt;"))</f>
      </c>
      <c r="B109" s="8"/>
      <c r="C109" s="8"/>
      <c r="D109" s="8"/>
      <c r="E109" s="8"/>
      <c r="F109" s="8"/>
      <c r="G109" s="8"/>
      <c r="H109" s="8"/>
      <c r="I109" s="8"/>
      <c r="J109" s="8"/>
      <c r="K109" s="8"/>
      <c r="L109" s="8"/>
      <c r="M109" s="7">
        <f>IF($C109="","",G109+H109+I109+J109+K109+L109)</f>
      </c>
      <c r="N109" s="8"/>
      <c r="O109" s="8"/>
      <c r="P109" s="8"/>
      <c r="Q109" s="8"/>
      <c r="R109" s="8"/>
      <c r="S109" s="7">
        <f>IF($C109="","",C109&amp;" | BSR "&amp;B109&amp;" | "&amp;TEXT(D109,"dd-mm-yyyy")&amp;" | ₹"&amp;TEXT(M109,"#,##0"))</f>
      </c>
      <c r="T109" s="7">
        <f>IF($C109="","",SUMIFS('Q1 Data'!$K$4:$K$207,'Q1 Data'!$B$4:$B$207,$S109)+SUMIFS('Q1 Data'!$N$4:$N$207,'Q1 Data'!$B$4:$B$207,$S109)+SUMIFS('Q1 Data'!$L$4:$L$207,'Q1 Data'!$B$4:$B$207,$S109))</f>
      </c>
      <c r="U109" s="7">
        <f>IF($C109="","",SUMIFS('Q2 Data'!$K$4:$K$207,'Q2 Data'!$B$4:$B$207,$S109)+SUMIFS('Q2 Data'!$N$4:$N$207,'Q2 Data'!$B$4:$B$207,$S109)+SUMIFS('Q2 Data'!$L$4:$L$207,'Q2 Data'!$B$4:$B$207,$S109))</f>
      </c>
      <c r="V109" s="7">
        <f>IF($C109="","",SUMIFS('Q3 Data'!$K$4:$K$207,'Q3 Data'!$B$4:$B$207,$S109)+SUMIFS('Q3 Data'!$N$4:$N$207,'Q3 Data'!$B$4:$B$207,$S109)+SUMIFS('Q3 Data'!$L$4:$L$207,'Q3 Data'!$B$4:$B$207,$S109))</f>
      </c>
      <c r="W109" s="7">
        <f>IF($C109="","",SUMIFS('Q4 Data'!$K$4:$K$207,'Q4 Data'!$B$4:$B$207,$S109)+SUMIFS('Q4 Data'!$N$4:$N$207,'Q4 Data'!$B$4:$B$207,$S109)+SUMIFS('Q4 Data'!$L$4:$L$207,'Q4 Data'!$B$4:$B$207,$S109))</f>
      </c>
      <c r="X109" s="7">
        <f>IF($C109="","",T109+U109+V109+W109)</f>
      </c>
      <c r="Y109" s="7">
        <f>IF($C109="","",M109-L109)</f>
      </c>
      <c r="Z109" s="7">
        <f>IF($C109="","",Y109-X109)</f>
      </c>
      <c r="AA109" s="7">
        <f>IF($C109="","",IF(ROUND(X109-Y109,2)&gt;0,"Over-applied",IF(ROUND(X109-Y109,2)=0,"Fully Utilised","Unconsumed")))</f>
      </c>
    </row>
    <row r="110" spans="1:27" x14ac:dyDescent="0.25">
      <c r="A110" s="7">
        <f>IF($C110="","",COUNTIF($C$4:$C110,"&lt;&gt;"))</f>
      </c>
      <c r="B110" s="8"/>
      <c r="C110" s="8"/>
      <c r="D110" s="8"/>
      <c r="E110" s="8"/>
      <c r="F110" s="8"/>
      <c r="G110" s="8"/>
      <c r="H110" s="8"/>
      <c r="I110" s="8"/>
      <c r="J110" s="8"/>
      <c r="K110" s="8"/>
      <c r="L110" s="8"/>
      <c r="M110" s="7">
        <f>IF($C110="","",G110+H110+I110+J110+K110+L110)</f>
      </c>
      <c r="N110" s="8"/>
      <c r="O110" s="8"/>
      <c r="P110" s="8"/>
      <c r="Q110" s="8"/>
      <c r="R110" s="8"/>
      <c r="S110" s="7">
        <f>IF($C110="","",C110&amp;" | BSR "&amp;B110&amp;" | "&amp;TEXT(D110,"dd-mm-yyyy")&amp;" | ₹"&amp;TEXT(M110,"#,##0"))</f>
      </c>
      <c r="T110" s="7">
        <f>IF($C110="","",SUMIFS('Q1 Data'!$K$4:$K$207,'Q1 Data'!$B$4:$B$207,$S110)+SUMIFS('Q1 Data'!$N$4:$N$207,'Q1 Data'!$B$4:$B$207,$S110)+SUMIFS('Q1 Data'!$L$4:$L$207,'Q1 Data'!$B$4:$B$207,$S110))</f>
      </c>
      <c r="U110" s="7">
        <f>IF($C110="","",SUMIFS('Q2 Data'!$K$4:$K$207,'Q2 Data'!$B$4:$B$207,$S110)+SUMIFS('Q2 Data'!$N$4:$N$207,'Q2 Data'!$B$4:$B$207,$S110)+SUMIFS('Q2 Data'!$L$4:$L$207,'Q2 Data'!$B$4:$B$207,$S110))</f>
      </c>
      <c r="V110" s="7">
        <f>IF($C110="","",SUMIFS('Q3 Data'!$K$4:$K$207,'Q3 Data'!$B$4:$B$207,$S110)+SUMIFS('Q3 Data'!$N$4:$N$207,'Q3 Data'!$B$4:$B$207,$S110)+SUMIFS('Q3 Data'!$L$4:$L$207,'Q3 Data'!$B$4:$B$207,$S110))</f>
      </c>
      <c r="W110" s="7">
        <f>IF($C110="","",SUMIFS('Q4 Data'!$K$4:$K$207,'Q4 Data'!$B$4:$B$207,$S110)+SUMIFS('Q4 Data'!$N$4:$N$207,'Q4 Data'!$B$4:$B$207,$S110)+SUMIFS('Q4 Data'!$L$4:$L$207,'Q4 Data'!$B$4:$B$207,$S110))</f>
      </c>
      <c r="X110" s="7">
        <f>IF($C110="","",T110+U110+V110+W110)</f>
      </c>
      <c r="Y110" s="7">
        <f>IF($C110="","",M110-L110)</f>
      </c>
      <c r="Z110" s="7">
        <f>IF($C110="","",Y110-X110)</f>
      </c>
      <c r="AA110" s="7">
        <f>IF($C110="","",IF(ROUND(X110-Y110,2)&gt;0,"Over-applied",IF(ROUND(X110-Y110,2)=0,"Fully Utilised","Unconsumed")))</f>
      </c>
    </row>
    <row r="111" spans="1:27" x14ac:dyDescent="0.25">
      <c r="A111" s="7">
        <f>IF($C111="","",COUNTIF($C$4:$C111,"&lt;&gt;"))</f>
      </c>
      <c r="B111" s="8"/>
      <c r="C111" s="8"/>
      <c r="D111" s="8"/>
      <c r="E111" s="8"/>
      <c r="F111" s="8"/>
      <c r="G111" s="8"/>
      <c r="H111" s="8"/>
      <c r="I111" s="8"/>
      <c r="J111" s="8"/>
      <c r="K111" s="8"/>
      <c r="L111" s="8"/>
      <c r="M111" s="7">
        <f>IF($C111="","",G111+H111+I111+J111+K111+L111)</f>
      </c>
      <c r="N111" s="8"/>
      <c r="O111" s="8"/>
      <c r="P111" s="8"/>
      <c r="Q111" s="8"/>
      <c r="R111" s="8"/>
      <c r="S111" s="7">
        <f>IF($C111="","",C111&amp;" | BSR "&amp;B111&amp;" | "&amp;TEXT(D111,"dd-mm-yyyy")&amp;" | ₹"&amp;TEXT(M111,"#,##0"))</f>
      </c>
      <c r="T111" s="7">
        <f>IF($C111="","",SUMIFS('Q1 Data'!$K$4:$K$207,'Q1 Data'!$B$4:$B$207,$S111)+SUMIFS('Q1 Data'!$N$4:$N$207,'Q1 Data'!$B$4:$B$207,$S111)+SUMIFS('Q1 Data'!$L$4:$L$207,'Q1 Data'!$B$4:$B$207,$S111))</f>
      </c>
      <c r="U111" s="7">
        <f>IF($C111="","",SUMIFS('Q2 Data'!$K$4:$K$207,'Q2 Data'!$B$4:$B$207,$S111)+SUMIFS('Q2 Data'!$N$4:$N$207,'Q2 Data'!$B$4:$B$207,$S111)+SUMIFS('Q2 Data'!$L$4:$L$207,'Q2 Data'!$B$4:$B$207,$S111))</f>
      </c>
      <c r="V111" s="7">
        <f>IF($C111="","",SUMIFS('Q3 Data'!$K$4:$K$207,'Q3 Data'!$B$4:$B$207,$S111)+SUMIFS('Q3 Data'!$N$4:$N$207,'Q3 Data'!$B$4:$B$207,$S111)+SUMIFS('Q3 Data'!$L$4:$L$207,'Q3 Data'!$B$4:$B$207,$S111))</f>
      </c>
      <c r="W111" s="7">
        <f>IF($C111="","",SUMIFS('Q4 Data'!$K$4:$K$207,'Q4 Data'!$B$4:$B$207,$S111)+SUMIFS('Q4 Data'!$N$4:$N$207,'Q4 Data'!$B$4:$B$207,$S111)+SUMIFS('Q4 Data'!$L$4:$L$207,'Q4 Data'!$B$4:$B$207,$S111))</f>
      </c>
      <c r="X111" s="7">
        <f>IF($C111="","",T111+U111+V111+W111)</f>
      </c>
      <c r="Y111" s="7">
        <f>IF($C111="","",M111-L111)</f>
      </c>
      <c r="Z111" s="7">
        <f>IF($C111="","",Y111-X111)</f>
      </c>
      <c r="AA111" s="7">
        <f>IF($C111="","",IF(ROUND(X111-Y111,2)&gt;0,"Over-applied",IF(ROUND(X111-Y111,2)=0,"Fully Utilised","Unconsumed")))</f>
      </c>
    </row>
    <row r="112" spans="1:27" x14ac:dyDescent="0.25">
      <c r="A112" s="7">
        <f>IF($C112="","",COUNTIF($C$4:$C112,"&lt;&gt;"))</f>
      </c>
      <c r="B112" s="8"/>
      <c r="C112" s="8"/>
      <c r="D112" s="8"/>
      <c r="E112" s="8"/>
      <c r="F112" s="8"/>
      <c r="G112" s="8"/>
      <c r="H112" s="8"/>
      <c r="I112" s="8"/>
      <c r="J112" s="8"/>
      <c r="K112" s="8"/>
      <c r="L112" s="8"/>
      <c r="M112" s="7">
        <f>IF($C112="","",G112+H112+I112+J112+K112+L112)</f>
      </c>
      <c r="N112" s="8"/>
      <c r="O112" s="8"/>
      <c r="P112" s="8"/>
      <c r="Q112" s="8"/>
      <c r="R112" s="8"/>
      <c r="S112" s="7">
        <f>IF($C112="","",C112&amp;" | BSR "&amp;B112&amp;" | "&amp;TEXT(D112,"dd-mm-yyyy")&amp;" | ₹"&amp;TEXT(M112,"#,##0"))</f>
      </c>
      <c r="T112" s="7">
        <f>IF($C112="","",SUMIFS('Q1 Data'!$K$4:$K$207,'Q1 Data'!$B$4:$B$207,$S112)+SUMIFS('Q1 Data'!$N$4:$N$207,'Q1 Data'!$B$4:$B$207,$S112)+SUMIFS('Q1 Data'!$L$4:$L$207,'Q1 Data'!$B$4:$B$207,$S112))</f>
      </c>
      <c r="U112" s="7">
        <f>IF($C112="","",SUMIFS('Q2 Data'!$K$4:$K$207,'Q2 Data'!$B$4:$B$207,$S112)+SUMIFS('Q2 Data'!$N$4:$N$207,'Q2 Data'!$B$4:$B$207,$S112)+SUMIFS('Q2 Data'!$L$4:$L$207,'Q2 Data'!$B$4:$B$207,$S112))</f>
      </c>
      <c r="V112" s="7">
        <f>IF($C112="","",SUMIFS('Q3 Data'!$K$4:$K$207,'Q3 Data'!$B$4:$B$207,$S112)+SUMIFS('Q3 Data'!$N$4:$N$207,'Q3 Data'!$B$4:$B$207,$S112)+SUMIFS('Q3 Data'!$L$4:$L$207,'Q3 Data'!$B$4:$B$207,$S112))</f>
      </c>
      <c r="W112" s="7">
        <f>IF($C112="","",SUMIFS('Q4 Data'!$K$4:$K$207,'Q4 Data'!$B$4:$B$207,$S112)+SUMIFS('Q4 Data'!$N$4:$N$207,'Q4 Data'!$B$4:$B$207,$S112)+SUMIFS('Q4 Data'!$L$4:$L$207,'Q4 Data'!$B$4:$B$207,$S112))</f>
      </c>
      <c r="X112" s="7">
        <f>IF($C112="","",T112+U112+V112+W112)</f>
      </c>
      <c r="Y112" s="7">
        <f>IF($C112="","",M112-L112)</f>
      </c>
      <c r="Z112" s="7">
        <f>IF($C112="","",Y112-X112)</f>
      </c>
      <c r="AA112" s="7">
        <f>IF($C112="","",IF(ROUND(X112-Y112,2)&gt;0,"Over-applied",IF(ROUND(X112-Y112,2)=0,"Fully Utilised","Unconsumed")))</f>
      </c>
    </row>
    <row r="113" spans="1:27" x14ac:dyDescent="0.25">
      <c r="A113" s="7">
        <f>IF($C113="","",COUNTIF($C$4:$C113,"&lt;&gt;"))</f>
      </c>
      <c r="B113" s="8"/>
      <c r="C113" s="8"/>
      <c r="D113" s="8"/>
      <c r="E113" s="8"/>
      <c r="F113" s="8"/>
      <c r="G113" s="8"/>
      <c r="H113" s="8"/>
      <c r="I113" s="8"/>
      <c r="J113" s="8"/>
      <c r="K113" s="8"/>
      <c r="L113" s="8"/>
      <c r="M113" s="7">
        <f>IF($C113="","",G113+H113+I113+J113+K113+L113)</f>
      </c>
      <c r="N113" s="8"/>
      <c r="O113" s="8"/>
      <c r="P113" s="8"/>
      <c r="Q113" s="8"/>
      <c r="R113" s="8"/>
      <c r="S113" s="7">
        <f>IF($C113="","",C113&amp;" | BSR "&amp;B113&amp;" | "&amp;TEXT(D113,"dd-mm-yyyy")&amp;" | ₹"&amp;TEXT(M113,"#,##0"))</f>
      </c>
      <c r="T113" s="7">
        <f>IF($C113="","",SUMIFS('Q1 Data'!$K$4:$K$207,'Q1 Data'!$B$4:$B$207,$S113)+SUMIFS('Q1 Data'!$N$4:$N$207,'Q1 Data'!$B$4:$B$207,$S113)+SUMIFS('Q1 Data'!$L$4:$L$207,'Q1 Data'!$B$4:$B$207,$S113))</f>
      </c>
      <c r="U113" s="7">
        <f>IF($C113="","",SUMIFS('Q2 Data'!$K$4:$K$207,'Q2 Data'!$B$4:$B$207,$S113)+SUMIFS('Q2 Data'!$N$4:$N$207,'Q2 Data'!$B$4:$B$207,$S113)+SUMIFS('Q2 Data'!$L$4:$L$207,'Q2 Data'!$B$4:$B$207,$S113))</f>
      </c>
      <c r="V113" s="7">
        <f>IF($C113="","",SUMIFS('Q3 Data'!$K$4:$K$207,'Q3 Data'!$B$4:$B$207,$S113)+SUMIFS('Q3 Data'!$N$4:$N$207,'Q3 Data'!$B$4:$B$207,$S113)+SUMIFS('Q3 Data'!$L$4:$L$207,'Q3 Data'!$B$4:$B$207,$S113))</f>
      </c>
      <c r="W113" s="7">
        <f>IF($C113="","",SUMIFS('Q4 Data'!$K$4:$K$207,'Q4 Data'!$B$4:$B$207,$S113)+SUMIFS('Q4 Data'!$N$4:$N$207,'Q4 Data'!$B$4:$B$207,$S113)+SUMIFS('Q4 Data'!$L$4:$L$207,'Q4 Data'!$B$4:$B$207,$S113))</f>
      </c>
      <c r="X113" s="7">
        <f>IF($C113="","",T113+U113+V113+W113)</f>
      </c>
      <c r="Y113" s="7">
        <f>IF($C113="","",M113-L113)</f>
      </c>
      <c r="Z113" s="7">
        <f>IF($C113="","",Y113-X113)</f>
      </c>
      <c r="AA113" s="7">
        <f>IF($C113="","",IF(ROUND(X113-Y113,2)&gt;0,"Over-applied",IF(ROUND(X113-Y113,2)=0,"Fully Utilised","Unconsumed")))</f>
      </c>
    </row>
    <row r="114" spans="1:27" x14ac:dyDescent="0.25">
      <c r="A114" s="7">
        <f>IF($C114="","",COUNTIF($C$4:$C114,"&lt;&gt;"))</f>
      </c>
      <c r="B114" s="8"/>
      <c r="C114" s="8"/>
      <c r="D114" s="8"/>
      <c r="E114" s="8"/>
      <c r="F114" s="8"/>
      <c r="G114" s="8"/>
      <c r="H114" s="8"/>
      <c r="I114" s="8"/>
      <c r="J114" s="8"/>
      <c r="K114" s="8"/>
      <c r="L114" s="8"/>
      <c r="M114" s="7">
        <f>IF($C114="","",G114+H114+I114+J114+K114+L114)</f>
      </c>
      <c r="N114" s="8"/>
      <c r="O114" s="8"/>
      <c r="P114" s="8"/>
      <c r="Q114" s="8"/>
      <c r="R114" s="8"/>
      <c r="S114" s="7">
        <f>IF($C114="","",C114&amp;" | BSR "&amp;B114&amp;" | "&amp;TEXT(D114,"dd-mm-yyyy")&amp;" | ₹"&amp;TEXT(M114,"#,##0"))</f>
      </c>
      <c r="T114" s="7">
        <f>IF($C114="","",SUMIFS('Q1 Data'!$K$4:$K$207,'Q1 Data'!$B$4:$B$207,$S114)+SUMIFS('Q1 Data'!$N$4:$N$207,'Q1 Data'!$B$4:$B$207,$S114)+SUMIFS('Q1 Data'!$L$4:$L$207,'Q1 Data'!$B$4:$B$207,$S114))</f>
      </c>
      <c r="U114" s="7">
        <f>IF($C114="","",SUMIFS('Q2 Data'!$K$4:$K$207,'Q2 Data'!$B$4:$B$207,$S114)+SUMIFS('Q2 Data'!$N$4:$N$207,'Q2 Data'!$B$4:$B$207,$S114)+SUMIFS('Q2 Data'!$L$4:$L$207,'Q2 Data'!$B$4:$B$207,$S114))</f>
      </c>
      <c r="V114" s="7">
        <f>IF($C114="","",SUMIFS('Q3 Data'!$K$4:$K$207,'Q3 Data'!$B$4:$B$207,$S114)+SUMIFS('Q3 Data'!$N$4:$N$207,'Q3 Data'!$B$4:$B$207,$S114)+SUMIFS('Q3 Data'!$L$4:$L$207,'Q3 Data'!$B$4:$B$207,$S114))</f>
      </c>
      <c r="W114" s="7">
        <f>IF($C114="","",SUMIFS('Q4 Data'!$K$4:$K$207,'Q4 Data'!$B$4:$B$207,$S114)+SUMIFS('Q4 Data'!$N$4:$N$207,'Q4 Data'!$B$4:$B$207,$S114)+SUMIFS('Q4 Data'!$L$4:$L$207,'Q4 Data'!$B$4:$B$207,$S114))</f>
      </c>
      <c r="X114" s="7">
        <f>IF($C114="","",T114+U114+V114+W114)</f>
      </c>
      <c r="Y114" s="7">
        <f>IF($C114="","",M114-L114)</f>
      </c>
      <c r="Z114" s="7">
        <f>IF($C114="","",Y114-X114)</f>
      </c>
      <c r="AA114" s="7">
        <f>IF($C114="","",IF(ROUND(X114-Y114,2)&gt;0,"Over-applied",IF(ROUND(X114-Y114,2)=0,"Fully Utilised","Unconsumed")))</f>
      </c>
    </row>
    <row r="115" spans="1:27" x14ac:dyDescent="0.25">
      <c r="A115" s="7">
        <f>IF($C115="","",COUNTIF($C$4:$C115,"&lt;&gt;"))</f>
      </c>
      <c r="B115" s="8"/>
      <c r="C115" s="8"/>
      <c r="D115" s="8"/>
      <c r="E115" s="8"/>
      <c r="F115" s="8"/>
      <c r="G115" s="8"/>
      <c r="H115" s="8"/>
      <c r="I115" s="8"/>
      <c r="J115" s="8"/>
      <c r="K115" s="8"/>
      <c r="L115" s="8"/>
      <c r="M115" s="7">
        <f>IF($C115="","",G115+H115+I115+J115+K115+L115)</f>
      </c>
      <c r="N115" s="8"/>
      <c r="O115" s="8"/>
      <c r="P115" s="8"/>
      <c r="Q115" s="8"/>
      <c r="R115" s="8"/>
      <c r="S115" s="7">
        <f>IF($C115="","",C115&amp;" | BSR "&amp;B115&amp;" | "&amp;TEXT(D115,"dd-mm-yyyy")&amp;" | ₹"&amp;TEXT(M115,"#,##0"))</f>
      </c>
      <c r="T115" s="7">
        <f>IF($C115="","",SUMIFS('Q1 Data'!$K$4:$K$207,'Q1 Data'!$B$4:$B$207,$S115)+SUMIFS('Q1 Data'!$N$4:$N$207,'Q1 Data'!$B$4:$B$207,$S115)+SUMIFS('Q1 Data'!$L$4:$L$207,'Q1 Data'!$B$4:$B$207,$S115))</f>
      </c>
      <c r="U115" s="7">
        <f>IF($C115="","",SUMIFS('Q2 Data'!$K$4:$K$207,'Q2 Data'!$B$4:$B$207,$S115)+SUMIFS('Q2 Data'!$N$4:$N$207,'Q2 Data'!$B$4:$B$207,$S115)+SUMIFS('Q2 Data'!$L$4:$L$207,'Q2 Data'!$B$4:$B$207,$S115))</f>
      </c>
      <c r="V115" s="7">
        <f>IF($C115="","",SUMIFS('Q3 Data'!$K$4:$K$207,'Q3 Data'!$B$4:$B$207,$S115)+SUMIFS('Q3 Data'!$N$4:$N$207,'Q3 Data'!$B$4:$B$207,$S115)+SUMIFS('Q3 Data'!$L$4:$L$207,'Q3 Data'!$B$4:$B$207,$S115))</f>
      </c>
      <c r="W115" s="7">
        <f>IF($C115="","",SUMIFS('Q4 Data'!$K$4:$K$207,'Q4 Data'!$B$4:$B$207,$S115)+SUMIFS('Q4 Data'!$N$4:$N$207,'Q4 Data'!$B$4:$B$207,$S115)+SUMIFS('Q4 Data'!$L$4:$L$207,'Q4 Data'!$B$4:$B$207,$S115))</f>
      </c>
      <c r="X115" s="7">
        <f>IF($C115="","",T115+U115+V115+W115)</f>
      </c>
      <c r="Y115" s="7">
        <f>IF($C115="","",M115-L115)</f>
      </c>
      <c r="Z115" s="7">
        <f>IF($C115="","",Y115-X115)</f>
      </c>
      <c r="AA115" s="7">
        <f>IF($C115="","",IF(ROUND(X115-Y115,2)&gt;0,"Over-applied",IF(ROUND(X115-Y115,2)=0,"Fully Utilised","Unconsumed")))</f>
      </c>
    </row>
    <row r="116" spans="1:27" x14ac:dyDescent="0.25">
      <c r="A116" s="7">
        <f>IF($C116="","",COUNTIF($C$4:$C116,"&lt;&gt;"))</f>
      </c>
      <c r="B116" s="8"/>
      <c r="C116" s="8"/>
      <c r="D116" s="8"/>
      <c r="E116" s="8"/>
      <c r="F116" s="8"/>
      <c r="G116" s="8"/>
      <c r="H116" s="8"/>
      <c r="I116" s="8"/>
      <c r="J116" s="8"/>
      <c r="K116" s="8"/>
      <c r="L116" s="8"/>
      <c r="M116" s="7">
        <f>IF($C116="","",G116+H116+I116+J116+K116+L116)</f>
      </c>
      <c r="N116" s="8"/>
      <c r="O116" s="8"/>
      <c r="P116" s="8"/>
      <c r="Q116" s="8"/>
      <c r="R116" s="8"/>
      <c r="S116" s="7">
        <f>IF($C116="","",C116&amp;" | BSR "&amp;B116&amp;" | "&amp;TEXT(D116,"dd-mm-yyyy")&amp;" | ₹"&amp;TEXT(M116,"#,##0"))</f>
      </c>
      <c r="T116" s="7">
        <f>IF($C116="","",SUMIFS('Q1 Data'!$K$4:$K$207,'Q1 Data'!$B$4:$B$207,$S116)+SUMIFS('Q1 Data'!$N$4:$N$207,'Q1 Data'!$B$4:$B$207,$S116)+SUMIFS('Q1 Data'!$L$4:$L$207,'Q1 Data'!$B$4:$B$207,$S116))</f>
      </c>
      <c r="U116" s="7">
        <f>IF($C116="","",SUMIFS('Q2 Data'!$K$4:$K$207,'Q2 Data'!$B$4:$B$207,$S116)+SUMIFS('Q2 Data'!$N$4:$N$207,'Q2 Data'!$B$4:$B$207,$S116)+SUMIFS('Q2 Data'!$L$4:$L$207,'Q2 Data'!$B$4:$B$207,$S116))</f>
      </c>
      <c r="V116" s="7">
        <f>IF($C116="","",SUMIFS('Q3 Data'!$K$4:$K$207,'Q3 Data'!$B$4:$B$207,$S116)+SUMIFS('Q3 Data'!$N$4:$N$207,'Q3 Data'!$B$4:$B$207,$S116)+SUMIFS('Q3 Data'!$L$4:$L$207,'Q3 Data'!$B$4:$B$207,$S116))</f>
      </c>
      <c r="W116" s="7">
        <f>IF($C116="","",SUMIFS('Q4 Data'!$K$4:$K$207,'Q4 Data'!$B$4:$B$207,$S116)+SUMIFS('Q4 Data'!$N$4:$N$207,'Q4 Data'!$B$4:$B$207,$S116)+SUMIFS('Q4 Data'!$L$4:$L$207,'Q4 Data'!$B$4:$B$207,$S116))</f>
      </c>
      <c r="X116" s="7">
        <f>IF($C116="","",T116+U116+V116+W116)</f>
      </c>
      <c r="Y116" s="7">
        <f>IF($C116="","",M116-L116)</f>
      </c>
      <c r="Z116" s="7">
        <f>IF($C116="","",Y116-X116)</f>
      </c>
      <c r="AA116" s="7">
        <f>IF($C116="","",IF(ROUND(X116-Y116,2)&gt;0,"Over-applied",IF(ROUND(X116-Y116,2)=0,"Fully Utilised","Unconsumed")))</f>
      </c>
    </row>
    <row r="117" spans="1:27" x14ac:dyDescent="0.25">
      <c r="A117" s="7">
        <f>IF($C117="","",COUNTIF($C$4:$C117,"&lt;&gt;"))</f>
      </c>
      <c r="B117" s="8"/>
      <c r="C117" s="8"/>
      <c r="D117" s="8"/>
      <c r="E117" s="8"/>
      <c r="F117" s="8"/>
      <c r="G117" s="8"/>
      <c r="H117" s="8"/>
      <c r="I117" s="8"/>
      <c r="J117" s="8"/>
      <c r="K117" s="8"/>
      <c r="L117" s="8"/>
      <c r="M117" s="7">
        <f>IF($C117="","",G117+H117+I117+J117+K117+L117)</f>
      </c>
      <c r="N117" s="8"/>
      <c r="O117" s="8"/>
      <c r="P117" s="8"/>
      <c r="Q117" s="8"/>
      <c r="R117" s="8"/>
      <c r="S117" s="7">
        <f>IF($C117="","",C117&amp;" | BSR "&amp;B117&amp;" | "&amp;TEXT(D117,"dd-mm-yyyy")&amp;" | ₹"&amp;TEXT(M117,"#,##0"))</f>
      </c>
      <c r="T117" s="7">
        <f>IF($C117="","",SUMIFS('Q1 Data'!$K$4:$K$207,'Q1 Data'!$B$4:$B$207,$S117)+SUMIFS('Q1 Data'!$N$4:$N$207,'Q1 Data'!$B$4:$B$207,$S117)+SUMIFS('Q1 Data'!$L$4:$L$207,'Q1 Data'!$B$4:$B$207,$S117))</f>
      </c>
      <c r="U117" s="7">
        <f>IF($C117="","",SUMIFS('Q2 Data'!$K$4:$K$207,'Q2 Data'!$B$4:$B$207,$S117)+SUMIFS('Q2 Data'!$N$4:$N$207,'Q2 Data'!$B$4:$B$207,$S117)+SUMIFS('Q2 Data'!$L$4:$L$207,'Q2 Data'!$B$4:$B$207,$S117))</f>
      </c>
      <c r="V117" s="7">
        <f>IF($C117="","",SUMIFS('Q3 Data'!$K$4:$K$207,'Q3 Data'!$B$4:$B$207,$S117)+SUMIFS('Q3 Data'!$N$4:$N$207,'Q3 Data'!$B$4:$B$207,$S117)+SUMIFS('Q3 Data'!$L$4:$L$207,'Q3 Data'!$B$4:$B$207,$S117))</f>
      </c>
      <c r="W117" s="7">
        <f>IF($C117="","",SUMIFS('Q4 Data'!$K$4:$K$207,'Q4 Data'!$B$4:$B$207,$S117)+SUMIFS('Q4 Data'!$N$4:$N$207,'Q4 Data'!$B$4:$B$207,$S117)+SUMIFS('Q4 Data'!$L$4:$L$207,'Q4 Data'!$B$4:$B$207,$S117))</f>
      </c>
      <c r="X117" s="7">
        <f>IF($C117="","",T117+U117+V117+W117)</f>
      </c>
      <c r="Y117" s="7">
        <f>IF($C117="","",M117-L117)</f>
      </c>
      <c r="Z117" s="7">
        <f>IF($C117="","",Y117-X117)</f>
      </c>
      <c r="AA117" s="7">
        <f>IF($C117="","",IF(ROUND(X117-Y117,2)&gt;0,"Over-applied",IF(ROUND(X117-Y117,2)=0,"Fully Utilised","Unconsumed")))</f>
      </c>
    </row>
    <row r="118" spans="1:27" x14ac:dyDescent="0.25">
      <c r="A118" s="7">
        <f>IF($C118="","",COUNTIF($C$4:$C118,"&lt;&gt;"))</f>
      </c>
      <c r="B118" s="8"/>
      <c r="C118" s="8"/>
      <c r="D118" s="8"/>
      <c r="E118" s="8"/>
      <c r="F118" s="8"/>
      <c r="G118" s="8"/>
      <c r="H118" s="8"/>
      <c r="I118" s="8"/>
      <c r="J118" s="8"/>
      <c r="K118" s="8"/>
      <c r="L118" s="8"/>
      <c r="M118" s="7">
        <f>IF($C118="","",G118+H118+I118+J118+K118+L118)</f>
      </c>
      <c r="N118" s="8"/>
      <c r="O118" s="8"/>
      <c r="P118" s="8"/>
      <c r="Q118" s="8"/>
      <c r="R118" s="8"/>
      <c r="S118" s="7">
        <f>IF($C118="","",C118&amp;" | BSR "&amp;B118&amp;" | "&amp;TEXT(D118,"dd-mm-yyyy")&amp;" | ₹"&amp;TEXT(M118,"#,##0"))</f>
      </c>
      <c r="T118" s="7">
        <f>IF($C118="","",SUMIFS('Q1 Data'!$K$4:$K$207,'Q1 Data'!$B$4:$B$207,$S118)+SUMIFS('Q1 Data'!$N$4:$N$207,'Q1 Data'!$B$4:$B$207,$S118)+SUMIFS('Q1 Data'!$L$4:$L$207,'Q1 Data'!$B$4:$B$207,$S118))</f>
      </c>
      <c r="U118" s="7">
        <f>IF($C118="","",SUMIFS('Q2 Data'!$K$4:$K$207,'Q2 Data'!$B$4:$B$207,$S118)+SUMIFS('Q2 Data'!$N$4:$N$207,'Q2 Data'!$B$4:$B$207,$S118)+SUMIFS('Q2 Data'!$L$4:$L$207,'Q2 Data'!$B$4:$B$207,$S118))</f>
      </c>
      <c r="V118" s="7">
        <f>IF($C118="","",SUMIFS('Q3 Data'!$K$4:$K$207,'Q3 Data'!$B$4:$B$207,$S118)+SUMIFS('Q3 Data'!$N$4:$N$207,'Q3 Data'!$B$4:$B$207,$S118)+SUMIFS('Q3 Data'!$L$4:$L$207,'Q3 Data'!$B$4:$B$207,$S118))</f>
      </c>
      <c r="W118" s="7">
        <f>IF($C118="","",SUMIFS('Q4 Data'!$K$4:$K$207,'Q4 Data'!$B$4:$B$207,$S118)+SUMIFS('Q4 Data'!$N$4:$N$207,'Q4 Data'!$B$4:$B$207,$S118)+SUMIFS('Q4 Data'!$L$4:$L$207,'Q4 Data'!$B$4:$B$207,$S118))</f>
      </c>
      <c r="X118" s="7">
        <f>IF($C118="","",T118+U118+V118+W118)</f>
      </c>
      <c r="Y118" s="7">
        <f>IF($C118="","",M118-L118)</f>
      </c>
      <c r="Z118" s="7">
        <f>IF($C118="","",Y118-X118)</f>
      </c>
      <c r="AA118" s="7">
        <f>IF($C118="","",IF(ROUND(X118-Y118,2)&gt;0,"Over-applied",IF(ROUND(X118-Y118,2)=0,"Fully Utilised","Unconsumed")))</f>
      </c>
    </row>
    <row r="119" spans="1:27" x14ac:dyDescent="0.25">
      <c r="A119" s="7">
        <f>IF($C119="","",COUNTIF($C$4:$C119,"&lt;&gt;"))</f>
      </c>
      <c r="B119" s="8"/>
      <c r="C119" s="8"/>
      <c r="D119" s="8"/>
      <c r="E119" s="8"/>
      <c r="F119" s="8"/>
      <c r="G119" s="8"/>
      <c r="H119" s="8"/>
      <c r="I119" s="8"/>
      <c r="J119" s="8"/>
      <c r="K119" s="8"/>
      <c r="L119" s="8"/>
      <c r="M119" s="7">
        <f>IF($C119="","",G119+H119+I119+J119+K119+L119)</f>
      </c>
      <c r="N119" s="8"/>
      <c r="O119" s="8"/>
      <c r="P119" s="8"/>
      <c r="Q119" s="8"/>
      <c r="R119" s="8"/>
      <c r="S119" s="7">
        <f>IF($C119="","",C119&amp;" | BSR "&amp;B119&amp;" | "&amp;TEXT(D119,"dd-mm-yyyy")&amp;" | ₹"&amp;TEXT(M119,"#,##0"))</f>
      </c>
      <c r="T119" s="7">
        <f>IF($C119="","",SUMIFS('Q1 Data'!$K$4:$K$207,'Q1 Data'!$B$4:$B$207,$S119)+SUMIFS('Q1 Data'!$N$4:$N$207,'Q1 Data'!$B$4:$B$207,$S119)+SUMIFS('Q1 Data'!$L$4:$L$207,'Q1 Data'!$B$4:$B$207,$S119))</f>
      </c>
      <c r="U119" s="7">
        <f>IF($C119="","",SUMIFS('Q2 Data'!$K$4:$K$207,'Q2 Data'!$B$4:$B$207,$S119)+SUMIFS('Q2 Data'!$N$4:$N$207,'Q2 Data'!$B$4:$B$207,$S119)+SUMIFS('Q2 Data'!$L$4:$L$207,'Q2 Data'!$B$4:$B$207,$S119))</f>
      </c>
      <c r="V119" s="7">
        <f>IF($C119="","",SUMIFS('Q3 Data'!$K$4:$K$207,'Q3 Data'!$B$4:$B$207,$S119)+SUMIFS('Q3 Data'!$N$4:$N$207,'Q3 Data'!$B$4:$B$207,$S119)+SUMIFS('Q3 Data'!$L$4:$L$207,'Q3 Data'!$B$4:$B$207,$S119))</f>
      </c>
      <c r="W119" s="7">
        <f>IF($C119="","",SUMIFS('Q4 Data'!$K$4:$K$207,'Q4 Data'!$B$4:$B$207,$S119)+SUMIFS('Q4 Data'!$N$4:$N$207,'Q4 Data'!$B$4:$B$207,$S119)+SUMIFS('Q4 Data'!$L$4:$L$207,'Q4 Data'!$B$4:$B$207,$S119))</f>
      </c>
      <c r="X119" s="7">
        <f>IF($C119="","",T119+U119+V119+W119)</f>
      </c>
      <c r="Y119" s="7">
        <f>IF($C119="","",M119-L119)</f>
      </c>
      <c r="Z119" s="7">
        <f>IF($C119="","",Y119-X119)</f>
      </c>
      <c r="AA119" s="7">
        <f>IF($C119="","",IF(ROUND(X119-Y119,2)&gt;0,"Over-applied",IF(ROUND(X119-Y119,2)=0,"Fully Utilised","Unconsumed")))</f>
      </c>
    </row>
    <row r="120" spans="1:27" x14ac:dyDescent="0.25">
      <c r="A120" s="7">
        <f>IF($C120="","",COUNTIF($C$4:$C120,"&lt;&gt;"))</f>
      </c>
      <c r="B120" s="8"/>
      <c r="C120" s="8"/>
      <c r="D120" s="8"/>
      <c r="E120" s="8"/>
      <c r="F120" s="8"/>
      <c r="G120" s="8"/>
      <c r="H120" s="8"/>
      <c r="I120" s="8"/>
      <c r="J120" s="8"/>
      <c r="K120" s="8"/>
      <c r="L120" s="8"/>
      <c r="M120" s="7">
        <f>IF($C120="","",G120+H120+I120+J120+K120+L120)</f>
      </c>
      <c r="N120" s="8"/>
      <c r="O120" s="8"/>
      <c r="P120" s="8"/>
      <c r="Q120" s="8"/>
      <c r="R120" s="8"/>
      <c r="S120" s="7">
        <f>IF($C120="","",C120&amp;" | BSR "&amp;B120&amp;" | "&amp;TEXT(D120,"dd-mm-yyyy")&amp;" | ₹"&amp;TEXT(M120,"#,##0"))</f>
      </c>
      <c r="T120" s="7">
        <f>IF($C120="","",SUMIFS('Q1 Data'!$K$4:$K$207,'Q1 Data'!$B$4:$B$207,$S120)+SUMIFS('Q1 Data'!$N$4:$N$207,'Q1 Data'!$B$4:$B$207,$S120)+SUMIFS('Q1 Data'!$L$4:$L$207,'Q1 Data'!$B$4:$B$207,$S120))</f>
      </c>
      <c r="U120" s="7">
        <f>IF($C120="","",SUMIFS('Q2 Data'!$K$4:$K$207,'Q2 Data'!$B$4:$B$207,$S120)+SUMIFS('Q2 Data'!$N$4:$N$207,'Q2 Data'!$B$4:$B$207,$S120)+SUMIFS('Q2 Data'!$L$4:$L$207,'Q2 Data'!$B$4:$B$207,$S120))</f>
      </c>
      <c r="V120" s="7">
        <f>IF($C120="","",SUMIFS('Q3 Data'!$K$4:$K$207,'Q3 Data'!$B$4:$B$207,$S120)+SUMIFS('Q3 Data'!$N$4:$N$207,'Q3 Data'!$B$4:$B$207,$S120)+SUMIFS('Q3 Data'!$L$4:$L$207,'Q3 Data'!$B$4:$B$207,$S120))</f>
      </c>
      <c r="W120" s="7">
        <f>IF($C120="","",SUMIFS('Q4 Data'!$K$4:$K$207,'Q4 Data'!$B$4:$B$207,$S120)+SUMIFS('Q4 Data'!$N$4:$N$207,'Q4 Data'!$B$4:$B$207,$S120)+SUMIFS('Q4 Data'!$L$4:$L$207,'Q4 Data'!$B$4:$B$207,$S120))</f>
      </c>
      <c r="X120" s="7">
        <f>IF($C120="","",T120+U120+V120+W120)</f>
      </c>
      <c r="Y120" s="7">
        <f>IF($C120="","",M120-L120)</f>
      </c>
      <c r="Z120" s="7">
        <f>IF($C120="","",Y120-X120)</f>
      </c>
      <c r="AA120" s="7">
        <f>IF($C120="","",IF(ROUND(X120-Y120,2)&gt;0,"Over-applied",IF(ROUND(X120-Y120,2)=0,"Fully Utilised","Unconsumed")))</f>
      </c>
    </row>
    <row r="121" spans="1:27" x14ac:dyDescent="0.25">
      <c r="A121" s="7">
        <f>IF($C121="","",COUNTIF($C$4:$C121,"&lt;&gt;"))</f>
      </c>
      <c r="B121" s="8"/>
      <c r="C121" s="8"/>
      <c r="D121" s="8"/>
      <c r="E121" s="8"/>
      <c r="F121" s="8"/>
      <c r="G121" s="8"/>
      <c r="H121" s="8"/>
      <c r="I121" s="8"/>
      <c r="J121" s="8"/>
      <c r="K121" s="8"/>
      <c r="L121" s="8"/>
      <c r="M121" s="7">
        <f>IF($C121="","",G121+H121+I121+J121+K121+L121)</f>
      </c>
      <c r="N121" s="8"/>
      <c r="O121" s="8"/>
      <c r="P121" s="8"/>
      <c r="Q121" s="8"/>
      <c r="R121" s="8"/>
      <c r="S121" s="7">
        <f>IF($C121="","",C121&amp;" | BSR "&amp;B121&amp;" | "&amp;TEXT(D121,"dd-mm-yyyy")&amp;" | ₹"&amp;TEXT(M121,"#,##0"))</f>
      </c>
      <c r="T121" s="7">
        <f>IF($C121="","",SUMIFS('Q1 Data'!$K$4:$K$207,'Q1 Data'!$B$4:$B$207,$S121)+SUMIFS('Q1 Data'!$N$4:$N$207,'Q1 Data'!$B$4:$B$207,$S121)+SUMIFS('Q1 Data'!$L$4:$L$207,'Q1 Data'!$B$4:$B$207,$S121))</f>
      </c>
      <c r="U121" s="7">
        <f>IF($C121="","",SUMIFS('Q2 Data'!$K$4:$K$207,'Q2 Data'!$B$4:$B$207,$S121)+SUMIFS('Q2 Data'!$N$4:$N$207,'Q2 Data'!$B$4:$B$207,$S121)+SUMIFS('Q2 Data'!$L$4:$L$207,'Q2 Data'!$B$4:$B$207,$S121))</f>
      </c>
      <c r="V121" s="7">
        <f>IF($C121="","",SUMIFS('Q3 Data'!$K$4:$K$207,'Q3 Data'!$B$4:$B$207,$S121)+SUMIFS('Q3 Data'!$N$4:$N$207,'Q3 Data'!$B$4:$B$207,$S121)+SUMIFS('Q3 Data'!$L$4:$L$207,'Q3 Data'!$B$4:$B$207,$S121))</f>
      </c>
      <c r="W121" s="7">
        <f>IF($C121="","",SUMIFS('Q4 Data'!$K$4:$K$207,'Q4 Data'!$B$4:$B$207,$S121)+SUMIFS('Q4 Data'!$N$4:$N$207,'Q4 Data'!$B$4:$B$207,$S121)+SUMIFS('Q4 Data'!$L$4:$L$207,'Q4 Data'!$B$4:$B$207,$S121))</f>
      </c>
      <c r="X121" s="7">
        <f>IF($C121="","",T121+U121+V121+W121)</f>
      </c>
      <c r="Y121" s="7">
        <f>IF($C121="","",M121-L121)</f>
      </c>
      <c r="Z121" s="7">
        <f>IF($C121="","",Y121-X121)</f>
      </c>
      <c r="AA121" s="7">
        <f>IF($C121="","",IF(ROUND(X121-Y121,2)&gt;0,"Over-applied",IF(ROUND(X121-Y121,2)=0,"Fully Utilised","Unconsumed")))</f>
      </c>
    </row>
    <row r="122" spans="1:27" x14ac:dyDescent="0.25">
      <c r="A122" s="7">
        <f>IF($C122="","",COUNTIF($C$4:$C122,"&lt;&gt;"))</f>
      </c>
      <c r="B122" s="8"/>
      <c r="C122" s="8"/>
      <c r="D122" s="8"/>
      <c r="E122" s="8"/>
      <c r="F122" s="8"/>
      <c r="G122" s="8"/>
      <c r="H122" s="8"/>
      <c r="I122" s="8"/>
      <c r="J122" s="8"/>
      <c r="K122" s="8"/>
      <c r="L122" s="8"/>
      <c r="M122" s="7">
        <f>IF($C122="","",G122+H122+I122+J122+K122+L122)</f>
      </c>
      <c r="N122" s="8"/>
      <c r="O122" s="8"/>
      <c r="P122" s="8"/>
      <c r="Q122" s="8"/>
      <c r="R122" s="8"/>
      <c r="S122" s="7">
        <f>IF($C122="","",C122&amp;" | BSR "&amp;B122&amp;" | "&amp;TEXT(D122,"dd-mm-yyyy")&amp;" | ₹"&amp;TEXT(M122,"#,##0"))</f>
      </c>
      <c r="T122" s="7">
        <f>IF($C122="","",SUMIFS('Q1 Data'!$K$4:$K$207,'Q1 Data'!$B$4:$B$207,$S122)+SUMIFS('Q1 Data'!$N$4:$N$207,'Q1 Data'!$B$4:$B$207,$S122)+SUMIFS('Q1 Data'!$L$4:$L$207,'Q1 Data'!$B$4:$B$207,$S122))</f>
      </c>
      <c r="U122" s="7">
        <f>IF($C122="","",SUMIFS('Q2 Data'!$K$4:$K$207,'Q2 Data'!$B$4:$B$207,$S122)+SUMIFS('Q2 Data'!$N$4:$N$207,'Q2 Data'!$B$4:$B$207,$S122)+SUMIFS('Q2 Data'!$L$4:$L$207,'Q2 Data'!$B$4:$B$207,$S122))</f>
      </c>
      <c r="V122" s="7">
        <f>IF($C122="","",SUMIFS('Q3 Data'!$K$4:$K$207,'Q3 Data'!$B$4:$B$207,$S122)+SUMIFS('Q3 Data'!$N$4:$N$207,'Q3 Data'!$B$4:$B$207,$S122)+SUMIFS('Q3 Data'!$L$4:$L$207,'Q3 Data'!$B$4:$B$207,$S122))</f>
      </c>
      <c r="W122" s="7">
        <f>IF($C122="","",SUMIFS('Q4 Data'!$K$4:$K$207,'Q4 Data'!$B$4:$B$207,$S122)+SUMIFS('Q4 Data'!$N$4:$N$207,'Q4 Data'!$B$4:$B$207,$S122)+SUMIFS('Q4 Data'!$L$4:$L$207,'Q4 Data'!$B$4:$B$207,$S122))</f>
      </c>
      <c r="X122" s="7">
        <f>IF($C122="","",T122+U122+V122+W122)</f>
      </c>
      <c r="Y122" s="7">
        <f>IF($C122="","",M122-L122)</f>
      </c>
      <c r="Z122" s="7">
        <f>IF($C122="","",Y122-X122)</f>
      </c>
      <c r="AA122" s="7">
        <f>IF($C122="","",IF(ROUND(X122-Y122,2)&gt;0,"Over-applied",IF(ROUND(X122-Y122,2)=0,"Fully Utilised","Unconsumed")))</f>
      </c>
    </row>
    <row r="123" spans="1:27" x14ac:dyDescent="0.25">
      <c r="A123" s="7">
        <f>IF($C123="","",COUNTIF($C$4:$C123,"&lt;&gt;"))</f>
      </c>
      <c r="B123" s="8"/>
      <c r="C123" s="8"/>
      <c r="D123" s="8"/>
      <c r="E123" s="8"/>
      <c r="F123" s="8"/>
      <c r="G123" s="8"/>
      <c r="H123" s="8"/>
      <c r="I123" s="8"/>
      <c r="J123" s="8"/>
      <c r="K123" s="8"/>
      <c r="L123" s="8"/>
      <c r="M123" s="7">
        <f>IF($C123="","",G123+H123+I123+J123+K123+L123)</f>
      </c>
      <c r="N123" s="8"/>
      <c r="O123" s="8"/>
      <c r="P123" s="8"/>
      <c r="Q123" s="8"/>
      <c r="R123" s="8"/>
      <c r="S123" s="7">
        <f>IF($C123="","",C123&amp;" | BSR "&amp;B123&amp;" | "&amp;TEXT(D123,"dd-mm-yyyy")&amp;" | ₹"&amp;TEXT(M123,"#,##0"))</f>
      </c>
      <c r="T123" s="7">
        <f>IF($C123="","",SUMIFS('Q1 Data'!$K$4:$K$207,'Q1 Data'!$B$4:$B$207,$S123)+SUMIFS('Q1 Data'!$N$4:$N$207,'Q1 Data'!$B$4:$B$207,$S123)+SUMIFS('Q1 Data'!$L$4:$L$207,'Q1 Data'!$B$4:$B$207,$S123))</f>
      </c>
      <c r="U123" s="7">
        <f>IF($C123="","",SUMIFS('Q2 Data'!$K$4:$K$207,'Q2 Data'!$B$4:$B$207,$S123)+SUMIFS('Q2 Data'!$N$4:$N$207,'Q2 Data'!$B$4:$B$207,$S123)+SUMIFS('Q2 Data'!$L$4:$L$207,'Q2 Data'!$B$4:$B$207,$S123))</f>
      </c>
      <c r="V123" s="7">
        <f>IF($C123="","",SUMIFS('Q3 Data'!$K$4:$K$207,'Q3 Data'!$B$4:$B$207,$S123)+SUMIFS('Q3 Data'!$N$4:$N$207,'Q3 Data'!$B$4:$B$207,$S123)+SUMIFS('Q3 Data'!$L$4:$L$207,'Q3 Data'!$B$4:$B$207,$S123))</f>
      </c>
      <c r="W123" s="7">
        <f>IF($C123="","",SUMIFS('Q4 Data'!$K$4:$K$207,'Q4 Data'!$B$4:$B$207,$S123)+SUMIFS('Q4 Data'!$N$4:$N$207,'Q4 Data'!$B$4:$B$207,$S123)+SUMIFS('Q4 Data'!$L$4:$L$207,'Q4 Data'!$B$4:$B$207,$S123))</f>
      </c>
      <c r="X123" s="7">
        <f>IF($C123="","",T123+U123+V123+W123)</f>
      </c>
      <c r="Y123" s="7">
        <f>IF($C123="","",M123-L123)</f>
      </c>
      <c r="Z123" s="7">
        <f>IF($C123="","",Y123-X123)</f>
      </c>
      <c r="AA123" s="7">
        <f>IF($C123="","",IF(ROUND(X123-Y123,2)&gt;0,"Over-applied",IF(ROUND(X123-Y123,2)=0,"Fully Utilised","Unconsumed")))</f>
      </c>
    </row>
    <row r="124" spans="1:27" x14ac:dyDescent="0.25">
      <c r="A124" s="7">
        <f>IF($C124="","",COUNTIF($C$4:$C124,"&lt;&gt;"))</f>
      </c>
      <c r="B124" s="8"/>
      <c r="C124" s="8"/>
      <c r="D124" s="8"/>
      <c r="E124" s="8"/>
      <c r="F124" s="8"/>
      <c r="G124" s="8"/>
      <c r="H124" s="8"/>
      <c r="I124" s="8"/>
      <c r="J124" s="8"/>
      <c r="K124" s="8"/>
      <c r="L124" s="8"/>
      <c r="M124" s="7">
        <f>IF($C124="","",G124+H124+I124+J124+K124+L124)</f>
      </c>
      <c r="N124" s="8"/>
      <c r="O124" s="8"/>
      <c r="P124" s="8"/>
      <c r="Q124" s="8"/>
      <c r="R124" s="8"/>
      <c r="S124" s="7">
        <f>IF($C124="","",C124&amp;" | BSR "&amp;B124&amp;" | "&amp;TEXT(D124,"dd-mm-yyyy")&amp;" | ₹"&amp;TEXT(M124,"#,##0"))</f>
      </c>
      <c r="T124" s="7">
        <f>IF($C124="","",SUMIFS('Q1 Data'!$K$4:$K$207,'Q1 Data'!$B$4:$B$207,$S124)+SUMIFS('Q1 Data'!$N$4:$N$207,'Q1 Data'!$B$4:$B$207,$S124)+SUMIFS('Q1 Data'!$L$4:$L$207,'Q1 Data'!$B$4:$B$207,$S124))</f>
      </c>
      <c r="U124" s="7">
        <f>IF($C124="","",SUMIFS('Q2 Data'!$K$4:$K$207,'Q2 Data'!$B$4:$B$207,$S124)+SUMIFS('Q2 Data'!$N$4:$N$207,'Q2 Data'!$B$4:$B$207,$S124)+SUMIFS('Q2 Data'!$L$4:$L$207,'Q2 Data'!$B$4:$B$207,$S124))</f>
      </c>
      <c r="V124" s="7">
        <f>IF($C124="","",SUMIFS('Q3 Data'!$K$4:$K$207,'Q3 Data'!$B$4:$B$207,$S124)+SUMIFS('Q3 Data'!$N$4:$N$207,'Q3 Data'!$B$4:$B$207,$S124)+SUMIFS('Q3 Data'!$L$4:$L$207,'Q3 Data'!$B$4:$B$207,$S124))</f>
      </c>
      <c r="W124" s="7">
        <f>IF($C124="","",SUMIFS('Q4 Data'!$K$4:$K$207,'Q4 Data'!$B$4:$B$207,$S124)+SUMIFS('Q4 Data'!$N$4:$N$207,'Q4 Data'!$B$4:$B$207,$S124)+SUMIFS('Q4 Data'!$L$4:$L$207,'Q4 Data'!$B$4:$B$207,$S124))</f>
      </c>
      <c r="X124" s="7">
        <f>IF($C124="","",T124+U124+V124+W124)</f>
      </c>
      <c r="Y124" s="7">
        <f>IF($C124="","",M124-L124)</f>
      </c>
      <c r="Z124" s="7">
        <f>IF($C124="","",Y124-X124)</f>
      </c>
      <c r="AA124" s="7">
        <f>IF($C124="","",IF(ROUND(X124-Y124,2)&gt;0,"Over-applied",IF(ROUND(X124-Y124,2)=0,"Fully Utilised","Unconsumed")))</f>
      </c>
    </row>
    <row r="125" spans="1:27" x14ac:dyDescent="0.25">
      <c r="A125" s="7">
        <f>IF($C125="","",COUNTIF($C$4:$C125,"&lt;&gt;"))</f>
      </c>
      <c r="B125" s="8"/>
      <c r="C125" s="8"/>
      <c r="D125" s="8"/>
      <c r="E125" s="8"/>
      <c r="F125" s="8"/>
      <c r="G125" s="8"/>
      <c r="H125" s="8"/>
      <c r="I125" s="8"/>
      <c r="J125" s="8"/>
      <c r="K125" s="8"/>
      <c r="L125" s="8"/>
      <c r="M125" s="7">
        <f>IF($C125="","",G125+H125+I125+J125+K125+L125)</f>
      </c>
      <c r="N125" s="8"/>
      <c r="O125" s="8"/>
      <c r="P125" s="8"/>
      <c r="Q125" s="8"/>
      <c r="R125" s="8"/>
      <c r="S125" s="7">
        <f>IF($C125="","",C125&amp;" | BSR "&amp;B125&amp;" | "&amp;TEXT(D125,"dd-mm-yyyy")&amp;" | ₹"&amp;TEXT(M125,"#,##0"))</f>
      </c>
      <c r="T125" s="7">
        <f>IF($C125="","",SUMIFS('Q1 Data'!$K$4:$K$207,'Q1 Data'!$B$4:$B$207,$S125)+SUMIFS('Q1 Data'!$N$4:$N$207,'Q1 Data'!$B$4:$B$207,$S125)+SUMIFS('Q1 Data'!$L$4:$L$207,'Q1 Data'!$B$4:$B$207,$S125))</f>
      </c>
      <c r="U125" s="7">
        <f>IF($C125="","",SUMIFS('Q2 Data'!$K$4:$K$207,'Q2 Data'!$B$4:$B$207,$S125)+SUMIFS('Q2 Data'!$N$4:$N$207,'Q2 Data'!$B$4:$B$207,$S125)+SUMIFS('Q2 Data'!$L$4:$L$207,'Q2 Data'!$B$4:$B$207,$S125))</f>
      </c>
      <c r="V125" s="7">
        <f>IF($C125="","",SUMIFS('Q3 Data'!$K$4:$K$207,'Q3 Data'!$B$4:$B$207,$S125)+SUMIFS('Q3 Data'!$N$4:$N$207,'Q3 Data'!$B$4:$B$207,$S125)+SUMIFS('Q3 Data'!$L$4:$L$207,'Q3 Data'!$B$4:$B$207,$S125))</f>
      </c>
      <c r="W125" s="7">
        <f>IF($C125="","",SUMIFS('Q4 Data'!$K$4:$K$207,'Q4 Data'!$B$4:$B$207,$S125)+SUMIFS('Q4 Data'!$N$4:$N$207,'Q4 Data'!$B$4:$B$207,$S125)+SUMIFS('Q4 Data'!$L$4:$L$207,'Q4 Data'!$B$4:$B$207,$S125))</f>
      </c>
      <c r="X125" s="7">
        <f>IF($C125="","",T125+U125+V125+W125)</f>
      </c>
      <c r="Y125" s="7">
        <f>IF($C125="","",M125-L125)</f>
      </c>
      <c r="Z125" s="7">
        <f>IF($C125="","",Y125-X125)</f>
      </c>
      <c r="AA125" s="7">
        <f>IF($C125="","",IF(ROUND(X125-Y125,2)&gt;0,"Over-applied",IF(ROUND(X125-Y125,2)=0,"Fully Utilised","Unconsumed")))</f>
      </c>
    </row>
    <row r="126" spans="1:27" x14ac:dyDescent="0.25">
      <c r="A126" s="7">
        <f>IF($C126="","",COUNTIF($C$4:$C126,"&lt;&gt;"))</f>
      </c>
      <c r="B126" s="8"/>
      <c r="C126" s="8"/>
      <c r="D126" s="8"/>
      <c r="E126" s="8"/>
      <c r="F126" s="8"/>
      <c r="G126" s="8"/>
      <c r="H126" s="8"/>
      <c r="I126" s="8"/>
      <c r="J126" s="8"/>
      <c r="K126" s="8"/>
      <c r="L126" s="8"/>
      <c r="M126" s="7">
        <f>IF($C126="","",G126+H126+I126+J126+K126+L126)</f>
      </c>
      <c r="N126" s="8"/>
      <c r="O126" s="8"/>
      <c r="P126" s="8"/>
      <c r="Q126" s="8"/>
      <c r="R126" s="8"/>
      <c r="S126" s="7">
        <f>IF($C126="","",C126&amp;" | BSR "&amp;B126&amp;" | "&amp;TEXT(D126,"dd-mm-yyyy")&amp;" | ₹"&amp;TEXT(M126,"#,##0"))</f>
      </c>
      <c r="T126" s="7">
        <f>IF($C126="","",SUMIFS('Q1 Data'!$K$4:$K$207,'Q1 Data'!$B$4:$B$207,$S126)+SUMIFS('Q1 Data'!$N$4:$N$207,'Q1 Data'!$B$4:$B$207,$S126)+SUMIFS('Q1 Data'!$L$4:$L$207,'Q1 Data'!$B$4:$B$207,$S126))</f>
      </c>
      <c r="U126" s="7">
        <f>IF($C126="","",SUMIFS('Q2 Data'!$K$4:$K$207,'Q2 Data'!$B$4:$B$207,$S126)+SUMIFS('Q2 Data'!$N$4:$N$207,'Q2 Data'!$B$4:$B$207,$S126)+SUMIFS('Q2 Data'!$L$4:$L$207,'Q2 Data'!$B$4:$B$207,$S126))</f>
      </c>
      <c r="V126" s="7">
        <f>IF($C126="","",SUMIFS('Q3 Data'!$K$4:$K$207,'Q3 Data'!$B$4:$B$207,$S126)+SUMIFS('Q3 Data'!$N$4:$N$207,'Q3 Data'!$B$4:$B$207,$S126)+SUMIFS('Q3 Data'!$L$4:$L$207,'Q3 Data'!$B$4:$B$207,$S126))</f>
      </c>
      <c r="W126" s="7">
        <f>IF($C126="","",SUMIFS('Q4 Data'!$K$4:$K$207,'Q4 Data'!$B$4:$B$207,$S126)+SUMIFS('Q4 Data'!$N$4:$N$207,'Q4 Data'!$B$4:$B$207,$S126)+SUMIFS('Q4 Data'!$L$4:$L$207,'Q4 Data'!$B$4:$B$207,$S126))</f>
      </c>
      <c r="X126" s="7">
        <f>IF($C126="","",T126+U126+V126+W126)</f>
      </c>
      <c r="Y126" s="7">
        <f>IF($C126="","",M126-L126)</f>
      </c>
      <c r="Z126" s="7">
        <f>IF($C126="","",Y126-X126)</f>
      </c>
      <c r="AA126" s="7">
        <f>IF($C126="","",IF(ROUND(X126-Y126,2)&gt;0,"Over-applied",IF(ROUND(X126-Y126,2)=0,"Fully Utilised","Unconsumed")))</f>
      </c>
    </row>
    <row r="127" spans="1:27" x14ac:dyDescent="0.25">
      <c r="A127" s="7">
        <f>IF($C127="","",COUNTIF($C$4:$C127,"&lt;&gt;"))</f>
      </c>
      <c r="B127" s="8"/>
      <c r="C127" s="8"/>
      <c r="D127" s="8"/>
      <c r="E127" s="8"/>
      <c r="F127" s="8"/>
      <c r="G127" s="8"/>
      <c r="H127" s="8"/>
      <c r="I127" s="8"/>
      <c r="J127" s="8"/>
      <c r="K127" s="8"/>
      <c r="L127" s="8"/>
      <c r="M127" s="7">
        <f>IF($C127="","",G127+H127+I127+J127+K127+L127)</f>
      </c>
      <c r="N127" s="8"/>
      <c r="O127" s="8"/>
      <c r="P127" s="8"/>
      <c r="Q127" s="8"/>
      <c r="R127" s="8"/>
      <c r="S127" s="7">
        <f>IF($C127="","",C127&amp;" | BSR "&amp;B127&amp;" | "&amp;TEXT(D127,"dd-mm-yyyy")&amp;" | ₹"&amp;TEXT(M127,"#,##0"))</f>
      </c>
      <c r="T127" s="7">
        <f>IF($C127="","",SUMIFS('Q1 Data'!$K$4:$K$207,'Q1 Data'!$B$4:$B$207,$S127)+SUMIFS('Q1 Data'!$N$4:$N$207,'Q1 Data'!$B$4:$B$207,$S127)+SUMIFS('Q1 Data'!$L$4:$L$207,'Q1 Data'!$B$4:$B$207,$S127))</f>
      </c>
      <c r="U127" s="7">
        <f>IF($C127="","",SUMIFS('Q2 Data'!$K$4:$K$207,'Q2 Data'!$B$4:$B$207,$S127)+SUMIFS('Q2 Data'!$N$4:$N$207,'Q2 Data'!$B$4:$B$207,$S127)+SUMIFS('Q2 Data'!$L$4:$L$207,'Q2 Data'!$B$4:$B$207,$S127))</f>
      </c>
      <c r="V127" s="7">
        <f>IF($C127="","",SUMIFS('Q3 Data'!$K$4:$K$207,'Q3 Data'!$B$4:$B$207,$S127)+SUMIFS('Q3 Data'!$N$4:$N$207,'Q3 Data'!$B$4:$B$207,$S127)+SUMIFS('Q3 Data'!$L$4:$L$207,'Q3 Data'!$B$4:$B$207,$S127))</f>
      </c>
      <c r="W127" s="7">
        <f>IF($C127="","",SUMIFS('Q4 Data'!$K$4:$K$207,'Q4 Data'!$B$4:$B$207,$S127)+SUMIFS('Q4 Data'!$N$4:$N$207,'Q4 Data'!$B$4:$B$207,$S127)+SUMIFS('Q4 Data'!$L$4:$L$207,'Q4 Data'!$B$4:$B$207,$S127))</f>
      </c>
      <c r="X127" s="7">
        <f>IF($C127="","",T127+U127+V127+W127)</f>
      </c>
      <c r="Y127" s="7">
        <f>IF($C127="","",M127-L127)</f>
      </c>
      <c r="Z127" s="7">
        <f>IF($C127="","",Y127-X127)</f>
      </c>
      <c r="AA127" s="7">
        <f>IF($C127="","",IF(ROUND(X127-Y127,2)&gt;0,"Over-applied",IF(ROUND(X127-Y127,2)=0,"Fully Utilised","Unconsumed")))</f>
      </c>
    </row>
    <row r="128" spans="1:27" x14ac:dyDescent="0.25">
      <c r="A128" s="7">
        <f>IF($C128="","",COUNTIF($C$4:$C128,"&lt;&gt;"))</f>
      </c>
      <c r="B128" s="8"/>
      <c r="C128" s="8"/>
      <c r="D128" s="8"/>
      <c r="E128" s="8"/>
      <c r="F128" s="8"/>
      <c r="G128" s="8"/>
      <c r="H128" s="8"/>
      <c r="I128" s="8"/>
      <c r="J128" s="8"/>
      <c r="K128" s="8"/>
      <c r="L128" s="8"/>
      <c r="M128" s="7">
        <f>IF($C128="","",G128+H128+I128+J128+K128+L128)</f>
      </c>
      <c r="N128" s="8"/>
      <c r="O128" s="8"/>
      <c r="P128" s="8"/>
      <c r="Q128" s="8"/>
      <c r="R128" s="8"/>
      <c r="S128" s="7">
        <f>IF($C128="","",C128&amp;" | BSR "&amp;B128&amp;" | "&amp;TEXT(D128,"dd-mm-yyyy")&amp;" | ₹"&amp;TEXT(M128,"#,##0"))</f>
      </c>
      <c r="T128" s="7">
        <f>IF($C128="","",SUMIFS('Q1 Data'!$K$4:$K$207,'Q1 Data'!$B$4:$B$207,$S128)+SUMIFS('Q1 Data'!$N$4:$N$207,'Q1 Data'!$B$4:$B$207,$S128)+SUMIFS('Q1 Data'!$L$4:$L$207,'Q1 Data'!$B$4:$B$207,$S128))</f>
      </c>
      <c r="U128" s="7">
        <f>IF($C128="","",SUMIFS('Q2 Data'!$K$4:$K$207,'Q2 Data'!$B$4:$B$207,$S128)+SUMIFS('Q2 Data'!$N$4:$N$207,'Q2 Data'!$B$4:$B$207,$S128)+SUMIFS('Q2 Data'!$L$4:$L$207,'Q2 Data'!$B$4:$B$207,$S128))</f>
      </c>
      <c r="V128" s="7">
        <f>IF($C128="","",SUMIFS('Q3 Data'!$K$4:$K$207,'Q3 Data'!$B$4:$B$207,$S128)+SUMIFS('Q3 Data'!$N$4:$N$207,'Q3 Data'!$B$4:$B$207,$S128)+SUMIFS('Q3 Data'!$L$4:$L$207,'Q3 Data'!$B$4:$B$207,$S128))</f>
      </c>
      <c r="W128" s="7">
        <f>IF($C128="","",SUMIFS('Q4 Data'!$K$4:$K$207,'Q4 Data'!$B$4:$B$207,$S128)+SUMIFS('Q4 Data'!$N$4:$N$207,'Q4 Data'!$B$4:$B$207,$S128)+SUMIFS('Q4 Data'!$L$4:$L$207,'Q4 Data'!$B$4:$B$207,$S128))</f>
      </c>
      <c r="X128" s="7">
        <f>IF($C128="","",T128+U128+V128+W128)</f>
      </c>
      <c r="Y128" s="7">
        <f>IF($C128="","",M128-L128)</f>
      </c>
      <c r="Z128" s="7">
        <f>IF($C128="","",Y128-X128)</f>
      </c>
      <c r="AA128" s="7">
        <f>IF($C128="","",IF(ROUND(X128-Y128,2)&gt;0,"Over-applied",IF(ROUND(X128-Y128,2)=0,"Fully Utilised","Unconsumed")))</f>
      </c>
    </row>
    <row r="129" spans="1:27" x14ac:dyDescent="0.25">
      <c r="A129" s="7">
        <f>IF($C129="","",COUNTIF($C$4:$C129,"&lt;&gt;"))</f>
      </c>
      <c r="B129" s="8"/>
      <c r="C129" s="8"/>
      <c r="D129" s="8"/>
      <c r="E129" s="8"/>
      <c r="F129" s="8"/>
      <c r="G129" s="8"/>
      <c r="H129" s="8"/>
      <c r="I129" s="8"/>
      <c r="J129" s="8"/>
      <c r="K129" s="8"/>
      <c r="L129" s="8"/>
      <c r="M129" s="7">
        <f>IF($C129="","",G129+H129+I129+J129+K129+L129)</f>
      </c>
      <c r="N129" s="8"/>
      <c r="O129" s="8"/>
      <c r="P129" s="8"/>
      <c r="Q129" s="8"/>
      <c r="R129" s="8"/>
      <c r="S129" s="7">
        <f>IF($C129="","",C129&amp;" | BSR "&amp;B129&amp;" | "&amp;TEXT(D129,"dd-mm-yyyy")&amp;" | ₹"&amp;TEXT(M129,"#,##0"))</f>
      </c>
      <c r="T129" s="7">
        <f>IF($C129="","",SUMIFS('Q1 Data'!$K$4:$K$207,'Q1 Data'!$B$4:$B$207,$S129)+SUMIFS('Q1 Data'!$N$4:$N$207,'Q1 Data'!$B$4:$B$207,$S129)+SUMIFS('Q1 Data'!$L$4:$L$207,'Q1 Data'!$B$4:$B$207,$S129))</f>
      </c>
      <c r="U129" s="7">
        <f>IF($C129="","",SUMIFS('Q2 Data'!$K$4:$K$207,'Q2 Data'!$B$4:$B$207,$S129)+SUMIFS('Q2 Data'!$N$4:$N$207,'Q2 Data'!$B$4:$B$207,$S129)+SUMIFS('Q2 Data'!$L$4:$L$207,'Q2 Data'!$B$4:$B$207,$S129))</f>
      </c>
      <c r="V129" s="7">
        <f>IF($C129="","",SUMIFS('Q3 Data'!$K$4:$K$207,'Q3 Data'!$B$4:$B$207,$S129)+SUMIFS('Q3 Data'!$N$4:$N$207,'Q3 Data'!$B$4:$B$207,$S129)+SUMIFS('Q3 Data'!$L$4:$L$207,'Q3 Data'!$B$4:$B$207,$S129))</f>
      </c>
      <c r="W129" s="7">
        <f>IF($C129="","",SUMIFS('Q4 Data'!$K$4:$K$207,'Q4 Data'!$B$4:$B$207,$S129)+SUMIFS('Q4 Data'!$N$4:$N$207,'Q4 Data'!$B$4:$B$207,$S129)+SUMIFS('Q4 Data'!$L$4:$L$207,'Q4 Data'!$B$4:$B$207,$S129))</f>
      </c>
      <c r="X129" s="7">
        <f>IF($C129="","",T129+U129+V129+W129)</f>
      </c>
      <c r="Y129" s="7">
        <f>IF($C129="","",M129-L129)</f>
      </c>
      <c r="Z129" s="7">
        <f>IF($C129="","",Y129-X129)</f>
      </c>
      <c r="AA129" s="7">
        <f>IF($C129="","",IF(ROUND(X129-Y129,2)&gt;0,"Over-applied",IF(ROUND(X129-Y129,2)=0,"Fully Utilised","Unconsumed")))</f>
      </c>
    </row>
    <row r="130" spans="1:27" x14ac:dyDescent="0.25">
      <c r="A130" s="7">
        <f>IF($C130="","",COUNTIF($C$4:$C130,"&lt;&gt;"))</f>
      </c>
      <c r="B130" s="8"/>
      <c r="C130" s="8"/>
      <c r="D130" s="8"/>
      <c r="E130" s="8"/>
      <c r="F130" s="8"/>
      <c r="G130" s="8"/>
      <c r="H130" s="8"/>
      <c r="I130" s="8"/>
      <c r="J130" s="8"/>
      <c r="K130" s="8"/>
      <c r="L130" s="8"/>
      <c r="M130" s="7">
        <f>IF($C130="","",G130+H130+I130+J130+K130+L130)</f>
      </c>
      <c r="N130" s="8"/>
      <c r="O130" s="8"/>
      <c r="P130" s="8"/>
      <c r="Q130" s="8"/>
      <c r="R130" s="8"/>
      <c r="S130" s="7">
        <f>IF($C130="","",C130&amp;" | BSR "&amp;B130&amp;" | "&amp;TEXT(D130,"dd-mm-yyyy")&amp;" | ₹"&amp;TEXT(M130,"#,##0"))</f>
      </c>
      <c r="T130" s="7">
        <f>IF($C130="","",SUMIFS('Q1 Data'!$K$4:$K$207,'Q1 Data'!$B$4:$B$207,$S130)+SUMIFS('Q1 Data'!$N$4:$N$207,'Q1 Data'!$B$4:$B$207,$S130)+SUMIFS('Q1 Data'!$L$4:$L$207,'Q1 Data'!$B$4:$B$207,$S130))</f>
      </c>
      <c r="U130" s="7">
        <f>IF($C130="","",SUMIFS('Q2 Data'!$K$4:$K$207,'Q2 Data'!$B$4:$B$207,$S130)+SUMIFS('Q2 Data'!$N$4:$N$207,'Q2 Data'!$B$4:$B$207,$S130)+SUMIFS('Q2 Data'!$L$4:$L$207,'Q2 Data'!$B$4:$B$207,$S130))</f>
      </c>
      <c r="V130" s="7">
        <f>IF($C130="","",SUMIFS('Q3 Data'!$K$4:$K$207,'Q3 Data'!$B$4:$B$207,$S130)+SUMIFS('Q3 Data'!$N$4:$N$207,'Q3 Data'!$B$4:$B$207,$S130)+SUMIFS('Q3 Data'!$L$4:$L$207,'Q3 Data'!$B$4:$B$207,$S130))</f>
      </c>
      <c r="W130" s="7">
        <f>IF($C130="","",SUMIFS('Q4 Data'!$K$4:$K$207,'Q4 Data'!$B$4:$B$207,$S130)+SUMIFS('Q4 Data'!$N$4:$N$207,'Q4 Data'!$B$4:$B$207,$S130)+SUMIFS('Q4 Data'!$L$4:$L$207,'Q4 Data'!$B$4:$B$207,$S130))</f>
      </c>
      <c r="X130" s="7">
        <f>IF($C130="","",T130+U130+V130+W130)</f>
      </c>
      <c r="Y130" s="7">
        <f>IF($C130="","",M130-L130)</f>
      </c>
      <c r="Z130" s="7">
        <f>IF($C130="","",Y130-X130)</f>
      </c>
      <c r="AA130" s="7">
        <f>IF($C130="","",IF(ROUND(X130-Y130,2)&gt;0,"Over-applied",IF(ROUND(X130-Y130,2)=0,"Fully Utilised","Unconsumed")))</f>
      </c>
    </row>
    <row r="131" spans="1:27" x14ac:dyDescent="0.25">
      <c r="A131" s="7">
        <f>IF($C131="","",COUNTIF($C$4:$C131,"&lt;&gt;"))</f>
      </c>
      <c r="B131" s="8"/>
      <c r="C131" s="8"/>
      <c r="D131" s="8"/>
      <c r="E131" s="8"/>
      <c r="F131" s="8"/>
      <c r="G131" s="8"/>
      <c r="H131" s="8"/>
      <c r="I131" s="8"/>
      <c r="J131" s="8"/>
      <c r="K131" s="8"/>
      <c r="L131" s="8"/>
      <c r="M131" s="7">
        <f>IF($C131="","",G131+H131+I131+J131+K131+L131)</f>
      </c>
      <c r="N131" s="8"/>
      <c r="O131" s="8"/>
      <c r="P131" s="8"/>
      <c r="Q131" s="8"/>
      <c r="R131" s="8"/>
      <c r="S131" s="7">
        <f>IF($C131="","",C131&amp;" | BSR "&amp;B131&amp;" | "&amp;TEXT(D131,"dd-mm-yyyy")&amp;" | ₹"&amp;TEXT(M131,"#,##0"))</f>
      </c>
      <c r="T131" s="7">
        <f>IF($C131="","",SUMIFS('Q1 Data'!$K$4:$K$207,'Q1 Data'!$B$4:$B$207,$S131)+SUMIFS('Q1 Data'!$N$4:$N$207,'Q1 Data'!$B$4:$B$207,$S131)+SUMIFS('Q1 Data'!$L$4:$L$207,'Q1 Data'!$B$4:$B$207,$S131))</f>
      </c>
      <c r="U131" s="7">
        <f>IF($C131="","",SUMIFS('Q2 Data'!$K$4:$K$207,'Q2 Data'!$B$4:$B$207,$S131)+SUMIFS('Q2 Data'!$N$4:$N$207,'Q2 Data'!$B$4:$B$207,$S131)+SUMIFS('Q2 Data'!$L$4:$L$207,'Q2 Data'!$B$4:$B$207,$S131))</f>
      </c>
      <c r="V131" s="7">
        <f>IF($C131="","",SUMIFS('Q3 Data'!$K$4:$K$207,'Q3 Data'!$B$4:$B$207,$S131)+SUMIFS('Q3 Data'!$N$4:$N$207,'Q3 Data'!$B$4:$B$207,$S131)+SUMIFS('Q3 Data'!$L$4:$L$207,'Q3 Data'!$B$4:$B$207,$S131))</f>
      </c>
      <c r="W131" s="7">
        <f>IF($C131="","",SUMIFS('Q4 Data'!$K$4:$K$207,'Q4 Data'!$B$4:$B$207,$S131)+SUMIFS('Q4 Data'!$N$4:$N$207,'Q4 Data'!$B$4:$B$207,$S131)+SUMIFS('Q4 Data'!$L$4:$L$207,'Q4 Data'!$B$4:$B$207,$S131))</f>
      </c>
      <c r="X131" s="7">
        <f>IF($C131="","",T131+U131+V131+W131)</f>
      </c>
      <c r="Y131" s="7">
        <f>IF($C131="","",M131-L131)</f>
      </c>
      <c r="Z131" s="7">
        <f>IF($C131="","",Y131-X131)</f>
      </c>
      <c r="AA131" s="7">
        <f>IF($C131="","",IF(ROUND(X131-Y131,2)&gt;0,"Over-applied",IF(ROUND(X131-Y131,2)=0,"Fully Utilised","Unconsumed")))</f>
      </c>
    </row>
    <row r="132" spans="1:27" x14ac:dyDescent="0.25">
      <c r="A132" s="7">
        <f>IF($C132="","",COUNTIF($C$4:$C132,"&lt;&gt;"))</f>
      </c>
      <c r="B132" s="8"/>
      <c r="C132" s="8"/>
      <c r="D132" s="8"/>
      <c r="E132" s="8"/>
      <c r="F132" s="8"/>
      <c r="G132" s="8"/>
      <c r="H132" s="8"/>
      <c r="I132" s="8"/>
      <c r="J132" s="8"/>
      <c r="K132" s="8"/>
      <c r="L132" s="8"/>
      <c r="M132" s="7">
        <f>IF($C132="","",G132+H132+I132+J132+K132+L132)</f>
      </c>
      <c r="N132" s="8"/>
      <c r="O132" s="8"/>
      <c r="P132" s="8"/>
      <c r="Q132" s="8"/>
      <c r="R132" s="8"/>
      <c r="S132" s="7">
        <f>IF($C132="","",C132&amp;" | BSR "&amp;B132&amp;" | "&amp;TEXT(D132,"dd-mm-yyyy")&amp;" | ₹"&amp;TEXT(M132,"#,##0"))</f>
      </c>
      <c r="T132" s="7">
        <f>IF($C132="","",SUMIFS('Q1 Data'!$K$4:$K$207,'Q1 Data'!$B$4:$B$207,$S132)+SUMIFS('Q1 Data'!$N$4:$N$207,'Q1 Data'!$B$4:$B$207,$S132)+SUMIFS('Q1 Data'!$L$4:$L$207,'Q1 Data'!$B$4:$B$207,$S132))</f>
      </c>
      <c r="U132" s="7">
        <f>IF($C132="","",SUMIFS('Q2 Data'!$K$4:$K$207,'Q2 Data'!$B$4:$B$207,$S132)+SUMIFS('Q2 Data'!$N$4:$N$207,'Q2 Data'!$B$4:$B$207,$S132)+SUMIFS('Q2 Data'!$L$4:$L$207,'Q2 Data'!$B$4:$B$207,$S132))</f>
      </c>
      <c r="V132" s="7">
        <f>IF($C132="","",SUMIFS('Q3 Data'!$K$4:$K$207,'Q3 Data'!$B$4:$B$207,$S132)+SUMIFS('Q3 Data'!$N$4:$N$207,'Q3 Data'!$B$4:$B$207,$S132)+SUMIFS('Q3 Data'!$L$4:$L$207,'Q3 Data'!$B$4:$B$207,$S132))</f>
      </c>
      <c r="W132" s="7">
        <f>IF($C132="","",SUMIFS('Q4 Data'!$K$4:$K$207,'Q4 Data'!$B$4:$B$207,$S132)+SUMIFS('Q4 Data'!$N$4:$N$207,'Q4 Data'!$B$4:$B$207,$S132)+SUMIFS('Q4 Data'!$L$4:$L$207,'Q4 Data'!$B$4:$B$207,$S132))</f>
      </c>
      <c r="X132" s="7">
        <f>IF($C132="","",T132+U132+V132+W132)</f>
      </c>
      <c r="Y132" s="7">
        <f>IF($C132="","",M132-L132)</f>
      </c>
      <c r="Z132" s="7">
        <f>IF($C132="","",Y132-X132)</f>
      </c>
      <c r="AA132" s="7">
        <f>IF($C132="","",IF(ROUND(X132-Y132,2)&gt;0,"Over-applied",IF(ROUND(X132-Y132,2)=0,"Fully Utilised","Unconsumed")))</f>
      </c>
    </row>
    <row r="133" spans="1:27" x14ac:dyDescent="0.25">
      <c r="A133" s="7">
        <f>IF($C133="","",COUNTIF($C$4:$C133,"&lt;&gt;"))</f>
      </c>
      <c r="B133" s="8"/>
      <c r="C133" s="8"/>
      <c r="D133" s="8"/>
      <c r="E133" s="8"/>
      <c r="F133" s="8"/>
      <c r="G133" s="8"/>
      <c r="H133" s="8"/>
      <c r="I133" s="8"/>
      <c r="J133" s="8"/>
      <c r="K133" s="8"/>
      <c r="L133" s="8"/>
      <c r="M133" s="7">
        <f>IF($C133="","",G133+H133+I133+J133+K133+L133)</f>
      </c>
      <c r="N133" s="8"/>
      <c r="O133" s="8"/>
      <c r="P133" s="8"/>
      <c r="Q133" s="8"/>
      <c r="R133" s="8"/>
      <c r="S133" s="7">
        <f>IF($C133="","",C133&amp;" | BSR "&amp;B133&amp;" | "&amp;TEXT(D133,"dd-mm-yyyy")&amp;" | ₹"&amp;TEXT(M133,"#,##0"))</f>
      </c>
      <c r="T133" s="7">
        <f>IF($C133="","",SUMIFS('Q1 Data'!$K$4:$K$207,'Q1 Data'!$B$4:$B$207,$S133)+SUMIFS('Q1 Data'!$N$4:$N$207,'Q1 Data'!$B$4:$B$207,$S133)+SUMIFS('Q1 Data'!$L$4:$L$207,'Q1 Data'!$B$4:$B$207,$S133))</f>
      </c>
      <c r="U133" s="7">
        <f>IF($C133="","",SUMIFS('Q2 Data'!$K$4:$K$207,'Q2 Data'!$B$4:$B$207,$S133)+SUMIFS('Q2 Data'!$N$4:$N$207,'Q2 Data'!$B$4:$B$207,$S133)+SUMIFS('Q2 Data'!$L$4:$L$207,'Q2 Data'!$B$4:$B$207,$S133))</f>
      </c>
      <c r="V133" s="7">
        <f>IF($C133="","",SUMIFS('Q3 Data'!$K$4:$K$207,'Q3 Data'!$B$4:$B$207,$S133)+SUMIFS('Q3 Data'!$N$4:$N$207,'Q3 Data'!$B$4:$B$207,$S133)+SUMIFS('Q3 Data'!$L$4:$L$207,'Q3 Data'!$B$4:$B$207,$S133))</f>
      </c>
      <c r="W133" s="7">
        <f>IF($C133="","",SUMIFS('Q4 Data'!$K$4:$K$207,'Q4 Data'!$B$4:$B$207,$S133)+SUMIFS('Q4 Data'!$N$4:$N$207,'Q4 Data'!$B$4:$B$207,$S133)+SUMIFS('Q4 Data'!$L$4:$L$207,'Q4 Data'!$B$4:$B$207,$S133))</f>
      </c>
      <c r="X133" s="7">
        <f>IF($C133="","",T133+U133+V133+W133)</f>
      </c>
      <c r="Y133" s="7">
        <f>IF($C133="","",M133-L133)</f>
      </c>
      <c r="Z133" s="7">
        <f>IF($C133="","",Y133-X133)</f>
      </c>
      <c r="AA133" s="7">
        <f>IF($C133="","",IF(ROUND(X133-Y133,2)&gt;0,"Over-applied",IF(ROUND(X133-Y133,2)=0,"Fully Utilised","Unconsumed")))</f>
      </c>
    </row>
    <row r="134" spans="1:27" x14ac:dyDescent="0.25">
      <c r="A134" s="7">
        <f>IF($C134="","",COUNTIF($C$4:$C134,"&lt;&gt;"))</f>
      </c>
      <c r="B134" s="8"/>
      <c r="C134" s="8"/>
      <c r="D134" s="8"/>
      <c r="E134" s="8"/>
      <c r="F134" s="8"/>
      <c r="G134" s="8"/>
      <c r="H134" s="8"/>
      <c r="I134" s="8"/>
      <c r="J134" s="8"/>
      <c r="K134" s="8"/>
      <c r="L134" s="8"/>
      <c r="M134" s="7">
        <f>IF($C134="","",G134+H134+I134+J134+K134+L134)</f>
      </c>
      <c r="N134" s="8"/>
      <c r="O134" s="8"/>
      <c r="P134" s="8"/>
      <c r="Q134" s="8"/>
      <c r="R134" s="8"/>
      <c r="S134" s="7">
        <f>IF($C134="","",C134&amp;" | BSR "&amp;B134&amp;" | "&amp;TEXT(D134,"dd-mm-yyyy")&amp;" | ₹"&amp;TEXT(M134,"#,##0"))</f>
      </c>
      <c r="T134" s="7">
        <f>IF($C134="","",SUMIFS('Q1 Data'!$K$4:$K$207,'Q1 Data'!$B$4:$B$207,$S134)+SUMIFS('Q1 Data'!$N$4:$N$207,'Q1 Data'!$B$4:$B$207,$S134)+SUMIFS('Q1 Data'!$L$4:$L$207,'Q1 Data'!$B$4:$B$207,$S134))</f>
      </c>
      <c r="U134" s="7">
        <f>IF($C134="","",SUMIFS('Q2 Data'!$K$4:$K$207,'Q2 Data'!$B$4:$B$207,$S134)+SUMIFS('Q2 Data'!$N$4:$N$207,'Q2 Data'!$B$4:$B$207,$S134)+SUMIFS('Q2 Data'!$L$4:$L$207,'Q2 Data'!$B$4:$B$207,$S134))</f>
      </c>
      <c r="V134" s="7">
        <f>IF($C134="","",SUMIFS('Q3 Data'!$K$4:$K$207,'Q3 Data'!$B$4:$B$207,$S134)+SUMIFS('Q3 Data'!$N$4:$N$207,'Q3 Data'!$B$4:$B$207,$S134)+SUMIFS('Q3 Data'!$L$4:$L$207,'Q3 Data'!$B$4:$B$207,$S134))</f>
      </c>
      <c r="W134" s="7">
        <f>IF($C134="","",SUMIFS('Q4 Data'!$K$4:$K$207,'Q4 Data'!$B$4:$B$207,$S134)+SUMIFS('Q4 Data'!$N$4:$N$207,'Q4 Data'!$B$4:$B$207,$S134)+SUMIFS('Q4 Data'!$L$4:$L$207,'Q4 Data'!$B$4:$B$207,$S134))</f>
      </c>
      <c r="X134" s="7">
        <f>IF($C134="","",T134+U134+V134+W134)</f>
      </c>
      <c r="Y134" s="7">
        <f>IF($C134="","",M134-L134)</f>
      </c>
      <c r="Z134" s="7">
        <f>IF($C134="","",Y134-X134)</f>
      </c>
      <c r="AA134" s="7">
        <f>IF($C134="","",IF(ROUND(X134-Y134,2)&gt;0,"Over-applied",IF(ROUND(X134-Y134,2)=0,"Fully Utilised","Unconsumed")))</f>
      </c>
    </row>
    <row r="135" spans="1:27" x14ac:dyDescent="0.25">
      <c r="A135" s="7">
        <f>IF($C135="","",COUNTIF($C$4:$C135,"&lt;&gt;"))</f>
      </c>
      <c r="B135" s="8"/>
      <c r="C135" s="8"/>
      <c r="D135" s="8"/>
      <c r="E135" s="8"/>
      <c r="F135" s="8"/>
      <c r="G135" s="8"/>
      <c r="H135" s="8"/>
      <c r="I135" s="8"/>
      <c r="J135" s="8"/>
      <c r="K135" s="8"/>
      <c r="L135" s="8"/>
      <c r="M135" s="7">
        <f>IF($C135="","",G135+H135+I135+J135+K135+L135)</f>
      </c>
      <c r="N135" s="8"/>
      <c r="O135" s="8"/>
      <c r="P135" s="8"/>
      <c r="Q135" s="8"/>
      <c r="R135" s="8"/>
      <c r="S135" s="7">
        <f>IF($C135="","",C135&amp;" | BSR "&amp;B135&amp;" | "&amp;TEXT(D135,"dd-mm-yyyy")&amp;" | ₹"&amp;TEXT(M135,"#,##0"))</f>
      </c>
      <c r="T135" s="7">
        <f>IF($C135="","",SUMIFS('Q1 Data'!$K$4:$K$207,'Q1 Data'!$B$4:$B$207,$S135)+SUMIFS('Q1 Data'!$N$4:$N$207,'Q1 Data'!$B$4:$B$207,$S135)+SUMIFS('Q1 Data'!$L$4:$L$207,'Q1 Data'!$B$4:$B$207,$S135))</f>
      </c>
      <c r="U135" s="7">
        <f>IF($C135="","",SUMIFS('Q2 Data'!$K$4:$K$207,'Q2 Data'!$B$4:$B$207,$S135)+SUMIFS('Q2 Data'!$N$4:$N$207,'Q2 Data'!$B$4:$B$207,$S135)+SUMIFS('Q2 Data'!$L$4:$L$207,'Q2 Data'!$B$4:$B$207,$S135))</f>
      </c>
      <c r="V135" s="7">
        <f>IF($C135="","",SUMIFS('Q3 Data'!$K$4:$K$207,'Q3 Data'!$B$4:$B$207,$S135)+SUMIFS('Q3 Data'!$N$4:$N$207,'Q3 Data'!$B$4:$B$207,$S135)+SUMIFS('Q3 Data'!$L$4:$L$207,'Q3 Data'!$B$4:$B$207,$S135))</f>
      </c>
      <c r="W135" s="7">
        <f>IF($C135="","",SUMIFS('Q4 Data'!$K$4:$K$207,'Q4 Data'!$B$4:$B$207,$S135)+SUMIFS('Q4 Data'!$N$4:$N$207,'Q4 Data'!$B$4:$B$207,$S135)+SUMIFS('Q4 Data'!$L$4:$L$207,'Q4 Data'!$B$4:$B$207,$S135))</f>
      </c>
      <c r="X135" s="7">
        <f>IF($C135="","",T135+U135+V135+W135)</f>
      </c>
      <c r="Y135" s="7">
        <f>IF($C135="","",M135-L135)</f>
      </c>
      <c r="Z135" s="7">
        <f>IF($C135="","",Y135-X135)</f>
      </c>
      <c r="AA135" s="7">
        <f>IF($C135="","",IF(ROUND(X135-Y135,2)&gt;0,"Over-applied",IF(ROUND(X135-Y135,2)=0,"Fully Utilised","Unconsumed")))</f>
      </c>
    </row>
    <row r="136" spans="1:27" x14ac:dyDescent="0.25">
      <c r="A136" s="7">
        <f>IF($C136="","",COUNTIF($C$4:$C136,"&lt;&gt;"))</f>
      </c>
      <c r="B136" s="8"/>
      <c r="C136" s="8"/>
      <c r="D136" s="8"/>
      <c r="E136" s="8"/>
      <c r="F136" s="8"/>
      <c r="G136" s="8"/>
      <c r="H136" s="8"/>
      <c r="I136" s="8"/>
      <c r="J136" s="8"/>
      <c r="K136" s="8"/>
      <c r="L136" s="8"/>
      <c r="M136" s="7">
        <f>IF($C136="","",G136+H136+I136+J136+K136+L136)</f>
      </c>
      <c r="N136" s="8"/>
      <c r="O136" s="8"/>
      <c r="P136" s="8"/>
      <c r="Q136" s="8"/>
      <c r="R136" s="8"/>
      <c r="S136" s="7">
        <f>IF($C136="","",C136&amp;" | BSR "&amp;B136&amp;" | "&amp;TEXT(D136,"dd-mm-yyyy")&amp;" | ₹"&amp;TEXT(M136,"#,##0"))</f>
      </c>
      <c r="T136" s="7">
        <f>IF($C136="","",SUMIFS('Q1 Data'!$K$4:$K$207,'Q1 Data'!$B$4:$B$207,$S136)+SUMIFS('Q1 Data'!$N$4:$N$207,'Q1 Data'!$B$4:$B$207,$S136)+SUMIFS('Q1 Data'!$L$4:$L$207,'Q1 Data'!$B$4:$B$207,$S136))</f>
      </c>
      <c r="U136" s="7">
        <f>IF($C136="","",SUMIFS('Q2 Data'!$K$4:$K$207,'Q2 Data'!$B$4:$B$207,$S136)+SUMIFS('Q2 Data'!$N$4:$N$207,'Q2 Data'!$B$4:$B$207,$S136)+SUMIFS('Q2 Data'!$L$4:$L$207,'Q2 Data'!$B$4:$B$207,$S136))</f>
      </c>
      <c r="V136" s="7">
        <f>IF($C136="","",SUMIFS('Q3 Data'!$K$4:$K$207,'Q3 Data'!$B$4:$B$207,$S136)+SUMIFS('Q3 Data'!$N$4:$N$207,'Q3 Data'!$B$4:$B$207,$S136)+SUMIFS('Q3 Data'!$L$4:$L$207,'Q3 Data'!$B$4:$B$207,$S136))</f>
      </c>
      <c r="W136" s="7">
        <f>IF($C136="","",SUMIFS('Q4 Data'!$K$4:$K$207,'Q4 Data'!$B$4:$B$207,$S136)+SUMIFS('Q4 Data'!$N$4:$N$207,'Q4 Data'!$B$4:$B$207,$S136)+SUMIFS('Q4 Data'!$L$4:$L$207,'Q4 Data'!$B$4:$B$207,$S136))</f>
      </c>
      <c r="X136" s="7">
        <f>IF($C136="","",T136+U136+V136+W136)</f>
      </c>
      <c r="Y136" s="7">
        <f>IF($C136="","",M136-L136)</f>
      </c>
      <c r="Z136" s="7">
        <f>IF($C136="","",Y136-X136)</f>
      </c>
      <c r="AA136" s="7">
        <f>IF($C136="","",IF(ROUND(X136-Y136,2)&gt;0,"Over-applied",IF(ROUND(X136-Y136,2)=0,"Fully Utilised","Unconsumed")))</f>
      </c>
    </row>
    <row r="137" spans="1:27" x14ac:dyDescent="0.25">
      <c r="A137" s="7">
        <f>IF($C137="","",COUNTIF($C$4:$C137,"&lt;&gt;"))</f>
      </c>
      <c r="B137" s="8"/>
      <c r="C137" s="8"/>
      <c r="D137" s="8"/>
      <c r="E137" s="8"/>
      <c r="F137" s="8"/>
      <c r="G137" s="8"/>
      <c r="H137" s="8"/>
      <c r="I137" s="8"/>
      <c r="J137" s="8"/>
      <c r="K137" s="8"/>
      <c r="L137" s="8"/>
      <c r="M137" s="7">
        <f>IF($C137="","",G137+H137+I137+J137+K137+L137)</f>
      </c>
      <c r="N137" s="8"/>
      <c r="O137" s="8"/>
      <c r="P137" s="8"/>
      <c r="Q137" s="8"/>
      <c r="R137" s="8"/>
      <c r="S137" s="7">
        <f>IF($C137="","",C137&amp;" | BSR "&amp;B137&amp;" | "&amp;TEXT(D137,"dd-mm-yyyy")&amp;" | ₹"&amp;TEXT(M137,"#,##0"))</f>
      </c>
      <c r="T137" s="7">
        <f>IF($C137="","",SUMIFS('Q1 Data'!$K$4:$K$207,'Q1 Data'!$B$4:$B$207,$S137)+SUMIFS('Q1 Data'!$N$4:$N$207,'Q1 Data'!$B$4:$B$207,$S137)+SUMIFS('Q1 Data'!$L$4:$L$207,'Q1 Data'!$B$4:$B$207,$S137))</f>
      </c>
      <c r="U137" s="7">
        <f>IF($C137="","",SUMIFS('Q2 Data'!$K$4:$K$207,'Q2 Data'!$B$4:$B$207,$S137)+SUMIFS('Q2 Data'!$N$4:$N$207,'Q2 Data'!$B$4:$B$207,$S137)+SUMIFS('Q2 Data'!$L$4:$L$207,'Q2 Data'!$B$4:$B$207,$S137))</f>
      </c>
      <c r="V137" s="7">
        <f>IF($C137="","",SUMIFS('Q3 Data'!$K$4:$K$207,'Q3 Data'!$B$4:$B$207,$S137)+SUMIFS('Q3 Data'!$N$4:$N$207,'Q3 Data'!$B$4:$B$207,$S137)+SUMIFS('Q3 Data'!$L$4:$L$207,'Q3 Data'!$B$4:$B$207,$S137))</f>
      </c>
      <c r="W137" s="7">
        <f>IF($C137="","",SUMIFS('Q4 Data'!$K$4:$K$207,'Q4 Data'!$B$4:$B$207,$S137)+SUMIFS('Q4 Data'!$N$4:$N$207,'Q4 Data'!$B$4:$B$207,$S137)+SUMIFS('Q4 Data'!$L$4:$L$207,'Q4 Data'!$B$4:$B$207,$S137))</f>
      </c>
      <c r="X137" s="7">
        <f>IF($C137="","",T137+U137+V137+W137)</f>
      </c>
      <c r="Y137" s="7">
        <f>IF($C137="","",M137-L137)</f>
      </c>
      <c r="Z137" s="7">
        <f>IF($C137="","",Y137-X137)</f>
      </c>
      <c r="AA137" s="7">
        <f>IF($C137="","",IF(ROUND(X137-Y137,2)&gt;0,"Over-applied",IF(ROUND(X137-Y137,2)=0,"Fully Utilised","Unconsumed")))</f>
      </c>
    </row>
    <row r="138" spans="1:27" x14ac:dyDescent="0.25">
      <c r="A138" s="7">
        <f>IF($C138="","",COUNTIF($C$4:$C138,"&lt;&gt;"))</f>
      </c>
      <c r="B138" s="8"/>
      <c r="C138" s="8"/>
      <c r="D138" s="8"/>
      <c r="E138" s="8"/>
      <c r="F138" s="8"/>
      <c r="G138" s="8"/>
      <c r="H138" s="8"/>
      <c r="I138" s="8"/>
      <c r="J138" s="8"/>
      <c r="K138" s="8"/>
      <c r="L138" s="8"/>
      <c r="M138" s="7">
        <f>IF($C138="","",G138+H138+I138+J138+K138+L138)</f>
      </c>
      <c r="N138" s="8"/>
      <c r="O138" s="8"/>
      <c r="P138" s="8"/>
      <c r="Q138" s="8"/>
      <c r="R138" s="8"/>
      <c r="S138" s="7">
        <f>IF($C138="","",C138&amp;" | BSR "&amp;B138&amp;" | "&amp;TEXT(D138,"dd-mm-yyyy")&amp;" | ₹"&amp;TEXT(M138,"#,##0"))</f>
      </c>
      <c r="T138" s="7">
        <f>IF($C138="","",SUMIFS('Q1 Data'!$K$4:$K$207,'Q1 Data'!$B$4:$B$207,$S138)+SUMIFS('Q1 Data'!$N$4:$N$207,'Q1 Data'!$B$4:$B$207,$S138)+SUMIFS('Q1 Data'!$L$4:$L$207,'Q1 Data'!$B$4:$B$207,$S138))</f>
      </c>
      <c r="U138" s="7">
        <f>IF($C138="","",SUMIFS('Q2 Data'!$K$4:$K$207,'Q2 Data'!$B$4:$B$207,$S138)+SUMIFS('Q2 Data'!$N$4:$N$207,'Q2 Data'!$B$4:$B$207,$S138)+SUMIFS('Q2 Data'!$L$4:$L$207,'Q2 Data'!$B$4:$B$207,$S138))</f>
      </c>
      <c r="V138" s="7">
        <f>IF($C138="","",SUMIFS('Q3 Data'!$K$4:$K$207,'Q3 Data'!$B$4:$B$207,$S138)+SUMIFS('Q3 Data'!$N$4:$N$207,'Q3 Data'!$B$4:$B$207,$S138)+SUMIFS('Q3 Data'!$L$4:$L$207,'Q3 Data'!$B$4:$B$207,$S138))</f>
      </c>
      <c r="W138" s="7">
        <f>IF($C138="","",SUMIFS('Q4 Data'!$K$4:$K$207,'Q4 Data'!$B$4:$B$207,$S138)+SUMIFS('Q4 Data'!$N$4:$N$207,'Q4 Data'!$B$4:$B$207,$S138)+SUMIFS('Q4 Data'!$L$4:$L$207,'Q4 Data'!$B$4:$B$207,$S138))</f>
      </c>
      <c r="X138" s="7">
        <f>IF($C138="","",T138+U138+V138+W138)</f>
      </c>
      <c r="Y138" s="7">
        <f>IF($C138="","",M138-L138)</f>
      </c>
      <c r="Z138" s="7">
        <f>IF($C138="","",Y138-X138)</f>
      </c>
      <c r="AA138" s="7">
        <f>IF($C138="","",IF(ROUND(X138-Y138,2)&gt;0,"Over-applied",IF(ROUND(X138-Y138,2)=0,"Fully Utilised","Unconsumed")))</f>
      </c>
    </row>
    <row r="139" spans="1:27" x14ac:dyDescent="0.25">
      <c r="A139" s="7">
        <f>IF($C139="","",COUNTIF($C$4:$C139,"&lt;&gt;"))</f>
      </c>
      <c r="B139" s="8"/>
      <c r="C139" s="8"/>
      <c r="D139" s="8"/>
      <c r="E139" s="8"/>
      <c r="F139" s="8"/>
      <c r="G139" s="8"/>
      <c r="H139" s="8"/>
      <c r="I139" s="8"/>
      <c r="J139" s="8"/>
      <c r="K139" s="8"/>
      <c r="L139" s="8"/>
      <c r="M139" s="7">
        <f>IF($C139="","",G139+H139+I139+J139+K139+L139)</f>
      </c>
      <c r="N139" s="8"/>
      <c r="O139" s="8"/>
      <c r="P139" s="8"/>
      <c r="Q139" s="8"/>
      <c r="R139" s="8"/>
      <c r="S139" s="7">
        <f>IF($C139="","",C139&amp;" | BSR "&amp;B139&amp;" | "&amp;TEXT(D139,"dd-mm-yyyy")&amp;" | ₹"&amp;TEXT(M139,"#,##0"))</f>
      </c>
      <c r="T139" s="7">
        <f>IF($C139="","",SUMIFS('Q1 Data'!$K$4:$K$207,'Q1 Data'!$B$4:$B$207,$S139)+SUMIFS('Q1 Data'!$N$4:$N$207,'Q1 Data'!$B$4:$B$207,$S139)+SUMIFS('Q1 Data'!$L$4:$L$207,'Q1 Data'!$B$4:$B$207,$S139))</f>
      </c>
      <c r="U139" s="7">
        <f>IF($C139="","",SUMIFS('Q2 Data'!$K$4:$K$207,'Q2 Data'!$B$4:$B$207,$S139)+SUMIFS('Q2 Data'!$N$4:$N$207,'Q2 Data'!$B$4:$B$207,$S139)+SUMIFS('Q2 Data'!$L$4:$L$207,'Q2 Data'!$B$4:$B$207,$S139))</f>
      </c>
      <c r="V139" s="7">
        <f>IF($C139="","",SUMIFS('Q3 Data'!$K$4:$K$207,'Q3 Data'!$B$4:$B$207,$S139)+SUMIFS('Q3 Data'!$N$4:$N$207,'Q3 Data'!$B$4:$B$207,$S139)+SUMIFS('Q3 Data'!$L$4:$L$207,'Q3 Data'!$B$4:$B$207,$S139))</f>
      </c>
      <c r="W139" s="7">
        <f>IF($C139="","",SUMIFS('Q4 Data'!$K$4:$K$207,'Q4 Data'!$B$4:$B$207,$S139)+SUMIFS('Q4 Data'!$N$4:$N$207,'Q4 Data'!$B$4:$B$207,$S139)+SUMIFS('Q4 Data'!$L$4:$L$207,'Q4 Data'!$B$4:$B$207,$S139))</f>
      </c>
      <c r="X139" s="7">
        <f>IF($C139="","",T139+U139+V139+W139)</f>
      </c>
      <c r="Y139" s="7">
        <f>IF($C139="","",M139-L139)</f>
      </c>
      <c r="Z139" s="7">
        <f>IF($C139="","",Y139-X139)</f>
      </c>
      <c r="AA139" s="7">
        <f>IF($C139="","",IF(ROUND(X139-Y139,2)&gt;0,"Over-applied",IF(ROUND(X139-Y139,2)=0,"Fully Utilised","Unconsumed")))</f>
      </c>
    </row>
    <row r="140" spans="1:27" x14ac:dyDescent="0.25">
      <c r="A140" s="7">
        <f>IF($C140="","",COUNTIF($C$4:$C140,"&lt;&gt;"))</f>
      </c>
      <c r="B140" s="8"/>
      <c r="C140" s="8"/>
      <c r="D140" s="8"/>
      <c r="E140" s="8"/>
      <c r="F140" s="8"/>
      <c r="G140" s="8"/>
      <c r="H140" s="8"/>
      <c r="I140" s="8"/>
      <c r="J140" s="8"/>
      <c r="K140" s="8"/>
      <c r="L140" s="8"/>
      <c r="M140" s="7">
        <f>IF($C140="","",G140+H140+I140+J140+K140+L140)</f>
      </c>
      <c r="N140" s="8"/>
      <c r="O140" s="8"/>
      <c r="P140" s="8"/>
      <c r="Q140" s="8"/>
      <c r="R140" s="8"/>
      <c r="S140" s="7">
        <f>IF($C140="","",C140&amp;" | BSR "&amp;B140&amp;" | "&amp;TEXT(D140,"dd-mm-yyyy")&amp;" | ₹"&amp;TEXT(M140,"#,##0"))</f>
      </c>
      <c r="T140" s="7">
        <f>IF($C140="","",SUMIFS('Q1 Data'!$K$4:$K$207,'Q1 Data'!$B$4:$B$207,$S140)+SUMIFS('Q1 Data'!$N$4:$N$207,'Q1 Data'!$B$4:$B$207,$S140)+SUMIFS('Q1 Data'!$L$4:$L$207,'Q1 Data'!$B$4:$B$207,$S140))</f>
      </c>
      <c r="U140" s="7">
        <f>IF($C140="","",SUMIFS('Q2 Data'!$K$4:$K$207,'Q2 Data'!$B$4:$B$207,$S140)+SUMIFS('Q2 Data'!$N$4:$N$207,'Q2 Data'!$B$4:$B$207,$S140)+SUMIFS('Q2 Data'!$L$4:$L$207,'Q2 Data'!$B$4:$B$207,$S140))</f>
      </c>
      <c r="V140" s="7">
        <f>IF($C140="","",SUMIFS('Q3 Data'!$K$4:$K$207,'Q3 Data'!$B$4:$B$207,$S140)+SUMIFS('Q3 Data'!$N$4:$N$207,'Q3 Data'!$B$4:$B$207,$S140)+SUMIFS('Q3 Data'!$L$4:$L$207,'Q3 Data'!$B$4:$B$207,$S140))</f>
      </c>
      <c r="W140" s="7">
        <f>IF($C140="","",SUMIFS('Q4 Data'!$K$4:$K$207,'Q4 Data'!$B$4:$B$207,$S140)+SUMIFS('Q4 Data'!$N$4:$N$207,'Q4 Data'!$B$4:$B$207,$S140)+SUMIFS('Q4 Data'!$L$4:$L$207,'Q4 Data'!$B$4:$B$207,$S140))</f>
      </c>
      <c r="X140" s="7">
        <f>IF($C140="","",T140+U140+V140+W140)</f>
      </c>
      <c r="Y140" s="7">
        <f>IF($C140="","",M140-L140)</f>
      </c>
      <c r="Z140" s="7">
        <f>IF($C140="","",Y140-X140)</f>
      </c>
      <c r="AA140" s="7">
        <f>IF($C140="","",IF(ROUND(X140-Y140,2)&gt;0,"Over-applied",IF(ROUND(X140-Y140,2)=0,"Fully Utilised","Unconsumed")))</f>
      </c>
    </row>
    <row r="141" spans="1:27" x14ac:dyDescent="0.25">
      <c r="A141" s="7">
        <f>IF($C141="","",COUNTIF($C$4:$C141,"&lt;&gt;"))</f>
      </c>
      <c r="B141" s="8"/>
      <c r="C141" s="8"/>
      <c r="D141" s="8"/>
      <c r="E141" s="8"/>
      <c r="F141" s="8"/>
      <c r="G141" s="8"/>
      <c r="H141" s="8"/>
      <c r="I141" s="8"/>
      <c r="J141" s="8"/>
      <c r="K141" s="8"/>
      <c r="L141" s="8"/>
      <c r="M141" s="7">
        <f>IF($C141="","",G141+H141+I141+J141+K141+L141)</f>
      </c>
      <c r="N141" s="8"/>
      <c r="O141" s="8"/>
      <c r="P141" s="8"/>
      <c r="Q141" s="8"/>
      <c r="R141" s="8"/>
      <c r="S141" s="7">
        <f>IF($C141="","",C141&amp;" | BSR "&amp;B141&amp;" | "&amp;TEXT(D141,"dd-mm-yyyy")&amp;" | ₹"&amp;TEXT(M141,"#,##0"))</f>
      </c>
      <c r="T141" s="7">
        <f>IF($C141="","",SUMIFS('Q1 Data'!$K$4:$K$207,'Q1 Data'!$B$4:$B$207,$S141)+SUMIFS('Q1 Data'!$N$4:$N$207,'Q1 Data'!$B$4:$B$207,$S141)+SUMIFS('Q1 Data'!$L$4:$L$207,'Q1 Data'!$B$4:$B$207,$S141))</f>
      </c>
      <c r="U141" s="7">
        <f>IF($C141="","",SUMIFS('Q2 Data'!$K$4:$K$207,'Q2 Data'!$B$4:$B$207,$S141)+SUMIFS('Q2 Data'!$N$4:$N$207,'Q2 Data'!$B$4:$B$207,$S141)+SUMIFS('Q2 Data'!$L$4:$L$207,'Q2 Data'!$B$4:$B$207,$S141))</f>
      </c>
      <c r="V141" s="7">
        <f>IF($C141="","",SUMIFS('Q3 Data'!$K$4:$K$207,'Q3 Data'!$B$4:$B$207,$S141)+SUMIFS('Q3 Data'!$N$4:$N$207,'Q3 Data'!$B$4:$B$207,$S141)+SUMIFS('Q3 Data'!$L$4:$L$207,'Q3 Data'!$B$4:$B$207,$S141))</f>
      </c>
      <c r="W141" s="7">
        <f>IF($C141="","",SUMIFS('Q4 Data'!$K$4:$K$207,'Q4 Data'!$B$4:$B$207,$S141)+SUMIFS('Q4 Data'!$N$4:$N$207,'Q4 Data'!$B$4:$B$207,$S141)+SUMIFS('Q4 Data'!$L$4:$L$207,'Q4 Data'!$B$4:$B$207,$S141))</f>
      </c>
      <c r="X141" s="7">
        <f>IF($C141="","",T141+U141+V141+W141)</f>
      </c>
      <c r="Y141" s="7">
        <f>IF($C141="","",M141-L141)</f>
      </c>
      <c r="Z141" s="7">
        <f>IF($C141="","",Y141-X141)</f>
      </c>
      <c r="AA141" s="7">
        <f>IF($C141="","",IF(ROUND(X141-Y141,2)&gt;0,"Over-applied",IF(ROUND(X141-Y141,2)=0,"Fully Utilised","Unconsumed")))</f>
      </c>
    </row>
    <row r="142" spans="1:27" x14ac:dyDescent="0.25">
      <c r="A142" s="7">
        <f>IF($C142="","",COUNTIF($C$4:$C142,"&lt;&gt;"))</f>
      </c>
      <c r="B142" s="8"/>
      <c r="C142" s="8"/>
      <c r="D142" s="8"/>
      <c r="E142" s="8"/>
      <c r="F142" s="8"/>
      <c r="G142" s="8"/>
      <c r="H142" s="8"/>
      <c r="I142" s="8"/>
      <c r="J142" s="8"/>
      <c r="K142" s="8"/>
      <c r="L142" s="8"/>
      <c r="M142" s="7">
        <f>IF($C142="","",G142+H142+I142+J142+K142+L142)</f>
      </c>
      <c r="N142" s="8"/>
      <c r="O142" s="8"/>
      <c r="P142" s="8"/>
      <c r="Q142" s="8"/>
      <c r="R142" s="8"/>
      <c r="S142" s="7">
        <f>IF($C142="","",C142&amp;" | BSR "&amp;B142&amp;" | "&amp;TEXT(D142,"dd-mm-yyyy")&amp;" | ₹"&amp;TEXT(M142,"#,##0"))</f>
      </c>
      <c r="T142" s="7">
        <f>IF($C142="","",SUMIFS('Q1 Data'!$K$4:$K$207,'Q1 Data'!$B$4:$B$207,$S142)+SUMIFS('Q1 Data'!$N$4:$N$207,'Q1 Data'!$B$4:$B$207,$S142)+SUMIFS('Q1 Data'!$L$4:$L$207,'Q1 Data'!$B$4:$B$207,$S142))</f>
      </c>
      <c r="U142" s="7">
        <f>IF($C142="","",SUMIFS('Q2 Data'!$K$4:$K$207,'Q2 Data'!$B$4:$B$207,$S142)+SUMIFS('Q2 Data'!$N$4:$N$207,'Q2 Data'!$B$4:$B$207,$S142)+SUMIFS('Q2 Data'!$L$4:$L$207,'Q2 Data'!$B$4:$B$207,$S142))</f>
      </c>
      <c r="V142" s="7">
        <f>IF($C142="","",SUMIFS('Q3 Data'!$K$4:$K$207,'Q3 Data'!$B$4:$B$207,$S142)+SUMIFS('Q3 Data'!$N$4:$N$207,'Q3 Data'!$B$4:$B$207,$S142)+SUMIFS('Q3 Data'!$L$4:$L$207,'Q3 Data'!$B$4:$B$207,$S142))</f>
      </c>
      <c r="W142" s="7">
        <f>IF($C142="","",SUMIFS('Q4 Data'!$K$4:$K$207,'Q4 Data'!$B$4:$B$207,$S142)+SUMIFS('Q4 Data'!$N$4:$N$207,'Q4 Data'!$B$4:$B$207,$S142)+SUMIFS('Q4 Data'!$L$4:$L$207,'Q4 Data'!$B$4:$B$207,$S142))</f>
      </c>
      <c r="X142" s="7">
        <f>IF($C142="","",T142+U142+V142+W142)</f>
      </c>
      <c r="Y142" s="7">
        <f>IF($C142="","",M142-L142)</f>
      </c>
      <c r="Z142" s="7">
        <f>IF($C142="","",Y142-X142)</f>
      </c>
      <c r="AA142" s="7">
        <f>IF($C142="","",IF(ROUND(X142-Y142,2)&gt;0,"Over-applied",IF(ROUND(X142-Y142,2)=0,"Fully Utilised","Unconsumed")))</f>
      </c>
    </row>
    <row r="143" spans="1:27" x14ac:dyDescent="0.25">
      <c r="A143" s="7">
        <f>IF($C143="","",COUNTIF($C$4:$C143,"&lt;&gt;"))</f>
      </c>
      <c r="B143" s="8"/>
      <c r="C143" s="8"/>
      <c r="D143" s="8"/>
      <c r="E143" s="8"/>
      <c r="F143" s="8"/>
      <c r="G143" s="8"/>
      <c r="H143" s="8"/>
      <c r="I143" s="8"/>
      <c r="J143" s="8"/>
      <c r="K143" s="8"/>
      <c r="L143" s="8"/>
      <c r="M143" s="7">
        <f>IF($C143="","",G143+H143+I143+J143+K143+L143)</f>
      </c>
      <c r="N143" s="8"/>
      <c r="O143" s="8"/>
      <c r="P143" s="8"/>
      <c r="Q143" s="8"/>
      <c r="R143" s="8"/>
      <c r="S143" s="7">
        <f>IF($C143="","",C143&amp;" | BSR "&amp;B143&amp;" | "&amp;TEXT(D143,"dd-mm-yyyy")&amp;" | ₹"&amp;TEXT(M143,"#,##0"))</f>
      </c>
      <c r="T143" s="7">
        <f>IF($C143="","",SUMIFS('Q1 Data'!$K$4:$K$207,'Q1 Data'!$B$4:$B$207,$S143)+SUMIFS('Q1 Data'!$N$4:$N$207,'Q1 Data'!$B$4:$B$207,$S143)+SUMIFS('Q1 Data'!$L$4:$L$207,'Q1 Data'!$B$4:$B$207,$S143))</f>
      </c>
      <c r="U143" s="7">
        <f>IF($C143="","",SUMIFS('Q2 Data'!$K$4:$K$207,'Q2 Data'!$B$4:$B$207,$S143)+SUMIFS('Q2 Data'!$N$4:$N$207,'Q2 Data'!$B$4:$B$207,$S143)+SUMIFS('Q2 Data'!$L$4:$L$207,'Q2 Data'!$B$4:$B$207,$S143))</f>
      </c>
      <c r="V143" s="7">
        <f>IF($C143="","",SUMIFS('Q3 Data'!$K$4:$K$207,'Q3 Data'!$B$4:$B$207,$S143)+SUMIFS('Q3 Data'!$N$4:$N$207,'Q3 Data'!$B$4:$B$207,$S143)+SUMIFS('Q3 Data'!$L$4:$L$207,'Q3 Data'!$B$4:$B$207,$S143))</f>
      </c>
      <c r="W143" s="7">
        <f>IF($C143="","",SUMIFS('Q4 Data'!$K$4:$K$207,'Q4 Data'!$B$4:$B$207,$S143)+SUMIFS('Q4 Data'!$N$4:$N$207,'Q4 Data'!$B$4:$B$207,$S143)+SUMIFS('Q4 Data'!$L$4:$L$207,'Q4 Data'!$B$4:$B$207,$S143))</f>
      </c>
      <c r="X143" s="7">
        <f>IF($C143="","",T143+U143+V143+W143)</f>
      </c>
      <c r="Y143" s="7">
        <f>IF($C143="","",M143-L143)</f>
      </c>
      <c r="Z143" s="7">
        <f>IF($C143="","",Y143-X143)</f>
      </c>
      <c r="AA143" s="7">
        <f>IF($C143="","",IF(ROUND(X143-Y143,2)&gt;0,"Over-applied",IF(ROUND(X143-Y143,2)=0,"Fully Utilised","Unconsumed")))</f>
      </c>
    </row>
    <row r="144" spans="1:27" x14ac:dyDescent="0.25">
      <c r="A144" s="7">
        <f>IF($C144="","",COUNTIF($C$4:$C144,"&lt;&gt;"))</f>
      </c>
      <c r="B144" s="8"/>
      <c r="C144" s="8"/>
      <c r="D144" s="8"/>
      <c r="E144" s="8"/>
      <c r="F144" s="8"/>
      <c r="G144" s="8"/>
      <c r="H144" s="8"/>
      <c r="I144" s="8"/>
      <c r="J144" s="8"/>
      <c r="K144" s="8"/>
      <c r="L144" s="8"/>
      <c r="M144" s="7">
        <f>IF($C144="","",G144+H144+I144+J144+K144+L144)</f>
      </c>
      <c r="N144" s="8"/>
      <c r="O144" s="8"/>
      <c r="P144" s="8"/>
      <c r="Q144" s="8"/>
      <c r="R144" s="8"/>
      <c r="S144" s="7">
        <f>IF($C144="","",C144&amp;" | BSR "&amp;B144&amp;" | "&amp;TEXT(D144,"dd-mm-yyyy")&amp;" | ₹"&amp;TEXT(M144,"#,##0"))</f>
      </c>
      <c r="T144" s="7">
        <f>IF($C144="","",SUMIFS('Q1 Data'!$K$4:$K$207,'Q1 Data'!$B$4:$B$207,$S144)+SUMIFS('Q1 Data'!$N$4:$N$207,'Q1 Data'!$B$4:$B$207,$S144)+SUMIFS('Q1 Data'!$L$4:$L$207,'Q1 Data'!$B$4:$B$207,$S144))</f>
      </c>
      <c r="U144" s="7">
        <f>IF($C144="","",SUMIFS('Q2 Data'!$K$4:$K$207,'Q2 Data'!$B$4:$B$207,$S144)+SUMIFS('Q2 Data'!$N$4:$N$207,'Q2 Data'!$B$4:$B$207,$S144)+SUMIFS('Q2 Data'!$L$4:$L$207,'Q2 Data'!$B$4:$B$207,$S144))</f>
      </c>
      <c r="V144" s="7">
        <f>IF($C144="","",SUMIFS('Q3 Data'!$K$4:$K$207,'Q3 Data'!$B$4:$B$207,$S144)+SUMIFS('Q3 Data'!$N$4:$N$207,'Q3 Data'!$B$4:$B$207,$S144)+SUMIFS('Q3 Data'!$L$4:$L$207,'Q3 Data'!$B$4:$B$207,$S144))</f>
      </c>
      <c r="W144" s="7">
        <f>IF($C144="","",SUMIFS('Q4 Data'!$K$4:$K$207,'Q4 Data'!$B$4:$B$207,$S144)+SUMIFS('Q4 Data'!$N$4:$N$207,'Q4 Data'!$B$4:$B$207,$S144)+SUMIFS('Q4 Data'!$L$4:$L$207,'Q4 Data'!$B$4:$B$207,$S144))</f>
      </c>
      <c r="X144" s="7">
        <f>IF($C144="","",T144+U144+V144+W144)</f>
      </c>
      <c r="Y144" s="7">
        <f>IF($C144="","",M144-L144)</f>
      </c>
      <c r="Z144" s="7">
        <f>IF($C144="","",Y144-X144)</f>
      </c>
      <c r="AA144" s="7">
        <f>IF($C144="","",IF(ROUND(X144-Y144,2)&gt;0,"Over-applied",IF(ROUND(X144-Y144,2)=0,"Fully Utilised","Unconsumed")))</f>
      </c>
    </row>
    <row r="145" spans="1:27" x14ac:dyDescent="0.25">
      <c r="A145" s="7">
        <f>IF($C145="","",COUNTIF($C$4:$C145,"&lt;&gt;"))</f>
      </c>
      <c r="B145" s="8"/>
      <c r="C145" s="8"/>
      <c r="D145" s="8"/>
      <c r="E145" s="8"/>
      <c r="F145" s="8"/>
      <c r="G145" s="8"/>
      <c r="H145" s="8"/>
      <c r="I145" s="8"/>
      <c r="J145" s="8"/>
      <c r="K145" s="8"/>
      <c r="L145" s="8"/>
      <c r="M145" s="7">
        <f>IF($C145="","",G145+H145+I145+J145+K145+L145)</f>
      </c>
      <c r="N145" s="8"/>
      <c r="O145" s="8"/>
      <c r="P145" s="8"/>
      <c r="Q145" s="8"/>
      <c r="R145" s="8"/>
      <c r="S145" s="7">
        <f>IF($C145="","",C145&amp;" | BSR "&amp;B145&amp;" | "&amp;TEXT(D145,"dd-mm-yyyy")&amp;" | ₹"&amp;TEXT(M145,"#,##0"))</f>
      </c>
      <c r="T145" s="7">
        <f>IF($C145="","",SUMIFS('Q1 Data'!$K$4:$K$207,'Q1 Data'!$B$4:$B$207,$S145)+SUMIFS('Q1 Data'!$N$4:$N$207,'Q1 Data'!$B$4:$B$207,$S145)+SUMIFS('Q1 Data'!$L$4:$L$207,'Q1 Data'!$B$4:$B$207,$S145))</f>
      </c>
      <c r="U145" s="7">
        <f>IF($C145="","",SUMIFS('Q2 Data'!$K$4:$K$207,'Q2 Data'!$B$4:$B$207,$S145)+SUMIFS('Q2 Data'!$N$4:$N$207,'Q2 Data'!$B$4:$B$207,$S145)+SUMIFS('Q2 Data'!$L$4:$L$207,'Q2 Data'!$B$4:$B$207,$S145))</f>
      </c>
      <c r="V145" s="7">
        <f>IF($C145="","",SUMIFS('Q3 Data'!$K$4:$K$207,'Q3 Data'!$B$4:$B$207,$S145)+SUMIFS('Q3 Data'!$N$4:$N$207,'Q3 Data'!$B$4:$B$207,$S145)+SUMIFS('Q3 Data'!$L$4:$L$207,'Q3 Data'!$B$4:$B$207,$S145))</f>
      </c>
      <c r="W145" s="7">
        <f>IF($C145="","",SUMIFS('Q4 Data'!$K$4:$K$207,'Q4 Data'!$B$4:$B$207,$S145)+SUMIFS('Q4 Data'!$N$4:$N$207,'Q4 Data'!$B$4:$B$207,$S145)+SUMIFS('Q4 Data'!$L$4:$L$207,'Q4 Data'!$B$4:$B$207,$S145))</f>
      </c>
      <c r="X145" s="7">
        <f>IF($C145="","",T145+U145+V145+W145)</f>
      </c>
      <c r="Y145" s="7">
        <f>IF($C145="","",M145-L145)</f>
      </c>
      <c r="Z145" s="7">
        <f>IF($C145="","",Y145-X145)</f>
      </c>
      <c r="AA145" s="7">
        <f>IF($C145="","",IF(ROUND(X145-Y145,2)&gt;0,"Over-applied",IF(ROUND(X145-Y145,2)=0,"Fully Utilised","Unconsumed")))</f>
      </c>
    </row>
    <row r="146" spans="1:27" x14ac:dyDescent="0.25">
      <c r="A146" s="7">
        <f>IF($C146="","",COUNTIF($C$4:$C146,"&lt;&gt;"))</f>
      </c>
      <c r="B146" s="8"/>
      <c r="C146" s="8"/>
      <c r="D146" s="8"/>
      <c r="E146" s="8"/>
      <c r="F146" s="8"/>
      <c r="G146" s="8"/>
      <c r="H146" s="8"/>
      <c r="I146" s="8"/>
      <c r="J146" s="8"/>
      <c r="K146" s="8"/>
      <c r="L146" s="8"/>
      <c r="M146" s="7">
        <f>IF($C146="","",G146+H146+I146+J146+K146+L146)</f>
      </c>
      <c r="N146" s="8"/>
      <c r="O146" s="8"/>
      <c r="P146" s="8"/>
      <c r="Q146" s="8"/>
      <c r="R146" s="8"/>
      <c r="S146" s="7">
        <f>IF($C146="","",C146&amp;" | BSR "&amp;B146&amp;" | "&amp;TEXT(D146,"dd-mm-yyyy")&amp;" | ₹"&amp;TEXT(M146,"#,##0"))</f>
      </c>
      <c r="T146" s="7">
        <f>IF($C146="","",SUMIFS('Q1 Data'!$K$4:$K$207,'Q1 Data'!$B$4:$B$207,$S146)+SUMIFS('Q1 Data'!$N$4:$N$207,'Q1 Data'!$B$4:$B$207,$S146)+SUMIFS('Q1 Data'!$L$4:$L$207,'Q1 Data'!$B$4:$B$207,$S146))</f>
      </c>
      <c r="U146" s="7">
        <f>IF($C146="","",SUMIFS('Q2 Data'!$K$4:$K$207,'Q2 Data'!$B$4:$B$207,$S146)+SUMIFS('Q2 Data'!$N$4:$N$207,'Q2 Data'!$B$4:$B$207,$S146)+SUMIFS('Q2 Data'!$L$4:$L$207,'Q2 Data'!$B$4:$B$207,$S146))</f>
      </c>
      <c r="V146" s="7">
        <f>IF($C146="","",SUMIFS('Q3 Data'!$K$4:$K$207,'Q3 Data'!$B$4:$B$207,$S146)+SUMIFS('Q3 Data'!$N$4:$N$207,'Q3 Data'!$B$4:$B$207,$S146)+SUMIFS('Q3 Data'!$L$4:$L$207,'Q3 Data'!$B$4:$B$207,$S146))</f>
      </c>
      <c r="W146" s="7">
        <f>IF($C146="","",SUMIFS('Q4 Data'!$K$4:$K$207,'Q4 Data'!$B$4:$B$207,$S146)+SUMIFS('Q4 Data'!$N$4:$N$207,'Q4 Data'!$B$4:$B$207,$S146)+SUMIFS('Q4 Data'!$L$4:$L$207,'Q4 Data'!$B$4:$B$207,$S146))</f>
      </c>
      <c r="X146" s="7">
        <f>IF($C146="","",T146+U146+V146+W146)</f>
      </c>
      <c r="Y146" s="7">
        <f>IF($C146="","",M146-L146)</f>
      </c>
      <c r="Z146" s="7">
        <f>IF($C146="","",Y146-X146)</f>
      </c>
      <c r="AA146" s="7">
        <f>IF($C146="","",IF(ROUND(X146-Y146,2)&gt;0,"Over-applied",IF(ROUND(X146-Y146,2)=0,"Fully Utilised","Unconsumed")))</f>
      </c>
    </row>
    <row r="147" spans="1:27" x14ac:dyDescent="0.25">
      <c r="A147" s="7">
        <f>IF($C147="","",COUNTIF($C$4:$C147,"&lt;&gt;"))</f>
      </c>
      <c r="B147" s="8"/>
      <c r="C147" s="8"/>
      <c r="D147" s="8"/>
      <c r="E147" s="8"/>
      <c r="F147" s="8"/>
      <c r="G147" s="8"/>
      <c r="H147" s="8"/>
      <c r="I147" s="8"/>
      <c r="J147" s="8"/>
      <c r="K147" s="8"/>
      <c r="L147" s="8"/>
      <c r="M147" s="7">
        <f>IF($C147="","",G147+H147+I147+J147+K147+L147)</f>
      </c>
      <c r="N147" s="8"/>
      <c r="O147" s="8"/>
      <c r="P147" s="8"/>
      <c r="Q147" s="8"/>
      <c r="R147" s="8"/>
      <c r="S147" s="7">
        <f>IF($C147="","",C147&amp;" | BSR "&amp;B147&amp;" | "&amp;TEXT(D147,"dd-mm-yyyy")&amp;" | ₹"&amp;TEXT(M147,"#,##0"))</f>
      </c>
      <c r="T147" s="7">
        <f>IF($C147="","",SUMIFS('Q1 Data'!$K$4:$K$207,'Q1 Data'!$B$4:$B$207,$S147)+SUMIFS('Q1 Data'!$N$4:$N$207,'Q1 Data'!$B$4:$B$207,$S147)+SUMIFS('Q1 Data'!$L$4:$L$207,'Q1 Data'!$B$4:$B$207,$S147))</f>
      </c>
      <c r="U147" s="7">
        <f>IF($C147="","",SUMIFS('Q2 Data'!$K$4:$K$207,'Q2 Data'!$B$4:$B$207,$S147)+SUMIFS('Q2 Data'!$N$4:$N$207,'Q2 Data'!$B$4:$B$207,$S147)+SUMIFS('Q2 Data'!$L$4:$L$207,'Q2 Data'!$B$4:$B$207,$S147))</f>
      </c>
      <c r="V147" s="7">
        <f>IF($C147="","",SUMIFS('Q3 Data'!$K$4:$K$207,'Q3 Data'!$B$4:$B$207,$S147)+SUMIFS('Q3 Data'!$N$4:$N$207,'Q3 Data'!$B$4:$B$207,$S147)+SUMIFS('Q3 Data'!$L$4:$L$207,'Q3 Data'!$B$4:$B$207,$S147))</f>
      </c>
      <c r="W147" s="7">
        <f>IF($C147="","",SUMIFS('Q4 Data'!$K$4:$K$207,'Q4 Data'!$B$4:$B$207,$S147)+SUMIFS('Q4 Data'!$N$4:$N$207,'Q4 Data'!$B$4:$B$207,$S147)+SUMIFS('Q4 Data'!$L$4:$L$207,'Q4 Data'!$B$4:$B$207,$S147))</f>
      </c>
      <c r="X147" s="7">
        <f>IF($C147="","",T147+U147+V147+W147)</f>
      </c>
      <c r="Y147" s="7">
        <f>IF($C147="","",M147-L147)</f>
      </c>
      <c r="Z147" s="7">
        <f>IF($C147="","",Y147-X147)</f>
      </c>
      <c r="AA147" s="7">
        <f>IF($C147="","",IF(ROUND(X147-Y147,2)&gt;0,"Over-applied",IF(ROUND(X147-Y147,2)=0,"Fully Utilised","Unconsumed")))</f>
      </c>
    </row>
    <row r="148" spans="1:27" x14ac:dyDescent="0.25">
      <c r="A148" s="7">
        <f>IF($C148="","",COUNTIF($C$4:$C148,"&lt;&gt;"))</f>
      </c>
      <c r="B148" s="8"/>
      <c r="C148" s="8"/>
      <c r="D148" s="8"/>
      <c r="E148" s="8"/>
      <c r="F148" s="8"/>
      <c r="G148" s="8"/>
      <c r="H148" s="8"/>
      <c r="I148" s="8"/>
      <c r="J148" s="8"/>
      <c r="K148" s="8"/>
      <c r="L148" s="8"/>
      <c r="M148" s="7">
        <f>IF($C148="","",G148+H148+I148+J148+K148+L148)</f>
      </c>
      <c r="N148" s="8"/>
      <c r="O148" s="8"/>
      <c r="P148" s="8"/>
      <c r="Q148" s="8"/>
      <c r="R148" s="8"/>
      <c r="S148" s="7">
        <f>IF($C148="","",C148&amp;" | BSR "&amp;B148&amp;" | "&amp;TEXT(D148,"dd-mm-yyyy")&amp;" | ₹"&amp;TEXT(M148,"#,##0"))</f>
      </c>
      <c r="T148" s="7">
        <f>IF($C148="","",SUMIFS('Q1 Data'!$K$4:$K$207,'Q1 Data'!$B$4:$B$207,$S148)+SUMIFS('Q1 Data'!$N$4:$N$207,'Q1 Data'!$B$4:$B$207,$S148)+SUMIFS('Q1 Data'!$L$4:$L$207,'Q1 Data'!$B$4:$B$207,$S148))</f>
      </c>
      <c r="U148" s="7">
        <f>IF($C148="","",SUMIFS('Q2 Data'!$K$4:$K$207,'Q2 Data'!$B$4:$B$207,$S148)+SUMIFS('Q2 Data'!$N$4:$N$207,'Q2 Data'!$B$4:$B$207,$S148)+SUMIFS('Q2 Data'!$L$4:$L$207,'Q2 Data'!$B$4:$B$207,$S148))</f>
      </c>
      <c r="V148" s="7">
        <f>IF($C148="","",SUMIFS('Q3 Data'!$K$4:$K$207,'Q3 Data'!$B$4:$B$207,$S148)+SUMIFS('Q3 Data'!$N$4:$N$207,'Q3 Data'!$B$4:$B$207,$S148)+SUMIFS('Q3 Data'!$L$4:$L$207,'Q3 Data'!$B$4:$B$207,$S148))</f>
      </c>
      <c r="W148" s="7">
        <f>IF($C148="","",SUMIFS('Q4 Data'!$K$4:$K$207,'Q4 Data'!$B$4:$B$207,$S148)+SUMIFS('Q4 Data'!$N$4:$N$207,'Q4 Data'!$B$4:$B$207,$S148)+SUMIFS('Q4 Data'!$L$4:$L$207,'Q4 Data'!$B$4:$B$207,$S148))</f>
      </c>
      <c r="X148" s="7">
        <f>IF($C148="","",T148+U148+V148+W148)</f>
      </c>
      <c r="Y148" s="7">
        <f>IF($C148="","",M148-L148)</f>
      </c>
      <c r="Z148" s="7">
        <f>IF($C148="","",Y148-X148)</f>
      </c>
      <c r="AA148" s="7">
        <f>IF($C148="","",IF(ROUND(X148-Y148,2)&gt;0,"Over-applied",IF(ROUND(X148-Y148,2)=0,"Fully Utilised","Unconsumed")))</f>
      </c>
    </row>
    <row r="149" spans="1:27" x14ac:dyDescent="0.25">
      <c r="A149" s="7">
        <f>IF($C149="","",COUNTIF($C$4:$C149,"&lt;&gt;"))</f>
      </c>
      <c r="B149" s="8"/>
      <c r="C149" s="8"/>
      <c r="D149" s="8"/>
      <c r="E149" s="8"/>
      <c r="F149" s="8"/>
      <c r="G149" s="8"/>
      <c r="H149" s="8"/>
      <c r="I149" s="8"/>
      <c r="J149" s="8"/>
      <c r="K149" s="8"/>
      <c r="L149" s="8"/>
      <c r="M149" s="7">
        <f>IF($C149="","",G149+H149+I149+J149+K149+L149)</f>
      </c>
      <c r="N149" s="8"/>
      <c r="O149" s="8"/>
      <c r="P149" s="8"/>
      <c r="Q149" s="8"/>
      <c r="R149" s="8"/>
      <c r="S149" s="7">
        <f>IF($C149="","",C149&amp;" | BSR "&amp;B149&amp;" | "&amp;TEXT(D149,"dd-mm-yyyy")&amp;" | ₹"&amp;TEXT(M149,"#,##0"))</f>
      </c>
      <c r="T149" s="7">
        <f>IF($C149="","",SUMIFS('Q1 Data'!$K$4:$K$207,'Q1 Data'!$B$4:$B$207,$S149)+SUMIFS('Q1 Data'!$N$4:$N$207,'Q1 Data'!$B$4:$B$207,$S149)+SUMIFS('Q1 Data'!$L$4:$L$207,'Q1 Data'!$B$4:$B$207,$S149))</f>
      </c>
      <c r="U149" s="7">
        <f>IF($C149="","",SUMIFS('Q2 Data'!$K$4:$K$207,'Q2 Data'!$B$4:$B$207,$S149)+SUMIFS('Q2 Data'!$N$4:$N$207,'Q2 Data'!$B$4:$B$207,$S149)+SUMIFS('Q2 Data'!$L$4:$L$207,'Q2 Data'!$B$4:$B$207,$S149))</f>
      </c>
      <c r="V149" s="7">
        <f>IF($C149="","",SUMIFS('Q3 Data'!$K$4:$K$207,'Q3 Data'!$B$4:$B$207,$S149)+SUMIFS('Q3 Data'!$N$4:$N$207,'Q3 Data'!$B$4:$B$207,$S149)+SUMIFS('Q3 Data'!$L$4:$L$207,'Q3 Data'!$B$4:$B$207,$S149))</f>
      </c>
      <c r="W149" s="7">
        <f>IF($C149="","",SUMIFS('Q4 Data'!$K$4:$K$207,'Q4 Data'!$B$4:$B$207,$S149)+SUMIFS('Q4 Data'!$N$4:$N$207,'Q4 Data'!$B$4:$B$207,$S149)+SUMIFS('Q4 Data'!$L$4:$L$207,'Q4 Data'!$B$4:$B$207,$S149))</f>
      </c>
      <c r="X149" s="7">
        <f>IF($C149="","",T149+U149+V149+W149)</f>
      </c>
      <c r="Y149" s="7">
        <f>IF($C149="","",M149-L149)</f>
      </c>
      <c r="Z149" s="7">
        <f>IF($C149="","",Y149-X149)</f>
      </c>
      <c r="AA149" s="7">
        <f>IF($C149="","",IF(ROUND(X149-Y149,2)&gt;0,"Over-applied",IF(ROUND(X149-Y149,2)=0,"Fully Utilised","Unconsumed")))</f>
      </c>
    </row>
    <row r="150" spans="1:27" x14ac:dyDescent="0.25">
      <c r="A150" s="7">
        <f>IF($C150="","",COUNTIF($C$4:$C150,"&lt;&gt;"))</f>
      </c>
      <c r="B150" s="8"/>
      <c r="C150" s="8"/>
      <c r="D150" s="8"/>
      <c r="E150" s="8"/>
      <c r="F150" s="8"/>
      <c r="G150" s="8"/>
      <c r="H150" s="8"/>
      <c r="I150" s="8"/>
      <c r="J150" s="8"/>
      <c r="K150" s="8"/>
      <c r="L150" s="8"/>
      <c r="M150" s="7">
        <f>IF($C150="","",G150+H150+I150+J150+K150+L150)</f>
      </c>
      <c r="N150" s="8"/>
      <c r="O150" s="8"/>
      <c r="P150" s="8"/>
      <c r="Q150" s="8"/>
      <c r="R150" s="8"/>
      <c r="S150" s="7">
        <f>IF($C150="","",C150&amp;" | BSR "&amp;B150&amp;" | "&amp;TEXT(D150,"dd-mm-yyyy")&amp;" | ₹"&amp;TEXT(M150,"#,##0"))</f>
      </c>
      <c r="T150" s="7">
        <f>IF($C150="","",SUMIFS('Q1 Data'!$K$4:$K$207,'Q1 Data'!$B$4:$B$207,$S150)+SUMIFS('Q1 Data'!$N$4:$N$207,'Q1 Data'!$B$4:$B$207,$S150)+SUMIFS('Q1 Data'!$L$4:$L$207,'Q1 Data'!$B$4:$B$207,$S150))</f>
      </c>
      <c r="U150" s="7">
        <f>IF($C150="","",SUMIFS('Q2 Data'!$K$4:$K$207,'Q2 Data'!$B$4:$B$207,$S150)+SUMIFS('Q2 Data'!$N$4:$N$207,'Q2 Data'!$B$4:$B$207,$S150)+SUMIFS('Q2 Data'!$L$4:$L$207,'Q2 Data'!$B$4:$B$207,$S150))</f>
      </c>
      <c r="V150" s="7">
        <f>IF($C150="","",SUMIFS('Q3 Data'!$K$4:$K$207,'Q3 Data'!$B$4:$B$207,$S150)+SUMIFS('Q3 Data'!$N$4:$N$207,'Q3 Data'!$B$4:$B$207,$S150)+SUMIFS('Q3 Data'!$L$4:$L$207,'Q3 Data'!$B$4:$B$207,$S150))</f>
      </c>
      <c r="W150" s="7">
        <f>IF($C150="","",SUMIFS('Q4 Data'!$K$4:$K$207,'Q4 Data'!$B$4:$B$207,$S150)+SUMIFS('Q4 Data'!$N$4:$N$207,'Q4 Data'!$B$4:$B$207,$S150)+SUMIFS('Q4 Data'!$L$4:$L$207,'Q4 Data'!$B$4:$B$207,$S150))</f>
      </c>
      <c r="X150" s="7">
        <f>IF($C150="","",T150+U150+V150+W150)</f>
      </c>
      <c r="Y150" s="7">
        <f>IF($C150="","",M150-L150)</f>
      </c>
      <c r="Z150" s="7">
        <f>IF($C150="","",Y150-X150)</f>
      </c>
      <c r="AA150" s="7">
        <f>IF($C150="","",IF(ROUND(X150-Y150,2)&gt;0,"Over-applied",IF(ROUND(X150-Y150,2)=0,"Fully Utilised","Unconsumed")))</f>
      </c>
    </row>
    <row r="151" spans="1:27" x14ac:dyDescent="0.25">
      <c r="A151" s="7">
        <f>IF($C151="","",COUNTIF($C$4:$C151,"&lt;&gt;"))</f>
      </c>
      <c r="B151" s="8"/>
      <c r="C151" s="8"/>
      <c r="D151" s="8"/>
      <c r="E151" s="8"/>
      <c r="F151" s="8"/>
      <c r="G151" s="8"/>
      <c r="H151" s="8"/>
      <c r="I151" s="8"/>
      <c r="J151" s="8"/>
      <c r="K151" s="8"/>
      <c r="L151" s="8"/>
      <c r="M151" s="7">
        <f>IF($C151="","",G151+H151+I151+J151+K151+L151)</f>
      </c>
      <c r="N151" s="8"/>
      <c r="O151" s="8"/>
      <c r="P151" s="8"/>
      <c r="Q151" s="8"/>
      <c r="R151" s="8"/>
      <c r="S151" s="7">
        <f>IF($C151="","",C151&amp;" | BSR "&amp;B151&amp;" | "&amp;TEXT(D151,"dd-mm-yyyy")&amp;" | ₹"&amp;TEXT(M151,"#,##0"))</f>
      </c>
      <c r="T151" s="7">
        <f>IF($C151="","",SUMIFS('Q1 Data'!$K$4:$K$207,'Q1 Data'!$B$4:$B$207,$S151)+SUMIFS('Q1 Data'!$N$4:$N$207,'Q1 Data'!$B$4:$B$207,$S151)+SUMIFS('Q1 Data'!$L$4:$L$207,'Q1 Data'!$B$4:$B$207,$S151))</f>
      </c>
      <c r="U151" s="7">
        <f>IF($C151="","",SUMIFS('Q2 Data'!$K$4:$K$207,'Q2 Data'!$B$4:$B$207,$S151)+SUMIFS('Q2 Data'!$N$4:$N$207,'Q2 Data'!$B$4:$B$207,$S151)+SUMIFS('Q2 Data'!$L$4:$L$207,'Q2 Data'!$B$4:$B$207,$S151))</f>
      </c>
      <c r="V151" s="7">
        <f>IF($C151="","",SUMIFS('Q3 Data'!$K$4:$K$207,'Q3 Data'!$B$4:$B$207,$S151)+SUMIFS('Q3 Data'!$N$4:$N$207,'Q3 Data'!$B$4:$B$207,$S151)+SUMIFS('Q3 Data'!$L$4:$L$207,'Q3 Data'!$B$4:$B$207,$S151))</f>
      </c>
      <c r="W151" s="7">
        <f>IF($C151="","",SUMIFS('Q4 Data'!$K$4:$K$207,'Q4 Data'!$B$4:$B$207,$S151)+SUMIFS('Q4 Data'!$N$4:$N$207,'Q4 Data'!$B$4:$B$207,$S151)+SUMIFS('Q4 Data'!$L$4:$L$207,'Q4 Data'!$B$4:$B$207,$S151))</f>
      </c>
      <c r="X151" s="7">
        <f>IF($C151="","",T151+U151+V151+W151)</f>
      </c>
      <c r="Y151" s="7">
        <f>IF($C151="","",M151-L151)</f>
      </c>
      <c r="Z151" s="7">
        <f>IF($C151="","",Y151-X151)</f>
      </c>
      <c r="AA151" s="7">
        <f>IF($C151="","",IF(ROUND(X151-Y151,2)&gt;0,"Over-applied",IF(ROUND(X151-Y151,2)=0,"Fully Utilised","Unconsumed")))</f>
      </c>
    </row>
    <row r="152" spans="1:27" x14ac:dyDescent="0.25">
      <c r="A152" s="7">
        <f>IF($C152="","",COUNTIF($C$4:$C152,"&lt;&gt;"))</f>
      </c>
      <c r="B152" s="8"/>
      <c r="C152" s="8"/>
      <c r="D152" s="8"/>
      <c r="E152" s="8"/>
      <c r="F152" s="8"/>
      <c r="G152" s="8"/>
      <c r="H152" s="8"/>
      <c r="I152" s="8"/>
      <c r="J152" s="8"/>
      <c r="K152" s="8"/>
      <c r="L152" s="8"/>
      <c r="M152" s="7">
        <f>IF($C152="","",G152+H152+I152+J152+K152+L152)</f>
      </c>
      <c r="N152" s="8"/>
      <c r="O152" s="8"/>
      <c r="P152" s="8"/>
      <c r="Q152" s="8"/>
      <c r="R152" s="8"/>
      <c r="S152" s="7">
        <f>IF($C152="","",C152&amp;" | BSR "&amp;B152&amp;" | "&amp;TEXT(D152,"dd-mm-yyyy")&amp;" | ₹"&amp;TEXT(M152,"#,##0"))</f>
      </c>
      <c r="T152" s="7">
        <f>IF($C152="","",SUMIFS('Q1 Data'!$K$4:$K$207,'Q1 Data'!$B$4:$B$207,$S152)+SUMIFS('Q1 Data'!$N$4:$N$207,'Q1 Data'!$B$4:$B$207,$S152)+SUMIFS('Q1 Data'!$L$4:$L$207,'Q1 Data'!$B$4:$B$207,$S152))</f>
      </c>
      <c r="U152" s="7">
        <f>IF($C152="","",SUMIFS('Q2 Data'!$K$4:$K$207,'Q2 Data'!$B$4:$B$207,$S152)+SUMIFS('Q2 Data'!$N$4:$N$207,'Q2 Data'!$B$4:$B$207,$S152)+SUMIFS('Q2 Data'!$L$4:$L$207,'Q2 Data'!$B$4:$B$207,$S152))</f>
      </c>
      <c r="V152" s="7">
        <f>IF($C152="","",SUMIFS('Q3 Data'!$K$4:$K$207,'Q3 Data'!$B$4:$B$207,$S152)+SUMIFS('Q3 Data'!$N$4:$N$207,'Q3 Data'!$B$4:$B$207,$S152)+SUMIFS('Q3 Data'!$L$4:$L$207,'Q3 Data'!$B$4:$B$207,$S152))</f>
      </c>
      <c r="W152" s="7">
        <f>IF($C152="","",SUMIFS('Q4 Data'!$K$4:$K$207,'Q4 Data'!$B$4:$B$207,$S152)+SUMIFS('Q4 Data'!$N$4:$N$207,'Q4 Data'!$B$4:$B$207,$S152)+SUMIFS('Q4 Data'!$L$4:$L$207,'Q4 Data'!$B$4:$B$207,$S152))</f>
      </c>
      <c r="X152" s="7">
        <f>IF($C152="","",T152+U152+V152+W152)</f>
      </c>
      <c r="Y152" s="7">
        <f>IF($C152="","",M152-L152)</f>
      </c>
      <c r="Z152" s="7">
        <f>IF($C152="","",Y152-X152)</f>
      </c>
      <c r="AA152" s="7">
        <f>IF($C152="","",IF(ROUND(X152-Y152,2)&gt;0,"Over-applied",IF(ROUND(X152-Y152,2)=0,"Fully Utilised","Unconsumed")))</f>
      </c>
    </row>
    <row r="153" spans="1:27" x14ac:dyDescent="0.25">
      <c r="A153" s="7">
        <f>IF($C153="","",COUNTIF($C$4:$C153,"&lt;&gt;"))</f>
      </c>
      <c r="B153" s="8"/>
      <c r="C153" s="8"/>
      <c r="D153" s="8"/>
      <c r="E153" s="8"/>
      <c r="F153" s="8"/>
      <c r="G153" s="8"/>
      <c r="H153" s="8"/>
      <c r="I153" s="8"/>
      <c r="J153" s="8"/>
      <c r="K153" s="8"/>
      <c r="L153" s="8"/>
      <c r="M153" s="7">
        <f>IF($C153="","",G153+H153+I153+J153+K153+L153)</f>
      </c>
      <c r="N153" s="8"/>
      <c r="O153" s="8"/>
      <c r="P153" s="8"/>
      <c r="Q153" s="8"/>
      <c r="R153" s="8"/>
      <c r="S153" s="7">
        <f>IF($C153="","",C153&amp;" | BSR "&amp;B153&amp;" | "&amp;TEXT(D153,"dd-mm-yyyy")&amp;" | ₹"&amp;TEXT(M153,"#,##0"))</f>
      </c>
      <c r="T153" s="7">
        <f>IF($C153="","",SUMIFS('Q1 Data'!$K$4:$K$207,'Q1 Data'!$B$4:$B$207,$S153)+SUMIFS('Q1 Data'!$N$4:$N$207,'Q1 Data'!$B$4:$B$207,$S153)+SUMIFS('Q1 Data'!$L$4:$L$207,'Q1 Data'!$B$4:$B$207,$S153))</f>
      </c>
      <c r="U153" s="7">
        <f>IF($C153="","",SUMIFS('Q2 Data'!$K$4:$K$207,'Q2 Data'!$B$4:$B$207,$S153)+SUMIFS('Q2 Data'!$N$4:$N$207,'Q2 Data'!$B$4:$B$207,$S153)+SUMIFS('Q2 Data'!$L$4:$L$207,'Q2 Data'!$B$4:$B$207,$S153))</f>
      </c>
      <c r="V153" s="7">
        <f>IF($C153="","",SUMIFS('Q3 Data'!$K$4:$K$207,'Q3 Data'!$B$4:$B$207,$S153)+SUMIFS('Q3 Data'!$N$4:$N$207,'Q3 Data'!$B$4:$B$207,$S153)+SUMIFS('Q3 Data'!$L$4:$L$207,'Q3 Data'!$B$4:$B$207,$S153))</f>
      </c>
      <c r="W153" s="7">
        <f>IF($C153="","",SUMIFS('Q4 Data'!$K$4:$K$207,'Q4 Data'!$B$4:$B$207,$S153)+SUMIFS('Q4 Data'!$N$4:$N$207,'Q4 Data'!$B$4:$B$207,$S153)+SUMIFS('Q4 Data'!$L$4:$L$207,'Q4 Data'!$B$4:$B$207,$S153))</f>
      </c>
      <c r="X153" s="7">
        <f>IF($C153="","",T153+U153+V153+W153)</f>
      </c>
      <c r="Y153" s="7">
        <f>IF($C153="","",M153-L153)</f>
      </c>
      <c r="Z153" s="7">
        <f>IF($C153="","",Y153-X153)</f>
      </c>
      <c r="AA153" s="7">
        <f>IF($C153="","",IF(ROUND(X153-Y153,2)&gt;0,"Over-applied",IF(ROUND(X153-Y153,2)=0,"Fully Utilised","Unconsumed")))</f>
      </c>
    </row>
    <row r="154" spans="1:27" x14ac:dyDescent="0.25">
      <c r="A154" s="7">
        <f>IF($C154="","",COUNTIF($C$4:$C154,"&lt;&gt;"))</f>
      </c>
      <c r="B154" s="8"/>
      <c r="C154" s="8"/>
      <c r="D154" s="8"/>
      <c r="E154" s="8"/>
      <c r="F154" s="8"/>
      <c r="G154" s="8"/>
      <c r="H154" s="8"/>
      <c r="I154" s="8"/>
      <c r="J154" s="8"/>
      <c r="K154" s="8"/>
      <c r="L154" s="8"/>
      <c r="M154" s="7">
        <f>IF($C154="","",G154+H154+I154+J154+K154+L154)</f>
      </c>
      <c r="N154" s="8"/>
      <c r="O154" s="8"/>
      <c r="P154" s="8"/>
      <c r="Q154" s="8"/>
      <c r="R154" s="8"/>
      <c r="S154" s="7">
        <f>IF($C154="","",C154&amp;" | BSR "&amp;B154&amp;" | "&amp;TEXT(D154,"dd-mm-yyyy")&amp;" | ₹"&amp;TEXT(M154,"#,##0"))</f>
      </c>
      <c r="T154" s="7">
        <f>IF($C154="","",SUMIFS('Q1 Data'!$K$4:$K$207,'Q1 Data'!$B$4:$B$207,$S154)+SUMIFS('Q1 Data'!$N$4:$N$207,'Q1 Data'!$B$4:$B$207,$S154)+SUMIFS('Q1 Data'!$L$4:$L$207,'Q1 Data'!$B$4:$B$207,$S154))</f>
      </c>
      <c r="U154" s="7">
        <f>IF($C154="","",SUMIFS('Q2 Data'!$K$4:$K$207,'Q2 Data'!$B$4:$B$207,$S154)+SUMIFS('Q2 Data'!$N$4:$N$207,'Q2 Data'!$B$4:$B$207,$S154)+SUMIFS('Q2 Data'!$L$4:$L$207,'Q2 Data'!$B$4:$B$207,$S154))</f>
      </c>
      <c r="V154" s="7">
        <f>IF($C154="","",SUMIFS('Q3 Data'!$K$4:$K$207,'Q3 Data'!$B$4:$B$207,$S154)+SUMIFS('Q3 Data'!$N$4:$N$207,'Q3 Data'!$B$4:$B$207,$S154)+SUMIFS('Q3 Data'!$L$4:$L$207,'Q3 Data'!$B$4:$B$207,$S154))</f>
      </c>
      <c r="W154" s="7">
        <f>IF($C154="","",SUMIFS('Q4 Data'!$K$4:$K$207,'Q4 Data'!$B$4:$B$207,$S154)+SUMIFS('Q4 Data'!$N$4:$N$207,'Q4 Data'!$B$4:$B$207,$S154)+SUMIFS('Q4 Data'!$L$4:$L$207,'Q4 Data'!$B$4:$B$207,$S154))</f>
      </c>
      <c r="X154" s="7">
        <f>IF($C154="","",T154+U154+V154+W154)</f>
      </c>
      <c r="Y154" s="7">
        <f>IF($C154="","",M154-L154)</f>
      </c>
      <c r="Z154" s="7">
        <f>IF($C154="","",Y154-X154)</f>
      </c>
      <c r="AA154" s="7">
        <f>IF($C154="","",IF(ROUND(X154-Y154,2)&gt;0,"Over-applied",IF(ROUND(X154-Y154,2)=0,"Fully Utilised","Unconsumed")))</f>
      </c>
    </row>
    <row r="155" spans="1:27" x14ac:dyDescent="0.25">
      <c r="A155" s="7">
        <f>IF($C155="","",COUNTIF($C$4:$C155,"&lt;&gt;"))</f>
      </c>
      <c r="B155" s="8"/>
      <c r="C155" s="8"/>
      <c r="D155" s="8"/>
      <c r="E155" s="8"/>
      <c r="F155" s="8"/>
      <c r="G155" s="8"/>
      <c r="H155" s="8"/>
      <c r="I155" s="8"/>
      <c r="J155" s="8"/>
      <c r="K155" s="8"/>
      <c r="L155" s="8"/>
      <c r="M155" s="7">
        <f>IF($C155="","",G155+H155+I155+J155+K155+L155)</f>
      </c>
      <c r="N155" s="8"/>
      <c r="O155" s="8"/>
      <c r="P155" s="8"/>
      <c r="Q155" s="8"/>
      <c r="R155" s="8"/>
      <c r="S155" s="7">
        <f>IF($C155="","",C155&amp;" | BSR "&amp;B155&amp;" | "&amp;TEXT(D155,"dd-mm-yyyy")&amp;" | ₹"&amp;TEXT(M155,"#,##0"))</f>
      </c>
      <c r="T155" s="7">
        <f>IF($C155="","",SUMIFS('Q1 Data'!$K$4:$K$207,'Q1 Data'!$B$4:$B$207,$S155)+SUMIFS('Q1 Data'!$N$4:$N$207,'Q1 Data'!$B$4:$B$207,$S155)+SUMIFS('Q1 Data'!$L$4:$L$207,'Q1 Data'!$B$4:$B$207,$S155))</f>
      </c>
      <c r="U155" s="7">
        <f>IF($C155="","",SUMIFS('Q2 Data'!$K$4:$K$207,'Q2 Data'!$B$4:$B$207,$S155)+SUMIFS('Q2 Data'!$N$4:$N$207,'Q2 Data'!$B$4:$B$207,$S155)+SUMIFS('Q2 Data'!$L$4:$L$207,'Q2 Data'!$B$4:$B$207,$S155))</f>
      </c>
      <c r="V155" s="7">
        <f>IF($C155="","",SUMIFS('Q3 Data'!$K$4:$K$207,'Q3 Data'!$B$4:$B$207,$S155)+SUMIFS('Q3 Data'!$N$4:$N$207,'Q3 Data'!$B$4:$B$207,$S155)+SUMIFS('Q3 Data'!$L$4:$L$207,'Q3 Data'!$B$4:$B$207,$S155))</f>
      </c>
      <c r="W155" s="7">
        <f>IF($C155="","",SUMIFS('Q4 Data'!$K$4:$K$207,'Q4 Data'!$B$4:$B$207,$S155)+SUMIFS('Q4 Data'!$N$4:$N$207,'Q4 Data'!$B$4:$B$207,$S155)+SUMIFS('Q4 Data'!$L$4:$L$207,'Q4 Data'!$B$4:$B$207,$S155))</f>
      </c>
      <c r="X155" s="7">
        <f>IF($C155="","",T155+U155+V155+W155)</f>
      </c>
      <c r="Y155" s="7">
        <f>IF($C155="","",M155-L155)</f>
      </c>
      <c r="Z155" s="7">
        <f>IF($C155="","",Y155-X155)</f>
      </c>
      <c r="AA155" s="7">
        <f>IF($C155="","",IF(ROUND(X155-Y155,2)&gt;0,"Over-applied",IF(ROUND(X155-Y155,2)=0,"Fully Utilised","Unconsumed")))</f>
      </c>
    </row>
    <row r="156" spans="1:27" x14ac:dyDescent="0.25">
      <c r="A156" s="7">
        <f>IF($C156="","",COUNTIF($C$4:$C156,"&lt;&gt;"))</f>
      </c>
      <c r="B156" s="8"/>
      <c r="C156" s="8"/>
      <c r="D156" s="8"/>
      <c r="E156" s="8"/>
      <c r="F156" s="8"/>
      <c r="G156" s="8"/>
      <c r="H156" s="8"/>
      <c r="I156" s="8"/>
      <c r="J156" s="8"/>
      <c r="K156" s="8"/>
      <c r="L156" s="8"/>
      <c r="M156" s="7">
        <f>IF($C156="","",G156+H156+I156+J156+K156+L156)</f>
      </c>
      <c r="N156" s="8"/>
      <c r="O156" s="8"/>
      <c r="P156" s="8"/>
      <c r="Q156" s="8"/>
      <c r="R156" s="8"/>
      <c r="S156" s="7">
        <f>IF($C156="","",C156&amp;" | BSR "&amp;B156&amp;" | "&amp;TEXT(D156,"dd-mm-yyyy")&amp;" | ₹"&amp;TEXT(M156,"#,##0"))</f>
      </c>
      <c r="T156" s="7">
        <f>IF($C156="","",SUMIFS('Q1 Data'!$K$4:$K$207,'Q1 Data'!$B$4:$B$207,$S156)+SUMIFS('Q1 Data'!$N$4:$N$207,'Q1 Data'!$B$4:$B$207,$S156)+SUMIFS('Q1 Data'!$L$4:$L$207,'Q1 Data'!$B$4:$B$207,$S156))</f>
      </c>
      <c r="U156" s="7">
        <f>IF($C156="","",SUMIFS('Q2 Data'!$K$4:$K$207,'Q2 Data'!$B$4:$B$207,$S156)+SUMIFS('Q2 Data'!$N$4:$N$207,'Q2 Data'!$B$4:$B$207,$S156)+SUMIFS('Q2 Data'!$L$4:$L$207,'Q2 Data'!$B$4:$B$207,$S156))</f>
      </c>
      <c r="V156" s="7">
        <f>IF($C156="","",SUMIFS('Q3 Data'!$K$4:$K$207,'Q3 Data'!$B$4:$B$207,$S156)+SUMIFS('Q3 Data'!$N$4:$N$207,'Q3 Data'!$B$4:$B$207,$S156)+SUMIFS('Q3 Data'!$L$4:$L$207,'Q3 Data'!$B$4:$B$207,$S156))</f>
      </c>
      <c r="W156" s="7">
        <f>IF($C156="","",SUMIFS('Q4 Data'!$K$4:$K$207,'Q4 Data'!$B$4:$B$207,$S156)+SUMIFS('Q4 Data'!$N$4:$N$207,'Q4 Data'!$B$4:$B$207,$S156)+SUMIFS('Q4 Data'!$L$4:$L$207,'Q4 Data'!$B$4:$B$207,$S156))</f>
      </c>
      <c r="X156" s="7">
        <f>IF($C156="","",T156+U156+V156+W156)</f>
      </c>
      <c r="Y156" s="7">
        <f>IF($C156="","",M156-L156)</f>
      </c>
      <c r="Z156" s="7">
        <f>IF($C156="","",Y156-X156)</f>
      </c>
      <c r="AA156" s="7">
        <f>IF($C156="","",IF(ROUND(X156-Y156,2)&gt;0,"Over-applied",IF(ROUND(X156-Y156,2)=0,"Fully Utilised","Unconsumed")))</f>
      </c>
    </row>
    <row r="157" spans="1:27" x14ac:dyDescent="0.25">
      <c r="A157" s="7">
        <f>IF($C157="","",COUNTIF($C$4:$C157,"&lt;&gt;"))</f>
      </c>
      <c r="B157" s="8"/>
      <c r="C157" s="8"/>
      <c r="D157" s="8"/>
      <c r="E157" s="8"/>
      <c r="F157" s="8"/>
      <c r="G157" s="8"/>
      <c r="H157" s="8"/>
      <c r="I157" s="8"/>
      <c r="J157" s="8"/>
      <c r="K157" s="8"/>
      <c r="L157" s="8"/>
      <c r="M157" s="7">
        <f>IF($C157="","",G157+H157+I157+J157+K157+L157)</f>
      </c>
      <c r="N157" s="8"/>
      <c r="O157" s="8"/>
      <c r="P157" s="8"/>
      <c r="Q157" s="8"/>
      <c r="R157" s="8"/>
      <c r="S157" s="7">
        <f>IF($C157="","",C157&amp;" | BSR "&amp;B157&amp;" | "&amp;TEXT(D157,"dd-mm-yyyy")&amp;" | ₹"&amp;TEXT(M157,"#,##0"))</f>
      </c>
      <c r="T157" s="7">
        <f>IF($C157="","",SUMIFS('Q1 Data'!$K$4:$K$207,'Q1 Data'!$B$4:$B$207,$S157)+SUMIFS('Q1 Data'!$N$4:$N$207,'Q1 Data'!$B$4:$B$207,$S157)+SUMIFS('Q1 Data'!$L$4:$L$207,'Q1 Data'!$B$4:$B$207,$S157))</f>
      </c>
      <c r="U157" s="7">
        <f>IF($C157="","",SUMIFS('Q2 Data'!$K$4:$K$207,'Q2 Data'!$B$4:$B$207,$S157)+SUMIFS('Q2 Data'!$N$4:$N$207,'Q2 Data'!$B$4:$B$207,$S157)+SUMIFS('Q2 Data'!$L$4:$L$207,'Q2 Data'!$B$4:$B$207,$S157))</f>
      </c>
      <c r="V157" s="7">
        <f>IF($C157="","",SUMIFS('Q3 Data'!$K$4:$K$207,'Q3 Data'!$B$4:$B$207,$S157)+SUMIFS('Q3 Data'!$N$4:$N$207,'Q3 Data'!$B$4:$B$207,$S157)+SUMIFS('Q3 Data'!$L$4:$L$207,'Q3 Data'!$B$4:$B$207,$S157))</f>
      </c>
      <c r="W157" s="7">
        <f>IF($C157="","",SUMIFS('Q4 Data'!$K$4:$K$207,'Q4 Data'!$B$4:$B$207,$S157)+SUMIFS('Q4 Data'!$N$4:$N$207,'Q4 Data'!$B$4:$B$207,$S157)+SUMIFS('Q4 Data'!$L$4:$L$207,'Q4 Data'!$B$4:$B$207,$S157))</f>
      </c>
      <c r="X157" s="7">
        <f>IF($C157="","",T157+U157+V157+W157)</f>
      </c>
      <c r="Y157" s="7">
        <f>IF($C157="","",M157-L157)</f>
      </c>
      <c r="Z157" s="7">
        <f>IF($C157="","",Y157-X157)</f>
      </c>
      <c r="AA157" s="7">
        <f>IF($C157="","",IF(ROUND(X157-Y157,2)&gt;0,"Over-applied",IF(ROUND(X157-Y157,2)=0,"Fully Utilised","Unconsumed")))</f>
      </c>
    </row>
    <row r="158" spans="1:27" x14ac:dyDescent="0.25">
      <c r="A158" s="7">
        <f>IF($C158="","",COUNTIF($C$4:$C158,"&lt;&gt;"))</f>
      </c>
      <c r="B158" s="8"/>
      <c r="C158" s="8"/>
      <c r="D158" s="8"/>
      <c r="E158" s="8"/>
      <c r="F158" s="8"/>
      <c r="G158" s="8"/>
      <c r="H158" s="8"/>
      <c r="I158" s="8"/>
      <c r="J158" s="8"/>
      <c r="K158" s="8"/>
      <c r="L158" s="8"/>
      <c r="M158" s="7">
        <f>IF($C158="","",G158+H158+I158+J158+K158+L158)</f>
      </c>
      <c r="N158" s="8"/>
      <c r="O158" s="8"/>
      <c r="P158" s="8"/>
      <c r="Q158" s="8"/>
      <c r="R158" s="8"/>
      <c r="S158" s="7">
        <f>IF($C158="","",C158&amp;" | BSR "&amp;B158&amp;" | "&amp;TEXT(D158,"dd-mm-yyyy")&amp;" | ₹"&amp;TEXT(M158,"#,##0"))</f>
      </c>
      <c r="T158" s="7">
        <f>IF($C158="","",SUMIFS('Q1 Data'!$K$4:$K$207,'Q1 Data'!$B$4:$B$207,$S158)+SUMIFS('Q1 Data'!$N$4:$N$207,'Q1 Data'!$B$4:$B$207,$S158)+SUMIFS('Q1 Data'!$L$4:$L$207,'Q1 Data'!$B$4:$B$207,$S158))</f>
      </c>
      <c r="U158" s="7">
        <f>IF($C158="","",SUMIFS('Q2 Data'!$K$4:$K$207,'Q2 Data'!$B$4:$B$207,$S158)+SUMIFS('Q2 Data'!$N$4:$N$207,'Q2 Data'!$B$4:$B$207,$S158)+SUMIFS('Q2 Data'!$L$4:$L$207,'Q2 Data'!$B$4:$B$207,$S158))</f>
      </c>
      <c r="V158" s="7">
        <f>IF($C158="","",SUMIFS('Q3 Data'!$K$4:$K$207,'Q3 Data'!$B$4:$B$207,$S158)+SUMIFS('Q3 Data'!$N$4:$N$207,'Q3 Data'!$B$4:$B$207,$S158)+SUMIFS('Q3 Data'!$L$4:$L$207,'Q3 Data'!$B$4:$B$207,$S158))</f>
      </c>
      <c r="W158" s="7">
        <f>IF($C158="","",SUMIFS('Q4 Data'!$K$4:$K$207,'Q4 Data'!$B$4:$B$207,$S158)+SUMIFS('Q4 Data'!$N$4:$N$207,'Q4 Data'!$B$4:$B$207,$S158)+SUMIFS('Q4 Data'!$L$4:$L$207,'Q4 Data'!$B$4:$B$207,$S158))</f>
      </c>
      <c r="X158" s="7">
        <f>IF($C158="","",T158+U158+V158+W158)</f>
      </c>
      <c r="Y158" s="7">
        <f>IF($C158="","",M158-L158)</f>
      </c>
      <c r="Z158" s="7">
        <f>IF($C158="","",Y158-X158)</f>
      </c>
      <c r="AA158" s="7">
        <f>IF($C158="","",IF(ROUND(X158-Y158,2)&gt;0,"Over-applied",IF(ROUND(X158-Y158,2)=0,"Fully Utilised","Unconsumed")))</f>
      </c>
    </row>
    <row r="159" spans="1:27" x14ac:dyDescent="0.25">
      <c r="A159" s="7">
        <f>IF($C159="","",COUNTIF($C$4:$C159,"&lt;&gt;"))</f>
      </c>
      <c r="B159" s="8"/>
      <c r="C159" s="8"/>
      <c r="D159" s="8"/>
      <c r="E159" s="8"/>
      <c r="F159" s="8"/>
      <c r="G159" s="8"/>
      <c r="H159" s="8"/>
      <c r="I159" s="8"/>
      <c r="J159" s="8"/>
      <c r="K159" s="8"/>
      <c r="L159" s="8"/>
      <c r="M159" s="7">
        <f>IF($C159="","",G159+H159+I159+J159+K159+L159)</f>
      </c>
      <c r="N159" s="8"/>
      <c r="O159" s="8"/>
      <c r="P159" s="8"/>
      <c r="Q159" s="8"/>
      <c r="R159" s="8"/>
      <c r="S159" s="7">
        <f>IF($C159="","",C159&amp;" | BSR "&amp;B159&amp;" | "&amp;TEXT(D159,"dd-mm-yyyy")&amp;" | ₹"&amp;TEXT(M159,"#,##0"))</f>
      </c>
      <c r="T159" s="7">
        <f>IF($C159="","",SUMIFS('Q1 Data'!$K$4:$K$207,'Q1 Data'!$B$4:$B$207,$S159)+SUMIFS('Q1 Data'!$N$4:$N$207,'Q1 Data'!$B$4:$B$207,$S159)+SUMIFS('Q1 Data'!$L$4:$L$207,'Q1 Data'!$B$4:$B$207,$S159))</f>
      </c>
      <c r="U159" s="7">
        <f>IF($C159="","",SUMIFS('Q2 Data'!$K$4:$K$207,'Q2 Data'!$B$4:$B$207,$S159)+SUMIFS('Q2 Data'!$N$4:$N$207,'Q2 Data'!$B$4:$B$207,$S159)+SUMIFS('Q2 Data'!$L$4:$L$207,'Q2 Data'!$B$4:$B$207,$S159))</f>
      </c>
      <c r="V159" s="7">
        <f>IF($C159="","",SUMIFS('Q3 Data'!$K$4:$K$207,'Q3 Data'!$B$4:$B$207,$S159)+SUMIFS('Q3 Data'!$N$4:$N$207,'Q3 Data'!$B$4:$B$207,$S159)+SUMIFS('Q3 Data'!$L$4:$L$207,'Q3 Data'!$B$4:$B$207,$S159))</f>
      </c>
      <c r="W159" s="7">
        <f>IF($C159="","",SUMIFS('Q4 Data'!$K$4:$K$207,'Q4 Data'!$B$4:$B$207,$S159)+SUMIFS('Q4 Data'!$N$4:$N$207,'Q4 Data'!$B$4:$B$207,$S159)+SUMIFS('Q4 Data'!$L$4:$L$207,'Q4 Data'!$B$4:$B$207,$S159))</f>
      </c>
      <c r="X159" s="7">
        <f>IF($C159="","",T159+U159+V159+W159)</f>
      </c>
      <c r="Y159" s="7">
        <f>IF($C159="","",M159-L159)</f>
      </c>
      <c r="Z159" s="7">
        <f>IF($C159="","",Y159-X159)</f>
      </c>
      <c r="AA159" s="7">
        <f>IF($C159="","",IF(ROUND(X159-Y159,2)&gt;0,"Over-applied",IF(ROUND(X159-Y159,2)=0,"Fully Utilised","Unconsumed")))</f>
      </c>
    </row>
    <row r="160" spans="1:27" x14ac:dyDescent="0.25">
      <c r="A160" s="7">
        <f>IF($C160="","",COUNTIF($C$4:$C160,"&lt;&gt;"))</f>
      </c>
      <c r="B160" s="8"/>
      <c r="C160" s="8"/>
      <c r="D160" s="8"/>
      <c r="E160" s="8"/>
      <c r="F160" s="8"/>
      <c r="G160" s="8"/>
      <c r="H160" s="8"/>
      <c r="I160" s="8"/>
      <c r="J160" s="8"/>
      <c r="K160" s="8"/>
      <c r="L160" s="8"/>
      <c r="M160" s="7">
        <f>IF($C160="","",G160+H160+I160+J160+K160+L160)</f>
      </c>
      <c r="N160" s="8"/>
      <c r="O160" s="8"/>
      <c r="P160" s="8"/>
      <c r="Q160" s="8"/>
      <c r="R160" s="8"/>
      <c r="S160" s="7">
        <f>IF($C160="","",C160&amp;" | BSR "&amp;B160&amp;" | "&amp;TEXT(D160,"dd-mm-yyyy")&amp;" | ₹"&amp;TEXT(M160,"#,##0"))</f>
      </c>
      <c r="T160" s="7">
        <f>IF($C160="","",SUMIFS('Q1 Data'!$K$4:$K$207,'Q1 Data'!$B$4:$B$207,$S160)+SUMIFS('Q1 Data'!$N$4:$N$207,'Q1 Data'!$B$4:$B$207,$S160)+SUMIFS('Q1 Data'!$L$4:$L$207,'Q1 Data'!$B$4:$B$207,$S160))</f>
      </c>
      <c r="U160" s="7">
        <f>IF($C160="","",SUMIFS('Q2 Data'!$K$4:$K$207,'Q2 Data'!$B$4:$B$207,$S160)+SUMIFS('Q2 Data'!$N$4:$N$207,'Q2 Data'!$B$4:$B$207,$S160)+SUMIFS('Q2 Data'!$L$4:$L$207,'Q2 Data'!$B$4:$B$207,$S160))</f>
      </c>
      <c r="V160" s="7">
        <f>IF($C160="","",SUMIFS('Q3 Data'!$K$4:$K$207,'Q3 Data'!$B$4:$B$207,$S160)+SUMIFS('Q3 Data'!$N$4:$N$207,'Q3 Data'!$B$4:$B$207,$S160)+SUMIFS('Q3 Data'!$L$4:$L$207,'Q3 Data'!$B$4:$B$207,$S160))</f>
      </c>
      <c r="W160" s="7">
        <f>IF($C160="","",SUMIFS('Q4 Data'!$K$4:$K$207,'Q4 Data'!$B$4:$B$207,$S160)+SUMIFS('Q4 Data'!$N$4:$N$207,'Q4 Data'!$B$4:$B$207,$S160)+SUMIFS('Q4 Data'!$L$4:$L$207,'Q4 Data'!$B$4:$B$207,$S160))</f>
      </c>
      <c r="X160" s="7">
        <f>IF($C160="","",T160+U160+V160+W160)</f>
      </c>
      <c r="Y160" s="7">
        <f>IF($C160="","",M160-L160)</f>
      </c>
      <c r="Z160" s="7">
        <f>IF($C160="","",Y160-X160)</f>
      </c>
      <c r="AA160" s="7">
        <f>IF($C160="","",IF(ROUND(X160-Y160,2)&gt;0,"Over-applied",IF(ROUND(X160-Y160,2)=0,"Fully Utilised","Unconsumed")))</f>
      </c>
    </row>
    <row r="161" spans="1:27" x14ac:dyDescent="0.25">
      <c r="A161" s="7">
        <f>IF($C161="","",COUNTIF($C$4:$C161,"&lt;&gt;"))</f>
      </c>
      <c r="B161" s="8"/>
      <c r="C161" s="8"/>
      <c r="D161" s="8"/>
      <c r="E161" s="8"/>
      <c r="F161" s="8"/>
      <c r="G161" s="8"/>
      <c r="H161" s="8"/>
      <c r="I161" s="8"/>
      <c r="J161" s="8"/>
      <c r="K161" s="8"/>
      <c r="L161" s="8"/>
      <c r="M161" s="7">
        <f>IF($C161="","",G161+H161+I161+J161+K161+L161)</f>
      </c>
      <c r="N161" s="8"/>
      <c r="O161" s="8"/>
      <c r="P161" s="8"/>
      <c r="Q161" s="8"/>
      <c r="R161" s="8"/>
      <c r="S161" s="7">
        <f>IF($C161="","",C161&amp;" | BSR "&amp;B161&amp;" | "&amp;TEXT(D161,"dd-mm-yyyy")&amp;" | ₹"&amp;TEXT(M161,"#,##0"))</f>
      </c>
      <c r="T161" s="7">
        <f>IF($C161="","",SUMIFS('Q1 Data'!$K$4:$K$207,'Q1 Data'!$B$4:$B$207,$S161)+SUMIFS('Q1 Data'!$N$4:$N$207,'Q1 Data'!$B$4:$B$207,$S161)+SUMIFS('Q1 Data'!$L$4:$L$207,'Q1 Data'!$B$4:$B$207,$S161))</f>
      </c>
      <c r="U161" s="7">
        <f>IF($C161="","",SUMIFS('Q2 Data'!$K$4:$K$207,'Q2 Data'!$B$4:$B$207,$S161)+SUMIFS('Q2 Data'!$N$4:$N$207,'Q2 Data'!$B$4:$B$207,$S161)+SUMIFS('Q2 Data'!$L$4:$L$207,'Q2 Data'!$B$4:$B$207,$S161))</f>
      </c>
      <c r="V161" s="7">
        <f>IF($C161="","",SUMIFS('Q3 Data'!$K$4:$K$207,'Q3 Data'!$B$4:$B$207,$S161)+SUMIFS('Q3 Data'!$N$4:$N$207,'Q3 Data'!$B$4:$B$207,$S161)+SUMIFS('Q3 Data'!$L$4:$L$207,'Q3 Data'!$B$4:$B$207,$S161))</f>
      </c>
      <c r="W161" s="7">
        <f>IF($C161="","",SUMIFS('Q4 Data'!$K$4:$K$207,'Q4 Data'!$B$4:$B$207,$S161)+SUMIFS('Q4 Data'!$N$4:$N$207,'Q4 Data'!$B$4:$B$207,$S161)+SUMIFS('Q4 Data'!$L$4:$L$207,'Q4 Data'!$B$4:$B$207,$S161))</f>
      </c>
      <c r="X161" s="7">
        <f>IF($C161="","",T161+U161+V161+W161)</f>
      </c>
      <c r="Y161" s="7">
        <f>IF($C161="","",M161-L161)</f>
      </c>
      <c r="Z161" s="7">
        <f>IF($C161="","",Y161-X161)</f>
      </c>
      <c r="AA161" s="7">
        <f>IF($C161="","",IF(ROUND(X161-Y161,2)&gt;0,"Over-applied",IF(ROUND(X161-Y161,2)=0,"Fully Utilised","Unconsumed")))</f>
      </c>
    </row>
    <row r="162" spans="1:27" x14ac:dyDescent="0.25">
      <c r="A162" s="7">
        <f>IF($C162="","",COUNTIF($C$4:$C162,"&lt;&gt;"))</f>
      </c>
      <c r="B162" s="8"/>
      <c r="C162" s="8"/>
      <c r="D162" s="8"/>
      <c r="E162" s="8"/>
      <c r="F162" s="8"/>
      <c r="G162" s="8"/>
      <c r="H162" s="8"/>
      <c r="I162" s="8"/>
      <c r="J162" s="8"/>
      <c r="K162" s="8"/>
      <c r="L162" s="8"/>
      <c r="M162" s="7">
        <f>IF($C162="","",G162+H162+I162+J162+K162+L162)</f>
      </c>
      <c r="N162" s="8"/>
      <c r="O162" s="8"/>
      <c r="P162" s="8"/>
      <c r="Q162" s="8"/>
      <c r="R162" s="8"/>
      <c r="S162" s="7">
        <f>IF($C162="","",C162&amp;" | BSR "&amp;B162&amp;" | "&amp;TEXT(D162,"dd-mm-yyyy")&amp;" | ₹"&amp;TEXT(M162,"#,##0"))</f>
      </c>
      <c r="T162" s="7">
        <f>IF($C162="","",SUMIFS('Q1 Data'!$K$4:$K$207,'Q1 Data'!$B$4:$B$207,$S162)+SUMIFS('Q1 Data'!$N$4:$N$207,'Q1 Data'!$B$4:$B$207,$S162)+SUMIFS('Q1 Data'!$L$4:$L$207,'Q1 Data'!$B$4:$B$207,$S162))</f>
      </c>
      <c r="U162" s="7">
        <f>IF($C162="","",SUMIFS('Q2 Data'!$K$4:$K$207,'Q2 Data'!$B$4:$B$207,$S162)+SUMIFS('Q2 Data'!$N$4:$N$207,'Q2 Data'!$B$4:$B$207,$S162)+SUMIFS('Q2 Data'!$L$4:$L$207,'Q2 Data'!$B$4:$B$207,$S162))</f>
      </c>
      <c r="V162" s="7">
        <f>IF($C162="","",SUMIFS('Q3 Data'!$K$4:$K$207,'Q3 Data'!$B$4:$B$207,$S162)+SUMIFS('Q3 Data'!$N$4:$N$207,'Q3 Data'!$B$4:$B$207,$S162)+SUMIFS('Q3 Data'!$L$4:$L$207,'Q3 Data'!$B$4:$B$207,$S162))</f>
      </c>
      <c r="W162" s="7">
        <f>IF($C162="","",SUMIFS('Q4 Data'!$K$4:$K$207,'Q4 Data'!$B$4:$B$207,$S162)+SUMIFS('Q4 Data'!$N$4:$N$207,'Q4 Data'!$B$4:$B$207,$S162)+SUMIFS('Q4 Data'!$L$4:$L$207,'Q4 Data'!$B$4:$B$207,$S162))</f>
      </c>
      <c r="X162" s="7">
        <f>IF($C162="","",T162+U162+V162+W162)</f>
      </c>
      <c r="Y162" s="7">
        <f>IF($C162="","",M162-L162)</f>
      </c>
      <c r="Z162" s="7">
        <f>IF($C162="","",Y162-X162)</f>
      </c>
      <c r="AA162" s="7">
        <f>IF($C162="","",IF(ROUND(X162-Y162,2)&gt;0,"Over-applied",IF(ROUND(X162-Y162,2)=0,"Fully Utilised","Unconsumed")))</f>
      </c>
    </row>
    <row r="163" spans="1:27" x14ac:dyDescent="0.25">
      <c r="A163" s="7">
        <f>IF($C163="","",COUNTIF($C$4:$C163,"&lt;&gt;"))</f>
      </c>
      <c r="B163" s="8"/>
      <c r="C163" s="8"/>
      <c r="D163" s="8"/>
      <c r="E163" s="8"/>
      <c r="F163" s="8"/>
      <c r="G163" s="8"/>
      <c r="H163" s="8"/>
      <c r="I163" s="8"/>
      <c r="J163" s="8"/>
      <c r="K163" s="8"/>
      <c r="L163" s="8"/>
      <c r="M163" s="7">
        <f>IF($C163="","",G163+H163+I163+J163+K163+L163)</f>
      </c>
      <c r="N163" s="8"/>
      <c r="O163" s="8"/>
      <c r="P163" s="8"/>
      <c r="Q163" s="8"/>
      <c r="R163" s="8"/>
      <c r="S163" s="7">
        <f>IF($C163="","",C163&amp;" | BSR "&amp;B163&amp;" | "&amp;TEXT(D163,"dd-mm-yyyy")&amp;" | ₹"&amp;TEXT(M163,"#,##0"))</f>
      </c>
      <c r="T163" s="7">
        <f>IF($C163="","",SUMIFS('Q1 Data'!$K$4:$K$207,'Q1 Data'!$B$4:$B$207,$S163)+SUMIFS('Q1 Data'!$N$4:$N$207,'Q1 Data'!$B$4:$B$207,$S163)+SUMIFS('Q1 Data'!$L$4:$L$207,'Q1 Data'!$B$4:$B$207,$S163))</f>
      </c>
      <c r="U163" s="7">
        <f>IF($C163="","",SUMIFS('Q2 Data'!$K$4:$K$207,'Q2 Data'!$B$4:$B$207,$S163)+SUMIFS('Q2 Data'!$N$4:$N$207,'Q2 Data'!$B$4:$B$207,$S163)+SUMIFS('Q2 Data'!$L$4:$L$207,'Q2 Data'!$B$4:$B$207,$S163))</f>
      </c>
      <c r="V163" s="7">
        <f>IF($C163="","",SUMIFS('Q3 Data'!$K$4:$K$207,'Q3 Data'!$B$4:$B$207,$S163)+SUMIFS('Q3 Data'!$N$4:$N$207,'Q3 Data'!$B$4:$B$207,$S163)+SUMIFS('Q3 Data'!$L$4:$L$207,'Q3 Data'!$B$4:$B$207,$S163))</f>
      </c>
      <c r="W163" s="7">
        <f>IF($C163="","",SUMIFS('Q4 Data'!$K$4:$K$207,'Q4 Data'!$B$4:$B$207,$S163)+SUMIFS('Q4 Data'!$N$4:$N$207,'Q4 Data'!$B$4:$B$207,$S163)+SUMIFS('Q4 Data'!$L$4:$L$207,'Q4 Data'!$B$4:$B$207,$S163))</f>
      </c>
      <c r="X163" s="7">
        <f>IF($C163="","",T163+U163+V163+W163)</f>
      </c>
      <c r="Y163" s="7">
        <f>IF($C163="","",M163-L163)</f>
      </c>
      <c r="Z163" s="7">
        <f>IF($C163="","",Y163-X163)</f>
      </c>
      <c r="AA163" s="7">
        <f>IF($C163="","",IF(ROUND(X163-Y163,2)&gt;0,"Over-applied",IF(ROUND(X163-Y163,2)=0,"Fully Utilised","Unconsumed")))</f>
      </c>
    </row>
    <row r="164" spans="1:27" x14ac:dyDescent="0.25">
      <c r="A164" s="7">
        <f>IF($C164="","",COUNTIF($C$4:$C164,"&lt;&gt;"))</f>
      </c>
      <c r="B164" s="8"/>
      <c r="C164" s="8"/>
      <c r="D164" s="8"/>
      <c r="E164" s="8"/>
      <c r="F164" s="8"/>
      <c r="G164" s="8"/>
      <c r="H164" s="8"/>
      <c r="I164" s="8"/>
      <c r="J164" s="8"/>
      <c r="K164" s="8"/>
      <c r="L164" s="8"/>
      <c r="M164" s="7">
        <f>IF($C164="","",G164+H164+I164+J164+K164+L164)</f>
      </c>
      <c r="N164" s="8"/>
      <c r="O164" s="8"/>
      <c r="P164" s="8"/>
      <c r="Q164" s="8"/>
      <c r="R164" s="8"/>
      <c r="S164" s="7">
        <f>IF($C164="","",C164&amp;" | BSR "&amp;B164&amp;" | "&amp;TEXT(D164,"dd-mm-yyyy")&amp;" | ₹"&amp;TEXT(M164,"#,##0"))</f>
      </c>
      <c r="T164" s="7">
        <f>IF($C164="","",SUMIFS('Q1 Data'!$K$4:$K$207,'Q1 Data'!$B$4:$B$207,$S164)+SUMIFS('Q1 Data'!$N$4:$N$207,'Q1 Data'!$B$4:$B$207,$S164)+SUMIFS('Q1 Data'!$L$4:$L$207,'Q1 Data'!$B$4:$B$207,$S164))</f>
      </c>
      <c r="U164" s="7">
        <f>IF($C164="","",SUMIFS('Q2 Data'!$K$4:$K$207,'Q2 Data'!$B$4:$B$207,$S164)+SUMIFS('Q2 Data'!$N$4:$N$207,'Q2 Data'!$B$4:$B$207,$S164)+SUMIFS('Q2 Data'!$L$4:$L$207,'Q2 Data'!$B$4:$B$207,$S164))</f>
      </c>
      <c r="V164" s="7">
        <f>IF($C164="","",SUMIFS('Q3 Data'!$K$4:$K$207,'Q3 Data'!$B$4:$B$207,$S164)+SUMIFS('Q3 Data'!$N$4:$N$207,'Q3 Data'!$B$4:$B$207,$S164)+SUMIFS('Q3 Data'!$L$4:$L$207,'Q3 Data'!$B$4:$B$207,$S164))</f>
      </c>
      <c r="W164" s="7">
        <f>IF($C164="","",SUMIFS('Q4 Data'!$K$4:$K$207,'Q4 Data'!$B$4:$B$207,$S164)+SUMIFS('Q4 Data'!$N$4:$N$207,'Q4 Data'!$B$4:$B$207,$S164)+SUMIFS('Q4 Data'!$L$4:$L$207,'Q4 Data'!$B$4:$B$207,$S164))</f>
      </c>
      <c r="X164" s="7">
        <f>IF($C164="","",T164+U164+V164+W164)</f>
      </c>
      <c r="Y164" s="7">
        <f>IF($C164="","",M164-L164)</f>
      </c>
      <c r="Z164" s="7">
        <f>IF($C164="","",Y164-X164)</f>
      </c>
      <c r="AA164" s="7">
        <f>IF($C164="","",IF(ROUND(X164-Y164,2)&gt;0,"Over-applied",IF(ROUND(X164-Y164,2)=0,"Fully Utilised","Unconsumed")))</f>
      </c>
    </row>
    <row r="165" spans="1:27" x14ac:dyDescent="0.25">
      <c r="A165" s="7">
        <f>IF($C165="","",COUNTIF($C$4:$C165,"&lt;&gt;"))</f>
      </c>
      <c r="B165" s="8"/>
      <c r="C165" s="8"/>
      <c r="D165" s="8"/>
      <c r="E165" s="8"/>
      <c r="F165" s="8"/>
      <c r="G165" s="8"/>
      <c r="H165" s="8"/>
      <c r="I165" s="8"/>
      <c r="J165" s="8"/>
      <c r="K165" s="8"/>
      <c r="L165" s="8"/>
      <c r="M165" s="7">
        <f>IF($C165="","",G165+H165+I165+J165+K165+L165)</f>
      </c>
      <c r="N165" s="8"/>
      <c r="O165" s="8"/>
      <c r="P165" s="8"/>
      <c r="Q165" s="8"/>
      <c r="R165" s="8"/>
      <c r="S165" s="7">
        <f>IF($C165="","",C165&amp;" | BSR "&amp;B165&amp;" | "&amp;TEXT(D165,"dd-mm-yyyy")&amp;" | ₹"&amp;TEXT(M165,"#,##0"))</f>
      </c>
      <c r="T165" s="7">
        <f>IF($C165="","",SUMIFS('Q1 Data'!$K$4:$K$207,'Q1 Data'!$B$4:$B$207,$S165)+SUMIFS('Q1 Data'!$N$4:$N$207,'Q1 Data'!$B$4:$B$207,$S165)+SUMIFS('Q1 Data'!$L$4:$L$207,'Q1 Data'!$B$4:$B$207,$S165))</f>
      </c>
      <c r="U165" s="7">
        <f>IF($C165="","",SUMIFS('Q2 Data'!$K$4:$K$207,'Q2 Data'!$B$4:$B$207,$S165)+SUMIFS('Q2 Data'!$N$4:$N$207,'Q2 Data'!$B$4:$B$207,$S165)+SUMIFS('Q2 Data'!$L$4:$L$207,'Q2 Data'!$B$4:$B$207,$S165))</f>
      </c>
      <c r="V165" s="7">
        <f>IF($C165="","",SUMIFS('Q3 Data'!$K$4:$K$207,'Q3 Data'!$B$4:$B$207,$S165)+SUMIFS('Q3 Data'!$N$4:$N$207,'Q3 Data'!$B$4:$B$207,$S165)+SUMIFS('Q3 Data'!$L$4:$L$207,'Q3 Data'!$B$4:$B$207,$S165))</f>
      </c>
      <c r="W165" s="7">
        <f>IF($C165="","",SUMIFS('Q4 Data'!$K$4:$K$207,'Q4 Data'!$B$4:$B$207,$S165)+SUMIFS('Q4 Data'!$N$4:$N$207,'Q4 Data'!$B$4:$B$207,$S165)+SUMIFS('Q4 Data'!$L$4:$L$207,'Q4 Data'!$B$4:$B$207,$S165))</f>
      </c>
      <c r="X165" s="7">
        <f>IF($C165="","",T165+U165+V165+W165)</f>
      </c>
      <c r="Y165" s="7">
        <f>IF($C165="","",M165-L165)</f>
      </c>
      <c r="Z165" s="7">
        <f>IF($C165="","",Y165-X165)</f>
      </c>
      <c r="AA165" s="7">
        <f>IF($C165="","",IF(ROUND(X165-Y165,2)&gt;0,"Over-applied",IF(ROUND(X165-Y165,2)=0,"Fully Utilised","Unconsumed")))</f>
      </c>
    </row>
    <row r="166" spans="1:27" x14ac:dyDescent="0.25">
      <c r="A166" s="7">
        <f>IF($C166="","",COUNTIF($C$4:$C166,"&lt;&gt;"))</f>
      </c>
      <c r="B166" s="8"/>
      <c r="C166" s="8"/>
      <c r="D166" s="8"/>
      <c r="E166" s="8"/>
      <c r="F166" s="8"/>
      <c r="G166" s="8"/>
      <c r="H166" s="8"/>
      <c r="I166" s="8"/>
      <c r="J166" s="8"/>
      <c r="K166" s="8"/>
      <c r="L166" s="8"/>
      <c r="M166" s="7">
        <f>IF($C166="","",G166+H166+I166+J166+K166+L166)</f>
      </c>
      <c r="N166" s="8"/>
      <c r="O166" s="8"/>
      <c r="P166" s="8"/>
      <c r="Q166" s="8"/>
      <c r="R166" s="8"/>
      <c r="S166" s="7">
        <f>IF($C166="","",C166&amp;" | BSR "&amp;B166&amp;" | "&amp;TEXT(D166,"dd-mm-yyyy")&amp;" | ₹"&amp;TEXT(M166,"#,##0"))</f>
      </c>
      <c r="T166" s="7">
        <f>IF($C166="","",SUMIFS('Q1 Data'!$K$4:$K$207,'Q1 Data'!$B$4:$B$207,$S166)+SUMIFS('Q1 Data'!$N$4:$N$207,'Q1 Data'!$B$4:$B$207,$S166)+SUMIFS('Q1 Data'!$L$4:$L$207,'Q1 Data'!$B$4:$B$207,$S166))</f>
      </c>
      <c r="U166" s="7">
        <f>IF($C166="","",SUMIFS('Q2 Data'!$K$4:$K$207,'Q2 Data'!$B$4:$B$207,$S166)+SUMIFS('Q2 Data'!$N$4:$N$207,'Q2 Data'!$B$4:$B$207,$S166)+SUMIFS('Q2 Data'!$L$4:$L$207,'Q2 Data'!$B$4:$B$207,$S166))</f>
      </c>
      <c r="V166" s="7">
        <f>IF($C166="","",SUMIFS('Q3 Data'!$K$4:$K$207,'Q3 Data'!$B$4:$B$207,$S166)+SUMIFS('Q3 Data'!$N$4:$N$207,'Q3 Data'!$B$4:$B$207,$S166)+SUMIFS('Q3 Data'!$L$4:$L$207,'Q3 Data'!$B$4:$B$207,$S166))</f>
      </c>
      <c r="W166" s="7">
        <f>IF($C166="","",SUMIFS('Q4 Data'!$K$4:$K$207,'Q4 Data'!$B$4:$B$207,$S166)+SUMIFS('Q4 Data'!$N$4:$N$207,'Q4 Data'!$B$4:$B$207,$S166)+SUMIFS('Q4 Data'!$L$4:$L$207,'Q4 Data'!$B$4:$B$207,$S166))</f>
      </c>
      <c r="X166" s="7">
        <f>IF($C166="","",T166+U166+V166+W166)</f>
      </c>
      <c r="Y166" s="7">
        <f>IF($C166="","",M166-L166)</f>
      </c>
      <c r="Z166" s="7">
        <f>IF($C166="","",Y166-X166)</f>
      </c>
      <c r="AA166" s="7">
        <f>IF($C166="","",IF(ROUND(X166-Y166,2)&gt;0,"Over-applied",IF(ROUND(X166-Y166,2)=0,"Fully Utilised","Unconsumed")))</f>
      </c>
    </row>
    <row r="167" spans="1:27" x14ac:dyDescent="0.25">
      <c r="A167" s="7">
        <f>IF($C167="","",COUNTIF($C$4:$C167,"&lt;&gt;"))</f>
      </c>
      <c r="B167" s="8"/>
      <c r="C167" s="8"/>
      <c r="D167" s="8"/>
      <c r="E167" s="8"/>
      <c r="F167" s="8"/>
      <c r="G167" s="8"/>
      <c r="H167" s="8"/>
      <c r="I167" s="8"/>
      <c r="J167" s="8"/>
      <c r="K167" s="8"/>
      <c r="L167" s="8"/>
      <c r="M167" s="7">
        <f>IF($C167="","",G167+H167+I167+J167+K167+L167)</f>
      </c>
      <c r="N167" s="8"/>
      <c r="O167" s="8"/>
      <c r="P167" s="8"/>
      <c r="Q167" s="8"/>
      <c r="R167" s="8"/>
      <c r="S167" s="7">
        <f>IF($C167="","",C167&amp;" | BSR "&amp;B167&amp;" | "&amp;TEXT(D167,"dd-mm-yyyy")&amp;" | ₹"&amp;TEXT(M167,"#,##0"))</f>
      </c>
      <c r="T167" s="7">
        <f>IF($C167="","",SUMIFS('Q1 Data'!$K$4:$K$207,'Q1 Data'!$B$4:$B$207,$S167)+SUMIFS('Q1 Data'!$N$4:$N$207,'Q1 Data'!$B$4:$B$207,$S167)+SUMIFS('Q1 Data'!$L$4:$L$207,'Q1 Data'!$B$4:$B$207,$S167))</f>
      </c>
      <c r="U167" s="7">
        <f>IF($C167="","",SUMIFS('Q2 Data'!$K$4:$K$207,'Q2 Data'!$B$4:$B$207,$S167)+SUMIFS('Q2 Data'!$N$4:$N$207,'Q2 Data'!$B$4:$B$207,$S167)+SUMIFS('Q2 Data'!$L$4:$L$207,'Q2 Data'!$B$4:$B$207,$S167))</f>
      </c>
      <c r="V167" s="7">
        <f>IF($C167="","",SUMIFS('Q3 Data'!$K$4:$K$207,'Q3 Data'!$B$4:$B$207,$S167)+SUMIFS('Q3 Data'!$N$4:$N$207,'Q3 Data'!$B$4:$B$207,$S167)+SUMIFS('Q3 Data'!$L$4:$L$207,'Q3 Data'!$B$4:$B$207,$S167))</f>
      </c>
      <c r="W167" s="7">
        <f>IF($C167="","",SUMIFS('Q4 Data'!$K$4:$K$207,'Q4 Data'!$B$4:$B$207,$S167)+SUMIFS('Q4 Data'!$N$4:$N$207,'Q4 Data'!$B$4:$B$207,$S167)+SUMIFS('Q4 Data'!$L$4:$L$207,'Q4 Data'!$B$4:$B$207,$S167))</f>
      </c>
      <c r="X167" s="7">
        <f>IF($C167="","",T167+U167+V167+W167)</f>
      </c>
      <c r="Y167" s="7">
        <f>IF($C167="","",M167-L167)</f>
      </c>
      <c r="Z167" s="7">
        <f>IF($C167="","",Y167-X167)</f>
      </c>
      <c r="AA167" s="7">
        <f>IF($C167="","",IF(ROUND(X167-Y167,2)&gt;0,"Over-applied",IF(ROUND(X167-Y167,2)=0,"Fully Utilised","Unconsumed")))</f>
      </c>
    </row>
    <row r="168" spans="1:27" x14ac:dyDescent="0.25">
      <c r="A168" s="7">
        <f>IF($C168="","",COUNTIF($C$4:$C168,"&lt;&gt;"))</f>
      </c>
      <c r="B168" s="8"/>
      <c r="C168" s="8"/>
      <c r="D168" s="8"/>
      <c r="E168" s="8"/>
      <c r="F168" s="8"/>
      <c r="G168" s="8"/>
      <c r="H168" s="8"/>
      <c r="I168" s="8"/>
      <c r="J168" s="8"/>
      <c r="K168" s="8"/>
      <c r="L168" s="8"/>
      <c r="M168" s="7">
        <f>IF($C168="","",G168+H168+I168+J168+K168+L168)</f>
      </c>
      <c r="N168" s="8"/>
      <c r="O168" s="8"/>
      <c r="P168" s="8"/>
      <c r="Q168" s="8"/>
      <c r="R168" s="8"/>
      <c r="S168" s="7">
        <f>IF($C168="","",C168&amp;" | BSR "&amp;B168&amp;" | "&amp;TEXT(D168,"dd-mm-yyyy")&amp;" | ₹"&amp;TEXT(M168,"#,##0"))</f>
      </c>
      <c r="T168" s="7">
        <f>IF($C168="","",SUMIFS('Q1 Data'!$K$4:$K$207,'Q1 Data'!$B$4:$B$207,$S168)+SUMIFS('Q1 Data'!$N$4:$N$207,'Q1 Data'!$B$4:$B$207,$S168)+SUMIFS('Q1 Data'!$L$4:$L$207,'Q1 Data'!$B$4:$B$207,$S168))</f>
      </c>
      <c r="U168" s="7">
        <f>IF($C168="","",SUMIFS('Q2 Data'!$K$4:$K$207,'Q2 Data'!$B$4:$B$207,$S168)+SUMIFS('Q2 Data'!$N$4:$N$207,'Q2 Data'!$B$4:$B$207,$S168)+SUMIFS('Q2 Data'!$L$4:$L$207,'Q2 Data'!$B$4:$B$207,$S168))</f>
      </c>
      <c r="V168" s="7">
        <f>IF($C168="","",SUMIFS('Q3 Data'!$K$4:$K$207,'Q3 Data'!$B$4:$B$207,$S168)+SUMIFS('Q3 Data'!$N$4:$N$207,'Q3 Data'!$B$4:$B$207,$S168)+SUMIFS('Q3 Data'!$L$4:$L$207,'Q3 Data'!$B$4:$B$207,$S168))</f>
      </c>
      <c r="W168" s="7">
        <f>IF($C168="","",SUMIFS('Q4 Data'!$K$4:$K$207,'Q4 Data'!$B$4:$B$207,$S168)+SUMIFS('Q4 Data'!$N$4:$N$207,'Q4 Data'!$B$4:$B$207,$S168)+SUMIFS('Q4 Data'!$L$4:$L$207,'Q4 Data'!$B$4:$B$207,$S168))</f>
      </c>
      <c r="X168" s="7">
        <f>IF($C168="","",T168+U168+V168+W168)</f>
      </c>
      <c r="Y168" s="7">
        <f>IF($C168="","",M168-L168)</f>
      </c>
      <c r="Z168" s="7">
        <f>IF($C168="","",Y168-X168)</f>
      </c>
      <c r="AA168" s="7">
        <f>IF($C168="","",IF(ROUND(X168-Y168,2)&gt;0,"Over-applied",IF(ROUND(X168-Y168,2)=0,"Fully Utilised","Unconsumed")))</f>
      </c>
    </row>
    <row r="169" spans="1:27" x14ac:dyDescent="0.25">
      <c r="A169" s="7">
        <f>IF($C169="","",COUNTIF($C$4:$C169,"&lt;&gt;"))</f>
      </c>
      <c r="B169" s="8"/>
      <c r="C169" s="8"/>
      <c r="D169" s="8"/>
      <c r="E169" s="8"/>
      <c r="F169" s="8"/>
      <c r="G169" s="8"/>
      <c r="H169" s="8"/>
      <c r="I169" s="8"/>
      <c r="J169" s="8"/>
      <c r="K169" s="8"/>
      <c r="L169" s="8"/>
      <c r="M169" s="7">
        <f>IF($C169="","",G169+H169+I169+J169+K169+L169)</f>
      </c>
      <c r="N169" s="8"/>
      <c r="O169" s="8"/>
      <c r="P169" s="8"/>
      <c r="Q169" s="8"/>
      <c r="R169" s="8"/>
      <c r="S169" s="7">
        <f>IF($C169="","",C169&amp;" | BSR "&amp;B169&amp;" | "&amp;TEXT(D169,"dd-mm-yyyy")&amp;" | ₹"&amp;TEXT(M169,"#,##0"))</f>
      </c>
      <c r="T169" s="7">
        <f>IF($C169="","",SUMIFS('Q1 Data'!$K$4:$K$207,'Q1 Data'!$B$4:$B$207,$S169)+SUMIFS('Q1 Data'!$N$4:$N$207,'Q1 Data'!$B$4:$B$207,$S169)+SUMIFS('Q1 Data'!$L$4:$L$207,'Q1 Data'!$B$4:$B$207,$S169))</f>
      </c>
      <c r="U169" s="7">
        <f>IF($C169="","",SUMIFS('Q2 Data'!$K$4:$K$207,'Q2 Data'!$B$4:$B$207,$S169)+SUMIFS('Q2 Data'!$N$4:$N$207,'Q2 Data'!$B$4:$B$207,$S169)+SUMIFS('Q2 Data'!$L$4:$L$207,'Q2 Data'!$B$4:$B$207,$S169))</f>
      </c>
      <c r="V169" s="7">
        <f>IF($C169="","",SUMIFS('Q3 Data'!$K$4:$K$207,'Q3 Data'!$B$4:$B$207,$S169)+SUMIFS('Q3 Data'!$N$4:$N$207,'Q3 Data'!$B$4:$B$207,$S169)+SUMIFS('Q3 Data'!$L$4:$L$207,'Q3 Data'!$B$4:$B$207,$S169))</f>
      </c>
      <c r="W169" s="7">
        <f>IF($C169="","",SUMIFS('Q4 Data'!$K$4:$K$207,'Q4 Data'!$B$4:$B$207,$S169)+SUMIFS('Q4 Data'!$N$4:$N$207,'Q4 Data'!$B$4:$B$207,$S169)+SUMIFS('Q4 Data'!$L$4:$L$207,'Q4 Data'!$B$4:$B$207,$S169))</f>
      </c>
      <c r="X169" s="7">
        <f>IF($C169="","",T169+U169+V169+W169)</f>
      </c>
      <c r="Y169" s="7">
        <f>IF($C169="","",M169-L169)</f>
      </c>
      <c r="Z169" s="7">
        <f>IF($C169="","",Y169-X169)</f>
      </c>
      <c r="AA169" s="7">
        <f>IF($C169="","",IF(ROUND(X169-Y169,2)&gt;0,"Over-applied",IF(ROUND(X169-Y169,2)=0,"Fully Utilised","Unconsumed")))</f>
      </c>
    </row>
    <row r="170" spans="1:27" x14ac:dyDescent="0.25">
      <c r="A170" s="7">
        <f>IF($C170="","",COUNTIF($C$4:$C170,"&lt;&gt;"))</f>
      </c>
      <c r="B170" s="8"/>
      <c r="C170" s="8"/>
      <c r="D170" s="8"/>
      <c r="E170" s="8"/>
      <c r="F170" s="8"/>
      <c r="G170" s="8"/>
      <c r="H170" s="8"/>
      <c r="I170" s="8"/>
      <c r="J170" s="8"/>
      <c r="K170" s="8"/>
      <c r="L170" s="8"/>
      <c r="M170" s="7">
        <f>IF($C170="","",G170+H170+I170+J170+K170+L170)</f>
      </c>
      <c r="N170" s="8"/>
      <c r="O170" s="8"/>
      <c r="P170" s="8"/>
      <c r="Q170" s="8"/>
      <c r="R170" s="8"/>
      <c r="S170" s="7">
        <f>IF($C170="","",C170&amp;" | BSR "&amp;B170&amp;" | "&amp;TEXT(D170,"dd-mm-yyyy")&amp;" | ₹"&amp;TEXT(M170,"#,##0"))</f>
      </c>
      <c r="T170" s="7">
        <f>IF($C170="","",SUMIFS('Q1 Data'!$K$4:$K$207,'Q1 Data'!$B$4:$B$207,$S170)+SUMIFS('Q1 Data'!$N$4:$N$207,'Q1 Data'!$B$4:$B$207,$S170)+SUMIFS('Q1 Data'!$L$4:$L$207,'Q1 Data'!$B$4:$B$207,$S170))</f>
      </c>
      <c r="U170" s="7">
        <f>IF($C170="","",SUMIFS('Q2 Data'!$K$4:$K$207,'Q2 Data'!$B$4:$B$207,$S170)+SUMIFS('Q2 Data'!$N$4:$N$207,'Q2 Data'!$B$4:$B$207,$S170)+SUMIFS('Q2 Data'!$L$4:$L$207,'Q2 Data'!$B$4:$B$207,$S170))</f>
      </c>
      <c r="V170" s="7">
        <f>IF($C170="","",SUMIFS('Q3 Data'!$K$4:$K$207,'Q3 Data'!$B$4:$B$207,$S170)+SUMIFS('Q3 Data'!$N$4:$N$207,'Q3 Data'!$B$4:$B$207,$S170)+SUMIFS('Q3 Data'!$L$4:$L$207,'Q3 Data'!$B$4:$B$207,$S170))</f>
      </c>
      <c r="W170" s="7">
        <f>IF($C170="","",SUMIFS('Q4 Data'!$K$4:$K$207,'Q4 Data'!$B$4:$B$207,$S170)+SUMIFS('Q4 Data'!$N$4:$N$207,'Q4 Data'!$B$4:$B$207,$S170)+SUMIFS('Q4 Data'!$L$4:$L$207,'Q4 Data'!$B$4:$B$207,$S170))</f>
      </c>
      <c r="X170" s="7">
        <f>IF($C170="","",T170+U170+V170+W170)</f>
      </c>
      <c r="Y170" s="7">
        <f>IF($C170="","",M170-L170)</f>
      </c>
      <c r="Z170" s="7">
        <f>IF($C170="","",Y170-X170)</f>
      </c>
      <c r="AA170" s="7">
        <f>IF($C170="","",IF(ROUND(X170-Y170,2)&gt;0,"Over-applied",IF(ROUND(X170-Y170,2)=0,"Fully Utilised","Unconsumed")))</f>
      </c>
    </row>
    <row r="171" spans="1:27" x14ac:dyDescent="0.25">
      <c r="A171" s="7">
        <f>IF($C171="","",COUNTIF($C$4:$C171,"&lt;&gt;"))</f>
      </c>
      <c r="B171" s="8"/>
      <c r="C171" s="8"/>
      <c r="D171" s="8"/>
      <c r="E171" s="8"/>
      <c r="F171" s="8"/>
      <c r="G171" s="8"/>
      <c r="H171" s="8"/>
      <c r="I171" s="8"/>
      <c r="J171" s="8"/>
      <c r="K171" s="8"/>
      <c r="L171" s="8"/>
      <c r="M171" s="7">
        <f>IF($C171="","",G171+H171+I171+J171+K171+L171)</f>
      </c>
      <c r="N171" s="8"/>
      <c r="O171" s="8"/>
      <c r="P171" s="8"/>
      <c r="Q171" s="8"/>
      <c r="R171" s="8"/>
      <c r="S171" s="7">
        <f>IF($C171="","",C171&amp;" | BSR "&amp;B171&amp;" | "&amp;TEXT(D171,"dd-mm-yyyy")&amp;" | ₹"&amp;TEXT(M171,"#,##0"))</f>
      </c>
      <c r="T171" s="7">
        <f>IF($C171="","",SUMIFS('Q1 Data'!$K$4:$K$207,'Q1 Data'!$B$4:$B$207,$S171)+SUMIFS('Q1 Data'!$N$4:$N$207,'Q1 Data'!$B$4:$B$207,$S171)+SUMIFS('Q1 Data'!$L$4:$L$207,'Q1 Data'!$B$4:$B$207,$S171))</f>
      </c>
      <c r="U171" s="7">
        <f>IF($C171="","",SUMIFS('Q2 Data'!$K$4:$K$207,'Q2 Data'!$B$4:$B$207,$S171)+SUMIFS('Q2 Data'!$N$4:$N$207,'Q2 Data'!$B$4:$B$207,$S171)+SUMIFS('Q2 Data'!$L$4:$L$207,'Q2 Data'!$B$4:$B$207,$S171))</f>
      </c>
      <c r="V171" s="7">
        <f>IF($C171="","",SUMIFS('Q3 Data'!$K$4:$K$207,'Q3 Data'!$B$4:$B$207,$S171)+SUMIFS('Q3 Data'!$N$4:$N$207,'Q3 Data'!$B$4:$B$207,$S171)+SUMIFS('Q3 Data'!$L$4:$L$207,'Q3 Data'!$B$4:$B$207,$S171))</f>
      </c>
      <c r="W171" s="7">
        <f>IF($C171="","",SUMIFS('Q4 Data'!$K$4:$K$207,'Q4 Data'!$B$4:$B$207,$S171)+SUMIFS('Q4 Data'!$N$4:$N$207,'Q4 Data'!$B$4:$B$207,$S171)+SUMIFS('Q4 Data'!$L$4:$L$207,'Q4 Data'!$B$4:$B$207,$S171))</f>
      </c>
      <c r="X171" s="7">
        <f>IF($C171="","",T171+U171+V171+W171)</f>
      </c>
      <c r="Y171" s="7">
        <f>IF($C171="","",M171-L171)</f>
      </c>
      <c r="Z171" s="7">
        <f>IF($C171="","",Y171-X171)</f>
      </c>
      <c r="AA171" s="7">
        <f>IF($C171="","",IF(ROUND(X171-Y171,2)&gt;0,"Over-applied",IF(ROUND(X171-Y171,2)=0,"Fully Utilised","Unconsumed")))</f>
      </c>
    </row>
    <row r="172" spans="1:27" x14ac:dyDescent="0.25">
      <c r="A172" s="7">
        <f>IF($C172="","",COUNTIF($C$4:$C172,"&lt;&gt;"))</f>
      </c>
      <c r="B172" s="8"/>
      <c r="C172" s="8"/>
      <c r="D172" s="8"/>
      <c r="E172" s="8"/>
      <c r="F172" s="8"/>
      <c r="G172" s="8"/>
      <c r="H172" s="8"/>
      <c r="I172" s="8"/>
      <c r="J172" s="8"/>
      <c r="K172" s="8"/>
      <c r="L172" s="8"/>
      <c r="M172" s="7">
        <f>IF($C172="","",G172+H172+I172+J172+K172+L172)</f>
      </c>
      <c r="N172" s="8"/>
      <c r="O172" s="8"/>
      <c r="P172" s="8"/>
      <c r="Q172" s="8"/>
      <c r="R172" s="8"/>
      <c r="S172" s="7">
        <f>IF($C172="","",C172&amp;" | BSR "&amp;B172&amp;" | "&amp;TEXT(D172,"dd-mm-yyyy")&amp;" | ₹"&amp;TEXT(M172,"#,##0"))</f>
      </c>
      <c r="T172" s="7">
        <f>IF($C172="","",SUMIFS('Q1 Data'!$K$4:$K$207,'Q1 Data'!$B$4:$B$207,$S172)+SUMIFS('Q1 Data'!$N$4:$N$207,'Q1 Data'!$B$4:$B$207,$S172)+SUMIFS('Q1 Data'!$L$4:$L$207,'Q1 Data'!$B$4:$B$207,$S172))</f>
      </c>
      <c r="U172" s="7">
        <f>IF($C172="","",SUMIFS('Q2 Data'!$K$4:$K$207,'Q2 Data'!$B$4:$B$207,$S172)+SUMIFS('Q2 Data'!$N$4:$N$207,'Q2 Data'!$B$4:$B$207,$S172)+SUMIFS('Q2 Data'!$L$4:$L$207,'Q2 Data'!$B$4:$B$207,$S172))</f>
      </c>
      <c r="V172" s="7">
        <f>IF($C172="","",SUMIFS('Q3 Data'!$K$4:$K$207,'Q3 Data'!$B$4:$B$207,$S172)+SUMIFS('Q3 Data'!$N$4:$N$207,'Q3 Data'!$B$4:$B$207,$S172)+SUMIFS('Q3 Data'!$L$4:$L$207,'Q3 Data'!$B$4:$B$207,$S172))</f>
      </c>
      <c r="W172" s="7">
        <f>IF($C172="","",SUMIFS('Q4 Data'!$K$4:$K$207,'Q4 Data'!$B$4:$B$207,$S172)+SUMIFS('Q4 Data'!$N$4:$N$207,'Q4 Data'!$B$4:$B$207,$S172)+SUMIFS('Q4 Data'!$L$4:$L$207,'Q4 Data'!$B$4:$B$207,$S172))</f>
      </c>
      <c r="X172" s="7">
        <f>IF($C172="","",T172+U172+V172+W172)</f>
      </c>
      <c r="Y172" s="7">
        <f>IF($C172="","",M172-L172)</f>
      </c>
      <c r="Z172" s="7">
        <f>IF($C172="","",Y172-X172)</f>
      </c>
      <c r="AA172" s="7">
        <f>IF($C172="","",IF(ROUND(X172-Y172,2)&gt;0,"Over-applied",IF(ROUND(X172-Y172,2)=0,"Fully Utilised","Unconsumed")))</f>
      </c>
    </row>
    <row r="173" spans="1:27" x14ac:dyDescent="0.25">
      <c r="A173" s="7">
        <f>IF($C173="","",COUNTIF($C$4:$C173,"&lt;&gt;"))</f>
      </c>
      <c r="B173" s="8"/>
      <c r="C173" s="8"/>
      <c r="D173" s="8"/>
      <c r="E173" s="8"/>
      <c r="F173" s="8"/>
      <c r="G173" s="8"/>
      <c r="H173" s="8"/>
      <c r="I173" s="8"/>
      <c r="J173" s="8"/>
      <c r="K173" s="8"/>
      <c r="L173" s="8"/>
      <c r="M173" s="7">
        <f>IF($C173="","",G173+H173+I173+J173+K173+L173)</f>
      </c>
      <c r="N173" s="8"/>
      <c r="O173" s="8"/>
      <c r="P173" s="8"/>
      <c r="Q173" s="8"/>
      <c r="R173" s="8"/>
      <c r="S173" s="7">
        <f>IF($C173="","",C173&amp;" | BSR "&amp;B173&amp;" | "&amp;TEXT(D173,"dd-mm-yyyy")&amp;" | ₹"&amp;TEXT(M173,"#,##0"))</f>
      </c>
      <c r="T173" s="7">
        <f>IF($C173="","",SUMIFS('Q1 Data'!$K$4:$K$207,'Q1 Data'!$B$4:$B$207,$S173)+SUMIFS('Q1 Data'!$N$4:$N$207,'Q1 Data'!$B$4:$B$207,$S173)+SUMIFS('Q1 Data'!$L$4:$L$207,'Q1 Data'!$B$4:$B$207,$S173))</f>
      </c>
      <c r="U173" s="7">
        <f>IF($C173="","",SUMIFS('Q2 Data'!$K$4:$K$207,'Q2 Data'!$B$4:$B$207,$S173)+SUMIFS('Q2 Data'!$N$4:$N$207,'Q2 Data'!$B$4:$B$207,$S173)+SUMIFS('Q2 Data'!$L$4:$L$207,'Q2 Data'!$B$4:$B$207,$S173))</f>
      </c>
      <c r="V173" s="7">
        <f>IF($C173="","",SUMIFS('Q3 Data'!$K$4:$K$207,'Q3 Data'!$B$4:$B$207,$S173)+SUMIFS('Q3 Data'!$N$4:$N$207,'Q3 Data'!$B$4:$B$207,$S173)+SUMIFS('Q3 Data'!$L$4:$L$207,'Q3 Data'!$B$4:$B$207,$S173))</f>
      </c>
      <c r="W173" s="7">
        <f>IF($C173="","",SUMIFS('Q4 Data'!$K$4:$K$207,'Q4 Data'!$B$4:$B$207,$S173)+SUMIFS('Q4 Data'!$N$4:$N$207,'Q4 Data'!$B$4:$B$207,$S173)+SUMIFS('Q4 Data'!$L$4:$L$207,'Q4 Data'!$B$4:$B$207,$S173))</f>
      </c>
      <c r="X173" s="7">
        <f>IF($C173="","",T173+U173+V173+W173)</f>
      </c>
      <c r="Y173" s="7">
        <f>IF($C173="","",M173-L173)</f>
      </c>
      <c r="Z173" s="7">
        <f>IF($C173="","",Y173-X173)</f>
      </c>
      <c r="AA173" s="7">
        <f>IF($C173="","",IF(ROUND(X173-Y173,2)&gt;0,"Over-applied",IF(ROUND(X173-Y173,2)=0,"Fully Utilised","Unconsumed")))</f>
      </c>
    </row>
    <row r="174" spans="1:27" x14ac:dyDescent="0.25">
      <c r="A174" s="7">
        <f>IF($C174="","",COUNTIF($C$4:$C174,"&lt;&gt;"))</f>
      </c>
      <c r="B174" s="8"/>
      <c r="C174" s="8"/>
      <c r="D174" s="8"/>
      <c r="E174" s="8"/>
      <c r="F174" s="8"/>
      <c r="G174" s="8"/>
      <c r="H174" s="8"/>
      <c r="I174" s="8"/>
      <c r="J174" s="8"/>
      <c r="K174" s="8"/>
      <c r="L174" s="8"/>
      <c r="M174" s="7">
        <f>IF($C174="","",G174+H174+I174+J174+K174+L174)</f>
      </c>
      <c r="N174" s="8"/>
      <c r="O174" s="8"/>
      <c r="P174" s="8"/>
      <c r="Q174" s="8"/>
      <c r="R174" s="8"/>
      <c r="S174" s="7">
        <f>IF($C174="","",C174&amp;" | BSR "&amp;B174&amp;" | "&amp;TEXT(D174,"dd-mm-yyyy")&amp;" | ₹"&amp;TEXT(M174,"#,##0"))</f>
      </c>
      <c r="T174" s="7">
        <f>IF($C174="","",SUMIFS('Q1 Data'!$K$4:$K$207,'Q1 Data'!$B$4:$B$207,$S174)+SUMIFS('Q1 Data'!$N$4:$N$207,'Q1 Data'!$B$4:$B$207,$S174)+SUMIFS('Q1 Data'!$L$4:$L$207,'Q1 Data'!$B$4:$B$207,$S174))</f>
      </c>
      <c r="U174" s="7">
        <f>IF($C174="","",SUMIFS('Q2 Data'!$K$4:$K$207,'Q2 Data'!$B$4:$B$207,$S174)+SUMIFS('Q2 Data'!$N$4:$N$207,'Q2 Data'!$B$4:$B$207,$S174)+SUMIFS('Q2 Data'!$L$4:$L$207,'Q2 Data'!$B$4:$B$207,$S174))</f>
      </c>
      <c r="V174" s="7">
        <f>IF($C174="","",SUMIFS('Q3 Data'!$K$4:$K$207,'Q3 Data'!$B$4:$B$207,$S174)+SUMIFS('Q3 Data'!$N$4:$N$207,'Q3 Data'!$B$4:$B$207,$S174)+SUMIFS('Q3 Data'!$L$4:$L$207,'Q3 Data'!$B$4:$B$207,$S174))</f>
      </c>
      <c r="W174" s="7">
        <f>IF($C174="","",SUMIFS('Q4 Data'!$K$4:$K$207,'Q4 Data'!$B$4:$B$207,$S174)+SUMIFS('Q4 Data'!$N$4:$N$207,'Q4 Data'!$B$4:$B$207,$S174)+SUMIFS('Q4 Data'!$L$4:$L$207,'Q4 Data'!$B$4:$B$207,$S174))</f>
      </c>
      <c r="X174" s="7">
        <f>IF($C174="","",T174+U174+V174+W174)</f>
      </c>
      <c r="Y174" s="7">
        <f>IF($C174="","",M174-L174)</f>
      </c>
      <c r="Z174" s="7">
        <f>IF($C174="","",Y174-X174)</f>
      </c>
      <c r="AA174" s="7">
        <f>IF($C174="","",IF(ROUND(X174-Y174,2)&gt;0,"Over-applied",IF(ROUND(X174-Y174,2)=0,"Fully Utilised","Unconsumed")))</f>
      </c>
    </row>
    <row r="175" spans="1:27" x14ac:dyDescent="0.25">
      <c r="A175" s="7">
        <f>IF($C175="","",COUNTIF($C$4:$C175,"&lt;&gt;"))</f>
      </c>
      <c r="B175" s="8"/>
      <c r="C175" s="8"/>
      <c r="D175" s="8"/>
      <c r="E175" s="8"/>
      <c r="F175" s="8"/>
      <c r="G175" s="8"/>
      <c r="H175" s="8"/>
      <c r="I175" s="8"/>
      <c r="J175" s="8"/>
      <c r="K175" s="8"/>
      <c r="L175" s="8"/>
      <c r="M175" s="7">
        <f>IF($C175="","",G175+H175+I175+J175+K175+L175)</f>
      </c>
      <c r="N175" s="8"/>
      <c r="O175" s="8"/>
      <c r="P175" s="8"/>
      <c r="Q175" s="8"/>
      <c r="R175" s="8"/>
      <c r="S175" s="7">
        <f>IF($C175="","",C175&amp;" | BSR "&amp;B175&amp;" | "&amp;TEXT(D175,"dd-mm-yyyy")&amp;" | ₹"&amp;TEXT(M175,"#,##0"))</f>
      </c>
      <c r="T175" s="7">
        <f>IF($C175="","",SUMIFS('Q1 Data'!$K$4:$K$207,'Q1 Data'!$B$4:$B$207,$S175)+SUMIFS('Q1 Data'!$N$4:$N$207,'Q1 Data'!$B$4:$B$207,$S175)+SUMIFS('Q1 Data'!$L$4:$L$207,'Q1 Data'!$B$4:$B$207,$S175))</f>
      </c>
      <c r="U175" s="7">
        <f>IF($C175="","",SUMIFS('Q2 Data'!$K$4:$K$207,'Q2 Data'!$B$4:$B$207,$S175)+SUMIFS('Q2 Data'!$N$4:$N$207,'Q2 Data'!$B$4:$B$207,$S175)+SUMIFS('Q2 Data'!$L$4:$L$207,'Q2 Data'!$B$4:$B$207,$S175))</f>
      </c>
      <c r="V175" s="7">
        <f>IF($C175="","",SUMIFS('Q3 Data'!$K$4:$K$207,'Q3 Data'!$B$4:$B$207,$S175)+SUMIFS('Q3 Data'!$N$4:$N$207,'Q3 Data'!$B$4:$B$207,$S175)+SUMIFS('Q3 Data'!$L$4:$L$207,'Q3 Data'!$B$4:$B$207,$S175))</f>
      </c>
      <c r="W175" s="7">
        <f>IF($C175="","",SUMIFS('Q4 Data'!$K$4:$K$207,'Q4 Data'!$B$4:$B$207,$S175)+SUMIFS('Q4 Data'!$N$4:$N$207,'Q4 Data'!$B$4:$B$207,$S175)+SUMIFS('Q4 Data'!$L$4:$L$207,'Q4 Data'!$B$4:$B$207,$S175))</f>
      </c>
      <c r="X175" s="7">
        <f>IF($C175="","",T175+U175+V175+W175)</f>
      </c>
      <c r="Y175" s="7">
        <f>IF($C175="","",M175-L175)</f>
      </c>
      <c r="Z175" s="7">
        <f>IF($C175="","",Y175-X175)</f>
      </c>
      <c r="AA175" s="7">
        <f>IF($C175="","",IF(ROUND(X175-Y175,2)&gt;0,"Over-applied",IF(ROUND(X175-Y175,2)=0,"Fully Utilised","Unconsumed")))</f>
      </c>
    </row>
    <row r="176" spans="1:27" x14ac:dyDescent="0.25">
      <c r="A176" s="7">
        <f>IF($C176="","",COUNTIF($C$4:$C176,"&lt;&gt;"))</f>
      </c>
      <c r="B176" s="8"/>
      <c r="C176" s="8"/>
      <c r="D176" s="8"/>
      <c r="E176" s="8"/>
      <c r="F176" s="8"/>
      <c r="G176" s="8"/>
      <c r="H176" s="8"/>
      <c r="I176" s="8"/>
      <c r="J176" s="8"/>
      <c r="K176" s="8"/>
      <c r="L176" s="8"/>
      <c r="M176" s="7">
        <f>IF($C176="","",G176+H176+I176+J176+K176+L176)</f>
      </c>
      <c r="N176" s="8"/>
      <c r="O176" s="8"/>
      <c r="P176" s="8"/>
      <c r="Q176" s="8"/>
      <c r="R176" s="8"/>
      <c r="S176" s="7">
        <f>IF($C176="","",C176&amp;" | BSR "&amp;B176&amp;" | "&amp;TEXT(D176,"dd-mm-yyyy")&amp;" | ₹"&amp;TEXT(M176,"#,##0"))</f>
      </c>
      <c r="T176" s="7">
        <f>IF($C176="","",SUMIFS('Q1 Data'!$K$4:$K$207,'Q1 Data'!$B$4:$B$207,$S176)+SUMIFS('Q1 Data'!$N$4:$N$207,'Q1 Data'!$B$4:$B$207,$S176)+SUMIFS('Q1 Data'!$L$4:$L$207,'Q1 Data'!$B$4:$B$207,$S176))</f>
      </c>
      <c r="U176" s="7">
        <f>IF($C176="","",SUMIFS('Q2 Data'!$K$4:$K$207,'Q2 Data'!$B$4:$B$207,$S176)+SUMIFS('Q2 Data'!$N$4:$N$207,'Q2 Data'!$B$4:$B$207,$S176)+SUMIFS('Q2 Data'!$L$4:$L$207,'Q2 Data'!$B$4:$B$207,$S176))</f>
      </c>
      <c r="V176" s="7">
        <f>IF($C176="","",SUMIFS('Q3 Data'!$K$4:$K$207,'Q3 Data'!$B$4:$B$207,$S176)+SUMIFS('Q3 Data'!$N$4:$N$207,'Q3 Data'!$B$4:$B$207,$S176)+SUMIFS('Q3 Data'!$L$4:$L$207,'Q3 Data'!$B$4:$B$207,$S176))</f>
      </c>
      <c r="W176" s="7">
        <f>IF($C176="","",SUMIFS('Q4 Data'!$K$4:$K$207,'Q4 Data'!$B$4:$B$207,$S176)+SUMIFS('Q4 Data'!$N$4:$N$207,'Q4 Data'!$B$4:$B$207,$S176)+SUMIFS('Q4 Data'!$L$4:$L$207,'Q4 Data'!$B$4:$B$207,$S176))</f>
      </c>
      <c r="X176" s="7">
        <f>IF($C176="","",T176+U176+V176+W176)</f>
      </c>
      <c r="Y176" s="7">
        <f>IF($C176="","",M176-L176)</f>
      </c>
      <c r="Z176" s="7">
        <f>IF($C176="","",Y176-X176)</f>
      </c>
      <c r="AA176" s="7">
        <f>IF($C176="","",IF(ROUND(X176-Y176,2)&gt;0,"Over-applied",IF(ROUND(X176-Y176,2)=0,"Fully Utilised","Unconsumed")))</f>
      </c>
    </row>
    <row r="177" spans="1:27" x14ac:dyDescent="0.25">
      <c r="A177" s="7">
        <f>IF($C177="","",COUNTIF($C$4:$C177,"&lt;&gt;"))</f>
      </c>
      <c r="B177" s="8"/>
      <c r="C177" s="8"/>
      <c r="D177" s="8"/>
      <c r="E177" s="8"/>
      <c r="F177" s="8"/>
      <c r="G177" s="8"/>
      <c r="H177" s="8"/>
      <c r="I177" s="8"/>
      <c r="J177" s="8"/>
      <c r="K177" s="8"/>
      <c r="L177" s="8"/>
      <c r="M177" s="7">
        <f>IF($C177="","",G177+H177+I177+J177+K177+L177)</f>
      </c>
      <c r="N177" s="8"/>
      <c r="O177" s="8"/>
      <c r="P177" s="8"/>
      <c r="Q177" s="8"/>
      <c r="R177" s="8"/>
      <c r="S177" s="7">
        <f>IF($C177="","",C177&amp;" | BSR "&amp;B177&amp;" | "&amp;TEXT(D177,"dd-mm-yyyy")&amp;" | ₹"&amp;TEXT(M177,"#,##0"))</f>
      </c>
      <c r="T177" s="7">
        <f>IF($C177="","",SUMIFS('Q1 Data'!$K$4:$K$207,'Q1 Data'!$B$4:$B$207,$S177)+SUMIFS('Q1 Data'!$N$4:$N$207,'Q1 Data'!$B$4:$B$207,$S177)+SUMIFS('Q1 Data'!$L$4:$L$207,'Q1 Data'!$B$4:$B$207,$S177))</f>
      </c>
      <c r="U177" s="7">
        <f>IF($C177="","",SUMIFS('Q2 Data'!$K$4:$K$207,'Q2 Data'!$B$4:$B$207,$S177)+SUMIFS('Q2 Data'!$N$4:$N$207,'Q2 Data'!$B$4:$B$207,$S177)+SUMIFS('Q2 Data'!$L$4:$L$207,'Q2 Data'!$B$4:$B$207,$S177))</f>
      </c>
      <c r="V177" s="7">
        <f>IF($C177="","",SUMIFS('Q3 Data'!$K$4:$K$207,'Q3 Data'!$B$4:$B$207,$S177)+SUMIFS('Q3 Data'!$N$4:$N$207,'Q3 Data'!$B$4:$B$207,$S177)+SUMIFS('Q3 Data'!$L$4:$L$207,'Q3 Data'!$B$4:$B$207,$S177))</f>
      </c>
      <c r="W177" s="7">
        <f>IF($C177="","",SUMIFS('Q4 Data'!$K$4:$K$207,'Q4 Data'!$B$4:$B$207,$S177)+SUMIFS('Q4 Data'!$N$4:$N$207,'Q4 Data'!$B$4:$B$207,$S177)+SUMIFS('Q4 Data'!$L$4:$L$207,'Q4 Data'!$B$4:$B$207,$S177))</f>
      </c>
      <c r="X177" s="7">
        <f>IF($C177="","",T177+U177+V177+W177)</f>
      </c>
      <c r="Y177" s="7">
        <f>IF($C177="","",M177-L177)</f>
      </c>
      <c r="Z177" s="7">
        <f>IF($C177="","",Y177-X177)</f>
      </c>
      <c r="AA177" s="7">
        <f>IF($C177="","",IF(ROUND(X177-Y177,2)&gt;0,"Over-applied",IF(ROUND(X177-Y177,2)=0,"Fully Utilised","Unconsumed")))</f>
      </c>
    </row>
    <row r="178" spans="1:27" x14ac:dyDescent="0.25">
      <c r="A178" s="7">
        <f>IF($C178="","",COUNTIF($C$4:$C178,"&lt;&gt;"))</f>
      </c>
      <c r="B178" s="8"/>
      <c r="C178" s="8"/>
      <c r="D178" s="8"/>
      <c r="E178" s="8"/>
      <c r="F178" s="8"/>
      <c r="G178" s="8"/>
      <c r="H178" s="8"/>
      <c r="I178" s="8"/>
      <c r="J178" s="8"/>
      <c r="K178" s="8"/>
      <c r="L178" s="8"/>
      <c r="M178" s="7">
        <f>IF($C178="","",G178+H178+I178+J178+K178+L178)</f>
      </c>
      <c r="N178" s="8"/>
      <c r="O178" s="8"/>
      <c r="P178" s="8"/>
      <c r="Q178" s="8"/>
      <c r="R178" s="8"/>
      <c r="S178" s="7">
        <f>IF($C178="","",C178&amp;" | BSR "&amp;B178&amp;" | "&amp;TEXT(D178,"dd-mm-yyyy")&amp;" | ₹"&amp;TEXT(M178,"#,##0"))</f>
      </c>
      <c r="T178" s="7">
        <f>IF($C178="","",SUMIFS('Q1 Data'!$K$4:$K$207,'Q1 Data'!$B$4:$B$207,$S178)+SUMIFS('Q1 Data'!$N$4:$N$207,'Q1 Data'!$B$4:$B$207,$S178)+SUMIFS('Q1 Data'!$L$4:$L$207,'Q1 Data'!$B$4:$B$207,$S178))</f>
      </c>
      <c r="U178" s="7">
        <f>IF($C178="","",SUMIFS('Q2 Data'!$K$4:$K$207,'Q2 Data'!$B$4:$B$207,$S178)+SUMIFS('Q2 Data'!$N$4:$N$207,'Q2 Data'!$B$4:$B$207,$S178)+SUMIFS('Q2 Data'!$L$4:$L$207,'Q2 Data'!$B$4:$B$207,$S178))</f>
      </c>
      <c r="V178" s="7">
        <f>IF($C178="","",SUMIFS('Q3 Data'!$K$4:$K$207,'Q3 Data'!$B$4:$B$207,$S178)+SUMIFS('Q3 Data'!$N$4:$N$207,'Q3 Data'!$B$4:$B$207,$S178)+SUMIFS('Q3 Data'!$L$4:$L$207,'Q3 Data'!$B$4:$B$207,$S178))</f>
      </c>
      <c r="W178" s="7">
        <f>IF($C178="","",SUMIFS('Q4 Data'!$K$4:$K$207,'Q4 Data'!$B$4:$B$207,$S178)+SUMIFS('Q4 Data'!$N$4:$N$207,'Q4 Data'!$B$4:$B$207,$S178)+SUMIFS('Q4 Data'!$L$4:$L$207,'Q4 Data'!$B$4:$B$207,$S178))</f>
      </c>
      <c r="X178" s="7">
        <f>IF($C178="","",T178+U178+V178+W178)</f>
      </c>
      <c r="Y178" s="7">
        <f>IF($C178="","",M178-L178)</f>
      </c>
      <c r="Z178" s="7">
        <f>IF($C178="","",Y178-X178)</f>
      </c>
      <c r="AA178" s="7">
        <f>IF($C178="","",IF(ROUND(X178-Y178,2)&gt;0,"Over-applied",IF(ROUND(X178-Y178,2)=0,"Fully Utilised","Unconsumed")))</f>
      </c>
    </row>
    <row r="179" spans="1:27" x14ac:dyDescent="0.25">
      <c r="A179" s="7">
        <f>IF($C179="","",COUNTIF($C$4:$C179,"&lt;&gt;"))</f>
      </c>
      <c r="B179" s="8"/>
      <c r="C179" s="8"/>
      <c r="D179" s="8"/>
      <c r="E179" s="8"/>
      <c r="F179" s="8"/>
      <c r="G179" s="8"/>
      <c r="H179" s="8"/>
      <c r="I179" s="8"/>
      <c r="J179" s="8"/>
      <c r="K179" s="8"/>
      <c r="L179" s="8"/>
      <c r="M179" s="7">
        <f>IF($C179="","",G179+H179+I179+J179+K179+L179)</f>
      </c>
      <c r="N179" s="8"/>
      <c r="O179" s="8"/>
      <c r="P179" s="8"/>
      <c r="Q179" s="8"/>
      <c r="R179" s="8"/>
      <c r="S179" s="7">
        <f>IF($C179="","",C179&amp;" | BSR "&amp;B179&amp;" | "&amp;TEXT(D179,"dd-mm-yyyy")&amp;" | ₹"&amp;TEXT(M179,"#,##0"))</f>
      </c>
      <c r="T179" s="7">
        <f>IF($C179="","",SUMIFS('Q1 Data'!$K$4:$K$207,'Q1 Data'!$B$4:$B$207,$S179)+SUMIFS('Q1 Data'!$N$4:$N$207,'Q1 Data'!$B$4:$B$207,$S179)+SUMIFS('Q1 Data'!$L$4:$L$207,'Q1 Data'!$B$4:$B$207,$S179))</f>
      </c>
      <c r="U179" s="7">
        <f>IF($C179="","",SUMIFS('Q2 Data'!$K$4:$K$207,'Q2 Data'!$B$4:$B$207,$S179)+SUMIFS('Q2 Data'!$N$4:$N$207,'Q2 Data'!$B$4:$B$207,$S179)+SUMIFS('Q2 Data'!$L$4:$L$207,'Q2 Data'!$B$4:$B$207,$S179))</f>
      </c>
      <c r="V179" s="7">
        <f>IF($C179="","",SUMIFS('Q3 Data'!$K$4:$K$207,'Q3 Data'!$B$4:$B$207,$S179)+SUMIFS('Q3 Data'!$N$4:$N$207,'Q3 Data'!$B$4:$B$207,$S179)+SUMIFS('Q3 Data'!$L$4:$L$207,'Q3 Data'!$B$4:$B$207,$S179))</f>
      </c>
      <c r="W179" s="7">
        <f>IF($C179="","",SUMIFS('Q4 Data'!$K$4:$K$207,'Q4 Data'!$B$4:$B$207,$S179)+SUMIFS('Q4 Data'!$N$4:$N$207,'Q4 Data'!$B$4:$B$207,$S179)+SUMIFS('Q4 Data'!$L$4:$L$207,'Q4 Data'!$B$4:$B$207,$S179))</f>
      </c>
      <c r="X179" s="7">
        <f>IF($C179="","",T179+U179+V179+W179)</f>
      </c>
      <c r="Y179" s="7">
        <f>IF($C179="","",M179-L179)</f>
      </c>
      <c r="Z179" s="7">
        <f>IF($C179="","",Y179-X179)</f>
      </c>
      <c r="AA179" s="7">
        <f>IF($C179="","",IF(ROUND(X179-Y179,2)&gt;0,"Over-applied",IF(ROUND(X179-Y179,2)=0,"Fully Utilised","Unconsumed")))</f>
      </c>
    </row>
    <row r="180" spans="1:27" x14ac:dyDescent="0.25">
      <c r="A180" s="7">
        <f>IF($C180="","",COUNTIF($C$4:$C180,"&lt;&gt;"))</f>
      </c>
      <c r="B180" s="8"/>
      <c r="C180" s="8"/>
      <c r="D180" s="8"/>
      <c r="E180" s="8"/>
      <c r="F180" s="8"/>
      <c r="G180" s="8"/>
      <c r="H180" s="8"/>
      <c r="I180" s="8"/>
      <c r="J180" s="8"/>
      <c r="K180" s="8"/>
      <c r="L180" s="8"/>
      <c r="M180" s="7">
        <f>IF($C180="","",G180+H180+I180+J180+K180+L180)</f>
      </c>
      <c r="N180" s="8"/>
      <c r="O180" s="8"/>
      <c r="P180" s="8"/>
      <c r="Q180" s="8"/>
      <c r="R180" s="8"/>
      <c r="S180" s="7">
        <f>IF($C180="","",C180&amp;" | BSR "&amp;B180&amp;" | "&amp;TEXT(D180,"dd-mm-yyyy")&amp;" | ₹"&amp;TEXT(M180,"#,##0"))</f>
      </c>
      <c r="T180" s="7">
        <f>IF($C180="","",SUMIFS('Q1 Data'!$K$4:$K$207,'Q1 Data'!$B$4:$B$207,$S180)+SUMIFS('Q1 Data'!$N$4:$N$207,'Q1 Data'!$B$4:$B$207,$S180)+SUMIFS('Q1 Data'!$L$4:$L$207,'Q1 Data'!$B$4:$B$207,$S180))</f>
      </c>
      <c r="U180" s="7">
        <f>IF($C180="","",SUMIFS('Q2 Data'!$K$4:$K$207,'Q2 Data'!$B$4:$B$207,$S180)+SUMIFS('Q2 Data'!$N$4:$N$207,'Q2 Data'!$B$4:$B$207,$S180)+SUMIFS('Q2 Data'!$L$4:$L$207,'Q2 Data'!$B$4:$B$207,$S180))</f>
      </c>
      <c r="V180" s="7">
        <f>IF($C180="","",SUMIFS('Q3 Data'!$K$4:$K$207,'Q3 Data'!$B$4:$B$207,$S180)+SUMIFS('Q3 Data'!$N$4:$N$207,'Q3 Data'!$B$4:$B$207,$S180)+SUMIFS('Q3 Data'!$L$4:$L$207,'Q3 Data'!$B$4:$B$207,$S180))</f>
      </c>
      <c r="W180" s="7">
        <f>IF($C180="","",SUMIFS('Q4 Data'!$K$4:$K$207,'Q4 Data'!$B$4:$B$207,$S180)+SUMIFS('Q4 Data'!$N$4:$N$207,'Q4 Data'!$B$4:$B$207,$S180)+SUMIFS('Q4 Data'!$L$4:$L$207,'Q4 Data'!$B$4:$B$207,$S180))</f>
      </c>
      <c r="X180" s="7">
        <f>IF($C180="","",T180+U180+V180+W180)</f>
      </c>
      <c r="Y180" s="7">
        <f>IF($C180="","",M180-L180)</f>
      </c>
      <c r="Z180" s="7">
        <f>IF($C180="","",Y180-X180)</f>
      </c>
      <c r="AA180" s="7">
        <f>IF($C180="","",IF(ROUND(X180-Y180,2)&gt;0,"Over-applied",IF(ROUND(X180-Y180,2)=0,"Fully Utilised","Unconsumed")))</f>
      </c>
    </row>
    <row r="181" spans="1:27" x14ac:dyDescent="0.25">
      <c r="A181" s="7">
        <f>IF($C181="","",COUNTIF($C$4:$C181,"&lt;&gt;"))</f>
      </c>
      <c r="B181" s="8"/>
      <c r="C181" s="8"/>
      <c r="D181" s="8"/>
      <c r="E181" s="8"/>
      <c r="F181" s="8"/>
      <c r="G181" s="8"/>
      <c r="H181" s="8"/>
      <c r="I181" s="8"/>
      <c r="J181" s="8"/>
      <c r="K181" s="8"/>
      <c r="L181" s="8"/>
      <c r="M181" s="7">
        <f>IF($C181="","",G181+H181+I181+J181+K181+L181)</f>
      </c>
      <c r="N181" s="8"/>
      <c r="O181" s="8"/>
      <c r="P181" s="8"/>
      <c r="Q181" s="8"/>
      <c r="R181" s="8"/>
      <c r="S181" s="7">
        <f>IF($C181="","",C181&amp;" | BSR "&amp;B181&amp;" | "&amp;TEXT(D181,"dd-mm-yyyy")&amp;" | ₹"&amp;TEXT(M181,"#,##0"))</f>
      </c>
      <c r="T181" s="7">
        <f>IF($C181="","",SUMIFS('Q1 Data'!$K$4:$K$207,'Q1 Data'!$B$4:$B$207,$S181)+SUMIFS('Q1 Data'!$N$4:$N$207,'Q1 Data'!$B$4:$B$207,$S181)+SUMIFS('Q1 Data'!$L$4:$L$207,'Q1 Data'!$B$4:$B$207,$S181))</f>
      </c>
      <c r="U181" s="7">
        <f>IF($C181="","",SUMIFS('Q2 Data'!$K$4:$K$207,'Q2 Data'!$B$4:$B$207,$S181)+SUMIFS('Q2 Data'!$N$4:$N$207,'Q2 Data'!$B$4:$B$207,$S181)+SUMIFS('Q2 Data'!$L$4:$L$207,'Q2 Data'!$B$4:$B$207,$S181))</f>
      </c>
      <c r="V181" s="7">
        <f>IF($C181="","",SUMIFS('Q3 Data'!$K$4:$K$207,'Q3 Data'!$B$4:$B$207,$S181)+SUMIFS('Q3 Data'!$N$4:$N$207,'Q3 Data'!$B$4:$B$207,$S181)+SUMIFS('Q3 Data'!$L$4:$L$207,'Q3 Data'!$B$4:$B$207,$S181))</f>
      </c>
      <c r="W181" s="7">
        <f>IF($C181="","",SUMIFS('Q4 Data'!$K$4:$K$207,'Q4 Data'!$B$4:$B$207,$S181)+SUMIFS('Q4 Data'!$N$4:$N$207,'Q4 Data'!$B$4:$B$207,$S181)+SUMIFS('Q4 Data'!$L$4:$L$207,'Q4 Data'!$B$4:$B$207,$S181))</f>
      </c>
      <c r="X181" s="7">
        <f>IF($C181="","",T181+U181+V181+W181)</f>
      </c>
      <c r="Y181" s="7">
        <f>IF($C181="","",M181-L181)</f>
      </c>
      <c r="Z181" s="7">
        <f>IF($C181="","",Y181-X181)</f>
      </c>
      <c r="AA181" s="7">
        <f>IF($C181="","",IF(ROUND(X181-Y181,2)&gt;0,"Over-applied",IF(ROUND(X181-Y181,2)=0,"Fully Utilised","Unconsumed")))</f>
      </c>
    </row>
    <row r="182" spans="1:27" x14ac:dyDescent="0.25">
      <c r="A182" s="7">
        <f>IF($C182="","",COUNTIF($C$4:$C182,"&lt;&gt;"))</f>
      </c>
      <c r="B182" s="8"/>
      <c r="C182" s="8"/>
      <c r="D182" s="8"/>
      <c r="E182" s="8"/>
      <c r="F182" s="8"/>
      <c r="G182" s="8"/>
      <c r="H182" s="8"/>
      <c r="I182" s="8"/>
      <c r="J182" s="8"/>
      <c r="K182" s="8"/>
      <c r="L182" s="8"/>
      <c r="M182" s="7">
        <f>IF($C182="","",G182+H182+I182+J182+K182+L182)</f>
      </c>
      <c r="N182" s="8"/>
      <c r="O182" s="8"/>
      <c r="P182" s="8"/>
      <c r="Q182" s="8"/>
      <c r="R182" s="8"/>
      <c r="S182" s="7">
        <f>IF($C182="","",C182&amp;" | BSR "&amp;B182&amp;" | "&amp;TEXT(D182,"dd-mm-yyyy")&amp;" | ₹"&amp;TEXT(M182,"#,##0"))</f>
      </c>
      <c r="T182" s="7">
        <f>IF($C182="","",SUMIFS('Q1 Data'!$K$4:$K$207,'Q1 Data'!$B$4:$B$207,$S182)+SUMIFS('Q1 Data'!$N$4:$N$207,'Q1 Data'!$B$4:$B$207,$S182)+SUMIFS('Q1 Data'!$L$4:$L$207,'Q1 Data'!$B$4:$B$207,$S182))</f>
      </c>
      <c r="U182" s="7">
        <f>IF($C182="","",SUMIFS('Q2 Data'!$K$4:$K$207,'Q2 Data'!$B$4:$B$207,$S182)+SUMIFS('Q2 Data'!$N$4:$N$207,'Q2 Data'!$B$4:$B$207,$S182)+SUMIFS('Q2 Data'!$L$4:$L$207,'Q2 Data'!$B$4:$B$207,$S182))</f>
      </c>
      <c r="V182" s="7">
        <f>IF($C182="","",SUMIFS('Q3 Data'!$K$4:$K$207,'Q3 Data'!$B$4:$B$207,$S182)+SUMIFS('Q3 Data'!$N$4:$N$207,'Q3 Data'!$B$4:$B$207,$S182)+SUMIFS('Q3 Data'!$L$4:$L$207,'Q3 Data'!$B$4:$B$207,$S182))</f>
      </c>
      <c r="W182" s="7">
        <f>IF($C182="","",SUMIFS('Q4 Data'!$K$4:$K$207,'Q4 Data'!$B$4:$B$207,$S182)+SUMIFS('Q4 Data'!$N$4:$N$207,'Q4 Data'!$B$4:$B$207,$S182)+SUMIFS('Q4 Data'!$L$4:$L$207,'Q4 Data'!$B$4:$B$207,$S182))</f>
      </c>
      <c r="X182" s="7">
        <f>IF($C182="","",T182+U182+V182+W182)</f>
      </c>
      <c r="Y182" s="7">
        <f>IF($C182="","",M182-L182)</f>
      </c>
      <c r="Z182" s="7">
        <f>IF($C182="","",Y182-X182)</f>
      </c>
      <c r="AA182" s="7">
        <f>IF($C182="","",IF(ROUND(X182-Y182,2)&gt;0,"Over-applied",IF(ROUND(X182-Y182,2)=0,"Fully Utilised","Unconsumed")))</f>
      </c>
    </row>
    <row r="183" spans="1:27" x14ac:dyDescent="0.25">
      <c r="A183" s="7">
        <f>IF($C183="","",COUNTIF($C$4:$C183,"&lt;&gt;"))</f>
      </c>
      <c r="B183" s="8"/>
      <c r="C183" s="8"/>
      <c r="D183" s="8"/>
      <c r="E183" s="8"/>
      <c r="F183" s="8"/>
      <c r="G183" s="8"/>
      <c r="H183" s="8"/>
      <c r="I183" s="8"/>
      <c r="J183" s="8"/>
      <c r="K183" s="8"/>
      <c r="L183" s="8"/>
      <c r="M183" s="7">
        <f>IF($C183="","",G183+H183+I183+J183+K183+L183)</f>
      </c>
      <c r="N183" s="8"/>
      <c r="O183" s="8"/>
      <c r="P183" s="8"/>
      <c r="Q183" s="8"/>
      <c r="R183" s="8"/>
      <c r="S183" s="7">
        <f>IF($C183="","",C183&amp;" | BSR "&amp;B183&amp;" | "&amp;TEXT(D183,"dd-mm-yyyy")&amp;" | ₹"&amp;TEXT(M183,"#,##0"))</f>
      </c>
      <c r="T183" s="7">
        <f>IF($C183="","",SUMIFS('Q1 Data'!$K$4:$K$207,'Q1 Data'!$B$4:$B$207,$S183)+SUMIFS('Q1 Data'!$N$4:$N$207,'Q1 Data'!$B$4:$B$207,$S183)+SUMIFS('Q1 Data'!$L$4:$L$207,'Q1 Data'!$B$4:$B$207,$S183))</f>
      </c>
      <c r="U183" s="7">
        <f>IF($C183="","",SUMIFS('Q2 Data'!$K$4:$K$207,'Q2 Data'!$B$4:$B$207,$S183)+SUMIFS('Q2 Data'!$N$4:$N$207,'Q2 Data'!$B$4:$B$207,$S183)+SUMIFS('Q2 Data'!$L$4:$L$207,'Q2 Data'!$B$4:$B$207,$S183))</f>
      </c>
      <c r="V183" s="7">
        <f>IF($C183="","",SUMIFS('Q3 Data'!$K$4:$K$207,'Q3 Data'!$B$4:$B$207,$S183)+SUMIFS('Q3 Data'!$N$4:$N$207,'Q3 Data'!$B$4:$B$207,$S183)+SUMIFS('Q3 Data'!$L$4:$L$207,'Q3 Data'!$B$4:$B$207,$S183))</f>
      </c>
      <c r="W183" s="7">
        <f>IF($C183="","",SUMIFS('Q4 Data'!$K$4:$K$207,'Q4 Data'!$B$4:$B$207,$S183)+SUMIFS('Q4 Data'!$N$4:$N$207,'Q4 Data'!$B$4:$B$207,$S183)+SUMIFS('Q4 Data'!$L$4:$L$207,'Q4 Data'!$B$4:$B$207,$S183))</f>
      </c>
      <c r="X183" s="7">
        <f>IF($C183="","",T183+U183+V183+W183)</f>
      </c>
      <c r="Y183" s="7">
        <f>IF($C183="","",M183-L183)</f>
      </c>
      <c r="Z183" s="7">
        <f>IF($C183="","",Y183-X183)</f>
      </c>
      <c r="AA183" s="7">
        <f>IF($C183="","",IF(ROUND(X183-Y183,2)&gt;0,"Over-applied",IF(ROUND(X183-Y183,2)=0,"Fully Utilised","Unconsumed")))</f>
      </c>
    </row>
    <row r="184" spans="1:27" x14ac:dyDescent="0.25">
      <c r="A184" s="7">
        <f>IF($C184="","",COUNTIF($C$4:$C184,"&lt;&gt;"))</f>
      </c>
      <c r="B184" s="8"/>
      <c r="C184" s="8"/>
      <c r="D184" s="8"/>
      <c r="E184" s="8"/>
      <c r="F184" s="8"/>
      <c r="G184" s="8"/>
      <c r="H184" s="8"/>
      <c r="I184" s="8"/>
      <c r="J184" s="8"/>
      <c r="K184" s="8"/>
      <c r="L184" s="8"/>
      <c r="M184" s="7">
        <f>IF($C184="","",G184+H184+I184+J184+K184+L184)</f>
      </c>
      <c r="N184" s="8"/>
      <c r="O184" s="8"/>
      <c r="P184" s="8"/>
      <c r="Q184" s="8"/>
      <c r="R184" s="8"/>
      <c r="S184" s="7">
        <f>IF($C184="","",C184&amp;" | BSR "&amp;B184&amp;" | "&amp;TEXT(D184,"dd-mm-yyyy")&amp;" | ₹"&amp;TEXT(M184,"#,##0"))</f>
      </c>
      <c r="T184" s="7">
        <f>IF($C184="","",SUMIFS('Q1 Data'!$K$4:$K$207,'Q1 Data'!$B$4:$B$207,$S184)+SUMIFS('Q1 Data'!$N$4:$N$207,'Q1 Data'!$B$4:$B$207,$S184)+SUMIFS('Q1 Data'!$L$4:$L$207,'Q1 Data'!$B$4:$B$207,$S184))</f>
      </c>
      <c r="U184" s="7">
        <f>IF($C184="","",SUMIFS('Q2 Data'!$K$4:$K$207,'Q2 Data'!$B$4:$B$207,$S184)+SUMIFS('Q2 Data'!$N$4:$N$207,'Q2 Data'!$B$4:$B$207,$S184)+SUMIFS('Q2 Data'!$L$4:$L$207,'Q2 Data'!$B$4:$B$207,$S184))</f>
      </c>
      <c r="V184" s="7">
        <f>IF($C184="","",SUMIFS('Q3 Data'!$K$4:$K$207,'Q3 Data'!$B$4:$B$207,$S184)+SUMIFS('Q3 Data'!$N$4:$N$207,'Q3 Data'!$B$4:$B$207,$S184)+SUMIFS('Q3 Data'!$L$4:$L$207,'Q3 Data'!$B$4:$B$207,$S184))</f>
      </c>
      <c r="W184" s="7">
        <f>IF($C184="","",SUMIFS('Q4 Data'!$K$4:$K$207,'Q4 Data'!$B$4:$B$207,$S184)+SUMIFS('Q4 Data'!$N$4:$N$207,'Q4 Data'!$B$4:$B$207,$S184)+SUMIFS('Q4 Data'!$L$4:$L$207,'Q4 Data'!$B$4:$B$207,$S184))</f>
      </c>
      <c r="X184" s="7">
        <f>IF($C184="","",T184+U184+V184+W184)</f>
      </c>
      <c r="Y184" s="7">
        <f>IF($C184="","",M184-L184)</f>
      </c>
      <c r="Z184" s="7">
        <f>IF($C184="","",Y184-X184)</f>
      </c>
      <c r="AA184" s="7">
        <f>IF($C184="","",IF(ROUND(X184-Y184,2)&gt;0,"Over-applied",IF(ROUND(X184-Y184,2)=0,"Fully Utilised","Unconsumed")))</f>
      </c>
    </row>
    <row r="185" spans="1:27" x14ac:dyDescent="0.25">
      <c r="A185" s="7">
        <f>IF($C185="","",COUNTIF($C$4:$C185,"&lt;&gt;"))</f>
      </c>
      <c r="B185" s="8"/>
      <c r="C185" s="8"/>
      <c r="D185" s="8"/>
      <c r="E185" s="8"/>
      <c r="F185" s="8"/>
      <c r="G185" s="8"/>
      <c r="H185" s="8"/>
      <c r="I185" s="8"/>
      <c r="J185" s="8"/>
      <c r="K185" s="8"/>
      <c r="L185" s="8"/>
      <c r="M185" s="7">
        <f>IF($C185="","",G185+H185+I185+J185+K185+L185)</f>
      </c>
      <c r="N185" s="8"/>
      <c r="O185" s="8"/>
      <c r="P185" s="8"/>
      <c r="Q185" s="8"/>
      <c r="R185" s="8"/>
      <c r="S185" s="7">
        <f>IF($C185="","",C185&amp;" | BSR "&amp;B185&amp;" | "&amp;TEXT(D185,"dd-mm-yyyy")&amp;" | ₹"&amp;TEXT(M185,"#,##0"))</f>
      </c>
      <c r="T185" s="7">
        <f>IF($C185="","",SUMIFS('Q1 Data'!$K$4:$K$207,'Q1 Data'!$B$4:$B$207,$S185)+SUMIFS('Q1 Data'!$N$4:$N$207,'Q1 Data'!$B$4:$B$207,$S185)+SUMIFS('Q1 Data'!$L$4:$L$207,'Q1 Data'!$B$4:$B$207,$S185))</f>
      </c>
      <c r="U185" s="7">
        <f>IF($C185="","",SUMIFS('Q2 Data'!$K$4:$K$207,'Q2 Data'!$B$4:$B$207,$S185)+SUMIFS('Q2 Data'!$N$4:$N$207,'Q2 Data'!$B$4:$B$207,$S185)+SUMIFS('Q2 Data'!$L$4:$L$207,'Q2 Data'!$B$4:$B$207,$S185))</f>
      </c>
      <c r="V185" s="7">
        <f>IF($C185="","",SUMIFS('Q3 Data'!$K$4:$K$207,'Q3 Data'!$B$4:$B$207,$S185)+SUMIFS('Q3 Data'!$N$4:$N$207,'Q3 Data'!$B$4:$B$207,$S185)+SUMIFS('Q3 Data'!$L$4:$L$207,'Q3 Data'!$B$4:$B$207,$S185))</f>
      </c>
      <c r="W185" s="7">
        <f>IF($C185="","",SUMIFS('Q4 Data'!$K$4:$K$207,'Q4 Data'!$B$4:$B$207,$S185)+SUMIFS('Q4 Data'!$N$4:$N$207,'Q4 Data'!$B$4:$B$207,$S185)+SUMIFS('Q4 Data'!$L$4:$L$207,'Q4 Data'!$B$4:$B$207,$S185))</f>
      </c>
      <c r="X185" s="7">
        <f>IF($C185="","",T185+U185+V185+W185)</f>
      </c>
      <c r="Y185" s="7">
        <f>IF($C185="","",M185-L185)</f>
      </c>
      <c r="Z185" s="7">
        <f>IF($C185="","",Y185-X185)</f>
      </c>
      <c r="AA185" s="7">
        <f>IF($C185="","",IF(ROUND(X185-Y185,2)&gt;0,"Over-applied",IF(ROUND(X185-Y185,2)=0,"Fully Utilised","Unconsumed")))</f>
      </c>
    </row>
    <row r="186" spans="1:27" x14ac:dyDescent="0.25">
      <c r="A186" s="7">
        <f>IF($C186="","",COUNTIF($C$4:$C186,"&lt;&gt;"))</f>
      </c>
      <c r="B186" s="8"/>
      <c r="C186" s="8"/>
      <c r="D186" s="8"/>
      <c r="E186" s="8"/>
      <c r="F186" s="8"/>
      <c r="G186" s="8"/>
      <c r="H186" s="8"/>
      <c r="I186" s="8"/>
      <c r="J186" s="8"/>
      <c r="K186" s="8"/>
      <c r="L186" s="8"/>
      <c r="M186" s="7">
        <f>IF($C186="","",G186+H186+I186+J186+K186+L186)</f>
      </c>
      <c r="N186" s="8"/>
      <c r="O186" s="8"/>
      <c r="P186" s="8"/>
      <c r="Q186" s="8"/>
      <c r="R186" s="8"/>
      <c r="S186" s="7">
        <f>IF($C186="","",C186&amp;" | BSR "&amp;B186&amp;" | "&amp;TEXT(D186,"dd-mm-yyyy")&amp;" | ₹"&amp;TEXT(M186,"#,##0"))</f>
      </c>
      <c r="T186" s="7">
        <f>IF($C186="","",SUMIFS('Q1 Data'!$K$4:$K$207,'Q1 Data'!$B$4:$B$207,$S186)+SUMIFS('Q1 Data'!$N$4:$N$207,'Q1 Data'!$B$4:$B$207,$S186)+SUMIFS('Q1 Data'!$L$4:$L$207,'Q1 Data'!$B$4:$B$207,$S186))</f>
      </c>
      <c r="U186" s="7">
        <f>IF($C186="","",SUMIFS('Q2 Data'!$K$4:$K$207,'Q2 Data'!$B$4:$B$207,$S186)+SUMIFS('Q2 Data'!$N$4:$N$207,'Q2 Data'!$B$4:$B$207,$S186)+SUMIFS('Q2 Data'!$L$4:$L$207,'Q2 Data'!$B$4:$B$207,$S186))</f>
      </c>
      <c r="V186" s="7">
        <f>IF($C186="","",SUMIFS('Q3 Data'!$K$4:$K$207,'Q3 Data'!$B$4:$B$207,$S186)+SUMIFS('Q3 Data'!$N$4:$N$207,'Q3 Data'!$B$4:$B$207,$S186)+SUMIFS('Q3 Data'!$L$4:$L$207,'Q3 Data'!$B$4:$B$207,$S186))</f>
      </c>
      <c r="W186" s="7">
        <f>IF($C186="","",SUMIFS('Q4 Data'!$K$4:$K$207,'Q4 Data'!$B$4:$B$207,$S186)+SUMIFS('Q4 Data'!$N$4:$N$207,'Q4 Data'!$B$4:$B$207,$S186)+SUMIFS('Q4 Data'!$L$4:$L$207,'Q4 Data'!$B$4:$B$207,$S186))</f>
      </c>
      <c r="X186" s="7">
        <f>IF($C186="","",T186+U186+V186+W186)</f>
      </c>
      <c r="Y186" s="7">
        <f>IF($C186="","",M186-L186)</f>
      </c>
      <c r="Z186" s="7">
        <f>IF($C186="","",Y186-X186)</f>
      </c>
      <c r="AA186" s="7">
        <f>IF($C186="","",IF(ROUND(X186-Y186,2)&gt;0,"Over-applied",IF(ROUND(X186-Y186,2)=0,"Fully Utilised","Unconsumed")))</f>
      </c>
    </row>
    <row r="187" spans="1:27" x14ac:dyDescent="0.25">
      <c r="A187" s="7">
        <f>IF($C187="","",COUNTIF($C$4:$C187,"&lt;&gt;"))</f>
      </c>
      <c r="B187" s="8"/>
      <c r="C187" s="8"/>
      <c r="D187" s="8"/>
      <c r="E187" s="8"/>
      <c r="F187" s="8"/>
      <c r="G187" s="8"/>
      <c r="H187" s="8"/>
      <c r="I187" s="8"/>
      <c r="J187" s="8"/>
      <c r="K187" s="8"/>
      <c r="L187" s="8"/>
      <c r="M187" s="7">
        <f>IF($C187="","",G187+H187+I187+J187+K187+L187)</f>
      </c>
      <c r="N187" s="8"/>
      <c r="O187" s="8"/>
      <c r="P187" s="8"/>
      <c r="Q187" s="8"/>
      <c r="R187" s="8"/>
      <c r="S187" s="7">
        <f>IF($C187="","",C187&amp;" | BSR "&amp;B187&amp;" | "&amp;TEXT(D187,"dd-mm-yyyy")&amp;" | ₹"&amp;TEXT(M187,"#,##0"))</f>
      </c>
      <c r="T187" s="7">
        <f>IF($C187="","",SUMIFS('Q1 Data'!$K$4:$K$207,'Q1 Data'!$B$4:$B$207,$S187)+SUMIFS('Q1 Data'!$N$4:$N$207,'Q1 Data'!$B$4:$B$207,$S187)+SUMIFS('Q1 Data'!$L$4:$L$207,'Q1 Data'!$B$4:$B$207,$S187))</f>
      </c>
      <c r="U187" s="7">
        <f>IF($C187="","",SUMIFS('Q2 Data'!$K$4:$K$207,'Q2 Data'!$B$4:$B$207,$S187)+SUMIFS('Q2 Data'!$N$4:$N$207,'Q2 Data'!$B$4:$B$207,$S187)+SUMIFS('Q2 Data'!$L$4:$L$207,'Q2 Data'!$B$4:$B$207,$S187))</f>
      </c>
      <c r="V187" s="7">
        <f>IF($C187="","",SUMIFS('Q3 Data'!$K$4:$K$207,'Q3 Data'!$B$4:$B$207,$S187)+SUMIFS('Q3 Data'!$N$4:$N$207,'Q3 Data'!$B$4:$B$207,$S187)+SUMIFS('Q3 Data'!$L$4:$L$207,'Q3 Data'!$B$4:$B$207,$S187))</f>
      </c>
      <c r="W187" s="7">
        <f>IF($C187="","",SUMIFS('Q4 Data'!$K$4:$K$207,'Q4 Data'!$B$4:$B$207,$S187)+SUMIFS('Q4 Data'!$N$4:$N$207,'Q4 Data'!$B$4:$B$207,$S187)+SUMIFS('Q4 Data'!$L$4:$L$207,'Q4 Data'!$B$4:$B$207,$S187))</f>
      </c>
      <c r="X187" s="7">
        <f>IF($C187="","",T187+U187+V187+W187)</f>
      </c>
      <c r="Y187" s="7">
        <f>IF($C187="","",M187-L187)</f>
      </c>
      <c r="Z187" s="7">
        <f>IF($C187="","",Y187-X187)</f>
      </c>
      <c r="AA187" s="7">
        <f>IF($C187="","",IF(ROUND(X187-Y187,2)&gt;0,"Over-applied",IF(ROUND(X187-Y187,2)=0,"Fully Utilised","Unconsumed")))</f>
      </c>
    </row>
    <row r="188" spans="1:27" x14ac:dyDescent="0.25">
      <c r="A188" s="7">
        <f>IF($C188="","",COUNTIF($C$4:$C188,"&lt;&gt;"))</f>
      </c>
      <c r="B188" s="8"/>
      <c r="C188" s="8"/>
      <c r="D188" s="8"/>
      <c r="E188" s="8"/>
      <c r="F188" s="8"/>
      <c r="G188" s="8"/>
      <c r="H188" s="8"/>
      <c r="I188" s="8"/>
      <c r="J188" s="8"/>
      <c r="K188" s="8"/>
      <c r="L188" s="8"/>
      <c r="M188" s="7">
        <f>IF($C188="","",G188+H188+I188+J188+K188+L188)</f>
      </c>
      <c r="N188" s="8"/>
      <c r="O188" s="8"/>
      <c r="P188" s="8"/>
      <c r="Q188" s="8"/>
      <c r="R188" s="8"/>
      <c r="S188" s="7">
        <f>IF($C188="","",C188&amp;" | BSR "&amp;B188&amp;" | "&amp;TEXT(D188,"dd-mm-yyyy")&amp;" | ₹"&amp;TEXT(M188,"#,##0"))</f>
      </c>
      <c r="T188" s="7">
        <f>IF($C188="","",SUMIFS('Q1 Data'!$K$4:$K$207,'Q1 Data'!$B$4:$B$207,$S188)+SUMIFS('Q1 Data'!$N$4:$N$207,'Q1 Data'!$B$4:$B$207,$S188)+SUMIFS('Q1 Data'!$L$4:$L$207,'Q1 Data'!$B$4:$B$207,$S188))</f>
      </c>
      <c r="U188" s="7">
        <f>IF($C188="","",SUMIFS('Q2 Data'!$K$4:$K$207,'Q2 Data'!$B$4:$B$207,$S188)+SUMIFS('Q2 Data'!$N$4:$N$207,'Q2 Data'!$B$4:$B$207,$S188)+SUMIFS('Q2 Data'!$L$4:$L$207,'Q2 Data'!$B$4:$B$207,$S188))</f>
      </c>
      <c r="V188" s="7">
        <f>IF($C188="","",SUMIFS('Q3 Data'!$K$4:$K$207,'Q3 Data'!$B$4:$B$207,$S188)+SUMIFS('Q3 Data'!$N$4:$N$207,'Q3 Data'!$B$4:$B$207,$S188)+SUMIFS('Q3 Data'!$L$4:$L$207,'Q3 Data'!$B$4:$B$207,$S188))</f>
      </c>
      <c r="W188" s="7">
        <f>IF($C188="","",SUMIFS('Q4 Data'!$K$4:$K$207,'Q4 Data'!$B$4:$B$207,$S188)+SUMIFS('Q4 Data'!$N$4:$N$207,'Q4 Data'!$B$4:$B$207,$S188)+SUMIFS('Q4 Data'!$L$4:$L$207,'Q4 Data'!$B$4:$B$207,$S188))</f>
      </c>
      <c r="X188" s="7">
        <f>IF($C188="","",T188+U188+V188+W188)</f>
      </c>
      <c r="Y188" s="7">
        <f>IF($C188="","",M188-L188)</f>
      </c>
      <c r="Z188" s="7">
        <f>IF($C188="","",Y188-X188)</f>
      </c>
      <c r="AA188" s="7">
        <f>IF($C188="","",IF(ROUND(X188-Y188,2)&gt;0,"Over-applied",IF(ROUND(X188-Y188,2)=0,"Fully Utilised","Unconsumed")))</f>
      </c>
    </row>
    <row r="189" spans="1:27" x14ac:dyDescent="0.25">
      <c r="A189" s="7">
        <f>IF($C189="","",COUNTIF($C$4:$C189,"&lt;&gt;"))</f>
      </c>
      <c r="B189" s="8"/>
      <c r="C189" s="8"/>
      <c r="D189" s="8"/>
      <c r="E189" s="8"/>
      <c r="F189" s="8"/>
      <c r="G189" s="8"/>
      <c r="H189" s="8"/>
      <c r="I189" s="8"/>
      <c r="J189" s="8"/>
      <c r="K189" s="8"/>
      <c r="L189" s="8"/>
      <c r="M189" s="7">
        <f>IF($C189="","",G189+H189+I189+J189+K189+L189)</f>
      </c>
      <c r="N189" s="8"/>
      <c r="O189" s="8"/>
      <c r="P189" s="8"/>
      <c r="Q189" s="8"/>
      <c r="R189" s="8"/>
      <c r="S189" s="7">
        <f>IF($C189="","",C189&amp;" | BSR "&amp;B189&amp;" | "&amp;TEXT(D189,"dd-mm-yyyy")&amp;" | ₹"&amp;TEXT(M189,"#,##0"))</f>
      </c>
      <c r="T189" s="7">
        <f>IF($C189="","",SUMIFS('Q1 Data'!$K$4:$K$207,'Q1 Data'!$B$4:$B$207,$S189)+SUMIFS('Q1 Data'!$N$4:$N$207,'Q1 Data'!$B$4:$B$207,$S189)+SUMIFS('Q1 Data'!$L$4:$L$207,'Q1 Data'!$B$4:$B$207,$S189))</f>
      </c>
      <c r="U189" s="7">
        <f>IF($C189="","",SUMIFS('Q2 Data'!$K$4:$K$207,'Q2 Data'!$B$4:$B$207,$S189)+SUMIFS('Q2 Data'!$N$4:$N$207,'Q2 Data'!$B$4:$B$207,$S189)+SUMIFS('Q2 Data'!$L$4:$L$207,'Q2 Data'!$B$4:$B$207,$S189))</f>
      </c>
      <c r="V189" s="7">
        <f>IF($C189="","",SUMIFS('Q3 Data'!$K$4:$K$207,'Q3 Data'!$B$4:$B$207,$S189)+SUMIFS('Q3 Data'!$N$4:$N$207,'Q3 Data'!$B$4:$B$207,$S189)+SUMIFS('Q3 Data'!$L$4:$L$207,'Q3 Data'!$B$4:$B$207,$S189))</f>
      </c>
      <c r="W189" s="7">
        <f>IF($C189="","",SUMIFS('Q4 Data'!$K$4:$K$207,'Q4 Data'!$B$4:$B$207,$S189)+SUMIFS('Q4 Data'!$N$4:$N$207,'Q4 Data'!$B$4:$B$207,$S189)+SUMIFS('Q4 Data'!$L$4:$L$207,'Q4 Data'!$B$4:$B$207,$S189))</f>
      </c>
      <c r="X189" s="7">
        <f>IF($C189="","",T189+U189+V189+W189)</f>
      </c>
      <c r="Y189" s="7">
        <f>IF($C189="","",M189-L189)</f>
      </c>
      <c r="Z189" s="7">
        <f>IF($C189="","",Y189-X189)</f>
      </c>
      <c r="AA189" s="7">
        <f>IF($C189="","",IF(ROUND(X189-Y189,2)&gt;0,"Over-applied",IF(ROUND(X189-Y189,2)=0,"Fully Utilised","Unconsumed")))</f>
      </c>
    </row>
    <row r="190" spans="1:27" x14ac:dyDescent="0.25">
      <c r="A190" s="7">
        <f>IF($C190="","",COUNTIF($C$4:$C190,"&lt;&gt;"))</f>
      </c>
      <c r="B190" s="8"/>
      <c r="C190" s="8"/>
      <c r="D190" s="8"/>
      <c r="E190" s="8"/>
      <c r="F190" s="8"/>
      <c r="G190" s="8"/>
      <c r="H190" s="8"/>
      <c r="I190" s="8"/>
      <c r="J190" s="8"/>
      <c r="K190" s="8"/>
      <c r="L190" s="8"/>
      <c r="M190" s="7">
        <f>IF($C190="","",G190+H190+I190+J190+K190+L190)</f>
      </c>
      <c r="N190" s="8"/>
      <c r="O190" s="8"/>
      <c r="P190" s="8"/>
      <c r="Q190" s="8"/>
      <c r="R190" s="8"/>
      <c r="S190" s="7">
        <f>IF($C190="","",C190&amp;" | BSR "&amp;B190&amp;" | "&amp;TEXT(D190,"dd-mm-yyyy")&amp;" | ₹"&amp;TEXT(M190,"#,##0"))</f>
      </c>
      <c r="T190" s="7">
        <f>IF($C190="","",SUMIFS('Q1 Data'!$K$4:$K$207,'Q1 Data'!$B$4:$B$207,$S190)+SUMIFS('Q1 Data'!$N$4:$N$207,'Q1 Data'!$B$4:$B$207,$S190)+SUMIFS('Q1 Data'!$L$4:$L$207,'Q1 Data'!$B$4:$B$207,$S190))</f>
      </c>
      <c r="U190" s="7">
        <f>IF($C190="","",SUMIFS('Q2 Data'!$K$4:$K$207,'Q2 Data'!$B$4:$B$207,$S190)+SUMIFS('Q2 Data'!$N$4:$N$207,'Q2 Data'!$B$4:$B$207,$S190)+SUMIFS('Q2 Data'!$L$4:$L$207,'Q2 Data'!$B$4:$B$207,$S190))</f>
      </c>
      <c r="V190" s="7">
        <f>IF($C190="","",SUMIFS('Q3 Data'!$K$4:$K$207,'Q3 Data'!$B$4:$B$207,$S190)+SUMIFS('Q3 Data'!$N$4:$N$207,'Q3 Data'!$B$4:$B$207,$S190)+SUMIFS('Q3 Data'!$L$4:$L$207,'Q3 Data'!$B$4:$B$207,$S190))</f>
      </c>
      <c r="W190" s="7">
        <f>IF($C190="","",SUMIFS('Q4 Data'!$K$4:$K$207,'Q4 Data'!$B$4:$B$207,$S190)+SUMIFS('Q4 Data'!$N$4:$N$207,'Q4 Data'!$B$4:$B$207,$S190)+SUMIFS('Q4 Data'!$L$4:$L$207,'Q4 Data'!$B$4:$B$207,$S190))</f>
      </c>
      <c r="X190" s="7">
        <f>IF($C190="","",T190+U190+V190+W190)</f>
      </c>
      <c r="Y190" s="7">
        <f>IF($C190="","",M190-L190)</f>
      </c>
      <c r="Z190" s="7">
        <f>IF($C190="","",Y190-X190)</f>
      </c>
      <c r="AA190" s="7">
        <f>IF($C190="","",IF(ROUND(X190-Y190,2)&gt;0,"Over-applied",IF(ROUND(X190-Y190,2)=0,"Fully Utilised","Unconsumed")))</f>
      </c>
    </row>
    <row r="191" spans="1:27" x14ac:dyDescent="0.25">
      <c r="A191" s="7">
        <f>IF($C191="","",COUNTIF($C$4:$C191,"&lt;&gt;"))</f>
      </c>
      <c r="B191" s="8"/>
      <c r="C191" s="8"/>
      <c r="D191" s="8"/>
      <c r="E191" s="8"/>
      <c r="F191" s="8"/>
      <c r="G191" s="8"/>
      <c r="H191" s="8"/>
      <c r="I191" s="8"/>
      <c r="J191" s="8"/>
      <c r="K191" s="8"/>
      <c r="L191" s="8"/>
      <c r="M191" s="7">
        <f>IF($C191="","",G191+H191+I191+J191+K191+L191)</f>
      </c>
      <c r="N191" s="8"/>
      <c r="O191" s="8"/>
      <c r="P191" s="8"/>
      <c r="Q191" s="8"/>
      <c r="R191" s="8"/>
      <c r="S191" s="7">
        <f>IF($C191="","",C191&amp;" | BSR "&amp;B191&amp;" | "&amp;TEXT(D191,"dd-mm-yyyy")&amp;" | ₹"&amp;TEXT(M191,"#,##0"))</f>
      </c>
      <c r="T191" s="7">
        <f>IF($C191="","",SUMIFS('Q1 Data'!$K$4:$K$207,'Q1 Data'!$B$4:$B$207,$S191)+SUMIFS('Q1 Data'!$N$4:$N$207,'Q1 Data'!$B$4:$B$207,$S191)+SUMIFS('Q1 Data'!$L$4:$L$207,'Q1 Data'!$B$4:$B$207,$S191))</f>
      </c>
      <c r="U191" s="7">
        <f>IF($C191="","",SUMIFS('Q2 Data'!$K$4:$K$207,'Q2 Data'!$B$4:$B$207,$S191)+SUMIFS('Q2 Data'!$N$4:$N$207,'Q2 Data'!$B$4:$B$207,$S191)+SUMIFS('Q2 Data'!$L$4:$L$207,'Q2 Data'!$B$4:$B$207,$S191))</f>
      </c>
      <c r="V191" s="7">
        <f>IF($C191="","",SUMIFS('Q3 Data'!$K$4:$K$207,'Q3 Data'!$B$4:$B$207,$S191)+SUMIFS('Q3 Data'!$N$4:$N$207,'Q3 Data'!$B$4:$B$207,$S191)+SUMIFS('Q3 Data'!$L$4:$L$207,'Q3 Data'!$B$4:$B$207,$S191))</f>
      </c>
      <c r="W191" s="7">
        <f>IF($C191="","",SUMIFS('Q4 Data'!$K$4:$K$207,'Q4 Data'!$B$4:$B$207,$S191)+SUMIFS('Q4 Data'!$N$4:$N$207,'Q4 Data'!$B$4:$B$207,$S191)+SUMIFS('Q4 Data'!$L$4:$L$207,'Q4 Data'!$B$4:$B$207,$S191))</f>
      </c>
      <c r="X191" s="7">
        <f>IF($C191="","",T191+U191+V191+W191)</f>
      </c>
      <c r="Y191" s="7">
        <f>IF($C191="","",M191-L191)</f>
      </c>
      <c r="Z191" s="7">
        <f>IF($C191="","",Y191-X191)</f>
      </c>
      <c r="AA191" s="7">
        <f>IF($C191="","",IF(ROUND(X191-Y191,2)&gt;0,"Over-applied",IF(ROUND(X191-Y191,2)=0,"Fully Utilised","Unconsumed")))</f>
      </c>
    </row>
    <row r="192" spans="1:27" x14ac:dyDescent="0.25">
      <c r="A192" s="7">
        <f>IF($C192="","",COUNTIF($C$4:$C192,"&lt;&gt;"))</f>
      </c>
      <c r="B192" s="8"/>
      <c r="C192" s="8"/>
      <c r="D192" s="8"/>
      <c r="E192" s="8"/>
      <c r="F192" s="8"/>
      <c r="G192" s="8"/>
      <c r="H192" s="8"/>
      <c r="I192" s="8"/>
      <c r="J192" s="8"/>
      <c r="K192" s="8"/>
      <c r="L192" s="8"/>
      <c r="M192" s="7">
        <f>IF($C192="","",G192+H192+I192+J192+K192+L192)</f>
      </c>
      <c r="N192" s="8"/>
      <c r="O192" s="8"/>
      <c r="P192" s="8"/>
      <c r="Q192" s="8"/>
      <c r="R192" s="8"/>
      <c r="S192" s="7">
        <f>IF($C192="","",C192&amp;" | BSR "&amp;B192&amp;" | "&amp;TEXT(D192,"dd-mm-yyyy")&amp;" | ₹"&amp;TEXT(M192,"#,##0"))</f>
      </c>
      <c r="T192" s="7">
        <f>IF($C192="","",SUMIFS('Q1 Data'!$K$4:$K$207,'Q1 Data'!$B$4:$B$207,$S192)+SUMIFS('Q1 Data'!$N$4:$N$207,'Q1 Data'!$B$4:$B$207,$S192)+SUMIFS('Q1 Data'!$L$4:$L$207,'Q1 Data'!$B$4:$B$207,$S192))</f>
      </c>
      <c r="U192" s="7">
        <f>IF($C192="","",SUMIFS('Q2 Data'!$K$4:$K$207,'Q2 Data'!$B$4:$B$207,$S192)+SUMIFS('Q2 Data'!$N$4:$N$207,'Q2 Data'!$B$4:$B$207,$S192)+SUMIFS('Q2 Data'!$L$4:$L$207,'Q2 Data'!$B$4:$B$207,$S192))</f>
      </c>
      <c r="V192" s="7">
        <f>IF($C192="","",SUMIFS('Q3 Data'!$K$4:$K$207,'Q3 Data'!$B$4:$B$207,$S192)+SUMIFS('Q3 Data'!$N$4:$N$207,'Q3 Data'!$B$4:$B$207,$S192)+SUMIFS('Q3 Data'!$L$4:$L$207,'Q3 Data'!$B$4:$B$207,$S192))</f>
      </c>
      <c r="W192" s="7">
        <f>IF($C192="","",SUMIFS('Q4 Data'!$K$4:$K$207,'Q4 Data'!$B$4:$B$207,$S192)+SUMIFS('Q4 Data'!$N$4:$N$207,'Q4 Data'!$B$4:$B$207,$S192)+SUMIFS('Q4 Data'!$L$4:$L$207,'Q4 Data'!$B$4:$B$207,$S192))</f>
      </c>
      <c r="X192" s="7">
        <f>IF($C192="","",T192+U192+V192+W192)</f>
      </c>
      <c r="Y192" s="7">
        <f>IF($C192="","",M192-L192)</f>
      </c>
      <c r="Z192" s="7">
        <f>IF($C192="","",Y192-X192)</f>
      </c>
      <c r="AA192" s="7">
        <f>IF($C192="","",IF(ROUND(X192-Y192,2)&gt;0,"Over-applied",IF(ROUND(X192-Y192,2)=0,"Fully Utilised","Unconsumed")))</f>
      </c>
    </row>
    <row r="193" spans="1:27" x14ac:dyDescent="0.25">
      <c r="A193" s="7">
        <f>IF($C193="","",COUNTIF($C$4:$C193,"&lt;&gt;"))</f>
      </c>
      <c r="B193" s="8"/>
      <c r="C193" s="8"/>
      <c r="D193" s="8"/>
      <c r="E193" s="8"/>
      <c r="F193" s="8"/>
      <c r="G193" s="8"/>
      <c r="H193" s="8"/>
      <c r="I193" s="8"/>
      <c r="J193" s="8"/>
      <c r="K193" s="8"/>
      <c r="L193" s="8"/>
      <c r="M193" s="7">
        <f>IF($C193="","",G193+H193+I193+J193+K193+L193)</f>
      </c>
      <c r="N193" s="8"/>
      <c r="O193" s="8"/>
      <c r="P193" s="8"/>
      <c r="Q193" s="8"/>
      <c r="R193" s="8"/>
      <c r="S193" s="7">
        <f>IF($C193="","",C193&amp;" | BSR "&amp;B193&amp;" | "&amp;TEXT(D193,"dd-mm-yyyy")&amp;" | ₹"&amp;TEXT(M193,"#,##0"))</f>
      </c>
      <c r="T193" s="7">
        <f>IF($C193="","",SUMIFS('Q1 Data'!$K$4:$K$207,'Q1 Data'!$B$4:$B$207,$S193)+SUMIFS('Q1 Data'!$N$4:$N$207,'Q1 Data'!$B$4:$B$207,$S193)+SUMIFS('Q1 Data'!$L$4:$L$207,'Q1 Data'!$B$4:$B$207,$S193))</f>
      </c>
      <c r="U193" s="7">
        <f>IF($C193="","",SUMIFS('Q2 Data'!$K$4:$K$207,'Q2 Data'!$B$4:$B$207,$S193)+SUMIFS('Q2 Data'!$N$4:$N$207,'Q2 Data'!$B$4:$B$207,$S193)+SUMIFS('Q2 Data'!$L$4:$L$207,'Q2 Data'!$B$4:$B$207,$S193))</f>
      </c>
      <c r="V193" s="7">
        <f>IF($C193="","",SUMIFS('Q3 Data'!$K$4:$K$207,'Q3 Data'!$B$4:$B$207,$S193)+SUMIFS('Q3 Data'!$N$4:$N$207,'Q3 Data'!$B$4:$B$207,$S193)+SUMIFS('Q3 Data'!$L$4:$L$207,'Q3 Data'!$B$4:$B$207,$S193))</f>
      </c>
      <c r="W193" s="7">
        <f>IF($C193="","",SUMIFS('Q4 Data'!$K$4:$K$207,'Q4 Data'!$B$4:$B$207,$S193)+SUMIFS('Q4 Data'!$N$4:$N$207,'Q4 Data'!$B$4:$B$207,$S193)+SUMIFS('Q4 Data'!$L$4:$L$207,'Q4 Data'!$B$4:$B$207,$S193))</f>
      </c>
      <c r="X193" s="7">
        <f>IF($C193="","",T193+U193+V193+W193)</f>
      </c>
      <c r="Y193" s="7">
        <f>IF($C193="","",M193-L193)</f>
      </c>
      <c r="Z193" s="7">
        <f>IF($C193="","",Y193-X193)</f>
      </c>
      <c r="AA193" s="7">
        <f>IF($C193="","",IF(ROUND(X193-Y193,2)&gt;0,"Over-applied",IF(ROUND(X193-Y193,2)=0,"Fully Utilised","Unconsumed")))</f>
      </c>
    </row>
    <row r="194" spans="1:27" x14ac:dyDescent="0.25">
      <c r="A194" s="7">
        <f>IF($C194="","",COUNTIF($C$4:$C194,"&lt;&gt;"))</f>
      </c>
      <c r="B194" s="8"/>
      <c r="C194" s="8"/>
      <c r="D194" s="8"/>
      <c r="E194" s="8"/>
      <c r="F194" s="8"/>
      <c r="G194" s="8"/>
      <c r="H194" s="8"/>
      <c r="I194" s="8"/>
      <c r="J194" s="8"/>
      <c r="K194" s="8"/>
      <c r="L194" s="8"/>
      <c r="M194" s="7">
        <f>IF($C194="","",G194+H194+I194+J194+K194+L194)</f>
      </c>
      <c r="N194" s="8"/>
      <c r="O194" s="8"/>
      <c r="P194" s="8"/>
      <c r="Q194" s="8"/>
      <c r="R194" s="8"/>
      <c r="S194" s="7">
        <f>IF($C194="","",C194&amp;" | BSR "&amp;B194&amp;" | "&amp;TEXT(D194,"dd-mm-yyyy")&amp;" | ₹"&amp;TEXT(M194,"#,##0"))</f>
      </c>
      <c r="T194" s="7">
        <f>IF($C194="","",SUMIFS('Q1 Data'!$K$4:$K$207,'Q1 Data'!$B$4:$B$207,$S194)+SUMIFS('Q1 Data'!$N$4:$N$207,'Q1 Data'!$B$4:$B$207,$S194)+SUMIFS('Q1 Data'!$L$4:$L$207,'Q1 Data'!$B$4:$B$207,$S194))</f>
      </c>
      <c r="U194" s="7">
        <f>IF($C194="","",SUMIFS('Q2 Data'!$K$4:$K$207,'Q2 Data'!$B$4:$B$207,$S194)+SUMIFS('Q2 Data'!$N$4:$N$207,'Q2 Data'!$B$4:$B$207,$S194)+SUMIFS('Q2 Data'!$L$4:$L$207,'Q2 Data'!$B$4:$B$207,$S194))</f>
      </c>
      <c r="V194" s="7">
        <f>IF($C194="","",SUMIFS('Q3 Data'!$K$4:$K$207,'Q3 Data'!$B$4:$B$207,$S194)+SUMIFS('Q3 Data'!$N$4:$N$207,'Q3 Data'!$B$4:$B$207,$S194)+SUMIFS('Q3 Data'!$L$4:$L$207,'Q3 Data'!$B$4:$B$207,$S194))</f>
      </c>
      <c r="W194" s="7">
        <f>IF($C194="","",SUMIFS('Q4 Data'!$K$4:$K$207,'Q4 Data'!$B$4:$B$207,$S194)+SUMIFS('Q4 Data'!$N$4:$N$207,'Q4 Data'!$B$4:$B$207,$S194)+SUMIFS('Q4 Data'!$L$4:$L$207,'Q4 Data'!$B$4:$B$207,$S194))</f>
      </c>
      <c r="X194" s="7">
        <f>IF($C194="","",T194+U194+V194+W194)</f>
      </c>
      <c r="Y194" s="7">
        <f>IF($C194="","",M194-L194)</f>
      </c>
      <c r="Z194" s="7">
        <f>IF($C194="","",Y194-X194)</f>
      </c>
      <c r="AA194" s="7">
        <f>IF($C194="","",IF(ROUND(X194-Y194,2)&gt;0,"Over-applied",IF(ROUND(X194-Y194,2)=0,"Fully Utilised","Unconsumed")))</f>
      </c>
    </row>
    <row r="195" spans="1:27" x14ac:dyDescent="0.25">
      <c r="A195" s="7">
        <f>IF($C195="","",COUNTIF($C$4:$C195,"&lt;&gt;"))</f>
      </c>
      <c r="B195" s="8"/>
      <c r="C195" s="8"/>
      <c r="D195" s="8"/>
      <c r="E195" s="8"/>
      <c r="F195" s="8"/>
      <c r="G195" s="8"/>
      <c r="H195" s="8"/>
      <c r="I195" s="8"/>
      <c r="J195" s="8"/>
      <c r="K195" s="8"/>
      <c r="L195" s="8"/>
      <c r="M195" s="7">
        <f>IF($C195="","",G195+H195+I195+J195+K195+L195)</f>
      </c>
      <c r="N195" s="8"/>
      <c r="O195" s="8"/>
      <c r="P195" s="8"/>
      <c r="Q195" s="8"/>
      <c r="R195" s="8"/>
      <c r="S195" s="7">
        <f>IF($C195="","",C195&amp;" | BSR "&amp;B195&amp;" | "&amp;TEXT(D195,"dd-mm-yyyy")&amp;" | ₹"&amp;TEXT(M195,"#,##0"))</f>
      </c>
      <c r="T195" s="7">
        <f>IF($C195="","",SUMIFS('Q1 Data'!$K$4:$K$207,'Q1 Data'!$B$4:$B$207,$S195)+SUMIFS('Q1 Data'!$N$4:$N$207,'Q1 Data'!$B$4:$B$207,$S195)+SUMIFS('Q1 Data'!$L$4:$L$207,'Q1 Data'!$B$4:$B$207,$S195))</f>
      </c>
      <c r="U195" s="7">
        <f>IF($C195="","",SUMIFS('Q2 Data'!$K$4:$K$207,'Q2 Data'!$B$4:$B$207,$S195)+SUMIFS('Q2 Data'!$N$4:$N$207,'Q2 Data'!$B$4:$B$207,$S195)+SUMIFS('Q2 Data'!$L$4:$L$207,'Q2 Data'!$B$4:$B$207,$S195))</f>
      </c>
      <c r="V195" s="7">
        <f>IF($C195="","",SUMIFS('Q3 Data'!$K$4:$K$207,'Q3 Data'!$B$4:$B$207,$S195)+SUMIFS('Q3 Data'!$N$4:$N$207,'Q3 Data'!$B$4:$B$207,$S195)+SUMIFS('Q3 Data'!$L$4:$L$207,'Q3 Data'!$B$4:$B$207,$S195))</f>
      </c>
      <c r="W195" s="7">
        <f>IF($C195="","",SUMIFS('Q4 Data'!$K$4:$K$207,'Q4 Data'!$B$4:$B$207,$S195)+SUMIFS('Q4 Data'!$N$4:$N$207,'Q4 Data'!$B$4:$B$207,$S195)+SUMIFS('Q4 Data'!$L$4:$L$207,'Q4 Data'!$B$4:$B$207,$S195))</f>
      </c>
      <c r="X195" s="7">
        <f>IF($C195="","",T195+U195+V195+W195)</f>
      </c>
      <c r="Y195" s="7">
        <f>IF($C195="","",M195-L195)</f>
      </c>
      <c r="Z195" s="7">
        <f>IF($C195="","",Y195-X195)</f>
      </c>
      <c r="AA195" s="7">
        <f>IF($C195="","",IF(ROUND(X195-Y195,2)&gt;0,"Over-applied",IF(ROUND(X195-Y195,2)=0,"Fully Utilised","Unconsumed")))</f>
      </c>
    </row>
    <row r="196" spans="1:27" x14ac:dyDescent="0.25">
      <c r="A196" s="7">
        <f>IF($C196="","",COUNTIF($C$4:$C196,"&lt;&gt;"))</f>
      </c>
      <c r="B196" s="8"/>
      <c r="C196" s="8"/>
      <c r="D196" s="8"/>
      <c r="E196" s="8"/>
      <c r="F196" s="8"/>
      <c r="G196" s="8"/>
      <c r="H196" s="8"/>
      <c r="I196" s="8"/>
      <c r="J196" s="8"/>
      <c r="K196" s="8"/>
      <c r="L196" s="8"/>
      <c r="M196" s="7">
        <f>IF($C196="","",G196+H196+I196+J196+K196+L196)</f>
      </c>
      <c r="N196" s="8"/>
      <c r="O196" s="8"/>
      <c r="P196" s="8"/>
      <c r="Q196" s="8"/>
      <c r="R196" s="8"/>
      <c r="S196" s="7">
        <f>IF($C196="","",C196&amp;" | BSR "&amp;B196&amp;" | "&amp;TEXT(D196,"dd-mm-yyyy")&amp;" | ₹"&amp;TEXT(M196,"#,##0"))</f>
      </c>
      <c r="T196" s="7">
        <f>IF($C196="","",SUMIFS('Q1 Data'!$K$4:$K$207,'Q1 Data'!$B$4:$B$207,$S196)+SUMIFS('Q1 Data'!$N$4:$N$207,'Q1 Data'!$B$4:$B$207,$S196)+SUMIFS('Q1 Data'!$L$4:$L$207,'Q1 Data'!$B$4:$B$207,$S196))</f>
      </c>
      <c r="U196" s="7">
        <f>IF($C196="","",SUMIFS('Q2 Data'!$K$4:$K$207,'Q2 Data'!$B$4:$B$207,$S196)+SUMIFS('Q2 Data'!$N$4:$N$207,'Q2 Data'!$B$4:$B$207,$S196)+SUMIFS('Q2 Data'!$L$4:$L$207,'Q2 Data'!$B$4:$B$207,$S196))</f>
      </c>
      <c r="V196" s="7">
        <f>IF($C196="","",SUMIFS('Q3 Data'!$K$4:$K$207,'Q3 Data'!$B$4:$B$207,$S196)+SUMIFS('Q3 Data'!$N$4:$N$207,'Q3 Data'!$B$4:$B$207,$S196)+SUMIFS('Q3 Data'!$L$4:$L$207,'Q3 Data'!$B$4:$B$207,$S196))</f>
      </c>
      <c r="W196" s="7">
        <f>IF($C196="","",SUMIFS('Q4 Data'!$K$4:$K$207,'Q4 Data'!$B$4:$B$207,$S196)+SUMIFS('Q4 Data'!$N$4:$N$207,'Q4 Data'!$B$4:$B$207,$S196)+SUMIFS('Q4 Data'!$L$4:$L$207,'Q4 Data'!$B$4:$B$207,$S196))</f>
      </c>
      <c r="X196" s="7">
        <f>IF($C196="","",T196+U196+V196+W196)</f>
      </c>
      <c r="Y196" s="7">
        <f>IF($C196="","",M196-L196)</f>
      </c>
      <c r="Z196" s="7">
        <f>IF($C196="","",Y196-X196)</f>
      </c>
      <c r="AA196" s="7">
        <f>IF($C196="","",IF(ROUND(X196-Y196,2)&gt;0,"Over-applied",IF(ROUND(X196-Y196,2)=0,"Fully Utilised","Unconsumed")))</f>
      </c>
    </row>
    <row r="197" spans="1:27" x14ac:dyDescent="0.25">
      <c r="A197" s="7">
        <f>IF($C197="","",COUNTIF($C$4:$C197,"&lt;&gt;"))</f>
      </c>
      <c r="B197" s="8"/>
      <c r="C197" s="8"/>
      <c r="D197" s="8"/>
      <c r="E197" s="8"/>
      <c r="F197" s="8"/>
      <c r="G197" s="8"/>
      <c r="H197" s="8"/>
      <c r="I197" s="8"/>
      <c r="J197" s="8"/>
      <c r="K197" s="8"/>
      <c r="L197" s="8"/>
      <c r="M197" s="7">
        <f>IF($C197="","",G197+H197+I197+J197+K197+L197)</f>
      </c>
      <c r="N197" s="8"/>
      <c r="O197" s="8"/>
      <c r="P197" s="8"/>
      <c r="Q197" s="8"/>
      <c r="R197" s="8"/>
      <c r="S197" s="7">
        <f>IF($C197="","",C197&amp;" | BSR "&amp;B197&amp;" | "&amp;TEXT(D197,"dd-mm-yyyy")&amp;" | ₹"&amp;TEXT(M197,"#,##0"))</f>
      </c>
      <c r="T197" s="7">
        <f>IF($C197="","",SUMIFS('Q1 Data'!$K$4:$K$207,'Q1 Data'!$B$4:$B$207,$S197)+SUMIFS('Q1 Data'!$N$4:$N$207,'Q1 Data'!$B$4:$B$207,$S197)+SUMIFS('Q1 Data'!$L$4:$L$207,'Q1 Data'!$B$4:$B$207,$S197))</f>
      </c>
      <c r="U197" s="7">
        <f>IF($C197="","",SUMIFS('Q2 Data'!$K$4:$K$207,'Q2 Data'!$B$4:$B$207,$S197)+SUMIFS('Q2 Data'!$N$4:$N$207,'Q2 Data'!$B$4:$B$207,$S197)+SUMIFS('Q2 Data'!$L$4:$L$207,'Q2 Data'!$B$4:$B$207,$S197))</f>
      </c>
      <c r="V197" s="7">
        <f>IF($C197="","",SUMIFS('Q3 Data'!$K$4:$K$207,'Q3 Data'!$B$4:$B$207,$S197)+SUMIFS('Q3 Data'!$N$4:$N$207,'Q3 Data'!$B$4:$B$207,$S197)+SUMIFS('Q3 Data'!$L$4:$L$207,'Q3 Data'!$B$4:$B$207,$S197))</f>
      </c>
      <c r="W197" s="7">
        <f>IF($C197="","",SUMIFS('Q4 Data'!$K$4:$K$207,'Q4 Data'!$B$4:$B$207,$S197)+SUMIFS('Q4 Data'!$N$4:$N$207,'Q4 Data'!$B$4:$B$207,$S197)+SUMIFS('Q4 Data'!$L$4:$L$207,'Q4 Data'!$B$4:$B$207,$S197))</f>
      </c>
      <c r="X197" s="7">
        <f>IF($C197="","",T197+U197+V197+W197)</f>
      </c>
      <c r="Y197" s="7">
        <f>IF($C197="","",M197-L197)</f>
      </c>
      <c r="Z197" s="7">
        <f>IF($C197="","",Y197-X197)</f>
      </c>
      <c r="AA197" s="7">
        <f>IF($C197="","",IF(ROUND(X197-Y197,2)&gt;0,"Over-applied",IF(ROUND(X197-Y197,2)=0,"Fully Utilised","Unconsumed")))</f>
      </c>
    </row>
    <row r="198" spans="1:27" x14ac:dyDescent="0.25">
      <c r="A198" s="7">
        <f>IF($C198="","",COUNTIF($C$4:$C198,"&lt;&gt;"))</f>
      </c>
      <c r="B198" s="8"/>
      <c r="C198" s="8"/>
      <c r="D198" s="8"/>
      <c r="E198" s="8"/>
      <c r="F198" s="8"/>
      <c r="G198" s="8"/>
      <c r="H198" s="8"/>
      <c r="I198" s="8"/>
      <c r="J198" s="8"/>
      <c r="K198" s="8"/>
      <c r="L198" s="8"/>
      <c r="M198" s="7">
        <f>IF($C198="","",G198+H198+I198+J198+K198+L198)</f>
      </c>
      <c r="N198" s="8"/>
      <c r="O198" s="8"/>
      <c r="P198" s="8"/>
      <c r="Q198" s="8"/>
      <c r="R198" s="8"/>
      <c r="S198" s="7">
        <f>IF($C198="","",C198&amp;" | BSR "&amp;B198&amp;" | "&amp;TEXT(D198,"dd-mm-yyyy")&amp;" | ₹"&amp;TEXT(M198,"#,##0"))</f>
      </c>
      <c r="T198" s="7">
        <f>IF($C198="","",SUMIFS('Q1 Data'!$K$4:$K$207,'Q1 Data'!$B$4:$B$207,$S198)+SUMIFS('Q1 Data'!$N$4:$N$207,'Q1 Data'!$B$4:$B$207,$S198)+SUMIFS('Q1 Data'!$L$4:$L$207,'Q1 Data'!$B$4:$B$207,$S198))</f>
      </c>
      <c r="U198" s="7">
        <f>IF($C198="","",SUMIFS('Q2 Data'!$K$4:$K$207,'Q2 Data'!$B$4:$B$207,$S198)+SUMIFS('Q2 Data'!$N$4:$N$207,'Q2 Data'!$B$4:$B$207,$S198)+SUMIFS('Q2 Data'!$L$4:$L$207,'Q2 Data'!$B$4:$B$207,$S198))</f>
      </c>
      <c r="V198" s="7">
        <f>IF($C198="","",SUMIFS('Q3 Data'!$K$4:$K$207,'Q3 Data'!$B$4:$B$207,$S198)+SUMIFS('Q3 Data'!$N$4:$N$207,'Q3 Data'!$B$4:$B$207,$S198)+SUMIFS('Q3 Data'!$L$4:$L$207,'Q3 Data'!$B$4:$B$207,$S198))</f>
      </c>
      <c r="W198" s="7">
        <f>IF($C198="","",SUMIFS('Q4 Data'!$K$4:$K$207,'Q4 Data'!$B$4:$B$207,$S198)+SUMIFS('Q4 Data'!$N$4:$N$207,'Q4 Data'!$B$4:$B$207,$S198)+SUMIFS('Q4 Data'!$L$4:$L$207,'Q4 Data'!$B$4:$B$207,$S198))</f>
      </c>
      <c r="X198" s="7">
        <f>IF($C198="","",T198+U198+V198+W198)</f>
      </c>
      <c r="Y198" s="7">
        <f>IF($C198="","",M198-L198)</f>
      </c>
      <c r="Z198" s="7">
        <f>IF($C198="","",Y198-X198)</f>
      </c>
      <c r="AA198" s="7">
        <f>IF($C198="","",IF(ROUND(X198-Y198,2)&gt;0,"Over-applied",IF(ROUND(X198-Y198,2)=0,"Fully Utilised","Unconsumed")))</f>
      </c>
    </row>
    <row r="199" spans="1:27" x14ac:dyDescent="0.25">
      <c r="A199" s="7">
        <f>IF($C199="","",COUNTIF($C$4:$C199,"&lt;&gt;"))</f>
      </c>
      <c r="B199" s="8"/>
      <c r="C199" s="8"/>
      <c r="D199" s="8"/>
      <c r="E199" s="8"/>
      <c r="F199" s="8"/>
      <c r="G199" s="8"/>
      <c r="H199" s="8"/>
      <c r="I199" s="8"/>
      <c r="J199" s="8"/>
      <c r="K199" s="8"/>
      <c r="L199" s="8"/>
      <c r="M199" s="7">
        <f>IF($C199="","",G199+H199+I199+J199+K199+L199)</f>
      </c>
      <c r="N199" s="8"/>
      <c r="O199" s="8"/>
      <c r="P199" s="8"/>
      <c r="Q199" s="8"/>
      <c r="R199" s="8"/>
      <c r="S199" s="7">
        <f>IF($C199="","",C199&amp;" | BSR "&amp;B199&amp;" | "&amp;TEXT(D199,"dd-mm-yyyy")&amp;" | ₹"&amp;TEXT(M199,"#,##0"))</f>
      </c>
      <c r="T199" s="7">
        <f>IF($C199="","",SUMIFS('Q1 Data'!$K$4:$K$207,'Q1 Data'!$B$4:$B$207,$S199)+SUMIFS('Q1 Data'!$N$4:$N$207,'Q1 Data'!$B$4:$B$207,$S199)+SUMIFS('Q1 Data'!$L$4:$L$207,'Q1 Data'!$B$4:$B$207,$S199))</f>
      </c>
      <c r="U199" s="7">
        <f>IF($C199="","",SUMIFS('Q2 Data'!$K$4:$K$207,'Q2 Data'!$B$4:$B$207,$S199)+SUMIFS('Q2 Data'!$N$4:$N$207,'Q2 Data'!$B$4:$B$207,$S199)+SUMIFS('Q2 Data'!$L$4:$L$207,'Q2 Data'!$B$4:$B$207,$S199))</f>
      </c>
      <c r="V199" s="7">
        <f>IF($C199="","",SUMIFS('Q3 Data'!$K$4:$K$207,'Q3 Data'!$B$4:$B$207,$S199)+SUMIFS('Q3 Data'!$N$4:$N$207,'Q3 Data'!$B$4:$B$207,$S199)+SUMIFS('Q3 Data'!$L$4:$L$207,'Q3 Data'!$B$4:$B$207,$S199))</f>
      </c>
      <c r="W199" s="7">
        <f>IF($C199="","",SUMIFS('Q4 Data'!$K$4:$K$207,'Q4 Data'!$B$4:$B$207,$S199)+SUMIFS('Q4 Data'!$N$4:$N$207,'Q4 Data'!$B$4:$B$207,$S199)+SUMIFS('Q4 Data'!$L$4:$L$207,'Q4 Data'!$B$4:$B$207,$S199))</f>
      </c>
      <c r="X199" s="7">
        <f>IF($C199="","",T199+U199+V199+W199)</f>
      </c>
      <c r="Y199" s="7">
        <f>IF($C199="","",M199-L199)</f>
      </c>
      <c r="Z199" s="7">
        <f>IF($C199="","",Y199-X199)</f>
      </c>
      <c r="AA199" s="7">
        <f>IF($C199="","",IF(ROUND(X199-Y199,2)&gt;0,"Over-applied",IF(ROUND(X199-Y199,2)=0,"Fully Utilised","Unconsumed")))</f>
      </c>
    </row>
    <row r="200" spans="1:27" x14ac:dyDescent="0.25">
      <c r="A200" s="7">
        <f>IF($C200="","",COUNTIF($C$4:$C200,"&lt;&gt;"))</f>
      </c>
      <c r="B200" s="8"/>
      <c r="C200" s="8"/>
      <c r="D200" s="8"/>
      <c r="E200" s="8"/>
      <c r="F200" s="8"/>
      <c r="G200" s="8"/>
      <c r="H200" s="8"/>
      <c r="I200" s="8"/>
      <c r="J200" s="8"/>
      <c r="K200" s="8"/>
      <c r="L200" s="8"/>
      <c r="M200" s="7">
        <f>IF($C200="","",G200+H200+I200+J200+K200+L200)</f>
      </c>
      <c r="N200" s="8"/>
      <c r="O200" s="8"/>
      <c r="P200" s="8"/>
      <c r="Q200" s="8"/>
      <c r="R200" s="8"/>
      <c r="S200" s="7">
        <f>IF($C200="","",C200&amp;" | BSR "&amp;B200&amp;" | "&amp;TEXT(D200,"dd-mm-yyyy")&amp;" | ₹"&amp;TEXT(M200,"#,##0"))</f>
      </c>
      <c r="T200" s="7">
        <f>IF($C200="","",SUMIFS('Q1 Data'!$K$4:$K$207,'Q1 Data'!$B$4:$B$207,$S200)+SUMIFS('Q1 Data'!$N$4:$N$207,'Q1 Data'!$B$4:$B$207,$S200)+SUMIFS('Q1 Data'!$L$4:$L$207,'Q1 Data'!$B$4:$B$207,$S200))</f>
      </c>
      <c r="U200" s="7">
        <f>IF($C200="","",SUMIFS('Q2 Data'!$K$4:$K$207,'Q2 Data'!$B$4:$B$207,$S200)+SUMIFS('Q2 Data'!$N$4:$N$207,'Q2 Data'!$B$4:$B$207,$S200)+SUMIFS('Q2 Data'!$L$4:$L$207,'Q2 Data'!$B$4:$B$207,$S200))</f>
      </c>
      <c r="V200" s="7">
        <f>IF($C200="","",SUMIFS('Q3 Data'!$K$4:$K$207,'Q3 Data'!$B$4:$B$207,$S200)+SUMIFS('Q3 Data'!$N$4:$N$207,'Q3 Data'!$B$4:$B$207,$S200)+SUMIFS('Q3 Data'!$L$4:$L$207,'Q3 Data'!$B$4:$B$207,$S200))</f>
      </c>
      <c r="W200" s="7">
        <f>IF($C200="","",SUMIFS('Q4 Data'!$K$4:$K$207,'Q4 Data'!$B$4:$B$207,$S200)+SUMIFS('Q4 Data'!$N$4:$N$207,'Q4 Data'!$B$4:$B$207,$S200)+SUMIFS('Q4 Data'!$L$4:$L$207,'Q4 Data'!$B$4:$B$207,$S200))</f>
      </c>
      <c r="X200" s="7">
        <f>IF($C200="","",T200+U200+V200+W200)</f>
      </c>
      <c r="Y200" s="7">
        <f>IF($C200="","",M200-L200)</f>
      </c>
      <c r="Z200" s="7">
        <f>IF($C200="","",Y200-X200)</f>
      </c>
      <c r="AA200" s="7">
        <f>IF($C200="","",IF(ROUND(X200-Y200,2)&gt;0,"Over-applied",IF(ROUND(X200-Y200,2)=0,"Fully Utilised","Unconsumed")))</f>
      </c>
    </row>
    <row r="201" spans="1:27" x14ac:dyDescent="0.25">
      <c r="A201" s="7">
        <f>IF($C201="","",COUNTIF($C$4:$C201,"&lt;&gt;"))</f>
      </c>
      <c r="B201" s="8"/>
      <c r="C201" s="8"/>
      <c r="D201" s="8"/>
      <c r="E201" s="8"/>
      <c r="F201" s="8"/>
      <c r="G201" s="8"/>
      <c r="H201" s="8"/>
      <c r="I201" s="8"/>
      <c r="J201" s="8"/>
      <c r="K201" s="8"/>
      <c r="L201" s="8"/>
      <c r="M201" s="7">
        <f>IF($C201="","",G201+H201+I201+J201+K201+L201)</f>
      </c>
      <c r="N201" s="8"/>
      <c r="O201" s="8"/>
      <c r="P201" s="8"/>
      <c r="Q201" s="8"/>
      <c r="R201" s="8"/>
      <c r="S201" s="7">
        <f>IF($C201="","",C201&amp;" | BSR "&amp;B201&amp;" | "&amp;TEXT(D201,"dd-mm-yyyy")&amp;" | ₹"&amp;TEXT(M201,"#,##0"))</f>
      </c>
      <c r="T201" s="7">
        <f>IF($C201="","",SUMIFS('Q1 Data'!$K$4:$K$207,'Q1 Data'!$B$4:$B$207,$S201)+SUMIFS('Q1 Data'!$N$4:$N$207,'Q1 Data'!$B$4:$B$207,$S201)+SUMIFS('Q1 Data'!$L$4:$L$207,'Q1 Data'!$B$4:$B$207,$S201))</f>
      </c>
      <c r="U201" s="7">
        <f>IF($C201="","",SUMIFS('Q2 Data'!$K$4:$K$207,'Q2 Data'!$B$4:$B$207,$S201)+SUMIFS('Q2 Data'!$N$4:$N$207,'Q2 Data'!$B$4:$B$207,$S201)+SUMIFS('Q2 Data'!$L$4:$L$207,'Q2 Data'!$B$4:$B$207,$S201))</f>
      </c>
      <c r="V201" s="7">
        <f>IF($C201="","",SUMIFS('Q3 Data'!$K$4:$K$207,'Q3 Data'!$B$4:$B$207,$S201)+SUMIFS('Q3 Data'!$N$4:$N$207,'Q3 Data'!$B$4:$B$207,$S201)+SUMIFS('Q3 Data'!$L$4:$L$207,'Q3 Data'!$B$4:$B$207,$S201))</f>
      </c>
      <c r="W201" s="7">
        <f>IF($C201="","",SUMIFS('Q4 Data'!$K$4:$K$207,'Q4 Data'!$B$4:$B$207,$S201)+SUMIFS('Q4 Data'!$N$4:$N$207,'Q4 Data'!$B$4:$B$207,$S201)+SUMIFS('Q4 Data'!$L$4:$L$207,'Q4 Data'!$B$4:$B$207,$S201))</f>
      </c>
      <c r="X201" s="7">
        <f>IF($C201="","",T201+U201+V201+W201)</f>
      </c>
      <c r="Y201" s="7">
        <f>IF($C201="","",M201-L201)</f>
      </c>
      <c r="Z201" s="7">
        <f>IF($C201="","",Y201-X201)</f>
      </c>
      <c r="AA201" s="7">
        <f>IF($C201="","",IF(ROUND(X201-Y201,2)&gt;0,"Over-applied",IF(ROUND(X201-Y201,2)=0,"Fully Utilised","Unconsumed")))</f>
      </c>
    </row>
    <row r="202" spans="1:27" x14ac:dyDescent="0.25">
      <c r="A202" s="7">
        <f>IF($C202="","",COUNTIF($C$4:$C202,"&lt;&gt;"))</f>
      </c>
      <c r="B202" s="8"/>
      <c r="C202" s="8"/>
      <c r="D202" s="8"/>
      <c r="E202" s="8"/>
      <c r="F202" s="8"/>
      <c r="G202" s="8"/>
      <c r="H202" s="8"/>
      <c r="I202" s="8"/>
      <c r="J202" s="8"/>
      <c r="K202" s="8"/>
      <c r="L202" s="8"/>
      <c r="M202" s="7">
        <f>IF($C202="","",G202+H202+I202+J202+K202+L202)</f>
      </c>
      <c r="N202" s="8"/>
      <c r="O202" s="8"/>
      <c r="P202" s="8"/>
      <c r="Q202" s="8"/>
      <c r="R202" s="8"/>
      <c r="S202" s="7">
        <f>IF($C202="","",C202&amp;" | BSR "&amp;B202&amp;" | "&amp;TEXT(D202,"dd-mm-yyyy")&amp;" | ₹"&amp;TEXT(M202,"#,##0"))</f>
      </c>
      <c r="T202" s="7">
        <f>IF($C202="","",SUMIFS('Q1 Data'!$K$4:$K$207,'Q1 Data'!$B$4:$B$207,$S202)+SUMIFS('Q1 Data'!$N$4:$N$207,'Q1 Data'!$B$4:$B$207,$S202)+SUMIFS('Q1 Data'!$L$4:$L$207,'Q1 Data'!$B$4:$B$207,$S202))</f>
      </c>
      <c r="U202" s="7">
        <f>IF($C202="","",SUMIFS('Q2 Data'!$K$4:$K$207,'Q2 Data'!$B$4:$B$207,$S202)+SUMIFS('Q2 Data'!$N$4:$N$207,'Q2 Data'!$B$4:$B$207,$S202)+SUMIFS('Q2 Data'!$L$4:$L$207,'Q2 Data'!$B$4:$B$207,$S202))</f>
      </c>
      <c r="V202" s="7">
        <f>IF($C202="","",SUMIFS('Q3 Data'!$K$4:$K$207,'Q3 Data'!$B$4:$B$207,$S202)+SUMIFS('Q3 Data'!$N$4:$N$207,'Q3 Data'!$B$4:$B$207,$S202)+SUMIFS('Q3 Data'!$L$4:$L$207,'Q3 Data'!$B$4:$B$207,$S202))</f>
      </c>
      <c r="W202" s="7">
        <f>IF($C202="","",SUMIFS('Q4 Data'!$K$4:$K$207,'Q4 Data'!$B$4:$B$207,$S202)+SUMIFS('Q4 Data'!$N$4:$N$207,'Q4 Data'!$B$4:$B$207,$S202)+SUMIFS('Q4 Data'!$L$4:$L$207,'Q4 Data'!$B$4:$B$207,$S202))</f>
      </c>
      <c r="X202" s="7">
        <f>IF($C202="","",T202+U202+V202+W202)</f>
      </c>
      <c r="Y202" s="7">
        <f>IF($C202="","",M202-L202)</f>
      </c>
      <c r="Z202" s="7">
        <f>IF($C202="","",Y202-X202)</f>
      </c>
      <c r="AA202" s="7">
        <f>IF($C202="","",IF(ROUND(X202-Y202,2)&gt;0,"Over-applied",IF(ROUND(X202-Y202,2)=0,"Fully Utilised","Unconsumed")))</f>
      </c>
    </row>
    <row r="203" spans="1:27" x14ac:dyDescent="0.25">
      <c r="A203" s="7">
        <f>IF($C203="","",COUNTIF($C$4:$C203,"&lt;&gt;"))</f>
      </c>
      <c r="B203" s="8"/>
      <c r="C203" s="8"/>
      <c r="D203" s="8"/>
      <c r="E203" s="8"/>
      <c r="F203" s="8"/>
      <c r="G203" s="8"/>
      <c r="H203" s="8"/>
      <c r="I203" s="8"/>
      <c r="J203" s="8"/>
      <c r="K203" s="8"/>
      <c r="L203" s="8"/>
      <c r="M203" s="7">
        <f>IF($C203="","",G203+H203+I203+J203+K203+L203)</f>
      </c>
      <c r="N203" s="8"/>
      <c r="O203" s="8"/>
      <c r="P203" s="8"/>
      <c r="Q203" s="8"/>
      <c r="R203" s="8"/>
      <c r="S203" s="7">
        <f>IF($C203="","",C203&amp;" | BSR "&amp;B203&amp;" | "&amp;TEXT(D203,"dd-mm-yyyy")&amp;" | ₹"&amp;TEXT(M203,"#,##0"))</f>
      </c>
      <c r="T203" s="7">
        <f>IF($C203="","",SUMIFS('Q1 Data'!$K$4:$K$207,'Q1 Data'!$B$4:$B$207,$S203)+SUMIFS('Q1 Data'!$N$4:$N$207,'Q1 Data'!$B$4:$B$207,$S203)+SUMIFS('Q1 Data'!$L$4:$L$207,'Q1 Data'!$B$4:$B$207,$S203))</f>
      </c>
      <c r="U203" s="7">
        <f>IF($C203="","",SUMIFS('Q2 Data'!$K$4:$K$207,'Q2 Data'!$B$4:$B$207,$S203)+SUMIFS('Q2 Data'!$N$4:$N$207,'Q2 Data'!$B$4:$B$207,$S203)+SUMIFS('Q2 Data'!$L$4:$L$207,'Q2 Data'!$B$4:$B$207,$S203))</f>
      </c>
      <c r="V203" s="7">
        <f>IF($C203="","",SUMIFS('Q3 Data'!$K$4:$K$207,'Q3 Data'!$B$4:$B$207,$S203)+SUMIFS('Q3 Data'!$N$4:$N$207,'Q3 Data'!$B$4:$B$207,$S203)+SUMIFS('Q3 Data'!$L$4:$L$207,'Q3 Data'!$B$4:$B$207,$S203))</f>
      </c>
      <c r="W203" s="7">
        <f>IF($C203="","",SUMIFS('Q4 Data'!$K$4:$K$207,'Q4 Data'!$B$4:$B$207,$S203)+SUMIFS('Q4 Data'!$N$4:$N$207,'Q4 Data'!$B$4:$B$207,$S203)+SUMIFS('Q4 Data'!$L$4:$L$207,'Q4 Data'!$B$4:$B$207,$S203))</f>
      </c>
      <c r="X203" s="7">
        <f>IF($C203="","",T203+U203+V203+W203)</f>
      </c>
      <c r="Y203" s="7">
        <f>IF($C203="","",M203-L203)</f>
      </c>
      <c r="Z203" s="7">
        <f>IF($C203="","",Y203-X203)</f>
      </c>
      <c r="AA203" s="7">
        <f>IF($C203="","",IF(ROUND(X203-Y203,2)&gt;0,"Over-applied",IF(ROUND(X203-Y203,2)=0,"Fully Utilised","Unconsumed")))</f>
      </c>
    </row>
    <row r="204" spans="1:27" x14ac:dyDescent="0.25">
      <c r="A204" s="7">
        <f>IF($C204="","",COUNTIF($C$4:$C204,"&lt;&gt;"))</f>
      </c>
      <c r="B204" s="8"/>
      <c r="C204" s="8"/>
      <c r="D204" s="8"/>
      <c r="E204" s="8"/>
      <c r="F204" s="8"/>
      <c r="G204" s="8"/>
      <c r="H204" s="8"/>
      <c r="I204" s="8"/>
      <c r="J204" s="8"/>
      <c r="K204" s="8"/>
      <c r="L204" s="8"/>
      <c r="M204" s="7">
        <f>IF($C204="","",G204+H204+I204+J204+K204+L204)</f>
      </c>
      <c r="N204" s="8"/>
      <c r="O204" s="8"/>
      <c r="P204" s="8"/>
      <c r="Q204" s="8"/>
      <c r="R204" s="8"/>
      <c r="S204" s="7">
        <f>IF($C204="","",C204&amp;" | BSR "&amp;B204&amp;" | "&amp;TEXT(D204,"dd-mm-yyyy")&amp;" | ₹"&amp;TEXT(M204,"#,##0"))</f>
      </c>
      <c r="T204" s="7">
        <f>IF($C204="","",SUMIFS('Q1 Data'!$K$4:$K$207,'Q1 Data'!$B$4:$B$207,$S204)+SUMIFS('Q1 Data'!$N$4:$N$207,'Q1 Data'!$B$4:$B$207,$S204)+SUMIFS('Q1 Data'!$L$4:$L$207,'Q1 Data'!$B$4:$B$207,$S204))</f>
      </c>
      <c r="U204" s="7">
        <f>IF($C204="","",SUMIFS('Q2 Data'!$K$4:$K$207,'Q2 Data'!$B$4:$B$207,$S204)+SUMIFS('Q2 Data'!$N$4:$N$207,'Q2 Data'!$B$4:$B$207,$S204)+SUMIFS('Q2 Data'!$L$4:$L$207,'Q2 Data'!$B$4:$B$207,$S204))</f>
      </c>
      <c r="V204" s="7">
        <f>IF($C204="","",SUMIFS('Q3 Data'!$K$4:$K$207,'Q3 Data'!$B$4:$B$207,$S204)+SUMIFS('Q3 Data'!$N$4:$N$207,'Q3 Data'!$B$4:$B$207,$S204)+SUMIFS('Q3 Data'!$L$4:$L$207,'Q3 Data'!$B$4:$B$207,$S204))</f>
      </c>
      <c r="W204" s="7">
        <f>IF($C204="","",SUMIFS('Q4 Data'!$K$4:$K$207,'Q4 Data'!$B$4:$B$207,$S204)+SUMIFS('Q4 Data'!$N$4:$N$207,'Q4 Data'!$B$4:$B$207,$S204)+SUMIFS('Q4 Data'!$L$4:$L$207,'Q4 Data'!$B$4:$B$207,$S204))</f>
      </c>
      <c r="X204" s="7">
        <f>IF($C204="","",T204+U204+V204+W204)</f>
      </c>
      <c r="Y204" s="7">
        <f>IF($C204="","",M204-L204)</f>
      </c>
      <c r="Z204" s="7">
        <f>IF($C204="","",Y204-X204)</f>
      </c>
      <c r="AA204" s="7">
        <f>IF($C204="","",IF(ROUND(X204-Y204,2)&gt;0,"Over-applied",IF(ROUND(X204-Y204,2)=0,"Fully Utilised","Unconsumed")))</f>
      </c>
    </row>
    <row r="205" spans="1:27" x14ac:dyDescent="0.25">
      <c r="A205" s="7">
        <f>IF($C205="","",COUNTIF($C$4:$C205,"&lt;&gt;"))</f>
      </c>
      <c r="B205" s="8"/>
      <c r="C205" s="8"/>
      <c r="D205" s="8"/>
      <c r="E205" s="8"/>
      <c r="F205" s="8"/>
      <c r="G205" s="8"/>
      <c r="H205" s="8"/>
      <c r="I205" s="8"/>
      <c r="J205" s="8"/>
      <c r="K205" s="8"/>
      <c r="L205" s="8"/>
      <c r="M205" s="7">
        <f>IF($C205="","",G205+H205+I205+J205+K205+L205)</f>
      </c>
      <c r="N205" s="8"/>
      <c r="O205" s="8"/>
      <c r="P205" s="8"/>
      <c r="Q205" s="8"/>
      <c r="R205" s="8"/>
      <c r="S205" s="7">
        <f>IF($C205="","",C205&amp;" | BSR "&amp;B205&amp;" | "&amp;TEXT(D205,"dd-mm-yyyy")&amp;" | ₹"&amp;TEXT(M205,"#,##0"))</f>
      </c>
      <c r="T205" s="7">
        <f>IF($C205="","",SUMIFS('Q1 Data'!$K$4:$K$207,'Q1 Data'!$B$4:$B$207,$S205)+SUMIFS('Q1 Data'!$N$4:$N$207,'Q1 Data'!$B$4:$B$207,$S205)+SUMIFS('Q1 Data'!$L$4:$L$207,'Q1 Data'!$B$4:$B$207,$S205))</f>
      </c>
      <c r="U205" s="7">
        <f>IF($C205="","",SUMIFS('Q2 Data'!$K$4:$K$207,'Q2 Data'!$B$4:$B$207,$S205)+SUMIFS('Q2 Data'!$N$4:$N$207,'Q2 Data'!$B$4:$B$207,$S205)+SUMIFS('Q2 Data'!$L$4:$L$207,'Q2 Data'!$B$4:$B$207,$S205))</f>
      </c>
      <c r="V205" s="7">
        <f>IF($C205="","",SUMIFS('Q3 Data'!$K$4:$K$207,'Q3 Data'!$B$4:$B$207,$S205)+SUMIFS('Q3 Data'!$N$4:$N$207,'Q3 Data'!$B$4:$B$207,$S205)+SUMIFS('Q3 Data'!$L$4:$L$207,'Q3 Data'!$B$4:$B$207,$S205))</f>
      </c>
      <c r="W205" s="7">
        <f>IF($C205="","",SUMIFS('Q4 Data'!$K$4:$K$207,'Q4 Data'!$B$4:$B$207,$S205)+SUMIFS('Q4 Data'!$N$4:$N$207,'Q4 Data'!$B$4:$B$207,$S205)+SUMIFS('Q4 Data'!$L$4:$L$207,'Q4 Data'!$B$4:$B$207,$S205))</f>
      </c>
      <c r="X205" s="7">
        <f>IF($C205="","",T205+U205+V205+W205)</f>
      </c>
      <c r="Y205" s="7">
        <f>IF($C205="","",M205-L205)</f>
      </c>
      <c r="Z205" s="7">
        <f>IF($C205="","",Y205-X205)</f>
      </c>
      <c r="AA205" s="7">
        <f>IF($C205="","",IF(ROUND(X205-Y205,2)&gt;0,"Over-applied",IF(ROUND(X205-Y205,2)=0,"Fully Utilised","Unconsumed")))</f>
      </c>
    </row>
    <row r="206" spans="1:27" x14ac:dyDescent="0.25">
      <c r="A206" s="7">
        <f>IF($C206="","",COUNTIF($C$4:$C206,"&lt;&gt;"))</f>
      </c>
      <c r="B206" s="8"/>
      <c r="C206" s="8"/>
      <c r="D206" s="8"/>
      <c r="E206" s="8"/>
      <c r="F206" s="8"/>
      <c r="G206" s="8"/>
      <c r="H206" s="8"/>
      <c r="I206" s="8"/>
      <c r="J206" s="8"/>
      <c r="K206" s="8"/>
      <c r="L206" s="8"/>
      <c r="M206" s="7">
        <f>IF($C206="","",G206+H206+I206+J206+K206+L206)</f>
      </c>
      <c r="N206" s="8"/>
      <c r="O206" s="8"/>
      <c r="P206" s="8"/>
      <c r="Q206" s="8"/>
      <c r="R206" s="8"/>
      <c r="S206" s="7">
        <f>IF($C206="","",C206&amp;" | BSR "&amp;B206&amp;" | "&amp;TEXT(D206,"dd-mm-yyyy")&amp;" | ₹"&amp;TEXT(M206,"#,##0"))</f>
      </c>
      <c r="T206" s="7">
        <f>IF($C206="","",SUMIFS('Q1 Data'!$K$4:$K$207,'Q1 Data'!$B$4:$B$207,$S206)+SUMIFS('Q1 Data'!$N$4:$N$207,'Q1 Data'!$B$4:$B$207,$S206)+SUMIFS('Q1 Data'!$L$4:$L$207,'Q1 Data'!$B$4:$B$207,$S206))</f>
      </c>
      <c r="U206" s="7">
        <f>IF($C206="","",SUMIFS('Q2 Data'!$K$4:$K$207,'Q2 Data'!$B$4:$B$207,$S206)+SUMIFS('Q2 Data'!$N$4:$N$207,'Q2 Data'!$B$4:$B$207,$S206)+SUMIFS('Q2 Data'!$L$4:$L$207,'Q2 Data'!$B$4:$B$207,$S206))</f>
      </c>
      <c r="V206" s="7">
        <f>IF($C206="","",SUMIFS('Q3 Data'!$K$4:$K$207,'Q3 Data'!$B$4:$B$207,$S206)+SUMIFS('Q3 Data'!$N$4:$N$207,'Q3 Data'!$B$4:$B$207,$S206)+SUMIFS('Q3 Data'!$L$4:$L$207,'Q3 Data'!$B$4:$B$207,$S206))</f>
      </c>
      <c r="W206" s="7">
        <f>IF($C206="","",SUMIFS('Q4 Data'!$K$4:$K$207,'Q4 Data'!$B$4:$B$207,$S206)+SUMIFS('Q4 Data'!$N$4:$N$207,'Q4 Data'!$B$4:$B$207,$S206)+SUMIFS('Q4 Data'!$L$4:$L$207,'Q4 Data'!$B$4:$B$207,$S206))</f>
      </c>
      <c r="X206" s="7">
        <f>IF($C206="","",T206+U206+V206+W206)</f>
      </c>
      <c r="Y206" s="7">
        <f>IF($C206="","",M206-L206)</f>
      </c>
      <c r="Z206" s="7">
        <f>IF($C206="","",Y206-X206)</f>
      </c>
      <c r="AA206" s="7">
        <f>IF($C206="","",IF(ROUND(X206-Y206,2)&gt;0,"Over-applied",IF(ROUND(X206-Y206,2)=0,"Fully Utilised","Unconsumed")))</f>
      </c>
    </row>
    <row r="207" spans="1:27" x14ac:dyDescent="0.25">
      <c r="A207" s="7">
        <f>IF($C207="","",COUNTIF($C$4:$C207,"&lt;&gt;"))</f>
      </c>
      <c r="B207" s="8"/>
      <c r="C207" s="8"/>
      <c r="D207" s="8"/>
      <c r="E207" s="8"/>
      <c r="F207" s="8"/>
      <c r="G207" s="8"/>
      <c r="H207" s="8"/>
      <c r="I207" s="8"/>
      <c r="J207" s="8"/>
      <c r="K207" s="8"/>
      <c r="L207" s="8"/>
      <c r="M207" s="7">
        <f>IF($C207="","",G207+H207+I207+J207+K207+L207)</f>
      </c>
      <c r="N207" s="8"/>
      <c r="O207" s="8"/>
      <c r="P207" s="8"/>
      <c r="Q207" s="8"/>
      <c r="R207" s="8"/>
      <c r="S207" s="7">
        <f>IF($C207="","",C207&amp;" | BSR "&amp;B207&amp;" | "&amp;TEXT(D207,"dd-mm-yyyy")&amp;" | ₹"&amp;TEXT(M207,"#,##0"))</f>
      </c>
      <c r="T207" s="7">
        <f>IF($C207="","",SUMIFS('Q1 Data'!$K$4:$K$207,'Q1 Data'!$B$4:$B$207,$S207)+SUMIFS('Q1 Data'!$N$4:$N$207,'Q1 Data'!$B$4:$B$207,$S207)+SUMIFS('Q1 Data'!$L$4:$L$207,'Q1 Data'!$B$4:$B$207,$S207))</f>
      </c>
      <c r="U207" s="7">
        <f>IF($C207="","",SUMIFS('Q2 Data'!$K$4:$K$207,'Q2 Data'!$B$4:$B$207,$S207)+SUMIFS('Q2 Data'!$N$4:$N$207,'Q2 Data'!$B$4:$B$207,$S207)+SUMIFS('Q2 Data'!$L$4:$L$207,'Q2 Data'!$B$4:$B$207,$S207))</f>
      </c>
      <c r="V207" s="7">
        <f>IF($C207="","",SUMIFS('Q3 Data'!$K$4:$K$207,'Q3 Data'!$B$4:$B$207,$S207)+SUMIFS('Q3 Data'!$N$4:$N$207,'Q3 Data'!$B$4:$B$207,$S207)+SUMIFS('Q3 Data'!$L$4:$L$207,'Q3 Data'!$B$4:$B$207,$S207))</f>
      </c>
      <c r="W207" s="7">
        <f>IF($C207="","",SUMIFS('Q4 Data'!$K$4:$K$207,'Q4 Data'!$B$4:$B$207,$S207)+SUMIFS('Q4 Data'!$N$4:$N$207,'Q4 Data'!$B$4:$B$207,$S207)+SUMIFS('Q4 Data'!$L$4:$L$207,'Q4 Data'!$B$4:$B$207,$S207))</f>
      </c>
      <c r="X207" s="7">
        <f>IF($C207="","",T207+U207+V207+W207)</f>
      </c>
      <c r="Y207" s="7">
        <f>IF($C207="","",M207-L207)</f>
      </c>
      <c r="Z207" s="7">
        <f>IF($C207="","",Y207-X207)</f>
      </c>
      <c r="AA207" s="7">
        <f>IF($C207="","",IF(ROUND(X207-Y207,2)&gt;0,"Over-applied",IF(ROUND(X207-Y207,2)=0,"Fully Utilised","Unconsumed")))</f>
      </c>
    </row>
  </sheetData>
  <sheetProtection sheet="1" formatCells="0" formatColumns="0" formatRows="0"/>
  <mergeCells count="2">
    <mergeCell ref="A1:AA1"/>
    <mergeCell ref="A2:AA2"/>
  </mergeCells>
  <conditionalFormatting sqref="A2:AA2">
    <cfRule type="expression" dxfId="0" priority="1">
      <formula>ISNUMBER(SEARCH("VALIDATION FAILED",$A2))</formula>
    </cfRule>
    <cfRule type="expression" dxfId="1" priority="2">
      <formula>ISNUMBER(SEARCH("Validation Successful",$A2))</formula>
    </cfRule>
  </conditionalFormatting>
  <conditionalFormatting sqref="A4:AA207">
    <cfRule type="expression" dxfId="2" priority="1">
      <formula>$AA4="Over-applied"</formula>
    </cfRule>
    <cfRule type="expression" dxfId="3" priority="2">
      <formula>$AA4="Fully Utilised"</formula>
    </cfRule>
    <cfRule type="expression" dxfId="4" priority="3">
      <formula>$AA4="Unconsumed"</formula>
    </cfRule>
  </conditionalFormatting>
  <conditionalFormatting sqref="D4:D207">
    <cfRule type="expression" dxfId="5" priority="4">
      <formula>AND($C4&lt;&gt;"",D4="")</formula>
    </cfRule>
  </conditionalFormatting>
  <conditionalFormatting sqref="E4:E207">
    <cfRule type="expression" dxfId="6" priority="5">
      <formula>AND($C4&lt;&gt;"",E4="")</formula>
    </cfRule>
  </conditionalFormatting>
  <conditionalFormatting sqref="G4:G207">
    <cfRule type="expression" dxfId="7" priority="6">
      <formula>AND($C4&lt;&gt;"",G4="")</formula>
    </cfRule>
  </conditionalFormatting>
  <dataValidations count="12">
    <dataValidation type="textLength" operator="equal" allowBlank="1" showErrorMessage="1" errorTitle="Invalid BSR Code" error="BSR Code must be exactly 7 characters." sqref="B10:B207">
      <formula1>7</formula1>
    </dataValidation>
    <dataValidation type="textLength" operator="equal" allowBlank="1" showErrorMessage="1" errorTitle="Invalid BSR Code" error="BSR Code must be exactly 7 characters." sqref="B4:B207">
      <formula1>7</formula1>
    </dataValidation>
    <dataValidation type="date" allowBlank="1" showErrorMessage="1" errorTitle="Invalid Date" error="Enter a real date (use the date picker), between 01-Apr-2020 and 31-Mar-2030." sqref="D10:D207">
      <formula1>43922</formula1>
      <formula2>47573</formula2>
    </dataValidation>
    <dataValidation type="date" allowBlank="1" showErrorMessage="1" errorTitle="Invalid Date" error="Enter a real date (use the date picker), between 01-Apr-2020 and 31-Mar-2030." sqref="D4:D207">
      <formula1>43922</formula1>
      <formula2>47573</formula2>
    </dataValidation>
    <dataValidation type="list" allowBlank="1" showErrorMessage="1" errorTitle="Invalid Minor Head" error="Pick 200 (TDS Payable) or 400 (Demand) from the dropdown." sqref="E10:E207">
      <formula1>"200,400"</formula1>
    </dataValidation>
    <dataValidation type="list" allowBlank="1" showErrorMessage="1" errorTitle="Invalid Minor Head" error="Pick 200 (TDS Payable) or 400 (Demand) from the dropdown." sqref="E4:E207">
      <formula1>"200,400"</formula1>
    </dataValidation>
    <dataValidation type="list" allowBlank="1" showErrorMessage="1" errorTitle="Invalid Section" error="Pick a section from the dropdown list." sqref="F10:F207">
      <formula1>'Rate Lookup'!$A$1:$A$37</formula1>
    </dataValidation>
    <dataValidation type="list" allowBlank="1" showErrorMessage="1" errorTitle="Invalid Section" error="Pick a section from the dropdown list." sqref="F4:F207">
      <formula1>'Rate Lookup'!$A$1:$A$37</formula1>
    </dataValidation>
    <dataValidation type="decimal" operator="greaterThanOrEqual" allowBlank="1" showErrorMessage="1" errorTitle="Invalid Amount" error="Must be a number of 0 or more." sqref="G10:L207">
      <formula1>0</formula1>
    </dataValidation>
    <dataValidation type="decimal" operator="greaterThanOrEqual" allowBlank="1" showErrorMessage="1" errorTitle="Invalid Amount" error="Must be a number of 0 or more." sqref="G4:L207">
      <formula1>0</formula1>
    </dataValidation>
    <dataValidation type="list" allowBlank="1" showErrorMessage="1" errorTitle="Invalid value" error="Pick Y or N from the dropdown." sqref="O10:O207">
      <formula1>"Y,N"</formula1>
    </dataValidation>
    <dataValidation type="list" allowBlank="1" showErrorMessage="1" errorTitle="Invalid value" error="Pick Y or N from the dropdown." sqref="O4:O207">
      <formula1>"Y,N"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7"/>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40" customWidth="1"/>
    <col min="3" max="3" width="26" customWidth="1"/>
    <col min="4" max="6" width="12" customWidth="1"/>
    <col min="7" max="7" width="40" customWidth="1"/>
    <col min="8" max="8" width="12" customWidth="1"/>
    <col min="9" max="15" width="13" customWidth="1"/>
    <col min="16" max="16" width="12" customWidth="1"/>
    <col min="17" max="17" width="20" customWidth="1"/>
    <col min="18" max="18" width="14" customWidth="1"/>
    <col min="19" max="19" width="16" customWidth="1"/>
    <col min="20" max="20" width="18" customWidth="1"/>
    <col min="21" max="21" width="14" customWidth="1"/>
  </cols>
  <sheetData>
    <row r="1" ht="22" customHeight="1" spans="1:22" x14ac:dyDescent="0.25">
      <c r="A1" s="3" t="s">
        <v>83</v>
      </c>
      <c r="B1" s="3"/>
      <c r="C1" s="3"/>
      <c r="D1" s="3"/>
      <c r="E1" s="3"/>
      <c r="F1" s="3"/>
      <c r="G1" s="3"/>
      <c r="H1" s="3"/>
      <c r="I1" s="3"/>
      <c r="J1" s="3"/>
      <c r="K1" s="3"/>
      <c r="L1" s="3"/>
      <c r="M1" s="3"/>
      <c r="N1" s="3"/>
      <c r="O1" s="3"/>
      <c r="P1" s="3"/>
      <c r="Q1" s="3"/>
      <c r="R1" s="3"/>
      <c r="S1" s="3"/>
      <c r="T1" s="3"/>
      <c r="U1" s="3"/>
    </row>
    <row r="2" ht="20" customHeight="1" spans="1:22" x14ac:dyDescent="0.25">
      <c r="A2" s="5">
        <f>IF(AND(SUMPRODUCT(($C$4:$C$207&lt;&gt;"")*($B$4:$B$207=""))=0,SUMPRODUCT(($C$4:$C$207&lt;&gt;"")*($U$4:$U$207="Over-applied"))=0),"✅ Validation Successful — every entry has a Challan selected, none reference an over-applied challan ("&amp;COUNTIF($C$4:$C$207,"&lt;&gt;")&amp;" entries checked).","❌ VALIDATION FAILED — "&amp;SUMPRODUCT(($C$4:$C$207&lt;&gt;"")*($B$4:$B$207=""))&amp;" entr(y/ies) missing a Challan selection, "&amp;SUMPRODUCT(($C$4:$C$207&lt;&gt;"")*($U$4:$U$207="Over-applied"))&amp;" entr(y/ies) posted against an Over-applied challan. See the pink/red-highlighted row(s) below.")</f>
      </c>
      <c r="B2" s="5"/>
      <c r="C2" s="5"/>
      <c r="D2" s="5"/>
      <c r="E2" s="5"/>
      <c r="F2" s="5"/>
      <c r="G2" s="5"/>
      <c r="H2" s="5"/>
      <c r="I2" s="5"/>
      <c r="J2" s="5"/>
      <c r="K2" s="5"/>
      <c r="L2" s="5"/>
      <c r="M2" s="5"/>
      <c r="N2" s="5"/>
      <c r="O2" s="5"/>
      <c r="P2" s="5"/>
      <c r="Q2" s="5"/>
      <c r="R2" s="5"/>
      <c r="S2" s="5"/>
      <c r="T2" s="5"/>
      <c r="U2" s="5"/>
    </row>
    <row r="3" ht="40" customHeight="1" spans="1:22" x14ac:dyDescent="0.25">
      <c r="A3" s="6" t="s">
        <v>56</v>
      </c>
      <c r="B3" s="6" t="s">
        <v>84</v>
      </c>
      <c r="C3" s="6" t="s">
        <v>85</v>
      </c>
      <c r="D3" s="6" t="s">
        <v>86</v>
      </c>
      <c r="E3" s="6" t="s">
        <v>87</v>
      </c>
      <c r="F3" s="6" t="s">
        <v>88</v>
      </c>
      <c r="G3" s="6" t="s">
        <v>89</v>
      </c>
      <c r="H3" s="6" t="s">
        <v>90</v>
      </c>
      <c r="I3" s="6" t="s">
        <v>91</v>
      </c>
      <c r="J3" s="6" t="s">
        <v>92</v>
      </c>
      <c r="K3" s="6" t="s">
        <v>93</v>
      </c>
      <c r="L3" s="6" t="s">
        <v>94</v>
      </c>
      <c r="M3" s="6" t="s">
        <v>95</v>
      </c>
      <c r="N3" s="6" t="s">
        <v>96</v>
      </c>
      <c r="O3" s="6" t="s">
        <v>97</v>
      </c>
      <c r="P3" s="6" t="s">
        <v>98</v>
      </c>
      <c r="Q3" s="6" t="s">
        <v>99</v>
      </c>
      <c r="R3" s="6" t="s">
        <v>100</v>
      </c>
      <c r="S3" s="6" t="s">
        <v>101</v>
      </c>
      <c r="T3" s="6" t="s">
        <v>73</v>
      </c>
      <c r="U3" s="6" t="s">
        <v>102</v>
      </c>
    </row>
    <row r="4" spans="1:22" x14ac:dyDescent="0.25">
      <c r="A4" s="7">
        <f>IF($C4="","",COUNTIF($C$4:$C4,"&lt;&gt;"))</f>
      </c>
      <c r="B4" s="8"/>
      <c r="C4" s="8"/>
      <c r="D4" s="8"/>
      <c r="E4" s="7">
        <f>IF($C4="","",IF(AND(LEN(TRIM(UPPER(D4)))=10,CODE(MID(TRIM(UPPER(D4)),1,1))&gt;=65,CODE(MID(TRIM(UPPER(D4)),1,1))&lt;=90,CODE(MID(TRIM(UPPER(D4)),2,1))&gt;=65,CODE(MID(TRIM(UPPER(D4)),2,1))&lt;=90,CODE(MID(TRIM(UPPER(D4)),3,1))&gt;=65,CODE(MID(TRIM(UPPER(D4)),3,1))&lt;=90,CODE(MID(TRIM(UPPER(D4)),4,1))&gt;=65,CODE(MID(TRIM(UPPER(D4)),4,1))&lt;=90,CODE(MID(TRIM(UPPER(D4)),5,1))&gt;=65,CODE(MID(TRIM(UPPER(D4)),5,1))&lt;=90,CODE(MID(TRIM(UPPER(D4)),10,1))&gt;=65,CODE(MID(TRIM(UPPER(D4)),10,1))&lt;=90,CODE(MID(TRIM(UPPER(D4)),6,1))&gt;=48,CODE(MID(TRIM(UPPER(D4)),6,1))&lt;=57,CODE(MID(TRIM(UPPER(D4)),7,1))&gt;=48,CODE(MID(TRIM(UPPER(D4)),7,1))&lt;=57,CODE(MID(TRIM(UPPER(D4)),8,1))&gt;=48,CODE(MID(TRIM(UPPER(D4)),8,1))&lt;=57,CODE(MID(TRIM(UPPER(D4)),9,1))&gt;=48,CODE(MID(TRIM(UPPER(D4)),9,1))&lt;=57),"N","Y"))</f>
      </c>
      <c r="F4" s="7">
        <f>IF($C4="","",IF(LEN(D4)&lt;4,"",IF(UPPER(MID(D4,4,1))="P","Individual",IF(UPPER(MID(D4,4,1))="H","HUF",IF(UPPER(MID(D4,4,1))="C","Company",IF(UPPER(MID(D4,4,1))="F","Firm",IF(UPPER(MID(D4,4,1))="L","LLP",IF(UPPER(MID(D4,4,1))="T","Trust",IF(UPPER(MID(D4,4,1))="A","AOP","")))))))))</f>
      </c>
      <c r="G4" s="8"/>
      <c r="H4" s="7">
        <f>IF($C4="","",IF(R4&lt;&gt;"",R4,IF(G4="","",IF(E4="Y",SUMPRODUCT(('Rate Lookup'!$A$1:$A$37=G4)*'Rate Lookup'!$D$1:$D$37),IF(OR(F4="Individual",F4="HUF"),SUMPRODUCT(('Rate Lookup'!$A$1:$A$37=G4)*'Rate Lookup'!$B$1:$B$37),SUMPRODUCT(('Rate Lookup'!$A$1:$A$37=G4)*'Rate Lookup'!$C$1:$C$37)))))))</f>
      </c>
      <c r="I4" s="8"/>
      <c r="J4" s="8"/>
      <c r="K4" s="7">
        <f>IF($C4="","",IF(OR(P4="B",P4="D",P4="E",P4="N",P4="O",P4="P",P4="Q",P4="S",P4="Y",P4="Z"),0,ROUND(J4*H4/100,0)))</f>
      </c>
      <c r="L4" s="7">
        <f>IF($C4="","",0)</f>
      </c>
      <c r="M4" s="7">
        <f>IF($C4="","",0)</f>
      </c>
      <c r="N4" s="7">
        <f>IF($C4="","",IF(OR(K4=0,I4="",IFERROR(INDEX('Challan Master'!$D$4:$D$207,MATCH($B4,'Challan Master'!$S$4:$S$207,0)),"")="",IFERROR(INDEX('Challan Master'!$D$4:$D$207,MATCH($B4,'Challan Master'!$S$4:$S$207,0)),"")&lt;=0),0,IF(IFERROR(INDEX('Challan Master'!$D$4:$D$207,MATCH($B4,'Challan Master'!$S$4:$S$207,0)),"")&lt;=DATE(YEAR(I4),MONTH(I4)+1,7),0,ROUND(K4*0.015*((YEAR(IFERROR(INDEX('Challan Master'!$D$4:$D$207,MATCH($B4,'Challan Master'!$S$4:$S$207,0)),""))-YEAR(I4))*12+(MONTH(IFERROR(INDEX('Challan Master'!$D$4:$D$207,MATCH($B4,'Challan Master'!$S$4:$S$207,0)),""))-MONTH(I4))+1),0))))</f>
      </c>
      <c r="O4" s="7">
        <f>IF($C4="","",0)</f>
      </c>
      <c r="P4" s="8"/>
      <c r="Q4" s="8"/>
      <c r="R4" s="8"/>
      <c r="S4" s="8"/>
      <c r="T4" s="8"/>
      <c r="U4" s="7">
        <f>IF($B4="","",IFERROR(INDEX('Challan Master'!$AA$4:$AA$207,MATCH($B4,'Challan Master'!$S$4:$S$207,0)),""))</f>
      </c>
    </row>
    <row r="5" spans="1:22" x14ac:dyDescent="0.25">
      <c r="A5" s="7">
        <f>IF($C5="","",COUNTIF($C$4:$C5,"&lt;&gt;"))</f>
      </c>
      <c r="B5" s="8"/>
      <c r="C5" s="8"/>
      <c r="D5" s="8"/>
      <c r="E5" s="7">
        <f>IF($C5="","",IF(AND(LEN(TRIM(UPPER(D5)))=10,CODE(MID(TRIM(UPPER(D5)),1,1))&gt;=65,CODE(MID(TRIM(UPPER(D5)),1,1))&lt;=90,CODE(MID(TRIM(UPPER(D5)),2,1))&gt;=65,CODE(MID(TRIM(UPPER(D5)),2,1))&lt;=90,CODE(MID(TRIM(UPPER(D5)),3,1))&gt;=65,CODE(MID(TRIM(UPPER(D5)),3,1))&lt;=90,CODE(MID(TRIM(UPPER(D5)),4,1))&gt;=65,CODE(MID(TRIM(UPPER(D5)),4,1))&lt;=90,CODE(MID(TRIM(UPPER(D5)),5,1))&gt;=65,CODE(MID(TRIM(UPPER(D5)),5,1))&lt;=90,CODE(MID(TRIM(UPPER(D5)),10,1))&gt;=65,CODE(MID(TRIM(UPPER(D5)),10,1))&lt;=90,CODE(MID(TRIM(UPPER(D5)),6,1))&gt;=48,CODE(MID(TRIM(UPPER(D5)),6,1))&lt;=57,CODE(MID(TRIM(UPPER(D5)),7,1))&gt;=48,CODE(MID(TRIM(UPPER(D5)),7,1))&lt;=57,CODE(MID(TRIM(UPPER(D5)),8,1))&gt;=48,CODE(MID(TRIM(UPPER(D5)),8,1))&lt;=57,CODE(MID(TRIM(UPPER(D5)),9,1))&gt;=48,CODE(MID(TRIM(UPPER(D5)),9,1))&lt;=57),"N","Y"))</f>
      </c>
      <c r="F5" s="7">
        <f>IF($C5="","",IF(LEN(D5)&lt;4,"",IF(UPPER(MID(D5,4,1))="P","Individual",IF(UPPER(MID(D5,4,1))="H","HUF",IF(UPPER(MID(D5,4,1))="C","Company",IF(UPPER(MID(D5,4,1))="F","Firm",IF(UPPER(MID(D5,4,1))="L","LLP",IF(UPPER(MID(D5,4,1))="T","Trust",IF(UPPER(MID(D5,4,1))="A","AOP","")))))))))</f>
      </c>
      <c r="G5" s="8"/>
      <c r="H5" s="7">
        <f>IF($C5="","",IF(R5&lt;&gt;"",R5,IF(G5="","",IF(E5="Y",SUMPRODUCT(('Rate Lookup'!$A$1:$A$37=G5)*'Rate Lookup'!$D$1:$D$37),IF(OR(F5="Individual",F5="HUF"),SUMPRODUCT(('Rate Lookup'!$A$1:$A$37=G5)*'Rate Lookup'!$B$1:$B$37),SUMPRODUCT(('Rate Lookup'!$A$1:$A$37=G5)*'Rate Lookup'!$C$1:$C$37)))))))</f>
      </c>
      <c r="I5" s="8"/>
      <c r="J5" s="8"/>
      <c r="K5" s="7">
        <f>IF($C5="","",IF(OR(P5="B",P5="D",P5="E",P5="N",P5="O",P5="P",P5="Q",P5="S",P5="Y",P5="Z"),0,ROUND(J5*H5/100,0)))</f>
      </c>
      <c r="L5" s="7">
        <f>IF($C5="","",0)</f>
      </c>
      <c r="M5" s="7">
        <f>IF($C5="","",0)</f>
      </c>
      <c r="N5" s="7">
        <f>IF($C5="","",IF(OR(K5=0,I5="",IFERROR(INDEX('Challan Master'!$D$4:$D$207,MATCH($B5,'Challan Master'!$S$4:$S$207,0)),"")="",IFERROR(INDEX('Challan Master'!$D$4:$D$207,MATCH($B5,'Challan Master'!$S$4:$S$207,0)),"")&lt;=0),0,IF(IFERROR(INDEX('Challan Master'!$D$4:$D$207,MATCH($B5,'Challan Master'!$S$4:$S$207,0)),"")&lt;=DATE(YEAR(I5),MONTH(I5)+1,7),0,ROUND(K5*0.015*((YEAR(IFERROR(INDEX('Challan Master'!$D$4:$D$207,MATCH($B5,'Challan Master'!$S$4:$S$207,0)),""))-YEAR(I5))*12+(MONTH(IFERROR(INDEX('Challan Master'!$D$4:$D$207,MATCH($B5,'Challan Master'!$S$4:$S$207,0)),""))-MONTH(I5))+1),0))))</f>
      </c>
      <c r="O5" s="7">
        <f>IF($C5="","",0)</f>
      </c>
      <c r="P5" s="8"/>
      <c r="Q5" s="8"/>
      <c r="R5" s="8"/>
      <c r="S5" s="8"/>
      <c r="T5" s="8"/>
      <c r="U5" s="7">
        <f>IF($B5="","",IFERROR(INDEX('Challan Master'!$AA$4:$AA$207,MATCH($B5,'Challan Master'!$S$4:$S$207,0)),""))</f>
      </c>
    </row>
    <row r="6" spans="1:22" x14ac:dyDescent="0.25">
      <c r="A6" s="7">
        <f>IF($C6="","",COUNTIF($C$4:$C6,"&lt;&gt;"))</f>
      </c>
      <c r="B6" s="8"/>
      <c r="C6" s="8"/>
      <c r="D6" s="8"/>
      <c r="E6" s="7">
        <f>IF($C6="","",IF(AND(LEN(TRIM(UPPER(D6)))=10,CODE(MID(TRIM(UPPER(D6)),1,1))&gt;=65,CODE(MID(TRIM(UPPER(D6)),1,1))&lt;=90,CODE(MID(TRIM(UPPER(D6)),2,1))&gt;=65,CODE(MID(TRIM(UPPER(D6)),2,1))&lt;=90,CODE(MID(TRIM(UPPER(D6)),3,1))&gt;=65,CODE(MID(TRIM(UPPER(D6)),3,1))&lt;=90,CODE(MID(TRIM(UPPER(D6)),4,1))&gt;=65,CODE(MID(TRIM(UPPER(D6)),4,1))&lt;=90,CODE(MID(TRIM(UPPER(D6)),5,1))&gt;=65,CODE(MID(TRIM(UPPER(D6)),5,1))&lt;=90,CODE(MID(TRIM(UPPER(D6)),10,1))&gt;=65,CODE(MID(TRIM(UPPER(D6)),10,1))&lt;=90,CODE(MID(TRIM(UPPER(D6)),6,1))&gt;=48,CODE(MID(TRIM(UPPER(D6)),6,1))&lt;=57,CODE(MID(TRIM(UPPER(D6)),7,1))&gt;=48,CODE(MID(TRIM(UPPER(D6)),7,1))&lt;=57,CODE(MID(TRIM(UPPER(D6)),8,1))&gt;=48,CODE(MID(TRIM(UPPER(D6)),8,1))&lt;=57,CODE(MID(TRIM(UPPER(D6)),9,1))&gt;=48,CODE(MID(TRIM(UPPER(D6)),9,1))&lt;=57),"N","Y"))</f>
      </c>
      <c r="F6" s="7">
        <f>IF($C6="","",IF(LEN(D6)&lt;4,"",IF(UPPER(MID(D6,4,1))="P","Individual",IF(UPPER(MID(D6,4,1))="H","HUF",IF(UPPER(MID(D6,4,1))="C","Company",IF(UPPER(MID(D6,4,1))="F","Firm",IF(UPPER(MID(D6,4,1))="L","LLP",IF(UPPER(MID(D6,4,1))="T","Trust",IF(UPPER(MID(D6,4,1))="A","AOP","")))))))))</f>
      </c>
      <c r="G6" s="8"/>
      <c r="H6" s="7">
        <f>IF($C6="","",IF(R6&lt;&gt;"",R6,IF(G6="","",IF(E6="Y",SUMPRODUCT(('Rate Lookup'!$A$1:$A$37=G6)*'Rate Lookup'!$D$1:$D$37),IF(OR(F6="Individual",F6="HUF"),SUMPRODUCT(('Rate Lookup'!$A$1:$A$37=G6)*'Rate Lookup'!$B$1:$B$37),SUMPRODUCT(('Rate Lookup'!$A$1:$A$37=G6)*'Rate Lookup'!$C$1:$C$37)))))))</f>
      </c>
      <c r="I6" s="8"/>
      <c r="J6" s="8"/>
      <c r="K6" s="7">
        <f>IF($C6="","",IF(OR(P6="B",P6="D",P6="E",P6="N",P6="O",P6="P",P6="Q",P6="S",P6="Y",P6="Z"),0,ROUND(J6*H6/100,0)))</f>
      </c>
      <c r="L6" s="7">
        <f>IF($C6="","",0)</f>
      </c>
      <c r="M6" s="7">
        <f>IF($C6="","",0)</f>
      </c>
      <c r="N6" s="7">
        <f>IF($C6="","",IF(OR(K6=0,I6="",IFERROR(INDEX('Challan Master'!$D$4:$D$207,MATCH($B6,'Challan Master'!$S$4:$S$207,0)),"")="",IFERROR(INDEX('Challan Master'!$D$4:$D$207,MATCH($B6,'Challan Master'!$S$4:$S$207,0)),"")&lt;=0),0,IF(IFERROR(INDEX('Challan Master'!$D$4:$D$207,MATCH($B6,'Challan Master'!$S$4:$S$207,0)),"")&lt;=DATE(YEAR(I6),MONTH(I6)+1,7),0,ROUND(K6*0.015*((YEAR(IFERROR(INDEX('Challan Master'!$D$4:$D$207,MATCH($B6,'Challan Master'!$S$4:$S$207,0)),""))-YEAR(I6))*12+(MONTH(IFERROR(INDEX('Challan Master'!$D$4:$D$207,MATCH($B6,'Challan Master'!$S$4:$S$207,0)),""))-MONTH(I6))+1),0))))</f>
      </c>
      <c r="O6" s="7">
        <f>IF($C6="","",0)</f>
      </c>
      <c r="P6" s="8"/>
      <c r="Q6" s="8"/>
      <c r="R6" s="8"/>
      <c r="S6" s="8"/>
      <c r="T6" s="8"/>
      <c r="U6" s="7">
        <f>IF($B6="","",IFERROR(INDEX('Challan Master'!$AA$4:$AA$207,MATCH($B6,'Challan Master'!$S$4:$S$207,0)),""))</f>
      </c>
    </row>
    <row r="7" spans="1:22" x14ac:dyDescent="0.25">
      <c r="A7" s="7">
        <f>IF($C7="","",COUNTIF($C$4:$C7,"&lt;&gt;"))</f>
      </c>
      <c r="B7" s="8"/>
      <c r="C7" s="8"/>
      <c r="D7" s="8"/>
      <c r="E7" s="7">
        <f>IF($C7="","",IF(AND(LEN(TRIM(UPPER(D7)))=10,CODE(MID(TRIM(UPPER(D7)),1,1))&gt;=65,CODE(MID(TRIM(UPPER(D7)),1,1))&lt;=90,CODE(MID(TRIM(UPPER(D7)),2,1))&gt;=65,CODE(MID(TRIM(UPPER(D7)),2,1))&lt;=90,CODE(MID(TRIM(UPPER(D7)),3,1))&gt;=65,CODE(MID(TRIM(UPPER(D7)),3,1))&lt;=90,CODE(MID(TRIM(UPPER(D7)),4,1))&gt;=65,CODE(MID(TRIM(UPPER(D7)),4,1))&lt;=90,CODE(MID(TRIM(UPPER(D7)),5,1))&gt;=65,CODE(MID(TRIM(UPPER(D7)),5,1))&lt;=90,CODE(MID(TRIM(UPPER(D7)),10,1))&gt;=65,CODE(MID(TRIM(UPPER(D7)),10,1))&lt;=90,CODE(MID(TRIM(UPPER(D7)),6,1))&gt;=48,CODE(MID(TRIM(UPPER(D7)),6,1))&lt;=57,CODE(MID(TRIM(UPPER(D7)),7,1))&gt;=48,CODE(MID(TRIM(UPPER(D7)),7,1))&lt;=57,CODE(MID(TRIM(UPPER(D7)),8,1))&gt;=48,CODE(MID(TRIM(UPPER(D7)),8,1))&lt;=57,CODE(MID(TRIM(UPPER(D7)),9,1))&gt;=48,CODE(MID(TRIM(UPPER(D7)),9,1))&lt;=57),"N","Y"))</f>
      </c>
      <c r="F7" s="7">
        <f>IF($C7="","",IF(LEN(D7)&lt;4,"",IF(UPPER(MID(D7,4,1))="P","Individual",IF(UPPER(MID(D7,4,1))="H","HUF",IF(UPPER(MID(D7,4,1))="C","Company",IF(UPPER(MID(D7,4,1))="F","Firm",IF(UPPER(MID(D7,4,1))="L","LLP",IF(UPPER(MID(D7,4,1))="T","Trust",IF(UPPER(MID(D7,4,1))="A","AOP","")))))))))</f>
      </c>
      <c r="G7" s="8"/>
      <c r="H7" s="7">
        <f>IF($C7="","",IF(R7&lt;&gt;"",R7,IF(G7="","",IF(E7="Y",SUMPRODUCT(('Rate Lookup'!$A$1:$A$37=G7)*'Rate Lookup'!$D$1:$D$37),IF(OR(F7="Individual",F7="HUF"),SUMPRODUCT(('Rate Lookup'!$A$1:$A$37=G7)*'Rate Lookup'!$B$1:$B$37),SUMPRODUCT(('Rate Lookup'!$A$1:$A$37=G7)*'Rate Lookup'!$C$1:$C$37)))))))</f>
      </c>
      <c r="I7" s="8"/>
      <c r="J7" s="8"/>
      <c r="K7" s="7">
        <f>IF($C7="","",IF(OR(P7="B",P7="D",P7="E",P7="N",P7="O",P7="P",P7="Q",P7="S",P7="Y",P7="Z"),0,ROUND(J7*H7/100,0)))</f>
      </c>
      <c r="L7" s="7">
        <f>IF($C7="","",0)</f>
      </c>
      <c r="M7" s="7">
        <f>IF($C7="","",0)</f>
      </c>
      <c r="N7" s="7">
        <f>IF($C7="","",IF(OR(K7=0,I7="",IFERROR(INDEX('Challan Master'!$D$4:$D$207,MATCH($B7,'Challan Master'!$S$4:$S$207,0)),"")="",IFERROR(INDEX('Challan Master'!$D$4:$D$207,MATCH($B7,'Challan Master'!$S$4:$S$207,0)),"")&lt;=0),0,IF(IFERROR(INDEX('Challan Master'!$D$4:$D$207,MATCH($B7,'Challan Master'!$S$4:$S$207,0)),"")&lt;=DATE(YEAR(I7),MONTH(I7)+1,7),0,ROUND(K7*0.015*((YEAR(IFERROR(INDEX('Challan Master'!$D$4:$D$207,MATCH($B7,'Challan Master'!$S$4:$S$207,0)),""))-YEAR(I7))*12+(MONTH(IFERROR(INDEX('Challan Master'!$D$4:$D$207,MATCH($B7,'Challan Master'!$S$4:$S$207,0)),""))-MONTH(I7))+1),0))))</f>
      </c>
      <c r="O7" s="7">
        <f>IF($C7="","",0)</f>
      </c>
      <c r="P7" s="8"/>
      <c r="Q7" s="8"/>
      <c r="R7" s="8"/>
      <c r="S7" s="8"/>
      <c r="T7" s="8"/>
      <c r="U7" s="7">
        <f>IF($B7="","",IFERROR(INDEX('Challan Master'!$AA$4:$AA$207,MATCH($B7,'Challan Master'!$S$4:$S$207,0)),""))</f>
      </c>
    </row>
    <row r="8" spans="1:22" x14ac:dyDescent="0.25">
      <c r="A8" s="7">
        <f>IF($C8="","",COUNTIF($C$4:$C8,"&lt;&gt;"))</f>
      </c>
      <c r="B8" s="8"/>
      <c r="C8" s="8"/>
      <c r="D8" s="8"/>
      <c r="E8" s="7">
        <f>IF($C8="","",IF(AND(LEN(TRIM(UPPER(D8)))=10,CODE(MID(TRIM(UPPER(D8)),1,1))&gt;=65,CODE(MID(TRIM(UPPER(D8)),1,1))&lt;=90,CODE(MID(TRIM(UPPER(D8)),2,1))&gt;=65,CODE(MID(TRIM(UPPER(D8)),2,1))&lt;=90,CODE(MID(TRIM(UPPER(D8)),3,1))&gt;=65,CODE(MID(TRIM(UPPER(D8)),3,1))&lt;=90,CODE(MID(TRIM(UPPER(D8)),4,1))&gt;=65,CODE(MID(TRIM(UPPER(D8)),4,1))&lt;=90,CODE(MID(TRIM(UPPER(D8)),5,1))&gt;=65,CODE(MID(TRIM(UPPER(D8)),5,1))&lt;=90,CODE(MID(TRIM(UPPER(D8)),10,1))&gt;=65,CODE(MID(TRIM(UPPER(D8)),10,1))&lt;=90,CODE(MID(TRIM(UPPER(D8)),6,1))&gt;=48,CODE(MID(TRIM(UPPER(D8)),6,1))&lt;=57,CODE(MID(TRIM(UPPER(D8)),7,1))&gt;=48,CODE(MID(TRIM(UPPER(D8)),7,1))&lt;=57,CODE(MID(TRIM(UPPER(D8)),8,1))&gt;=48,CODE(MID(TRIM(UPPER(D8)),8,1))&lt;=57,CODE(MID(TRIM(UPPER(D8)),9,1))&gt;=48,CODE(MID(TRIM(UPPER(D8)),9,1))&lt;=57),"N","Y"))</f>
      </c>
      <c r="F8" s="7">
        <f>IF($C8="","",IF(LEN(D8)&lt;4,"",IF(UPPER(MID(D8,4,1))="P","Individual",IF(UPPER(MID(D8,4,1))="H","HUF",IF(UPPER(MID(D8,4,1))="C","Company",IF(UPPER(MID(D8,4,1))="F","Firm",IF(UPPER(MID(D8,4,1))="L","LLP",IF(UPPER(MID(D8,4,1))="T","Trust",IF(UPPER(MID(D8,4,1))="A","AOP","")))))))))</f>
      </c>
      <c r="G8" s="8"/>
      <c r="H8" s="7">
        <f>IF($C8="","",IF(R8&lt;&gt;"",R8,IF(G8="","",IF(E8="Y",SUMPRODUCT(('Rate Lookup'!$A$1:$A$37=G8)*'Rate Lookup'!$D$1:$D$37),IF(OR(F8="Individual",F8="HUF"),SUMPRODUCT(('Rate Lookup'!$A$1:$A$37=G8)*'Rate Lookup'!$B$1:$B$37),SUMPRODUCT(('Rate Lookup'!$A$1:$A$37=G8)*'Rate Lookup'!$C$1:$C$37)))))))</f>
      </c>
      <c r="I8" s="8"/>
      <c r="J8" s="8"/>
      <c r="K8" s="7">
        <f>IF($C8="","",IF(OR(P8="B",P8="D",P8="E",P8="N",P8="O",P8="P",P8="Q",P8="S",P8="Y",P8="Z"),0,ROUND(J8*H8/100,0)))</f>
      </c>
      <c r="L8" s="7">
        <f>IF($C8="","",0)</f>
      </c>
      <c r="M8" s="7">
        <f>IF($C8="","",0)</f>
      </c>
      <c r="N8" s="7">
        <f>IF($C8="","",IF(OR(K8=0,I8="",IFERROR(INDEX('Challan Master'!$D$4:$D$207,MATCH($B8,'Challan Master'!$S$4:$S$207,0)),"")="",IFERROR(INDEX('Challan Master'!$D$4:$D$207,MATCH($B8,'Challan Master'!$S$4:$S$207,0)),"")&lt;=0),0,IF(IFERROR(INDEX('Challan Master'!$D$4:$D$207,MATCH($B8,'Challan Master'!$S$4:$S$207,0)),"")&lt;=DATE(YEAR(I8),MONTH(I8)+1,7),0,ROUND(K8*0.015*((YEAR(IFERROR(INDEX('Challan Master'!$D$4:$D$207,MATCH($B8,'Challan Master'!$S$4:$S$207,0)),""))-YEAR(I8))*12+(MONTH(IFERROR(INDEX('Challan Master'!$D$4:$D$207,MATCH($B8,'Challan Master'!$S$4:$S$207,0)),""))-MONTH(I8))+1),0))))</f>
      </c>
      <c r="O8" s="7">
        <f>IF($C8="","",0)</f>
      </c>
      <c r="P8" s="8"/>
      <c r="Q8" s="8"/>
      <c r="R8" s="8"/>
      <c r="S8" s="8"/>
      <c r="T8" s="8"/>
      <c r="U8" s="7">
        <f>IF($B8="","",IFERROR(INDEX('Challan Master'!$AA$4:$AA$207,MATCH($B8,'Challan Master'!$S$4:$S$207,0)),""))</f>
      </c>
    </row>
    <row r="9" spans="1:22" x14ac:dyDescent="0.25">
      <c r="A9" s="7">
        <f>IF($C9="","",COUNTIF($C$4:$C9,"&lt;&gt;"))</f>
      </c>
      <c r="B9" s="8"/>
      <c r="C9" s="8"/>
      <c r="D9" s="8"/>
      <c r="E9" s="7">
        <f>IF($C9="","",IF(AND(LEN(TRIM(UPPER(D9)))=10,CODE(MID(TRIM(UPPER(D9)),1,1))&gt;=65,CODE(MID(TRIM(UPPER(D9)),1,1))&lt;=90,CODE(MID(TRIM(UPPER(D9)),2,1))&gt;=65,CODE(MID(TRIM(UPPER(D9)),2,1))&lt;=90,CODE(MID(TRIM(UPPER(D9)),3,1))&gt;=65,CODE(MID(TRIM(UPPER(D9)),3,1))&lt;=90,CODE(MID(TRIM(UPPER(D9)),4,1))&gt;=65,CODE(MID(TRIM(UPPER(D9)),4,1))&lt;=90,CODE(MID(TRIM(UPPER(D9)),5,1))&gt;=65,CODE(MID(TRIM(UPPER(D9)),5,1))&lt;=90,CODE(MID(TRIM(UPPER(D9)),10,1))&gt;=65,CODE(MID(TRIM(UPPER(D9)),10,1))&lt;=90,CODE(MID(TRIM(UPPER(D9)),6,1))&gt;=48,CODE(MID(TRIM(UPPER(D9)),6,1))&lt;=57,CODE(MID(TRIM(UPPER(D9)),7,1))&gt;=48,CODE(MID(TRIM(UPPER(D9)),7,1))&lt;=57,CODE(MID(TRIM(UPPER(D9)),8,1))&gt;=48,CODE(MID(TRIM(UPPER(D9)),8,1))&lt;=57,CODE(MID(TRIM(UPPER(D9)),9,1))&gt;=48,CODE(MID(TRIM(UPPER(D9)),9,1))&lt;=57),"N","Y"))</f>
      </c>
      <c r="F9" s="7">
        <f>IF($C9="","",IF(LEN(D9)&lt;4,"",IF(UPPER(MID(D9,4,1))="P","Individual",IF(UPPER(MID(D9,4,1))="H","HUF",IF(UPPER(MID(D9,4,1))="C","Company",IF(UPPER(MID(D9,4,1))="F","Firm",IF(UPPER(MID(D9,4,1))="L","LLP",IF(UPPER(MID(D9,4,1))="T","Trust",IF(UPPER(MID(D9,4,1))="A","AOP","")))))))))</f>
      </c>
      <c r="G9" s="8"/>
      <c r="H9" s="7">
        <f>IF($C9="","",IF(R9&lt;&gt;"",R9,IF(G9="","",IF(E9="Y",SUMPRODUCT(('Rate Lookup'!$A$1:$A$37=G9)*'Rate Lookup'!$D$1:$D$37),IF(OR(F9="Individual",F9="HUF"),SUMPRODUCT(('Rate Lookup'!$A$1:$A$37=G9)*'Rate Lookup'!$B$1:$B$37),SUMPRODUCT(('Rate Lookup'!$A$1:$A$37=G9)*'Rate Lookup'!$C$1:$C$37)))))))</f>
      </c>
      <c r="I9" s="8"/>
      <c r="J9" s="8"/>
      <c r="K9" s="7">
        <f>IF($C9="","",IF(OR(P9="B",P9="D",P9="E",P9="N",P9="O",P9="P",P9="Q",P9="S",P9="Y",P9="Z"),0,ROUND(J9*H9/100,0)))</f>
      </c>
      <c r="L9" s="7">
        <f>IF($C9="","",0)</f>
      </c>
      <c r="M9" s="7">
        <f>IF($C9="","",0)</f>
      </c>
      <c r="N9" s="7">
        <f>IF($C9="","",IF(OR(K9=0,I9="",IFERROR(INDEX('Challan Master'!$D$4:$D$207,MATCH($B9,'Challan Master'!$S$4:$S$207,0)),"")="",IFERROR(INDEX('Challan Master'!$D$4:$D$207,MATCH($B9,'Challan Master'!$S$4:$S$207,0)),"")&lt;=0),0,IF(IFERROR(INDEX('Challan Master'!$D$4:$D$207,MATCH($B9,'Challan Master'!$S$4:$S$207,0)),"")&lt;=DATE(YEAR(I9),MONTH(I9)+1,7),0,ROUND(K9*0.015*((YEAR(IFERROR(INDEX('Challan Master'!$D$4:$D$207,MATCH($B9,'Challan Master'!$S$4:$S$207,0)),""))-YEAR(I9))*12+(MONTH(IFERROR(INDEX('Challan Master'!$D$4:$D$207,MATCH($B9,'Challan Master'!$S$4:$S$207,0)),""))-MONTH(I9))+1),0))))</f>
      </c>
      <c r="O9" s="7">
        <f>IF($C9="","",0)</f>
      </c>
      <c r="P9" s="8"/>
      <c r="Q9" s="8"/>
      <c r="R9" s="8"/>
      <c r="S9" s="8"/>
      <c r="T9" s="8"/>
      <c r="U9" s="7">
        <f>IF($B9="","",IFERROR(INDEX('Challan Master'!$AA$4:$AA$207,MATCH($B9,'Challan Master'!$S$4:$S$207,0)),""))</f>
      </c>
    </row>
    <row r="10" spans="1:22" x14ac:dyDescent="0.25">
      <c r="A10" s="7">
        <f>IF($C10="","",COUNTIF($C$4:$C10,"&lt;&gt;"))</f>
      </c>
      <c r="B10" s="8"/>
      <c r="C10" s="8"/>
      <c r="D10" s="8"/>
      <c r="E10" s="7">
        <f>IF($C10="","",IF(AND(LEN(TRIM(UPPER(D10)))=10,CODE(MID(TRIM(UPPER(D10)),1,1))&gt;=65,CODE(MID(TRIM(UPPER(D10)),1,1))&lt;=90,CODE(MID(TRIM(UPPER(D10)),2,1))&gt;=65,CODE(MID(TRIM(UPPER(D10)),2,1))&lt;=90,CODE(MID(TRIM(UPPER(D10)),3,1))&gt;=65,CODE(MID(TRIM(UPPER(D10)),3,1))&lt;=90,CODE(MID(TRIM(UPPER(D10)),4,1))&gt;=65,CODE(MID(TRIM(UPPER(D10)),4,1))&lt;=90,CODE(MID(TRIM(UPPER(D10)),5,1))&gt;=65,CODE(MID(TRIM(UPPER(D10)),5,1))&lt;=90,CODE(MID(TRIM(UPPER(D10)),10,1))&gt;=65,CODE(MID(TRIM(UPPER(D10)),10,1))&lt;=90,CODE(MID(TRIM(UPPER(D10)),6,1))&gt;=48,CODE(MID(TRIM(UPPER(D10)),6,1))&lt;=57,CODE(MID(TRIM(UPPER(D10)),7,1))&gt;=48,CODE(MID(TRIM(UPPER(D10)),7,1))&lt;=57,CODE(MID(TRIM(UPPER(D10)),8,1))&gt;=48,CODE(MID(TRIM(UPPER(D10)),8,1))&lt;=57,CODE(MID(TRIM(UPPER(D10)),9,1))&gt;=48,CODE(MID(TRIM(UPPER(D10)),9,1))&lt;=57),"N","Y"))</f>
      </c>
      <c r="F10" s="7">
        <f>IF($C10="","",IF(LEN(D10)&lt;4,"",IF(UPPER(MID(D10,4,1))="P","Individual",IF(UPPER(MID(D10,4,1))="H","HUF",IF(UPPER(MID(D10,4,1))="C","Company",IF(UPPER(MID(D10,4,1))="F","Firm",IF(UPPER(MID(D10,4,1))="L","LLP",IF(UPPER(MID(D10,4,1))="T","Trust",IF(UPPER(MID(D10,4,1))="A","AOP","")))))))))</f>
      </c>
      <c r="G10" s="8"/>
      <c r="H10" s="7">
        <f>IF($C10="","",IF(R10&lt;&gt;"",R10,IF(G10="","",IF(E10="Y",SUMPRODUCT(('Rate Lookup'!$A$1:$A$37=G10)*'Rate Lookup'!$D$1:$D$37),IF(OR(F10="Individual",F10="HUF"),SUMPRODUCT(('Rate Lookup'!$A$1:$A$37=G10)*'Rate Lookup'!$B$1:$B$37),SUMPRODUCT(('Rate Lookup'!$A$1:$A$37=G10)*'Rate Lookup'!$C$1:$C$37)))))))</f>
      </c>
      <c r="I10" s="8"/>
      <c r="J10" s="8"/>
      <c r="K10" s="7">
        <f>IF($C10="","",IF(OR(P10="B",P10="D",P10="E",P10="N",P10="O",P10="P",P10="Q",P10="S",P10="Y",P10="Z"),0,ROUND(J10*H10/100,0)))</f>
      </c>
      <c r="L10" s="7">
        <f>IF($C10="","",0)</f>
      </c>
      <c r="M10" s="7">
        <f>IF($C10="","",0)</f>
      </c>
      <c r="N10" s="7">
        <f>IF($C10="","",IF(OR(K10=0,I10="",IFERROR(INDEX('Challan Master'!$D$4:$D$207,MATCH($B10,'Challan Master'!$S$4:$S$207,0)),"")="",IFERROR(INDEX('Challan Master'!$D$4:$D$207,MATCH($B10,'Challan Master'!$S$4:$S$207,0)),"")&lt;=0),0,IF(IFERROR(INDEX('Challan Master'!$D$4:$D$207,MATCH($B10,'Challan Master'!$S$4:$S$207,0)),"")&lt;=DATE(YEAR(I10),MONTH(I10)+1,7),0,ROUND(K10*0.015*((YEAR(IFERROR(INDEX('Challan Master'!$D$4:$D$207,MATCH($B10,'Challan Master'!$S$4:$S$207,0)),""))-YEAR(I10))*12+(MONTH(IFERROR(INDEX('Challan Master'!$D$4:$D$207,MATCH($B10,'Challan Master'!$S$4:$S$207,0)),""))-MONTH(I10))+1),0))))</f>
      </c>
      <c r="O10" s="7">
        <f>IF($C10="","",0)</f>
      </c>
      <c r="P10" s="8"/>
      <c r="Q10" s="8"/>
      <c r="R10" s="8"/>
      <c r="S10" s="8"/>
      <c r="T10" s="8"/>
      <c r="U10" s="7">
        <f>IF($B10="","",IFERROR(INDEX('Challan Master'!$AA$4:$AA$207,MATCH($B10,'Challan Master'!$S$4:$S$207,0)),""))</f>
      </c>
    </row>
    <row r="11" spans="1:22" x14ac:dyDescent="0.25">
      <c r="A11" s="7">
        <f>IF($C11="","",COUNTIF($C$4:$C11,"&lt;&gt;"))</f>
      </c>
      <c r="B11" s="8"/>
      <c r="C11" s="8"/>
      <c r="D11" s="8"/>
      <c r="E11" s="7">
        <f>IF($C11="","",IF(AND(LEN(TRIM(UPPER(D11)))=10,CODE(MID(TRIM(UPPER(D11)),1,1))&gt;=65,CODE(MID(TRIM(UPPER(D11)),1,1))&lt;=90,CODE(MID(TRIM(UPPER(D11)),2,1))&gt;=65,CODE(MID(TRIM(UPPER(D11)),2,1))&lt;=90,CODE(MID(TRIM(UPPER(D11)),3,1))&gt;=65,CODE(MID(TRIM(UPPER(D11)),3,1))&lt;=90,CODE(MID(TRIM(UPPER(D11)),4,1))&gt;=65,CODE(MID(TRIM(UPPER(D11)),4,1))&lt;=90,CODE(MID(TRIM(UPPER(D11)),5,1))&gt;=65,CODE(MID(TRIM(UPPER(D11)),5,1))&lt;=90,CODE(MID(TRIM(UPPER(D11)),10,1))&gt;=65,CODE(MID(TRIM(UPPER(D11)),10,1))&lt;=90,CODE(MID(TRIM(UPPER(D11)),6,1))&gt;=48,CODE(MID(TRIM(UPPER(D11)),6,1))&lt;=57,CODE(MID(TRIM(UPPER(D11)),7,1))&gt;=48,CODE(MID(TRIM(UPPER(D11)),7,1))&lt;=57,CODE(MID(TRIM(UPPER(D11)),8,1))&gt;=48,CODE(MID(TRIM(UPPER(D11)),8,1))&lt;=57,CODE(MID(TRIM(UPPER(D11)),9,1))&gt;=48,CODE(MID(TRIM(UPPER(D11)),9,1))&lt;=57),"N","Y"))</f>
      </c>
      <c r="F11" s="7">
        <f>IF($C11="","",IF(LEN(D11)&lt;4,"",IF(UPPER(MID(D11,4,1))="P","Individual",IF(UPPER(MID(D11,4,1))="H","HUF",IF(UPPER(MID(D11,4,1))="C","Company",IF(UPPER(MID(D11,4,1))="F","Firm",IF(UPPER(MID(D11,4,1))="L","LLP",IF(UPPER(MID(D11,4,1))="T","Trust",IF(UPPER(MID(D11,4,1))="A","AOP","")))))))))</f>
      </c>
      <c r="G11" s="8"/>
      <c r="H11" s="7">
        <f>IF($C11="","",IF(R11&lt;&gt;"",R11,IF(G11="","",IF(E11="Y",SUMPRODUCT(('Rate Lookup'!$A$1:$A$37=G11)*'Rate Lookup'!$D$1:$D$37),IF(OR(F11="Individual",F11="HUF"),SUMPRODUCT(('Rate Lookup'!$A$1:$A$37=G11)*'Rate Lookup'!$B$1:$B$37),SUMPRODUCT(('Rate Lookup'!$A$1:$A$37=G11)*'Rate Lookup'!$C$1:$C$37)))))))</f>
      </c>
      <c r="I11" s="8"/>
      <c r="J11" s="8"/>
      <c r="K11" s="7">
        <f>IF($C11="","",IF(OR(P11="B",P11="D",P11="E",P11="N",P11="O",P11="P",P11="Q",P11="S",P11="Y",P11="Z"),0,ROUND(J11*H11/100,0)))</f>
      </c>
      <c r="L11" s="7">
        <f>IF($C11="","",0)</f>
      </c>
      <c r="M11" s="7">
        <f>IF($C11="","",0)</f>
      </c>
      <c r="N11" s="7">
        <f>IF($C11="","",IF(OR(K11=0,I11="",IFERROR(INDEX('Challan Master'!$D$4:$D$207,MATCH($B11,'Challan Master'!$S$4:$S$207,0)),"")="",IFERROR(INDEX('Challan Master'!$D$4:$D$207,MATCH($B11,'Challan Master'!$S$4:$S$207,0)),"")&lt;=0),0,IF(IFERROR(INDEX('Challan Master'!$D$4:$D$207,MATCH($B11,'Challan Master'!$S$4:$S$207,0)),"")&lt;=DATE(YEAR(I11),MONTH(I11)+1,7),0,ROUND(K11*0.015*((YEAR(IFERROR(INDEX('Challan Master'!$D$4:$D$207,MATCH($B11,'Challan Master'!$S$4:$S$207,0)),""))-YEAR(I11))*12+(MONTH(IFERROR(INDEX('Challan Master'!$D$4:$D$207,MATCH($B11,'Challan Master'!$S$4:$S$207,0)),""))-MONTH(I11))+1),0))))</f>
      </c>
      <c r="O11" s="7">
        <f>IF($C11="","",0)</f>
      </c>
      <c r="P11" s="8"/>
      <c r="Q11" s="8"/>
      <c r="R11" s="8"/>
      <c r="S11" s="8"/>
      <c r="T11" s="8"/>
      <c r="U11" s="7">
        <f>IF($B11="","",IFERROR(INDEX('Challan Master'!$AA$4:$AA$207,MATCH($B11,'Challan Master'!$S$4:$S$207,0)),""))</f>
      </c>
    </row>
    <row r="12" spans="1:22" x14ac:dyDescent="0.25">
      <c r="A12" s="7">
        <f>IF($C12="","",COUNTIF($C$4:$C12,"&lt;&gt;"))</f>
      </c>
      <c r="B12" s="8"/>
      <c r="C12" s="8"/>
      <c r="D12" s="8"/>
      <c r="E12" s="7">
        <f>IF($C12="","",IF(AND(LEN(TRIM(UPPER(D12)))=10,CODE(MID(TRIM(UPPER(D12)),1,1))&gt;=65,CODE(MID(TRIM(UPPER(D12)),1,1))&lt;=90,CODE(MID(TRIM(UPPER(D12)),2,1))&gt;=65,CODE(MID(TRIM(UPPER(D12)),2,1))&lt;=90,CODE(MID(TRIM(UPPER(D12)),3,1))&gt;=65,CODE(MID(TRIM(UPPER(D12)),3,1))&lt;=90,CODE(MID(TRIM(UPPER(D12)),4,1))&gt;=65,CODE(MID(TRIM(UPPER(D12)),4,1))&lt;=90,CODE(MID(TRIM(UPPER(D12)),5,1))&gt;=65,CODE(MID(TRIM(UPPER(D12)),5,1))&lt;=90,CODE(MID(TRIM(UPPER(D12)),10,1))&gt;=65,CODE(MID(TRIM(UPPER(D12)),10,1))&lt;=90,CODE(MID(TRIM(UPPER(D12)),6,1))&gt;=48,CODE(MID(TRIM(UPPER(D12)),6,1))&lt;=57,CODE(MID(TRIM(UPPER(D12)),7,1))&gt;=48,CODE(MID(TRIM(UPPER(D12)),7,1))&lt;=57,CODE(MID(TRIM(UPPER(D12)),8,1))&gt;=48,CODE(MID(TRIM(UPPER(D12)),8,1))&lt;=57,CODE(MID(TRIM(UPPER(D12)),9,1))&gt;=48,CODE(MID(TRIM(UPPER(D12)),9,1))&lt;=57),"N","Y"))</f>
      </c>
      <c r="F12" s="7">
        <f>IF($C12="","",IF(LEN(D12)&lt;4,"",IF(UPPER(MID(D12,4,1))="P","Individual",IF(UPPER(MID(D12,4,1))="H","HUF",IF(UPPER(MID(D12,4,1))="C","Company",IF(UPPER(MID(D12,4,1))="F","Firm",IF(UPPER(MID(D12,4,1))="L","LLP",IF(UPPER(MID(D12,4,1))="T","Trust",IF(UPPER(MID(D12,4,1))="A","AOP","")))))))))</f>
      </c>
      <c r="G12" s="8"/>
      <c r="H12" s="7">
        <f>IF($C12="","",IF(R12&lt;&gt;"",R12,IF(G12="","",IF(E12="Y",SUMPRODUCT(('Rate Lookup'!$A$1:$A$37=G12)*'Rate Lookup'!$D$1:$D$37),IF(OR(F12="Individual",F12="HUF"),SUMPRODUCT(('Rate Lookup'!$A$1:$A$37=G12)*'Rate Lookup'!$B$1:$B$37),SUMPRODUCT(('Rate Lookup'!$A$1:$A$37=G12)*'Rate Lookup'!$C$1:$C$37)))))))</f>
      </c>
      <c r="I12" s="8"/>
      <c r="J12" s="8"/>
      <c r="K12" s="7">
        <f>IF($C12="","",IF(OR(P12="B",P12="D",P12="E",P12="N",P12="O",P12="P",P12="Q",P12="S",P12="Y",P12="Z"),0,ROUND(J12*H12/100,0)))</f>
      </c>
      <c r="L12" s="7">
        <f>IF($C12="","",0)</f>
      </c>
      <c r="M12" s="7">
        <f>IF($C12="","",0)</f>
      </c>
      <c r="N12" s="7">
        <f>IF($C12="","",IF(OR(K12=0,I12="",IFERROR(INDEX('Challan Master'!$D$4:$D$207,MATCH($B12,'Challan Master'!$S$4:$S$207,0)),"")="",IFERROR(INDEX('Challan Master'!$D$4:$D$207,MATCH($B12,'Challan Master'!$S$4:$S$207,0)),"")&lt;=0),0,IF(IFERROR(INDEX('Challan Master'!$D$4:$D$207,MATCH($B12,'Challan Master'!$S$4:$S$207,0)),"")&lt;=DATE(YEAR(I12),MONTH(I12)+1,7),0,ROUND(K12*0.015*((YEAR(IFERROR(INDEX('Challan Master'!$D$4:$D$207,MATCH($B12,'Challan Master'!$S$4:$S$207,0)),""))-YEAR(I12))*12+(MONTH(IFERROR(INDEX('Challan Master'!$D$4:$D$207,MATCH($B12,'Challan Master'!$S$4:$S$207,0)),""))-MONTH(I12))+1),0))))</f>
      </c>
      <c r="O12" s="7">
        <f>IF($C12="","",0)</f>
      </c>
      <c r="P12" s="8"/>
      <c r="Q12" s="8"/>
      <c r="R12" s="8"/>
      <c r="S12" s="8"/>
      <c r="T12" s="8"/>
      <c r="U12" s="7">
        <f>IF($B12="","",IFERROR(INDEX('Challan Master'!$AA$4:$AA$207,MATCH($B12,'Challan Master'!$S$4:$S$207,0)),""))</f>
      </c>
    </row>
    <row r="13" spans="1:22" x14ac:dyDescent="0.25">
      <c r="A13" s="7">
        <f>IF($C13="","",COUNTIF($C$4:$C13,"&lt;&gt;"))</f>
      </c>
      <c r="B13" s="8"/>
      <c r="C13" s="8"/>
      <c r="D13" s="8"/>
      <c r="E13" s="7">
        <f>IF($C13="","",IF(AND(LEN(TRIM(UPPER(D13)))=10,CODE(MID(TRIM(UPPER(D13)),1,1))&gt;=65,CODE(MID(TRIM(UPPER(D13)),1,1))&lt;=90,CODE(MID(TRIM(UPPER(D13)),2,1))&gt;=65,CODE(MID(TRIM(UPPER(D13)),2,1))&lt;=90,CODE(MID(TRIM(UPPER(D13)),3,1))&gt;=65,CODE(MID(TRIM(UPPER(D13)),3,1))&lt;=90,CODE(MID(TRIM(UPPER(D13)),4,1))&gt;=65,CODE(MID(TRIM(UPPER(D13)),4,1))&lt;=90,CODE(MID(TRIM(UPPER(D13)),5,1))&gt;=65,CODE(MID(TRIM(UPPER(D13)),5,1))&lt;=90,CODE(MID(TRIM(UPPER(D13)),10,1))&gt;=65,CODE(MID(TRIM(UPPER(D13)),10,1))&lt;=90,CODE(MID(TRIM(UPPER(D13)),6,1))&gt;=48,CODE(MID(TRIM(UPPER(D13)),6,1))&lt;=57,CODE(MID(TRIM(UPPER(D13)),7,1))&gt;=48,CODE(MID(TRIM(UPPER(D13)),7,1))&lt;=57,CODE(MID(TRIM(UPPER(D13)),8,1))&gt;=48,CODE(MID(TRIM(UPPER(D13)),8,1))&lt;=57,CODE(MID(TRIM(UPPER(D13)),9,1))&gt;=48,CODE(MID(TRIM(UPPER(D13)),9,1))&lt;=57),"N","Y"))</f>
      </c>
      <c r="F13" s="7">
        <f>IF($C13="","",IF(LEN(D13)&lt;4,"",IF(UPPER(MID(D13,4,1))="P","Individual",IF(UPPER(MID(D13,4,1))="H","HUF",IF(UPPER(MID(D13,4,1))="C","Company",IF(UPPER(MID(D13,4,1))="F","Firm",IF(UPPER(MID(D13,4,1))="L","LLP",IF(UPPER(MID(D13,4,1))="T","Trust",IF(UPPER(MID(D13,4,1))="A","AOP","")))))))))</f>
      </c>
      <c r="G13" s="8"/>
      <c r="H13" s="7">
        <f>IF($C13="","",IF(R13&lt;&gt;"",R13,IF(G13="","",IF(E13="Y",SUMPRODUCT(('Rate Lookup'!$A$1:$A$37=G13)*'Rate Lookup'!$D$1:$D$37),IF(OR(F13="Individual",F13="HUF"),SUMPRODUCT(('Rate Lookup'!$A$1:$A$37=G13)*'Rate Lookup'!$B$1:$B$37),SUMPRODUCT(('Rate Lookup'!$A$1:$A$37=G13)*'Rate Lookup'!$C$1:$C$37)))))))</f>
      </c>
      <c r="I13" s="8"/>
      <c r="J13" s="8"/>
      <c r="K13" s="7">
        <f>IF($C13="","",IF(OR(P13="B",P13="D",P13="E",P13="N",P13="O",P13="P",P13="Q",P13="S",P13="Y",P13="Z"),0,ROUND(J13*H13/100,0)))</f>
      </c>
      <c r="L13" s="7">
        <f>IF($C13="","",0)</f>
      </c>
      <c r="M13" s="7">
        <f>IF($C13="","",0)</f>
      </c>
      <c r="N13" s="7">
        <f>IF($C13="","",IF(OR(K13=0,I13="",IFERROR(INDEX('Challan Master'!$D$4:$D$207,MATCH($B13,'Challan Master'!$S$4:$S$207,0)),"")="",IFERROR(INDEX('Challan Master'!$D$4:$D$207,MATCH($B13,'Challan Master'!$S$4:$S$207,0)),"")&lt;=0),0,IF(IFERROR(INDEX('Challan Master'!$D$4:$D$207,MATCH($B13,'Challan Master'!$S$4:$S$207,0)),"")&lt;=DATE(YEAR(I13),MONTH(I13)+1,7),0,ROUND(K13*0.015*((YEAR(IFERROR(INDEX('Challan Master'!$D$4:$D$207,MATCH($B13,'Challan Master'!$S$4:$S$207,0)),""))-YEAR(I13))*12+(MONTH(IFERROR(INDEX('Challan Master'!$D$4:$D$207,MATCH($B13,'Challan Master'!$S$4:$S$207,0)),""))-MONTH(I13))+1),0))))</f>
      </c>
      <c r="O13" s="7">
        <f>IF($C13="","",0)</f>
      </c>
      <c r="P13" s="8"/>
      <c r="Q13" s="8"/>
      <c r="R13" s="8"/>
      <c r="S13" s="8"/>
      <c r="T13" s="8"/>
      <c r="U13" s="7">
        <f>IF($B13="","",IFERROR(INDEX('Challan Master'!$AA$4:$AA$207,MATCH($B13,'Challan Master'!$S$4:$S$207,0)),""))</f>
      </c>
    </row>
    <row r="14" spans="1:22" x14ac:dyDescent="0.25">
      <c r="A14" s="7">
        <f>IF($C14="","",COUNTIF($C$4:$C14,"&lt;&gt;"))</f>
      </c>
      <c r="B14" s="8"/>
      <c r="C14" s="8"/>
      <c r="D14" s="8"/>
      <c r="E14" s="7">
        <f>IF($C14="","",IF(AND(LEN(TRIM(UPPER(D14)))=10,CODE(MID(TRIM(UPPER(D14)),1,1))&gt;=65,CODE(MID(TRIM(UPPER(D14)),1,1))&lt;=90,CODE(MID(TRIM(UPPER(D14)),2,1))&gt;=65,CODE(MID(TRIM(UPPER(D14)),2,1))&lt;=90,CODE(MID(TRIM(UPPER(D14)),3,1))&gt;=65,CODE(MID(TRIM(UPPER(D14)),3,1))&lt;=90,CODE(MID(TRIM(UPPER(D14)),4,1))&gt;=65,CODE(MID(TRIM(UPPER(D14)),4,1))&lt;=90,CODE(MID(TRIM(UPPER(D14)),5,1))&gt;=65,CODE(MID(TRIM(UPPER(D14)),5,1))&lt;=90,CODE(MID(TRIM(UPPER(D14)),10,1))&gt;=65,CODE(MID(TRIM(UPPER(D14)),10,1))&lt;=90,CODE(MID(TRIM(UPPER(D14)),6,1))&gt;=48,CODE(MID(TRIM(UPPER(D14)),6,1))&lt;=57,CODE(MID(TRIM(UPPER(D14)),7,1))&gt;=48,CODE(MID(TRIM(UPPER(D14)),7,1))&lt;=57,CODE(MID(TRIM(UPPER(D14)),8,1))&gt;=48,CODE(MID(TRIM(UPPER(D14)),8,1))&lt;=57,CODE(MID(TRIM(UPPER(D14)),9,1))&gt;=48,CODE(MID(TRIM(UPPER(D14)),9,1))&lt;=57),"N","Y"))</f>
      </c>
      <c r="F14" s="7">
        <f>IF($C14="","",IF(LEN(D14)&lt;4,"",IF(UPPER(MID(D14,4,1))="P","Individual",IF(UPPER(MID(D14,4,1))="H","HUF",IF(UPPER(MID(D14,4,1))="C","Company",IF(UPPER(MID(D14,4,1))="F","Firm",IF(UPPER(MID(D14,4,1))="L","LLP",IF(UPPER(MID(D14,4,1))="T","Trust",IF(UPPER(MID(D14,4,1))="A","AOP","")))))))))</f>
      </c>
      <c r="G14" s="8"/>
      <c r="H14" s="7">
        <f>IF($C14="","",IF(R14&lt;&gt;"",R14,IF(G14="","",IF(E14="Y",SUMPRODUCT(('Rate Lookup'!$A$1:$A$37=G14)*'Rate Lookup'!$D$1:$D$37),IF(OR(F14="Individual",F14="HUF"),SUMPRODUCT(('Rate Lookup'!$A$1:$A$37=G14)*'Rate Lookup'!$B$1:$B$37),SUMPRODUCT(('Rate Lookup'!$A$1:$A$37=G14)*'Rate Lookup'!$C$1:$C$37)))))))</f>
      </c>
      <c r="I14" s="8"/>
      <c r="J14" s="8"/>
      <c r="K14" s="7">
        <f>IF($C14="","",IF(OR(P14="B",P14="D",P14="E",P14="N",P14="O",P14="P",P14="Q",P14="S",P14="Y",P14="Z"),0,ROUND(J14*H14/100,0)))</f>
      </c>
      <c r="L14" s="7">
        <f>IF($C14="","",0)</f>
      </c>
      <c r="M14" s="7">
        <f>IF($C14="","",0)</f>
      </c>
      <c r="N14" s="7">
        <f>IF($C14="","",IF(OR(K14=0,I14="",IFERROR(INDEX('Challan Master'!$D$4:$D$207,MATCH($B14,'Challan Master'!$S$4:$S$207,0)),"")="",IFERROR(INDEX('Challan Master'!$D$4:$D$207,MATCH($B14,'Challan Master'!$S$4:$S$207,0)),"")&lt;=0),0,IF(IFERROR(INDEX('Challan Master'!$D$4:$D$207,MATCH($B14,'Challan Master'!$S$4:$S$207,0)),"")&lt;=DATE(YEAR(I14),MONTH(I14)+1,7),0,ROUND(K14*0.015*((YEAR(IFERROR(INDEX('Challan Master'!$D$4:$D$207,MATCH($B14,'Challan Master'!$S$4:$S$207,0)),""))-YEAR(I14))*12+(MONTH(IFERROR(INDEX('Challan Master'!$D$4:$D$207,MATCH($B14,'Challan Master'!$S$4:$S$207,0)),""))-MONTH(I14))+1),0))))</f>
      </c>
      <c r="O14" s="7">
        <f>IF($C14="","",0)</f>
      </c>
      <c r="P14" s="8"/>
      <c r="Q14" s="8"/>
      <c r="R14" s="8"/>
      <c r="S14" s="8"/>
      <c r="T14" s="8"/>
      <c r="U14" s="7">
        <f>IF($B14="","",IFERROR(INDEX('Challan Master'!$AA$4:$AA$207,MATCH($B14,'Challan Master'!$S$4:$S$207,0)),""))</f>
      </c>
    </row>
    <row r="15" spans="1:22" x14ac:dyDescent="0.25">
      <c r="A15" s="7">
        <f>IF($C15="","",COUNTIF($C$4:$C15,"&lt;&gt;"))</f>
      </c>
      <c r="B15" s="8"/>
      <c r="C15" s="8"/>
      <c r="D15" s="8"/>
      <c r="E15" s="7">
        <f>IF($C15="","",IF(AND(LEN(TRIM(UPPER(D15)))=10,CODE(MID(TRIM(UPPER(D15)),1,1))&gt;=65,CODE(MID(TRIM(UPPER(D15)),1,1))&lt;=90,CODE(MID(TRIM(UPPER(D15)),2,1))&gt;=65,CODE(MID(TRIM(UPPER(D15)),2,1))&lt;=90,CODE(MID(TRIM(UPPER(D15)),3,1))&gt;=65,CODE(MID(TRIM(UPPER(D15)),3,1))&lt;=90,CODE(MID(TRIM(UPPER(D15)),4,1))&gt;=65,CODE(MID(TRIM(UPPER(D15)),4,1))&lt;=90,CODE(MID(TRIM(UPPER(D15)),5,1))&gt;=65,CODE(MID(TRIM(UPPER(D15)),5,1))&lt;=90,CODE(MID(TRIM(UPPER(D15)),10,1))&gt;=65,CODE(MID(TRIM(UPPER(D15)),10,1))&lt;=90,CODE(MID(TRIM(UPPER(D15)),6,1))&gt;=48,CODE(MID(TRIM(UPPER(D15)),6,1))&lt;=57,CODE(MID(TRIM(UPPER(D15)),7,1))&gt;=48,CODE(MID(TRIM(UPPER(D15)),7,1))&lt;=57,CODE(MID(TRIM(UPPER(D15)),8,1))&gt;=48,CODE(MID(TRIM(UPPER(D15)),8,1))&lt;=57,CODE(MID(TRIM(UPPER(D15)),9,1))&gt;=48,CODE(MID(TRIM(UPPER(D15)),9,1))&lt;=57),"N","Y"))</f>
      </c>
      <c r="F15" s="7">
        <f>IF($C15="","",IF(LEN(D15)&lt;4,"",IF(UPPER(MID(D15,4,1))="P","Individual",IF(UPPER(MID(D15,4,1))="H","HUF",IF(UPPER(MID(D15,4,1))="C","Company",IF(UPPER(MID(D15,4,1))="F","Firm",IF(UPPER(MID(D15,4,1))="L","LLP",IF(UPPER(MID(D15,4,1))="T","Trust",IF(UPPER(MID(D15,4,1))="A","AOP","")))))))))</f>
      </c>
      <c r="G15" s="8"/>
      <c r="H15" s="7">
        <f>IF($C15="","",IF(R15&lt;&gt;"",R15,IF(G15="","",IF(E15="Y",SUMPRODUCT(('Rate Lookup'!$A$1:$A$37=G15)*'Rate Lookup'!$D$1:$D$37),IF(OR(F15="Individual",F15="HUF"),SUMPRODUCT(('Rate Lookup'!$A$1:$A$37=G15)*'Rate Lookup'!$B$1:$B$37),SUMPRODUCT(('Rate Lookup'!$A$1:$A$37=G15)*'Rate Lookup'!$C$1:$C$37)))))))</f>
      </c>
      <c r="I15" s="8"/>
      <c r="J15" s="8"/>
      <c r="K15" s="7">
        <f>IF($C15="","",IF(OR(P15="B",P15="D",P15="E",P15="N",P15="O",P15="P",P15="Q",P15="S",P15="Y",P15="Z"),0,ROUND(J15*H15/100,0)))</f>
      </c>
      <c r="L15" s="7">
        <f>IF($C15="","",0)</f>
      </c>
      <c r="M15" s="7">
        <f>IF($C15="","",0)</f>
      </c>
      <c r="N15" s="7">
        <f>IF($C15="","",IF(OR(K15=0,I15="",IFERROR(INDEX('Challan Master'!$D$4:$D$207,MATCH($B15,'Challan Master'!$S$4:$S$207,0)),"")="",IFERROR(INDEX('Challan Master'!$D$4:$D$207,MATCH($B15,'Challan Master'!$S$4:$S$207,0)),"")&lt;=0),0,IF(IFERROR(INDEX('Challan Master'!$D$4:$D$207,MATCH($B15,'Challan Master'!$S$4:$S$207,0)),"")&lt;=DATE(YEAR(I15),MONTH(I15)+1,7),0,ROUND(K15*0.015*((YEAR(IFERROR(INDEX('Challan Master'!$D$4:$D$207,MATCH($B15,'Challan Master'!$S$4:$S$207,0)),""))-YEAR(I15))*12+(MONTH(IFERROR(INDEX('Challan Master'!$D$4:$D$207,MATCH($B15,'Challan Master'!$S$4:$S$207,0)),""))-MONTH(I15))+1),0))))</f>
      </c>
      <c r="O15" s="7">
        <f>IF($C15="","",0)</f>
      </c>
      <c r="P15" s="8"/>
      <c r="Q15" s="8"/>
      <c r="R15" s="8"/>
      <c r="S15" s="8"/>
      <c r="T15" s="8"/>
      <c r="U15" s="7">
        <f>IF($B15="","",IFERROR(INDEX('Challan Master'!$AA$4:$AA$207,MATCH($B15,'Challan Master'!$S$4:$S$207,0)),""))</f>
      </c>
    </row>
    <row r="16" spans="1:22" x14ac:dyDescent="0.25">
      <c r="A16" s="7">
        <f>IF($C16="","",COUNTIF($C$4:$C16,"&lt;&gt;"))</f>
      </c>
      <c r="B16" s="8"/>
      <c r="C16" s="8"/>
      <c r="D16" s="8"/>
      <c r="E16" s="7">
        <f>IF($C16="","",IF(AND(LEN(TRIM(UPPER(D16)))=10,CODE(MID(TRIM(UPPER(D16)),1,1))&gt;=65,CODE(MID(TRIM(UPPER(D16)),1,1))&lt;=90,CODE(MID(TRIM(UPPER(D16)),2,1))&gt;=65,CODE(MID(TRIM(UPPER(D16)),2,1))&lt;=90,CODE(MID(TRIM(UPPER(D16)),3,1))&gt;=65,CODE(MID(TRIM(UPPER(D16)),3,1))&lt;=90,CODE(MID(TRIM(UPPER(D16)),4,1))&gt;=65,CODE(MID(TRIM(UPPER(D16)),4,1))&lt;=90,CODE(MID(TRIM(UPPER(D16)),5,1))&gt;=65,CODE(MID(TRIM(UPPER(D16)),5,1))&lt;=90,CODE(MID(TRIM(UPPER(D16)),10,1))&gt;=65,CODE(MID(TRIM(UPPER(D16)),10,1))&lt;=90,CODE(MID(TRIM(UPPER(D16)),6,1))&gt;=48,CODE(MID(TRIM(UPPER(D16)),6,1))&lt;=57,CODE(MID(TRIM(UPPER(D16)),7,1))&gt;=48,CODE(MID(TRIM(UPPER(D16)),7,1))&lt;=57,CODE(MID(TRIM(UPPER(D16)),8,1))&gt;=48,CODE(MID(TRIM(UPPER(D16)),8,1))&lt;=57,CODE(MID(TRIM(UPPER(D16)),9,1))&gt;=48,CODE(MID(TRIM(UPPER(D16)),9,1))&lt;=57),"N","Y"))</f>
      </c>
      <c r="F16" s="7">
        <f>IF($C16="","",IF(LEN(D16)&lt;4,"",IF(UPPER(MID(D16,4,1))="P","Individual",IF(UPPER(MID(D16,4,1))="H","HUF",IF(UPPER(MID(D16,4,1))="C","Company",IF(UPPER(MID(D16,4,1))="F","Firm",IF(UPPER(MID(D16,4,1))="L","LLP",IF(UPPER(MID(D16,4,1))="T","Trust",IF(UPPER(MID(D16,4,1))="A","AOP","")))))))))</f>
      </c>
      <c r="G16" s="8"/>
      <c r="H16" s="7">
        <f>IF($C16="","",IF(R16&lt;&gt;"",R16,IF(G16="","",IF(E16="Y",SUMPRODUCT(('Rate Lookup'!$A$1:$A$37=G16)*'Rate Lookup'!$D$1:$D$37),IF(OR(F16="Individual",F16="HUF"),SUMPRODUCT(('Rate Lookup'!$A$1:$A$37=G16)*'Rate Lookup'!$B$1:$B$37),SUMPRODUCT(('Rate Lookup'!$A$1:$A$37=G16)*'Rate Lookup'!$C$1:$C$37)))))))</f>
      </c>
      <c r="I16" s="8"/>
      <c r="J16" s="8"/>
      <c r="K16" s="7">
        <f>IF($C16="","",IF(OR(P16="B",P16="D",P16="E",P16="N",P16="O",P16="P",P16="Q",P16="S",P16="Y",P16="Z"),0,ROUND(J16*H16/100,0)))</f>
      </c>
      <c r="L16" s="7">
        <f>IF($C16="","",0)</f>
      </c>
      <c r="M16" s="7">
        <f>IF($C16="","",0)</f>
      </c>
      <c r="N16" s="7">
        <f>IF($C16="","",IF(OR(K16=0,I16="",IFERROR(INDEX('Challan Master'!$D$4:$D$207,MATCH($B16,'Challan Master'!$S$4:$S$207,0)),"")="",IFERROR(INDEX('Challan Master'!$D$4:$D$207,MATCH($B16,'Challan Master'!$S$4:$S$207,0)),"")&lt;=0),0,IF(IFERROR(INDEX('Challan Master'!$D$4:$D$207,MATCH($B16,'Challan Master'!$S$4:$S$207,0)),"")&lt;=DATE(YEAR(I16),MONTH(I16)+1,7),0,ROUND(K16*0.015*((YEAR(IFERROR(INDEX('Challan Master'!$D$4:$D$207,MATCH($B16,'Challan Master'!$S$4:$S$207,0)),""))-YEAR(I16))*12+(MONTH(IFERROR(INDEX('Challan Master'!$D$4:$D$207,MATCH($B16,'Challan Master'!$S$4:$S$207,0)),""))-MONTH(I16))+1),0))))</f>
      </c>
      <c r="O16" s="7">
        <f>IF($C16="","",0)</f>
      </c>
      <c r="P16" s="8"/>
      <c r="Q16" s="8"/>
      <c r="R16" s="8"/>
      <c r="S16" s="8"/>
      <c r="T16" s="8"/>
      <c r="U16" s="7">
        <f>IF($B16="","",IFERROR(INDEX('Challan Master'!$AA$4:$AA$207,MATCH($B16,'Challan Master'!$S$4:$S$207,0)),""))</f>
      </c>
    </row>
    <row r="17" spans="1:22" x14ac:dyDescent="0.25">
      <c r="A17" s="7">
        <f>IF($C17="","",COUNTIF($C$4:$C17,"&lt;&gt;"))</f>
      </c>
      <c r="B17" s="8"/>
      <c r="C17" s="8"/>
      <c r="D17" s="8"/>
      <c r="E17" s="7">
        <f>IF($C17="","",IF(AND(LEN(TRIM(UPPER(D17)))=10,CODE(MID(TRIM(UPPER(D17)),1,1))&gt;=65,CODE(MID(TRIM(UPPER(D17)),1,1))&lt;=90,CODE(MID(TRIM(UPPER(D17)),2,1))&gt;=65,CODE(MID(TRIM(UPPER(D17)),2,1))&lt;=90,CODE(MID(TRIM(UPPER(D17)),3,1))&gt;=65,CODE(MID(TRIM(UPPER(D17)),3,1))&lt;=90,CODE(MID(TRIM(UPPER(D17)),4,1))&gt;=65,CODE(MID(TRIM(UPPER(D17)),4,1))&lt;=90,CODE(MID(TRIM(UPPER(D17)),5,1))&gt;=65,CODE(MID(TRIM(UPPER(D17)),5,1))&lt;=90,CODE(MID(TRIM(UPPER(D17)),10,1))&gt;=65,CODE(MID(TRIM(UPPER(D17)),10,1))&lt;=90,CODE(MID(TRIM(UPPER(D17)),6,1))&gt;=48,CODE(MID(TRIM(UPPER(D17)),6,1))&lt;=57,CODE(MID(TRIM(UPPER(D17)),7,1))&gt;=48,CODE(MID(TRIM(UPPER(D17)),7,1))&lt;=57,CODE(MID(TRIM(UPPER(D17)),8,1))&gt;=48,CODE(MID(TRIM(UPPER(D17)),8,1))&lt;=57,CODE(MID(TRIM(UPPER(D17)),9,1))&gt;=48,CODE(MID(TRIM(UPPER(D17)),9,1))&lt;=57),"N","Y"))</f>
      </c>
      <c r="F17" s="7">
        <f>IF($C17="","",IF(LEN(D17)&lt;4,"",IF(UPPER(MID(D17,4,1))="P","Individual",IF(UPPER(MID(D17,4,1))="H","HUF",IF(UPPER(MID(D17,4,1))="C","Company",IF(UPPER(MID(D17,4,1))="F","Firm",IF(UPPER(MID(D17,4,1))="L","LLP",IF(UPPER(MID(D17,4,1))="T","Trust",IF(UPPER(MID(D17,4,1))="A","AOP","")))))))))</f>
      </c>
      <c r="G17" s="8"/>
      <c r="H17" s="7">
        <f>IF($C17="","",IF(R17&lt;&gt;"",R17,IF(G17="","",IF(E17="Y",SUMPRODUCT(('Rate Lookup'!$A$1:$A$37=G17)*'Rate Lookup'!$D$1:$D$37),IF(OR(F17="Individual",F17="HUF"),SUMPRODUCT(('Rate Lookup'!$A$1:$A$37=G17)*'Rate Lookup'!$B$1:$B$37),SUMPRODUCT(('Rate Lookup'!$A$1:$A$37=G17)*'Rate Lookup'!$C$1:$C$37)))))))</f>
      </c>
      <c r="I17" s="8"/>
      <c r="J17" s="8"/>
      <c r="K17" s="7">
        <f>IF($C17="","",IF(OR(P17="B",P17="D",P17="E",P17="N",P17="O",P17="P",P17="Q",P17="S",P17="Y",P17="Z"),0,ROUND(J17*H17/100,0)))</f>
      </c>
      <c r="L17" s="7">
        <f>IF($C17="","",0)</f>
      </c>
      <c r="M17" s="7">
        <f>IF($C17="","",0)</f>
      </c>
      <c r="N17" s="7">
        <f>IF($C17="","",IF(OR(K17=0,I17="",IFERROR(INDEX('Challan Master'!$D$4:$D$207,MATCH($B17,'Challan Master'!$S$4:$S$207,0)),"")="",IFERROR(INDEX('Challan Master'!$D$4:$D$207,MATCH($B17,'Challan Master'!$S$4:$S$207,0)),"")&lt;=0),0,IF(IFERROR(INDEX('Challan Master'!$D$4:$D$207,MATCH($B17,'Challan Master'!$S$4:$S$207,0)),"")&lt;=DATE(YEAR(I17),MONTH(I17)+1,7),0,ROUND(K17*0.015*((YEAR(IFERROR(INDEX('Challan Master'!$D$4:$D$207,MATCH($B17,'Challan Master'!$S$4:$S$207,0)),""))-YEAR(I17))*12+(MONTH(IFERROR(INDEX('Challan Master'!$D$4:$D$207,MATCH($B17,'Challan Master'!$S$4:$S$207,0)),""))-MONTH(I17))+1),0))))</f>
      </c>
      <c r="O17" s="7">
        <f>IF($C17="","",0)</f>
      </c>
      <c r="P17" s="8"/>
      <c r="Q17" s="8"/>
      <c r="R17" s="8"/>
      <c r="S17" s="8"/>
      <c r="T17" s="8"/>
      <c r="U17" s="7">
        <f>IF($B17="","",IFERROR(INDEX('Challan Master'!$AA$4:$AA$207,MATCH($B17,'Challan Master'!$S$4:$S$207,0)),""))</f>
      </c>
    </row>
    <row r="18" spans="1:22" x14ac:dyDescent="0.25">
      <c r="A18" s="7">
        <f>IF($C18="","",COUNTIF($C$4:$C18,"&lt;&gt;"))</f>
      </c>
      <c r="B18" s="8"/>
      <c r="C18" s="8"/>
      <c r="D18" s="8"/>
      <c r="E18" s="7">
        <f>IF($C18="","",IF(AND(LEN(TRIM(UPPER(D18)))=10,CODE(MID(TRIM(UPPER(D18)),1,1))&gt;=65,CODE(MID(TRIM(UPPER(D18)),1,1))&lt;=90,CODE(MID(TRIM(UPPER(D18)),2,1))&gt;=65,CODE(MID(TRIM(UPPER(D18)),2,1))&lt;=90,CODE(MID(TRIM(UPPER(D18)),3,1))&gt;=65,CODE(MID(TRIM(UPPER(D18)),3,1))&lt;=90,CODE(MID(TRIM(UPPER(D18)),4,1))&gt;=65,CODE(MID(TRIM(UPPER(D18)),4,1))&lt;=90,CODE(MID(TRIM(UPPER(D18)),5,1))&gt;=65,CODE(MID(TRIM(UPPER(D18)),5,1))&lt;=90,CODE(MID(TRIM(UPPER(D18)),10,1))&gt;=65,CODE(MID(TRIM(UPPER(D18)),10,1))&lt;=90,CODE(MID(TRIM(UPPER(D18)),6,1))&gt;=48,CODE(MID(TRIM(UPPER(D18)),6,1))&lt;=57,CODE(MID(TRIM(UPPER(D18)),7,1))&gt;=48,CODE(MID(TRIM(UPPER(D18)),7,1))&lt;=57,CODE(MID(TRIM(UPPER(D18)),8,1))&gt;=48,CODE(MID(TRIM(UPPER(D18)),8,1))&lt;=57,CODE(MID(TRIM(UPPER(D18)),9,1))&gt;=48,CODE(MID(TRIM(UPPER(D18)),9,1))&lt;=57),"N","Y"))</f>
      </c>
      <c r="F18" s="7">
        <f>IF($C18="","",IF(LEN(D18)&lt;4,"",IF(UPPER(MID(D18,4,1))="P","Individual",IF(UPPER(MID(D18,4,1))="H","HUF",IF(UPPER(MID(D18,4,1))="C","Company",IF(UPPER(MID(D18,4,1))="F","Firm",IF(UPPER(MID(D18,4,1))="L","LLP",IF(UPPER(MID(D18,4,1))="T","Trust",IF(UPPER(MID(D18,4,1))="A","AOP","")))))))))</f>
      </c>
      <c r="G18" s="8"/>
      <c r="H18" s="7">
        <f>IF($C18="","",IF(R18&lt;&gt;"",R18,IF(G18="","",IF(E18="Y",SUMPRODUCT(('Rate Lookup'!$A$1:$A$37=G18)*'Rate Lookup'!$D$1:$D$37),IF(OR(F18="Individual",F18="HUF"),SUMPRODUCT(('Rate Lookup'!$A$1:$A$37=G18)*'Rate Lookup'!$B$1:$B$37),SUMPRODUCT(('Rate Lookup'!$A$1:$A$37=G18)*'Rate Lookup'!$C$1:$C$37)))))))</f>
      </c>
      <c r="I18" s="8"/>
      <c r="J18" s="8"/>
      <c r="K18" s="7">
        <f>IF($C18="","",IF(OR(P18="B",P18="D",P18="E",P18="N",P18="O",P18="P",P18="Q",P18="S",P18="Y",P18="Z"),0,ROUND(J18*H18/100,0)))</f>
      </c>
      <c r="L18" s="7">
        <f>IF($C18="","",0)</f>
      </c>
      <c r="M18" s="7">
        <f>IF($C18="","",0)</f>
      </c>
      <c r="N18" s="7">
        <f>IF($C18="","",IF(OR(K18=0,I18="",IFERROR(INDEX('Challan Master'!$D$4:$D$207,MATCH($B18,'Challan Master'!$S$4:$S$207,0)),"")="",IFERROR(INDEX('Challan Master'!$D$4:$D$207,MATCH($B18,'Challan Master'!$S$4:$S$207,0)),"")&lt;=0),0,IF(IFERROR(INDEX('Challan Master'!$D$4:$D$207,MATCH($B18,'Challan Master'!$S$4:$S$207,0)),"")&lt;=DATE(YEAR(I18),MONTH(I18)+1,7),0,ROUND(K18*0.015*((YEAR(IFERROR(INDEX('Challan Master'!$D$4:$D$207,MATCH($B18,'Challan Master'!$S$4:$S$207,0)),""))-YEAR(I18))*12+(MONTH(IFERROR(INDEX('Challan Master'!$D$4:$D$207,MATCH($B18,'Challan Master'!$S$4:$S$207,0)),""))-MONTH(I18))+1),0))))</f>
      </c>
      <c r="O18" s="7">
        <f>IF($C18="","",0)</f>
      </c>
      <c r="P18" s="8"/>
      <c r="Q18" s="8"/>
      <c r="R18" s="8"/>
      <c r="S18" s="8"/>
      <c r="T18" s="8"/>
      <c r="U18" s="7">
        <f>IF($B18="","",IFERROR(INDEX('Challan Master'!$AA$4:$AA$207,MATCH($B18,'Challan Master'!$S$4:$S$207,0)),""))</f>
      </c>
    </row>
    <row r="19" spans="1:22" x14ac:dyDescent="0.25">
      <c r="A19" s="7">
        <f>IF($C19="","",COUNTIF($C$4:$C19,"&lt;&gt;"))</f>
      </c>
      <c r="B19" s="8"/>
      <c r="C19" s="8"/>
      <c r="D19" s="8"/>
      <c r="E19" s="7">
        <f>IF($C19="","",IF(AND(LEN(TRIM(UPPER(D19)))=10,CODE(MID(TRIM(UPPER(D19)),1,1))&gt;=65,CODE(MID(TRIM(UPPER(D19)),1,1))&lt;=90,CODE(MID(TRIM(UPPER(D19)),2,1))&gt;=65,CODE(MID(TRIM(UPPER(D19)),2,1))&lt;=90,CODE(MID(TRIM(UPPER(D19)),3,1))&gt;=65,CODE(MID(TRIM(UPPER(D19)),3,1))&lt;=90,CODE(MID(TRIM(UPPER(D19)),4,1))&gt;=65,CODE(MID(TRIM(UPPER(D19)),4,1))&lt;=90,CODE(MID(TRIM(UPPER(D19)),5,1))&gt;=65,CODE(MID(TRIM(UPPER(D19)),5,1))&lt;=90,CODE(MID(TRIM(UPPER(D19)),10,1))&gt;=65,CODE(MID(TRIM(UPPER(D19)),10,1))&lt;=90,CODE(MID(TRIM(UPPER(D19)),6,1))&gt;=48,CODE(MID(TRIM(UPPER(D19)),6,1))&lt;=57,CODE(MID(TRIM(UPPER(D19)),7,1))&gt;=48,CODE(MID(TRIM(UPPER(D19)),7,1))&lt;=57,CODE(MID(TRIM(UPPER(D19)),8,1))&gt;=48,CODE(MID(TRIM(UPPER(D19)),8,1))&lt;=57,CODE(MID(TRIM(UPPER(D19)),9,1))&gt;=48,CODE(MID(TRIM(UPPER(D19)),9,1))&lt;=57),"N","Y"))</f>
      </c>
      <c r="F19" s="7">
        <f>IF($C19="","",IF(LEN(D19)&lt;4,"",IF(UPPER(MID(D19,4,1))="P","Individual",IF(UPPER(MID(D19,4,1))="H","HUF",IF(UPPER(MID(D19,4,1))="C","Company",IF(UPPER(MID(D19,4,1))="F","Firm",IF(UPPER(MID(D19,4,1))="L","LLP",IF(UPPER(MID(D19,4,1))="T","Trust",IF(UPPER(MID(D19,4,1))="A","AOP","")))))))))</f>
      </c>
      <c r="G19" s="8"/>
      <c r="H19" s="7">
        <f>IF($C19="","",IF(R19&lt;&gt;"",R19,IF(G19="","",IF(E19="Y",SUMPRODUCT(('Rate Lookup'!$A$1:$A$37=G19)*'Rate Lookup'!$D$1:$D$37),IF(OR(F19="Individual",F19="HUF"),SUMPRODUCT(('Rate Lookup'!$A$1:$A$37=G19)*'Rate Lookup'!$B$1:$B$37),SUMPRODUCT(('Rate Lookup'!$A$1:$A$37=G19)*'Rate Lookup'!$C$1:$C$37)))))))</f>
      </c>
      <c r="I19" s="8"/>
      <c r="J19" s="8"/>
      <c r="K19" s="7">
        <f>IF($C19="","",IF(OR(P19="B",P19="D",P19="E",P19="N",P19="O",P19="P",P19="Q",P19="S",P19="Y",P19="Z"),0,ROUND(J19*H19/100,0)))</f>
      </c>
      <c r="L19" s="7">
        <f>IF($C19="","",0)</f>
      </c>
      <c r="M19" s="7">
        <f>IF($C19="","",0)</f>
      </c>
      <c r="N19" s="7">
        <f>IF($C19="","",IF(OR(K19=0,I19="",IFERROR(INDEX('Challan Master'!$D$4:$D$207,MATCH($B19,'Challan Master'!$S$4:$S$207,0)),"")="",IFERROR(INDEX('Challan Master'!$D$4:$D$207,MATCH($B19,'Challan Master'!$S$4:$S$207,0)),"")&lt;=0),0,IF(IFERROR(INDEX('Challan Master'!$D$4:$D$207,MATCH($B19,'Challan Master'!$S$4:$S$207,0)),"")&lt;=DATE(YEAR(I19),MONTH(I19)+1,7),0,ROUND(K19*0.015*((YEAR(IFERROR(INDEX('Challan Master'!$D$4:$D$207,MATCH($B19,'Challan Master'!$S$4:$S$207,0)),""))-YEAR(I19))*12+(MONTH(IFERROR(INDEX('Challan Master'!$D$4:$D$207,MATCH($B19,'Challan Master'!$S$4:$S$207,0)),""))-MONTH(I19))+1),0))))</f>
      </c>
      <c r="O19" s="7">
        <f>IF($C19="","",0)</f>
      </c>
      <c r="P19" s="8"/>
      <c r="Q19" s="8"/>
      <c r="R19" s="8"/>
      <c r="S19" s="8"/>
      <c r="T19" s="8"/>
      <c r="U19" s="7">
        <f>IF($B19="","",IFERROR(INDEX('Challan Master'!$AA$4:$AA$207,MATCH($B19,'Challan Master'!$S$4:$S$207,0)),""))</f>
      </c>
    </row>
    <row r="20" spans="1:22" x14ac:dyDescent="0.25">
      <c r="A20" s="7">
        <f>IF($C20="","",COUNTIF($C$4:$C20,"&lt;&gt;"))</f>
      </c>
      <c r="B20" s="8"/>
      <c r="C20" s="8"/>
      <c r="D20" s="8"/>
      <c r="E20" s="7">
        <f>IF($C20="","",IF(AND(LEN(TRIM(UPPER(D20)))=10,CODE(MID(TRIM(UPPER(D20)),1,1))&gt;=65,CODE(MID(TRIM(UPPER(D20)),1,1))&lt;=90,CODE(MID(TRIM(UPPER(D20)),2,1))&gt;=65,CODE(MID(TRIM(UPPER(D20)),2,1))&lt;=90,CODE(MID(TRIM(UPPER(D20)),3,1))&gt;=65,CODE(MID(TRIM(UPPER(D20)),3,1))&lt;=90,CODE(MID(TRIM(UPPER(D20)),4,1))&gt;=65,CODE(MID(TRIM(UPPER(D20)),4,1))&lt;=90,CODE(MID(TRIM(UPPER(D20)),5,1))&gt;=65,CODE(MID(TRIM(UPPER(D20)),5,1))&lt;=90,CODE(MID(TRIM(UPPER(D20)),10,1))&gt;=65,CODE(MID(TRIM(UPPER(D20)),10,1))&lt;=90,CODE(MID(TRIM(UPPER(D20)),6,1))&gt;=48,CODE(MID(TRIM(UPPER(D20)),6,1))&lt;=57,CODE(MID(TRIM(UPPER(D20)),7,1))&gt;=48,CODE(MID(TRIM(UPPER(D20)),7,1))&lt;=57,CODE(MID(TRIM(UPPER(D20)),8,1))&gt;=48,CODE(MID(TRIM(UPPER(D20)),8,1))&lt;=57,CODE(MID(TRIM(UPPER(D20)),9,1))&gt;=48,CODE(MID(TRIM(UPPER(D20)),9,1))&lt;=57),"N","Y"))</f>
      </c>
      <c r="F20" s="7">
        <f>IF($C20="","",IF(LEN(D20)&lt;4,"",IF(UPPER(MID(D20,4,1))="P","Individual",IF(UPPER(MID(D20,4,1))="H","HUF",IF(UPPER(MID(D20,4,1))="C","Company",IF(UPPER(MID(D20,4,1))="F","Firm",IF(UPPER(MID(D20,4,1))="L","LLP",IF(UPPER(MID(D20,4,1))="T","Trust",IF(UPPER(MID(D20,4,1))="A","AOP","")))))))))</f>
      </c>
      <c r="G20" s="8"/>
      <c r="H20" s="7">
        <f>IF($C20="","",IF(R20&lt;&gt;"",R20,IF(G20="","",IF(E20="Y",SUMPRODUCT(('Rate Lookup'!$A$1:$A$37=G20)*'Rate Lookup'!$D$1:$D$37),IF(OR(F20="Individual",F20="HUF"),SUMPRODUCT(('Rate Lookup'!$A$1:$A$37=G20)*'Rate Lookup'!$B$1:$B$37),SUMPRODUCT(('Rate Lookup'!$A$1:$A$37=G20)*'Rate Lookup'!$C$1:$C$37)))))))</f>
      </c>
      <c r="I20" s="8"/>
      <c r="J20" s="8"/>
      <c r="K20" s="7">
        <f>IF($C20="","",IF(OR(P20="B",P20="D",P20="E",P20="N",P20="O",P20="P",P20="Q",P20="S",P20="Y",P20="Z"),0,ROUND(J20*H20/100,0)))</f>
      </c>
      <c r="L20" s="7">
        <f>IF($C20="","",0)</f>
      </c>
      <c r="M20" s="7">
        <f>IF($C20="","",0)</f>
      </c>
      <c r="N20" s="7">
        <f>IF($C20="","",IF(OR(K20=0,I20="",IFERROR(INDEX('Challan Master'!$D$4:$D$207,MATCH($B20,'Challan Master'!$S$4:$S$207,0)),"")="",IFERROR(INDEX('Challan Master'!$D$4:$D$207,MATCH($B20,'Challan Master'!$S$4:$S$207,0)),"")&lt;=0),0,IF(IFERROR(INDEX('Challan Master'!$D$4:$D$207,MATCH($B20,'Challan Master'!$S$4:$S$207,0)),"")&lt;=DATE(YEAR(I20),MONTH(I20)+1,7),0,ROUND(K20*0.015*((YEAR(IFERROR(INDEX('Challan Master'!$D$4:$D$207,MATCH($B20,'Challan Master'!$S$4:$S$207,0)),""))-YEAR(I20))*12+(MONTH(IFERROR(INDEX('Challan Master'!$D$4:$D$207,MATCH($B20,'Challan Master'!$S$4:$S$207,0)),""))-MONTH(I20))+1),0))))</f>
      </c>
      <c r="O20" s="7">
        <f>IF($C20="","",0)</f>
      </c>
      <c r="P20" s="8"/>
      <c r="Q20" s="8"/>
      <c r="R20" s="8"/>
      <c r="S20" s="8"/>
      <c r="T20" s="8"/>
      <c r="U20" s="7">
        <f>IF($B20="","",IFERROR(INDEX('Challan Master'!$AA$4:$AA$207,MATCH($B20,'Challan Master'!$S$4:$S$207,0)),""))</f>
      </c>
    </row>
    <row r="21" spans="1:22" x14ac:dyDescent="0.25">
      <c r="A21" s="7">
        <f>IF($C21="","",COUNTIF($C$4:$C21,"&lt;&gt;"))</f>
      </c>
      <c r="B21" s="8"/>
      <c r="C21" s="8"/>
      <c r="D21" s="8"/>
      <c r="E21" s="7">
        <f>IF($C21="","",IF(AND(LEN(TRIM(UPPER(D21)))=10,CODE(MID(TRIM(UPPER(D21)),1,1))&gt;=65,CODE(MID(TRIM(UPPER(D21)),1,1))&lt;=90,CODE(MID(TRIM(UPPER(D21)),2,1))&gt;=65,CODE(MID(TRIM(UPPER(D21)),2,1))&lt;=90,CODE(MID(TRIM(UPPER(D21)),3,1))&gt;=65,CODE(MID(TRIM(UPPER(D21)),3,1))&lt;=90,CODE(MID(TRIM(UPPER(D21)),4,1))&gt;=65,CODE(MID(TRIM(UPPER(D21)),4,1))&lt;=90,CODE(MID(TRIM(UPPER(D21)),5,1))&gt;=65,CODE(MID(TRIM(UPPER(D21)),5,1))&lt;=90,CODE(MID(TRIM(UPPER(D21)),10,1))&gt;=65,CODE(MID(TRIM(UPPER(D21)),10,1))&lt;=90,CODE(MID(TRIM(UPPER(D21)),6,1))&gt;=48,CODE(MID(TRIM(UPPER(D21)),6,1))&lt;=57,CODE(MID(TRIM(UPPER(D21)),7,1))&gt;=48,CODE(MID(TRIM(UPPER(D21)),7,1))&lt;=57,CODE(MID(TRIM(UPPER(D21)),8,1))&gt;=48,CODE(MID(TRIM(UPPER(D21)),8,1))&lt;=57,CODE(MID(TRIM(UPPER(D21)),9,1))&gt;=48,CODE(MID(TRIM(UPPER(D21)),9,1))&lt;=57),"N","Y"))</f>
      </c>
      <c r="F21" s="7">
        <f>IF($C21="","",IF(LEN(D21)&lt;4,"",IF(UPPER(MID(D21,4,1))="P","Individual",IF(UPPER(MID(D21,4,1))="H","HUF",IF(UPPER(MID(D21,4,1))="C","Company",IF(UPPER(MID(D21,4,1))="F","Firm",IF(UPPER(MID(D21,4,1))="L","LLP",IF(UPPER(MID(D21,4,1))="T","Trust",IF(UPPER(MID(D21,4,1))="A","AOP","")))))))))</f>
      </c>
      <c r="G21" s="8"/>
      <c r="H21" s="7">
        <f>IF($C21="","",IF(R21&lt;&gt;"",R21,IF(G21="","",IF(E21="Y",SUMPRODUCT(('Rate Lookup'!$A$1:$A$37=G21)*'Rate Lookup'!$D$1:$D$37),IF(OR(F21="Individual",F21="HUF"),SUMPRODUCT(('Rate Lookup'!$A$1:$A$37=G21)*'Rate Lookup'!$B$1:$B$37),SUMPRODUCT(('Rate Lookup'!$A$1:$A$37=G21)*'Rate Lookup'!$C$1:$C$37)))))))</f>
      </c>
      <c r="I21" s="8"/>
      <c r="J21" s="8"/>
      <c r="K21" s="7">
        <f>IF($C21="","",IF(OR(P21="B",P21="D",P21="E",P21="N",P21="O",P21="P",P21="Q",P21="S",P21="Y",P21="Z"),0,ROUND(J21*H21/100,0)))</f>
      </c>
      <c r="L21" s="7">
        <f>IF($C21="","",0)</f>
      </c>
      <c r="M21" s="7">
        <f>IF($C21="","",0)</f>
      </c>
      <c r="N21" s="7">
        <f>IF($C21="","",IF(OR(K21=0,I21="",IFERROR(INDEX('Challan Master'!$D$4:$D$207,MATCH($B21,'Challan Master'!$S$4:$S$207,0)),"")="",IFERROR(INDEX('Challan Master'!$D$4:$D$207,MATCH($B21,'Challan Master'!$S$4:$S$207,0)),"")&lt;=0),0,IF(IFERROR(INDEX('Challan Master'!$D$4:$D$207,MATCH($B21,'Challan Master'!$S$4:$S$207,0)),"")&lt;=DATE(YEAR(I21),MONTH(I21)+1,7),0,ROUND(K21*0.015*((YEAR(IFERROR(INDEX('Challan Master'!$D$4:$D$207,MATCH($B21,'Challan Master'!$S$4:$S$207,0)),""))-YEAR(I21))*12+(MONTH(IFERROR(INDEX('Challan Master'!$D$4:$D$207,MATCH($B21,'Challan Master'!$S$4:$S$207,0)),""))-MONTH(I21))+1),0))))</f>
      </c>
      <c r="O21" s="7">
        <f>IF($C21="","",0)</f>
      </c>
      <c r="P21" s="8"/>
      <c r="Q21" s="8"/>
      <c r="R21" s="8"/>
      <c r="S21" s="8"/>
      <c r="T21" s="8"/>
      <c r="U21" s="7">
        <f>IF($B21="","",IFERROR(INDEX('Challan Master'!$AA$4:$AA$207,MATCH($B21,'Challan Master'!$S$4:$S$207,0)),""))</f>
      </c>
    </row>
    <row r="22" spans="1:22" x14ac:dyDescent="0.25">
      <c r="A22" s="7">
        <f>IF($C22="","",COUNTIF($C$4:$C22,"&lt;&gt;"))</f>
      </c>
      <c r="B22" s="8"/>
      <c r="C22" s="8"/>
      <c r="D22" s="8"/>
      <c r="E22" s="7">
        <f>IF($C22="","",IF(AND(LEN(TRIM(UPPER(D22)))=10,CODE(MID(TRIM(UPPER(D22)),1,1))&gt;=65,CODE(MID(TRIM(UPPER(D22)),1,1))&lt;=90,CODE(MID(TRIM(UPPER(D22)),2,1))&gt;=65,CODE(MID(TRIM(UPPER(D22)),2,1))&lt;=90,CODE(MID(TRIM(UPPER(D22)),3,1))&gt;=65,CODE(MID(TRIM(UPPER(D22)),3,1))&lt;=90,CODE(MID(TRIM(UPPER(D22)),4,1))&gt;=65,CODE(MID(TRIM(UPPER(D22)),4,1))&lt;=90,CODE(MID(TRIM(UPPER(D22)),5,1))&gt;=65,CODE(MID(TRIM(UPPER(D22)),5,1))&lt;=90,CODE(MID(TRIM(UPPER(D22)),10,1))&gt;=65,CODE(MID(TRIM(UPPER(D22)),10,1))&lt;=90,CODE(MID(TRIM(UPPER(D22)),6,1))&gt;=48,CODE(MID(TRIM(UPPER(D22)),6,1))&lt;=57,CODE(MID(TRIM(UPPER(D22)),7,1))&gt;=48,CODE(MID(TRIM(UPPER(D22)),7,1))&lt;=57,CODE(MID(TRIM(UPPER(D22)),8,1))&gt;=48,CODE(MID(TRIM(UPPER(D22)),8,1))&lt;=57,CODE(MID(TRIM(UPPER(D22)),9,1))&gt;=48,CODE(MID(TRIM(UPPER(D22)),9,1))&lt;=57),"N","Y"))</f>
      </c>
      <c r="F22" s="7">
        <f>IF($C22="","",IF(LEN(D22)&lt;4,"",IF(UPPER(MID(D22,4,1))="P","Individual",IF(UPPER(MID(D22,4,1))="H","HUF",IF(UPPER(MID(D22,4,1))="C","Company",IF(UPPER(MID(D22,4,1))="F","Firm",IF(UPPER(MID(D22,4,1))="L","LLP",IF(UPPER(MID(D22,4,1))="T","Trust",IF(UPPER(MID(D22,4,1))="A","AOP","")))))))))</f>
      </c>
      <c r="G22" s="8"/>
      <c r="H22" s="7">
        <f>IF($C22="","",IF(R22&lt;&gt;"",R22,IF(G22="","",IF(E22="Y",SUMPRODUCT(('Rate Lookup'!$A$1:$A$37=G22)*'Rate Lookup'!$D$1:$D$37),IF(OR(F22="Individual",F22="HUF"),SUMPRODUCT(('Rate Lookup'!$A$1:$A$37=G22)*'Rate Lookup'!$B$1:$B$37),SUMPRODUCT(('Rate Lookup'!$A$1:$A$37=G22)*'Rate Lookup'!$C$1:$C$37)))))))</f>
      </c>
      <c r="I22" s="8"/>
      <c r="J22" s="8"/>
      <c r="K22" s="7">
        <f>IF($C22="","",IF(OR(P22="B",P22="D",P22="E",P22="N",P22="O",P22="P",P22="Q",P22="S",P22="Y",P22="Z"),0,ROUND(J22*H22/100,0)))</f>
      </c>
      <c r="L22" s="7">
        <f>IF($C22="","",0)</f>
      </c>
      <c r="M22" s="7">
        <f>IF($C22="","",0)</f>
      </c>
      <c r="N22" s="7">
        <f>IF($C22="","",IF(OR(K22=0,I22="",IFERROR(INDEX('Challan Master'!$D$4:$D$207,MATCH($B22,'Challan Master'!$S$4:$S$207,0)),"")="",IFERROR(INDEX('Challan Master'!$D$4:$D$207,MATCH($B22,'Challan Master'!$S$4:$S$207,0)),"")&lt;=0),0,IF(IFERROR(INDEX('Challan Master'!$D$4:$D$207,MATCH($B22,'Challan Master'!$S$4:$S$207,0)),"")&lt;=DATE(YEAR(I22),MONTH(I22)+1,7),0,ROUND(K22*0.015*((YEAR(IFERROR(INDEX('Challan Master'!$D$4:$D$207,MATCH($B22,'Challan Master'!$S$4:$S$207,0)),""))-YEAR(I22))*12+(MONTH(IFERROR(INDEX('Challan Master'!$D$4:$D$207,MATCH($B22,'Challan Master'!$S$4:$S$207,0)),""))-MONTH(I22))+1),0))))</f>
      </c>
      <c r="O22" s="7">
        <f>IF($C22="","",0)</f>
      </c>
      <c r="P22" s="8"/>
      <c r="Q22" s="8"/>
      <c r="R22" s="8"/>
      <c r="S22" s="8"/>
      <c r="T22" s="8"/>
      <c r="U22" s="7">
        <f>IF($B22="","",IFERROR(INDEX('Challan Master'!$AA$4:$AA$207,MATCH($B22,'Challan Master'!$S$4:$S$207,0)),""))</f>
      </c>
    </row>
    <row r="23" spans="1:22" x14ac:dyDescent="0.25">
      <c r="A23" s="7">
        <f>IF($C23="","",COUNTIF($C$4:$C23,"&lt;&gt;"))</f>
      </c>
      <c r="B23" s="8"/>
      <c r="C23" s="8"/>
      <c r="D23" s="8"/>
      <c r="E23" s="7">
        <f>IF($C23="","",IF(AND(LEN(TRIM(UPPER(D23)))=10,CODE(MID(TRIM(UPPER(D23)),1,1))&gt;=65,CODE(MID(TRIM(UPPER(D23)),1,1))&lt;=90,CODE(MID(TRIM(UPPER(D23)),2,1))&gt;=65,CODE(MID(TRIM(UPPER(D23)),2,1))&lt;=90,CODE(MID(TRIM(UPPER(D23)),3,1))&gt;=65,CODE(MID(TRIM(UPPER(D23)),3,1))&lt;=90,CODE(MID(TRIM(UPPER(D23)),4,1))&gt;=65,CODE(MID(TRIM(UPPER(D23)),4,1))&lt;=90,CODE(MID(TRIM(UPPER(D23)),5,1))&gt;=65,CODE(MID(TRIM(UPPER(D23)),5,1))&lt;=90,CODE(MID(TRIM(UPPER(D23)),10,1))&gt;=65,CODE(MID(TRIM(UPPER(D23)),10,1))&lt;=90,CODE(MID(TRIM(UPPER(D23)),6,1))&gt;=48,CODE(MID(TRIM(UPPER(D23)),6,1))&lt;=57,CODE(MID(TRIM(UPPER(D23)),7,1))&gt;=48,CODE(MID(TRIM(UPPER(D23)),7,1))&lt;=57,CODE(MID(TRIM(UPPER(D23)),8,1))&gt;=48,CODE(MID(TRIM(UPPER(D23)),8,1))&lt;=57,CODE(MID(TRIM(UPPER(D23)),9,1))&gt;=48,CODE(MID(TRIM(UPPER(D23)),9,1))&lt;=57),"N","Y"))</f>
      </c>
      <c r="F23" s="7">
        <f>IF($C23="","",IF(LEN(D23)&lt;4,"",IF(UPPER(MID(D23,4,1))="P","Individual",IF(UPPER(MID(D23,4,1))="H","HUF",IF(UPPER(MID(D23,4,1))="C","Company",IF(UPPER(MID(D23,4,1))="F","Firm",IF(UPPER(MID(D23,4,1))="L","LLP",IF(UPPER(MID(D23,4,1))="T","Trust",IF(UPPER(MID(D23,4,1))="A","AOP","")))))))))</f>
      </c>
      <c r="G23" s="8"/>
      <c r="H23" s="7">
        <f>IF($C23="","",IF(R23&lt;&gt;"",R23,IF(G23="","",IF(E23="Y",SUMPRODUCT(('Rate Lookup'!$A$1:$A$37=G23)*'Rate Lookup'!$D$1:$D$37),IF(OR(F23="Individual",F23="HUF"),SUMPRODUCT(('Rate Lookup'!$A$1:$A$37=G23)*'Rate Lookup'!$B$1:$B$37),SUMPRODUCT(('Rate Lookup'!$A$1:$A$37=G23)*'Rate Lookup'!$C$1:$C$37)))))))</f>
      </c>
      <c r="I23" s="8"/>
      <c r="J23" s="8"/>
      <c r="K23" s="7">
        <f>IF($C23="","",IF(OR(P23="B",P23="D",P23="E",P23="N",P23="O",P23="P",P23="Q",P23="S",P23="Y",P23="Z"),0,ROUND(J23*H23/100,0)))</f>
      </c>
      <c r="L23" s="7">
        <f>IF($C23="","",0)</f>
      </c>
      <c r="M23" s="7">
        <f>IF($C23="","",0)</f>
      </c>
      <c r="N23" s="7">
        <f>IF($C23="","",IF(OR(K23=0,I23="",IFERROR(INDEX('Challan Master'!$D$4:$D$207,MATCH($B23,'Challan Master'!$S$4:$S$207,0)),"")="",IFERROR(INDEX('Challan Master'!$D$4:$D$207,MATCH($B23,'Challan Master'!$S$4:$S$207,0)),"")&lt;=0),0,IF(IFERROR(INDEX('Challan Master'!$D$4:$D$207,MATCH($B23,'Challan Master'!$S$4:$S$207,0)),"")&lt;=DATE(YEAR(I23),MONTH(I23)+1,7),0,ROUND(K23*0.015*((YEAR(IFERROR(INDEX('Challan Master'!$D$4:$D$207,MATCH($B23,'Challan Master'!$S$4:$S$207,0)),""))-YEAR(I23))*12+(MONTH(IFERROR(INDEX('Challan Master'!$D$4:$D$207,MATCH($B23,'Challan Master'!$S$4:$S$207,0)),""))-MONTH(I23))+1),0))))</f>
      </c>
      <c r="O23" s="7">
        <f>IF($C23="","",0)</f>
      </c>
      <c r="P23" s="8"/>
      <c r="Q23" s="8"/>
      <c r="R23" s="8"/>
      <c r="S23" s="8"/>
      <c r="T23" s="8"/>
      <c r="U23" s="7">
        <f>IF($B23="","",IFERROR(INDEX('Challan Master'!$AA$4:$AA$207,MATCH($B23,'Challan Master'!$S$4:$S$207,0)),""))</f>
      </c>
    </row>
    <row r="24" spans="1:22" x14ac:dyDescent="0.25">
      <c r="A24" s="7">
        <f>IF($C24="","",COUNTIF($C$4:$C24,"&lt;&gt;"))</f>
      </c>
      <c r="B24" s="8"/>
      <c r="C24" s="8"/>
      <c r="D24" s="8"/>
      <c r="E24" s="7">
        <f>IF($C24="","",IF(AND(LEN(TRIM(UPPER(D24)))=10,CODE(MID(TRIM(UPPER(D24)),1,1))&gt;=65,CODE(MID(TRIM(UPPER(D24)),1,1))&lt;=90,CODE(MID(TRIM(UPPER(D24)),2,1))&gt;=65,CODE(MID(TRIM(UPPER(D24)),2,1))&lt;=90,CODE(MID(TRIM(UPPER(D24)),3,1))&gt;=65,CODE(MID(TRIM(UPPER(D24)),3,1))&lt;=90,CODE(MID(TRIM(UPPER(D24)),4,1))&gt;=65,CODE(MID(TRIM(UPPER(D24)),4,1))&lt;=90,CODE(MID(TRIM(UPPER(D24)),5,1))&gt;=65,CODE(MID(TRIM(UPPER(D24)),5,1))&lt;=90,CODE(MID(TRIM(UPPER(D24)),10,1))&gt;=65,CODE(MID(TRIM(UPPER(D24)),10,1))&lt;=90,CODE(MID(TRIM(UPPER(D24)),6,1))&gt;=48,CODE(MID(TRIM(UPPER(D24)),6,1))&lt;=57,CODE(MID(TRIM(UPPER(D24)),7,1))&gt;=48,CODE(MID(TRIM(UPPER(D24)),7,1))&lt;=57,CODE(MID(TRIM(UPPER(D24)),8,1))&gt;=48,CODE(MID(TRIM(UPPER(D24)),8,1))&lt;=57,CODE(MID(TRIM(UPPER(D24)),9,1))&gt;=48,CODE(MID(TRIM(UPPER(D24)),9,1))&lt;=57),"N","Y"))</f>
      </c>
      <c r="F24" s="7">
        <f>IF($C24="","",IF(LEN(D24)&lt;4,"",IF(UPPER(MID(D24,4,1))="P","Individual",IF(UPPER(MID(D24,4,1))="H","HUF",IF(UPPER(MID(D24,4,1))="C","Company",IF(UPPER(MID(D24,4,1))="F","Firm",IF(UPPER(MID(D24,4,1))="L","LLP",IF(UPPER(MID(D24,4,1))="T","Trust",IF(UPPER(MID(D24,4,1))="A","AOP","")))))))))</f>
      </c>
      <c r="G24" s="8"/>
      <c r="H24" s="7">
        <f>IF($C24="","",IF(R24&lt;&gt;"",R24,IF(G24="","",IF(E24="Y",SUMPRODUCT(('Rate Lookup'!$A$1:$A$37=G24)*'Rate Lookup'!$D$1:$D$37),IF(OR(F24="Individual",F24="HUF"),SUMPRODUCT(('Rate Lookup'!$A$1:$A$37=G24)*'Rate Lookup'!$B$1:$B$37),SUMPRODUCT(('Rate Lookup'!$A$1:$A$37=G24)*'Rate Lookup'!$C$1:$C$37)))))))</f>
      </c>
      <c r="I24" s="8"/>
      <c r="J24" s="8"/>
      <c r="K24" s="7">
        <f>IF($C24="","",IF(OR(P24="B",P24="D",P24="E",P24="N",P24="O",P24="P",P24="Q",P24="S",P24="Y",P24="Z"),0,ROUND(J24*H24/100,0)))</f>
      </c>
      <c r="L24" s="7">
        <f>IF($C24="","",0)</f>
      </c>
      <c r="M24" s="7">
        <f>IF($C24="","",0)</f>
      </c>
      <c r="N24" s="7">
        <f>IF($C24="","",IF(OR(K24=0,I24="",IFERROR(INDEX('Challan Master'!$D$4:$D$207,MATCH($B24,'Challan Master'!$S$4:$S$207,0)),"")="",IFERROR(INDEX('Challan Master'!$D$4:$D$207,MATCH($B24,'Challan Master'!$S$4:$S$207,0)),"")&lt;=0),0,IF(IFERROR(INDEX('Challan Master'!$D$4:$D$207,MATCH($B24,'Challan Master'!$S$4:$S$207,0)),"")&lt;=DATE(YEAR(I24),MONTH(I24)+1,7),0,ROUND(K24*0.015*((YEAR(IFERROR(INDEX('Challan Master'!$D$4:$D$207,MATCH($B24,'Challan Master'!$S$4:$S$207,0)),""))-YEAR(I24))*12+(MONTH(IFERROR(INDEX('Challan Master'!$D$4:$D$207,MATCH($B24,'Challan Master'!$S$4:$S$207,0)),""))-MONTH(I24))+1),0))))</f>
      </c>
      <c r="O24" s="7">
        <f>IF($C24="","",0)</f>
      </c>
      <c r="P24" s="8"/>
      <c r="Q24" s="8"/>
      <c r="R24" s="8"/>
      <c r="S24" s="8"/>
      <c r="T24" s="8"/>
      <c r="U24" s="7">
        <f>IF($B24="","",IFERROR(INDEX('Challan Master'!$AA$4:$AA$207,MATCH($B24,'Challan Master'!$S$4:$S$207,0)),""))</f>
      </c>
    </row>
    <row r="25" spans="1:22" x14ac:dyDescent="0.25">
      <c r="A25" s="7">
        <f>IF($C25="","",COUNTIF($C$4:$C25,"&lt;&gt;"))</f>
      </c>
      <c r="B25" s="8"/>
      <c r="C25" s="8"/>
      <c r="D25" s="8"/>
      <c r="E25" s="7">
        <f>IF($C25="","",IF(AND(LEN(TRIM(UPPER(D25)))=10,CODE(MID(TRIM(UPPER(D25)),1,1))&gt;=65,CODE(MID(TRIM(UPPER(D25)),1,1))&lt;=90,CODE(MID(TRIM(UPPER(D25)),2,1))&gt;=65,CODE(MID(TRIM(UPPER(D25)),2,1))&lt;=90,CODE(MID(TRIM(UPPER(D25)),3,1))&gt;=65,CODE(MID(TRIM(UPPER(D25)),3,1))&lt;=90,CODE(MID(TRIM(UPPER(D25)),4,1))&gt;=65,CODE(MID(TRIM(UPPER(D25)),4,1))&lt;=90,CODE(MID(TRIM(UPPER(D25)),5,1))&gt;=65,CODE(MID(TRIM(UPPER(D25)),5,1))&lt;=90,CODE(MID(TRIM(UPPER(D25)),10,1))&gt;=65,CODE(MID(TRIM(UPPER(D25)),10,1))&lt;=90,CODE(MID(TRIM(UPPER(D25)),6,1))&gt;=48,CODE(MID(TRIM(UPPER(D25)),6,1))&lt;=57,CODE(MID(TRIM(UPPER(D25)),7,1))&gt;=48,CODE(MID(TRIM(UPPER(D25)),7,1))&lt;=57,CODE(MID(TRIM(UPPER(D25)),8,1))&gt;=48,CODE(MID(TRIM(UPPER(D25)),8,1))&lt;=57,CODE(MID(TRIM(UPPER(D25)),9,1))&gt;=48,CODE(MID(TRIM(UPPER(D25)),9,1))&lt;=57),"N","Y"))</f>
      </c>
      <c r="F25" s="7">
        <f>IF($C25="","",IF(LEN(D25)&lt;4,"",IF(UPPER(MID(D25,4,1))="P","Individual",IF(UPPER(MID(D25,4,1))="H","HUF",IF(UPPER(MID(D25,4,1))="C","Company",IF(UPPER(MID(D25,4,1))="F","Firm",IF(UPPER(MID(D25,4,1))="L","LLP",IF(UPPER(MID(D25,4,1))="T","Trust",IF(UPPER(MID(D25,4,1))="A","AOP","")))))))))</f>
      </c>
      <c r="G25" s="8"/>
      <c r="H25" s="7">
        <f>IF($C25="","",IF(R25&lt;&gt;"",R25,IF(G25="","",IF(E25="Y",SUMPRODUCT(('Rate Lookup'!$A$1:$A$37=G25)*'Rate Lookup'!$D$1:$D$37),IF(OR(F25="Individual",F25="HUF"),SUMPRODUCT(('Rate Lookup'!$A$1:$A$37=G25)*'Rate Lookup'!$B$1:$B$37),SUMPRODUCT(('Rate Lookup'!$A$1:$A$37=G25)*'Rate Lookup'!$C$1:$C$37)))))))</f>
      </c>
      <c r="I25" s="8"/>
      <c r="J25" s="8"/>
      <c r="K25" s="7">
        <f>IF($C25="","",IF(OR(P25="B",P25="D",P25="E",P25="N",P25="O",P25="P",P25="Q",P25="S",P25="Y",P25="Z"),0,ROUND(J25*H25/100,0)))</f>
      </c>
      <c r="L25" s="7">
        <f>IF($C25="","",0)</f>
      </c>
      <c r="M25" s="7">
        <f>IF($C25="","",0)</f>
      </c>
      <c r="N25" s="7">
        <f>IF($C25="","",IF(OR(K25=0,I25="",IFERROR(INDEX('Challan Master'!$D$4:$D$207,MATCH($B25,'Challan Master'!$S$4:$S$207,0)),"")="",IFERROR(INDEX('Challan Master'!$D$4:$D$207,MATCH($B25,'Challan Master'!$S$4:$S$207,0)),"")&lt;=0),0,IF(IFERROR(INDEX('Challan Master'!$D$4:$D$207,MATCH($B25,'Challan Master'!$S$4:$S$207,0)),"")&lt;=DATE(YEAR(I25),MONTH(I25)+1,7),0,ROUND(K25*0.015*((YEAR(IFERROR(INDEX('Challan Master'!$D$4:$D$207,MATCH($B25,'Challan Master'!$S$4:$S$207,0)),""))-YEAR(I25))*12+(MONTH(IFERROR(INDEX('Challan Master'!$D$4:$D$207,MATCH($B25,'Challan Master'!$S$4:$S$207,0)),""))-MONTH(I25))+1),0))))</f>
      </c>
      <c r="O25" s="7">
        <f>IF($C25="","",0)</f>
      </c>
      <c r="P25" s="8"/>
      <c r="Q25" s="8"/>
      <c r="R25" s="8"/>
      <c r="S25" s="8"/>
      <c r="T25" s="8"/>
      <c r="U25" s="7">
        <f>IF($B25="","",IFERROR(INDEX('Challan Master'!$AA$4:$AA$207,MATCH($B25,'Challan Master'!$S$4:$S$207,0)),""))</f>
      </c>
    </row>
    <row r="26" spans="1:22" x14ac:dyDescent="0.25">
      <c r="A26" s="7">
        <f>IF($C26="","",COUNTIF($C$4:$C26,"&lt;&gt;"))</f>
      </c>
      <c r="B26" s="8"/>
      <c r="C26" s="8"/>
      <c r="D26" s="8"/>
      <c r="E26" s="7">
        <f>IF($C26="","",IF(AND(LEN(TRIM(UPPER(D26)))=10,CODE(MID(TRIM(UPPER(D26)),1,1))&gt;=65,CODE(MID(TRIM(UPPER(D26)),1,1))&lt;=90,CODE(MID(TRIM(UPPER(D26)),2,1))&gt;=65,CODE(MID(TRIM(UPPER(D26)),2,1))&lt;=90,CODE(MID(TRIM(UPPER(D26)),3,1))&gt;=65,CODE(MID(TRIM(UPPER(D26)),3,1))&lt;=90,CODE(MID(TRIM(UPPER(D26)),4,1))&gt;=65,CODE(MID(TRIM(UPPER(D26)),4,1))&lt;=90,CODE(MID(TRIM(UPPER(D26)),5,1))&gt;=65,CODE(MID(TRIM(UPPER(D26)),5,1))&lt;=90,CODE(MID(TRIM(UPPER(D26)),10,1))&gt;=65,CODE(MID(TRIM(UPPER(D26)),10,1))&lt;=90,CODE(MID(TRIM(UPPER(D26)),6,1))&gt;=48,CODE(MID(TRIM(UPPER(D26)),6,1))&lt;=57,CODE(MID(TRIM(UPPER(D26)),7,1))&gt;=48,CODE(MID(TRIM(UPPER(D26)),7,1))&lt;=57,CODE(MID(TRIM(UPPER(D26)),8,1))&gt;=48,CODE(MID(TRIM(UPPER(D26)),8,1))&lt;=57,CODE(MID(TRIM(UPPER(D26)),9,1))&gt;=48,CODE(MID(TRIM(UPPER(D26)),9,1))&lt;=57),"N","Y"))</f>
      </c>
      <c r="F26" s="7">
        <f>IF($C26="","",IF(LEN(D26)&lt;4,"",IF(UPPER(MID(D26,4,1))="P","Individual",IF(UPPER(MID(D26,4,1))="H","HUF",IF(UPPER(MID(D26,4,1))="C","Company",IF(UPPER(MID(D26,4,1))="F","Firm",IF(UPPER(MID(D26,4,1))="L","LLP",IF(UPPER(MID(D26,4,1))="T","Trust",IF(UPPER(MID(D26,4,1))="A","AOP","")))))))))</f>
      </c>
      <c r="G26" s="8"/>
      <c r="H26" s="7">
        <f>IF($C26="","",IF(R26&lt;&gt;"",R26,IF(G26="","",IF(E26="Y",SUMPRODUCT(('Rate Lookup'!$A$1:$A$37=G26)*'Rate Lookup'!$D$1:$D$37),IF(OR(F26="Individual",F26="HUF"),SUMPRODUCT(('Rate Lookup'!$A$1:$A$37=G26)*'Rate Lookup'!$B$1:$B$37),SUMPRODUCT(('Rate Lookup'!$A$1:$A$37=G26)*'Rate Lookup'!$C$1:$C$37)))))))</f>
      </c>
      <c r="I26" s="8"/>
      <c r="J26" s="8"/>
      <c r="K26" s="7">
        <f>IF($C26="","",IF(OR(P26="B",P26="D",P26="E",P26="N",P26="O",P26="P",P26="Q",P26="S",P26="Y",P26="Z"),0,ROUND(J26*H26/100,0)))</f>
      </c>
      <c r="L26" s="7">
        <f>IF($C26="","",0)</f>
      </c>
      <c r="M26" s="7">
        <f>IF($C26="","",0)</f>
      </c>
      <c r="N26" s="7">
        <f>IF($C26="","",IF(OR(K26=0,I26="",IFERROR(INDEX('Challan Master'!$D$4:$D$207,MATCH($B26,'Challan Master'!$S$4:$S$207,0)),"")="",IFERROR(INDEX('Challan Master'!$D$4:$D$207,MATCH($B26,'Challan Master'!$S$4:$S$207,0)),"")&lt;=0),0,IF(IFERROR(INDEX('Challan Master'!$D$4:$D$207,MATCH($B26,'Challan Master'!$S$4:$S$207,0)),"")&lt;=DATE(YEAR(I26),MONTH(I26)+1,7),0,ROUND(K26*0.015*((YEAR(IFERROR(INDEX('Challan Master'!$D$4:$D$207,MATCH($B26,'Challan Master'!$S$4:$S$207,0)),""))-YEAR(I26))*12+(MONTH(IFERROR(INDEX('Challan Master'!$D$4:$D$207,MATCH($B26,'Challan Master'!$S$4:$S$207,0)),""))-MONTH(I26))+1),0))))</f>
      </c>
      <c r="O26" s="7">
        <f>IF($C26="","",0)</f>
      </c>
      <c r="P26" s="8"/>
      <c r="Q26" s="8"/>
      <c r="R26" s="8"/>
      <c r="S26" s="8"/>
      <c r="T26" s="8"/>
      <c r="U26" s="7">
        <f>IF($B26="","",IFERROR(INDEX('Challan Master'!$AA$4:$AA$207,MATCH($B26,'Challan Master'!$S$4:$S$207,0)),""))</f>
      </c>
    </row>
    <row r="27" spans="1:22" x14ac:dyDescent="0.25">
      <c r="A27" s="7">
        <f>IF($C27="","",COUNTIF($C$4:$C27,"&lt;&gt;"))</f>
      </c>
      <c r="B27" s="8"/>
      <c r="C27" s="8"/>
      <c r="D27" s="8"/>
      <c r="E27" s="7">
        <f>IF($C27="","",IF(AND(LEN(TRIM(UPPER(D27)))=10,CODE(MID(TRIM(UPPER(D27)),1,1))&gt;=65,CODE(MID(TRIM(UPPER(D27)),1,1))&lt;=90,CODE(MID(TRIM(UPPER(D27)),2,1))&gt;=65,CODE(MID(TRIM(UPPER(D27)),2,1))&lt;=90,CODE(MID(TRIM(UPPER(D27)),3,1))&gt;=65,CODE(MID(TRIM(UPPER(D27)),3,1))&lt;=90,CODE(MID(TRIM(UPPER(D27)),4,1))&gt;=65,CODE(MID(TRIM(UPPER(D27)),4,1))&lt;=90,CODE(MID(TRIM(UPPER(D27)),5,1))&gt;=65,CODE(MID(TRIM(UPPER(D27)),5,1))&lt;=90,CODE(MID(TRIM(UPPER(D27)),10,1))&gt;=65,CODE(MID(TRIM(UPPER(D27)),10,1))&lt;=90,CODE(MID(TRIM(UPPER(D27)),6,1))&gt;=48,CODE(MID(TRIM(UPPER(D27)),6,1))&lt;=57,CODE(MID(TRIM(UPPER(D27)),7,1))&gt;=48,CODE(MID(TRIM(UPPER(D27)),7,1))&lt;=57,CODE(MID(TRIM(UPPER(D27)),8,1))&gt;=48,CODE(MID(TRIM(UPPER(D27)),8,1))&lt;=57,CODE(MID(TRIM(UPPER(D27)),9,1))&gt;=48,CODE(MID(TRIM(UPPER(D27)),9,1))&lt;=57),"N","Y"))</f>
      </c>
      <c r="F27" s="7">
        <f>IF($C27="","",IF(LEN(D27)&lt;4,"",IF(UPPER(MID(D27,4,1))="P","Individual",IF(UPPER(MID(D27,4,1))="H","HUF",IF(UPPER(MID(D27,4,1))="C","Company",IF(UPPER(MID(D27,4,1))="F","Firm",IF(UPPER(MID(D27,4,1))="L","LLP",IF(UPPER(MID(D27,4,1))="T","Trust",IF(UPPER(MID(D27,4,1))="A","AOP","")))))))))</f>
      </c>
      <c r="G27" s="8"/>
      <c r="H27" s="7">
        <f>IF($C27="","",IF(R27&lt;&gt;"",R27,IF(G27="","",IF(E27="Y",SUMPRODUCT(('Rate Lookup'!$A$1:$A$37=G27)*'Rate Lookup'!$D$1:$D$37),IF(OR(F27="Individual",F27="HUF"),SUMPRODUCT(('Rate Lookup'!$A$1:$A$37=G27)*'Rate Lookup'!$B$1:$B$37),SUMPRODUCT(('Rate Lookup'!$A$1:$A$37=G27)*'Rate Lookup'!$C$1:$C$37)))))))</f>
      </c>
      <c r="I27" s="8"/>
      <c r="J27" s="8"/>
      <c r="K27" s="7">
        <f>IF($C27="","",IF(OR(P27="B",P27="D",P27="E",P27="N",P27="O",P27="P",P27="Q",P27="S",P27="Y",P27="Z"),0,ROUND(J27*H27/100,0)))</f>
      </c>
      <c r="L27" s="7">
        <f>IF($C27="","",0)</f>
      </c>
      <c r="M27" s="7">
        <f>IF($C27="","",0)</f>
      </c>
      <c r="N27" s="7">
        <f>IF($C27="","",IF(OR(K27=0,I27="",IFERROR(INDEX('Challan Master'!$D$4:$D$207,MATCH($B27,'Challan Master'!$S$4:$S$207,0)),"")="",IFERROR(INDEX('Challan Master'!$D$4:$D$207,MATCH($B27,'Challan Master'!$S$4:$S$207,0)),"")&lt;=0),0,IF(IFERROR(INDEX('Challan Master'!$D$4:$D$207,MATCH($B27,'Challan Master'!$S$4:$S$207,0)),"")&lt;=DATE(YEAR(I27),MONTH(I27)+1,7),0,ROUND(K27*0.015*((YEAR(IFERROR(INDEX('Challan Master'!$D$4:$D$207,MATCH($B27,'Challan Master'!$S$4:$S$207,0)),""))-YEAR(I27))*12+(MONTH(IFERROR(INDEX('Challan Master'!$D$4:$D$207,MATCH($B27,'Challan Master'!$S$4:$S$207,0)),""))-MONTH(I27))+1),0))))</f>
      </c>
      <c r="O27" s="7">
        <f>IF($C27="","",0)</f>
      </c>
      <c r="P27" s="8"/>
      <c r="Q27" s="8"/>
      <c r="R27" s="8"/>
      <c r="S27" s="8"/>
      <c r="T27" s="8"/>
      <c r="U27" s="7">
        <f>IF($B27="","",IFERROR(INDEX('Challan Master'!$AA$4:$AA$207,MATCH($B27,'Challan Master'!$S$4:$S$207,0)),""))</f>
      </c>
    </row>
    <row r="28" spans="1:22" x14ac:dyDescent="0.25">
      <c r="A28" s="7">
        <f>IF($C28="","",COUNTIF($C$4:$C28,"&lt;&gt;"))</f>
      </c>
      <c r="B28" s="8"/>
      <c r="C28" s="8"/>
      <c r="D28" s="8"/>
      <c r="E28" s="7">
        <f>IF($C28="","",IF(AND(LEN(TRIM(UPPER(D28)))=10,CODE(MID(TRIM(UPPER(D28)),1,1))&gt;=65,CODE(MID(TRIM(UPPER(D28)),1,1))&lt;=90,CODE(MID(TRIM(UPPER(D28)),2,1))&gt;=65,CODE(MID(TRIM(UPPER(D28)),2,1))&lt;=90,CODE(MID(TRIM(UPPER(D28)),3,1))&gt;=65,CODE(MID(TRIM(UPPER(D28)),3,1))&lt;=90,CODE(MID(TRIM(UPPER(D28)),4,1))&gt;=65,CODE(MID(TRIM(UPPER(D28)),4,1))&lt;=90,CODE(MID(TRIM(UPPER(D28)),5,1))&gt;=65,CODE(MID(TRIM(UPPER(D28)),5,1))&lt;=90,CODE(MID(TRIM(UPPER(D28)),10,1))&gt;=65,CODE(MID(TRIM(UPPER(D28)),10,1))&lt;=90,CODE(MID(TRIM(UPPER(D28)),6,1))&gt;=48,CODE(MID(TRIM(UPPER(D28)),6,1))&lt;=57,CODE(MID(TRIM(UPPER(D28)),7,1))&gt;=48,CODE(MID(TRIM(UPPER(D28)),7,1))&lt;=57,CODE(MID(TRIM(UPPER(D28)),8,1))&gt;=48,CODE(MID(TRIM(UPPER(D28)),8,1))&lt;=57,CODE(MID(TRIM(UPPER(D28)),9,1))&gt;=48,CODE(MID(TRIM(UPPER(D28)),9,1))&lt;=57),"N","Y"))</f>
      </c>
      <c r="F28" s="7">
        <f>IF($C28="","",IF(LEN(D28)&lt;4,"",IF(UPPER(MID(D28,4,1))="P","Individual",IF(UPPER(MID(D28,4,1))="H","HUF",IF(UPPER(MID(D28,4,1))="C","Company",IF(UPPER(MID(D28,4,1))="F","Firm",IF(UPPER(MID(D28,4,1))="L","LLP",IF(UPPER(MID(D28,4,1))="T","Trust",IF(UPPER(MID(D28,4,1))="A","AOP","")))))))))</f>
      </c>
      <c r="G28" s="8"/>
      <c r="H28" s="7">
        <f>IF($C28="","",IF(R28&lt;&gt;"",R28,IF(G28="","",IF(E28="Y",SUMPRODUCT(('Rate Lookup'!$A$1:$A$37=G28)*'Rate Lookup'!$D$1:$D$37),IF(OR(F28="Individual",F28="HUF"),SUMPRODUCT(('Rate Lookup'!$A$1:$A$37=G28)*'Rate Lookup'!$B$1:$B$37),SUMPRODUCT(('Rate Lookup'!$A$1:$A$37=G28)*'Rate Lookup'!$C$1:$C$37)))))))</f>
      </c>
      <c r="I28" s="8"/>
      <c r="J28" s="8"/>
      <c r="K28" s="7">
        <f>IF($C28="","",IF(OR(P28="B",P28="D",P28="E",P28="N",P28="O",P28="P",P28="Q",P28="S",P28="Y",P28="Z"),0,ROUND(J28*H28/100,0)))</f>
      </c>
      <c r="L28" s="7">
        <f>IF($C28="","",0)</f>
      </c>
      <c r="M28" s="7">
        <f>IF($C28="","",0)</f>
      </c>
      <c r="N28" s="7">
        <f>IF($C28="","",IF(OR(K28=0,I28="",IFERROR(INDEX('Challan Master'!$D$4:$D$207,MATCH($B28,'Challan Master'!$S$4:$S$207,0)),"")="",IFERROR(INDEX('Challan Master'!$D$4:$D$207,MATCH($B28,'Challan Master'!$S$4:$S$207,0)),"")&lt;=0),0,IF(IFERROR(INDEX('Challan Master'!$D$4:$D$207,MATCH($B28,'Challan Master'!$S$4:$S$207,0)),"")&lt;=DATE(YEAR(I28),MONTH(I28)+1,7),0,ROUND(K28*0.015*((YEAR(IFERROR(INDEX('Challan Master'!$D$4:$D$207,MATCH($B28,'Challan Master'!$S$4:$S$207,0)),""))-YEAR(I28))*12+(MONTH(IFERROR(INDEX('Challan Master'!$D$4:$D$207,MATCH($B28,'Challan Master'!$S$4:$S$207,0)),""))-MONTH(I28))+1),0))))</f>
      </c>
      <c r="O28" s="7">
        <f>IF($C28="","",0)</f>
      </c>
      <c r="P28" s="8"/>
      <c r="Q28" s="8"/>
      <c r="R28" s="8"/>
      <c r="S28" s="8"/>
      <c r="T28" s="8"/>
      <c r="U28" s="7">
        <f>IF($B28="","",IFERROR(INDEX('Challan Master'!$AA$4:$AA$207,MATCH($B28,'Challan Master'!$S$4:$S$207,0)),""))</f>
      </c>
    </row>
    <row r="29" spans="1:22" x14ac:dyDescent="0.25">
      <c r="A29" s="7">
        <f>IF($C29="","",COUNTIF($C$4:$C29,"&lt;&gt;"))</f>
      </c>
      <c r="B29" s="8"/>
      <c r="C29" s="8"/>
      <c r="D29" s="8"/>
      <c r="E29" s="7">
        <f>IF($C29="","",IF(AND(LEN(TRIM(UPPER(D29)))=10,CODE(MID(TRIM(UPPER(D29)),1,1))&gt;=65,CODE(MID(TRIM(UPPER(D29)),1,1))&lt;=90,CODE(MID(TRIM(UPPER(D29)),2,1))&gt;=65,CODE(MID(TRIM(UPPER(D29)),2,1))&lt;=90,CODE(MID(TRIM(UPPER(D29)),3,1))&gt;=65,CODE(MID(TRIM(UPPER(D29)),3,1))&lt;=90,CODE(MID(TRIM(UPPER(D29)),4,1))&gt;=65,CODE(MID(TRIM(UPPER(D29)),4,1))&lt;=90,CODE(MID(TRIM(UPPER(D29)),5,1))&gt;=65,CODE(MID(TRIM(UPPER(D29)),5,1))&lt;=90,CODE(MID(TRIM(UPPER(D29)),10,1))&gt;=65,CODE(MID(TRIM(UPPER(D29)),10,1))&lt;=90,CODE(MID(TRIM(UPPER(D29)),6,1))&gt;=48,CODE(MID(TRIM(UPPER(D29)),6,1))&lt;=57,CODE(MID(TRIM(UPPER(D29)),7,1))&gt;=48,CODE(MID(TRIM(UPPER(D29)),7,1))&lt;=57,CODE(MID(TRIM(UPPER(D29)),8,1))&gt;=48,CODE(MID(TRIM(UPPER(D29)),8,1))&lt;=57,CODE(MID(TRIM(UPPER(D29)),9,1))&gt;=48,CODE(MID(TRIM(UPPER(D29)),9,1))&lt;=57),"N","Y"))</f>
      </c>
      <c r="F29" s="7">
        <f>IF($C29="","",IF(LEN(D29)&lt;4,"",IF(UPPER(MID(D29,4,1))="P","Individual",IF(UPPER(MID(D29,4,1))="H","HUF",IF(UPPER(MID(D29,4,1))="C","Company",IF(UPPER(MID(D29,4,1))="F","Firm",IF(UPPER(MID(D29,4,1))="L","LLP",IF(UPPER(MID(D29,4,1))="T","Trust",IF(UPPER(MID(D29,4,1))="A","AOP","")))))))))</f>
      </c>
      <c r="G29" s="8"/>
      <c r="H29" s="7">
        <f>IF($C29="","",IF(R29&lt;&gt;"",R29,IF(G29="","",IF(E29="Y",SUMPRODUCT(('Rate Lookup'!$A$1:$A$37=G29)*'Rate Lookup'!$D$1:$D$37),IF(OR(F29="Individual",F29="HUF"),SUMPRODUCT(('Rate Lookup'!$A$1:$A$37=G29)*'Rate Lookup'!$B$1:$B$37),SUMPRODUCT(('Rate Lookup'!$A$1:$A$37=G29)*'Rate Lookup'!$C$1:$C$37)))))))</f>
      </c>
      <c r="I29" s="8"/>
      <c r="J29" s="8"/>
      <c r="K29" s="7">
        <f>IF($C29="","",IF(OR(P29="B",P29="D",P29="E",P29="N",P29="O",P29="P",P29="Q",P29="S",P29="Y",P29="Z"),0,ROUND(J29*H29/100,0)))</f>
      </c>
      <c r="L29" s="7">
        <f>IF($C29="","",0)</f>
      </c>
      <c r="M29" s="7">
        <f>IF($C29="","",0)</f>
      </c>
      <c r="N29" s="7">
        <f>IF($C29="","",IF(OR(K29=0,I29="",IFERROR(INDEX('Challan Master'!$D$4:$D$207,MATCH($B29,'Challan Master'!$S$4:$S$207,0)),"")="",IFERROR(INDEX('Challan Master'!$D$4:$D$207,MATCH($B29,'Challan Master'!$S$4:$S$207,0)),"")&lt;=0),0,IF(IFERROR(INDEX('Challan Master'!$D$4:$D$207,MATCH($B29,'Challan Master'!$S$4:$S$207,0)),"")&lt;=DATE(YEAR(I29),MONTH(I29)+1,7),0,ROUND(K29*0.015*((YEAR(IFERROR(INDEX('Challan Master'!$D$4:$D$207,MATCH($B29,'Challan Master'!$S$4:$S$207,0)),""))-YEAR(I29))*12+(MONTH(IFERROR(INDEX('Challan Master'!$D$4:$D$207,MATCH($B29,'Challan Master'!$S$4:$S$207,0)),""))-MONTH(I29))+1),0))))</f>
      </c>
      <c r="O29" s="7">
        <f>IF($C29="","",0)</f>
      </c>
      <c r="P29" s="8"/>
      <c r="Q29" s="8"/>
      <c r="R29" s="8"/>
      <c r="S29" s="8"/>
      <c r="T29" s="8"/>
      <c r="U29" s="7">
        <f>IF($B29="","",IFERROR(INDEX('Challan Master'!$AA$4:$AA$207,MATCH($B29,'Challan Master'!$S$4:$S$207,0)),""))</f>
      </c>
    </row>
    <row r="30" spans="1:22" x14ac:dyDescent="0.25">
      <c r="A30" s="7">
        <f>IF($C30="","",COUNTIF($C$4:$C30,"&lt;&gt;"))</f>
      </c>
      <c r="B30" s="8"/>
      <c r="C30" s="8"/>
      <c r="D30" s="8"/>
      <c r="E30" s="7">
        <f>IF($C30="","",IF(AND(LEN(TRIM(UPPER(D30)))=10,CODE(MID(TRIM(UPPER(D30)),1,1))&gt;=65,CODE(MID(TRIM(UPPER(D30)),1,1))&lt;=90,CODE(MID(TRIM(UPPER(D30)),2,1))&gt;=65,CODE(MID(TRIM(UPPER(D30)),2,1))&lt;=90,CODE(MID(TRIM(UPPER(D30)),3,1))&gt;=65,CODE(MID(TRIM(UPPER(D30)),3,1))&lt;=90,CODE(MID(TRIM(UPPER(D30)),4,1))&gt;=65,CODE(MID(TRIM(UPPER(D30)),4,1))&lt;=90,CODE(MID(TRIM(UPPER(D30)),5,1))&gt;=65,CODE(MID(TRIM(UPPER(D30)),5,1))&lt;=90,CODE(MID(TRIM(UPPER(D30)),10,1))&gt;=65,CODE(MID(TRIM(UPPER(D30)),10,1))&lt;=90,CODE(MID(TRIM(UPPER(D30)),6,1))&gt;=48,CODE(MID(TRIM(UPPER(D30)),6,1))&lt;=57,CODE(MID(TRIM(UPPER(D30)),7,1))&gt;=48,CODE(MID(TRIM(UPPER(D30)),7,1))&lt;=57,CODE(MID(TRIM(UPPER(D30)),8,1))&gt;=48,CODE(MID(TRIM(UPPER(D30)),8,1))&lt;=57,CODE(MID(TRIM(UPPER(D30)),9,1))&gt;=48,CODE(MID(TRIM(UPPER(D30)),9,1))&lt;=57),"N","Y"))</f>
      </c>
      <c r="F30" s="7">
        <f>IF($C30="","",IF(LEN(D30)&lt;4,"",IF(UPPER(MID(D30,4,1))="P","Individual",IF(UPPER(MID(D30,4,1))="H","HUF",IF(UPPER(MID(D30,4,1))="C","Company",IF(UPPER(MID(D30,4,1))="F","Firm",IF(UPPER(MID(D30,4,1))="L","LLP",IF(UPPER(MID(D30,4,1))="T","Trust",IF(UPPER(MID(D30,4,1))="A","AOP","")))))))))</f>
      </c>
      <c r="G30" s="8"/>
      <c r="H30" s="7">
        <f>IF($C30="","",IF(R30&lt;&gt;"",R30,IF(G30="","",IF(E30="Y",SUMPRODUCT(('Rate Lookup'!$A$1:$A$37=G30)*'Rate Lookup'!$D$1:$D$37),IF(OR(F30="Individual",F30="HUF"),SUMPRODUCT(('Rate Lookup'!$A$1:$A$37=G30)*'Rate Lookup'!$B$1:$B$37),SUMPRODUCT(('Rate Lookup'!$A$1:$A$37=G30)*'Rate Lookup'!$C$1:$C$37)))))))</f>
      </c>
      <c r="I30" s="8"/>
      <c r="J30" s="8"/>
      <c r="K30" s="7">
        <f>IF($C30="","",IF(OR(P30="B",P30="D",P30="E",P30="N",P30="O",P30="P",P30="Q",P30="S",P30="Y",P30="Z"),0,ROUND(J30*H30/100,0)))</f>
      </c>
      <c r="L30" s="7">
        <f>IF($C30="","",0)</f>
      </c>
      <c r="M30" s="7">
        <f>IF($C30="","",0)</f>
      </c>
      <c r="N30" s="7">
        <f>IF($C30="","",IF(OR(K30=0,I30="",IFERROR(INDEX('Challan Master'!$D$4:$D$207,MATCH($B30,'Challan Master'!$S$4:$S$207,0)),"")="",IFERROR(INDEX('Challan Master'!$D$4:$D$207,MATCH($B30,'Challan Master'!$S$4:$S$207,0)),"")&lt;=0),0,IF(IFERROR(INDEX('Challan Master'!$D$4:$D$207,MATCH($B30,'Challan Master'!$S$4:$S$207,0)),"")&lt;=DATE(YEAR(I30),MONTH(I30)+1,7),0,ROUND(K30*0.015*((YEAR(IFERROR(INDEX('Challan Master'!$D$4:$D$207,MATCH($B30,'Challan Master'!$S$4:$S$207,0)),""))-YEAR(I30))*12+(MONTH(IFERROR(INDEX('Challan Master'!$D$4:$D$207,MATCH($B30,'Challan Master'!$S$4:$S$207,0)),""))-MONTH(I30))+1),0))))</f>
      </c>
      <c r="O30" s="7">
        <f>IF($C30="","",0)</f>
      </c>
      <c r="P30" s="8"/>
      <c r="Q30" s="8"/>
      <c r="R30" s="8"/>
      <c r="S30" s="8"/>
      <c r="T30" s="8"/>
      <c r="U30" s="7">
        <f>IF($B30="","",IFERROR(INDEX('Challan Master'!$AA$4:$AA$207,MATCH($B30,'Challan Master'!$S$4:$S$207,0)),""))</f>
      </c>
    </row>
    <row r="31" spans="1:22" x14ac:dyDescent="0.25">
      <c r="A31" s="7">
        <f>IF($C31="","",COUNTIF($C$4:$C31,"&lt;&gt;"))</f>
      </c>
      <c r="B31" s="8"/>
      <c r="C31" s="8"/>
      <c r="D31" s="8"/>
      <c r="E31" s="7">
        <f>IF($C31="","",IF(AND(LEN(TRIM(UPPER(D31)))=10,CODE(MID(TRIM(UPPER(D31)),1,1))&gt;=65,CODE(MID(TRIM(UPPER(D31)),1,1))&lt;=90,CODE(MID(TRIM(UPPER(D31)),2,1))&gt;=65,CODE(MID(TRIM(UPPER(D31)),2,1))&lt;=90,CODE(MID(TRIM(UPPER(D31)),3,1))&gt;=65,CODE(MID(TRIM(UPPER(D31)),3,1))&lt;=90,CODE(MID(TRIM(UPPER(D31)),4,1))&gt;=65,CODE(MID(TRIM(UPPER(D31)),4,1))&lt;=90,CODE(MID(TRIM(UPPER(D31)),5,1))&gt;=65,CODE(MID(TRIM(UPPER(D31)),5,1))&lt;=90,CODE(MID(TRIM(UPPER(D31)),10,1))&gt;=65,CODE(MID(TRIM(UPPER(D31)),10,1))&lt;=90,CODE(MID(TRIM(UPPER(D31)),6,1))&gt;=48,CODE(MID(TRIM(UPPER(D31)),6,1))&lt;=57,CODE(MID(TRIM(UPPER(D31)),7,1))&gt;=48,CODE(MID(TRIM(UPPER(D31)),7,1))&lt;=57,CODE(MID(TRIM(UPPER(D31)),8,1))&gt;=48,CODE(MID(TRIM(UPPER(D31)),8,1))&lt;=57,CODE(MID(TRIM(UPPER(D31)),9,1))&gt;=48,CODE(MID(TRIM(UPPER(D31)),9,1))&lt;=57),"N","Y"))</f>
      </c>
      <c r="F31" s="7">
        <f>IF($C31="","",IF(LEN(D31)&lt;4,"",IF(UPPER(MID(D31,4,1))="P","Individual",IF(UPPER(MID(D31,4,1))="H","HUF",IF(UPPER(MID(D31,4,1))="C","Company",IF(UPPER(MID(D31,4,1))="F","Firm",IF(UPPER(MID(D31,4,1))="L","LLP",IF(UPPER(MID(D31,4,1))="T","Trust",IF(UPPER(MID(D31,4,1))="A","AOP","")))))))))</f>
      </c>
      <c r="G31" s="8"/>
      <c r="H31" s="7">
        <f>IF($C31="","",IF(R31&lt;&gt;"",R31,IF(G31="","",IF(E31="Y",SUMPRODUCT(('Rate Lookup'!$A$1:$A$37=G31)*'Rate Lookup'!$D$1:$D$37),IF(OR(F31="Individual",F31="HUF"),SUMPRODUCT(('Rate Lookup'!$A$1:$A$37=G31)*'Rate Lookup'!$B$1:$B$37),SUMPRODUCT(('Rate Lookup'!$A$1:$A$37=G31)*'Rate Lookup'!$C$1:$C$37)))))))</f>
      </c>
      <c r="I31" s="8"/>
      <c r="J31" s="8"/>
      <c r="K31" s="7">
        <f>IF($C31="","",IF(OR(P31="B",P31="D",P31="E",P31="N",P31="O",P31="P",P31="Q",P31="S",P31="Y",P31="Z"),0,ROUND(J31*H31/100,0)))</f>
      </c>
      <c r="L31" s="7">
        <f>IF($C31="","",0)</f>
      </c>
      <c r="M31" s="7">
        <f>IF($C31="","",0)</f>
      </c>
      <c r="N31" s="7">
        <f>IF($C31="","",IF(OR(K31=0,I31="",IFERROR(INDEX('Challan Master'!$D$4:$D$207,MATCH($B31,'Challan Master'!$S$4:$S$207,0)),"")="",IFERROR(INDEX('Challan Master'!$D$4:$D$207,MATCH($B31,'Challan Master'!$S$4:$S$207,0)),"")&lt;=0),0,IF(IFERROR(INDEX('Challan Master'!$D$4:$D$207,MATCH($B31,'Challan Master'!$S$4:$S$207,0)),"")&lt;=DATE(YEAR(I31),MONTH(I31)+1,7),0,ROUND(K31*0.015*((YEAR(IFERROR(INDEX('Challan Master'!$D$4:$D$207,MATCH($B31,'Challan Master'!$S$4:$S$207,0)),""))-YEAR(I31))*12+(MONTH(IFERROR(INDEX('Challan Master'!$D$4:$D$207,MATCH($B31,'Challan Master'!$S$4:$S$207,0)),""))-MONTH(I31))+1),0))))</f>
      </c>
      <c r="O31" s="7">
        <f>IF($C31="","",0)</f>
      </c>
      <c r="P31" s="8"/>
      <c r="Q31" s="8"/>
      <c r="R31" s="8"/>
      <c r="S31" s="8"/>
      <c r="T31" s="8"/>
      <c r="U31" s="7">
        <f>IF($B31="","",IFERROR(INDEX('Challan Master'!$AA$4:$AA$207,MATCH($B31,'Challan Master'!$S$4:$S$207,0)),""))</f>
      </c>
    </row>
    <row r="32" spans="1:22" x14ac:dyDescent="0.25">
      <c r="A32" s="7">
        <f>IF($C32="","",COUNTIF($C$4:$C32,"&lt;&gt;"))</f>
      </c>
      <c r="B32" s="8"/>
      <c r="C32" s="8"/>
      <c r="D32" s="8"/>
      <c r="E32" s="7">
        <f>IF($C32="","",IF(AND(LEN(TRIM(UPPER(D32)))=10,CODE(MID(TRIM(UPPER(D32)),1,1))&gt;=65,CODE(MID(TRIM(UPPER(D32)),1,1))&lt;=90,CODE(MID(TRIM(UPPER(D32)),2,1))&gt;=65,CODE(MID(TRIM(UPPER(D32)),2,1))&lt;=90,CODE(MID(TRIM(UPPER(D32)),3,1))&gt;=65,CODE(MID(TRIM(UPPER(D32)),3,1))&lt;=90,CODE(MID(TRIM(UPPER(D32)),4,1))&gt;=65,CODE(MID(TRIM(UPPER(D32)),4,1))&lt;=90,CODE(MID(TRIM(UPPER(D32)),5,1))&gt;=65,CODE(MID(TRIM(UPPER(D32)),5,1))&lt;=90,CODE(MID(TRIM(UPPER(D32)),10,1))&gt;=65,CODE(MID(TRIM(UPPER(D32)),10,1))&lt;=90,CODE(MID(TRIM(UPPER(D32)),6,1))&gt;=48,CODE(MID(TRIM(UPPER(D32)),6,1))&lt;=57,CODE(MID(TRIM(UPPER(D32)),7,1))&gt;=48,CODE(MID(TRIM(UPPER(D32)),7,1))&lt;=57,CODE(MID(TRIM(UPPER(D32)),8,1))&gt;=48,CODE(MID(TRIM(UPPER(D32)),8,1))&lt;=57,CODE(MID(TRIM(UPPER(D32)),9,1))&gt;=48,CODE(MID(TRIM(UPPER(D32)),9,1))&lt;=57),"N","Y"))</f>
      </c>
      <c r="F32" s="7">
        <f>IF($C32="","",IF(LEN(D32)&lt;4,"",IF(UPPER(MID(D32,4,1))="P","Individual",IF(UPPER(MID(D32,4,1))="H","HUF",IF(UPPER(MID(D32,4,1))="C","Company",IF(UPPER(MID(D32,4,1))="F","Firm",IF(UPPER(MID(D32,4,1))="L","LLP",IF(UPPER(MID(D32,4,1))="T","Trust",IF(UPPER(MID(D32,4,1))="A","AOP","")))))))))</f>
      </c>
      <c r="G32" s="8"/>
      <c r="H32" s="7">
        <f>IF($C32="","",IF(R32&lt;&gt;"",R32,IF(G32="","",IF(E32="Y",SUMPRODUCT(('Rate Lookup'!$A$1:$A$37=G32)*'Rate Lookup'!$D$1:$D$37),IF(OR(F32="Individual",F32="HUF"),SUMPRODUCT(('Rate Lookup'!$A$1:$A$37=G32)*'Rate Lookup'!$B$1:$B$37),SUMPRODUCT(('Rate Lookup'!$A$1:$A$37=G32)*'Rate Lookup'!$C$1:$C$37)))))))</f>
      </c>
      <c r="I32" s="8"/>
      <c r="J32" s="8"/>
      <c r="K32" s="7">
        <f>IF($C32="","",IF(OR(P32="B",P32="D",P32="E",P32="N",P32="O",P32="P",P32="Q",P32="S",P32="Y",P32="Z"),0,ROUND(J32*H32/100,0)))</f>
      </c>
      <c r="L32" s="7">
        <f>IF($C32="","",0)</f>
      </c>
      <c r="M32" s="7">
        <f>IF($C32="","",0)</f>
      </c>
      <c r="N32" s="7">
        <f>IF($C32="","",IF(OR(K32=0,I32="",IFERROR(INDEX('Challan Master'!$D$4:$D$207,MATCH($B32,'Challan Master'!$S$4:$S$207,0)),"")="",IFERROR(INDEX('Challan Master'!$D$4:$D$207,MATCH($B32,'Challan Master'!$S$4:$S$207,0)),"")&lt;=0),0,IF(IFERROR(INDEX('Challan Master'!$D$4:$D$207,MATCH($B32,'Challan Master'!$S$4:$S$207,0)),"")&lt;=DATE(YEAR(I32),MONTH(I32)+1,7),0,ROUND(K32*0.015*((YEAR(IFERROR(INDEX('Challan Master'!$D$4:$D$207,MATCH($B32,'Challan Master'!$S$4:$S$207,0)),""))-YEAR(I32))*12+(MONTH(IFERROR(INDEX('Challan Master'!$D$4:$D$207,MATCH($B32,'Challan Master'!$S$4:$S$207,0)),""))-MONTH(I32))+1),0))))</f>
      </c>
      <c r="O32" s="7">
        <f>IF($C32="","",0)</f>
      </c>
      <c r="P32" s="8"/>
      <c r="Q32" s="8"/>
      <c r="R32" s="8"/>
      <c r="S32" s="8"/>
      <c r="T32" s="8"/>
      <c r="U32" s="7">
        <f>IF($B32="","",IFERROR(INDEX('Challan Master'!$AA$4:$AA$207,MATCH($B32,'Challan Master'!$S$4:$S$207,0)),""))</f>
      </c>
    </row>
    <row r="33" spans="1:22" x14ac:dyDescent="0.25">
      <c r="A33" s="7">
        <f>IF($C33="","",COUNTIF($C$4:$C33,"&lt;&gt;"))</f>
      </c>
      <c r="B33" s="8"/>
      <c r="C33" s="8"/>
      <c r="D33" s="8"/>
      <c r="E33" s="7">
        <f>IF($C33="","",IF(AND(LEN(TRIM(UPPER(D33)))=10,CODE(MID(TRIM(UPPER(D33)),1,1))&gt;=65,CODE(MID(TRIM(UPPER(D33)),1,1))&lt;=90,CODE(MID(TRIM(UPPER(D33)),2,1))&gt;=65,CODE(MID(TRIM(UPPER(D33)),2,1))&lt;=90,CODE(MID(TRIM(UPPER(D33)),3,1))&gt;=65,CODE(MID(TRIM(UPPER(D33)),3,1))&lt;=90,CODE(MID(TRIM(UPPER(D33)),4,1))&gt;=65,CODE(MID(TRIM(UPPER(D33)),4,1))&lt;=90,CODE(MID(TRIM(UPPER(D33)),5,1))&gt;=65,CODE(MID(TRIM(UPPER(D33)),5,1))&lt;=90,CODE(MID(TRIM(UPPER(D33)),10,1))&gt;=65,CODE(MID(TRIM(UPPER(D33)),10,1))&lt;=90,CODE(MID(TRIM(UPPER(D33)),6,1))&gt;=48,CODE(MID(TRIM(UPPER(D33)),6,1))&lt;=57,CODE(MID(TRIM(UPPER(D33)),7,1))&gt;=48,CODE(MID(TRIM(UPPER(D33)),7,1))&lt;=57,CODE(MID(TRIM(UPPER(D33)),8,1))&gt;=48,CODE(MID(TRIM(UPPER(D33)),8,1))&lt;=57,CODE(MID(TRIM(UPPER(D33)),9,1))&gt;=48,CODE(MID(TRIM(UPPER(D33)),9,1))&lt;=57),"N","Y"))</f>
      </c>
      <c r="F33" s="7">
        <f>IF($C33="","",IF(LEN(D33)&lt;4,"",IF(UPPER(MID(D33,4,1))="P","Individual",IF(UPPER(MID(D33,4,1))="H","HUF",IF(UPPER(MID(D33,4,1))="C","Company",IF(UPPER(MID(D33,4,1))="F","Firm",IF(UPPER(MID(D33,4,1))="L","LLP",IF(UPPER(MID(D33,4,1))="T","Trust",IF(UPPER(MID(D33,4,1))="A","AOP","")))))))))</f>
      </c>
      <c r="G33" s="8"/>
      <c r="H33" s="7">
        <f>IF($C33="","",IF(R33&lt;&gt;"",R33,IF(G33="","",IF(E33="Y",SUMPRODUCT(('Rate Lookup'!$A$1:$A$37=G33)*'Rate Lookup'!$D$1:$D$37),IF(OR(F33="Individual",F33="HUF"),SUMPRODUCT(('Rate Lookup'!$A$1:$A$37=G33)*'Rate Lookup'!$B$1:$B$37),SUMPRODUCT(('Rate Lookup'!$A$1:$A$37=G33)*'Rate Lookup'!$C$1:$C$37)))))))</f>
      </c>
      <c r="I33" s="8"/>
      <c r="J33" s="8"/>
      <c r="K33" s="7">
        <f>IF($C33="","",IF(OR(P33="B",P33="D",P33="E",P33="N",P33="O",P33="P",P33="Q",P33="S",P33="Y",P33="Z"),0,ROUND(J33*H33/100,0)))</f>
      </c>
      <c r="L33" s="7">
        <f>IF($C33="","",0)</f>
      </c>
      <c r="M33" s="7">
        <f>IF($C33="","",0)</f>
      </c>
      <c r="N33" s="7">
        <f>IF($C33="","",IF(OR(K33=0,I33="",IFERROR(INDEX('Challan Master'!$D$4:$D$207,MATCH($B33,'Challan Master'!$S$4:$S$207,0)),"")="",IFERROR(INDEX('Challan Master'!$D$4:$D$207,MATCH($B33,'Challan Master'!$S$4:$S$207,0)),"")&lt;=0),0,IF(IFERROR(INDEX('Challan Master'!$D$4:$D$207,MATCH($B33,'Challan Master'!$S$4:$S$207,0)),"")&lt;=DATE(YEAR(I33),MONTH(I33)+1,7),0,ROUND(K33*0.015*((YEAR(IFERROR(INDEX('Challan Master'!$D$4:$D$207,MATCH($B33,'Challan Master'!$S$4:$S$207,0)),""))-YEAR(I33))*12+(MONTH(IFERROR(INDEX('Challan Master'!$D$4:$D$207,MATCH($B33,'Challan Master'!$S$4:$S$207,0)),""))-MONTH(I33))+1),0))))</f>
      </c>
      <c r="O33" s="7">
        <f>IF($C33="","",0)</f>
      </c>
      <c r="P33" s="8"/>
      <c r="Q33" s="8"/>
      <c r="R33" s="8"/>
      <c r="S33" s="8"/>
      <c r="T33" s="8"/>
      <c r="U33" s="7">
        <f>IF($B33="","",IFERROR(INDEX('Challan Master'!$AA$4:$AA$207,MATCH($B33,'Challan Master'!$S$4:$S$207,0)),""))</f>
      </c>
    </row>
    <row r="34" spans="1:22" x14ac:dyDescent="0.25">
      <c r="A34" s="7">
        <f>IF($C34="","",COUNTIF($C$4:$C34,"&lt;&gt;"))</f>
      </c>
      <c r="B34" s="8"/>
      <c r="C34" s="8"/>
      <c r="D34" s="8"/>
      <c r="E34" s="7">
        <f>IF($C34="","",IF(AND(LEN(TRIM(UPPER(D34)))=10,CODE(MID(TRIM(UPPER(D34)),1,1))&gt;=65,CODE(MID(TRIM(UPPER(D34)),1,1))&lt;=90,CODE(MID(TRIM(UPPER(D34)),2,1))&gt;=65,CODE(MID(TRIM(UPPER(D34)),2,1))&lt;=90,CODE(MID(TRIM(UPPER(D34)),3,1))&gt;=65,CODE(MID(TRIM(UPPER(D34)),3,1))&lt;=90,CODE(MID(TRIM(UPPER(D34)),4,1))&gt;=65,CODE(MID(TRIM(UPPER(D34)),4,1))&lt;=90,CODE(MID(TRIM(UPPER(D34)),5,1))&gt;=65,CODE(MID(TRIM(UPPER(D34)),5,1))&lt;=90,CODE(MID(TRIM(UPPER(D34)),10,1))&gt;=65,CODE(MID(TRIM(UPPER(D34)),10,1))&lt;=90,CODE(MID(TRIM(UPPER(D34)),6,1))&gt;=48,CODE(MID(TRIM(UPPER(D34)),6,1))&lt;=57,CODE(MID(TRIM(UPPER(D34)),7,1))&gt;=48,CODE(MID(TRIM(UPPER(D34)),7,1))&lt;=57,CODE(MID(TRIM(UPPER(D34)),8,1))&gt;=48,CODE(MID(TRIM(UPPER(D34)),8,1))&lt;=57,CODE(MID(TRIM(UPPER(D34)),9,1))&gt;=48,CODE(MID(TRIM(UPPER(D34)),9,1))&lt;=57),"N","Y"))</f>
      </c>
      <c r="F34" s="7">
        <f>IF($C34="","",IF(LEN(D34)&lt;4,"",IF(UPPER(MID(D34,4,1))="P","Individual",IF(UPPER(MID(D34,4,1))="H","HUF",IF(UPPER(MID(D34,4,1))="C","Company",IF(UPPER(MID(D34,4,1))="F","Firm",IF(UPPER(MID(D34,4,1))="L","LLP",IF(UPPER(MID(D34,4,1))="T","Trust",IF(UPPER(MID(D34,4,1))="A","AOP","")))))))))</f>
      </c>
      <c r="G34" s="8"/>
      <c r="H34" s="7">
        <f>IF($C34="","",IF(R34&lt;&gt;"",R34,IF(G34="","",IF(E34="Y",SUMPRODUCT(('Rate Lookup'!$A$1:$A$37=G34)*'Rate Lookup'!$D$1:$D$37),IF(OR(F34="Individual",F34="HUF"),SUMPRODUCT(('Rate Lookup'!$A$1:$A$37=G34)*'Rate Lookup'!$B$1:$B$37),SUMPRODUCT(('Rate Lookup'!$A$1:$A$37=G34)*'Rate Lookup'!$C$1:$C$37)))))))</f>
      </c>
      <c r="I34" s="8"/>
      <c r="J34" s="8"/>
      <c r="K34" s="7">
        <f>IF($C34="","",IF(OR(P34="B",P34="D",P34="E",P34="N",P34="O",P34="P",P34="Q",P34="S",P34="Y",P34="Z"),0,ROUND(J34*H34/100,0)))</f>
      </c>
      <c r="L34" s="7">
        <f>IF($C34="","",0)</f>
      </c>
      <c r="M34" s="7">
        <f>IF($C34="","",0)</f>
      </c>
      <c r="N34" s="7">
        <f>IF($C34="","",IF(OR(K34=0,I34="",IFERROR(INDEX('Challan Master'!$D$4:$D$207,MATCH($B34,'Challan Master'!$S$4:$S$207,0)),"")="",IFERROR(INDEX('Challan Master'!$D$4:$D$207,MATCH($B34,'Challan Master'!$S$4:$S$207,0)),"")&lt;=0),0,IF(IFERROR(INDEX('Challan Master'!$D$4:$D$207,MATCH($B34,'Challan Master'!$S$4:$S$207,0)),"")&lt;=DATE(YEAR(I34),MONTH(I34)+1,7),0,ROUND(K34*0.015*((YEAR(IFERROR(INDEX('Challan Master'!$D$4:$D$207,MATCH($B34,'Challan Master'!$S$4:$S$207,0)),""))-YEAR(I34))*12+(MONTH(IFERROR(INDEX('Challan Master'!$D$4:$D$207,MATCH($B34,'Challan Master'!$S$4:$S$207,0)),""))-MONTH(I34))+1),0))))</f>
      </c>
      <c r="O34" s="7">
        <f>IF($C34="","",0)</f>
      </c>
      <c r="P34" s="8"/>
      <c r="Q34" s="8"/>
      <c r="R34" s="8"/>
      <c r="S34" s="8"/>
      <c r="T34" s="8"/>
      <c r="U34" s="7">
        <f>IF($B34="","",IFERROR(INDEX('Challan Master'!$AA$4:$AA$207,MATCH($B34,'Challan Master'!$S$4:$S$207,0)),""))</f>
      </c>
    </row>
    <row r="35" spans="1:22" x14ac:dyDescent="0.25">
      <c r="A35" s="7">
        <f>IF($C35="","",COUNTIF($C$4:$C35,"&lt;&gt;"))</f>
      </c>
      <c r="B35" s="8"/>
      <c r="C35" s="8"/>
      <c r="D35" s="8"/>
      <c r="E35" s="7">
        <f>IF($C35="","",IF(AND(LEN(TRIM(UPPER(D35)))=10,CODE(MID(TRIM(UPPER(D35)),1,1))&gt;=65,CODE(MID(TRIM(UPPER(D35)),1,1))&lt;=90,CODE(MID(TRIM(UPPER(D35)),2,1))&gt;=65,CODE(MID(TRIM(UPPER(D35)),2,1))&lt;=90,CODE(MID(TRIM(UPPER(D35)),3,1))&gt;=65,CODE(MID(TRIM(UPPER(D35)),3,1))&lt;=90,CODE(MID(TRIM(UPPER(D35)),4,1))&gt;=65,CODE(MID(TRIM(UPPER(D35)),4,1))&lt;=90,CODE(MID(TRIM(UPPER(D35)),5,1))&gt;=65,CODE(MID(TRIM(UPPER(D35)),5,1))&lt;=90,CODE(MID(TRIM(UPPER(D35)),10,1))&gt;=65,CODE(MID(TRIM(UPPER(D35)),10,1))&lt;=90,CODE(MID(TRIM(UPPER(D35)),6,1))&gt;=48,CODE(MID(TRIM(UPPER(D35)),6,1))&lt;=57,CODE(MID(TRIM(UPPER(D35)),7,1))&gt;=48,CODE(MID(TRIM(UPPER(D35)),7,1))&lt;=57,CODE(MID(TRIM(UPPER(D35)),8,1))&gt;=48,CODE(MID(TRIM(UPPER(D35)),8,1))&lt;=57,CODE(MID(TRIM(UPPER(D35)),9,1))&gt;=48,CODE(MID(TRIM(UPPER(D35)),9,1))&lt;=57),"N","Y"))</f>
      </c>
      <c r="F35" s="7">
        <f>IF($C35="","",IF(LEN(D35)&lt;4,"",IF(UPPER(MID(D35,4,1))="P","Individual",IF(UPPER(MID(D35,4,1))="H","HUF",IF(UPPER(MID(D35,4,1))="C","Company",IF(UPPER(MID(D35,4,1))="F","Firm",IF(UPPER(MID(D35,4,1))="L","LLP",IF(UPPER(MID(D35,4,1))="T","Trust",IF(UPPER(MID(D35,4,1))="A","AOP","")))))))))</f>
      </c>
      <c r="G35" s="8"/>
      <c r="H35" s="7">
        <f>IF($C35="","",IF(R35&lt;&gt;"",R35,IF(G35="","",IF(E35="Y",SUMPRODUCT(('Rate Lookup'!$A$1:$A$37=G35)*'Rate Lookup'!$D$1:$D$37),IF(OR(F35="Individual",F35="HUF"),SUMPRODUCT(('Rate Lookup'!$A$1:$A$37=G35)*'Rate Lookup'!$B$1:$B$37),SUMPRODUCT(('Rate Lookup'!$A$1:$A$37=G35)*'Rate Lookup'!$C$1:$C$37)))))))</f>
      </c>
      <c r="I35" s="8"/>
      <c r="J35" s="8"/>
      <c r="K35" s="7">
        <f>IF($C35="","",IF(OR(P35="B",P35="D",P35="E",P35="N",P35="O",P35="P",P35="Q",P35="S",P35="Y",P35="Z"),0,ROUND(J35*H35/100,0)))</f>
      </c>
      <c r="L35" s="7">
        <f>IF($C35="","",0)</f>
      </c>
      <c r="M35" s="7">
        <f>IF($C35="","",0)</f>
      </c>
      <c r="N35" s="7">
        <f>IF($C35="","",IF(OR(K35=0,I35="",IFERROR(INDEX('Challan Master'!$D$4:$D$207,MATCH($B35,'Challan Master'!$S$4:$S$207,0)),"")="",IFERROR(INDEX('Challan Master'!$D$4:$D$207,MATCH($B35,'Challan Master'!$S$4:$S$207,0)),"")&lt;=0),0,IF(IFERROR(INDEX('Challan Master'!$D$4:$D$207,MATCH($B35,'Challan Master'!$S$4:$S$207,0)),"")&lt;=DATE(YEAR(I35),MONTH(I35)+1,7),0,ROUND(K35*0.015*((YEAR(IFERROR(INDEX('Challan Master'!$D$4:$D$207,MATCH($B35,'Challan Master'!$S$4:$S$207,0)),""))-YEAR(I35))*12+(MONTH(IFERROR(INDEX('Challan Master'!$D$4:$D$207,MATCH($B35,'Challan Master'!$S$4:$S$207,0)),""))-MONTH(I35))+1),0))))</f>
      </c>
      <c r="O35" s="7">
        <f>IF($C35="","",0)</f>
      </c>
      <c r="P35" s="8"/>
      <c r="Q35" s="8"/>
      <c r="R35" s="8"/>
      <c r="S35" s="8"/>
      <c r="T35" s="8"/>
      <c r="U35" s="7">
        <f>IF($B35="","",IFERROR(INDEX('Challan Master'!$AA$4:$AA$207,MATCH($B35,'Challan Master'!$S$4:$S$207,0)),""))</f>
      </c>
    </row>
    <row r="36" spans="1:22" x14ac:dyDescent="0.25">
      <c r="A36" s="7">
        <f>IF($C36="","",COUNTIF($C$4:$C36,"&lt;&gt;"))</f>
      </c>
      <c r="B36" s="8"/>
      <c r="C36" s="8"/>
      <c r="D36" s="8"/>
      <c r="E36" s="7">
        <f>IF($C36="","",IF(AND(LEN(TRIM(UPPER(D36)))=10,CODE(MID(TRIM(UPPER(D36)),1,1))&gt;=65,CODE(MID(TRIM(UPPER(D36)),1,1))&lt;=90,CODE(MID(TRIM(UPPER(D36)),2,1))&gt;=65,CODE(MID(TRIM(UPPER(D36)),2,1))&lt;=90,CODE(MID(TRIM(UPPER(D36)),3,1))&gt;=65,CODE(MID(TRIM(UPPER(D36)),3,1))&lt;=90,CODE(MID(TRIM(UPPER(D36)),4,1))&gt;=65,CODE(MID(TRIM(UPPER(D36)),4,1))&lt;=90,CODE(MID(TRIM(UPPER(D36)),5,1))&gt;=65,CODE(MID(TRIM(UPPER(D36)),5,1))&lt;=90,CODE(MID(TRIM(UPPER(D36)),10,1))&gt;=65,CODE(MID(TRIM(UPPER(D36)),10,1))&lt;=90,CODE(MID(TRIM(UPPER(D36)),6,1))&gt;=48,CODE(MID(TRIM(UPPER(D36)),6,1))&lt;=57,CODE(MID(TRIM(UPPER(D36)),7,1))&gt;=48,CODE(MID(TRIM(UPPER(D36)),7,1))&lt;=57,CODE(MID(TRIM(UPPER(D36)),8,1))&gt;=48,CODE(MID(TRIM(UPPER(D36)),8,1))&lt;=57,CODE(MID(TRIM(UPPER(D36)),9,1))&gt;=48,CODE(MID(TRIM(UPPER(D36)),9,1))&lt;=57),"N","Y"))</f>
      </c>
      <c r="F36" s="7">
        <f>IF($C36="","",IF(LEN(D36)&lt;4,"",IF(UPPER(MID(D36,4,1))="P","Individual",IF(UPPER(MID(D36,4,1))="H","HUF",IF(UPPER(MID(D36,4,1))="C","Company",IF(UPPER(MID(D36,4,1))="F","Firm",IF(UPPER(MID(D36,4,1))="L","LLP",IF(UPPER(MID(D36,4,1))="T","Trust",IF(UPPER(MID(D36,4,1))="A","AOP","")))))))))</f>
      </c>
      <c r="G36" s="8"/>
      <c r="H36" s="7">
        <f>IF($C36="","",IF(R36&lt;&gt;"",R36,IF(G36="","",IF(E36="Y",SUMPRODUCT(('Rate Lookup'!$A$1:$A$37=G36)*'Rate Lookup'!$D$1:$D$37),IF(OR(F36="Individual",F36="HUF"),SUMPRODUCT(('Rate Lookup'!$A$1:$A$37=G36)*'Rate Lookup'!$B$1:$B$37),SUMPRODUCT(('Rate Lookup'!$A$1:$A$37=G36)*'Rate Lookup'!$C$1:$C$37)))))))</f>
      </c>
      <c r="I36" s="8"/>
      <c r="J36" s="8"/>
      <c r="K36" s="7">
        <f>IF($C36="","",IF(OR(P36="B",P36="D",P36="E",P36="N",P36="O",P36="P",P36="Q",P36="S",P36="Y",P36="Z"),0,ROUND(J36*H36/100,0)))</f>
      </c>
      <c r="L36" s="7">
        <f>IF($C36="","",0)</f>
      </c>
      <c r="M36" s="7">
        <f>IF($C36="","",0)</f>
      </c>
      <c r="N36" s="7">
        <f>IF($C36="","",IF(OR(K36=0,I36="",IFERROR(INDEX('Challan Master'!$D$4:$D$207,MATCH($B36,'Challan Master'!$S$4:$S$207,0)),"")="",IFERROR(INDEX('Challan Master'!$D$4:$D$207,MATCH($B36,'Challan Master'!$S$4:$S$207,0)),"")&lt;=0),0,IF(IFERROR(INDEX('Challan Master'!$D$4:$D$207,MATCH($B36,'Challan Master'!$S$4:$S$207,0)),"")&lt;=DATE(YEAR(I36),MONTH(I36)+1,7),0,ROUND(K36*0.015*((YEAR(IFERROR(INDEX('Challan Master'!$D$4:$D$207,MATCH($B36,'Challan Master'!$S$4:$S$207,0)),""))-YEAR(I36))*12+(MONTH(IFERROR(INDEX('Challan Master'!$D$4:$D$207,MATCH($B36,'Challan Master'!$S$4:$S$207,0)),""))-MONTH(I36))+1),0))))</f>
      </c>
      <c r="O36" s="7">
        <f>IF($C36="","",0)</f>
      </c>
      <c r="P36" s="8"/>
      <c r="Q36" s="8"/>
      <c r="R36" s="8"/>
      <c r="S36" s="8"/>
      <c r="T36" s="8"/>
      <c r="U36" s="7">
        <f>IF($B36="","",IFERROR(INDEX('Challan Master'!$AA$4:$AA$207,MATCH($B36,'Challan Master'!$S$4:$S$207,0)),""))</f>
      </c>
    </row>
    <row r="37" spans="1:22" x14ac:dyDescent="0.25">
      <c r="A37" s="7">
        <f>IF($C37="","",COUNTIF($C$4:$C37,"&lt;&gt;"))</f>
      </c>
      <c r="B37" s="8"/>
      <c r="C37" s="8"/>
      <c r="D37" s="8"/>
      <c r="E37" s="7">
        <f>IF($C37="","",IF(AND(LEN(TRIM(UPPER(D37)))=10,CODE(MID(TRIM(UPPER(D37)),1,1))&gt;=65,CODE(MID(TRIM(UPPER(D37)),1,1))&lt;=90,CODE(MID(TRIM(UPPER(D37)),2,1))&gt;=65,CODE(MID(TRIM(UPPER(D37)),2,1))&lt;=90,CODE(MID(TRIM(UPPER(D37)),3,1))&gt;=65,CODE(MID(TRIM(UPPER(D37)),3,1))&lt;=90,CODE(MID(TRIM(UPPER(D37)),4,1))&gt;=65,CODE(MID(TRIM(UPPER(D37)),4,1))&lt;=90,CODE(MID(TRIM(UPPER(D37)),5,1))&gt;=65,CODE(MID(TRIM(UPPER(D37)),5,1))&lt;=90,CODE(MID(TRIM(UPPER(D37)),10,1))&gt;=65,CODE(MID(TRIM(UPPER(D37)),10,1))&lt;=90,CODE(MID(TRIM(UPPER(D37)),6,1))&gt;=48,CODE(MID(TRIM(UPPER(D37)),6,1))&lt;=57,CODE(MID(TRIM(UPPER(D37)),7,1))&gt;=48,CODE(MID(TRIM(UPPER(D37)),7,1))&lt;=57,CODE(MID(TRIM(UPPER(D37)),8,1))&gt;=48,CODE(MID(TRIM(UPPER(D37)),8,1))&lt;=57,CODE(MID(TRIM(UPPER(D37)),9,1))&gt;=48,CODE(MID(TRIM(UPPER(D37)),9,1))&lt;=57),"N","Y"))</f>
      </c>
      <c r="F37" s="7">
        <f>IF($C37="","",IF(LEN(D37)&lt;4,"",IF(UPPER(MID(D37,4,1))="P","Individual",IF(UPPER(MID(D37,4,1))="H","HUF",IF(UPPER(MID(D37,4,1))="C","Company",IF(UPPER(MID(D37,4,1))="F","Firm",IF(UPPER(MID(D37,4,1))="L","LLP",IF(UPPER(MID(D37,4,1))="T","Trust",IF(UPPER(MID(D37,4,1))="A","AOP","")))))))))</f>
      </c>
      <c r="G37" s="8"/>
      <c r="H37" s="7">
        <f>IF($C37="","",IF(R37&lt;&gt;"",R37,IF(G37="","",IF(E37="Y",SUMPRODUCT(('Rate Lookup'!$A$1:$A$37=G37)*'Rate Lookup'!$D$1:$D$37),IF(OR(F37="Individual",F37="HUF"),SUMPRODUCT(('Rate Lookup'!$A$1:$A$37=G37)*'Rate Lookup'!$B$1:$B$37),SUMPRODUCT(('Rate Lookup'!$A$1:$A$37=G37)*'Rate Lookup'!$C$1:$C$37)))))))</f>
      </c>
      <c r="I37" s="8"/>
      <c r="J37" s="8"/>
      <c r="K37" s="7">
        <f>IF($C37="","",IF(OR(P37="B",P37="D",P37="E",P37="N",P37="O",P37="P",P37="Q",P37="S",P37="Y",P37="Z"),0,ROUND(J37*H37/100,0)))</f>
      </c>
      <c r="L37" s="7">
        <f>IF($C37="","",0)</f>
      </c>
      <c r="M37" s="7">
        <f>IF($C37="","",0)</f>
      </c>
      <c r="N37" s="7">
        <f>IF($C37="","",IF(OR(K37=0,I37="",IFERROR(INDEX('Challan Master'!$D$4:$D$207,MATCH($B37,'Challan Master'!$S$4:$S$207,0)),"")="",IFERROR(INDEX('Challan Master'!$D$4:$D$207,MATCH($B37,'Challan Master'!$S$4:$S$207,0)),"")&lt;=0),0,IF(IFERROR(INDEX('Challan Master'!$D$4:$D$207,MATCH($B37,'Challan Master'!$S$4:$S$207,0)),"")&lt;=DATE(YEAR(I37),MONTH(I37)+1,7),0,ROUND(K37*0.015*((YEAR(IFERROR(INDEX('Challan Master'!$D$4:$D$207,MATCH($B37,'Challan Master'!$S$4:$S$207,0)),""))-YEAR(I37))*12+(MONTH(IFERROR(INDEX('Challan Master'!$D$4:$D$207,MATCH($B37,'Challan Master'!$S$4:$S$207,0)),""))-MONTH(I37))+1),0))))</f>
      </c>
      <c r="O37" s="7">
        <f>IF($C37="","",0)</f>
      </c>
      <c r="P37" s="8"/>
      <c r="Q37" s="8"/>
      <c r="R37" s="8"/>
      <c r="S37" s="8"/>
      <c r="T37" s="8"/>
      <c r="U37" s="7">
        <f>IF($B37="","",IFERROR(INDEX('Challan Master'!$AA$4:$AA$207,MATCH($B37,'Challan Master'!$S$4:$S$207,0)),""))</f>
      </c>
    </row>
    <row r="38" spans="1:22" x14ac:dyDescent="0.25">
      <c r="A38" s="7">
        <f>IF($C38="","",COUNTIF($C$4:$C38,"&lt;&gt;"))</f>
      </c>
      <c r="B38" s="8"/>
      <c r="C38" s="8"/>
      <c r="D38" s="8"/>
      <c r="E38" s="7">
        <f>IF($C38="","",IF(AND(LEN(TRIM(UPPER(D38)))=10,CODE(MID(TRIM(UPPER(D38)),1,1))&gt;=65,CODE(MID(TRIM(UPPER(D38)),1,1))&lt;=90,CODE(MID(TRIM(UPPER(D38)),2,1))&gt;=65,CODE(MID(TRIM(UPPER(D38)),2,1))&lt;=90,CODE(MID(TRIM(UPPER(D38)),3,1))&gt;=65,CODE(MID(TRIM(UPPER(D38)),3,1))&lt;=90,CODE(MID(TRIM(UPPER(D38)),4,1))&gt;=65,CODE(MID(TRIM(UPPER(D38)),4,1))&lt;=90,CODE(MID(TRIM(UPPER(D38)),5,1))&gt;=65,CODE(MID(TRIM(UPPER(D38)),5,1))&lt;=90,CODE(MID(TRIM(UPPER(D38)),10,1))&gt;=65,CODE(MID(TRIM(UPPER(D38)),10,1))&lt;=90,CODE(MID(TRIM(UPPER(D38)),6,1))&gt;=48,CODE(MID(TRIM(UPPER(D38)),6,1))&lt;=57,CODE(MID(TRIM(UPPER(D38)),7,1))&gt;=48,CODE(MID(TRIM(UPPER(D38)),7,1))&lt;=57,CODE(MID(TRIM(UPPER(D38)),8,1))&gt;=48,CODE(MID(TRIM(UPPER(D38)),8,1))&lt;=57,CODE(MID(TRIM(UPPER(D38)),9,1))&gt;=48,CODE(MID(TRIM(UPPER(D38)),9,1))&lt;=57),"N","Y"))</f>
      </c>
      <c r="F38" s="7">
        <f>IF($C38="","",IF(LEN(D38)&lt;4,"",IF(UPPER(MID(D38,4,1))="P","Individual",IF(UPPER(MID(D38,4,1))="H","HUF",IF(UPPER(MID(D38,4,1))="C","Company",IF(UPPER(MID(D38,4,1))="F","Firm",IF(UPPER(MID(D38,4,1))="L","LLP",IF(UPPER(MID(D38,4,1))="T","Trust",IF(UPPER(MID(D38,4,1))="A","AOP","")))))))))</f>
      </c>
      <c r="G38" s="8"/>
      <c r="H38" s="7">
        <f>IF($C38="","",IF(R38&lt;&gt;"",R38,IF(G38="","",IF(E38="Y",SUMPRODUCT(('Rate Lookup'!$A$1:$A$37=G38)*'Rate Lookup'!$D$1:$D$37),IF(OR(F38="Individual",F38="HUF"),SUMPRODUCT(('Rate Lookup'!$A$1:$A$37=G38)*'Rate Lookup'!$B$1:$B$37),SUMPRODUCT(('Rate Lookup'!$A$1:$A$37=G38)*'Rate Lookup'!$C$1:$C$37)))))))</f>
      </c>
      <c r="I38" s="8"/>
      <c r="J38" s="8"/>
      <c r="K38" s="7">
        <f>IF($C38="","",IF(OR(P38="B",P38="D",P38="E",P38="N",P38="O",P38="P",P38="Q",P38="S",P38="Y",P38="Z"),0,ROUND(J38*H38/100,0)))</f>
      </c>
      <c r="L38" s="7">
        <f>IF($C38="","",0)</f>
      </c>
      <c r="M38" s="7">
        <f>IF($C38="","",0)</f>
      </c>
      <c r="N38" s="7">
        <f>IF($C38="","",IF(OR(K38=0,I38="",IFERROR(INDEX('Challan Master'!$D$4:$D$207,MATCH($B38,'Challan Master'!$S$4:$S$207,0)),"")="",IFERROR(INDEX('Challan Master'!$D$4:$D$207,MATCH($B38,'Challan Master'!$S$4:$S$207,0)),"")&lt;=0),0,IF(IFERROR(INDEX('Challan Master'!$D$4:$D$207,MATCH($B38,'Challan Master'!$S$4:$S$207,0)),"")&lt;=DATE(YEAR(I38),MONTH(I38)+1,7),0,ROUND(K38*0.015*((YEAR(IFERROR(INDEX('Challan Master'!$D$4:$D$207,MATCH($B38,'Challan Master'!$S$4:$S$207,0)),""))-YEAR(I38))*12+(MONTH(IFERROR(INDEX('Challan Master'!$D$4:$D$207,MATCH($B38,'Challan Master'!$S$4:$S$207,0)),""))-MONTH(I38))+1),0))))</f>
      </c>
      <c r="O38" s="7">
        <f>IF($C38="","",0)</f>
      </c>
      <c r="P38" s="8"/>
      <c r="Q38" s="8"/>
      <c r="R38" s="8"/>
      <c r="S38" s="8"/>
      <c r="T38" s="8"/>
      <c r="U38" s="7">
        <f>IF($B38="","",IFERROR(INDEX('Challan Master'!$AA$4:$AA$207,MATCH($B38,'Challan Master'!$S$4:$S$207,0)),""))</f>
      </c>
    </row>
    <row r="39" spans="1:22" x14ac:dyDescent="0.25">
      <c r="A39" s="7">
        <f>IF($C39="","",COUNTIF($C$4:$C39,"&lt;&gt;"))</f>
      </c>
      <c r="B39" s="8"/>
      <c r="C39" s="8"/>
      <c r="D39" s="8"/>
      <c r="E39" s="7">
        <f>IF($C39="","",IF(AND(LEN(TRIM(UPPER(D39)))=10,CODE(MID(TRIM(UPPER(D39)),1,1))&gt;=65,CODE(MID(TRIM(UPPER(D39)),1,1))&lt;=90,CODE(MID(TRIM(UPPER(D39)),2,1))&gt;=65,CODE(MID(TRIM(UPPER(D39)),2,1))&lt;=90,CODE(MID(TRIM(UPPER(D39)),3,1))&gt;=65,CODE(MID(TRIM(UPPER(D39)),3,1))&lt;=90,CODE(MID(TRIM(UPPER(D39)),4,1))&gt;=65,CODE(MID(TRIM(UPPER(D39)),4,1))&lt;=90,CODE(MID(TRIM(UPPER(D39)),5,1))&gt;=65,CODE(MID(TRIM(UPPER(D39)),5,1))&lt;=90,CODE(MID(TRIM(UPPER(D39)),10,1))&gt;=65,CODE(MID(TRIM(UPPER(D39)),10,1))&lt;=90,CODE(MID(TRIM(UPPER(D39)),6,1))&gt;=48,CODE(MID(TRIM(UPPER(D39)),6,1))&lt;=57,CODE(MID(TRIM(UPPER(D39)),7,1))&gt;=48,CODE(MID(TRIM(UPPER(D39)),7,1))&lt;=57,CODE(MID(TRIM(UPPER(D39)),8,1))&gt;=48,CODE(MID(TRIM(UPPER(D39)),8,1))&lt;=57,CODE(MID(TRIM(UPPER(D39)),9,1))&gt;=48,CODE(MID(TRIM(UPPER(D39)),9,1))&lt;=57),"N","Y"))</f>
      </c>
      <c r="F39" s="7">
        <f>IF($C39="","",IF(LEN(D39)&lt;4,"",IF(UPPER(MID(D39,4,1))="P","Individual",IF(UPPER(MID(D39,4,1))="H","HUF",IF(UPPER(MID(D39,4,1))="C","Company",IF(UPPER(MID(D39,4,1))="F","Firm",IF(UPPER(MID(D39,4,1))="L","LLP",IF(UPPER(MID(D39,4,1))="T","Trust",IF(UPPER(MID(D39,4,1))="A","AOP","")))))))))</f>
      </c>
      <c r="G39" s="8"/>
      <c r="H39" s="7">
        <f>IF($C39="","",IF(R39&lt;&gt;"",R39,IF(G39="","",IF(E39="Y",SUMPRODUCT(('Rate Lookup'!$A$1:$A$37=G39)*'Rate Lookup'!$D$1:$D$37),IF(OR(F39="Individual",F39="HUF"),SUMPRODUCT(('Rate Lookup'!$A$1:$A$37=G39)*'Rate Lookup'!$B$1:$B$37),SUMPRODUCT(('Rate Lookup'!$A$1:$A$37=G39)*'Rate Lookup'!$C$1:$C$37)))))))</f>
      </c>
      <c r="I39" s="8"/>
      <c r="J39" s="8"/>
      <c r="K39" s="7">
        <f>IF($C39="","",IF(OR(P39="B",P39="D",P39="E",P39="N",P39="O",P39="P",P39="Q",P39="S",P39="Y",P39="Z"),0,ROUND(J39*H39/100,0)))</f>
      </c>
      <c r="L39" s="7">
        <f>IF($C39="","",0)</f>
      </c>
      <c r="M39" s="7">
        <f>IF($C39="","",0)</f>
      </c>
      <c r="N39" s="7">
        <f>IF($C39="","",IF(OR(K39=0,I39="",IFERROR(INDEX('Challan Master'!$D$4:$D$207,MATCH($B39,'Challan Master'!$S$4:$S$207,0)),"")="",IFERROR(INDEX('Challan Master'!$D$4:$D$207,MATCH($B39,'Challan Master'!$S$4:$S$207,0)),"")&lt;=0),0,IF(IFERROR(INDEX('Challan Master'!$D$4:$D$207,MATCH($B39,'Challan Master'!$S$4:$S$207,0)),"")&lt;=DATE(YEAR(I39),MONTH(I39)+1,7),0,ROUND(K39*0.015*((YEAR(IFERROR(INDEX('Challan Master'!$D$4:$D$207,MATCH($B39,'Challan Master'!$S$4:$S$207,0)),""))-YEAR(I39))*12+(MONTH(IFERROR(INDEX('Challan Master'!$D$4:$D$207,MATCH($B39,'Challan Master'!$S$4:$S$207,0)),""))-MONTH(I39))+1),0))))</f>
      </c>
      <c r="O39" s="7">
        <f>IF($C39="","",0)</f>
      </c>
      <c r="P39" s="8"/>
      <c r="Q39" s="8"/>
      <c r="R39" s="8"/>
      <c r="S39" s="8"/>
      <c r="T39" s="8"/>
      <c r="U39" s="7">
        <f>IF($B39="","",IFERROR(INDEX('Challan Master'!$AA$4:$AA$207,MATCH($B39,'Challan Master'!$S$4:$S$207,0)),""))</f>
      </c>
    </row>
    <row r="40" spans="1:22" x14ac:dyDescent="0.25">
      <c r="A40" s="7">
        <f>IF($C40="","",COUNTIF($C$4:$C40,"&lt;&gt;"))</f>
      </c>
      <c r="B40" s="8"/>
      <c r="C40" s="8"/>
      <c r="D40" s="8"/>
      <c r="E40" s="7">
        <f>IF($C40="","",IF(AND(LEN(TRIM(UPPER(D40)))=10,CODE(MID(TRIM(UPPER(D40)),1,1))&gt;=65,CODE(MID(TRIM(UPPER(D40)),1,1))&lt;=90,CODE(MID(TRIM(UPPER(D40)),2,1))&gt;=65,CODE(MID(TRIM(UPPER(D40)),2,1))&lt;=90,CODE(MID(TRIM(UPPER(D40)),3,1))&gt;=65,CODE(MID(TRIM(UPPER(D40)),3,1))&lt;=90,CODE(MID(TRIM(UPPER(D40)),4,1))&gt;=65,CODE(MID(TRIM(UPPER(D40)),4,1))&lt;=90,CODE(MID(TRIM(UPPER(D40)),5,1))&gt;=65,CODE(MID(TRIM(UPPER(D40)),5,1))&lt;=90,CODE(MID(TRIM(UPPER(D40)),10,1))&gt;=65,CODE(MID(TRIM(UPPER(D40)),10,1))&lt;=90,CODE(MID(TRIM(UPPER(D40)),6,1))&gt;=48,CODE(MID(TRIM(UPPER(D40)),6,1))&lt;=57,CODE(MID(TRIM(UPPER(D40)),7,1))&gt;=48,CODE(MID(TRIM(UPPER(D40)),7,1))&lt;=57,CODE(MID(TRIM(UPPER(D40)),8,1))&gt;=48,CODE(MID(TRIM(UPPER(D40)),8,1))&lt;=57,CODE(MID(TRIM(UPPER(D40)),9,1))&gt;=48,CODE(MID(TRIM(UPPER(D40)),9,1))&lt;=57),"N","Y"))</f>
      </c>
      <c r="F40" s="7">
        <f>IF($C40="","",IF(LEN(D40)&lt;4,"",IF(UPPER(MID(D40,4,1))="P","Individual",IF(UPPER(MID(D40,4,1))="H","HUF",IF(UPPER(MID(D40,4,1))="C","Company",IF(UPPER(MID(D40,4,1))="F","Firm",IF(UPPER(MID(D40,4,1))="L","LLP",IF(UPPER(MID(D40,4,1))="T","Trust",IF(UPPER(MID(D40,4,1))="A","AOP","")))))))))</f>
      </c>
      <c r="G40" s="8"/>
      <c r="H40" s="7">
        <f>IF($C40="","",IF(R40&lt;&gt;"",R40,IF(G40="","",IF(E40="Y",SUMPRODUCT(('Rate Lookup'!$A$1:$A$37=G40)*'Rate Lookup'!$D$1:$D$37),IF(OR(F40="Individual",F40="HUF"),SUMPRODUCT(('Rate Lookup'!$A$1:$A$37=G40)*'Rate Lookup'!$B$1:$B$37),SUMPRODUCT(('Rate Lookup'!$A$1:$A$37=G40)*'Rate Lookup'!$C$1:$C$37)))))))</f>
      </c>
      <c r="I40" s="8"/>
      <c r="J40" s="8"/>
      <c r="K40" s="7">
        <f>IF($C40="","",IF(OR(P40="B",P40="D",P40="E",P40="N",P40="O",P40="P",P40="Q",P40="S",P40="Y",P40="Z"),0,ROUND(J40*H40/100,0)))</f>
      </c>
      <c r="L40" s="7">
        <f>IF($C40="","",0)</f>
      </c>
      <c r="M40" s="7">
        <f>IF($C40="","",0)</f>
      </c>
      <c r="N40" s="7">
        <f>IF($C40="","",IF(OR(K40=0,I40="",IFERROR(INDEX('Challan Master'!$D$4:$D$207,MATCH($B40,'Challan Master'!$S$4:$S$207,0)),"")="",IFERROR(INDEX('Challan Master'!$D$4:$D$207,MATCH($B40,'Challan Master'!$S$4:$S$207,0)),"")&lt;=0),0,IF(IFERROR(INDEX('Challan Master'!$D$4:$D$207,MATCH($B40,'Challan Master'!$S$4:$S$207,0)),"")&lt;=DATE(YEAR(I40),MONTH(I40)+1,7),0,ROUND(K40*0.015*((YEAR(IFERROR(INDEX('Challan Master'!$D$4:$D$207,MATCH($B40,'Challan Master'!$S$4:$S$207,0)),""))-YEAR(I40))*12+(MONTH(IFERROR(INDEX('Challan Master'!$D$4:$D$207,MATCH($B40,'Challan Master'!$S$4:$S$207,0)),""))-MONTH(I40))+1),0))))</f>
      </c>
      <c r="O40" s="7">
        <f>IF($C40="","",0)</f>
      </c>
      <c r="P40" s="8"/>
      <c r="Q40" s="8"/>
      <c r="R40" s="8"/>
      <c r="S40" s="8"/>
      <c r="T40" s="8"/>
      <c r="U40" s="7">
        <f>IF($B40="","",IFERROR(INDEX('Challan Master'!$AA$4:$AA$207,MATCH($B40,'Challan Master'!$S$4:$S$207,0)),""))</f>
      </c>
    </row>
    <row r="41" spans="1:22" x14ac:dyDescent="0.25">
      <c r="A41" s="7">
        <f>IF($C41="","",COUNTIF($C$4:$C41,"&lt;&gt;"))</f>
      </c>
      <c r="B41" s="8"/>
      <c r="C41" s="8"/>
      <c r="D41" s="8"/>
      <c r="E41" s="7">
        <f>IF($C41="","",IF(AND(LEN(TRIM(UPPER(D41)))=10,CODE(MID(TRIM(UPPER(D41)),1,1))&gt;=65,CODE(MID(TRIM(UPPER(D41)),1,1))&lt;=90,CODE(MID(TRIM(UPPER(D41)),2,1))&gt;=65,CODE(MID(TRIM(UPPER(D41)),2,1))&lt;=90,CODE(MID(TRIM(UPPER(D41)),3,1))&gt;=65,CODE(MID(TRIM(UPPER(D41)),3,1))&lt;=90,CODE(MID(TRIM(UPPER(D41)),4,1))&gt;=65,CODE(MID(TRIM(UPPER(D41)),4,1))&lt;=90,CODE(MID(TRIM(UPPER(D41)),5,1))&gt;=65,CODE(MID(TRIM(UPPER(D41)),5,1))&lt;=90,CODE(MID(TRIM(UPPER(D41)),10,1))&gt;=65,CODE(MID(TRIM(UPPER(D41)),10,1))&lt;=90,CODE(MID(TRIM(UPPER(D41)),6,1))&gt;=48,CODE(MID(TRIM(UPPER(D41)),6,1))&lt;=57,CODE(MID(TRIM(UPPER(D41)),7,1))&gt;=48,CODE(MID(TRIM(UPPER(D41)),7,1))&lt;=57,CODE(MID(TRIM(UPPER(D41)),8,1))&gt;=48,CODE(MID(TRIM(UPPER(D41)),8,1))&lt;=57,CODE(MID(TRIM(UPPER(D41)),9,1))&gt;=48,CODE(MID(TRIM(UPPER(D41)),9,1))&lt;=57),"N","Y"))</f>
      </c>
      <c r="F41" s="7">
        <f>IF($C41="","",IF(LEN(D41)&lt;4,"",IF(UPPER(MID(D41,4,1))="P","Individual",IF(UPPER(MID(D41,4,1))="H","HUF",IF(UPPER(MID(D41,4,1))="C","Company",IF(UPPER(MID(D41,4,1))="F","Firm",IF(UPPER(MID(D41,4,1))="L","LLP",IF(UPPER(MID(D41,4,1))="T","Trust",IF(UPPER(MID(D41,4,1))="A","AOP","")))))))))</f>
      </c>
      <c r="G41" s="8"/>
      <c r="H41" s="7">
        <f>IF($C41="","",IF(R41&lt;&gt;"",R41,IF(G41="","",IF(E41="Y",SUMPRODUCT(('Rate Lookup'!$A$1:$A$37=G41)*'Rate Lookup'!$D$1:$D$37),IF(OR(F41="Individual",F41="HUF"),SUMPRODUCT(('Rate Lookup'!$A$1:$A$37=G41)*'Rate Lookup'!$B$1:$B$37),SUMPRODUCT(('Rate Lookup'!$A$1:$A$37=G41)*'Rate Lookup'!$C$1:$C$37)))))))</f>
      </c>
      <c r="I41" s="8"/>
      <c r="J41" s="8"/>
      <c r="K41" s="7">
        <f>IF($C41="","",IF(OR(P41="B",P41="D",P41="E",P41="N",P41="O",P41="P",P41="Q",P41="S",P41="Y",P41="Z"),0,ROUND(J41*H41/100,0)))</f>
      </c>
      <c r="L41" s="7">
        <f>IF($C41="","",0)</f>
      </c>
      <c r="M41" s="7">
        <f>IF($C41="","",0)</f>
      </c>
      <c r="N41" s="7">
        <f>IF($C41="","",IF(OR(K41=0,I41="",IFERROR(INDEX('Challan Master'!$D$4:$D$207,MATCH($B41,'Challan Master'!$S$4:$S$207,0)),"")="",IFERROR(INDEX('Challan Master'!$D$4:$D$207,MATCH($B41,'Challan Master'!$S$4:$S$207,0)),"")&lt;=0),0,IF(IFERROR(INDEX('Challan Master'!$D$4:$D$207,MATCH($B41,'Challan Master'!$S$4:$S$207,0)),"")&lt;=DATE(YEAR(I41),MONTH(I41)+1,7),0,ROUND(K41*0.015*((YEAR(IFERROR(INDEX('Challan Master'!$D$4:$D$207,MATCH($B41,'Challan Master'!$S$4:$S$207,0)),""))-YEAR(I41))*12+(MONTH(IFERROR(INDEX('Challan Master'!$D$4:$D$207,MATCH($B41,'Challan Master'!$S$4:$S$207,0)),""))-MONTH(I41))+1),0))))</f>
      </c>
      <c r="O41" s="7">
        <f>IF($C41="","",0)</f>
      </c>
      <c r="P41" s="8"/>
      <c r="Q41" s="8"/>
      <c r="R41" s="8"/>
      <c r="S41" s="8"/>
      <c r="T41" s="8"/>
      <c r="U41" s="7">
        <f>IF($B41="","",IFERROR(INDEX('Challan Master'!$AA$4:$AA$207,MATCH($B41,'Challan Master'!$S$4:$S$207,0)),""))</f>
      </c>
    </row>
    <row r="42" spans="1:22" x14ac:dyDescent="0.25">
      <c r="A42" s="7">
        <f>IF($C42="","",COUNTIF($C$4:$C42,"&lt;&gt;"))</f>
      </c>
      <c r="B42" s="8"/>
      <c r="C42" s="8"/>
      <c r="D42" s="8"/>
      <c r="E42" s="7">
        <f>IF($C42="","",IF(AND(LEN(TRIM(UPPER(D42)))=10,CODE(MID(TRIM(UPPER(D42)),1,1))&gt;=65,CODE(MID(TRIM(UPPER(D42)),1,1))&lt;=90,CODE(MID(TRIM(UPPER(D42)),2,1))&gt;=65,CODE(MID(TRIM(UPPER(D42)),2,1))&lt;=90,CODE(MID(TRIM(UPPER(D42)),3,1))&gt;=65,CODE(MID(TRIM(UPPER(D42)),3,1))&lt;=90,CODE(MID(TRIM(UPPER(D42)),4,1))&gt;=65,CODE(MID(TRIM(UPPER(D42)),4,1))&lt;=90,CODE(MID(TRIM(UPPER(D42)),5,1))&gt;=65,CODE(MID(TRIM(UPPER(D42)),5,1))&lt;=90,CODE(MID(TRIM(UPPER(D42)),10,1))&gt;=65,CODE(MID(TRIM(UPPER(D42)),10,1))&lt;=90,CODE(MID(TRIM(UPPER(D42)),6,1))&gt;=48,CODE(MID(TRIM(UPPER(D42)),6,1))&lt;=57,CODE(MID(TRIM(UPPER(D42)),7,1))&gt;=48,CODE(MID(TRIM(UPPER(D42)),7,1))&lt;=57,CODE(MID(TRIM(UPPER(D42)),8,1))&gt;=48,CODE(MID(TRIM(UPPER(D42)),8,1))&lt;=57,CODE(MID(TRIM(UPPER(D42)),9,1))&gt;=48,CODE(MID(TRIM(UPPER(D42)),9,1))&lt;=57),"N","Y"))</f>
      </c>
      <c r="F42" s="7">
        <f>IF($C42="","",IF(LEN(D42)&lt;4,"",IF(UPPER(MID(D42,4,1))="P","Individual",IF(UPPER(MID(D42,4,1))="H","HUF",IF(UPPER(MID(D42,4,1))="C","Company",IF(UPPER(MID(D42,4,1))="F","Firm",IF(UPPER(MID(D42,4,1))="L","LLP",IF(UPPER(MID(D42,4,1))="T","Trust",IF(UPPER(MID(D42,4,1))="A","AOP","")))))))))</f>
      </c>
      <c r="G42" s="8"/>
      <c r="H42" s="7">
        <f>IF($C42="","",IF(R42&lt;&gt;"",R42,IF(G42="","",IF(E42="Y",SUMPRODUCT(('Rate Lookup'!$A$1:$A$37=G42)*'Rate Lookup'!$D$1:$D$37),IF(OR(F42="Individual",F42="HUF"),SUMPRODUCT(('Rate Lookup'!$A$1:$A$37=G42)*'Rate Lookup'!$B$1:$B$37),SUMPRODUCT(('Rate Lookup'!$A$1:$A$37=G42)*'Rate Lookup'!$C$1:$C$37)))))))</f>
      </c>
      <c r="I42" s="8"/>
      <c r="J42" s="8"/>
      <c r="K42" s="7">
        <f>IF($C42="","",IF(OR(P42="B",P42="D",P42="E",P42="N",P42="O",P42="P",P42="Q",P42="S",P42="Y",P42="Z"),0,ROUND(J42*H42/100,0)))</f>
      </c>
      <c r="L42" s="7">
        <f>IF($C42="","",0)</f>
      </c>
      <c r="M42" s="7">
        <f>IF($C42="","",0)</f>
      </c>
      <c r="N42" s="7">
        <f>IF($C42="","",IF(OR(K42=0,I42="",IFERROR(INDEX('Challan Master'!$D$4:$D$207,MATCH($B42,'Challan Master'!$S$4:$S$207,0)),"")="",IFERROR(INDEX('Challan Master'!$D$4:$D$207,MATCH($B42,'Challan Master'!$S$4:$S$207,0)),"")&lt;=0),0,IF(IFERROR(INDEX('Challan Master'!$D$4:$D$207,MATCH($B42,'Challan Master'!$S$4:$S$207,0)),"")&lt;=DATE(YEAR(I42),MONTH(I42)+1,7),0,ROUND(K42*0.015*((YEAR(IFERROR(INDEX('Challan Master'!$D$4:$D$207,MATCH($B42,'Challan Master'!$S$4:$S$207,0)),""))-YEAR(I42))*12+(MONTH(IFERROR(INDEX('Challan Master'!$D$4:$D$207,MATCH($B42,'Challan Master'!$S$4:$S$207,0)),""))-MONTH(I42))+1),0))))</f>
      </c>
      <c r="O42" s="7">
        <f>IF($C42="","",0)</f>
      </c>
      <c r="P42" s="8"/>
      <c r="Q42" s="8"/>
      <c r="R42" s="8"/>
      <c r="S42" s="8"/>
      <c r="T42" s="8"/>
      <c r="U42" s="7">
        <f>IF($B42="","",IFERROR(INDEX('Challan Master'!$AA$4:$AA$207,MATCH($B42,'Challan Master'!$S$4:$S$207,0)),""))</f>
      </c>
    </row>
    <row r="43" spans="1:22" x14ac:dyDescent="0.25">
      <c r="A43" s="7">
        <f>IF($C43="","",COUNTIF($C$4:$C43,"&lt;&gt;"))</f>
      </c>
      <c r="B43" s="8"/>
      <c r="C43" s="8"/>
      <c r="D43" s="8"/>
      <c r="E43" s="7">
        <f>IF($C43="","",IF(AND(LEN(TRIM(UPPER(D43)))=10,CODE(MID(TRIM(UPPER(D43)),1,1))&gt;=65,CODE(MID(TRIM(UPPER(D43)),1,1))&lt;=90,CODE(MID(TRIM(UPPER(D43)),2,1))&gt;=65,CODE(MID(TRIM(UPPER(D43)),2,1))&lt;=90,CODE(MID(TRIM(UPPER(D43)),3,1))&gt;=65,CODE(MID(TRIM(UPPER(D43)),3,1))&lt;=90,CODE(MID(TRIM(UPPER(D43)),4,1))&gt;=65,CODE(MID(TRIM(UPPER(D43)),4,1))&lt;=90,CODE(MID(TRIM(UPPER(D43)),5,1))&gt;=65,CODE(MID(TRIM(UPPER(D43)),5,1))&lt;=90,CODE(MID(TRIM(UPPER(D43)),10,1))&gt;=65,CODE(MID(TRIM(UPPER(D43)),10,1))&lt;=90,CODE(MID(TRIM(UPPER(D43)),6,1))&gt;=48,CODE(MID(TRIM(UPPER(D43)),6,1))&lt;=57,CODE(MID(TRIM(UPPER(D43)),7,1))&gt;=48,CODE(MID(TRIM(UPPER(D43)),7,1))&lt;=57,CODE(MID(TRIM(UPPER(D43)),8,1))&gt;=48,CODE(MID(TRIM(UPPER(D43)),8,1))&lt;=57,CODE(MID(TRIM(UPPER(D43)),9,1))&gt;=48,CODE(MID(TRIM(UPPER(D43)),9,1))&lt;=57),"N","Y"))</f>
      </c>
      <c r="F43" s="7">
        <f>IF($C43="","",IF(LEN(D43)&lt;4,"",IF(UPPER(MID(D43,4,1))="P","Individual",IF(UPPER(MID(D43,4,1))="H","HUF",IF(UPPER(MID(D43,4,1))="C","Company",IF(UPPER(MID(D43,4,1))="F","Firm",IF(UPPER(MID(D43,4,1))="L","LLP",IF(UPPER(MID(D43,4,1))="T","Trust",IF(UPPER(MID(D43,4,1))="A","AOP","")))))))))</f>
      </c>
      <c r="G43" s="8"/>
      <c r="H43" s="7">
        <f>IF($C43="","",IF(R43&lt;&gt;"",R43,IF(G43="","",IF(E43="Y",SUMPRODUCT(('Rate Lookup'!$A$1:$A$37=G43)*'Rate Lookup'!$D$1:$D$37),IF(OR(F43="Individual",F43="HUF"),SUMPRODUCT(('Rate Lookup'!$A$1:$A$37=G43)*'Rate Lookup'!$B$1:$B$37),SUMPRODUCT(('Rate Lookup'!$A$1:$A$37=G43)*'Rate Lookup'!$C$1:$C$37)))))))</f>
      </c>
      <c r="I43" s="8"/>
      <c r="J43" s="8"/>
      <c r="K43" s="7">
        <f>IF($C43="","",IF(OR(P43="B",P43="D",P43="E",P43="N",P43="O",P43="P",P43="Q",P43="S",P43="Y",P43="Z"),0,ROUND(J43*H43/100,0)))</f>
      </c>
      <c r="L43" s="7">
        <f>IF($C43="","",0)</f>
      </c>
      <c r="M43" s="7">
        <f>IF($C43="","",0)</f>
      </c>
      <c r="N43" s="7">
        <f>IF($C43="","",IF(OR(K43=0,I43="",IFERROR(INDEX('Challan Master'!$D$4:$D$207,MATCH($B43,'Challan Master'!$S$4:$S$207,0)),"")="",IFERROR(INDEX('Challan Master'!$D$4:$D$207,MATCH($B43,'Challan Master'!$S$4:$S$207,0)),"")&lt;=0),0,IF(IFERROR(INDEX('Challan Master'!$D$4:$D$207,MATCH($B43,'Challan Master'!$S$4:$S$207,0)),"")&lt;=DATE(YEAR(I43),MONTH(I43)+1,7),0,ROUND(K43*0.015*((YEAR(IFERROR(INDEX('Challan Master'!$D$4:$D$207,MATCH($B43,'Challan Master'!$S$4:$S$207,0)),""))-YEAR(I43))*12+(MONTH(IFERROR(INDEX('Challan Master'!$D$4:$D$207,MATCH($B43,'Challan Master'!$S$4:$S$207,0)),""))-MONTH(I43))+1),0))))</f>
      </c>
      <c r="O43" s="7">
        <f>IF($C43="","",0)</f>
      </c>
      <c r="P43" s="8"/>
      <c r="Q43" s="8"/>
      <c r="R43" s="8"/>
      <c r="S43" s="8"/>
      <c r="T43" s="8"/>
      <c r="U43" s="7">
        <f>IF($B43="","",IFERROR(INDEX('Challan Master'!$AA$4:$AA$207,MATCH($B43,'Challan Master'!$S$4:$S$207,0)),""))</f>
      </c>
    </row>
    <row r="44" spans="1:22" x14ac:dyDescent="0.25">
      <c r="A44" s="7">
        <f>IF($C44="","",COUNTIF($C$4:$C44,"&lt;&gt;"))</f>
      </c>
      <c r="B44" s="8"/>
      <c r="C44" s="8"/>
      <c r="D44" s="8"/>
      <c r="E44" s="7">
        <f>IF($C44="","",IF(AND(LEN(TRIM(UPPER(D44)))=10,CODE(MID(TRIM(UPPER(D44)),1,1))&gt;=65,CODE(MID(TRIM(UPPER(D44)),1,1))&lt;=90,CODE(MID(TRIM(UPPER(D44)),2,1))&gt;=65,CODE(MID(TRIM(UPPER(D44)),2,1))&lt;=90,CODE(MID(TRIM(UPPER(D44)),3,1))&gt;=65,CODE(MID(TRIM(UPPER(D44)),3,1))&lt;=90,CODE(MID(TRIM(UPPER(D44)),4,1))&gt;=65,CODE(MID(TRIM(UPPER(D44)),4,1))&lt;=90,CODE(MID(TRIM(UPPER(D44)),5,1))&gt;=65,CODE(MID(TRIM(UPPER(D44)),5,1))&lt;=90,CODE(MID(TRIM(UPPER(D44)),10,1))&gt;=65,CODE(MID(TRIM(UPPER(D44)),10,1))&lt;=90,CODE(MID(TRIM(UPPER(D44)),6,1))&gt;=48,CODE(MID(TRIM(UPPER(D44)),6,1))&lt;=57,CODE(MID(TRIM(UPPER(D44)),7,1))&gt;=48,CODE(MID(TRIM(UPPER(D44)),7,1))&lt;=57,CODE(MID(TRIM(UPPER(D44)),8,1))&gt;=48,CODE(MID(TRIM(UPPER(D44)),8,1))&lt;=57,CODE(MID(TRIM(UPPER(D44)),9,1))&gt;=48,CODE(MID(TRIM(UPPER(D44)),9,1))&lt;=57),"N","Y"))</f>
      </c>
      <c r="F44" s="7">
        <f>IF($C44="","",IF(LEN(D44)&lt;4,"",IF(UPPER(MID(D44,4,1))="P","Individual",IF(UPPER(MID(D44,4,1))="H","HUF",IF(UPPER(MID(D44,4,1))="C","Company",IF(UPPER(MID(D44,4,1))="F","Firm",IF(UPPER(MID(D44,4,1))="L","LLP",IF(UPPER(MID(D44,4,1))="T","Trust",IF(UPPER(MID(D44,4,1))="A","AOP","")))))))))</f>
      </c>
      <c r="G44" s="8"/>
      <c r="H44" s="7">
        <f>IF($C44="","",IF(R44&lt;&gt;"",R44,IF(G44="","",IF(E44="Y",SUMPRODUCT(('Rate Lookup'!$A$1:$A$37=G44)*'Rate Lookup'!$D$1:$D$37),IF(OR(F44="Individual",F44="HUF"),SUMPRODUCT(('Rate Lookup'!$A$1:$A$37=G44)*'Rate Lookup'!$B$1:$B$37),SUMPRODUCT(('Rate Lookup'!$A$1:$A$37=G44)*'Rate Lookup'!$C$1:$C$37)))))))</f>
      </c>
      <c r="I44" s="8"/>
      <c r="J44" s="8"/>
      <c r="K44" s="7">
        <f>IF($C44="","",IF(OR(P44="B",P44="D",P44="E",P44="N",P44="O",P44="P",P44="Q",P44="S",P44="Y",P44="Z"),0,ROUND(J44*H44/100,0)))</f>
      </c>
      <c r="L44" s="7">
        <f>IF($C44="","",0)</f>
      </c>
      <c r="M44" s="7">
        <f>IF($C44="","",0)</f>
      </c>
      <c r="N44" s="7">
        <f>IF($C44="","",IF(OR(K44=0,I44="",IFERROR(INDEX('Challan Master'!$D$4:$D$207,MATCH($B44,'Challan Master'!$S$4:$S$207,0)),"")="",IFERROR(INDEX('Challan Master'!$D$4:$D$207,MATCH($B44,'Challan Master'!$S$4:$S$207,0)),"")&lt;=0),0,IF(IFERROR(INDEX('Challan Master'!$D$4:$D$207,MATCH($B44,'Challan Master'!$S$4:$S$207,0)),"")&lt;=DATE(YEAR(I44),MONTH(I44)+1,7),0,ROUND(K44*0.015*((YEAR(IFERROR(INDEX('Challan Master'!$D$4:$D$207,MATCH($B44,'Challan Master'!$S$4:$S$207,0)),""))-YEAR(I44))*12+(MONTH(IFERROR(INDEX('Challan Master'!$D$4:$D$207,MATCH($B44,'Challan Master'!$S$4:$S$207,0)),""))-MONTH(I44))+1),0))))</f>
      </c>
      <c r="O44" s="7">
        <f>IF($C44="","",0)</f>
      </c>
      <c r="P44" s="8"/>
      <c r="Q44" s="8"/>
      <c r="R44" s="8"/>
      <c r="S44" s="8"/>
      <c r="T44" s="8"/>
      <c r="U44" s="7">
        <f>IF($B44="","",IFERROR(INDEX('Challan Master'!$AA$4:$AA$207,MATCH($B44,'Challan Master'!$S$4:$S$207,0)),""))</f>
      </c>
    </row>
    <row r="45" spans="1:22" x14ac:dyDescent="0.25">
      <c r="A45" s="7">
        <f>IF($C45="","",COUNTIF($C$4:$C45,"&lt;&gt;"))</f>
      </c>
      <c r="B45" s="8"/>
      <c r="C45" s="8"/>
      <c r="D45" s="8"/>
      <c r="E45" s="7">
        <f>IF($C45="","",IF(AND(LEN(TRIM(UPPER(D45)))=10,CODE(MID(TRIM(UPPER(D45)),1,1))&gt;=65,CODE(MID(TRIM(UPPER(D45)),1,1))&lt;=90,CODE(MID(TRIM(UPPER(D45)),2,1))&gt;=65,CODE(MID(TRIM(UPPER(D45)),2,1))&lt;=90,CODE(MID(TRIM(UPPER(D45)),3,1))&gt;=65,CODE(MID(TRIM(UPPER(D45)),3,1))&lt;=90,CODE(MID(TRIM(UPPER(D45)),4,1))&gt;=65,CODE(MID(TRIM(UPPER(D45)),4,1))&lt;=90,CODE(MID(TRIM(UPPER(D45)),5,1))&gt;=65,CODE(MID(TRIM(UPPER(D45)),5,1))&lt;=90,CODE(MID(TRIM(UPPER(D45)),10,1))&gt;=65,CODE(MID(TRIM(UPPER(D45)),10,1))&lt;=90,CODE(MID(TRIM(UPPER(D45)),6,1))&gt;=48,CODE(MID(TRIM(UPPER(D45)),6,1))&lt;=57,CODE(MID(TRIM(UPPER(D45)),7,1))&gt;=48,CODE(MID(TRIM(UPPER(D45)),7,1))&lt;=57,CODE(MID(TRIM(UPPER(D45)),8,1))&gt;=48,CODE(MID(TRIM(UPPER(D45)),8,1))&lt;=57,CODE(MID(TRIM(UPPER(D45)),9,1))&gt;=48,CODE(MID(TRIM(UPPER(D45)),9,1))&lt;=57),"N","Y"))</f>
      </c>
      <c r="F45" s="7">
        <f>IF($C45="","",IF(LEN(D45)&lt;4,"",IF(UPPER(MID(D45,4,1))="P","Individual",IF(UPPER(MID(D45,4,1))="H","HUF",IF(UPPER(MID(D45,4,1))="C","Company",IF(UPPER(MID(D45,4,1))="F","Firm",IF(UPPER(MID(D45,4,1))="L","LLP",IF(UPPER(MID(D45,4,1))="T","Trust",IF(UPPER(MID(D45,4,1))="A","AOP","")))))))))</f>
      </c>
      <c r="G45" s="8"/>
      <c r="H45" s="7">
        <f>IF($C45="","",IF(R45&lt;&gt;"",R45,IF(G45="","",IF(E45="Y",SUMPRODUCT(('Rate Lookup'!$A$1:$A$37=G45)*'Rate Lookup'!$D$1:$D$37),IF(OR(F45="Individual",F45="HUF"),SUMPRODUCT(('Rate Lookup'!$A$1:$A$37=G45)*'Rate Lookup'!$B$1:$B$37),SUMPRODUCT(('Rate Lookup'!$A$1:$A$37=G45)*'Rate Lookup'!$C$1:$C$37)))))))</f>
      </c>
      <c r="I45" s="8"/>
      <c r="J45" s="8"/>
      <c r="K45" s="7">
        <f>IF($C45="","",IF(OR(P45="B",P45="D",P45="E",P45="N",P45="O",P45="P",P45="Q",P45="S",P45="Y",P45="Z"),0,ROUND(J45*H45/100,0)))</f>
      </c>
      <c r="L45" s="7">
        <f>IF($C45="","",0)</f>
      </c>
      <c r="M45" s="7">
        <f>IF($C45="","",0)</f>
      </c>
      <c r="N45" s="7">
        <f>IF($C45="","",IF(OR(K45=0,I45="",IFERROR(INDEX('Challan Master'!$D$4:$D$207,MATCH($B45,'Challan Master'!$S$4:$S$207,0)),"")="",IFERROR(INDEX('Challan Master'!$D$4:$D$207,MATCH($B45,'Challan Master'!$S$4:$S$207,0)),"")&lt;=0),0,IF(IFERROR(INDEX('Challan Master'!$D$4:$D$207,MATCH($B45,'Challan Master'!$S$4:$S$207,0)),"")&lt;=DATE(YEAR(I45),MONTH(I45)+1,7),0,ROUND(K45*0.015*((YEAR(IFERROR(INDEX('Challan Master'!$D$4:$D$207,MATCH($B45,'Challan Master'!$S$4:$S$207,0)),""))-YEAR(I45))*12+(MONTH(IFERROR(INDEX('Challan Master'!$D$4:$D$207,MATCH($B45,'Challan Master'!$S$4:$S$207,0)),""))-MONTH(I45))+1),0))))</f>
      </c>
      <c r="O45" s="7">
        <f>IF($C45="","",0)</f>
      </c>
      <c r="P45" s="8"/>
      <c r="Q45" s="8"/>
      <c r="R45" s="8"/>
      <c r="S45" s="8"/>
      <c r="T45" s="8"/>
      <c r="U45" s="7">
        <f>IF($B45="","",IFERROR(INDEX('Challan Master'!$AA$4:$AA$207,MATCH($B45,'Challan Master'!$S$4:$S$207,0)),""))</f>
      </c>
    </row>
    <row r="46" spans="1:22" x14ac:dyDescent="0.25">
      <c r="A46" s="7">
        <f>IF($C46="","",COUNTIF($C$4:$C46,"&lt;&gt;"))</f>
      </c>
      <c r="B46" s="8"/>
      <c r="C46" s="8"/>
      <c r="D46" s="8"/>
      <c r="E46" s="7">
        <f>IF($C46="","",IF(AND(LEN(TRIM(UPPER(D46)))=10,CODE(MID(TRIM(UPPER(D46)),1,1))&gt;=65,CODE(MID(TRIM(UPPER(D46)),1,1))&lt;=90,CODE(MID(TRIM(UPPER(D46)),2,1))&gt;=65,CODE(MID(TRIM(UPPER(D46)),2,1))&lt;=90,CODE(MID(TRIM(UPPER(D46)),3,1))&gt;=65,CODE(MID(TRIM(UPPER(D46)),3,1))&lt;=90,CODE(MID(TRIM(UPPER(D46)),4,1))&gt;=65,CODE(MID(TRIM(UPPER(D46)),4,1))&lt;=90,CODE(MID(TRIM(UPPER(D46)),5,1))&gt;=65,CODE(MID(TRIM(UPPER(D46)),5,1))&lt;=90,CODE(MID(TRIM(UPPER(D46)),10,1))&gt;=65,CODE(MID(TRIM(UPPER(D46)),10,1))&lt;=90,CODE(MID(TRIM(UPPER(D46)),6,1))&gt;=48,CODE(MID(TRIM(UPPER(D46)),6,1))&lt;=57,CODE(MID(TRIM(UPPER(D46)),7,1))&gt;=48,CODE(MID(TRIM(UPPER(D46)),7,1))&lt;=57,CODE(MID(TRIM(UPPER(D46)),8,1))&gt;=48,CODE(MID(TRIM(UPPER(D46)),8,1))&lt;=57,CODE(MID(TRIM(UPPER(D46)),9,1))&gt;=48,CODE(MID(TRIM(UPPER(D46)),9,1))&lt;=57),"N","Y"))</f>
      </c>
      <c r="F46" s="7">
        <f>IF($C46="","",IF(LEN(D46)&lt;4,"",IF(UPPER(MID(D46,4,1))="P","Individual",IF(UPPER(MID(D46,4,1))="H","HUF",IF(UPPER(MID(D46,4,1))="C","Company",IF(UPPER(MID(D46,4,1))="F","Firm",IF(UPPER(MID(D46,4,1))="L","LLP",IF(UPPER(MID(D46,4,1))="T","Trust",IF(UPPER(MID(D46,4,1))="A","AOP","")))))))))</f>
      </c>
      <c r="G46" s="8"/>
      <c r="H46" s="7">
        <f>IF($C46="","",IF(R46&lt;&gt;"",R46,IF(G46="","",IF(E46="Y",SUMPRODUCT(('Rate Lookup'!$A$1:$A$37=G46)*'Rate Lookup'!$D$1:$D$37),IF(OR(F46="Individual",F46="HUF"),SUMPRODUCT(('Rate Lookup'!$A$1:$A$37=G46)*'Rate Lookup'!$B$1:$B$37),SUMPRODUCT(('Rate Lookup'!$A$1:$A$37=G46)*'Rate Lookup'!$C$1:$C$37)))))))</f>
      </c>
      <c r="I46" s="8"/>
      <c r="J46" s="8"/>
      <c r="K46" s="7">
        <f>IF($C46="","",IF(OR(P46="B",P46="D",P46="E",P46="N",P46="O",P46="P",P46="Q",P46="S",P46="Y",P46="Z"),0,ROUND(J46*H46/100,0)))</f>
      </c>
      <c r="L46" s="7">
        <f>IF($C46="","",0)</f>
      </c>
      <c r="M46" s="7">
        <f>IF($C46="","",0)</f>
      </c>
      <c r="N46" s="7">
        <f>IF($C46="","",IF(OR(K46=0,I46="",IFERROR(INDEX('Challan Master'!$D$4:$D$207,MATCH($B46,'Challan Master'!$S$4:$S$207,0)),"")="",IFERROR(INDEX('Challan Master'!$D$4:$D$207,MATCH($B46,'Challan Master'!$S$4:$S$207,0)),"")&lt;=0),0,IF(IFERROR(INDEX('Challan Master'!$D$4:$D$207,MATCH($B46,'Challan Master'!$S$4:$S$207,0)),"")&lt;=DATE(YEAR(I46),MONTH(I46)+1,7),0,ROUND(K46*0.015*((YEAR(IFERROR(INDEX('Challan Master'!$D$4:$D$207,MATCH($B46,'Challan Master'!$S$4:$S$207,0)),""))-YEAR(I46))*12+(MONTH(IFERROR(INDEX('Challan Master'!$D$4:$D$207,MATCH($B46,'Challan Master'!$S$4:$S$207,0)),""))-MONTH(I46))+1),0))))</f>
      </c>
      <c r="O46" s="7">
        <f>IF($C46="","",0)</f>
      </c>
      <c r="P46" s="8"/>
      <c r="Q46" s="8"/>
      <c r="R46" s="8"/>
      <c r="S46" s="8"/>
      <c r="T46" s="8"/>
      <c r="U46" s="7">
        <f>IF($B46="","",IFERROR(INDEX('Challan Master'!$AA$4:$AA$207,MATCH($B46,'Challan Master'!$S$4:$S$207,0)),""))</f>
      </c>
    </row>
    <row r="47" spans="1:22" x14ac:dyDescent="0.25">
      <c r="A47" s="7">
        <f>IF($C47="","",COUNTIF($C$4:$C47,"&lt;&gt;"))</f>
      </c>
      <c r="B47" s="8"/>
      <c r="C47" s="8"/>
      <c r="D47" s="8"/>
      <c r="E47" s="7">
        <f>IF($C47="","",IF(AND(LEN(TRIM(UPPER(D47)))=10,CODE(MID(TRIM(UPPER(D47)),1,1))&gt;=65,CODE(MID(TRIM(UPPER(D47)),1,1))&lt;=90,CODE(MID(TRIM(UPPER(D47)),2,1))&gt;=65,CODE(MID(TRIM(UPPER(D47)),2,1))&lt;=90,CODE(MID(TRIM(UPPER(D47)),3,1))&gt;=65,CODE(MID(TRIM(UPPER(D47)),3,1))&lt;=90,CODE(MID(TRIM(UPPER(D47)),4,1))&gt;=65,CODE(MID(TRIM(UPPER(D47)),4,1))&lt;=90,CODE(MID(TRIM(UPPER(D47)),5,1))&gt;=65,CODE(MID(TRIM(UPPER(D47)),5,1))&lt;=90,CODE(MID(TRIM(UPPER(D47)),10,1))&gt;=65,CODE(MID(TRIM(UPPER(D47)),10,1))&lt;=90,CODE(MID(TRIM(UPPER(D47)),6,1))&gt;=48,CODE(MID(TRIM(UPPER(D47)),6,1))&lt;=57,CODE(MID(TRIM(UPPER(D47)),7,1))&gt;=48,CODE(MID(TRIM(UPPER(D47)),7,1))&lt;=57,CODE(MID(TRIM(UPPER(D47)),8,1))&gt;=48,CODE(MID(TRIM(UPPER(D47)),8,1))&lt;=57,CODE(MID(TRIM(UPPER(D47)),9,1))&gt;=48,CODE(MID(TRIM(UPPER(D47)),9,1))&lt;=57),"N","Y"))</f>
      </c>
      <c r="F47" s="7">
        <f>IF($C47="","",IF(LEN(D47)&lt;4,"",IF(UPPER(MID(D47,4,1))="P","Individual",IF(UPPER(MID(D47,4,1))="H","HUF",IF(UPPER(MID(D47,4,1))="C","Company",IF(UPPER(MID(D47,4,1))="F","Firm",IF(UPPER(MID(D47,4,1))="L","LLP",IF(UPPER(MID(D47,4,1))="T","Trust",IF(UPPER(MID(D47,4,1))="A","AOP","")))))))))</f>
      </c>
      <c r="G47" s="8"/>
      <c r="H47" s="7">
        <f>IF($C47="","",IF(R47&lt;&gt;"",R47,IF(G47="","",IF(E47="Y",SUMPRODUCT(('Rate Lookup'!$A$1:$A$37=G47)*'Rate Lookup'!$D$1:$D$37),IF(OR(F47="Individual",F47="HUF"),SUMPRODUCT(('Rate Lookup'!$A$1:$A$37=G47)*'Rate Lookup'!$B$1:$B$37),SUMPRODUCT(('Rate Lookup'!$A$1:$A$37=G47)*'Rate Lookup'!$C$1:$C$37)))))))</f>
      </c>
      <c r="I47" s="8"/>
      <c r="J47" s="8"/>
      <c r="K47" s="7">
        <f>IF($C47="","",IF(OR(P47="B",P47="D",P47="E",P47="N",P47="O",P47="P",P47="Q",P47="S",P47="Y",P47="Z"),0,ROUND(J47*H47/100,0)))</f>
      </c>
      <c r="L47" s="7">
        <f>IF($C47="","",0)</f>
      </c>
      <c r="M47" s="7">
        <f>IF($C47="","",0)</f>
      </c>
      <c r="N47" s="7">
        <f>IF($C47="","",IF(OR(K47=0,I47="",IFERROR(INDEX('Challan Master'!$D$4:$D$207,MATCH($B47,'Challan Master'!$S$4:$S$207,0)),"")="",IFERROR(INDEX('Challan Master'!$D$4:$D$207,MATCH($B47,'Challan Master'!$S$4:$S$207,0)),"")&lt;=0),0,IF(IFERROR(INDEX('Challan Master'!$D$4:$D$207,MATCH($B47,'Challan Master'!$S$4:$S$207,0)),"")&lt;=DATE(YEAR(I47),MONTH(I47)+1,7),0,ROUND(K47*0.015*((YEAR(IFERROR(INDEX('Challan Master'!$D$4:$D$207,MATCH($B47,'Challan Master'!$S$4:$S$207,0)),""))-YEAR(I47))*12+(MONTH(IFERROR(INDEX('Challan Master'!$D$4:$D$207,MATCH($B47,'Challan Master'!$S$4:$S$207,0)),""))-MONTH(I47))+1),0))))</f>
      </c>
      <c r="O47" s="7">
        <f>IF($C47="","",0)</f>
      </c>
      <c r="P47" s="8"/>
      <c r="Q47" s="8"/>
      <c r="R47" s="8"/>
      <c r="S47" s="8"/>
      <c r="T47" s="8"/>
      <c r="U47" s="7">
        <f>IF($B47="","",IFERROR(INDEX('Challan Master'!$AA$4:$AA$207,MATCH($B47,'Challan Master'!$S$4:$S$207,0)),""))</f>
      </c>
    </row>
    <row r="48" spans="1:22" x14ac:dyDescent="0.25">
      <c r="A48" s="7">
        <f>IF($C48="","",COUNTIF($C$4:$C48,"&lt;&gt;"))</f>
      </c>
      <c r="B48" s="8"/>
      <c r="C48" s="8"/>
      <c r="D48" s="8"/>
      <c r="E48" s="7">
        <f>IF($C48="","",IF(AND(LEN(TRIM(UPPER(D48)))=10,CODE(MID(TRIM(UPPER(D48)),1,1))&gt;=65,CODE(MID(TRIM(UPPER(D48)),1,1))&lt;=90,CODE(MID(TRIM(UPPER(D48)),2,1))&gt;=65,CODE(MID(TRIM(UPPER(D48)),2,1))&lt;=90,CODE(MID(TRIM(UPPER(D48)),3,1))&gt;=65,CODE(MID(TRIM(UPPER(D48)),3,1))&lt;=90,CODE(MID(TRIM(UPPER(D48)),4,1))&gt;=65,CODE(MID(TRIM(UPPER(D48)),4,1))&lt;=90,CODE(MID(TRIM(UPPER(D48)),5,1))&gt;=65,CODE(MID(TRIM(UPPER(D48)),5,1))&lt;=90,CODE(MID(TRIM(UPPER(D48)),10,1))&gt;=65,CODE(MID(TRIM(UPPER(D48)),10,1))&lt;=90,CODE(MID(TRIM(UPPER(D48)),6,1))&gt;=48,CODE(MID(TRIM(UPPER(D48)),6,1))&lt;=57,CODE(MID(TRIM(UPPER(D48)),7,1))&gt;=48,CODE(MID(TRIM(UPPER(D48)),7,1))&lt;=57,CODE(MID(TRIM(UPPER(D48)),8,1))&gt;=48,CODE(MID(TRIM(UPPER(D48)),8,1))&lt;=57,CODE(MID(TRIM(UPPER(D48)),9,1))&gt;=48,CODE(MID(TRIM(UPPER(D48)),9,1))&lt;=57),"N","Y"))</f>
      </c>
      <c r="F48" s="7">
        <f>IF($C48="","",IF(LEN(D48)&lt;4,"",IF(UPPER(MID(D48,4,1))="P","Individual",IF(UPPER(MID(D48,4,1))="H","HUF",IF(UPPER(MID(D48,4,1))="C","Company",IF(UPPER(MID(D48,4,1))="F","Firm",IF(UPPER(MID(D48,4,1))="L","LLP",IF(UPPER(MID(D48,4,1))="T","Trust",IF(UPPER(MID(D48,4,1))="A","AOP","")))))))))</f>
      </c>
      <c r="G48" s="8"/>
      <c r="H48" s="7">
        <f>IF($C48="","",IF(R48&lt;&gt;"",R48,IF(G48="","",IF(E48="Y",SUMPRODUCT(('Rate Lookup'!$A$1:$A$37=G48)*'Rate Lookup'!$D$1:$D$37),IF(OR(F48="Individual",F48="HUF"),SUMPRODUCT(('Rate Lookup'!$A$1:$A$37=G48)*'Rate Lookup'!$B$1:$B$37),SUMPRODUCT(('Rate Lookup'!$A$1:$A$37=G48)*'Rate Lookup'!$C$1:$C$37)))))))</f>
      </c>
      <c r="I48" s="8"/>
      <c r="J48" s="8"/>
      <c r="K48" s="7">
        <f>IF($C48="","",IF(OR(P48="B",P48="D",P48="E",P48="N",P48="O",P48="P",P48="Q",P48="S",P48="Y",P48="Z"),0,ROUND(J48*H48/100,0)))</f>
      </c>
      <c r="L48" s="7">
        <f>IF($C48="","",0)</f>
      </c>
      <c r="M48" s="7">
        <f>IF($C48="","",0)</f>
      </c>
      <c r="N48" s="7">
        <f>IF($C48="","",IF(OR(K48=0,I48="",IFERROR(INDEX('Challan Master'!$D$4:$D$207,MATCH($B48,'Challan Master'!$S$4:$S$207,0)),"")="",IFERROR(INDEX('Challan Master'!$D$4:$D$207,MATCH($B48,'Challan Master'!$S$4:$S$207,0)),"")&lt;=0),0,IF(IFERROR(INDEX('Challan Master'!$D$4:$D$207,MATCH($B48,'Challan Master'!$S$4:$S$207,0)),"")&lt;=DATE(YEAR(I48),MONTH(I48)+1,7),0,ROUND(K48*0.015*((YEAR(IFERROR(INDEX('Challan Master'!$D$4:$D$207,MATCH($B48,'Challan Master'!$S$4:$S$207,0)),""))-YEAR(I48))*12+(MONTH(IFERROR(INDEX('Challan Master'!$D$4:$D$207,MATCH($B48,'Challan Master'!$S$4:$S$207,0)),""))-MONTH(I48))+1),0))))</f>
      </c>
      <c r="O48" s="7">
        <f>IF($C48="","",0)</f>
      </c>
      <c r="P48" s="8"/>
      <c r="Q48" s="8"/>
      <c r="R48" s="8"/>
      <c r="S48" s="8"/>
      <c r="T48" s="8"/>
      <c r="U48" s="7">
        <f>IF($B48="","",IFERROR(INDEX('Challan Master'!$AA$4:$AA$207,MATCH($B48,'Challan Master'!$S$4:$S$207,0)),""))</f>
      </c>
    </row>
    <row r="49" spans="1:22" x14ac:dyDescent="0.25">
      <c r="A49" s="7">
        <f>IF($C49="","",COUNTIF($C$4:$C49,"&lt;&gt;"))</f>
      </c>
      <c r="B49" s="8"/>
      <c r="C49" s="8"/>
      <c r="D49" s="8"/>
      <c r="E49" s="7">
        <f>IF($C49="","",IF(AND(LEN(TRIM(UPPER(D49)))=10,CODE(MID(TRIM(UPPER(D49)),1,1))&gt;=65,CODE(MID(TRIM(UPPER(D49)),1,1))&lt;=90,CODE(MID(TRIM(UPPER(D49)),2,1))&gt;=65,CODE(MID(TRIM(UPPER(D49)),2,1))&lt;=90,CODE(MID(TRIM(UPPER(D49)),3,1))&gt;=65,CODE(MID(TRIM(UPPER(D49)),3,1))&lt;=90,CODE(MID(TRIM(UPPER(D49)),4,1))&gt;=65,CODE(MID(TRIM(UPPER(D49)),4,1))&lt;=90,CODE(MID(TRIM(UPPER(D49)),5,1))&gt;=65,CODE(MID(TRIM(UPPER(D49)),5,1))&lt;=90,CODE(MID(TRIM(UPPER(D49)),10,1))&gt;=65,CODE(MID(TRIM(UPPER(D49)),10,1))&lt;=90,CODE(MID(TRIM(UPPER(D49)),6,1))&gt;=48,CODE(MID(TRIM(UPPER(D49)),6,1))&lt;=57,CODE(MID(TRIM(UPPER(D49)),7,1))&gt;=48,CODE(MID(TRIM(UPPER(D49)),7,1))&lt;=57,CODE(MID(TRIM(UPPER(D49)),8,1))&gt;=48,CODE(MID(TRIM(UPPER(D49)),8,1))&lt;=57,CODE(MID(TRIM(UPPER(D49)),9,1))&gt;=48,CODE(MID(TRIM(UPPER(D49)),9,1))&lt;=57),"N","Y"))</f>
      </c>
      <c r="F49" s="7">
        <f>IF($C49="","",IF(LEN(D49)&lt;4,"",IF(UPPER(MID(D49,4,1))="P","Individual",IF(UPPER(MID(D49,4,1))="H","HUF",IF(UPPER(MID(D49,4,1))="C","Company",IF(UPPER(MID(D49,4,1))="F","Firm",IF(UPPER(MID(D49,4,1))="L","LLP",IF(UPPER(MID(D49,4,1))="T","Trust",IF(UPPER(MID(D49,4,1))="A","AOP","")))))))))</f>
      </c>
      <c r="G49" s="8"/>
      <c r="H49" s="7">
        <f>IF($C49="","",IF(R49&lt;&gt;"",R49,IF(G49="","",IF(E49="Y",SUMPRODUCT(('Rate Lookup'!$A$1:$A$37=G49)*'Rate Lookup'!$D$1:$D$37),IF(OR(F49="Individual",F49="HUF"),SUMPRODUCT(('Rate Lookup'!$A$1:$A$37=G49)*'Rate Lookup'!$B$1:$B$37),SUMPRODUCT(('Rate Lookup'!$A$1:$A$37=G49)*'Rate Lookup'!$C$1:$C$37)))))))</f>
      </c>
      <c r="I49" s="8"/>
      <c r="J49" s="8"/>
      <c r="K49" s="7">
        <f>IF($C49="","",IF(OR(P49="B",P49="D",P49="E",P49="N",P49="O",P49="P",P49="Q",P49="S",P49="Y",P49="Z"),0,ROUND(J49*H49/100,0)))</f>
      </c>
      <c r="L49" s="7">
        <f>IF($C49="","",0)</f>
      </c>
      <c r="M49" s="7">
        <f>IF($C49="","",0)</f>
      </c>
      <c r="N49" s="7">
        <f>IF($C49="","",IF(OR(K49=0,I49="",IFERROR(INDEX('Challan Master'!$D$4:$D$207,MATCH($B49,'Challan Master'!$S$4:$S$207,0)),"")="",IFERROR(INDEX('Challan Master'!$D$4:$D$207,MATCH($B49,'Challan Master'!$S$4:$S$207,0)),"")&lt;=0),0,IF(IFERROR(INDEX('Challan Master'!$D$4:$D$207,MATCH($B49,'Challan Master'!$S$4:$S$207,0)),"")&lt;=DATE(YEAR(I49),MONTH(I49)+1,7),0,ROUND(K49*0.015*((YEAR(IFERROR(INDEX('Challan Master'!$D$4:$D$207,MATCH($B49,'Challan Master'!$S$4:$S$207,0)),""))-YEAR(I49))*12+(MONTH(IFERROR(INDEX('Challan Master'!$D$4:$D$207,MATCH($B49,'Challan Master'!$S$4:$S$207,0)),""))-MONTH(I49))+1),0))))</f>
      </c>
      <c r="O49" s="7">
        <f>IF($C49="","",0)</f>
      </c>
      <c r="P49" s="8"/>
      <c r="Q49" s="8"/>
      <c r="R49" s="8"/>
      <c r="S49" s="8"/>
      <c r="T49" s="8"/>
      <c r="U49" s="7">
        <f>IF($B49="","",IFERROR(INDEX('Challan Master'!$AA$4:$AA$207,MATCH($B49,'Challan Master'!$S$4:$S$207,0)),""))</f>
      </c>
    </row>
    <row r="50" spans="1:22" x14ac:dyDescent="0.25">
      <c r="A50" s="7">
        <f>IF($C50="","",COUNTIF($C$4:$C50,"&lt;&gt;"))</f>
      </c>
      <c r="B50" s="8"/>
      <c r="C50" s="8"/>
      <c r="D50" s="8"/>
      <c r="E50" s="7">
        <f>IF($C50="","",IF(AND(LEN(TRIM(UPPER(D50)))=10,CODE(MID(TRIM(UPPER(D50)),1,1))&gt;=65,CODE(MID(TRIM(UPPER(D50)),1,1))&lt;=90,CODE(MID(TRIM(UPPER(D50)),2,1))&gt;=65,CODE(MID(TRIM(UPPER(D50)),2,1))&lt;=90,CODE(MID(TRIM(UPPER(D50)),3,1))&gt;=65,CODE(MID(TRIM(UPPER(D50)),3,1))&lt;=90,CODE(MID(TRIM(UPPER(D50)),4,1))&gt;=65,CODE(MID(TRIM(UPPER(D50)),4,1))&lt;=90,CODE(MID(TRIM(UPPER(D50)),5,1))&gt;=65,CODE(MID(TRIM(UPPER(D50)),5,1))&lt;=90,CODE(MID(TRIM(UPPER(D50)),10,1))&gt;=65,CODE(MID(TRIM(UPPER(D50)),10,1))&lt;=90,CODE(MID(TRIM(UPPER(D50)),6,1))&gt;=48,CODE(MID(TRIM(UPPER(D50)),6,1))&lt;=57,CODE(MID(TRIM(UPPER(D50)),7,1))&gt;=48,CODE(MID(TRIM(UPPER(D50)),7,1))&lt;=57,CODE(MID(TRIM(UPPER(D50)),8,1))&gt;=48,CODE(MID(TRIM(UPPER(D50)),8,1))&lt;=57,CODE(MID(TRIM(UPPER(D50)),9,1))&gt;=48,CODE(MID(TRIM(UPPER(D50)),9,1))&lt;=57),"N","Y"))</f>
      </c>
      <c r="F50" s="7">
        <f>IF($C50="","",IF(LEN(D50)&lt;4,"",IF(UPPER(MID(D50,4,1))="P","Individual",IF(UPPER(MID(D50,4,1))="H","HUF",IF(UPPER(MID(D50,4,1))="C","Company",IF(UPPER(MID(D50,4,1))="F","Firm",IF(UPPER(MID(D50,4,1))="L","LLP",IF(UPPER(MID(D50,4,1))="T","Trust",IF(UPPER(MID(D50,4,1))="A","AOP","")))))))))</f>
      </c>
      <c r="G50" s="8"/>
      <c r="H50" s="7">
        <f>IF($C50="","",IF(R50&lt;&gt;"",R50,IF(G50="","",IF(E50="Y",SUMPRODUCT(('Rate Lookup'!$A$1:$A$37=G50)*'Rate Lookup'!$D$1:$D$37),IF(OR(F50="Individual",F50="HUF"),SUMPRODUCT(('Rate Lookup'!$A$1:$A$37=G50)*'Rate Lookup'!$B$1:$B$37),SUMPRODUCT(('Rate Lookup'!$A$1:$A$37=G50)*'Rate Lookup'!$C$1:$C$37)))))))</f>
      </c>
      <c r="I50" s="8"/>
      <c r="J50" s="8"/>
      <c r="K50" s="7">
        <f>IF($C50="","",IF(OR(P50="B",P50="D",P50="E",P50="N",P50="O",P50="P",P50="Q",P50="S",P50="Y",P50="Z"),0,ROUND(J50*H50/100,0)))</f>
      </c>
      <c r="L50" s="7">
        <f>IF($C50="","",0)</f>
      </c>
      <c r="M50" s="7">
        <f>IF($C50="","",0)</f>
      </c>
      <c r="N50" s="7">
        <f>IF($C50="","",IF(OR(K50=0,I50="",IFERROR(INDEX('Challan Master'!$D$4:$D$207,MATCH($B50,'Challan Master'!$S$4:$S$207,0)),"")="",IFERROR(INDEX('Challan Master'!$D$4:$D$207,MATCH($B50,'Challan Master'!$S$4:$S$207,0)),"")&lt;=0),0,IF(IFERROR(INDEX('Challan Master'!$D$4:$D$207,MATCH($B50,'Challan Master'!$S$4:$S$207,0)),"")&lt;=DATE(YEAR(I50),MONTH(I50)+1,7),0,ROUND(K50*0.015*((YEAR(IFERROR(INDEX('Challan Master'!$D$4:$D$207,MATCH($B50,'Challan Master'!$S$4:$S$207,0)),""))-YEAR(I50))*12+(MONTH(IFERROR(INDEX('Challan Master'!$D$4:$D$207,MATCH($B50,'Challan Master'!$S$4:$S$207,0)),""))-MONTH(I50))+1),0))))</f>
      </c>
      <c r="O50" s="7">
        <f>IF($C50="","",0)</f>
      </c>
      <c r="P50" s="8"/>
      <c r="Q50" s="8"/>
      <c r="R50" s="8"/>
      <c r="S50" s="8"/>
      <c r="T50" s="8"/>
      <c r="U50" s="7">
        <f>IF($B50="","",IFERROR(INDEX('Challan Master'!$AA$4:$AA$207,MATCH($B50,'Challan Master'!$S$4:$S$207,0)),""))</f>
      </c>
    </row>
    <row r="51" spans="1:22" x14ac:dyDescent="0.25">
      <c r="A51" s="7">
        <f>IF($C51="","",COUNTIF($C$4:$C51,"&lt;&gt;"))</f>
      </c>
      <c r="B51" s="8"/>
      <c r="C51" s="8"/>
      <c r="D51" s="8"/>
      <c r="E51" s="7">
        <f>IF($C51="","",IF(AND(LEN(TRIM(UPPER(D51)))=10,CODE(MID(TRIM(UPPER(D51)),1,1))&gt;=65,CODE(MID(TRIM(UPPER(D51)),1,1))&lt;=90,CODE(MID(TRIM(UPPER(D51)),2,1))&gt;=65,CODE(MID(TRIM(UPPER(D51)),2,1))&lt;=90,CODE(MID(TRIM(UPPER(D51)),3,1))&gt;=65,CODE(MID(TRIM(UPPER(D51)),3,1))&lt;=90,CODE(MID(TRIM(UPPER(D51)),4,1))&gt;=65,CODE(MID(TRIM(UPPER(D51)),4,1))&lt;=90,CODE(MID(TRIM(UPPER(D51)),5,1))&gt;=65,CODE(MID(TRIM(UPPER(D51)),5,1))&lt;=90,CODE(MID(TRIM(UPPER(D51)),10,1))&gt;=65,CODE(MID(TRIM(UPPER(D51)),10,1))&lt;=90,CODE(MID(TRIM(UPPER(D51)),6,1))&gt;=48,CODE(MID(TRIM(UPPER(D51)),6,1))&lt;=57,CODE(MID(TRIM(UPPER(D51)),7,1))&gt;=48,CODE(MID(TRIM(UPPER(D51)),7,1))&lt;=57,CODE(MID(TRIM(UPPER(D51)),8,1))&gt;=48,CODE(MID(TRIM(UPPER(D51)),8,1))&lt;=57,CODE(MID(TRIM(UPPER(D51)),9,1))&gt;=48,CODE(MID(TRIM(UPPER(D51)),9,1))&lt;=57),"N","Y"))</f>
      </c>
      <c r="F51" s="7">
        <f>IF($C51="","",IF(LEN(D51)&lt;4,"",IF(UPPER(MID(D51,4,1))="P","Individual",IF(UPPER(MID(D51,4,1))="H","HUF",IF(UPPER(MID(D51,4,1))="C","Company",IF(UPPER(MID(D51,4,1))="F","Firm",IF(UPPER(MID(D51,4,1))="L","LLP",IF(UPPER(MID(D51,4,1))="T","Trust",IF(UPPER(MID(D51,4,1))="A","AOP","")))))))))</f>
      </c>
      <c r="G51" s="8"/>
      <c r="H51" s="7">
        <f>IF($C51="","",IF(R51&lt;&gt;"",R51,IF(G51="","",IF(E51="Y",SUMPRODUCT(('Rate Lookup'!$A$1:$A$37=G51)*'Rate Lookup'!$D$1:$D$37),IF(OR(F51="Individual",F51="HUF"),SUMPRODUCT(('Rate Lookup'!$A$1:$A$37=G51)*'Rate Lookup'!$B$1:$B$37),SUMPRODUCT(('Rate Lookup'!$A$1:$A$37=G51)*'Rate Lookup'!$C$1:$C$37)))))))</f>
      </c>
      <c r="I51" s="8"/>
      <c r="J51" s="8"/>
      <c r="K51" s="7">
        <f>IF($C51="","",IF(OR(P51="B",P51="D",P51="E",P51="N",P51="O",P51="P",P51="Q",P51="S",P51="Y",P51="Z"),0,ROUND(J51*H51/100,0)))</f>
      </c>
      <c r="L51" s="7">
        <f>IF($C51="","",0)</f>
      </c>
      <c r="M51" s="7">
        <f>IF($C51="","",0)</f>
      </c>
      <c r="N51" s="7">
        <f>IF($C51="","",IF(OR(K51=0,I51="",IFERROR(INDEX('Challan Master'!$D$4:$D$207,MATCH($B51,'Challan Master'!$S$4:$S$207,0)),"")="",IFERROR(INDEX('Challan Master'!$D$4:$D$207,MATCH($B51,'Challan Master'!$S$4:$S$207,0)),"")&lt;=0),0,IF(IFERROR(INDEX('Challan Master'!$D$4:$D$207,MATCH($B51,'Challan Master'!$S$4:$S$207,0)),"")&lt;=DATE(YEAR(I51),MONTH(I51)+1,7),0,ROUND(K51*0.015*((YEAR(IFERROR(INDEX('Challan Master'!$D$4:$D$207,MATCH($B51,'Challan Master'!$S$4:$S$207,0)),""))-YEAR(I51))*12+(MONTH(IFERROR(INDEX('Challan Master'!$D$4:$D$207,MATCH($B51,'Challan Master'!$S$4:$S$207,0)),""))-MONTH(I51))+1),0))))</f>
      </c>
      <c r="O51" s="7">
        <f>IF($C51="","",0)</f>
      </c>
      <c r="P51" s="8"/>
      <c r="Q51" s="8"/>
      <c r="R51" s="8"/>
      <c r="S51" s="8"/>
      <c r="T51" s="8"/>
      <c r="U51" s="7">
        <f>IF($B51="","",IFERROR(INDEX('Challan Master'!$AA$4:$AA$207,MATCH($B51,'Challan Master'!$S$4:$S$207,0)),""))</f>
      </c>
    </row>
    <row r="52" spans="1:22" x14ac:dyDescent="0.25">
      <c r="A52" s="7">
        <f>IF($C52="","",COUNTIF($C$4:$C52,"&lt;&gt;"))</f>
      </c>
      <c r="B52" s="8"/>
      <c r="C52" s="8"/>
      <c r="D52" s="8"/>
      <c r="E52" s="7">
        <f>IF($C52="","",IF(AND(LEN(TRIM(UPPER(D52)))=10,CODE(MID(TRIM(UPPER(D52)),1,1))&gt;=65,CODE(MID(TRIM(UPPER(D52)),1,1))&lt;=90,CODE(MID(TRIM(UPPER(D52)),2,1))&gt;=65,CODE(MID(TRIM(UPPER(D52)),2,1))&lt;=90,CODE(MID(TRIM(UPPER(D52)),3,1))&gt;=65,CODE(MID(TRIM(UPPER(D52)),3,1))&lt;=90,CODE(MID(TRIM(UPPER(D52)),4,1))&gt;=65,CODE(MID(TRIM(UPPER(D52)),4,1))&lt;=90,CODE(MID(TRIM(UPPER(D52)),5,1))&gt;=65,CODE(MID(TRIM(UPPER(D52)),5,1))&lt;=90,CODE(MID(TRIM(UPPER(D52)),10,1))&gt;=65,CODE(MID(TRIM(UPPER(D52)),10,1))&lt;=90,CODE(MID(TRIM(UPPER(D52)),6,1))&gt;=48,CODE(MID(TRIM(UPPER(D52)),6,1))&lt;=57,CODE(MID(TRIM(UPPER(D52)),7,1))&gt;=48,CODE(MID(TRIM(UPPER(D52)),7,1))&lt;=57,CODE(MID(TRIM(UPPER(D52)),8,1))&gt;=48,CODE(MID(TRIM(UPPER(D52)),8,1))&lt;=57,CODE(MID(TRIM(UPPER(D52)),9,1))&gt;=48,CODE(MID(TRIM(UPPER(D52)),9,1))&lt;=57),"N","Y"))</f>
      </c>
      <c r="F52" s="7">
        <f>IF($C52="","",IF(LEN(D52)&lt;4,"",IF(UPPER(MID(D52,4,1))="P","Individual",IF(UPPER(MID(D52,4,1))="H","HUF",IF(UPPER(MID(D52,4,1))="C","Company",IF(UPPER(MID(D52,4,1))="F","Firm",IF(UPPER(MID(D52,4,1))="L","LLP",IF(UPPER(MID(D52,4,1))="T","Trust",IF(UPPER(MID(D52,4,1))="A","AOP","")))))))))</f>
      </c>
      <c r="G52" s="8"/>
      <c r="H52" s="7">
        <f>IF($C52="","",IF(R52&lt;&gt;"",R52,IF(G52="","",IF(E52="Y",SUMPRODUCT(('Rate Lookup'!$A$1:$A$37=G52)*'Rate Lookup'!$D$1:$D$37),IF(OR(F52="Individual",F52="HUF"),SUMPRODUCT(('Rate Lookup'!$A$1:$A$37=G52)*'Rate Lookup'!$B$1:$B$37),SUMPRODUCT(('Rate Lookup'!$A$1:$A$37=G52)*'Rate Lookup'!$C$1:$C$37)))))))</f>
      </c>
      <c r="I52" s="8"/>
      <c r="J52" s="8"/>
      <c r="K52" s="7">
        <f>IF($C52="","",IF(OR(P52="B",P52="D",P52="E",P52="N",P52="O",P52="P",P52="Q",P52="S",P52="Y",P52="Z"),0,ROUND(J52*H52/100,0)))</f>
      </c>
      <c r="L52" s="7">
        <f>IF($C52="","",0)</f>
      </c>
      <c r="M52" s="7">
        <f>IF($C52="","",0)</f>
      </c>
      <c r="N52" s="7">
        <f>IF($C52="","",IF(OR(K52=0,I52="",IFERROR(INDEX('Challan Master'!$D$4:$D$207,MATCH($B52,'Challan Master'!$S$4:$S$207,0)),"")="",IFERROR(INDEX('Challan Master'!$D$4:$D$207,MATCH($B52,'Challan Master'!$S$4:$S$207,0)),"")&lt;=0),0,IF(IFERROR(INDEX('Challan Master'!$D$4:$D$207,MATCH($B52,'Challan Master'!$S$4:$S$207,0)),"")&lt;=DATE(YEAR(I52),MONTH(I52)+1,7),0,ROUND(K52*0.015*((YEAR(IFERROR(INDEX('Challan Master'!$D$4:$D$207,MATCH($B52,'Challan Master'!$S$4:$S$207,0)),""))-YEAR(I52))*12+(MONTH(IFERROR(INDEX('Challan Master'!$D$4:$D$207,MATCH($B52,'Challan Master'!$S$4:$S$207,0)),""))-MONTH(I52))+1),0))))</f>
      </c>
      <c r="O52" s="7">
        <f>IF($C52="","",0)</f>
      </c>
      <c r="P52" s="8"/>
      <c r="Q52" s="8"/>
      <c r="R52" s="8"/>
      <c r="S52" s="8"/>
      <c r="T52" s="8"/>
      <c r="U52" s="7">
        <f>IF($B52="","",IFERROR(INDEX('Challan Master'!$AA$4:$AA$207,MATCH($B52,'Challan Master'!$S$4:$S$207,0)),""))</f>
      </c>
    </row>
    <row r="53" spans="1:22" x14ac:dyDescent="0.25">
      <c r="A53" s="7">
        <f>IF($C53="","",COUNTIF($C$4:$C53,"&lt;&gt;"))</f>
      </c>
      <c r="B53" s="8"/>
      <c r="C53" s="8"/>
      <c r="D53" s="8"/>
      <c r="E53" s="7">
        <f>IF($C53="","",IF(AND(LEN(TRIM(UPPER(D53)))=10,CODE(MID(TRIM(UPPER(D53)),1,1))&gt;=65,CODE(MID(TRIM(UPPER(D53)),1,1))&lt;=90,CODE(MID(TRIM(UPPER(D53)),2,1))&gt;=65,CODE(MID(TRIM(UPPER(D53)),2,1))&lt;=90,CODE(MID(TRIM(UPPER(D53)),3,1))&gt;=65,CODE(MID(TRIM(UPPER(D53)),3,1))&lt;=90,CODE(MID(TRIM(UPPER(D53)),4,1))&gt;=65,CODE(MID(TRIM(UPPER(D53)),4,1))&lt;=90,CODE(MID(TRIM(UPPER(D53)),5,1))&gt;=65,CODE(MID(TRIM(UPPER(D53)),5,1))&lt;=90,CODE(MID(TRIM(UPPER(D53)),10,1))&gt;=65,CODE(MID(TRIM(UPPER(D53)),10,1))&lt;=90,CODE(MID(TRIM(UPPER(D53)),6,1))&gt;=48,CODE(MID(TRIM(UPPER(D53)),6,1))&lt;=57,CODE(MID(TRIM(UPPER(D53)),7,1))&gt;=48,CODE(MID(TRIM(UPPER(D53)),7,1))&lt;=57,CODE(MID(TRIM(UPPER(D53)),8,1))&gt;=48,CODE(MID(TRIM(UPPER(D53)),8,1))&lt;=57,CODE(MID(TRIM(UPPER(D53)),9,1))&gt;=48,CODE(MID(TRIM(UPPER(D53)),9,1))&lt;=57),"N","Y"))</f>
      </c>
      <c r="F53" s="7">
        <f>IF($C53="","",IF(LEN(D53)&lt;4,"",IF(UPPER(MID(D53,4,1))="P","Individual",IF(UPPER(MID(D53,4,1))="H","HUF",IF(UPPER(MID(D53,4,1))="C","Company",IF(UPPER(MID(D53,4,1))="F","Firm",IF(UPPER(MID(D53,4,1))="L","LLP",IF(UPPER(MID(D53,4,1))="T","Trust",IF(UPPER(MID(D53,4,1))="A","AOP","")))))))))</f>
      </c>
      <c r="G53" s="8"/>
      <c r="H53" s="7">
        <f>IF($C53="","",IF(R53&lt;&gt;"",R53,IF(G53="","",IF(E53="Y",SUMPRODUCT(('Rate Lookup'!$A$1:$A$37=G53)*'Rate Lookup'!$D$1:$D$37),IF(OR(F53="Individual",F53="HUF"),SUMPRODUCT(('Rate Lookup'!$A$1:$A$37=G53)*'Rate Lookup'!$B$1:$B$37),SUMPRODUCT(('Rate Lookup'!$A$1:$A$37=G53)*'Rate Lookup'!$C$1:$C$37)))))))</f>
      </c>
      <c r="I53" s="8"/>
      <c r="J53" s="8"/>
      <c r="K53" s="7">
        <f>IF($C53="","",IF(OR(P53="B",P53="D",P53="E",P53="N",P53="O",P53="P",P53="Q",P53="S",P53="Y",P53="Z"),0,ROUND(J53*H53/100,0)))</f>
      </c>
      <c r="L53" s="7">
        <f>IF($C53="","",0)</f>
      </c>
      <c r="M53" s="7">
        <f>IF($C53="","",0)</f>
      </c>
      <c r="N53" s="7">
        <f>IF($C53="","",IF(OR(K53=0,I53="",IFERROR(INDEX('Challan Master'!$D$4:$D$207,MATCH($B53,'Challan Master'!$S$4:$S$207,0)),"")="",IFERROR(INDEX('Challan Master'!$D$4:$D$207,MATCH($B53,'Challan Master'!$S$4:$S$207,0)),"")&lt;=0),0,IF(IFERROR(INDEX('Challan Master'!$D$4:$D$207,MATCH($B53,'Challan Master'!$S$4:$S$207,0)),"")&lt;=DATE(YEAR(I53),MONTH(I53)+1,7),0,ROUND(K53*0.015*((YEAR(IFERROR(INDEX('Challan Master'!$D$4:$D$207,MATCH($B53,'Challan Master'!$S$4:$S$207,0)),""))-YEAR(I53))*12+(MONTH(IFERROR(INDEX('Challan Master'!$D$4:$D$207,MATCH($B53,'Challan Master'!$S$4:$S$207,0)),""))-MONTH(I53))+1),0))))</f>
      </c>
      <c r="O53" s="7">
        <f>IF($C53="","",0)</f>
      </c>
      <c r="P53" s="8"/>
      <c r="Q53" s="8"/>
      <c r="R53" s="8"/>
      <c r="S53" s="8"/>
      <c r="T53" s="8"/>
      <c r="U53" s="7">
        <f>IF($B53="","",IFERROR(INDEX('Challan Master'!$AA$4:$AA$207,MATCH($B53,'Challan Master'!$S$4:$S$207,0)),""))</f>
      </c>
    </row>
    <row r="54" spans="1:22" x14ac:dyDescent="0.25">
      <c r="A54" s="7">
        <f>IF($C54="","",COUNTIF($C$4:$C54,"&lt;&gt;"))</f>
      </c>
      <c r="B54" s="8"/>
      <c r="C54" s="8"/>
      <c r="D54" s="8"/>
      <c r="E54" s="7">
        <f>IF($C54="","",IF(AND(LEN(TRIM(UPPER(D54)))=10,CODE(MID(TRIM(UPPER(D54)),1,1))&gt;=65,CODE(MID(TRIM(UPPER(D54)),1,1))&lt;=90,CODE(MID(TRIM(UPPER(D54)),2,1))&gt;=65,CODE(MID(TRIM(UPPER(D54)),2,1))&lt;=90,CODE(MID(TRIM(UPPER(D54)),3,1))&gt;=65,CODE(MID(TRIM(UPPER(D54)),3,1))&lt;=90,CODE(MID(TRIM(UPPER(D54)),4,1))&gt;=65,CODE(MID(TRIM(UPPER(D54)),4,1))&lt;=90,CODE(MID(TRIM(UPPER(D54)),5,1))&gt;=65,CODE(MID(TRIM(UPPER(D54)),5,1))&lt;=90,CODE(MID(TRIM(UPPER(D54)),10,1))&gt;=65,CODE(MID(TRIM(UPPER(D54)),10,1))&lt;=90,CODE(MID(TRIM(UPPER(D54)),6,1))&gt;=48,CODE(MID(TRIM(UPPER(D54)),6,1))&lt;=57,CODE(MID(TRIM(UPPER(D54)),7,1))&gt;=48,CODE(MID(TRIM(UPPER(D54)),7,1))&lt;=57,CODE(MID(TRIM(UPPER(D54)),8,1))&gt;=48,CODE(MID(TRIM(UPPER(D54)),8,1))&lt;=57,CODE(MID(TRIM(UPPER(D54)),9,1))&gt;=48,CODE(MID(TRIM(UPPER(D54)),9,1))&lt;=57),"N","Y"))</f>
      </c>
      <c r="F54" s="7">
        <f>IF($C54="","",IF(LEN(D54)&lt;4,"",IF(UPPER(MID(D54,4,1))="P","Individual",IF(UPPER(MID(D54,4,1))="H","HUF",IF(UPPER(MID(D54,4,1))="C","Company",IF(UPPER(MID(D54,4,1))="F","Firm",IF(UPPER(MID(D54,4,1))="L","LLP",IF(UPPER(MID(D54,4,1))="T","Trust",IF(UPPER(MID(D54,4,1))="A","AOP","")))))))))</f>
      </c>
      <c r="G54" s="8"/>
      <c r="H54" s="7">
        <f>IF($C54="","",IF(R54&lt;&gt;"",R54,IF(G54="","",IF(E54="Y",SUMPRODUCT(('Rate Lookup'!$A$1:$A$37=G54)*'Rate Lookup'!$D$1:$D$37),IF(OR(F54="Individual",F54="HUF"),SUMPRODUCT(('Rate Lookup'!$A$1:$A$37=G54)*'Rate Lookup'!$B$1:$B$37),SUMPRODUCT(('Rate Lookup'!$A$1:$A$37=G54)*'Rate Lookup'!$C$1:$C$37)))))))</f>
      </c>
      <c r="I54" s="8"/>
      <c r="J54" s="8"/>
      <c r="K54" s="7">
        <f>IF($C54="","",IF(OR(P54="B",P54="D",P54="E",P54="N",P54="O",P54="P",P54="Q",P54="S",P54="Y",P54="Z"),0,ROUND(J54*H54/100,0)))</f>
      </c>
      <c r="L54" s="7">
        <f>IF($C54="","",0)</f>
      </c>
      <c r="M54" s="7">
        <f>IF($C54="","",0)</f>
      </c>
      <c r="N54" s="7">
        <f>IF($C54="","",IF(OR(K54=0,I54="",IFERROR(INDEX('Challan Master'!$D$4:$D$207,MATCH($B54,'Challan Master'!$S$4:$S$207,0)),"")="",IFERROR(INDEX('Challan Master'!$D$4:$D$207,MATCH($B54,'Challan Master'!$S$4:$S$207,0)),"")&lt;=0),0,IF(IFERROR(INDEX('Challan Master'!$D$4:$D$207,MATCH($B54,'Challan Master'!$S$4:$S$207,0)),"")&lt;=DATE(YEAR(I54),MONTH(I54)+1,7),0,ROUND(K54*0.015*((YEAR(IFERROR(INDEX('Challan Master'!$D$4:$D$207,MATCH($B54,'Challan Master'!$S$4:$S$207,0)),""))-YEAR(I54))*12+(MONTH(IFERROR(INDEX('Challan Master'!$D$4:$D$207,MATCH($B54,'Challan Master'!$S$4:$S$207,0)),""))-MONTH(I54))+1),0))))</f>
      </c>
      <c r="O54" s="7">
        <f>IF($C54="","",0)</f>
      </c>
      <c r="P54" s="8"/>
      <c r="Q54" s="8"/>
      <c r="R54" s="8"/>
      <c r="S54" s="8"/>
      <c r="T54" s="8"/>
      <c r="U54" s="7">
        <f>IF($B54="","",IFERROR(INDEX('Challan Master'!$AA$4:$AA$207,MATCH($B54,'Challan Master'!$S$4:$S$207,0)),""))</f>
      </c>
    </row>
    <row r="55" spans="1:22" x14ac:dyDescent="0.25">
      <c r="A55" s="7">
        <f>IF($C55="","",COUNTIF($C$4:$C55,"&lt;&gt;"))</f>
      </c>
      <c r="B55" s="8"/>
      <c r="C55" s="8"/>
      <c r="D55" s="8"/>
      <c r="E55" s="7">
        <f>IF($C55="","",IF(AND(LEN(TRIM(UPPER(D55)))=10,CODE(MID(TRIM(UPPER(D55)),1,1))&gt;=65,CODE(MID(TRIM(UPPER(D55)),1,1))&lt;=90,CODE(MID(TRIM(UPPER(D55)),2,1))&gt;=65,CODE(MID(TRIM(UPPER(D55)),2,1))&lt;=90,CODE(MID(TRIM(UPPER(D55)),3,1))&gt;=65,CODE(MID(TRIM(UPPER(D55)),3,1))&lt;=90,CODE(MID(TRIM(UPPER(D55)),4,1))&gt;=65,CODE(MID(TRIM(UPPER(D55)),4,1))&lt;=90,CODE(MID(TRIM(UPPER(D55)),5,1))&gt;=65,CODE(MID(TRIM(UPPER(D55)),5,1))&lt;=90,CODE(MID(TRIM(UPPER(D55)),10,1))&gt;=65,CODE(MID(TRIM(UPPER(D55)),10,1))&lt;=90,CODE(MID(TRIM(UPPER(D55)),6,1))&gt;=48,CODE(MID(TRIM(UPPER(D55)),6,1))&lt;=57,CODE(MID(TRIM(UPPER(D55)),7,1))&gt;=48,CODE(MID(TRIM(UPPER(D55)),7,1))&lt;=57,CODE(MID(TRIM(UPPER(D55)),8,1))&gt;=48,CODE(MID(TRIM(UPPER(D55)),8,1))&lt;=57,CODE(MID(TRIM(UPPER(D55)),9,1))&gt;=48,CODE(MID(TRIM(UPPER(D55)),9,1))&lt;=57),"N","Y"))</f>
      </c>
      <c r="F55" s="7">
        <f>IF($C55="","",IF(LEN(D55)&lt;4,"",IF(UPPER(MID(D55,4,1))="P","Individual",IF(UPPER(MID(D55,4,1))="H","HUF",IF(UPPER(MID(D55,4,1))="C","Company",IF(UPPER(MID(D55,4,1))="F","Firm",IF(UPPER(MID(D55,4,1))="L","LLP",IF(UPPER(MID(D55,4,1))="T","Trust",IF(UPPER(MID(D55,4,1))="A","AOP","")))))))))</f>
      </c>
      <c r="G55" s="8"/>
      <c r="H55" s="7">
        <f>IF($C55="","",IF(R55&lt;&gt;"",R55,IF(G55="","",IF(E55="Y",SUMPRODUCT(('Rate Lookup'!$A$1:$A$37=G55)*'Rate Lookup'!$D$1:$D$37),IF(OR(F55="Individual",F55="HUF"),SUMPRODUCT(('Rate Lookup'!$A$1:$A$37=G55)*'Rate Lookup'!$B$1:$B$37),SUMPRODUCT(('Rate Lookup'!$A$1:$A$37=G55)*'Rate Lookup'!$C$1:$C$37)))))))</f>
      </c>
      <c r="I55" s="8"/>
      <c r="J55" s="8"/>
      <c r="K55" s="7">
        <f>IF($C55="","",IF(OR(P55="B",P55="D",P55="E",P55="N",P55="O",P55="P",P55="Q",P55="S",P55="Y",P55="Z"),0,ROUND(J55*H55/100,0)))</f>
      </c>
      <c r="L55" s="7">
        <f>IF($C55="","",0)</f>
      </c>
      <c r="M55" s="7">
        <f>IF($C55="","",0)</f>
      </c>
      <c r="N55" s="7">
        <f>IF($C55="","",IF(OR(K55=0,I55="",IFERROR(INDEX('Challan Master'!$D$4:$D$207,MATCH($B55,'Challan Master'!$S$4:$S$207,0)),"")="",IFERROR(INDEX('Challan Master'!$D$4:$D$207,MATCH($B55,'Challan Master'!$S$4:$S$207,0)),"")&lt;=0),0,IF(IFERROR(INDEX('Challan Master'!$D$4:$D$207,MATCH($B55,'Challan Master'!$S$4:$S$207,0)),"")&lt;=DATE(YEAR(I55),MONTH(I55)+1,7),0,ROUND(K55*0.015*((YEAR(IFERROR(INDEX('Challan Master'!$D$4:$D$207,MATCH($B55,'Challan Master'!$S$4:$S$207,0)),""))-YEAR(I55))*12+(MONTH(IFERROR(INDEX('Challan Master'!$D$4:$D$207,MATCH($B55,'Challan Master'!$S$4:$S$207,0)),""))-MONTH(I55))+1),0))))</f>
      </c>
      <c r="O55" s="7">
        <f>IF($C55="","",0)</f>
      </c>
      <c r="P55" s="8"/>
      <c r="Q55" s="8"/>
      <c r="R55" s="8"/>
      <c r="S55" s="8"/>
      <c r="T55" s="8"/>
      <c r="U55" s="7">
        <f>IF($B55="","",IFERROR(INDEX('Challan Master'!$AA$4:$AA$207,MATCH($B55,'Challan Master'!$S$4:$S$207,0)),""))</f>
      </c>
    </row>
    <row r="56" spans="1:22" x14ac:dyDescent="0.25">
      <c r="A56" s="7">
        <f>IF($C56="","",COUNTIF($C$4:$C56,"&lt;&gt;"))</f>
      </c>
      <c r="B56" s="8"/>
      <c r="C56" s="8"/>
      <c r="D56" s="8"/>
      <c r="E56" s="7">
        <f>IF($C56="","",IF(AND(LEN(TRIM(UPPER(D56)))=10,CODE(MID(TRIM(UPPER(D56)),1,1))&gt;=65,CODE(MID(TRIM(UPPER(D56)),1,1))&lt;=90,CODE(MID(TRIM(UPPER(D56)),2,1))&gt;=65,CODE(MID(TRIM(UPPER(D56)),2,1))&lt;=90,CODE(MID(TRIM(UPPER(D56)),3,1))&gt;=65,CODE(MID(TRIM(UPPER(D56)),3,1))&lt;=90,CODE(MID(TRIM(UPPER(D56)),4,1))&gt;=65,CODE(MID(TRIM(UPPER(D56)),4,1))&lt;=90,CODE(MID(TRIM(UPPER(D56)),5,1))&gt;=65,CODE(MID(TRIM(UPPER(D56)),5,1))&lt;=90,CODE(MID(TRIM(UPPER(D56)),10,1))&gt;=65,CODE(MID(TRIM(UPPER(D56)),10,1))&lt;=90,CODE(MID(TRIM(UPPER(D56)),6,1))&gt;=48,CODE(MID(TRIM(UPPER(D56)),6,1))&lt;=57,CODE(MID(TRIM(UPPER(D56)),7,1))&gt;=48,CODE(MID(TRIM(UPPER(D56)),7,1))&lt;=57,CODE(MID(TRIM(UPPER(D56)),8,1))&gt;=48,CODE(MID(TRIM(UPPER(D56)),8,1))&lt;=57,CODE(MID(TRIM(UPPER(D56)),9,1))&gt;=48,CODE(MID(TRIM(UPPER(D56)),9,1))&lt;=57),"N","Y"))</f>
      </c>
      <c r="F56" s="7">
        <f>IF($C56="","",IF(LEN(D56)&lt;4,"",IF(UPPER(MID(D56,4,1))="P","Individual",IF(UPPER(MID(D56,4,1))="H","HUF",IF(UPPER(MID(D56,4,1))="C","Company",IF(UPPER(MID(D56,4,1))="F","Firm",IF(UPPER(MID(D56,4,1))="L","LLP",IF(UPPER(MID(D56,4,1))="T","Trust",IF(UPPER(MID(D56,4,1))="A","AOP","")))))))))</f>
      </c>
      <c r="G56" s="8"/>
      <c r="H56" s="7">
        <f>IF($C56="","",IF(R56&lt;&gt;"",R56,IF(G56="","",IF(E56="Y",SUMPRODUCT(('Rate Lookup'!$A$1:$A$37=G56)*'Rate Lookup'!$D$1:$D$37),IF(OR(F56="Individual",F56="HUF"),SUMPRODUCT(('Rate Lookup'!$A$1:$A$37=G56)*'Rate Lookup'!$B$1:$B$37),SUMPRODUCT(('Rate Lookup'!$A$1:$A$37=G56)*'Rate Lookup'!$C$1:$C$37)))))))</f>
      </c>
      <c r="I56" s="8"/>
      <c r="J56" s="8"/>
      <c r="K56" s="7">
        <f>IF($C56="","",IF(OR(P56="B",P56="D",P56="E",P56="N",P56="O",P56="P",P56="Q",P56="S",P56="Y",P56="Z"),0,ROUND(J56*H56/100,0)))</f>
      </c>
      <c r="L56" s="7">
        <f>IF($C56="","",0)</f>
      </c>
      <c r="M56" s="7">
        <f>IF($C56="","",0)</f>
      </c>
      <c r="N56" s="7">
        <f>IF($C56="","",IF(OR(K56=0,I56="",IFERROR(INDEX('Challan Master'!$D$4:$D$207,MATCH($B56,'Challan Master'!$S$4:$S$207,0)),"")="",IFERROR(INDEX('Challan Master'!$D$4:$D$207,MATCH($B56,'Challan Master'!$S$4:$S$207,0)),"")&lt;=0),0,IF(IFERROR(INDEX('Challan Master'!$D$4:$D$207,MATCH($B56,'Challan Master'!$S$4:$S$207,0)),"")&lt;=DATE(YEAR(I56),MONTH(I56)+1,7),0,ROUND(K56*0.015*((YEAR(IFERROR(INDEX('Challan Master'!$D$4:$D$207,MATCH($B56,'Challan Master'!$S$4:$S$207,0)),""))-YEAR(I56))*12+(MONTH(IFERROR(INDEX('Challan Master'!$D$4:$D$207,MATCH($B56,'Challan Master'!$S$4:$S$207,0)),""))-MONTH(I56))+1),0))))</f>
      </c>
      <c r="O56" s="7">
        <f>IF($C56="","",0)</f>
      </c>
      <c r="P56" s="8"/>
      <c r="Q56" s="8"/>
      <c r="R56" s="8"/>
      <c r="S56" s="8"/>
      <c r="T56" s="8"/>
      <c r="U56" s="7">
        <f>IF($B56="","",IFERROR(INDEX('Challan Master'!$AA$4:$AA$207,MATCH($B56,'Challan Master'!$S$4:$S$207,0)),""))</f>
      </c>
    </row>
    <row r="57" spans="1:22" x14ac:dyDescent="0.25">
      <c r="A57" s="7">
        <f>IF($C57="","",COUNTIF($C$4:$C57,"&lt;&gt;"))</f>
      </c>
      <c r="B57" s="8"/>
      <c r="C57" s="8"/>
      <c r="D57" s="8"/>
      <c r="E57" s="7">
        <f>IF($C57="","",IF(AND(LEN(TRIM(UPPER(D57)))=10,CODE(MID(TRIM(UPPER(D57)),1,1))&gt;=65,CODE(MID(TRIM(UPPER(D57)),1,1))&lt;=90,CODE(MID(TRIM(UPPER(D57)),2,1))&gt;=65,CODE(MID(TRIM(UPPER(D57)),2,1))&lt;=90,CODE(MID(TRIM(UPPER(D57)),3,1))&gt;=65,CODE(MID(TRIM(UPPER(D57)),3,1))&lt;=90,CODE(MID(TRIM(UPPER(D57)),4,1))&gt;=65,CODE(MID(TRIM(UPPER(D57)),4,1))&lt;=90,CODE(MID(TRIM(UPPER(D57)),5,1))&gt;=65,CODE(MID(TRIM(UPPER(D57)),5,1))&lt;=90,CODE(MID(TRIM(UPPER(D57)),10,1))&gt;=65,CODE(MID(TRIM(UPPER(D57)),10,1))&lt;=90,CODE(MID(TRIM(UPPER(D57)),6,1))&gt;=48,CODE(MID(TRIM(UPPER(D57)),6,1))&lt;=57,CODE(MID(TRIM(UPPER(D57)),7,1))&gt;=48,CODE(MID(TRIM(UPPER(D57)),7,1))&lt;=57,CODE(MID(TRIM(UPPER(D57)),8,1))&gt;=48,CODE(MID(TRIM(UPPER(D57)),8,1))&lt;=57,CODE(MID(TRIM(UPPER(D57)),9,1))&gt;=48,CODE(MID(TRIM(UPPER(D57)),9,1))&lt;=57),"N","Y"))</f>
      </c>
      <c r="F57" s="7">
        <f>IF($C57="","",IF(LEN(D57)&lt;4,"",IF(UPPER(MID(D57,4,1))="P","Individual",IF(UPPER(MID(D57,4,1))="H","HUF",IF(UPPER(MID(D57,4,1))="C","Company",IF(UPPER(MID(D57,4,1))="F","Firm",IF(UPPER(MID(D57,4,1))="L","LLP",IF(UPPER(MID(D57,4,1))="T","Trust",IF(UPPER(MID(D57,4,1))="A","AOP","")))))))))</f>
      </c>
      <c r="G57" s="8"/>
      <c r="H57" s="7">
        <f>IF($C57="","",IF(R57&lt;&gt;"",R57,IF(G57="","",IF(E57="Y",SUMPRODUCT(('Rate Lookup'!$A$1:$A$37=G57)*'Rate Lookup'!$D$1:$D$37),IF(OR(F57="Individual",F57="HUF"),SUMPRODUCT(('Rate Lookup'!$A$1:$A$37=G57)*'Rate Lookup'!$B$1:$B$37),SUMPRODUCT(('Rate Lookup'!$A$1:$A$37=G57)*'Rate Lookup'!$C$1:$C$37)))))))</f>
      </c>
      <c r="I57" s="8"/>
      <c r="J57" s="8"/>
      <c r="K57" s="7">
        <f>IF($C57="","",IF(OR(P57="B",P57="D",P57="E",P57="N",P57="O",P57="P",P57="Q",P57="S",P57="Y",P57="Z"),0,ROUND(J57*H57/100,0)))</f>
      </c>
      <c r="L57" s="7">
        <f>IF($C57="","",0)</f>
      </c>
      <c r="M57" s="7">
        <f>IF($C57="","",0)</f>
      </c>
      <c r="N57" s="7">
        <f>IF($C57="","",IF(OR(K57=0,I57="",IFERROR(INDEX('Challan Master'!$D$4:$D$207,MATCH($B57,'Challan Master'!$S$4:$S$207,0)),"")="",IFERROR(INDEX('Challan Master'!$D$4:$D$207,MATCH($B57,'Challan Master'!$S$4:$S$207,0)),"")&lt;=0),0,IF(IFERROR(INDEX('Challan Master'!$D$4:$D$207,MATCH($B57,'Challan Master'!$S$4:$S$207,0)),"")&lt;=DATE(YEAR(I57),MONTH(I57)+1,7),0,ROUND(K57*0.015*((YEAR(IFERROR(INDEX('Challan Master'!$D$4:$D$207,MATCH($B57,'Challan Master'!$S$4:$S$207,0)),""))-YEAR(I57))*12+(MONTH(IFERROR(INDEX('Challan Master'!$D$4:$D$207,MATCH($B57,'Challan Master'!$S$4:$S$207,0)),""))-MONTH(I57))+1),0))))</f>
      </c>
      <c r="O57" s="7">
        <f>IF($C57="","",0)</f>
      </c>
      <c r="P57" s="8"/>
      <c r="Q57" s="8"/>
      <c r="R57" s="8"/>
      <c r="S57" s="8"/>
      <c r="T57" s="8"/>
      <c r="U57" s="7">
        <f>IF($B57="","",IFERROR(INDEX('Challan Master'!$AA$4:$AA$207,MATCH($B57,'Challan Master'!$S$4:$S$207,0)),""))</f>
      </c>
    </row>
    <row r="58" spans="1:22" x14ac:dyDescent="0.25">
      <c r="A58" s="7">
        <f>IF($C58="","",COUNTIF($C$4:$C58,"&lt;&gt;"))</f>
      </c>
      <c r="B58" s="8"/>
      <c r="C58" s="8"/>
      <c r="D58" s="8"/>
      <c r="E58" s="7">
        <f>IF($C58="","",IF(AND(LEN(TRIM(UPPER(D58)))=10,CODE(MID(TRIM(UPPER(D58)),1,1))&gt;=65,CODE(MID(TRIM(UPPER(D58)),1,1))&lt;=90,CODE(MID(TRIM(UPPER(D58)),2,1))&gt;=65,CODE(MID(TRIM(UPPER(D58)),2,1))&lt;=90,CODE(MID(TRIM(UPPER(D58)),3,1))&gt;=65,CODE(MID(TRIM(UPPER(D58)),3,1))&lt;=90,CODE(MID(TRIM(UPPER(D58)),4,1))&gt;=65,CODE(MID(TRIM(UPPER(D58)),4,1))&lt;=90,CODE(MID(TRIM(UPPER(D58)),5,1))&gt;=65,CODE(MID(TRIM(UPPER(D58)),5,1))&lt;=90,CODE(MID(TRIM(UPPER(D58)),10,1))&gt;=65,CODE(MID(TRIM(UPPER(D58)),10,1))&lt;=90,CODE(MID(TRIM(UPPER(D58)),6,1))&gt;=48,CODE(MID(TRIM(UPPER(D58)),6,1))&lt;=57,CODE(MID(TRIM(UPPER(D58)),7,1))&gt;=48,CODE(MID(TRIM(UPPER(D58)),7,1))&lt;=57,CODE(MID(TRIM(UPPER(D58)),8,1))&gt;=48,CODE(MID(TRIM(UPPER(D58)),8,1))&lt;=57,CODE(MID(TRIM(UPPER(D58)),9,1))&gt;=48,CODE(MID(TRIM(UPPER(D58)),9,1))&lt;=57),"N","Y"))</f>
      </c>
      <c r="F58" s="7">
        <f>IF($C58="","",IF(LEN(D58)&lt;4,"",IF(UPPER(MID(D58,4,1))="P","Individual",IF(UPPER(MID(D58,4,1))="H","HUF",IF(UPPER(MID(D58,4,1))="C","Company",IF(UPPER(MID(D58,4,1))="F","Firm",IF(UPPER(MID(D58,4,1))="L","LLP",IF(UPPER(MID(D58,4,1))="T","Trust",IF(UPPER(MID(D58,4,1))="A","AOP","")))))))))</f>
      </c>
      <c r="G58" s="8"/>
      <c r="H58" s="7">
        <f>IF($C58="","",IF(R58&lt;&gt;"",R58,IF(G58="","",IF(E58="Y",SUMPRODUCT(('Rate Lookup'!$A$1:$A$37=G58)*'Rate Lookup'!$D$1:$D$37),IF(OR(F58="Individual",F58="HUF"),SUMPRODUCT(('Rate Lookup'!$A$1:$A$37=G58)*'Rate Lookup'!$B$1:$B$37),SUMPRODUCT(('Rate Lookup'!$A$1:$A$37=G58)*'Rate Lookup'!$C$1:$C$37)))))))</f>
      </c>
      <c r="I58" s="8"/>
      <c r="J58" s="8"/>
      <c r="K58" s="7">
        <f>IF($C58="","",IF(OR(P58="B",P58="D",P58="E",P58="N",P58="O",P58="P",P58="Q",P58="S",P58="Y",P58="Z"),0,ROUND(J58*H58/100,0)))</f>
      </c>
      <c r="L58" s="7">
        <f>IF($C58="","",0)</f>
      </c>
      <c r="M58" s="7">
        <f>IF($C58="","",0)</f>
      </c>
      <c r="N58" s="7">
        <f>IF($C58="","",IF(OR(K58=0,I58="",IFERROR(INDEX('Challan Master'!$D$4:$D$207,MATCH($B58,'Challan Master'!$S$4:$S$207,0)),"")="",IFERROR(INDEX('Challan Master'!$D$4:$D$207,MATCH($B58,'Challan Master'!$S$4:$S$207,0)),"")&lt;=0),0,IF(IFERROR(INDEX('Challan Master'!$D$4:$D$207,MATCH($B58,'Challan Master'!$S$4:$S$207,0)),"")&lt;=DATE(YEAR(I58),MONTH(I58)+1,7),0,ROUND(K58*0.015*((YEAR(IFERROR(INDEX('Challan Master'!$D$4:$D$207,MATCH($B58,'Challan Master'!$S$4:$S$207,0)),""))-YEAR(I58))*12+(MONTH(IFERROR(INDEX('Challan Master'!$D$4:$D$207,MATCH($B58,'Challan Master'!$S$4:$S$207,0)),""))-MONTH(I58))+1),0))))</f>
      </c>
      <c r="O58" s="7">
        <f>IF($C58="","",0)</f>
      </c>
      <c r="P58" s="8"/>
      <c r="Q58" s="8"/>
      <c r="R58" s="8"/>
      <c r="S58" s="8"/>
      <c r="T58" s="8"/>
      <c r="U58" s="7">
        <f>IF($B58="","",IFERROR(INDEX('Challan Master'!$AA$4:$AA$207,MATCH($B58,'Challan Master'!$S$4:$S$207,0)),""))</f>
      </c>
    </row>
    <row r="59" spans="1:22" x14ac:dyDescent="0.25">
      <c r="A59" s="7">
        <f>IF($C59="","",COUNTIF($C$4:$C59,"&lt;&gt;"))</f>
      </c>
      <c r="B59" s="8"/>
      <c r="C59" s="8"/>
      <c r="D59" s="8"/>
      <c r="E59" s="7">
        <f>IF($C59="","",IF(AND(LEN(TRIM(UPPER(D59)))=10,CODE(MID(TRIM(UPPER(D59)),1,1))&gt;=65,CODE(MID(TRIM(UPPER(D59)),1,1))&lt;=90,CODE(MID(TRIM(UPPER(D59)),2,1))&gt;=65,CODE(MID(TRIM(UPPER(D59)),2,1))&lt;=90,CODE(MID(TRIM(UPPER(D59)),3,1))&gt;=65,CODE(MID(TRIM(UPPER(D59)),3,1))&lt;=90,CODE(MID(TRIM(UPPER(D59)),4,1))&gt;=65,CODE(MID(TRIM(UPPER(D59)),4,1))&lt;=90,CODE(MID(TRIM(UPPER(D59)),5,1))&gt;=65,CODE(MID(TRIM(UPPER(D59)),5,1))&lt;=90,CODE(MID(TRIM(UPPER(D59)),10,1))&gt;=65,CODE(MID(TRIM(UPPER(D59)),10,1))&lt;=90,CODE(MID(TRIM(UPPER(D59)),6,1))&gt;=48,CODE(MID(TRIM(UPPER(D59)),6,1))&lt;=57,CODE(MID(TRIM(UPPER(D59)),7,1))&gt;=48,CODE(MID(TRIM(UPPER(D59)),7,1))&lt;=57,CODE(MID(TRIM(UPPER(D59)),8,1))&gt;=48,CODE(MID(TRIM(UPPER(D59)),8,1))&lt;=57,CODE(MID(TRIM(UPPER(D59)),9,1))&gt;=48,CODE(MID(TRIM(UPPER(D59)),9,1))&lt;=57),"N","Y"))</f>
      </c>
      <c r="F59" s="7">
        <f>IF($C59="","",IF(LEN(D59)&lt;4,"",IF(UPPER(MID(D59,4,1))="P","Individual",IF(UPPER(MID(D59,4,1))="H","HUF",IF(UPPER(MID(D59,4,1))="C","Company",IF(UPPER(MID(D59,4,1))="F","Firm",IF(UPPER(MID(D59,4,1))="L","LLP",IF(UPPER(MID(D59,4,1))="T","Trust",IF(UPPER(MID(D59,4,1))="A","AOP","")))))))))</f>
      </c>
      <c r="G59" s="8"/>
      <c r="H59" s="7">
        <f>IF($C59="","",IF(R59&lt;&gt;"",R59,IF(G59="","",IF(E59="Y",SUMPRODUCT(('Rate Lookup'!$A$1:$A$37=G59)*'Rate Lookup'!$D$1:$D$37),IF(OR(F59="Individual",F59="HUF"),SUMPRODUCT(('Rate Lookup'!$A$1:$A$37=G59)*'Rate Lookup'!$B$1:$B$37),SUMPRODUCT(('Rate Lookup'!$A$1:$A$37=G59)*'Rate Lookup'!$C$1:$C$37)))))))</f>
      </c>
      <c r="I59" s="8"/>
      <c r="J59" s="8"/>
      <c r="K59" s="7">
        <f>IF($C59="","",IF(OR(P59="B",P59="D",P59="E",P59="N",P59="O",P59="P",P59="Q",P59="S",P59="Y",P59="Z"),0,ROUND(J59*H59/100,0)))</f>
      </c>
      <c r="L59" s="7">
        <f>IF($C59="","",0)</f>
      </c>
      <c r="M59" s="7">
        <f>IF($C59="","",0)</f>
      </c>
      <c r="N59" s="7">
        <f>IF($C59="","",IF(OR(K59=0,I59="",IFERROR(INDEX('Challan Master'!$D$4:$D$207,MATCH($B59,'Challan Master'!$S$4:$S$207,0)),"")="",IFERROR(INDEX('Challan Master'!$D$4:$D$207,MATCH($B59,'Challan Master'!$S$4:$S$207,0)),"")&lt;=0),0,IF(IFERROR(INDEX('Challan Master'!$D$4:$D$207,MATCH($B59,'Challan Master'!$S$4:$S$207,0)),"")&lt;=DATE(YEAR(I59),MONTH(I59)+1,7),0,ROUND(K59*0.015*((YEAR(IFERROR(INDEX('Challan Master'!$D$4:$D$207,MATCH($B59,'Challan Master'!$S$4:$S$207,0)),""))-YEAR(I59))*12+(MONTH(IFERROR(INDEX('Challan Master'!$D$4:$D$207,MATCH($B59,'Challan Master'!$S$4:$S$207,0)),""))-MONTH(I59))+1),0))))</f>
      </c>
      <c r="O59" s="7">
        <f>IF($C59="","",0)</f>
      </c>
      <c r="P59" s="8"/>
      <c r="Q59" s="8"/>
      <c r="R59" s="8"/>
      <c r="S59" s="8"/>
      <c r="T59" s="8"/>
      <c r="U59" s="7">
        <f>IF($B59="","",IFERROR(INDEX('Challan Master'!$AA$4:$AA$207,MATCH($B59,'Challan Master'!$S$4:$S$207,0)),""))</f>
      </c>
    </row>
    <row r="60" spans="1:22" x14ac:dyDescent="0.25">
      <c r="A60" s="7">
        <f>IF($C60="","",COUNTIF($C$4:$C60,"&lt;&gt;"))</f>
      </c>
      <c r="B60" s="8"/>
      <c r="C60" s="8"/>
      <c r="D60" s="8"/>
      <c r="E60" s="7">
        <f>IF($C60="","",IF(AND(LEN(TRIM(UPPER(D60)))=10,CODE(MID(TRIM(UPPER(D60)),1,1))&gt;=65,CODE(MID(TRIM(UPPER(D60)),1,1))&lt;=90,CODE(MID(TRIM(UPPER(D60)),2,1))&gt;=65,CODE(MID(TRIM(UPPER(D60)),2,1))&lt;=90,CODE(MID(TRIM(UPPER(D60)),3,1))&gt;=65,CODE(MID(TRIM(UPPER(D60)),3,1))&lt;=90,CODE(MID(TRIM(UPPER(D60)),4,1))&gt;=65,CODE(MID(TRIM(UPPER(D60)),4,1))&lt;=90,CODE(MID(TRIM(UPPER(D60)),5,1))&gt;=65,CODE(MID(TRIM(UPPER(D60)),5,1))&lt;=90,CODE(MID(TRIM(UPPER(D60)),10,1))&gt;=65,CODE(MID(TRIM(UPPER(D60)),10,1))&lt;=90,CODE(MID(TRIM(UPPER(D60)),6,1))&gt;=48,CODE(MID(TRIM(UPPER(D60)),6,1))&lt;=57,CODE(MID(TRIM(UPPER(D60)),7,1))&gt;=48,CODE(MID(TRIM(UPPER(D60)),7,1))&lt;=57,CODE(MID(TRIM(UPPER(D60)),8,1))&gt;=48,CODE(MID(TRIM(UPPER(D60)),8,1))&lt;=57,CODE(MID(TRIM(UPPER(D60)),9,1))&gt;=48,CODE(MID(TRIM(UPPER(D60)),9,1))&lt;=57),"N","Y"))</f>
      </c>
      <c r="F60" s="7">
        <f>IF($C60="","",IF(LEN(D60)&lt;4,"",IF(UPPER(MID(D60,4,1))="P","Individual",IF(UPPER(MID(D60,4,1))="H","HUF",IF(UPPER(MID(D60,4,1))="C","Company",IF(UPPER(MID(D60,4,1))="F","Firm",IF(UPPER(MID(D60,4,1))="L","LLP",IF(UPPER(MID(D60,4,1))="T","Trust",IF(UPPER(MID(D60,4,1))="A","AOP","")))))))))</f>
      </c>
      <c r="G60" s="8"/>
      <c r="H60" s="7">
        <f>IF($C60="","",IF(R60&lt;&gt;"",R60,IF(G60="","",IF(E60="Y",SUMPRODUCT(('Rate Lookup'!$A$1:$A$37=G60)*'Rate Lookup'!$D$1:$D$37),IF(OR(F60="Individual",F60="HUF"),SUMPRODUCT(('Rate Lookup'!$A$1:$A$37=G60)*'Rate Lookup'!$B$1:$B$37),SUMPRODUCT(('Rate Lookup'!$A$1:$A$37=G60)*'Rate Lookup'!$C$1:$C$37)))))))</f>
      </c>
      <c r="I60" s="8"/>
      <c r="J60" s="8"/>
      <c r="K60" s="7">
        <f>IF($C60="","",IF(OR(P60="B",P60="D",P60="E",P60="N",P60="O",P60="P",P60="Q",P60="S",P60="Y",P60="Z"),0,ROUND(J60*H60/100,0)))</f>
      </c>
      <c r="L60" s="7">
        <f>IF($C60="","",0)</f>
      </c>
      <c r="M60" s="7">
        <f>IF($C60="","",0)</f>
      </c>
      <c r="N60" s="7">
        <f>IF($C60="","",IF(OR(K60=0,I60="",IFERROR(INDEX('Challan Master'!$D$4:$D$207,MATCH($B60,'Challan Master'!$S$4:$S$207,0)),"")="",IFERROR(INDEX('Challan Master'!$D$4:$D$207,MATCH($B60,'Challan Master'!$S$4:$S$207,0)),"")&lt;=0),0,IF(IFERROR(INDEX('Challan Master'!$D$4:$D$207,MATCH($B60,'Challan Master'!$S$4:$S$207,0)),"")&lt;=DATE(YEAR(I60),MONTH(I60)+1,7),0,ROUND(K60*0.015*((YEAR(IFERROR(INDEX('Challan Master'!$D$4:$D$207,MATCH($B60,'Challan Master'!$S$4:$S$207,0)),""))-YEAR(I60))*12+(MONTH(IFERROR(INDEX('Challan Master'!$D$4:$D$207,MATCH($B60,'Challan Master'!$S$4:$S$207,0)),""))-MONTH(I60))+1),0))))</f>
      </c>
      <c r="O60" s="7">
        <f>IF($C60="","",0)</f>
      </c>
      <c r="P60" s="8"/>
      <c r="Q60" s="8"/>
      <c r="R60" s="8"/>
      <c r="S60" s="8"/>
      <c r="T60" s="8"/>
      <c r="U60" s="7">
        <f>IF($B60="","",IFERROR(INDEX('Challan Master'!$AA$4:$AA$207,MATCH($B60,'Challan Master'!$S$4:$S$207,0)),""))</f>
      </c>
    </row>
    <row r="61" spans="1:22" x14ac:dyDescent="0.25">
      <c r="A61" s="7">
        <f>IF($C61="","",COUNTIF($C$4:$C61,"&lt;&gt;"))</f>
      </c>
      <c r="B61" s="8"/>
      <c r="C61" s="8"/>
      <c r="D61" s="8"/>
      <c r="E61" s="7">
        <f>IF($C61="","",IF(AND(LEN(TRIM(UPPER(D61)))=10,CODE(MID(TRIM(UPPER(D61)),1,1))&gt;=65,CODE(MID(TRIM(UPPER(D61)),1,1))&lt;=90,CODE(MID(TRIM(UPPER(D61)),2,1))&gt;=65,CODE(MID(TRIM(UPPER(D61)),2,1))&lt;=90,CODE(MID(TRIM(UPPER(D61)),3,1))&gt;=65,CODE(MID(TRIM(UPPER(D61)),3,1))&lt;=90,CODE(MID(TRIM(UPPER(D61)),4,1))&gt;=65,CODE(MID(TRIM(UPPER(D61)),4,1))&lt;=90,CODE(MID(TRIM(UPPER(D61)),5,1))&gt;=65,CODE(MID(TRIM(UPPER(D61)),5,1))&lt;=90,CODE(MID(TRIM(UPPER(D61)),10,1))&gt;=65,CODE(MID(TRIM(UPPER(D61)),10,1))&lt;=90,CODE(MID(TRIM(UPPER(D61)),6,1))&gt;=48,CODE(MID(TRIM(UPPER(D61)),6,1))&lt;=57,CODE(MID(TRIM(UPPER(D61)),7,1))&gt;=48,CODE(MID(TRIM(UPPER(D61)),7,1))&lt;=57,CODE(MID(TRIM(UPPER(D61)),8,1))&gt;=48,CODE(MID(TRIM(UPPER(D61)),8,1))&lt;=57,CODE(MID(TRIM(UPPER(D61)),9,1))&gt;=48,CODE(MID(TRIM(UPPER(D61)),9,1))&lt;=57),"N","Y"))</f>
      </c>
      <c r="F61" s="7">
        <f>IF($C61="","",IF(LEN(D61)&lt;4,"",IF(UPPER(MID(D61,4,1))="P","Individual",IF(UPPER(MID(D61,4,1))="H","HUF",IF(UPPER(MID(D61,4,1))="C","Company",IF(UPPER(MID(D61,4,1))="F","Firm",IF(UPPER(MID(D61,4,1))="L","LLP",IF(UPPER(MID(D61,4,1))="T","Trust",IF(UPPER(MID(D61,4,1))="A","AOP","")))))))))</f>
      </c>
      <c r="G61" s="8"/>
      <c r="H61" s="7">
        <f>IF($C61="","",IF(R61&lt;&gt;"",R61,IF(G61="","",IF(E61="Y",SUMPRODUCT(('Rate Lookup'!$A$1:$A$37=G61)*'Rate Lookup'!$D$1:$D$37),IF(OR(F61="Individual",F61="HUF"),SUMPRODUCT(('Rate Lookup'!$A$1:$A$37=G61)*'Rate Lookup'!$B$1:$B$37),SUMPRODUCT(('Rate Lookup'!$A$1:$A$37=G61)*'Rate Lookup'!$C$1:$C$37)))))))</f>
      </c>
      <c r="I61" s="8"/>
      <c r="J61" s="8"/>
      <c r="K61" s="7">
        <f>IF($C61="","",IF(OR(P61="B",P61="D",P61="E",P61="N",P61="O",P61="P",P61="Q",P61="S",P61="Y",P61="Z"),0,ROUND(J61*H61/100,0)))</f>
      </c>
      <c r="L61" s="7">
        <f>IF($C61="","",0)</f>
      </c>
      <c r="M61" s="7">
        <f>IF($C61="","",0)</f>
      </c>
      <c r="N61" s="7">
        <f>IF($C61="","",IF(OR(K61=0,I61="",IFERROR(INDEX('Challan Master'!$D$4:$D$207,MATCH($B61,'Challan Master'!$S$4:$S$207,0)),"")="",IFERROR(INDEX('Challan Master'!$D$4:$D$207,MATCH($B61,'Challan Master'!$S$4:$S$207,0)),"")&lt;=0),0,IF(IFERROR(INDEX('Challan Master'!$D$4:$D$207,MATCH($B61,'Challan Master'!$S$4:$S$207,0)),"")&lt;=DATE(YEAR(I61),MONTH(I61)+1,7),0,ROUND(K61*0.015*((YEAR(IFERROR(INDEX('Challan Master'!$D$4:$D$207,MATCH($B61,'Challan Master'!$S$4:$S$207,0)),""))-YEAR(I61))*12+(MONTH(IFERROR(INDEX('Challan Master'!$D$4:$D$207,MATCH($B61,'Challan Master'!$S$4:$S$207,0)),""))-MONTH(I61))+1),0))))</f>
      </c>
      <c r="O61" s="7">
        <f>IF($C61="","",0)</f>
      </c>
      <c r="P61" s="8"/>
      <c r="Q61" s="8"/>
      <c r="R61" s="8"/>
      <c r="S61" s="8"/>
      <c r="T61" s="8"/>
      <c r="U61" s="7">
        <f>IF($B61="","",IFERROR(INDEX('Challan Master'!$AA$4:$AA$207,MATCH($B61,'Challan Master'!$S$4:$S$207,0)),""))</f>
      </c>
    </row>
    <row r="62" spans="1:22" x14ac:dyDescent="0.25">
      <c r="A62" s="7">
        <f>IF($C62="","",COUNTIF($C$4:$C62,"&lt;&gt;"))</f>
      </c>
      <c r="B62" s="8"/>
      <c r="C62" s="8"/>
      <c r="D62" s="8"/>
      <c r="E62" s="7">
        <f>IF($C62="","",IF(AND(LEN(TRIM(UPPER(D62)))=10,CODE(MID(TRIM(UPPER(D62)),1,1))&gt;=65,CODE(MID(TRIM(UPPER(D62)),1,1))&lt;=90,CODE(MID(TRIM(UPPER(D62)),2,1))&gt;=65,CODE(MID(TRIM(UPPER(D62)),2,1))&lt;=90,CODE(MID(TRIM(UPPER(D62)),3,1))&gt;=65,CODE(MID(TRIM(UPPER(D62)),3,1))&lt;=90,CODE(MID(TRIM(UPPER(D62)),4,1))&gt;=65,CODE(MID(TRIM(UPPER(D62)),4,1))&lt;=90,CODE(MID(TRIM(UPPER(D62)),5,1))&gt;=65,CODE(MID(TRIM(UPPER(D62)),5,1))&lt;=90,CODE(MID(TRIM(UPPER(D62)),10,1))&gt;=65,CODE(MID(TRIM(UPPER(D62)),10,1))&lt;=90,CODE(MID(TRIM(UPPER(D62)),6,1))&gt;=48,CODE(MID(TRIM(UPPER(D62)),6,1))&lt;=57,CODE(MID(TRIM(UPPER(D62)),7,1))&gt;=48,CODE(MID(TRIM(UPPER(D62)),7,1))&lt;=57,CODE(MID(TRIM(UPPER(D62)),8,1))&gt;=48,CODE(MID(TRIM(UPPER(D62)),8,1))&lt;=57,CODE(MID(TRIM(UPPER(D62)),9,1))&gt;=48,CODE(MID(TRIM(UPPER(D62)),9,1))&lt;=57),"N","Y"))</f>
      </c>
      <c r="F62" s="7">
        <f>IF($C62="","",IF(LEN(D62)&lt;4,"",IF(UPPER(MID(D62,4,1))="P","Individual",IF(UPPER(MID(D62,4,1))="H","HUF",IF(UPPER(MID(D62,4,1))="C","Company",IF(UPPER(MID(D62,4,1))="F","Firm",IF(UPPER(MID(D62,4,1))="L","LLP",IF(UPPER(MID(D62,4,1))="T","Trust",IF(UPPER(MID(D62,4,1))="A","AOP","")))))))))</f>
      </c>
      <c r="G62" s="8"/>
      <c r="H62" s="7">
        <f>IF($C62="","",IF(R62&lt;&gt;"",R62,IF(G62="","",IF(E62="Y",SUMPRODUCT(('Rate Lookup'!$A$1:$A$37=G62)*'Rate Lookup'!$D$1:$D$37),IF(OR(F62="Individual",F62="HUF"),SUMPRODUCT(('Rate Lookup'!$A$1:$A$37=G62)*'Rate Lookup'!$B$1:$B$37),SUMPRODUCT(('Rate Lookup'!$A$1:$A$37=G62)*'Rate Lookup'!$C$1:$C$37)))))))</f>
      </c>
      <c r="I62" s="8"/>
      <c r="J62" s="8"/>
      <c r="K62" s="7">
        <f>IF($C62="","",IF(OR(P62="B",P62="D",P62="E",P62="N",P62="O",P62="P",P62="Q",P62="S",P62="Y",P62="Z"),0,ROUND(J62*H62/100,0)))</f>
      </c>
      <c r="L62" s="7">
        <f>IF($C62="","",0)</f>
      </c>
      <c r="M62" s="7">
        <f>IF($C62="","",0)</f>
      </c>
      <c r="N62" s="7">
        <f>IF($C62="","",IF(OR(K62=0,I62="",IFERROR(INDEX('Challan Master'!$D$4:$D$207,MATCH($B62,'Challan Master'!$S$4:$S$207,0)),"")="",IFERROR(INDEX('Challan Master'!$D$4:$D$207,MATCH($B62,'Challan Master'!$S$4:$S$207,0)),"")&lt;=0),0,IF(IFERROR(INDEX('Challan Master'!$D$4:$D$207,MATCH($B62,'Challan Master'!$S$4:$S$207,0)),"")&lt;=DATE(YEAR(I62),MONTH(I62)+1,7),0,ROUND(K62*0.015*((YEAR(IFERROR(INDEX('Challan Master'!$D$4:$D$207,MATCH($B62,'Challan Master'!$S$4:$S$207,0)),""))-YEAR(I62))*12+(MONTH(IFERROR(INDEX('Challan Master'!$D$4:$D$207,MATCH($B62,'Challan Master'!$S$4:$S$207,0)),""))-MONTH(I62))+1),0))))</f>
      </c>
      <c r="O62" s="7">
        <f>IF($C62="","",0)</f>
      </c>
      <c r="P62" s="8"/>
      <c r="Q62" s="8"/>
      <c r="R62" s="8"/>
      <c r="S62" s="8"/>
      <c r="T62" s="8"/>
      <c r="U62" s="7">
        <f>IF($B62="","",IFERROR(INDEX('Challan Master'!$AA$4:$AA$207,MATCH($B62,'Challan Master'!$S$4:$S$207,0)),""))</f>
      </c>
    </row>
    <row r="63" spans="1:22" x14ac:dyDescent="0.25">
      <c r="A63" s="7">
        <f>IF($C63="","",COUNTIF($C$4:$C63,"&lt;&gt;"))</f>
      </c>
      <c r="B63" s="8"/>
      <c r="C63" s="8"/>
      <c r="D63" s="8"/>
      <c r="E63" s="7">
        <f>IF($C63="","",IF(AND(LEN(TRIM(UPPER(D63)))=10,CODE(MID(TRIM(UPPER(D63)),1,1))&gt;=65,CODE(MID(TRIM(UPPER(D63)),1,1))&lt;=90,CODE(MID(TRIM(UPPER(D63)),2,1))&gt;=65,CODE(MID(TRIM(UPPER(D63)),2,1))&lt;=90,CODE(MID(TRIM(UPPER(D63)),3,1))&gt;=65,CODE(MID(TRIM(UPPER(D63)),3,1))&lt;=90,CODE(MID(TRIM(UPPER(D63)),4,1))&gt;=65,CODE(MID(TRIM(UPPER(D63)),4,1))&lt;=90,CODE(MID(TRIM(UPPER(D63)),5,1))&gt;=65,CODE(MID(TRIM(UPPER(D63)),5,1))&lt;=90,CODE(MID(TRIM(UPPER(D63)),10,1))&gt;=65,CODE(MID(TRIM(UPPER(D63)),10,1))&lt;=90,CODE(MID(TRIM(UPPER(D63)),6,1))&gt;=48,CODE(MID(TRIM(UPPER(D63)),6,1))&lt;=57,CODE(MID(TRIM(UPPER(D63)),7,1))&gt;=48,CODE(MID(TRIM(UPPER(D63)),7,1))&lt;=57,CODE(MID(TRIM(UPPER(D63)),8,1))&gt;=48,CODE(MID(TRIM(UPPER(D63)),8,1))&lt;=57,CODE(MID(TRIM(UPPER(D63)),9,1))&gt;=48,CODE(MID(TRIM(UPPER(D63)),9,1))&lt;=57),"N","Y"))</f>
      </c>
      <c r="F63" s="7">
        <f>IF($C63="","",IF(LEN(D63)&lt;4,"",IF(UPPER(MID(D63,4,1))="P","Individual",IF(UPPER(MID(D63,4,1))="H","HUF",IF(UPPER(MID(D63,4,1))="C","Company",IF(UPPER(MID(D63,4,1))="F","Firm",IF(UPPER(MID(D63,4,1))="L","LLP",IF(UPPER(MID(D63,4,1))="T","Trust",IF(UPPER(MID(D63,4,1))="A","AOP","")))))))))</f>
      </c>
      <c r="G63" s="8"/>
      <c r="H63" s="7">
        <f>IF($C63="","",IF(R63&lt;&gt;"",R63,IF(G63="","",IF(E63="Y",SUMPRODUCT(('Rate Lookup'!$A$1:$A$37=G63)*'Rate Lookup'!$D$1:$D$37),IF(OR(F63="Individual",F63="HUF"),SUMPRODUCT(('Rate Lookup'!$A$1:$A$37=G63)*'Rate Lookup'!$B$1:$B$37),SUMPRODUCT(('Rate Lookup'!$A$1:$A$37=G63)*'Rate Lookup'!$C$1:$C$37)))))))</f>
      </c>
      <c r="I63" s="8"/>
      <c r="J63" s="8"/>
      <c r="K63" s="7">
        <f>IF($C63="","",IF(OR(P63="B",P63="D",P63="E",P63="N",P63="O",P63="P",P63="Q",P63="S",P63="Y",P63="Z"),0,ROUND(J63*H63/100,0)))</f>
      </c>
      <c r="L63" s="7">
        <f>IF($C63="","",0)</f>
      </c>
      <c r="M63" s="7">
        <f>IF($C63="","",0)</f>
      </c>
      <c r="N63" s="7">
        <f>IF($C63="","",IF(OR(K63=0,I63="",IFERROR(INDEX('Challan Master'!$D$4:$D$207,MATCH($B63,'Challan Master'!$S$4:$S$207,0)),"")="",IFERROR(INDEX('Challan Master'!$D$4:$D$207,MATCH($B63,'Challan Master'!$S$4:$S$207,0)),"")&lt;=0),0,IF(IFERROR(INDEX('Challan Master'!$D$4:$D$207,MATCH($B63,'Challan Master'!$S$4:$S$207,0)),"")&lt;=DATE(YEAR(I63),MONTH(I63)+1,7),0,ROUND(K63*0.015*((YEAR(IFERROR(INDEX('Challan Master'!$D$4:$D$207,MATCH($B63,'Challan Master'!$S$4:$S$207,0)),""))-YEAR(I63))*12+(MONTH(IFERROR(INDEX('Challan Master'!$D$4:$D$207,MATCH($B63,'Challan Master'!$S$4:$S$207,0)),""))-MONTH(I63))+1),0))))</f>
      </c>
      <c r="O63" s="7">
        <f>IF($C63="","",0)</f>
      </c>
      <c r="P63" s="8"/>
      <c r="Q63" s="8"/>
      <c r="R63" s="8"/>
      <c r="S63" s="8"/>
      <c r="T63" s="8"/>
      <c r="U63" s="7">
        <f>IF($B63="","",IFERROR(INDEX('Challan Master'!$AA$4:$AA$207,MATCH($B63,'Challan Master'!$S$4:$S$207,0)),""))</f>
      </c>
    </row>
    <row r="64" spans="1:22" x14ac:dyDescent="0.25">
      <c r="A64" s="7">
        <f>IF($C64="","",COUNTIF($C$4:$C64,"&lt;&gt;"))</f>
      </c>
      <c r="B64" s="8"/>
      <c r="C64" s="8"/>
      <c r="D64" s="8"/>
      <c r="E64" s="7">
        <f>IF($C64="","",IF(AND(LEN(TRIM(UPPER(D64)))=10,CODE(MID(TRIM(UPPER(D64)),1,1))&gt;=65,CODE(MID(TRIM(UPPER(D64)),1,1))&lt;=90,CODE(MID(TRIM(UPPER(D64)),2,1))&gt;=65,CODE(MID(TRIM(UPPER(D64)),2,1))&lt;=90,CODE(MID(TRIM(UPPER(D64)),3,1))&gt;=65,CODE(MID(TRIM(UPPER(D64)),3,1))&lt;=90,CODE(MID(TRIM(UPPER(D64)),4,1))&gt;=65,CODE(MID(TRIM(UPPER(D64)),4,1))&lt;=90,CODE(MID(TRIM(UPPER(D64)),5,1))&gt;=65,CODE(MID(TRIM(UPPER(D64)),5,1))&lt;=90,CODE(MID(TRIM(UPPER(D64)),10,1))&gt;=65,CODE(MID(TRIM(UPPER(D64)),10,1))&lt;=90,CODE(MID(TRIM(UPPER(D64)),6,1))&gt;=48,CODE(MID(TRIM(UPPER(D64)),6,1))&lt;=57,CODE(MID(TRIM(UPPER(D64)),7,1))&gt;=48,CODE(MID(TRIM(UPPER(D64)),7,1))&lt;=57,CODE(MID(TRIM(UPPER(D64)),8,1))&gt;=48,CODE(MID(TRIM(UPPER(D64)),8,1))&lt;=57,CODE(MID(TRIM(UPPER(D64)),9,1))&gt;=48,CODE(MID(TRIM(UPPER(D64)),9,1))&lt;=57),"N","Y"))</f>
      </c>
      <c r="F64" s="7">
        <f>IF($C64="","",IF(LEN(D64)&lt;4,"",IF(UPPER(MID(D64,4,1))="P","Individual",IF(UPPER(MID(D64,4,1))="H","HUF",IF(UPPER(MID(D64,4,1))="C","Company",IF(UPPER(MID(D64,4,1))="F","Firm",IF(UPPER(MID(D64,4,1))="L","LLP",IF(UPPER(MID(D64,4,1))="T","Trust",IF(UPPER(MID(D64,4,1))="A","AOP","")))))))))</f>
      </c>
      <c r="G64" s="8"/>
      <c r="H64" s="7">
        <f>IF($C64="","",IF(R64&lt;&gt;"",R64,IF(G64="","",IF(E64="Y",SUMPRODUCT(('Rate Lookup'!$A$1:$A$37=G64)*'Rate Lookup'!$D$1:$D$37),IF(OR(F64="Individual",F64="HUF"),SUMPRODUCT(('Rate Lookup'!$A$1:$A$37=G64)*'Rate Lookup'!$B$1:$B$37),SUMPRODUCT(('Rate Lookup'!$A$1:$A$37=G64)*'Rate Lookup'!$C$1:$C$37)))))))</f>
      </c>
      <c r="I64" s="8"/>
      <c r="J64" s="8"/>
      <c r="K64" s="7">
        <f>IF($C64="","",IF(OR(P64="B",P64="D",P64="E",P64="N",P64="O",P64="P",P64="Q",P64="S",P64="Y",P64="Z"),0,ROUND(J64*H64/100,0)))</f>
      </c>
      <c r="L64" s="7">
        <f>IF($C64="","",0)</f>
      </c>
      <c r="M64" s="7">
        <f>IF($C64="","",0)</f>
      </c>
      <c r="N64" s="7">
        <f>IF($C64="","",IF(OR(K64=0,I64="",IFERROR(INDEX('Challan Master'!$D$4:$D$207,MATCH($B64,'Challan Master'!$S$4:$S$207,0)),"")="",IFERROR(INDEX('Challan Master'!$D$4:$D$207,MATCH($B64,'Challan Master'!$S$4:$S$207,0)),"")&lt;=0),0,IF(IFERROR(INDEX('Challan Master'!$D$4:$D$207,MATCH($B64,'Challan Master'!$S$4:$S$207,0)),"")&lt;=DATE(YEAR(I64),MONTH(I64)+1,7),0,ROUND(K64*0.015*((YEAR(IFERROR(INDEX('Challan Master'!$D$4:$D$207,MATCH($B64,'Challan Master'!$S$4:$S$207,0)),""))-YEAR(I64))*12+(MONTH(IFERROR(INDEX('Challan Master'!$D$4:$D$207,MATCH($B64,'Challan Master'!$S$4:$S$207,0)),""))-MONTH(I64))+1),0))))</f>
      </c>
      <c r="O64" s="7">
        <f>IF($C64="","",0)</f>
      </c>
      <c r="P64" s="8"/>
      <c r="Q64" s="8"/>
      <c r="R64" s="8"/>
      <c r="S64" s="8"/>
      <c r="T64" s="8"/>
      <c r="U64" s="7">
        <f>IF($B64="","",IFERROR(INDEX('Challan Master'!$AA$4:$AA$207,MATCH($B64,'Challan Master'!$S$4:$S$207,0)),""))</f>
      </c>
    </row>
    <row r="65" spans="1:22" x14ac:dyDescent="0.25">
      <c r="A65" s="7">
        <f>IF($C65="","",COUNTIF($C$4:$C65,"&lt;&gt;"))</f>
      </c>
      <c r="B65" s="8"/>
      <c r="C65" s="8"/>
      <c r="D65" s="8"/>
      <c r="E65" s="7">
        <f>IF($C65="","",IF(AND(LEN(TRIM(UPPER(D65)))=10,CODE(MID(TRIM(UPPER(D65)),1,1))&gt;=65,CODE(MID(TRIM(UPPER(D65)),1,1))&lt;=90,CODE(MID(TRIM(UPPER(D65)),2,1))&gt;=65,CODE(MID(TRIM(UPPER(D65)),2,1))&lt;=90,CODE(MID(TRIM(UPPER(D65)),3,1))&gt;=65,CODE(MID(TRIM(UPPER(D65)),3,1))&lt;=90,CODE(MID(TRIM(UPPER(D65)),4,1))&gt;=65,CODE(MID(TRIM(UPPER(D65)),4,1))&lt;=90,CODE(MID(TRIM(UPPER(D65)),5,1))&gt;=65,CODE(MID(TRIM(UPPER(D65)),5,1))&lt;=90,CODE(MID(TRIM(UPPER(D65)),10,1))&gt;=65,CODE(MID(TRIM(UPPER(D65)),10,1))&lt;=90,CODE(MID(TRIM(UPPER(D65)),6,1))&gt;=48,CODE(MID(TRIM(UPPER(D65)),6,1))&lt;=57,CODE(MID(TRIM(UPPER(D65)),7,1))&gt;=48,CODE(MID(TRIM(UPPER(D65)),7,1))&lt;=57,CODE(MID(TRIM(UPPER(D65)),8,1))&gt;=48,CODE(MID(TRIM(UPPER(D65)),8,1))&lt;=57,CODE(MID(TRIM(UPPER(D65)),9,1))&gt;=48,CODE(MID(TRIM(UPPER(D65)),9,1))&lt;=57),"N","Y"))</f>
      </c>
      <c r="F65" s="7">
        <f>IF($C65="","",IF(LEN(D65)&lt;4,"",IF(UPPER(MID(D65,4,1))="P","Individual",IF(UPPER(MID(D65,4,1))="H","HUF",IF(UPPER(MID(D65,4,1))="C","Company",IF(UPPER(MID(D65,4,1))="F","Firm",IF(UPPER(MID(D65,4,1))="L","LLP",IF(UPPER(MID(D65,4,1))="T","Trust",IF(UPPER(MID(D65,4,1))="A","AOP","")))))))))</f>
      </c>
      <c r="G65" s="8"/>
      <c r="H65" s="7">
        <f>IF($C65="","",IF(R65&lt;&gt;"",R65,IF(G65="","",IF(E65="Y",SUMPRODUCT(('Rate Lookup'!$A$1:$A$37=G65)*'Rate Lookup'!$D$1:$D$37),IF(OR(F65="Individual",F65="HUF"),SUMPRODUCT(('Rate Lookup'!$A$1:$A$37=G65)*'Rate Lookup'!$B$1:$B$37),SUMPRODUCT(('Rate Lookup'!$A$1:$A$37=G65)*'Rate Lookup'!$C$1:$C$37)))))))</f>
      </c>
      <c r="I65" s="8"/>
      <c r="J65" s="8"/>
      <c r="K65" s="7">
        <f>IF($C65="","",IF(OR(P65="B",P65="D",P65="E",P65="N",P65="O",P65="P",P65="Q",P65="S",P65="Y",P65="Z"),0,ROUND(J65*H65/100,0)))</f>
      </c>
      <c r="L65" s="7">
        <f>IF($C65="","",0)</f>
      </c>
      <c r="M65" s="7">
        <f>IF($C65="","",0)</f>
      </c>
      <c r="N65" s="7">
        <f>IF($C65="","",IF(OR(K65=0,I65="",IFERROR(INDEX('Challan Master'!$D$4:$D$207,MATCH($B65,'Challan Master'!$S$4:$S$207,0)),"")="",IFERROR(INDEX('Challan Master'!$D$4:$D$207,MATCH($B65,'Challan Master'!$S$4:$S$207,0)),"")&lt;=0),0,IF(IFERROR(INDEX('Challan Master'!$D$4:$D$207,MATCH($B65,'Challan Master'!$S$4:$S$207,0)),"")&lt;=DATE(YEAR(I65),MONTH(I65)+1,7),0,ROUND(K65*0.015*((YEAR(IFERROR(INDEX('Challan Master'!$D$4:$D$207,MATCH($B65,'Challan Master'!$S$4:$S$207,0)),""))-YEAR(I65))*12+(MONTH(IFERROR(INDEX('Challan Master'!$D$4:$D$207,MATCH($B65,'Challan Master'!$S$4:$S$207,0)),""))-MONTH(I65))+1),0))))</f>
      </c>
      <c r="O65" s="7">
        <f>IF($C65="","",0)</f>
      </c>
      <c r="P65" s="8"/>
      <c r="Q65" s="8"/>
      <c r="R65" s="8"/>
      <c r="S65" s="8"/>
      <c r="T65" s="8"/>
      <c r="U65" s="7">
        <f>IF($B65="","",IFERROR(INDEX('Challan Master'!$AA$4:$AA$207,MATCH($B65,'Challan Master'!$S$4:$S$207,0)),""))</f>
      </c>
    </row>
    <row r="66" spans="1:22" x14ac:dyDescent="0.25">
      <c r="A66" s="7">
        <f>IF($C66="","",COUNTIF($C$4:$C66,"&lt;&gt;"))</f>
      </c>
      <c r="B66" s="8"/>
      <c r="C66" s="8"/>
      <c r="D66" s="8"/>
      <c r="E66" s="7">
        <f>IF($C66="","",IF(AND(LEN(TRIM(UPPER(D66)))=10,CODE(MID(TRIM(UPPER(D66)),1,1))&gt;=65,CODE(MID(TRIM(UPPER(D66)),1,1))&lt;=90,CODE(MID(TRIM(UPPER(D66)),2,1))&gt;=65,CODE(MID(TRIM(UPPER(D66)),2,1))&lt;=90,CODE(MID(TRIM(UPPER(D66)),3,1))&gt;=65,CODE(MID(TRIM(UPPER(D66)),3,1))&lt;=90,CODE(MID(TRIM(UPPER(D66)),4,1))&gt;=65,CODE(MID(TRIM(UPPER(D66)),4,1))&lt;=90,CODE(MID(TRIM(UPPER(D66)),5,1))&gt;=65,CODE(MID(TRIM(UPPER(D66)),5,1))&lt;=90,CODE(MID(TRIM(UPPER(D66)),10,1))&gt;=65,CODE(MID(TRIM(UPPER(D66)),10,1))&lt;=90,CODE(MID(TRIM(UPPER(D66)),6,1))&gt;=48,CODE(MID(TRIM(UPPER(D66)),6,1))&lt;=57,CODE(MID(TRIM(UPPER(D66)),7,1))&gt;=48,CODE(MID(TRIM(UPPER(D66)),7,1))&lt;=57,CODE(MID(TRIM(UPPER(D66)),8,1))&gt;=48,CODE(MID(TRIM(UPPER(D66)),8,1))&lt;=57,CODE(MID(TRIM(UPPER(D66)),9,1))&gt;=48,CODE(MID(TRIM(UPPER(D66)),9,1))&lt;=57),"N","Y"))</f>
      </c>
      <c r="F66" s="7">
        <f>IF($C66="","",IF(LEN(D66)&lt;4,"",IF(UPPER(MID(D66,4,1))="P","Individual",IF(UPPER(MID(D66,4,1))="H","HUF",IF(UPPER(MID(D66,4,1))="C","Company",IF(UPPER(MID(D66,4,1))="F","Firm",IF(UPPER(MID(D66,4,1))="L","LLP",IF(UPPER(MID(D66,4,1))="T","Trust",IF(UPPER(MID(D66,4,1))="A","AOP","")))))))))</f>
      </c>
      <c r="G66" s="8"/>
      <c r="H66" s="7">
        <f>IF($C66="","",IF(R66&lt;&gt;"",R66,IF(G66="","",IF(E66="Y",SUMPRODUCT(('Rate Lookup'!$A$1:$A$37=G66)*'Rate Lookup'!$D$1:$D$37),IF(OR(F66="Individual",F66="HUF"),SUMPRODUCT(('Rate Lookup'!$A$1:$A$37=G66)*'Rate Lookup'!$B$1:$B$37),SUMPRODUCT(('Rate Lookup'!$A$1:$A$37=G66)*'Rate Lookup'!$C$1:$C$37)))))))</f>
      </c>
      <c r="I66" s="8"/>
      <c r="J66" s="8"/>
      <c r="K66" s="7">
        <f>IF($C66="","",IF(OR(P66="B",P66="D",P66="E",P66="N",P66="O",P66="P",P66="Q",P66="S",P66="Y",P66="Z"),0,ROUND(J66*H66/100,0)))</f>
      </c>
      <c r="L66" s="7">
        <f>IF($C66="","",0)</f>
      </c>
      <c r="M66" s="7">
        <f>IF($C66="","",0)</f>
      </c>
      <c r="N66" s="7">
        <f>IF($C66="","",IF(OR(K66=0,I66="",IFERROR(INDEX('Challan Master'!$D$4:$D$207,MATCH($B66,'Challan Master'!$S$4:$S$207,0)),"")="",IFERROR(INDEX('Challan Master'!$D$4:$D$207,MATCH($B66,'Challan Master'!$S$4:$S$207,0)),"")&lt;=0),0,IF(IFERROR(INDEX('Challan Master'!$D$4:$D$207,MATCH($B66,'Challan Master'!$S$4:$S$207,0)),"")&lt;=DATE(YEAR(I66),MONTH(I66)+1,7),0,ROUND(K66*0.015*((YEAR(IFERROR(INDEX('Challan Master'!$D$4:$D$207,MATCH($B66,'Challan Master'!$S$4:$S$207,0)),""))-YEAR(I66))*12+(MONTH(IFERROR(INDEX('Challan Master'!$D$4:$D$207,MATCH($B66,'Challan Master'!$S$4:$S$207,0)),""))-MONTH(I66))+1),0))))</f>
      </c>
      <c r="O66" s="7">
        <f>IF($C66="","",0)</f>
      </c>
      <c r="P66" s="8"/>
      <c r="Q66" s="8"/>
      <c r="R66" s="8"/>
      <c r="S66" s="8"/>
      <c r="T66" s="8"/>
      <c r="U66" s="7">
        <f>IF($B66="","",IFERROR(INDEX('Challan Master'!$AA$4:$AA$207,MATCH($B66,'Challan Master'!$S$4:$S$207,0)),""))</f>
      </c>
    </row>
    <row r="67" spans="1:22" x14ac:dyDescent="0.25">
      <c r="A67" s="7">
        <f>IF($C67="","",COUNTIF($C$4:$C67,"&lt;&gt;"))</f>
      </c>
      <c r="B67" s="8"/>
      <c r="C67" s="8"/>
      <c r="D67" s="8"/>
      <c r="E67" s="7">
        <f>IF($C67="","",IF(AND(LEN(TRIM(UPPER(D67)))=10,CODE(MID(TRIM(UPPER(D67)),1,1))&gt;=65,CODE(MID(TRIM(UPPER(D67)),1,1))&lt;=90,CODE(MID(TRIM(UPPER(D67)),2,1))&gt;=65,CODE(MID(TRIM(UPPER(D67)),2,1))&lt;=90,CODE(MID(TRIM(UPPER(D67)),3,1))&gt;=65,CODE(MID(TRIM(UPPER(D67)),3,1))&lt;=90,CODE(MID(TRIM(UPPER(D67)),4,1))&gt;=65,CODE(MID(TRIM(UPPER(D67)),4,1))&lt;=90,CODE(MID(TRIM(UPPER(D67)),5,1))&gt;=65,CODE(MID(TRIM(UPPER(D67)),5,1))&lt;=90,CODE(MID(TRIM(UPPER(D67)),10,1))&gt;=65,CODE(MID(TRIM(UPPER(D67)),10,1))&lt;=90,CODE(MID(TRIM(UPPER(D67)),6,1))&gt;=48,CODE(MID(TRIM(UPPER(D67)),6,1))&lt;=57,CODE(MID(TRIM(UPPER(D67)),7,1))&gt;=48,CODE(MID(TRIM(UPPER(D67)),7,1))&lt;=57,CODE(MID(TRIM(UPPER(D67)),8,1))&gt;=48,CODE(MID(TRIM(UPPER(D67)),8,1))&lt;=57,CODE(MID(TRIM(UPPER(D67)),9,1))&gt;=48,CODE(MID(TRIM(UPPER(D67)),9,1))&lt;=57),"N","Y"))</f>
      </c>
      <c r="F67" s="7">
        <f>IF($C67="","",IF(LEN(D67)&lt;4,"",IF(UPPER(MID(D67,4,1))="P","Individual",IF(UPPER(MID(D67,4,1))="H","HUF",IF(UPPER(MID(D67,4,1))="C","Company",IF(UPPER(MID(D67,4,1))="F","Firm",IF(UPPER(MID(D67,4,1))="L","LLP",IF(UPPER(MID(D67,4,1))="T","Trust",IF(UPPER(MID(D67,4,1))="A","AOP","")))))))))</f>
      </c>
      <c r="G67" s="8"/>
      <c r="H67" s="7">
        <f>IF($C67="","",IF(R67&lt;&gt;"",R67,IF(G67="","",IF(E67="Y",SUMPRODUCT(('Rate Lookup'!$A$1:$A$37=G67)*'Rate Lookup'!$D$1:$D$37),IF(OR(F67="Individual",F67="HUF"),SUMPRODUCT(('Rate Lookup'!$A$1:$A$37=G67)*'Rate Lookup'!$B$1:$B$37),SUMPRODUCT(('Rate Lookup'!$A$1:$A$37=G67)*'Rate Lookup'!$C$1:$C$37)))))))</f>
      </c>
      <c r="I67" s="8"/>
      <c r="J67" s="8"/>
      <c r="K67" s="7">
        <f>IF($C67="","",IF(OR(P67="B",P67="D",P67="E",P67="N",P67="O",P67="P",P67="Q",P67="S",P67="Y",P67="Z"),0,ROUND(J67*H67/100,0)))</f>
      </c>
      <c r="L67" s="7">
        <f>IF($C67="","",0)</f>
      </c>
      <c r="M67" s="7">
        <f>IF($C67="","",0)</f>
      </c>
      <c r="N67" s="7">
        <f>IF($C67="","",IF(OR(K67=0,I67="",IFERROR(INDEX('Challan Master'!$D$4:$D$207,MATCH($B67,'Challan Master'!$S$4:$S$207,0)),"")="",IFERROR(INDEX('Challan Master'!$D$4:$D$207,MATCH($B67,'Challan Master'!$S$4:$S$207,0)),"")&lt;=0),0,IF(IFERROR(INDEX('Challan Master'!$D$4:$D$207,MATCH($B67,'Challan Master'!$S$4:$S$207,0)),"")&lt;=DATE(YEAR(I67),MONTH(I67)+1,7),0,ROUND(K67*0.015*((YEAR(IFERROR(INDEX('Challan Master'!$D$4:$D$207,MATCH($B67,'Challan Master'!$S$4:$S$207,0)),""))-YEAR(I67))*12+(MONTH(IFERROR(INDEX('Challan Master'!$D$4:$D$207,MATCH($B67,'Challan Master'!$S$4:$S$207,0)),""))-MONTH(I67))+1),0))))</f>
      </c>
      <c r="O67" s="7">
        <f>IF($C67="","",0)</f>
      </c>
      <c r="P67" s="8"/>
      <c r="Q67" s="8"/>
      <c r="R67" s="8"/>
      <c r="S67" s="8"/>
      <c r="T67" s="8"/>
      <c r="U67" s="7">
        <f>IF($B67="","",IFERROR(INDEX('Challan Master'!$AA$4:$AA$207,MATCH($B67,'Challan Master'!$S$4:$S$207,0)),""))</f>
      </c>
    </row>
    <row r="68" spans="1:22" x14ac:dyDescent="0.25">
      <c r="A68" s="7">
        <f>IF($C68="","",COUNTIF($C$4:$C68,"&lt;&gt;"))</f>
      </c>
      <c r="B68" s="8"/>
      <c r="C68" s="8"/>
      <c r="D68" s="8"/>
      <c r="E68" s="7">
        <f>IF($C68="","",IF(AND(LEN(TRIM(UPPER(D68)))=10,CODE(MID(TRIM(UPPER(D68)),1,1))&gt;=65,CODE(MID(TRIM(UPPER(D68)),1,1))&lt;=90,CODE(MID(TRIM(UPPER(D68)),2,1))&gt;=65,CODE(MID(TRIM(UPPER(D68)),2,1))&lt;=90,CODE(MID(TRIM(UPPER(D68)),3,1))&gt;=65,CODE(MID(TRIM(UPPER(D68)),3,1))&lt;=90,CODE(MID(TRIM(UPPER(D68)),4,1))&gt;=65,CODE(MID(TRIM(UPPER(D68)),4,1))&lt;=90,CODE(MID(TRIM(UPPER(D68)),5,1))&gt;=65,CODE(MID(TRIM(UPPER(D68)),5,1))&lt;=90,CODE(MID(TRIM(UPPER(D68)),10,1))&gt;=65,CODE(MID(TRIM(UPPER(D68)),10,1))&lt;=90,CODE(MID(TRIM(UPPER(D68)),6,1))&gt;=48,CODE(MID(TRIM(UPPER(D68)),6,1))&lt;=57,CODE(MID(TRIM(UPPER(D68)),7,1))&gt;=48,CODE(MID(TRIM(UPPER(D68)),7,1))&lt;=57,CODE(MID(TRIM(UPPER(D68)),8,1))&gt;=48,CODE(MID(TRIM(UPPER(D68)),8,1))&lt;=57,CODE(MID(TRIM(UPPER(D68)),9,1))&gt;=48,CODE(MID(TRIM(UPPER(D68)),9,1))&lt;=57),"N","Y"))</f>
      </c>
      <c r="F68" s="7">
        <f>IF($C68="","",IF(LEN(D68)&lt;4,"",IF(UPPER(MID(D68,4,1))="P","Individual",IF(UPPER(MID(D68,4,1))="H","HUF",IF(UPPER(MID(D68,4,1))="C","Company",IF(UPPER(MID(D68,4,1))="F","Firm",IF(UPPER(MID(D68,4,1))="L","LLP",IF(UPPER(MID(D68,4,1))="T","Trust",IF(UPPER(MID(D68,4,1))="A","AOP","")))))))))</f>
      </c>
      <c r="G68" s="8"/>
      <c r="H68" s="7">
        <f>IF($C68="","",IF(R68&lt;&gt;"",R68,IF(G68="","",IF(E68="Y",SUMPRODUCT(('Rate Lookup'!$A$1:$A$37=G68)*'Rate Lookup'!$D$1:$D$37),IF(OR(F68="Individual",F68="HUF"),SUMPRODUCT(('Rate Lookup'!$A$1:$A$37=G68)*'Rate Lookup'!$B$1:$B$37),SUMPRODUCT(('Rate Lookup'!$A$1:$A$37=G68)*'Rate Lookup'!$C$1:$C$37)))))))</f>
      </c>
      <c r="I68" s="8"/>
      <c r="J68" s="8"/>
      <c r="K68" s="7">
        <f>IF($C68="","",IF(OR(P68="B",P68="D",P68="E",P68="N",P68="O",P68="P",P68="Q",P68="S",P68="Y",P68="Z"),0,ROUND(J68*H68/100,0)))</f>
      </c>
      <c r="L68" s="7">
        <f>IF($C68="","",0)</f>
      </c>
      <c r="M68" s="7">
        <f>IF($C68="","",0)</f>
      </c>
      <c r="N68" s="7">
        <f>IF($C68="","",IF(OR(K68=0,I68="",IFERROR(INDEX('Challan Master'!$D$4:$D$207,MATCH($B68,'Challan Master'!$S$4:$S$207,0)),"")="",IFERROR(INDEX('Challan Master'!$D$4:$D$207,MATCH($B68,'Challan Master'!$S$4:$S$207,0)),"")&lt;=0),0,IF(IFERROR(INDEX('Challan Master'!$D$4:$D$207,MATCH($B68,'Challan Master'!$S$4:$S$207,0)),"")&lt;=DATE(YEAR(I68),MONTH(I68)+1,7),0,ROUND(K68*0.015*((YEAR(IFERROR(INDEX('Challan Master'!$D$4:$D$207,MATCH($B68,'Challan Master'!$S$4:$S$207,0)),""))-YEAR(I68))*12+(MONTH(IFERROR(INDEX('Challan Master'!$D$4:$D$207,MATCH($B68,'Challan Master'!$S$4:$S$207,0)),""))-MONTH(I68))+1),0))))</f>
      </c>
      <c r="O68" s="7">
        <f>IF($C68="","",0)</f>
      </c>
      <c r="P68" s="8"/>
      <c r="Q68" s="8"/>
      <c r="R68" s="8"/>
      <c r="S68" s="8"/>
      <c r="T68" s="8"/>
      <c r="U68" s="7">
        <f>IF($B68="","",IFERROR(INDEX('Challan Master'!$AA$4:$AA$207,MATCH($B68,'Challan Master'!$S$4:$S$207,0)),""))</f>
      </c>
    </row>
    <row r="69" spans="1:22" x14ac:dyDescent="0.25">
      <c r="A69" s="7">
        <f>IF($C69="","",COUNTIF($C$4:$C69,"&lt;&gt;"))</f>
      </c>
      <c r="B69" s="8"/>
      <c r="C69" s="8"/>
      <c r="D69" s="8"/>
      <c r="E69" s="7">
        <f>IF($C69="","",IF(AND(LEN(TRIM(UPPER(D69)))=10,CODE(MID(TRIM(UPPER(D69)),1,1))&gt;=65,CODE(MID(TRIM(UPPER(D69)),1,1))&lt;=90,CODE(MID(TRIM(UPPER(D69)),2,1))&gt;=65,CODE(MID(TRIM(UPPER(D69)),2,1))&lt;=90,CODE(MID(TRIM(UPPER(D69)),3,1))&gt;=65,CODE(MID(TRIM(UPPER(D69)),3,1))&lt;=90,CODE(MID(TRIM(UPPER(D69)),4,1))&gt;=65,CODE(MID(TRIM(UPPER(D69)),4,1))&lt;=90,CODE(MID(TRIM(UPPER(D69)),5,1))&gt;=65,CODE(MID(TRIM(UPPER(D69)),5,1))&lt;=90,CODE(MID(TRIM(UPPER(D69)),10,1))&gt;=65,CODE(MID(TRIM(UPPER(D69)),10,1))&lt;=90,CODE(MID(TRIM(UPPER(D69)),6,1))&gt;=48,CODE(MID(TRIM(UPPER(D69)),6,1))&lt;=57,CODE(MID(TRIM(UPPER(D69)),7,1))&gt;=48,CODE(MID(TRIM(UPPER(D69)),7,1))&lt;=57,CODE(MID(TRIM(UPPER(D69)),8,1))&gt;=48,CODE(MID(TRIM(UPPER(D69)),8,1))&lt;=57,CODE(MID(TRIM(UPPER(D69)),9,1))&gt;=48,CODE(MID(TRIM(UPPER(D69)),9,1))&lt;=57),"N","Y"))</f>
      </c>
      <c r="F69" s="7">
        <f>IF($C69="","",IF(LEN(D69)&lt;4,"",IF(UPPER(MID(D69,4,1))="P","Individual",IF(UPPER(MID(D69,4,1))="H","HUF",IF(UPPER(MID(D69,4,1))="C","Company",IF(UPPER(MID(D69,4,1))="F","Firm",IF(UPPER(MID(D69,4,1))="L","LLP",IF(UPPER(MID(D69,4,1))="T","Trust",IF(UPPER(MID(D69,4,1))="A","AOP","")))))))))</f>
      </c>
      <c r="G69" s="8"/>
      <c r="H69" s="7">
        <f>IF($C69="","",IF(R69&lt;&gt;"",R69,IF(G69="","",IF(E69="Y",SUMPRODUCT(('Rate Lookup'!$A$1:$A$37=G69)*'Rate Lookup'!$D$1:$D$37),IF(OR(F69="Individual",F69="HUF"),SUMPRODUCT(('Rate Lookup'!$A$1:$A$37=G69)*'Rate Lookup'!$B$1:$B$37),SUMPRODUCT(('Rate Lookup'!$A$1:$A$37=G69)*'Rate Lookup'!$C$1:$C$37)))))))</f>
      </c>
      <c r="I69" s="8"/>
      <c r="J69" s="8"/>
      <c r="K69" s="7">
        <f>IF($C69="","",IF(OR(P69="B",P69="D",P69="E",P69="N",P69="O",P69="P",P69="Q",P69="S",P69="Y",P69="Z"),0,ROUND(J69*H69/100,0)))</f>
      </c>
      <c r="L69" s="7">
        <f>IF($C69="","",0)</f>
      </c>
      <c r="M69" s="7">
        <f>IF($C69="","",0)</f>
      </c>
      <c r="N69" s="7">
        <f>IF($C69="","",IF(OR(K69=0,I69="",IFERROR(INDEX('Challan Master'!$D$4:$D$207,MATCH($B69,'Challan Master'!$S$4:$S$207,0)),"")="",IFERROR(INDEX('Challan Master'!$D$4:$D$207,MATCH($B69,'Challan Master'!$S$4:$S$207,0)),"")&lt;=0),0,IF(IFERROR(INDEX('Challan Master'!$D$4:$D$207,MATCH($B69,'Challan Master'!$S$4:$S$207,0)),"")&lt;=DATE(YEAR(I69),MONTH(I69)+1,7),0,ROUND(K69*0.015*((YEAR(IFERROR(INDEX('Challan Master'!$D$4:$D$207,MATCH($B69,'Challan Master'!$S$4:$S$207,0)),""))-YEAR(I69))*12+(MONTH(IFERROR(INDEX('Challan Master'!$D$4:$D$207,MATCH($B69,'Challan Master'!$S$4:$S$207,0)),""))-MONTH(I69))+1),0))))</f>
      </c>
      <c r="O69" s="7">
        <f>IF($C69="","",0)</f>
      </c>
      <c r="P69" s="8"/>
      <c r="Q69" s="8"/>
      <c r="R69" s="8"/>
      <c r="S69" s="8"/>
      <c r="T69" s="8"/>
      <c r="U69" s="7">
        <f>IF($B69="","",IFERROR(INDEX('Challan Master'!$AA$4:$AA$207,MATCH($B69,'Challan Master'!$S$4:$S$207,0)),""))</f>
      </c>
    </row>
    <row r="70" spans="1:22" x14ac:dyDescent="0.25">
      <c r="A70" s="7">
        <f>IF($C70="","",COUNTIF($C$4:$C70,"&lt;&gt;"))</f>
      </c>
      <c r="B70" s="8"/>
      <c r="C70" s="8"/>
      <c r="D70" s="8"/>
      <c r="E70" s="7">
        <f>IF($C70="","",IF(AND(LEN(TRIM(UPPER(D70)))=10,CODE(MID(TRIM(UPPER(D70)),1,1))&gt;=65,CODE(MID(TRIM(UPPER(D70)),1,1))&lt;=90,CODE(MID(TRIM(UPPER(D70)),2,1))&gt;=65,CODE(MID(TRIM(UPPER(D70)),2,1))&lt;=90,CODE(MID(TRIM(UPPER(D70)),3,1))&gt;=65,CODE(MID(TRIM(UPPER(D70)),3,1))&lt;=90,CODE(MID(TRIM(UPPER(D70)),4,1))&gt;=65,CODE(MID(TRIM(UPPER(D70)),4,1))&lt;=90,CODE(MID(TRIM(UPPER(D70)),5,1))&gt;=65,CODE(MID(TRIM(UPPER(D70)),5,1))&lt;=90,CODE(MID(TRIM(UPPER(D70)),10,1))&gt;=65,CODE(MID(TRIM(UPPER(D70)),10,1))&lt;=90,CODE(MID(TRIM(UPPER(D70)),6,1))&gt;=48,CODE(MID(TRIM(UPPER(D70)),6,1))&lt;=57,CODE(MID(TRIM(UPPER(D70)),7,1))&gt;=48,CODE(MID(TRIM(UPPER(D70)),7,1))&lt;=57,CODE(MID(TRIM(UPPER(D70)),8,1))&gt;=48,CODE(MID(TRIM(UPPER(D70)),8,1))&lt;=57,CODE(MID(TRIM(UPPER(D70)),9,1))&gt;=48,CODE(MID(TRIM(UPPER(D70)),9,1))&lt;=57),"N","Y"))</f>
      </c>
      <c r="F70" s="7">
        <f>IF($C70="","",IF(LEN(D70)&lt;4,"",IF(UPPER(MID(D70,4,1))="P","Individual",IF(UPPER(MID(D70,4,1))="H","HUF",IF(UPPER(MID(D70,4,1))="C","Company",IF(UPPER(MID(D70,4,1))="F","Firm",IF(UPPER(MID(D70,4,1))="L","LLP",IF(UPPER(MID(D70,4,1))="T","Trust",IF(UPPER(MID(D70,4,1))="A","AOP","")))))))))</f>
      </c>
      <c r="G70" s="8"/>
      <c r="H70" s="7">
        <f>IF($C70="","",IF(R70&lt;&gt;"",R70,IF(G70="","",IF(E70="Y",SUMPRODUCT(('Rate Lookup'!$A$1:$A$37=G70)*'Rate Lookup'!$D$1:$D$37),IF(OR(F70="Individual",F70="HUF"),SUMPRODUCT(('Rate Lookup'!$A$1:$A$37=G70)*'Rate Lookup'!$B$1:$B$37),SUMPRODUCT(('Rate Lookup'!$A$1:$A$37=G70)*'Rate Lookup'!$C$1:$C$37)))))))</f>
      </c>
      <c r="I70" s="8"/>
      <c r="J70" s="8"/>
      <c r="K70" s="7">
        <f>IF($C70="","",IF(OR(P70="B",P70="D",P70="E",P70="N",P70="O",P70="P",P70="Q",P70="S",P70="Y",P70="Z"),0,ROUND(J70*H70/100,0)))</f>
      </c>
      <c r="L70" s="7">
        <f>IF($C70="","",0)</f>
      </c>
      <c r="M70" s="7">
        <f>IF($C70="","",0)</f>
      </c>
      <c r="N70" s="7">
        <f>IF($C70="","",IF(OR(K70=0,I70="",IFERROR(INDEX('Challan Master'!$D$4:$D$207,MATCH($B70,'Challan Master'!$S$4:$S$207,0)),"")="",IFERROR(INDEX('Challan Master'!$D$4:$D$207,MATCH($B70,'Challan Master'!$S$4:$S$207,0)),"")&lt;=0),0,IF(IFERROR(INDEX('Challan Master'!$D$4:$D$207,MATCH($B70,'Challan Master'!$S$4:$S$207,0)),"")&lt;=DATE(YEAR(I70),MONTH(I70)+1,7),0,ROUND(K70*0.015*((YEAR(IFERROR(INDEX('Challan Master'!$D$4:$D$207,MATCH($B70,'Challan Master'!$S$4:$S$207,0)),""))-YEAR(I70))*12+(MONTH(IFERROR(INDEX('Challan Master'!$D$4:$D$207,MATCH($B70,'Challan Master'!$S$4:$S$207,0)),""))-MONTH(I70))+1),0))))</f>
      </c>
      <c r="O70" s="7">
        <f>IF($C70="","",0)</f>
      </c>
      <c r="P70" s="8"/>
      <c r="Q70" s="8"/>
      <c r="R70" s="8"/>
      <c r="S70" s="8"/>
      <c r="T70" s="8"/>
      <c r="U70" s="7">
        <f>IF($B70="","",IFERROR(INDEX('Challan Master'!$AA$4:$AA$207,MATCH($B70,'Challan Master'!$S$4:$S$207,0)),""))</f>
      </c>
    </row>
    <row r="71" spans="1:22" x14ac:dyDescent="0.25">
      <c r="A71" s="7">
        <f>IF($C71="","",COUNTIF($C$4:$C71,"&lt;&gt;"))</f>
      </c>
      <c r="B71" s="8"/>
      <c r="C71" s="8"/>
      <c r="D71" s="8"/>
      <c r="E71" s="7">
        <f>IF($C71="","",IF(AND(LEN(TRIM(UPPER(D71)))=10,CODE(MID(TRIM(UPPER(D71)),1,1))&gt;=65,CODE(MID(TRIM(UPPER(D71)),1,1))&lt;=90,CODE(MID(TRIM(UPPER(D71)),2,1))&gt;=65,CODE(MID(TRIM(UPPER(D71)),2,1))&lt;=90,CODE(MID(TRIM(UPPER(D71)),3,1))&gt;=65,CODE(MID(TRIM(UPPER(D71)),3,1))&lt;=90,CODE(MID(TRIM(UPPER(D71)),4,1))&gt;=65,CODE(MID(TRIM(UPPER(D71)),4,1))&lt;=90,CODE(MID(TRIM(UPPER(D71)),5,1))&gt;=65,CODE(MID(TRIM(UPPER(D71)),5,1))&lt;=90,CODE(MID(TRIM(UPPER(D71)),10,1))&gt;=65,CODE(MID(TRIM(UPPER(D71)),10,1))&lt;=90,CODE(MID(TRIM(UPPER(D71)),6,1))&gt;=48,CODE(MID(TRIM(UPPER(D71)),6,1))&lt;=57,CODE(MID(TRIM(UPPER(D71)),7,1))&gt;=48,CODE(MID(TRIM(UPPER(D71)),7,1))&lt;=57,CODE(MID(TRIM(UPPER(D71)),8,1))&gt;=48,CODE(MID(TRIM(UPPER(D71)),8,1))&lt;=57,CODE(MID(TRIM(UPPER(D71)),9,1))&gt;=48,CODE(MID(TRIM(UPPER(D71)),9,1))&lt;=57),"N","Y"))</f>
      </c>
      <c r="F71" s="7">
        <f>IF($C71="","",IF(LEN(D71)&lt;4,"",IF(UPPER(MID(D71,4,1))="P","Individual",IF(UPPER(MID(D71,4,1))="H","HUF",IF(UPPER(MID(D71,4,1))="C","Company",IF(UPPER(MID(D71,4,1))="F","Firm",IF(UPPER(MID(D71,4,1))="L","LLP",IF(UPPER(MID(D71,4,1))="T","Trust",IF(UPPER(MID(D71,4,1))="A","AOP","")))))))))</f>
      </c>
      <c r="G71" s="8"/>
      <c r="H71" s="7">
        <f>IF($C71="","",IF(R71&lt;&gt;"",R71,IF(G71="","",IF(E71="Y",SUMPRODUCT(('Rate Lookup'!$A$1:$A$37=G71)*'Rate Lookup'!$D$1:$D$37),IF(OR(F71="Individual",F71="HUF"),SUMPRODUCT(('Rate Lookup'!$A$1:$A$37=G71)*'Rate Lookup'!$B$1:$B$37),SUMPRODUCT(('Rate Lookup'!$A$1:$A$37=G71)*'Rate Lookup'!$C$1:$C$37)))))))</f>
      </c>
      <c r="I71" s="8"/>
      <c r="J71" s="8"/>
      <c r="K71" s="7">
        <f>IF($C71="","",IF(OR(P71="B",P71="D",P71="E",P71="N",P71="O",P71="P",P71="Q",P71="S",P71="Y",P71="Z"),0,ROUND(J71*H71/100,0)))</f>
      </c>
      <c r="L71" s="7">
        <f>IF($C71="","",0)</f>
      </c>
      <c r="M71" s="7">
        <f>IF($C71="","",0)</f>
      </c>
      <c r="N71" s="7">
        <f>IF($C71="","",IF(OR(K71=0,I71="",IFERROR(INDEX('Challan Master'!$D$4:$D$207,MATCH($B71,'Challan Master'!$S$4:$S$207,0)),"")="",IFERROR(INDEX('Challan Master'!$D$4:$D$207,MATCH($B71,'Challan Master'!$S$4:$S$207,0)),"")&lt;=0),0,IF(IFERROR(INDEX('Challan Master'!$D$4:$D$207,MATCH($B71,'Challan Master'!$S$4:$S$207,0)),"")&lt;=DATE(YEAR(I71),MONTH(I71)+1,7),0,ROUND(K71*0.015*((YEAR(IFERROR(INDEX('Challan Master'!$D$4:$D$207,MATCH($B71,'Challan Master'!$S$4:$S$207,0)),""))-YEAR(I71))*12+(MONTH(IFERROR(INDEX('Challan Master'!$D$4:$D$207,MATCH($B71,'Challan Master'!$S$4:$S$207,0)),""))-MONTH(I71))+1),0))))</f>
      </c>
      <c r="O71" s="7">
        <f>IF($C71="","",0)</f>
      </c>
      <c r="P71" s="8"/>
      <c r="Q71" s="8"/>
      <c r="R71" s="8"/>
      <c r="S71" s="8"/>
      <c r="T71" s="8"/>
      <c r="U71" s="7">
        <f>IF($B71="","",IFERROR(INDEX('Challan Master'!$AA$4:$AA$207,MATCH($B71,'Challan Master'!$S$4:$S$207,0)),""))</f>
      </c>
    </row>
    <row r="72" spans="1:22" x14ac:dyDescent="0.25">
      <c r="A72" s="7">
        <f>IF($C72="","",COUNTIF($C$4:$C72,"&lt;&gt;"))</f>
      </c>
      <c r="B72" s="8"/>
      <c r="C72" s="8"/>
      <c r="D72" s="8"/>
      <c r="E72" s="7">
        <f>IF($C72="","",IF(AND(LEN(TRIM(UPPER(D72)))=10,CODE(MID(TRIM(UPPER(D72)),1,1))&gt;=65,CODE(MID(TRIM(UPPER(D72)),1,1))&lt;=90,CODE(MID(TRIM(UPPER(D72)),2,1))&gt;=65,CODE(MID(TRIM(UPPER(D72)),2,1))&lt;=90,CODE(MID(TRIM(UPPER(D72)),3,1))&gt;=65,CODE(MID(TRIM(UPPER(D72)),3,1))&lt;=90,CODE(MID(TRIM(UPPER(D72)),4,1))&gt;=65,CODE(MID(TRIM(UPPER(D72)),4,1))&lt;=90,CODE(MID(TRIM(UPPER(D72)),5,1))&gt;=65,CODE(MID(TRIM(UPPER(D72)),5,1))&lt;=90,CODE(MID(TRIM(UPPER(D72)),10,1))&gt;=65,CODE(MID(TRIM(UPPER(D72)),10,1))&lt;=90,CODE(MID(TRIM(UPPER(D72)),6,1))&gt;=48,CODE(MID(TRIM(UPPER(D72)),6,1))&lt;=57,CODE(MID(TRIM(UPPER(D72)),7,1))&gt;=48,CODE(MID(TRIM(UPPER(D72)),7,1))&lt;=57,CODE(MID(TRIM(UPPER(D72)),8,1))&gt;=48,CODE(MID(TRIM(UPPER(D72)),8,1))&lt;=57,CODE(MID(TRIM(UPPER(D72)),9,1))&gt;=48,CODE(MID(TRIM(UPPER(D72)),9,1))&lt;=57),"N","Y"))</f>
      </c>
      <c r="F72" s="7">
        <f>IF($C72="","",IF(LEN(D72)&lt;4,"",IF(UPPER(MID(D72,4,1))="P","Individual",IF(UPPER(MID(D72,4,1))="H","HUF",IF(UPPER(MID(D72,4,1))="C","Company",IF(UPPER(MID(D72,4,1))="F","Firm",IF(UPPER(MID(D72,4,1))="L","LLP",IF(UPPER(MID(D72,4,1))="T","Trust",IF(UPPER(MID(D72,4,1))="A","AOP","")))))))))</f>
      </c>
      <c r="G72" s="8"/>
      <c r="H72" s="7">
        <f>IF($C72="","",IF(R72&lt;&gt;"",R72,IF(G72="","",IF(E72="Y",SUMPRODUCT(('Rate Lookup'!$A$1:$A$37=G72)*'Rate Lookup'!$D$1:$D$37),IF(OR(F72="Individual",F72="HUF"),SUMPRODUCT(('Rate Lookup'!$A$1:$A$37=G72)*'Rate Lookup'!$B$1:$B$37),SUMPRODUCT(('Rate Lookup'!$A$1:$A$37=G72)*'Rate Lookup'!$C$1:$C$37)))))))</f>
      </c>
      <c r="I72" s="8"/>
      <c r="J72" s="8"/>
      <c r="K72" s="7">
        <f>IF($C72="","",IF(OR(P72="B",P72="D",P72="E",P72="N",P72="O",P72="P",P72="Q",P72="S",P72="Y",P72="Z"),0,ROUND(J72*H72/100,0)))</f>
      </c>
      <c r="L72" s="7">
        <f>IF($C72="","",0)</f>
      </c>
      <c r="M72" s="7">
        <f>IF($C72="","",0)</f>
      </c>
      <c r="N72" s="7">
        <f>IF($C72="","",IF(OR(K72=0,I72="",IFERROR(INDEX('Challan Master'!$D$4:$D$207,MATCH($B72,'Challan Master'!$S$4:$S$207,0)),"")="",IFERROR(INDEX('Challan Master'!$D$4:$D$207,MATCH($B72,'Challan Master'!$S$4:$S$207,0)),"")&lt;=0),0,IF(IFERROR(INDEX('Challan Master'!$D$4:$D$207,MATCH($B72,'Challan Master'!$S$4:$S$207,0)),"")&lt;=DATE(YEAR(I72),MONTH(I72)+1,7),0,ROUND(K72*0.015*((YEAR(IFERROR(INDEX('Challan Master'!$D$4:$D$207,MATCH($B72,'Challan Master'!$S$4:$S$207,0)),""))-YEAR(I72))*12+(MONTH(IFERROR(INDEX('Challan Master'!$D$4:$D$207,MATCH($B72,'Challan Master'!$S$4:$S$207,0)),""))-MONTH(I72))+1),0))))</f>
      </c>
      <c r="O72" s="7">
        <f>IF($C72="","",0)</f>
      </c>
      <c r="P72" s="8"/>
      <c r="Q72" s="8"/>
      <c r="R72" s="8"/>
      <c r="S72" s="8"/>
      <c r="T72" s="8"/>
      <c r="U72" s="7">
        <f>IF($B72="","",IFERROR(INDEX('Challan Master'!$AA$4:$AA$207,MATCH($B72,'Challan Master'!$S$4:$S$207,0)),""))</f>
      </c>
    </row>
    <row r="73" spans="1:22" x14ac:dyDescent="0.25">
      <c r="A73" s="7">
        <f>IF($C73="","",COUNTIF($C$4:$C73,"&lt;&gt;"))</f>
      </c>
      <c r="B73" s="8"/>
      <c r="C73" s="8"/>
      <c r="D73" s="8"/>
      <c r="E73" s="7">
        <f>IF($C73="","",IF(AND(LEN(TRIM(UPPER(D73)))=10,CODE(MID(TRIM(UPPER(D73)),1,1))&gt;=65,CODE(MID(TRIM(UPPER(D73)),1,1))&lt;=90,CODE(MID(TRIM(UPPER(D73)),2,1))&gt;=65,CODE(MID(TRIM(UPPER(D73)),2,1))&lt;=90,CODE(MID(TRIM(UPPER(D73)),3,1))&gt;=65,CODE(MID(TRIM(UPPER(D73)),3,1))&lt;=90,CODE(MID(TRIM(UPPER(D73)),4,1))&gt;=65,CODE(MID(TRIM(UPPER(D73)),4,1))&lt;=90,CODE(MID(TRIM(UPPER(D73)),5,1))&gt;=65,CODE(MID(TRIM(UPPER(D73)),5,1))&lt;=90,CODE(MID(TRIM(UPPER(D73)),10,1))&gt;=65,CODE(MID(TRIM(UPPER(D73)),10,1))&lt;=90,CODE(MID(TRIM(UPPER(D73)),6,1))&gt;=48,CODE(MID(TRIM(UPPER(D73)),6,1))&lt;=57,CODE(MID(TRIM(UPPER(D73)),7,1))&gt;=48,CODE(MID(TRIM(UPPER(D73)),7,1))&lt;=57,CODE(MID(TRIM(UPPER(D73)),8,1))&gt;=48,CODE(MID(TRIM(UPPER(D73)),8,1))&lt;=57,CODE(MID(TRIM(UPPER(D73)),9,1))&gt;=48,CODE(MID(TRIM(UPPER(D73)),9,1))&lt;=57),"N","Y"))</f>
      </c>
      <c r="F73" s="7">
        <f>IF($C73="","",IF(LEN(D73)&lt;4,"",IF(UPPER(MID(D73,4,1))="P","Individual",IF(UPPER(MID(D73,4,1))="H","HUF",IF(UPPER(MID(D73,4,1))="C","Company",IF(UPPER(MID(D73,4,1))="F","Firm",IF(UPPER(MID(D73,4,1))="L","LLP",IF(UPPER(MID(D73,4,1))="T","Trust",IF(UPPER(MID(D73,4,1))="A","AOP","")))))))))</f>
      </c>
      <c r="G73" s="8"/>
      <c r="H73" s="7">
        <f>IF($C73="","",IF(R73&lt;&gt;"",R73,IF(G73="","",IF(E73="Y",SUMPRODUCT(('Rate Lookup'!$A$1:$A$37=G73)*'Rate Lookup'!$D$1:$D$37),IF(OR(F73="Individual",F73="HUF"),SUMPRODUCT(('Rate Lookup'!$A$1:$A$37=G73)*'Rate Lookup'!$B$1:$B$37),SUMPRODUCT(('Rate Lookup'!$A$1:$A$37=G73)*'Rate Lookup'!$C$1:$C$37)))))))</f>
      </c>
      <c r="I73" s="8"/>
      <c r="J73" s="8"/>
      <c r="K73" s="7">
        <f>IF($C73="","",IF(OR(P73="B",P73="D",P73="E",P73="N",P73="O",P73="P",P73="Q",P73="S",P73="Y",P73="Z"),0,ROUND(J73*H73/100,0)))</f>
      </c>
      <c r="L73" s="7">
        <f>IF($C73="","",0)</f>
      </c>
      <c r="M73" s="7">
        <f>IF($C73="","",0)</f>
      </c>
      <c r="N73" s="7">
        <f>IF($C73="","",IF(OR(K73=0,I73="",IFERROR(INDEX('Challan Master'!$D$4:$D$207,MATCH($B73,'Challan Master'!$S$4:$S$207,0)),"")="",IFERROR(INDEX('Challan Master'!$D$4:$D$207,MATCH($B73,'Challan Master'!$S$4:$S$207,0)),"")&lt;=0),0,IF(IFERROR(INDEX('Challan Master'!$D$4:$D$207,MATCH($B73,'Challan Master'!$S$4:$S$207,0)),"")&lt;=DATE(YEAR(I73),MONTH(I73)+1,7),0,ROUND(K73*0.015*((YEAR(IFERROR(INDEX('Challan Master'!$D$4:$D$207,MATCH($B73,'Challan Master'!$S$4:$S$207,0)),""))-YEAR(I73))*12+(MONTH(IFERROR(INDEX('Challan Master'!$D$4:$D$207,MATCH($B73,'Challan Master'!$S$4:$S$207,0)),""))-MONTH(I73))+1),0))))</f>
      </c>
      <c r="O73" s="7">
        <f>IF($C73="","",0)</f>
      </c>
      <c r="P73" s="8"/>
      <c r="Q73" s="8"/>
      <c r="R73" s="8"/>
      <c r="S73" s="8"/>
      <c r="T73" s="8"/>
      <c r="U73" s="7">
        <f>IF($B73="","",IFERROR(INDEX('Challan Master'!$AA$4:$AA$207,MATCH($B73,'Challan Master'!$S$4:$S$207,0)),""))</f>
      </c>
    </row>
    <row r="74" spans="1:22" x14ac:dyDescent="0.25">
      <c r="A74" s="7">
        <f>IF($C74="","",COUNTIF($C$4:$C74,"&lt;&gt;"))</f>
      </c>
      <c r="B74" s="8"/>
      <c r="C74" s="8"/>
      <c r="D74" s="8"/>
      <c r="E74" s="7">
        <f>IF($C74="","",IF(AND(LEN(TRIM(UPPER(D74)))=10,CODE(MID(TRIM(UPPER(D74)),1,1))&gt;=65,CODE(MID(TRIM(UPPER(D74)),1,1))&lt;=90,CODE(MID(TRIM(UPPER(D74)),2,1))&gt;=65,CODE(MID(TRIM(UPPER(D74)),2,1))&lt;=90,CODE(MID(TRIM(UPPER(D74)),3,1))&gt;=65,CODE(MID(TRIM(UPPER(D74)),3,1))&lt;=90,CODE(MID(TRIM(UPPER(D74)),4,1))&gt;=65,CODE(MID(TRIM(UPPER(D74)),4,1))&lt;=90,CODE(MID(TRIM(UPPER(D74)),5,1))&gt;=65,CODE(MID(TRIM(UPPER(D74)),5,1))&lt;=90,CODE(MID(TRIM(UPPER(D74)),10,1))&gt;=65,CODE(MID(TRIM(UPPER(D74)),10,1))&lt;=90,CODE(MID(TRIM(UPPER(D74)),6,1))&gt;=48,CODE(MID(TRIM(UPPER(D74)),6,1))&lt;=57,CODE(MID(TRIM(UPPER(D74)),7,1))&gt;=48,CODE(MID(TRIM(UPPER(D74)),7,1))&lt;=57,CODE(MID(TRIM(UPPER(D74)),8,1))&gt;=48,CODE(MID(TRIM(UPPER(D74)),8,1))&lt;=57,CODE(MID(TRIM(UPPER(D74)),9,1))&gt;=48,CODE(MID(TRIM(UPPER(D74)),9,1))&lt;=57),"N","Y"))</f>
      </c>
      <c r="F74" s="7">
        <f>IF($C74="","",IF(LEN(D74)&lt;4,"",IF(UPPER(MID(D74,4,1))="P","Individual",IF(UPPER(MID(D74,4,1))="H","HUF",IF(UPPER(MID(D74,4,1))="C","Company",IF(UPPER(MID(D74,4,1))="F","Firm",IF(UPPER(MID(D74,4,1))="L","LLP",IF(UPPER(MID(D74,4,1))="T","Trust",IF(UPPER(MID(D74,4,1))="A","AOP","")))))))))</f>
      </c>
      <c r="G74" s="8"/>
      <c r="H74" s="7">
        <f>IF($C74="","",IF(R74&lt;&gt;"",R74,IF(G74="","",IF(E74="Y",SUMPRODUCT(('Rate Lookup'!$A$1:$A$37=G74)*'Rate Lookup'!$D$1:$D$37),IF(OR(F74="Individual",F74="HUF"),SUMPRODUCT(('Rate Lookup'!$A$1:$A$37=G74)*'Rate Lookup'!$B$1:$B$37),SUMPRODUCT(('Rate Lookup'!$A$1:$A$37=G74)*'Rate Lookup'!$C$1:$C$37)))))))</f>
      </c>
      <c r="I74" s="8"/>
      <c r="J74" s="8"/>
      <c r="K74" s="7">
        <f>IF($C74="","",IF(OR(P74="B",P74="D",P74="E",P74="N",P74="O",P74="P",P74="Q",P74="S",P74="Y",P74="Z"),0,ROUND(J74*H74/100,0)))</f>
      </c>
      <c r="L74" s="7">
        <f>IF($C74="","",0)</f>
      </c>
      <c r="M74" s="7">
        <f>IF($C74="","",0)</f>
      </c>
      <c r="N74" s="7">
        <f>IF($C74="","",IF(OR(K74=0,I74="",IFERROR(INDEX('Challan Master'!$D$4:$D$207,MATCH($B74,'Challan Master'!$S$4:$S$207,0)),"")="",IFERROR(INDEX('Challan Master'!$D$4:$D$207,MATCH($B74,'Challan Master'!$S$4:$S$207,0)),"")&lt;=0),0,IF(IFERROR(INDEX('Challan Master'!$D$4:$D$207,MATCH($B74,'Challan Master'!$S$4:$S$207,0)),"")&lt;=DATE(YEAR(I74),MONTH(I74)+1,7),0,ROUND(K74*0.015*((YEAR(IFERROR(INDEX('Challan Master'!$D$4:$D$207,MATCH($B74,'Challan Master'!$S$4:$S$207,0)),""))-YEAR(I74))*12+(MONTH(IFERROR(INDEX('Challan Master'!$D$4:$D$207,MATCH($B74,'Challan Master'!$S$4:$S$207,0)),""))-MONTH(I74))+1),0))))</f>
      </c>
      <c r="O74" s="7">
        <f>IF($C74="","",0)</f>
      </c>
      <c r="P74" s="8"/>
      <c r="Q74" s="8"/>
      <c r="R74" s="8"/>
      <c r="S74" s="8"/>
      <c r="T74" s="8"/>
      <c r="U74" s="7">
        <f>IF($B74="","",IFERROR(INDEX('Challan Master'!$AA$4:$AA$207,MATCH($B74,'Challan Master'!$S$4:$S$207,0)),""))</f>
      </c>
    </row>
    <row r="75" spans="1:22" x14ac:dyDescent="0.25">
      <c r="A75" s="7">
        <f>IF($C75="","",COUNTIF($C$4:$C75,"&lt;&gt;"))</f>
      </c>
      <c r="B75" s="8"/>
      <c r="C75" s="8"/>
      <c r="D75" s="8"/>
      <c r="E75" s="7">
        <f>IF($C75="","",IF(AND(LEN(TRIM(UPPER(D75)))=10,CODE(MID(TRIM(UPPER(D75)),1,1))&gt;=65,CODE(MID(TRIM(UPPER(D75)),1,1))&lt;=90,CODE(MID(TRIM(UPPER(D75)),2,1))&gt;=65,CODE(MID(TRIM(UPPER(D75)),2,1))&lt;=90,CODE(MID(TRIM(UPPER(D75)),3,1))&gt;=65,CODE(MID(TRIM(UPPER(D75)),3,1))&lt;=90,CODE(MID(TRIM(UPPER(D75)),4,1))&gt;=65,CODE(MID(TRIM(UPPER(D75)),4,1))&lt;=90,CODE(MID(TRIM(UPPER(D75)),5,1))&gt;=65,CODE(MID(TRIM(UPPER(D75)),5,1))&lt;=90,CODE(MID(TRIM(UPPER(D75)),10,1))&gt;=65,CODE(MID(TRIM(UPPER(D75)),10,1))&lt;=90,CODE(MID(TRIM(UPPER(D75)),6,1))&gt;=48,CODE(MID(TRIM(UPPER(D75)),6,1))&lt;=57,CODE(MID(TRIM(UPPER(D75)),7,1))&gt;=48,CODE(MID(TRIM(UPPER(D75)),7,1))&lt;=57,CODE(MID(TRIM(UPPER(D75)),8,1))&gt;=48,CODE(MID(TRIM(UPPER(D75)),8,1))&lt;=57,CODE(MID(TRIM(UPPER(D75)),9,1))&gt;=48,CODE(MID(TRIM(UPPER(D75)),9,1))&lt;=57),"N","Y"))</f>
      </c>
      <c r="F75" s="7">
        <f>IF($C75="","",IF(LEN(D75)&lt;4,"",IF(UPPER(MID(D75,4,1))="P","Individual",IF(UPPER(MID(D75,4,1))="H","HUF",IF(UPPER(MID(D75,4,1))="C","Company",IF(UPPER(MID(D75,4,1))="F","Firm",IF(UPPER(MID(D75,4,1))="L","LLP",IF(UPPER(MID(D75,4,1))="T","Trust",IF(UPPER(MID(D75,4,1))="A","AOP","")))))))))</f>
      </c>
      <c r="G75" s="8"/>
      <c r="H75" s="7">
        <f>IF($C75="","",IF(R75&lt;&gt;"",R75,IF(G75="","",IF(E75="Y",SUMPRODUCT(('Rate Lookup'!$A$1:$A$37=G75)*'Rate Lookup'!$D$1:$D$37),IF(OR(F75="Individual",F75="HUF"),SUMPRODUCT(('Rate Lookup'!$A$1:$A$37=G75)*'Rate Lookup'!$B$1:$B$37),SUMPRODUCT(('Rate Lookup'!$A$1:$A$37=G75)*'Rate Lookup'!$C$1:$C$37)))))))</f>
      </c>
      <c r="I75" s="8"/>
      <c r="J75" s="8"/>
      <c r="K75" s="7">
        <f>IF($C75="","",IF(OR(P75="B",P75="D",P75="E",P75="N",P75="O",P75="P",P75="Q",P75="S",P75="Y",P75="Z"),0,ROUND(J75*H75/100,0)))</f>
      </c>
      <c r="L75" s="7">
        <f>IF($C75="","",0)</f>
      </c>
      <c r="M75" s="7">
        <f>IF($C75="","",0)</f>
      </c>
      <c r="N75" s="7">
        <f>IF($C75="","",IF(OR(K75=0,I75="",IFERROR(INDEX('Challan Master'!$D$4:$D$207,MATCH($B75,'Challan Master'!$S$4:$S$207,0)),"")="",IFERROR(INDEX('Challan Master'!$D$4:$D$207,MATCH($B75,'Challan Master'!$S$4:$S$207,0)),"")&lt;=0),0,IF(IFERROR(INDEX('Challan Master'!$D$4:$D$207,MATCH($B75,'Challan Master'!$S$4:$S$207,0)),"")&lt;=DATE(YEAR(I75),MONTH(I75)+1,7),0,ROUND(K75*0.015*((YEAR(IFERROR(INDEX('Challan Master'!$D$4:$D$207,MATCH($B75,'Challan Master'!$S$4:$S$207,0)),""))-YEAR(I75))*12+(MONTH(IFERROR(INDEX('Challan Master'!$D$4:$D$207,MATCH($B75,'Challan Master'!$S$4:$S$207,0)),""))-MONTH(I75))+1),0))))</f>
      </c>
      <c r="O75" s="7">
        <f>IF($C75="","",0)</f>
      </c>
      <c r="P75" s="8"/>
      <c r="Q75" s="8"/>
      <c r="R75" s="8"/>
      <c r="S75" s="8"/>
      <c r="T75" s="8"/>
      <c r="U75" s="7">
        <f>IF($B75="","",IFERROR(INDEX('Challan Master'!$AA$4:$AA$207,MATCH($B75,'Challan Master'!$S$4:$S$207,0)),""))</f>
      </c>
    </row>
    <row r="76" spans="1:22" x14ac:dyDescent="0.25">
      <c r="A76" s="7">
        <f>IF($C76="","",COUNTIF($C$4:$C76,"&lt;&gt;"))</f>
      </c>
      <c r="B76" s="8"/>
      <c r="C76" s="8"/>
      <c r="D76" s="8"/>
      <c r="E76" s="7">
        <f>IF($C76="","",IF(AND(LEN(TRIM(UPPER(D76)))=10,CODE(MID(TRIM(UPPER(D76)),1,1))&gt;=65,CODE(MID(TRIM(UPPER(D76)),1,1))&lt;=90,CODE(MID(TRIM(UPPER(D76)),2,1))&gt;=65,CODE(MID(TRIM(UPPER(D76)),2,1))&lt;=90,CODE(MID(TRIM(UPPER(D76)),3,1))&gt;=65,CODE(MID(TRIM(UPPER(D76)),3,1))&lt;=90,CODE(MID(TRIM(UPPER(D76)),4,1))&gt;=65,CODE(MID(TRIM(UPPER(D76)),4,1))&lt;=90,CODE(MID(TRIM(UPPER(D76)),5,1))&gt;=65,CODE(MID(TRIM(UPPER(D76)),5,1))&lt;=90,CODE(MID(TRIM(UPPER(D76)),10,1))&gt;=65,CODE(MID(TRIM(UPPER(D76)),10,1))&lt;=90,CODE(MID(TRIM(UPPER(D76)),6,1))&gt;=48,CODE(MID(TRIM(UPPER(D76)),6,1))&lt;=57,CODE(MID(TRIM(UPPER(D76)),7,1))&gt;=48,CODE(MID(TRIM(UPPER(D76)),7,1))&lt;=57,CODE(MID(TRIM(UPPER(D76)),8,1))&gt;=48,CODE(MID(TRIM(UPPER(D76)),8,1))&lt;=57,CODE(MID(TRIM(UPPER(D76)),9,1))&gt;=48,CODE(MID(TRIM(UPPER(D76)),9,1))&lt;=57),"N","Y"))</f>
      </c>
      <c r="F76" s="7">
        <f>IF($C76="","",IF(LEN(D76)&lt;4,"",IF(UPPER(MID(D76,4,1))="P","Individual",IF(UPPER(MID(D76,4,1))="H","HUF",IF(UPPER(MID(D76,4,1))="C","Company",IF(UPPER(MID(D76,4,1))="F","Firm",IF(UPPER(MID(D76,4,1))="L","LLP",IF(UPPER(MID(D76,4,1))="T","Trust",IF(UPPER(MID(D76,4,1))="A","AOP","")))))))))</f>
      </c>
      <c r="G76" s="8"/>
      <c r="H76" s="7">
        <f>IF($C76="","",IF(R76&lt;&gt;"",R76,IF(G76="","",IF(E76="Y",SUMPRODUCT(('Rate Lookup'!$A$1:$A$37=G76)*'Rate Lookup'!$D$1:$D$37),IF(OR(F76="Individual",F76="HUF"),SUMPRODUCT(('Rate Lookup'!$A$1:$A$37=G76)*'Rate Lookup'!$B$1:$B$37),SUMPRODUCT(('Rate Lookup'!$A$1:$A$37=G76)*'Rate Lookup'!$C$1:$C$37)))))))</f>
      </c>
      <c r="I76" s="8"/>
      <c r="J76" s="8"/>
      <c r="K76" s="7">
        <f>IF($C76="","",IF(OR(P76="B",P76="D",P76="E",P76="N",P76="O",P76="P",P76="Q",P76="S",P76="Y",P76="Z"),0,ROUND(J76*H76/100,0)))</f>
      </c>
      <c r="L76" s="7">
        <f>IF($C76="","",0)</f>
      </c>
      <c r="M76" s="7">
        <f>IF($C76="","",0)</f>
      </c>
      <c r="N76" s="7">
        <f>IF($C76="","",IF(OR(K76=0,I76="",IFERROR(INDEX('Challan Master'!$D$4:$D$207,MATCH($B76,'Challan Master'!$S$4:$S$207,0)),"")="",IFERROR(INDEX('Challan Master'!$D$4:$D$207,MATCH($B76,'Challan Master'!$S$4:$S$207,0)),"")&lt;=0),0,IF(IFERROR(INDEX('Challan Master'!$D$4:$D$207,MATCH($B76,'Challan Master'!$S$4:$S$207,0)),"")&lt;=DATE(YEAR(I76),MONTH(I76)+1,7),0,ROUND(K76*0.015*((YEAR(IFERROR(INDEX('Challan Master'!$D$4:$D$207,MATCH($B76,'Challan Master'!$S$4:$S$207,0)),""))-YEAR(I76))*12+(MONTH(IFERROR(INDEX('Challan Master'!$D$4:$D$207,MATCH($B76,'Challan Master'!$S$4:$S$207,0)),""))-MONTH(I76))+1),0))))</f>
      </c>
      <c r="O76" s="7">
        <f>IF($C76="","",0)</f>
      </c>
      <c r="P76" s="8"/>
      <c r="Q76" s="8"/>
      <c r="R76" s="8"/>
      <c r="S76" s="8"/>
      <c r="T76" s="8"/>
      <c r="U76" s="7">
        <f>IF($B76="","",IFERROR(INDEX('Challan Master'!$AA$4:$AA$207,MATCH($B76,'Challan Master'!$S$4:$S$207,0)),""))</f>
      </c>
    </row>
    <row r="77" spans="1:22" x14ac:dyDescent="0.25">
      <c r="A77" s="7">
        <f>IF($C77="","",COUNTIF($C$4:$C77,"&lt;&gt;"))</f>
      </c>
      <c r="B77" s="8"/>
      <c r="C77" s="8"/>
      <c r="D77" s="8"/>
      <c r="E77" s="7">
        <f>IF($C77="","",IF(AND(LEN(TRIM(UPPER(D77)))=10,CODE(MID(TRIM(UPPER(D77)),1,1))&gt;=65,CODE(MID(TRIM(UPPER(D77)),1,1))&lt;=90,CODE(MID(TRIM(UPPER(D77)),2,1))&gt;=65,CODE(MID(TRIM(UPPER(D77)),2,1))&lt;=90,CODE(MID(TRIM(UPPER(D77)),3,1))&gt;=65,CODE(MID(TRIM(UPPER(D77)),3,1))&lt;=90,CODE(MID(TRIM(UPPER(D77)),4,1))&gt;=65,CODE(MID(TRIM(UPPER(D77)),4,1))&lt;=90,CODE(MID(TRIM(UPPER(D77)),5,1))&gt;=65,CODE(MID(TRIM(UPPER(D77)),5,1))&lt;=90,CODE(MID(TRIM(UPPER(D77)),10,1))&gt;=65,CODE(MID(TRIM(UPPER(D77)),10,1))&lt;=90,CODE(MID(TRIM(UPPER(D77)),6,1))&gt;=48,CODE(MID(TRIM(UPPER(D77)),6,1))&lt;=57,CODE(MID(TRIM(UPPER(D77)),7,1))&gt;=48,CODE(MID(TRIM(UPPER(D77)),7,1))&lt;=57,CODE(MID(TRIM(UPPER(D77)),8,1))&gt;=48,CODE(MID(TRIM(UPPER(D77)),8,1))&lt;=57,CODE(MID(TRIM(UPPER(D77)),9,1))&gt;=48,CODE(MID(TRIM(UPPER(D77)),9,1))&lt;=57),"N","Y"))</f>
      </c>
      <c r="F77" s="7">
        <f>IF($C77="","",IF(LEN(D77)&lt;4,"",IF(UPPER(MID(D77,4,1))="P","Individual",IF(UPPER(MID(D77,4,1))="H","HUF",IF(UPPER(MID(D77,4,1))="C","Company",IF(UPPER(MID(D77,4,1))="F","Firm",IF(UPPER(MID(D77,4,1))="L","LLP",IF(UPPER(MID(D77,4,1))="T","Trust",IF(UPPER(MID(D77,4,1))="A","AOP","")))))))))</f>
      </c>
      <c r="G77" s="8"/>
      <c r="H77" s="7">
        <f>IF($C77="","",IF(R77&lt;&gt;"",R77,IF(G77="","",IF(E77="Y",SUMPRODUCT(('Rate Lookup'!$A$1:$A$37=G77)*'Rate Lookup'!$D$1:$D$37),IF(OR(F77="Individual",F77="HUF"),SUMPRODUCT(('Rate Lookup'!$A$1:$A$37=G77)*'Rate Lookup'!$B$1:$B$37),SUMPRODUCT(('Rate Lookup'!$A$1:$A$37=G77)*'Rate Lookup'!$C$1:$C$37)))))))</f>
      </c>
      <c r="I77" s="8"/>
      <c r="J77" s="8"/>
      <c r="K77" s="7">
        <f>IF($C77="","",IF(OR(P77="B",P77="D",P77="E",P77="N",P77="O",P77="P",P77="Q",P77="S",P77="Y",P77="Z"),0,ROUND(J77*H77/100,0)))</f>
      </c>
      <c r="L77" s="7">
        <f>IF($C77="","",0)</f>
      </c>
      <c r="M77" s="7">
        <f>IF($C77="","",0)</f>
      </c>
      <c r="N77" s="7">
        <f>IF($C77="","",IF(OR(K77=0,I77="",IFERROR(INDEX('Challan Master'!$D$4:$D$207,MATCH($B77,'Challan Master'!$S$4:$S$207,0)),"")="",IFERROR(INDEX('Challan Master'!$D$4:$D$207,MATCH($B77,'Challan Master'!$S$4:$S$207,0)),"")&lt;=0),0,IF(IFERROR(INDEX('Challan Master'!$D$4:$D$207,MATCH($B77,'Challan Master'!$S$4:$S$207,0)),"")&lt;=DATE(YEAR(I77),MONTH(I77)+1,7),0,ROUND(K77*0.015*((YEAR(IFERROR(INDEX('Challan Master'!$D$4:$D$207,MATCH($B77,'Challan Master'!$S$4:$S$207,0)),""))-YEAR(I77))*12+(MONTH(IFERROR(INDEX('Challan Master'!$D$4:$D$207,MATCH($B77,'Challan Master'!$S$4:$S$207,0)),""))-MONTH(I77))+1),0))))</f>
      </c>
      <c r="O77" s="7">
        <f>IF($C77="","",0)</f>
      </c>
      <c r="P77" s="8"/>
      <c r="Q77" s="8"/>
      <c r="R77" s="8"/>
      <c r="S77" s="8"/>
      <c r="T77" s="8"/>
      <c r="U77" s="7">
        <f>IF($B77="","",IFERROR(INDEX('Challan Master'!$AA$4:$AA$207,MATCH($B77,'Challan Master'!$S$4:$S$207,0)),""))</f>
      </c>
    </row>
    <row r="78" spans="1:22" x14ac:dyDescent="0.25">
      <c r="A78" s="7">
        <f>IF($C78="","",COUNTIF($C$4:$C78,"&lt;&gt;"))</f>
      </c>
      <c r="B78" s="8"/>
      <c r="C78" s="8"/>
      <c r="D78" s="8"/>
      <c r="E78" s="7">
        <f>IF($C78="","",IF(AND(LEN(TRIM(UPPER(D78)))=10,CODE(MID(TRIM(UPPER(D78)),1,1))&gt;=65,CODE(MID(TRIM(UPPER(D78)),1,1))&lt;=90,CODE(MID(TRIM(UPPER(D78)),2,1))&gt;=65,CODE(MID(TRIM(UPPER(D78)),2,1))&lt;=90,CODE(MID(TRIM(UPPER(D78)),3,1))&gt;=65,CODE(MID(TRIM(UPPER(D78)),3,1))&lt;=90,CODE(MID(TRIM(UPPER(D78)),4,1))&gt;=65,CODE(MID(TRIM(UPPER(D78)),4,1))&lt;=90,CODE(MID(TRIM(UPPER(D78)),5,1))&gt;=65,CODE(MID(TRIM(UPPER(D78)),5,1))&lt;=90,CODE(MID(TRIM(UPPER(D78)),10,1))&gt;=65,CODE(MID(TRIM(UPPER(D78)),10,1))&lt;=90,CODE(MID(TRIM(UPPER(D78)),6,1))&gt;=48,CODE(MID(TRIM(UPPER(D78)),6,1))&lt;=57,CODE(MID(TRIM(UPPER(D78)),7,1))&gt;=48,CODE(MID(TRIM(UPPER(D78)),7,1))&lt;=57,CODE(MID(TRIM(UPPER(D78)),8,1))&gt;=48,CODE(MID(TRIM(UPPER(D78)),8,1))&lt;=57,CODE(MID(TRIM(UPPER(D78)),9,1))&gt;=48,CODE(MID(TRIM(UPPER(D78)),9,1))&lt;=57),"N","Y"))</f>
      </c>
      <c r="F78" s="7">
        <f>IF($C78="","",IF(LEN(D78)&lt;4,"",IF(UPPER(MID(D78,4,1))="P","Individual",IF(UPPER(MID(D78,4,1))="H","HUF",IF(UPPER(MID(D78,4,1))="C","Company",IF(UPPER(MID(D78,4,1))="F","Firm",IF(UPPER(MID(D78,4,1))="L","LLP",IF(UPPER(MID(D78,4,1))="T","Trust",IF(UPPER(MID(D78,4,1))="A","AOP","")))))))))</f>
      </c>
      <c r="G78" s="8"/>
      <c r="H78" s="7">
        <f>IF($C78="","",IF(R78&lt;&gt;"",R78,IF(G78="","",IF(E78="Y",SUMPRODUCT(('Rate Lookup'!$A$1:$A$37=G78)*'Rate Lookup'!$D$1:$D$37),IF(OR(F78="Individual",F78="HUF"),SUMPRODUCT(('Rate Lookup'!$A$1:$A$37=G78)*'Rate Lookup'!$B$1:$B$37),SUMPRODUCT(('Rate Lookup'!$A$1:$A$37=G78)*'Rate Lookup'!$C$1:$C$37)))))))</f>
      </c>
      <c r="I78" s="8"/>
      <c r="J78" s="8"/>
      <c r="K78" s="7">
        <f>IF($C78="","",IF(OR(P78="B",P78="D",P78="E",P78="N",P78="O",P78="P",P78="Q",P78="S",P78="Y",P78="Z"),0,ROUND(J78*H78/100,0)))</f>
      </c>
      <c r="L78" s="7">
        <f>IF($C78="","",0)</f>
      </c>
      <c r="M78" s="7">
        <f>IF($C78="","",0)</f>
      </c>
      <c r="N78" s="7">
        <f>IF($C78="","",IF(OR(K78=0,I78="",IFERROR(INDEX('Challan Master'!$D$4:$D$207,MATCH($B78,'Challan Master'!$S$4:$S$207,0)),"")="",IFERROR(INDEX('Challan Master'!$D$4:$D$207,MATCH($B78,'Challan Master'!$S$4:$S$207,0)),"")&lt;=0),0,IF(IFERROR(INDEX('Challan Master'!$D$4:$D$207,MATCH($B78,'Challan Master'!$S$4:$S$207,0)),"")&lt;=DATE(YEAR(I78),MONTH(I78)+1,7),0,ROUND(K78*0.015*((YEAR(IFERROR(INDEX('Challan Master'!$D$4:$D$207,MATCH($B78,'Challan Master'!$S$4:$S$207,0)),""))-YEAR(I78))*12+(MONTH(IFERROR(INDEX('Challan Master'!$D$4:$D$207,MATCH($B78,'Challan Master'!$S$4:$S$207,0)),""))-MONTH(I78))+1),0))))</f>
      </c>
      <c r="O78" s="7">
        <f>IF($C78="","",0)</f>
      </c>
      <c r="P78" s="8"/>
      <c r="Q78" s="8"/>
      <c r="R78" s="8"/>
      <c r="S78" s="8"/>
      <c r="T78" s="8"/>
      <c r="U78" s="7">
        <f>IF($B78="","",IFERROR(INDEX('Challan Master'!$AA$4:$AA$207,MATCH($B78,'Challan Master'!$S$4:$S$207,0)),""))</f>
      </c>
    </row>
    <row r="79" spans="1:22" x14ac:dyDescent="0.25">
      <c r="A79" s="7">
        <f>IF($C79="","",COUNTIF($C$4:$C79,"&lt;&gt;"))</f>
      </c>
      <c r="B79" s="8"/>
      <c r="C79" s="8"/>
      <c r="D79" s="8"/>
      <c r="E79" s="7">
        <f>IF($C79="","",IF(AND(LEN(TRIM(UPPER(D79)))=10,CODE(MID(TRIM(UPPER(D79)),1,1))&gt;=65,CODE(MID(TRIM(UPPER(D79)),1,1))&lt;=90,CODE(MID(TRIM(UPPER(D79)),2,1))&gt;=65,CODE(MID(TRIM(UPPER(D79)),2,1))&lt;=90,CODE(MID(TRIM(UPPER(D79)),3,1))&gt;=65,CODE(MID(TRIM(UPPER(D79)),3,1))&lt;=90,CODE(MID(TRIM(UPPER(D79)),4,1))&gt;=65,CODE(MID(TRIM(UPPER(D79)),4,1))&lt;=90,CODE(MID(TRIM(UPPER(D79)),5,1))&gt;=65,CODE(MID(TRIM(UPPER(D79)),5,1))&lt;=90,CODE(MID(TRIM(UPPER(D79)),10,1))&gt;=65,CODE(MID(TRIM(UPPER(D79)),10,1))&lt;=90,CODE(MID(TRIM(UPPER(D79)),6,1))&gt;=48,CODE(MID(TRIM(UPPER(D79)),6,1))&lt;=57,CODE(MID(TRIM(UPPER(D79)),7,1))&gt;=48,CODE(MID(TRIM(UPPER(D79)),7,1))&lt;=57,CODE(MID(TRIM(UPPER(D79)),8,1))&gt;=48,CODE(MID(TRIM(UPPER(D79)),8,1))&lt;=57,CODE(MID(TRIM(UPPER(D79)),9,1))&gt;=48,CODE(MID(TRIM(UPPER(D79)),9,1))&lt;=57),"N","Y"))</f>
      </c>
      <c r="F79" s="7">
        <f>IF($C79="","",IF(LEN(D79)&lt;4,"",IF(UPPER(MID(D79,4,1))="P","Individual",IF(UPPER(MID(D79,4,1))="H","HUF",IF(UPPER(MID(D79,4,1))="C","Company",IF(UPPER(MID(D79,4,1))="F","Firm",IF(UPPER(MID(D79,4,1))="L","LLP",IF(UPPER(MID(D79,4,1))="T","Trust",IF(UPPER(MID(D79,4,1))="A","AOP","")))))))))</f>
      </c>
      <c r="G79" s="8"/>
      <c r="H79" s="7">
        <f>IF($C79="","",IF(R79&lt;&gt;"",R79,IF(G79="","",IF(E79="Y",SUMPRODUCT(('Rate Lookup'!$A$1:$A$37=G79)*'Rate Lookup'!$D$1:$D$37),IF(OR(F79="Individual",F79="HUF"),SUMPRODUCT(('Rate Lookup'!$A$1:$A$37=G79)*'Rate Lookup'!$B$1:$B$37),SUMPRODUCT(('Rate Lookup'!$A$1:$A$37=G79)*'Rate Lookup'!$C$1:$C$37)))))))</f>
      </c>
      <c r="I79" s="8"/>
      <c r="J79" s="8"/>
      <c r="K79" s="7">
        <f>IF($C79="","",IF(OR(P79="B",P79="D",P79="E",P79="N",P79="O",P79="P",P79="Q",P79="S",P79="Y",P79="Z"),0,ROUND(J79*H79/100,0)))</f>
      </c>
      <c r="L79" s="7">
        <f>IF($C79="","",0)</f>
      </c>
      <c r="M79" s="7">
        <f>IF($C79="","",0)</f>
      </c>
      <c r="N79" s="7">
        <f>IF($C79="","",IF(OR(K79=0,I79="",IFERROR(INDEX('Challan Master'!$D$4:$D$207,MATCH($B79,'Challan Master'!$S$4:$S$207,0)),"")="",IFERROR(INDEX('Challan Master'!$D$4:$D$207,MATCH($B79,'Challan Master'!$S$4:$S$207,0)),"")&lt;=0),0,IF(IFERROR(INDEX('Challan Master'!$D$4:$D$207,MATCH($B79,'Challan Master'!$S$4:$S$207,0)),"")&lt;=DATE(YEAR(I79),MONTH(I79)+1,7),0,ROUND(K79*0.015*((YEAR(IFERROR(INDEX('Challan Master'!$D$4:$D$207,MATCH($B79,'Challan Master'!$S$4:$S$207,0)),""))-YEAR(I79))*12+(MONTH(IFERROR(INDEX('Challan Master'!$D$4:$D$207,MATCH($B79,'Challan Master'!$S$4:$S$207,0)),""))-MONTH(I79))+1),0))))</f>
      </c>
      <c r="O79" s="7">
        <f>IF($C79="","",0)</f>
      </c>
      <c r="P79" s="8"/>
      <c r="Q79" s="8"/>
      <c r="R79" s="8"/>
      <c r="S79" s="8"/>
      <c r="T79" s="8"/>
      <c r="U79" s="7">
        <f>IF($B79="","",IFERROR(INDEX('Challan Master'!$AA$4:$AA$207,MATCH($B79,'Challan Master'!$S$4:$S$207,0)),""))</f>
      </c>
    </row>
    <row r="80" spans="1:22" x14ac:dyDescent="0.25">
      <c r="A80" s="7">
        <f>IF($C80="","",COUNTIF($C$4:$C80,"&lt;&gt;"))</f>
      </c>
      <c r="B80" s="8"/>
      <c r="C80" s="8"/>
      <c r="D80" s="8"/>
      <c r="E80" s="7">
        <f>IF($C80="","",IF(AND(LEN(TRIM(UPPER(D80)))=10,CODE(MID(TRIM(UPPER(D80)),1,1))&gt;=65,CODE(MID(TRIM(UPPER(D80)),1,1))&lt;=90,CODE(MID(TRIM(UPPER(D80)),2,1))&gt;=65,CODE(MID(TRIM(UPPER(D80)),2,1))&lt;=90,CODE(MID(TRIM(UPPER(D80)),3,1))&gt;=65,CODE(MID(TRIM(UPPER(D80)),3,1))&lt;=90,CODE(MID(TRIM(UPPER(D80)),4,1))&gt;=65,CODE(MID(TRIM(UPPER(D80)),4,1))&lt;=90,CODE(MID(TRIM(UPPER(D80)),5,1))&gt;=65,CODE(MID(TRIM(UPPER(D80)),5,1))&lt;=90,CODE(MID(TRIM(UPPER(D80)),10,1))&gt;=65,CODE(MID(TRIM(UPPER(D80)),10,1))&lt;=90,CODE(MID(TRIM(UPPER(D80)),6,1))&gt;=48,CODE(MID(TRIM(UPPER(D80)),6,1))&lt;=57,CODE(MID(TRIM(UPPER(D80)),7,1))&gt;=48,CODE(MID(TRIM(UPPER(D80)),7,1))&lt;=57,CODE(MID(TRIM(UPPER(D80)),8,1))&gt;=48,CODE(MID(TRIM(UPPER(D80)),8,1))&lt;=57,CODE(MID(TRIM(UPPER(D80)),9,1))&gt;=48,CODE(MID(TRIM(UPPER(D80)),9,1))&lt;=57),"N","Y"))</f>
      </c>
      <c r="F80" s="7">
        <f>IF($C80="","",IF(LEN(D80)&lt;4,"",IF(UPPER(MID(D80,4,1))="P","Individual",IF(UPPER(MID(D80,4,1))="H","HUF",IF(UPPER(MID(D80,4,1))="C","Company",IF(UPPER(MID(D80,4,1))="F","Firm",IF(UPPER(MID(D80,4,1))="L","LLP",IF(UPPER(MID(D80,4,1))="T","Trust",IF(UPPER(MID(D80,4,1))="A","AOP","")))))))))</f>
      </c>
      <c r="G80" s="8"/>
      <c r="H80" s="7">
        <f>IF($C80="","",IF(R80&lt;&gt;"",R80,IF(G80="","",IF(E80="Y",SUMPRODUCT(('Rate Lookup'!$A$1:$A$37=G80)*'Rate Lookup'!$D$1:$D$37),IF(OR(F80="Individual",F80="HUF"),SUMPRODUCT(('Rate Lookup'!$A$1:$A$37=G80)*'Rate Lookup'!$B$1:$B$37),SUMPRODUCT(('Rate Lookup'!$A$1:$A$37=G80)*'Rate Lookup'!$C$1:$C$37)))))))</f>
      </c>
      <c r="I80" s="8"/>
      <c r="J80" s="8"/>
      <c r="K80" s="7">
        <f>IF($C80="","",IF(OR(P80="B",P80="D",P80="E",P80="N",P80="O",P80="P",P80="Q",P80="S",P80="Y",P80="Z"),0,ROUND(J80*H80/100,0)))</f>
      </c>
      <c r="L80" s="7">
        <f>IF($C80="","",0)</f>
      </c>
      <c r="M80" s="7">
        <f>IF($C80="","",0)</f>
      </c>
      <c r="N80" s="7">
        <f>IF($C80="","",IF(OR(K80=0,I80="",IFERROR(INDEX('Challan Master'!$D$4:$D$207,MATCH($B80,'Challan Master'!$S$4:$S$207,0)),"")="",IFERROR(INDEX('Challan Master'!$D$4:$D$207,MATCH($B80,'Challan Master'!$S$4:$S$207,0)),"")&lt;=0),0,IF(IFERROR(INDEX('Challan Master'!$D$4:$D$207,MATCH($B80,'Challan Master'!$S$4:$S$207,0)),"")&lt;=DATE(YEAR(I80),MONTH(I80)+1,7),0,ROUND(K80*0.015*((YEAR(IFERROR(INDEX('Challan Master'!$D$4:$D$207,MATCH($B80,'Challan Master'!$S$4:$S$207,0)),""))-YEAR(I80))*12+(MONTH(IFERROR(INDEX('Challan Master'!$D$4:$D$207,MATCH($B80,'Challan Master'!$S$4:$S$207,0)),""))-MONTH(I80))+1),0))))</f>
      </c>
      <c r="O80" s="7">
        <f>IF($C80="","",0)</f>
      </c>
      <c r="P80" s="8"/>
      <c r="Q80" s="8"/>
      <c r="R80" s="8"/>
      <c r="S80" s="8"/>
      <c r="T80" s="8"/>
      <c r="U80" s="7">
        <f>IF($B80="","",IFERROR(INDEX('Challan Master'!$AA$4:$AA$207,MATCH($B80,'Challan Master'!$S$4:$S$207,0)),""))</f>
      </c>
    </row>
    <row r="81" spans="1:22" x14ac:dyDescent="0.25">
      <c r="A81" s="7">
        <f>IF($C81="","",COUNTIF($C$4:$C81,"&lt;&gt;"))</f>
      </c>
      <c r="B81" s="8"/>
      <c r="C81" s="8"/>
      <c r="D81" s="8"/>
      <c r="E81" s="7">
        <f>IF($C81="","",IF(AND(LEN(TRIM(UPPER(D81)))=10,CODE(MID(TRIM(UPPER(D81)),1,1))&gt;=65,CODE(MID(TRIM(UPPER(D81)),1,1))&lt;=90,CODE(MID(TRIM(UPPER(D81)),2,1))&gt;=65,CODE(MID(TRIM(UPPER(D81)),2,1))&lt;=90,CODE(MID(TRIM(UPPER(D81)),3,1))&gt;=65,CODE(MID(TRIM(UPPER(D81)),3,1))&lt;=90,CODE(MID(TRIM(UPPER(D81)),4,1))&gt;=65,CODE(MID(TRIM(UPPER(D81)),4,1))&lt;=90,CODE(MID(TRIM(UPPER(D81)),5,1))&gt;=65,CODE(MID(TRIM(UPPER(D81)),5,1))&lt;=90,CODE(MID(TRIM(UPPER(D81)),10,1))&gt;=65,CODE(MID(TRIM(UPPER(D81)),10,1))&lt;=90,CODE(MID(TRIM(UPPER(D81)),6,1))&gt;=48,CODE(MID(TRIM(UPPER(D81)),6,1))&lt;=57,CODE(MID(TRIM(UPPER(D81)),7,1))&gt;=48,CODE(MID(TRIM(UPPER(D81)),7,1))&lt;=57,CODE(MID(TRIM(UPPER(D81)),8,1))&gt;=48,CODE(MID(TRIM(UPPER(D81)),8,1))&lt;=57,CODE(MID(TRIM(UPPER(D81)),9,1))&gt;=48,CODE(MID(TRIM(UPPER(D81)),9,1))&lt;=57),"N","Y"))</f>
      </c>
      <c r="F81" s="7">
        <f>IF($C81="","",IF(LEN(D81)&lt;4,"",IF(UPPER(MID(D81,4,1))="P","Individual",IF(UPPER(MID(D81,4,1))="H","HUF",IF(UPPER(MID(D81,4,1))="C","Company",IF(UPPER(MID(D81,4,1))="F","Firm",IF(UPPER(MID(D81,4,1))="L","LLP",IF(UPPER(MID(D81,4,1))="T","Trust",IF(UPPER(MID(D81,4,1))="A","AOP","")))))))))</f>
      </c>
      <c r="G81" s="8"/>
      <c r="H81" s="7">
        <f>IF($C81="","",IF(R81&lt;&gt;"",R81,IF(G81="","",IF(E81="Y",SUMPRODUCT(('Rate Lookup'!$A$1:$A$37=G81)*'Rate Lookup'!$D$1:$D$37),IF(OR(F81="Individual",F81="HUF"),SUMPRODUCT(('Rate Lookup'!$A$1:$A$37=G81)*'Rate Lookup'!$B$1:$B$37),SUMPRODUCT(('Rate Lookup'!$A$1:$A$37=G81)*'Rate Lookup'!$C$1:$C$37)))))))</f>
      </c>
      <c r="I81" s="8"/>
      <c r="J81" s="8"/>
      <c r="K81" s="7">
        <f>IF($C81="","",IF(OR(P81="B",P81="D",P81="E",P81="N",P81="O",P81="P",P81="Q",P81="S",P81="Y",P81="Z"),0,ROUND(J81*H81/100,0)))</f>
      </c>
      <c r="L81" s="7">
        <f>IF($C81="","",0)</f>
      </c>
      <c r="M81" s="7">
        <f>IF($C81="","",0)</f>
      </c>
      <c r="N81" s="7">
        <f>IF($C81="","",IF(OR(K81=0,I81="",IFERROR(INDEX('Challan Master'!$D$4:$D$207,MATCH($B81,'Challan Master'!$S$4:$S$207,0)),"")="",IFERROR(INDEX('Challan Master'!$D$4:$D$207,MATCH($B81,'Challan Master'!$S$4:$S$207,0)),"")&lt;=0),0,IF(IFERROR(INDEX('Challan Master'!$D$4:$D$207,MATCH($B81,'Challan Master'!$S$4:$S$207,0)),"")&lt;=DATE(YEAR(I81),MONTH(I81)+1,7),0,ROUND(K81*0.015*((YEAR(IFERROR(INDEX('Challan Master'!$D$4:$D$207,MATCH($B81,'Challan Master'!$S$4:$S$207,0)),""))-YEAR(I81))*12+(MONTH(IFERROR(INDEX('Challan Master'!$D$4:$D$207,MATCH($B81,'Challan Master'!$S$4:$S$207,0)),""))-MONTH(I81))+1),0))))</f>
      </c>
      <c r="O81" s="7">
        <f>IF($C81="","",0)</f>
      </c>
      <c r="P81" s="8"/>
      <c r="Q81" s="8"/>
      <c r="R81" s="8"/>
      <c r="S81" s="8"/>
      <c r="T81" s="8"/>
      <c r="U81" s="7">
        <f>IF($B81="","",IFERROR(INDEX('Challan Master'!$AA$4:$AA$207,MATCH($B81,'Challan Master'!$S$4:$S$207,0)),""))</f>
      </c>
    </row>
    <row r="82" spans="1:22" x14ac:dyDescent="0.25">
      <c r="A82" s="7">
        <f>IF($C82="","",COUNTIF($C$4:$C82,"&lt;&gt;"))</f>
      </c>
      <c r="B82" s="8"/>
      <c r="C82" s="8"/>
      <c r="D82" s="8"/>
      <c r="E82" s="7">
        <f>IF($C82="","",IF(AND(LEN(TRIM(UPPER(D82)))=10,CODE(MID(TRIM(UPPER(D82)),1,1))&gt;=65,CODE(MID(TRIM(UPPER(D82)),1,1))&lt;=90,CODE(MID(TRIM(UPPER(D82)),2,1))&gt;=65,CODE(MID(TRIM(UPPER(D82)),2,1))&lt;=90,CODE(MID(TRIM(UPPER(D82)),3,1))&gt;=65,CODE(MID(TRIM(UPPER(D82)),3,1))&lt;=90,CODE(MID(TRIM(UPPER(D82)),4,1))&gt;=65,CODE(MID(TRIM(UPPER(D82)),4,1))&lt;=90,CODE(MID(TRIM(UPPER(D82)),5,1))&gt;=65,CODE(MID(TRIM(UPPER(D82)),5,1))&lt;=90,CODE(MID(TRIM(UPPER(D82)),10,1))&gt;=65,CODE(MID(TRIM(UPPER(D82)),10,1))&lt;=90,CODE(MID(TRIM(UPPER(D82)),6,1))&gt;=48,CODE(MID(TRIM(UPPER(D82)),6,1))&lt;=57,CODE(MID(TRIM(UPPER(D82)),7,1))&gt;=48,CODE(MID(TRIM(UPPER(D82)),7,1))&lt;=57,CODE(MID(TRIM(UPPER(D82)),8,1))&gt;=48,CODE(MID(TRIM(UPPER(D82)),8,1))&lt;=57,CODE(MID(TRIM(UPPER(D82)),9,1))&gt;=48,CODE(MID(TRIM(UPPER(D82)),9,1))&lt;=57),"N","Y"))</f>
      </c>
      <c r="F82" s="7">
        <f>IF($C82="","",IF(LEN(D82)&lt;4,"",IF(UPPER(MID(D82,4,1))="P","Individual",IF(UPPER(MID(D82,4,1))="H","HUF",IF(UPPER(MID(D82,4,1))="C","Company",IF(UPPER(MID(D82,4,1))="F","Firm",IF(UPPER(MID(D82,4,1))="L","LLP",IF(UPPER(MID(D82,4,1))="T","Trust",IF(UPPER(MID(D82,4,1))="A","AOP","")))))))))</f>
      </c>
      <c r="G82" s="8"/>
      <c r="H82" s="7">
        <f>IF($C82="","",IF(R82&lt;&gt;"",R82,IF(G82="","",IF(E82="Y",SUMPRODUCT(('Rate Lookup'!$A$1:$A$37=G82)*'Rate Lookup'!$D$1:$D$37),IF(OR(F82="Individual",F82="HUF"),SUMPRODUCT(('Rate Lookup'!$A$1:$A$37=G82)*'Rate Lookup'!$B$1:$B$37),SUMPRODUCT(('Rate Lookup'!$A$1:$A$37=G82)*'Rate Lookup'!$C$1:$C$37)))))))</f>
      </c>
      <c r="I82" s="8"/>
      <c r="J82" s="8"/>
      <c r="K82" s="7">
        <f>IF($C82="","",IF(OR(P82="B",P82="D",P82="E",P82="N",P82="O",P82="P",P82="Q",P82="S",P82="Y",P82="Z"),0,ROUND(J82*H82/100,0)))</f>
      </c>
      <c r="L82" s="7">
        <f>IF($C82="","",0)</f>
      </c>
      <c r="M82" s="7">
        <f>IF($C82="","",0)</f>
      </c>
      <c r="N82" s="7">
        <f>IF($C82="","",IF(OR(K82=0,I82="",IFERROR(INDEX('Challan Master'!$D$4:$D$207,MATCH($B82,'Challan Master'!$S$4:$S$207,0)),"")="",IFERROR(INDEX('Challan Master'!$D$4:$D$207,MATCH($B82,'Challan Master'!$S$4:$S$207,0)),"")&lt;=0),0,IF(IFERROR(INDEX('Challan Master'!$D$4:$D$207,MATCH($B82,'Challan Master'!$S$4:$S$207,0)),"")&lt;=DATE(YEAR(I82),MONTH(I82)+1,7),0,ROUND(K82*0.015*((YEAR(IFERROR(INDEX('Challan Master'!$D$4:$D$207,MATCH($B82,'Challan Master'!$S$4:$S$207,0)),""))-YEAR(I82))*12+(MONTH(IFERROR(INDEX('Challan Master'!$D$4:$D$207,MATCH($B82,'Challan Master'!$S$4:$S$207,0)),""))-MONTH(I82))+1),0))))</f>
      </c>
      <c r="O82" s="7">
        <f>IF($C82="","",0)</f>
      </c>
      <c r="P82" s="8"/>
      <c r="Q82" s="8"/>
      <c r="R82" s="8"/>
      <c r="S82" s="8"/>
      <c r="T82" s="8"/>
      <c r="U82" s="7">
        <f>IF($B82="","",IFERROR(INDEX('Challan Master'!$AA$4:$AA$207,MATCH($B82,'Challan Master'!$S$4:$S$207,0)),""))</f>
      </c>
    </row>
    <row r="83" spans="1:22" x14ac:dyDescent="0.25">
      <c r="A83" s="7">
        <f>IF($C83="","",COUNTIF($C$4:$C83,"&lt;&gt;"))</f>
      </c>
      <c r="B83" s="8"/>
      <c r="C83" s="8"/>
      <c r="D83" s="8"/>
      <c r="E83" s="7">
        <f>IF($C83="","",IF(AND(LEN(TRIM(UPPER(D83)))=10,CODE(MID(TRIM(UPPER(D83)),1,1))&gt;=65,CODE(MID(TRIM(UPPER(D83)),1,1))&lt;=90,CODE(MID(TRIM(UPPER(D83)),2,1))&gt;=65,CODE(MID(TRIM(UPPER(D83)),2,1))&lt;=90,CODE(MID(TRIM(UPPER(D83)),3,1))&gt;=65,CODE(MID(TRIM(UPPER(D83)),3,1))&lt;=90,CODE(MID(TRIM(UPPER(D83)),4,1))&gt;=65,CODE(MID(TRIM(UPPER(D83)),4,1))&lt;=90,CODE(MID(TRIM(UPPER(D83)),5,1))&gt;=65,CODE(MID(TRIM(UPPER(D83)),5,1))&lt;=90,CODE(MID(TRIM(UPPER(D83)),10,1))&gt;=65,CODE(MID(TRIM(UPPER(D83)),10,1))&lt;=90,CODE(MID(TRIM(UPPER(D83)),6,1))&gt;=48,CODE(MID(TRIM(UPPER(D83)),6,1))&lt;=57,CODE(MID(TRIM(UPPER(D83)),7,1))&gt;=48,CODE(MID(TRIM(UPPER(D83)),7,1))&lt;=57,CODE(MID(TRIM(UPPER(D83)),8,1))&gt;=48,CODE(MID(TRIM(UPPER(D83)),8,1))&lt;=57,CODE(MID(TRIM(UPPER(D83)),9,1))&gt;=48,CODE(MID(TRIM(UPPER(D83)),9,1))&lt;=57),"N","Y"))</f>
      </c>
      <c r="F83" s="7">
        <f>IF($C83="","",IF(LEN(D83)&lt;4,"",IF(UPPER(MID(D83,4,1))="P","Individual",IF(UPPER(MID(D83,4,1))="H","HUF",IF(UPPER(MID(D83,4,1))="C","Company",IF(UPPER(MID(D83,4,1))="F","Firm",IF(UPPER(MID(D83,4,1))="L","LLP",IF(UPPER(MID(D83,4,1))="T","Trust",IF(UPPER(MID(D83,4,1))="A","AOP","")))))))))</f>
      </c>
      <c r="G83" s="8"/>
      <c r="H83" s="7">
        <f>IF($C83="","",IF(R83&lt;&gt;"",R83,IF(G83="","",IF(E83="Y",SUMPRODUCT(('Rate Lookup'!$A$1:$A$37=G83)*'Rate Lookup'!$D$1:$D$37),IF(OR(F83="Individual",F83="HUF"),SUMPRODUCT(('Rate Lookup'!$A$1:$A$37=G83)*'Rate Lookup'!$B$1:$B$37),SUMPRODUCT(('Rate Lookup'!$A$1:$A$37=G83)*'Rate Lookup'!$C$1:$C$37)))))))</f>
      </c>
      <c r="I83" s="8"/>
      <c r="J83" s="8"/>
      <c r="K83" s="7">
        <f>IF($C83="","",IF(OR(P83="B",P83="D",P83="E",P83="N",P83="O",P83="P",P83="Q",P83="S",P83="Y",P83="Z"),0,ROUND(J83*H83/100,0)))</f>
      </c>
      <c r="L83" s="7">
        <f>IF($C83="","",0)</f>
      </c>
      <c r="M83" s="7">
        <f>IF($C83="","",0)</f>
      </c>
      <c r="N83" s="7">
        <f>IF($C83="","",IF(OR(K83=0,I83="",IFERROR(INDEX('Challan Master'!$D$4:$D$207,MATCH($B83,'Challan Master'!$S$4:$S$207,0)),"")="",IFERROR(INDEX('Challan Master'!$D$4:$D$207,MATCH($B83,'Challan Master'!$S$4:$S$207,0)),"")&lt;=0),0,IF(IFERROR(INDEX('Challan Master'!$D$4:$D$207,MATCH($B83,'Challan Master'!$S$4:$S$207,0)),"")&lt;=DATE(YEAR(I83),MONTH(I83)+1,7),0,ROUND(K83*0.015*((YEAR(IFERROR(INDEX('Challan Master'!$D$4:$D$207,MATCH($B83,'Challan Master'!$S$4:$S$207,0)),""))-YEAR(I83))*12+(MONTH(IFERROR(INDEX('Challan Master'!$D$4:$D$207,MATCH($B83,'Challan Master'!$S$4:$S$207,0)),""))-MONTH(I83))+1),0))))</f>
      </c>
      <c r="O83" s="7">
        <f>IF($C83="","",0)</f>
      </c>
      <c r="P83" s="8"/>
      <c r="Q83" s="8"/>
      <c r="R83" s="8"/>
      <c r="S83" s="8"/>
      <c r="T83" s="8"/>
      <c r="U83" s="7">
        <f>IF($B83="","",IFERROR(INDEX('Challan Master'!$AA$4:$AA$207,MATCH($B83,'Challan Master'!$S$4:$S$207,0)),""))</f>
      </c>
    </row>
    <row r="84" spans="1:22" x14ac:dyDescent="0.25">
      <c r="A84" s="7">
        <f>IF($C84="","",COUNTIF($C$4:$C84,"&lt;&gt;"))</f>
      </c>
      <c r="B84" s="8"/>
      <c r="C84" s="8"/>
      <c r="D84" s="8"/>
      <c r="E84" s="7">
        <f>IF($C84="","",IF(AND(LEN(TRIM(UPPER(D84)))=10,CODE(MID(TRIM(UPPER(D84)),1,1))&gt;=65,CODE(MID(TRIM(UPPER(D84)),1,1))&lt;=90,CODE(MID(TRIM(UPPER(D84)),2,1))&gt;=65,CODE(MID(TRIM(UPPER(D84)),2,1))&lt;=90,CODE(MID(TRIM(UPPER(D84)),3,1))&gt;=65,CODE(MID(TRIM(UPPER(D84)),3,1))&lt;=90,CODE(MID(TRIM(UPPER(D84)),4,1))&gt;=65,CODE(MID(TRIM(UPPER(D84)),4,1))&lt;=90,CODE(MID(TRIM(UPPER(D84)),5,1))&gt;=65,CODE(MID(TRIM(UPPER(D84)),5,1))&lt;=90,CODE(MID(TRIM(UPPER(D84)),10,1))&gt;=65,CODE(MID(TRIM(UPPER(D84)),10,1))&lt;=90,CODE(MID(TRIM(UPPER(D84)),6,1))&gt;=48,CODE(MID(TRIM(UPPER(D84)),6,1))&lt;=57,CODE(MID(TRIM(UPPER(D84)),7,1))&gt;=48,CODE(MID(TRIM(UPPER(D84)),7,1))&lt;=57,CODE(MID(TRIM(UPPER(D84)),8,1))&gt;=48,CODE(MID(TRIM(UPPER(D84)),8,1))&lt;=57,CODE(MID(TRIM(UPPER(D84)),9,1))&gt;=48,CODE(MID(TRIM(UPPER(D84)),9,1))&lt;=57),"N","Y"))</f>
      </c>
      <c r="F84" s="7">
        <f>IF($C84="","",IF(LEN(D84)&lt;4,"",IF(UPPER(MID(D84,4,1))="P","Individual",IF(UPPER(MID(D84,4,1))="H","HUF",IF(UPPER(MID(D84,4,1))="C","Company",IF(UPPER(MID(D84,4,1))="F","Firm",IF(UPPER(MID(D84,4,1))="L","LLP",IF(UPPER(MID(D84,4,1))="T","Trust",IF(UPPER(MID(D84,4,1))="A","AOP","")))))))))</f>
      </c>
      <c r="G84" s="8"/>
      <c r="H84" s="7">
        <f>IF($C84="","",IF(R84&lt;&gt;"",R84,IF(G84="","",IF(E84="Y",SUMPRODUCT(('Rate Lookup'!$A$1:$A$37=G84)*'Rate Lookup'!$D$1:$D$37),IF(OR(F84="Individual",F84="HUF"),SUMPRODUCT(('Rate Lookup'!$A$1:$A$37=G84)*'Rate Lookup'!$B$1:$B$37),SUMPRODUCT(('Rate Lookup'!$A$1:$A$37=G84)*'Rate Lookup'!$C$1:$C$37)))))))</f>
      </c>
      <c r="I84" s="8"/>
      <c r="J84" s="8"/>
      <c r="K84" s="7">
        <f>IF($C84="","",IF(OR(P84="B",P84="D",P84="E",P84="N",P84="O",P84="P",P84="Q",P84="S",P84="Y",P84="Z"),0,ROUND(J84*H84/100,0)))</f>
      </c>
      <c r="L84" s="7">
        <f>IF($C84="","",0)</f>
      </c>
      <c r="M84" s="7">
        <f>IF($C84="","",0)</f>
      </c>
      <c r="N84" s="7">
        <f>IF($C84="","",IF(OR(K84=0,I84="",IFERROR(INDEX('Challan Master'!$D$4:$D$207,MATCH($B84,'Challan Master'!$S$4:$S$207,0)),"")="",IFERROR(INDEX('Challan Master'!$D$4:$D$207,MATCH($B84,'Challan Master'!$S$4:$S$207,0)),"")&lt;=0),0,IF(IFERROR(INDEX('Challan Master'!$D$4:$D$207,MATCH($B84,'Challan Master'!$S$4:$S$207,0)),"")&lt;=DATE(YEAR(I84),MONTH(I84)+1,7),0,ROUND(K84*0.015*((YEAR(IFERROR(INDEX('Challan Master'!$D$4:$D$207,MATCH($B84,'Challan Master'!$S$4:$S$207,0)),""))-YEAR(I84))*12+(MONTH(IFERROR(INDEX('Challan Master'!$D$4:$D$207,MATCH($B84,'Challan Master'!$S$4:$S$207,0)),""))-MONTH(I84))+1),0))))</f>
      </c>
      <c r="O84" s="7">
        <f>IF($C84="","",0)</f>
      </c>
      <c r="P84" s="8"/>
      <c r="Q84" s="8"/>
      <c r="R84" s="8"/>
      <c r="S84" s="8"/>
      <c r="T84" s="8"/>
      <c r="U84" s="7">
        <f>IF($B84="","",IFERROR(INDEX('Challan Master'!$AA$4:$AA$207,MATCH($B84,'Challan Master'!$S$4:$S$207,0)),""))</f>
      </c>
    </row>
    <row r="85" spans="1:22" x14ac:dyDescent="0.25">
      <c r="A85" s="7">
        <f>IF($C85="","",COUNTIF($C$4:$C85,"&lt;&gt;"))</f>
      </c>
      <c r="B85" s="8"/>
      <c r="C85" s="8"/>
      <c r="D85" s="8"/>
      <c r="E85" s="7">
        <f>IF($C85="","",IF(AND(LEN(TRIM(UPPER(D85)))=10,CODE(MID(TRIM(UPPER(D85)),1,1))&gt;=65,CODE(MID(TRIM(UPPER(D85)),1,1))&lt;=90,CODE(MID(TRIM(UPPER(D85)),2,1))&gt;=65,CODE(MID(TRIM(UPPER(D85)),2,1))&lt;=90,CODE(MID(TRIM(UPPER(D85)),3,1))&gt;=65,CODE(MID(TRIM(UPPER(D85)),3,1))&lt;=90,CODE(MID(TRIM(UPPER(D85)),4,1))&gt;=65,CODE(MID(TRIM(UPPER(D85)),4,1))&lt;=90,CODE(MID(TRIM(UPPER(D85)),5,1))&gt;=65,CODE(MID(TRIM(UPPER(D85)),5,1))&lt;=90,CODE(MID(TRIM(UPPER(D85)),10,1))&gt;=65,CODE(MID(TRIM(UPPER(D85)),10,1))&lt;=90,CODE(MID(TRIM(UPPER(D85)),6,1))&gt;=48,CODE(MID(TRIM(UPPER(D85)),6,1))&lt;=57,CODE(MID(TRIM(UPPER(D85)),7,1))&gt;=48,CODE(MID(TRIM(UPPER(D85)),7,1))&lt;=57,CODE(MID(TRIM(UPPER(D85)),8,1))&gt;=48,CODE(MID(TRIM(UPPER(D85)),8,1))&lt;=57,CODE(MID(TRIM(UPPER(D85)),9,1))&gt;=48,CODE(MID(TRIM(UPPER(D85)),9,1))&lt;=57),"N","Y"))</f>
      </c>
      <c r="F85" s="7">
        <f>IF($C85="","",IF(LEN(D85)&lt;4,"",IF(UPPER(MID(D85,4,1))="P","Individual",IF(UPPER(MID(D85,4,1))="H","HUF",IF(UPPER(MID(D85,4,1))="C","Company",IF(UPPER(MID(D85,4,1))="F","Firm",IF(UPPER(MID(D85,4,1))="L","LLP",IF(UPPER(MID(D85,4,1))="T","Trust",IF(UPPER(MID(D85,4,1))="A","AOP","")))))))))</f>
      </c>
      <c r="G85" s="8"/>
      <c r="H85" s="7">
        <f>IF($C85="","",IF(R85&lt;&gt;"",R85,IF(G85="","",IF(E85="Y",SUMPRODUCT(('Rate Lookup'!$A$1:$A$37=G85)*'Rate Lookup'!$D$1:$D$37),IF(OR(F85="Individual",F85="HUF"),SUMPRODUCT(('Rate Lookup'!$A$1:$A$37=G85)*'Rate Lookup'!$B$1:$B$37),SUMPRODUCT(('Rate Lookup'!$A$1:$A$37=G85)*'Rate Lookup'!$C$1:$C$37)))))))</f>
      </c>
      <c r="I85" s="8"/>
      <c r="J85" s="8"/>
      <c r="K85" s="7">
        <f>IF($C85="","",IF(OR(P85="B",P85="D",P85="E",P85="N",P85="O",P85="P",P85="Q",P85="S",P85="Y",P85="Z"),0,ROUND(J85*H85/100,0)))</f>
      </c>
      <c r="L85" s="7">
        <f>IF($C85="","",0)</f>
      </c>
      <c r="M85" s="7">
        <f>IF($C85="","",0)</f>
      </c>
      <c r="N85" s="7">
        <f>IF($C85="","",IF(OR(K85=0,I85="",IFERROR(INDEX('Challan Master'!$D$4:$D$207,MATCH($B85,'Challan Master'!$S$4:$S$207,0)),"")="",IFERROR(INDEX('Challan Master'!$D$4:$D$207,MATCH($B85,'Challan Master'!$S$4:$S$207,0)),"")&lt;=0),0,IF(IFERROR(INDEX('Challan Master'!$D$4:$D$207,MATCH($B85,'Challan Master'!$S$4:$S$207,0)),"")&lt;=DATE(YEAR(I85),MONTH(I85)+1,7),0,ROUND(K85*0.015*((YEAR(IFERROR(INDEX('Challan Master'!$D$4:$D$207,MATCH($B85,'Challan Master'!$S$4:$S$207,0)),""))-YEAR(I85))*12+(MONTH(IFERROR(INDEX('Challan Master'!$D$4:$D$207,MATCH($B85,'Challan Master'!$S$4:$S$207,0)),""))-MONTH(I85))+1),0))))</f>
      </c>
      <c r="O85" s="7">
        <f>IF($C85="","",0)</f>
      </c>
      <c r="P85" s="8"/>
      <c r="Q85" s="8"/>
      <c r="R85" s="8"/>
      <c r="S85" s="8"/>
      <c r="T85" s="8"/>
      <c r="U85" s="7">
        <f>IF($B85="","",IFERROR(INDEX('Challan Master'!$AA$4:$AA$207,MATCH($B85,'Challan Master'!$S$4:$S$207,0)),""))</f>
      </c>
    </row>
    <row r="86" spans="1:22" x14ac:dyDescent="0.25">
      <c r="A86" s="7">
        <f>IF($C86="","",COUNTIF($C$4:$C86,"&lt;&gt;"))</f>
      </c>
      <c r="B86" s="8"/>
      <c r="C86" s="8"/>
      <c r="D86" s="8"/>
      <c r="E86" s="7">
        <f>IF($C86="","",IF(AND(LEN(TRIM(UPPER(D86)))=10,CODE(MID(TRIM(UPPER(D86)),1,1))&gt;=65,CODE(MID(TRIM(UPPER(D86)),1,1))&lt;=90,CODE(MID(TRIM(UPPER(D86)),2,1))&gt;=65,CODE(MID(TRIM(UPPER(D86)),2,1))&lt;=90,CODE(MID(TRIM(UPPER(D86)),3,1))&gt;=65,CODE(MID(TRIM(UPPER(D86)),3,1))&lt;=90,CODE(MID(TRIM(UPPER(D86)),4,1))&gt;=65,CODE(MID(TRIM(UPPER(D86)),4,1))&lt;=90,CODE(MID(TRIM(UPPER(D86)),5,1))&gt;=65,CODE(MID(TRIM(UPPER(D86)),5,1))&lt;=90,CODE(MID(TRIM(UPPER(D86)),10,1))&gt;=65,CODE(MID(TRIM(UPPER(D86)),10,1))&lt;=90,CODE(MID(TRIM(UPPER(D86)),6,1))&gt;=48,CODE(MID(TRIM(UPPER(D86)),6,1))&lt;=57,CODE(MID(TRIM(UPPER(D86)),7,1))&gt;=48,CODE(MID(TRIM(UPPER(D86)),7,1))&lt;=57,CODE(MID(TRIM(UPPER(D86)),8,1))&gt;=48,CODE(MID(TRIM(UPPER(D86)),8,1))&lt;=57,CODE(MID(TRIM(UPPER(D86)),9,1))&gt;=48,CODE(MID(TRIM(UPPER(D86)),9,1))&lt;=57),"N","Y"))</f>
      </c>
      <c r="F86" s="7">
        <f>IF($C86="","",IF(LEN(D86)&lt;4,"",IF(UPPER(MID(D86,4,1))="P","Individual",IF(UPPER(MID(D86,4,1))="H","HUF",IF(UPPER(MID(D86,4,1))="C","Company",IF(UPPER(MID(D86,4,1))="F","Firm",IF(UPPER(MID(D86,4,1))="L","LLP",IF(UPPER(MID(D86,4,1))="T","Trust",IF(UPPER(MID(D86,4,1))="A","AOP","")))))))))</f>
      </c>
      <c r="G86" s="8"/>
      <c r="H86" s="7">
        <f>IF($C86="","",IF(R86&lt;&gt;"",R86,IF(G86="","",IF(E86="Y",SUMPRODUCT(('Rate Lookup'!$A$1:$A$37=G86)*'Rate Lookup'!$D$1:$D$37),IF(OR(F86="Individual",F86="HUF"),SUMPRODUCT(('Rate Lookup'!$A$1:$A$37=G86)*'Rate Lookup'!$B$1:$B$37),SUMPRODUCT(('Rate Lookup'!$A$1:$A$37=G86)*'Rate Lookup'!$C$1:$C$37)))))))</f>
      </c>
      <c r="I86" s="8"/>
      <c r="J86" s="8"/>
      <c r="K86" s="7">
        <f>IF($C86="","",IF(OR(P86="B",P86="D",P86="E",P86="N",P86="O",P86="P",P86="Q",P86="S",P86="Y",P86="Z"),0,ROUND(J86*H86/100,0)))</f>
      </c>
      <c r="L86" s="7">
        <f>IF($C86="","",0)</f>
      </c>
      <c r="M86" s="7">
        <f>IF($C86="","",0)</f>
      </c>
      <c r="N86" s="7">
        <f>IF($C86="","",IF(OR(K86=0,I86="",IFERROR(INDEX('Challan Master'!$D$4:$D$207,MATCH($B86,'Challan Master'!$S$4:$S$207,0)),"")="",IFERROR(INDEX('Challan Master'!$D$4:$D$207,MATCH($B86,'Challan Master'!$S$4:$S$207,0)),"")&lt;=0),0,IF(IFERROR(INDEX('Challan Master'!$D$4:$D$207,MATCH($B86,'Challan Master'!$S$4:$S$207,0)),"")&lt;=DATE(YEAR(I86),MONTH(I86)+1,7),0,ROUND(K86*0.015*((YEAR(IFERROR(INDEX('Challan Master'!$D$4:$D$207,MATCH($B86,'Challan Master'!$S$4:$S$207,0)),""))-YEAR(I86))*12+(MONTH(IFERROR(INDEX('Challan Master'!$D$4:$D$207,MATCH($B86,'Challan Master'!$S$4:$S$207,0)),""))-MONTH(I86))+1),0))))</f>
      </c>
      <c r="O86" s="7">
        <f>IF($C86="","",0)</f>
      </c>
      <c r="P86" s="8"/>
      <c r="Q86" s="8"/>
      <c r="R86" s="8"/>
      <c r="S86" s="8"/>
      <c r="T86" s="8"/>
      <c r="U86" s="7">
        <f>IF($B86="","",IFERROR(INDEX('Challan Master'!$AA$4:$AA$207,MATCH($B86,'Challan Master'!$S$4:$S$207,0)),""))</f>
      </c>
    </row>
    <row r="87" spans="1:22" x14ac:dyDescent="0.25">
      <c r="A87" s="7">
        <f>IF($C87="","",COUNTIF($C$4:$C87,"&lt;&gt;"))</f>
      </c>
      <c r="B87" s="8"/>
      <c r="C87" s="8"/>
      <c r="D87" s="8"/>
      <c r="E87" s="7">
        <f>IF($C87="","",IF(AND(LEN(TRIM(UPPER(D87)))=10,CODE(MID(TRIM(UPPER(D87)),1,1))&gt;=65,CODE(MID(TRIM(UPPER(D87)),1,1))&lt;=90,CODE(MID(TRIM(UPPER(D87)),2,1))&gt;=65,CODE(MID(TRIM(UPPER(D87)),2,1))&lt;=90,CODE(MID(TRIM(UPPER(D87)),3,1))&gt;=65,CODE(MID(TRIM(UPPER(D87)),3,1))&lt;=90,CODE(MID(TRIM(UPPER(D87)),4,1))&gt;=65,CODE(MID(TRIM(UPPER(D87)),4,1))&lt;=90,CODE(MID(TRIM(UPPER(D87)),5,1))&gt;=65,CODE(MID(TRIM(UPPER(D87)),5,1))&lt;=90,CODE(MID(TRIM(UPPER(D87)),10,1))&gt;=65,CODE(MID(TRIM(UPPER(D87)),10,1))&lt;=90,CODE(MID(TRIM(UPPER(D87)),6,1))&gt;=48,CODE(MID(TRIM(UPPER(D87)),6,1))&lt;=57,CODE(MID(TRIM(UPPER(D87)),7,1))&gt;=48,CODE(MID(TRIM(UPPER(D87)),7,1))&lt;=57,CODE(MID(TRIM(UPPER(D87)),8,1))&gt;=48,CODE(MID(TRIM(UPPER(D87)),8,1))&lt;=57,CODE(MID(TRIM(UPPER(D87)),9,1))&gt;=48,CODE(MID(TRIM(UPPER(D87)),9,1))&lt;=57),"N","Y"))</f>
      </c>
      <c r="F87" s="7">
        <f>IF($C87="","",IF(LEN(D87)&lt;4,"",IF(UPPER(MID(D87,4,1))="P","Individual",IF(UPPER(MID(D87,4,1))="H","HUF",IF(UPPER(MID(D87,4,1))="C","Company",IF(UPPER(MID(D87,4,1))="F","Firm",IF(UPPER(MID(D87,4,1))="L","LLP",IF(UPPER(MID(D87,4,1))="T","Trust",IF(UPPER(MID(D87,4,1))="A","AOP","")))))))))</f>
      </c>
      <c r="G87" s="8"/>
      <c r="H87" s="7">
        <f>IF($C87="","",IF(R87&lt;&gt;"",R87,IF(G87="","",IF(E87="Y",SUMPRODUCT(('Rate Lookup'!$A$1:$A$37=G87)*'Rate Lookup'!$D$1:$D$37),IF(OR(F87="Individual",F87="HUF"),SUMPRODUCT(('Rate Lookup'!$A$1:$A$37=G87)*'Rate Lookup'!$B$1:$B$37),SUMPRODUCT(('Rate Lookup'!$A$1:$A$37=G87)*'Rate Lookup'!$C$1:$C$37)))))))</f>
      </c>
      <c r="I87" s="8"/>
      <c r="J87" s="8"/>
      <c r="K87" s="7">
        <f>IF($C87="","",IF(OR(P87="B",P87="D",P87="E",P87="N",P87="O",P87="P",P87="Q",P87="S",P87="Y",P87="Z"),0,ROUND(J87*H87/100,0)))</f>
      </c>
      <c r="L87" s="7">
        <f>IF($C87="","",0)</f>
      </c>
      <c r="M87" s="7">
        <f>IF($C87="","",0)</f>
      </c>
      <c r="N87" s="7">
        <f>IF($C87="","",IF(OR(K87=0,I87="",IFERROR(INDEX('Challan Master'!$D$4:$D$207,MATCH($B87,'Challan Master'!$S$4:$S$207,0)),"")="",IFERROR(INDEX('Challan Master'!$D$4:$D$207,MATCH($B87,'Challan Master'!$S$4:$S$207,0)),"")&lt;=0),0,IF(IFERROR(INDEX('Challan Master'!$D$4:$D$207,MATCH($B87,'Challan Master'!$S$4:$S$207,0)),"")&lt;=DATE(YEAR(I87),MONTH(I87)+1,7),0,ROUND(K87*0.015*((YEAR(IFERROR(INDEX('Challan Master'!$D$4:$D$207,MATCH($B87,'Challan Master'!$S$4:$S$207,0)),""))-YEAR(I87))*12+(MONTH(IFERROR(INDEX('Challan Master'!$D$4:$D$207,MATCH($B87,'Challan Master'!$S$4:$S$207,0)),""))-MONTH(I87))+1),0))))</f>
      </c>
      <c r="O87" s="7">
        <f>IF($C87="","",0)</f>
      </c>
      <c r="P87" s="8"/>
      <c r="Q87" s="8"/>
      <c r="R87" s="8"/>
      <c r="S87" s="8"/>
      <c r="T87" s="8"/>
      <c r="U87" s="7">
        <f>IF($B87="","",IFERROR(INDEX('Challan Master'!$AA$4:$AA$207,MATCH($B87,'Challan Master'!$S$4:$S$207,0)),""))</f>
      </c>
    </row>
    <row r="88" spans="1:22" x14ac:dyDescent="0.25">
      <c r="A88" s="7">
        <f>IF($C88="","",COUNTIF($C$4:$C88,"&lt;&gt;"))</f>
      </c>
      <c r="B88" s="8"/>
      <c r="C88" s="8"/>
      <c r="D88" s="8"/>
      <c r="E88" s="7">
        <f>IF($C88="","",IF(AND(LEN(TRIM(UPPER(D88)))=10,CODE(MID(TRIM(UPPER(D88)),1,1))&gt;=65,CODE(MID(TRIM(UPPER(D88)),1,1))&lt;=90,CODE(MID(TRIM(UPPER(D88)),2,1))&gt;=65,CODE(MID(TRIM(UPPER(D88)),2,1))&lt;=90,CODE(MID(TRIM(UPPER(D88)),3,1))&gt;=65,CODE(MID(TRIM(UPPER(D88)),3,1))&lt;=90,CODE(MID(TRIM(UPPER(D88)),4,1))&gt;=65,CODE(MID(TRIM(UPPER(D88)),4,1))&lt;=90,CODE(MID(TRIM(UPPER(D88)),5,1))&gt;=65,CODE(MID(TRIM(UPPER(D88)),5,1))&lt;=90,CODE(MID(TRIM(UPPER(D88)),10,1))&gt;=65,CODE(MID(TRIM(UPPER(D88)),10,1))&lt;=90,CODE(MID(TRIM(UPPER(D88)),6,1))&gt;=48,CODE(MID(TRIM(UPPER(D88)),6,1))&lt;=57,CODE(MID(TRIM(UPPER(D88)),7,1))&gt;=48,CODE(MID(TRIM(UPPER(D88)),7,1))&lt;=57,CODE(MID(TRIM(UPPER(D88)),8,1))&gt;=48,CODE(MID(TRIM(UPPER(D88)),8,1))&lt;=57,CODE(MID(TRIM(UPPER(D88)),9,1))&gt;=48,CODE(MID(TRIM(UPPER(D88)),9,1))&lt;=57),"N","Y"))</f>
      </c>
      <c r="F88" s="7">
        <f>IF($C88="","",IF(LEN(D88)&lt;4,"",IF(UPPER(MID(D88,4,1))="P","Individual",IF(UPPER(MID(D88,4,1))="H","HUF",IF(UPPER(MID(D88,4,1))="C","Company",IF(UPPER(MID(D88,4,1))="F","Firm",IF(UPPER(MID(D88,4,1))="L","LLP",IF(UPPER(MID(D88,4,1))="T","Trust",IF(UPPER(MID(D88,4,1))="A","AOP","")))))))))</f>
      </c>
      <c r="G88" s="8"/>
      <c r="H88" s="7">
        <f>IF($C88="","",IF(R88&lt;&gt;"",R88,IF(G88="","",IF(E88="Y",SUMPRODUCT(('Rate Lookup'!$A$1:$A$37=G88)*'Rate Lookup'!$D$1:$D$37),IF(OR(F88="Individual",F88="HUF"),SUMPRODUCT(('Rate Lookup'!$A$1:$A$37=G88)*'Rate Lookup'!$B$1:$B$37),SUMPRODUCT(('Rate Lookup'!$A$1:$A$37=G88)*'Rate Lookup'!$C$1:$C$37)))))))</f>
      </c>
      <c r="I88" s="8"/>
      <c r="J88" s="8"/>
      <c r="K88" s="7">
        <f>IF($C88="","",IF(OR(P88="B",P88="D",P88="E",P88="N",P88="O",P88="P",P88="Q",P88="S",P88="Y",P88="Z"),0,ROUND(J88*H88/100,0)))</f>
      </c>
      <c r="L88" s="7">
        <f>IF($C88="","",0)</f>
      </c>
      <c r="M88" s="7">
        <f>IF($C88="","",0)</f>
      </c>
      <c r="N88" s="7">
        <f>IF($C88="","",IF(OR(K88=0,I88="",IFERROR(INDEX('Challan Master'!$D$4:$D$207,MATCH($B88,'Challan Master'!$S$4:$S$207,0)),"")="",IFERROR(INDEX('Challan Master'!$D$4:$D$207,MATCH($B88,'Challan Master'!$S$4:$S$207,0)),"")&lt;=0),0,IF(IFERROR(INDEX('Challan Master'!$D$4:$D$207,MATCH($B88,'Challan Master'!$S$4:$S$207,0)),"")&lt;=DATE(YEAR(I88),MONTH(I88)+1,7),0,ROUND(K88*0.015*((YEAR(IFERROR(INDEX('Challan Master'!$D$4:$D$207,MATCH($B88,'Challan Master'!$S$4:$S$207,0)),""))-YEAR(I88))*12+(MONTH(IFERROR(INDEX('Challan Master'!$D$4:$D$207,MATCH($B88,'Challan Master'!$S$4:$S$207,0)),""))-MONTH(I88))+1),0))))</f>
      </c>
      <c r="O88" s="7">
        <f>IF($C88="","",0)</f>
      </c>
      <c r="P88" s="8"/>
      <c r="Q88" s="8"/>
      <c r="R88" s="8"/>
      <c r="S88" s="8"/>
      <c r="T88" s="8"/>
      <c r="U88" s="7">
        <f>IF($B88="","",IFERROR(INDEX('Challan Master'!$AA$4:$AA$207,MATCH($B88,'Challan Master'!$S$4:$S$207,0)),""))</f>
      </c>
    </row>
    <row r="89" spans="1:22" x14ac:dyDescent="0.25">
      <c r="A89" s="7">
        <f>IF($C89="","",COUNTIF($C$4:$C89,"&lt;&gt;"))</f>
      </c>
      <c r="B89" s="8"/>
      <c r="C89" s="8"/>
      <c r="D89" s="8"/>
      <c r="E89" s="7">
        <f>IF($C89="","",IF(AND(LEN(TRIM(UPPER(D89)))=10,CODE(MID(TRIM(UPPER(D89)),1,1))&gt;=65,CODE(MID(TRIM(UPPER(D89)),1,1))&lt;=90,CODE(MID(TRIM(UPPER(D89)),2,1))&gt;=65,CODE(MID(TRIM(UPPER(D89)),2,1))&lt;=90,CODE(MID(TRIM(UPPER(D89)),3,1))&gt;=65,CODE(MID(TRIM(UPPER(D89)),3,1))&lt;=90,CODE(MID(TRIM(UPPER(D89)),4,1))&gt;=65,CODE(MID(TRIM(UPPER(D89)),4,1))&lt;=90,CODE(MID(TRIM(UPPER(D89)),5,1))&gt;=65,CODE(MID(TRIM(UPPER(D89)),5,1))&lt;=90,CODE(MID(TRIM(UPPER(D89)),10,1))&gt;=65,CODE(MID(TRIM(UPPER(D89)),10,1))&lt;=90,CODE(MID(TRIM(UPPER(D89)),6,1))&gt;=48,CODE(MID(TRIM(UPPER(D89)),6,1))&lt;=57,CODE(MID(TRIM(UPPER(D89)),7,1))&gt;=48,CODE(MID(TRIM(UPPER(D89)),7,1))&lt;=57,CODE(MID(TRIM(UPPER(D89)),8,1))&gt;=48,CODE(MID(TRIM(UPPER(D89)),8,1))&lt;=57,CODE(MID(TRIM(UPPER(D89)),9,1))&gt;=48,CODE(MID(TRIM(UPPER(D89)),9,1))&lt;=57),"N","Y"))</f>
      </c>
      <c r="F89" s="7">
        <f>IF($C89="","",IF(LEN(D89)&lt;4,"",IF(UPPER(MID(D89,4,1))="P","Individual",IF(UPPER(MID(D89,4,1))="H","HUF",IF(UPPER(MID(D89,4,1))="C","Company",IF(UPPER(MID(D89,4,1))="F","Firm",IF(UPPER(MID(D89,4,1))="L","LLP",IF(UPPER(MID(D89,4,1))="T","Trust",IF(UPPER(MID(D89,4,1))="A","AOP","")))))))))</f>
      </c>
      <c r="G89" s="8"/>
      <c r="H89" s="7">
        <f>IF($C89="","",IF(R89&lt;&gt;"",R89,IF(G89="","",IF(E89="Y",SUMPRODUCT(('Rate Lookup'!$A$1:$A$37=G89)*'Rate Lookup'!$D$1:$D$37),IF(OR(F89="Individual",F89="HUF"),SUMPRODUCT(('Rate Lookup'!$A$1:$A$37=G89)*'Rate Lookup'!$B$1:$B$37),SUMPRODUCT(('Rate Lookup'!$A$1:$A$37=G89)*'Rate Lookup'!$C$1:$C$37)))))))</f>
      </c>
      <c r="I89" s="8"/>
      <c r="J89" s="8"/>
      <c r="K89" s="7">
        <f>IF($C89="","",IF(OR(P89="B",P89="D",P89="E",P89="N",P89="O",P89="P",P89="Q",P89="S",P89="Y",P89="Z"),0,ROUND(J89*H89/100,0)))</f>
      </c>
      <c r="L89" s="7">
        <f>IF($C89="","",0)</f>
      </c>
      <c r="M89" s="7">
        <f>IF($C89="","",0)</f>
      </c>
      <c r="N89" s="7">
        <f>IF($C89="","",IF(OR(K89=0,I89="",IFERROR(INDEX('Challan Master'!$D$4:$D$207,MATCH($B89,'Challan Master'!$S$4:$S$207,0)),"")="",IFERROR(INDEX('Challan Master'!$D$4:$D$207,MATCH($B89,'Challan Master'!$S$4:$S$207,0)),"")&lt;=0),0,IF(IFERROR(INDEX('Challan Master'!$D$4:$D$207,MATCH($B89,'Challan Master'!$S$4:$S$207,0)),"")&lt;=DATE(YEAR(I89),MONTH(I89)+1,7),0,ROUND(K89*0.015*((YEAR(IFERROR(INDEX('Challan Master'!$D$4:$D$207,MATCH($B89,'Challan Master'!$S$4:$S$207,0)),""))-YEAR(I89))*12+(MONTH(IFERROR(INDEX('Challan Master'!$D$4:$D$207,MATCH($B89,'Challan Master'!$S$4:$S$207,0)),""))-MONTH(I89))+1),0))))</f>
      </c>
      <c r="O89" s="7">
        <f>IF($C89="","",0)</f>
      </c>
      <c r="P89" s="8"/>
      <c r="Q89" s="8"/>
      <c r="R89" s="8"/>
      <c r="S89" s="8"/>
      <c r="T89" s="8"/>
      <c r="U89" s="7">
        <f>IF($B89="","",IFERROR(INDEX('Challan Master'!$AA$4:$AA$207,MATCH($B89,'Challan Master'!$S$4:$S$207,0)),""))</f>
      </c>
    </row>
    <row r="90" spans="1:22" x14ac:dyDescent="0.25">
      <c r="A90" s="7">
        <f>IF($C90="","",COUNTIF($C$4:$C90,"&lt;&gt;"))</f>
      </c>
      <c r="B90" s="8"/>
      <c r="C90" s="8"/>
      <c r="D90" s="8"/>
      <c r="E90" s="7">
        <f>IF($C90="","",IF(AND(LEN(TRIM(UPPER(D90)))=10,CODE(MID(TRIM(UPPER(D90)),1,1))&gt;=65,CODE(MID(TRIM(UPPER(D90)),1,1))&lt;=90,CODE(MID(TRIM(UPPER(D90)),2,1))&gt;=65,CODE(MID(TRIM(UPPER(D90)),2,1))&lt;=90,CODE(MID(TRIM(UPPER(D90)),3,1))&gt;=65,CODE(MID(TRIM(UPPER(D90)),3,1))&lt;=90,CODE(MID(TRIM(UPPER(D90)),4,1))&gt;=65,CODE(MID(TRIM(UPPER(D90)),4,1))&lt;=90,CODE(MID(TRIM(UPPER(D90)),5,1))&gt;=65,CODE(MID(TRIM(UPPER(D90)),5,1))&lt;=90,CODE(MID(TRIM(UPPER(D90)),10,1))&gt;=65,CODE(MID(TRIM(UPPER(D90)),10,1))&lt;=90,CODE(MID(TRIM(UPPER(D90)),6,1))&gt;=48,CODE(MID(TRIM(UPPER(D90)),6,1))&lt;=57,CODE(MID(TRIM(UPPER(D90)),7,1))&gt;=48,CODE(MID(TRIM(UPPER(D90)),7,1))&lt;=57,CODE(MID(TRIM(UPPER(D90)),8,1))&gt;=48,CODE(MID(TRIM(UPPER(D90)),8,1))&lt;=57,CODE(MID(TRIM(UPPER(D90)),9,1))&gt;=48,CODE(MID(TRIM(UPPER(D90)),9,1))&lt;=57),"N","Y"))</f>
      </c>
      <c r="F90" s="7">
        <f>IF($C90="","",IF(LEN(D90)&lt;4,"",IF(UPPER(MID(D90,4,1))="P","Individual",IF(UPPER(MID(D90,4,1))="H","HUF",IF(UPPER(MID(D90,4,1))="C","Company",IF(UPPER(MID(D90,4,1))="F","Firm",IF(UPPER(MID(D90,4,1))="L","LLP",IF(UPPER(MID(D90,4,1))="T","Trust",IF(UPPER(MID(D90,4,1))="A","AOP","")))))))))</f>
      </c>
      <c r="G90" s="8"/>
      <c r="H90" s="7">
        <f>IF($C90="","",IF(R90&lt;&gt;"",R90,IF(G90="","",IF(E90="Y",SUMPRODUCT(('Rate Lookup'!$A$1:$A$37=G90)*'Rate Lookup'!$D$1:$D$37),IF(OR(F90="Individual",F90="HUF"),SUMPRODUCT(('Rate Lookup'!$A$1:$A$37=G90)*'Rate Lookup'!$B$1:$B$37),SUMPRODUCT(('Rate Lookup'!$A$1:$A$37=G90)*'Rate Lookup'!$C$1:$C$37)))))))</f>
      </c>
      <c r="I90" s="8"/>
      <c r="J90" s="8"/>
      <c r="K90" s="7">
        <f>IF($C90="","",IF(OR(P90="B",P90="D",P90="E",P90="N",P90="O",P90="P",P90="Q",P90="S",P90="Y",P90="Z"),0,ROUND(J90*H90/100,0)))</f>
      </c>
      <c r="L90" s="7">
        <f>IF($C90="","",0)</f>
      </c>
      <c r="M90" s="7">
        <f>IF($C90="","",0)</f>
      </c>
      <c r="N90" s="7">
        <f>IF($C90="","",IF(OR(K90=0,I90="",IFERROR(INDEX('Challan Master'!$D$4:$D$207,MATCH($B90,'Challan Master'!$S$4:$S$207,0)),"")="",IFERROR(INDEX('Challan Master'!$D$4:$D$207,MATCH($B90,'Challan Master'!$S$4:$S$207,0)),"")&lt;=0),0,IF(IFERROR(INDEX('Challan Master'!$D$4:$D$207,MATCH($B90,'Challan Master'!$S$4:$S$207,0)),"")&lt;=DATE(YEAR(I90),MONTH(I90)+1,7),0,ROUND(K90*0.015*((YEAR(IFERROR(INDEX('Challan Master'!$D$4:$D$207,MATCH($B90,'Challan Master'!$S$4:$S$207,0)),""))-YEAR(I90))*12+(MONTH(IFERROR(INDEX('Challan Master'!$D$4:$D$207,MATCH($B90,'Challan Master'!$S$4:$S$207,0)),""))-MONTH(I90))+1),0))))</f>
      </c>
      <c r="O90" s="7">
        <f>IF($C90="","",0)</f>
      </c>
      <c r="P90" s="8"/>
      <c r="Q90" s="8"/>
      <c r="R90" s="8"/>
      <c r="S90" s="8"/>
      <c r="T90" s="8"/>
      <c r="U90" s="7">
        <f>IF($B90="","",IFERROR(INDEX('Challan Master'!$AA$4:$AA$207,MATCH($B90,'Challan Master'!$S$4:$S$207,0)),""))</f>
      </c>
    </row>
    <row r="91" spans="1:22" x14ac:dyDescent="0.25">
      <c r="A91" s="7">
        <f>IF($C91="","",COUNTIF($C$4:$C91,"&lt;&gt;"))</f>
      </c>
      <c r="B91" s="8"/>
      <c r="C91" s="8"/>
      <c r="D91" s="8"/>
      <c r="E91" s="7">
        <f>IF($C91="","",IF(AND(LEN(TRIM(UPPER(D91)))=10,CODE(MID(TRIM(UPPER(D91)),1,1))&gt;=65,CODE(MID(TRIM(UPPER(D91)),1,1))&lt;=90,CODE(MID(TRIM(UPPER(D91)),2,1))&gt;=65,CODE(MID(TRIM(UPPER(D91)),2,1))&lt;=90,CODE(MID(TRIM(UPPER(D91)),3,1))&gt;=65,CODE(MID(TRIM(UPPER(D91)),3,1))&lt;=90,CODE(MID(TRIM(UPPER(D91)),4,1))&gt;=65,CODE(MID(TRIM(UPPER(D91)),4,1))&lt;=90,CODE(MID(TRIM(UPPER(D91)),5,1))&gt;=65,CODE(MID(TRIM(UPPER(D91)),5,1))&lt;=90,CODE(MID(TRIM(UPPER(D91)),10,1))&gt;=65,CODE(MID(TRIM(UPPER(D91)),10,1))&lt;=90,CODE(MID(TRIM(UPPER(D91)),6,1))&gt;=48,CODE(MID(TRIM(UPPER(D91)),6,1))&lt;=57,CODE(MID(TRIM(UPPER(D91)),7,1))&gt;=48,CODE(MID(TRIM(UPPER(D91)),7,1))&lt;=57,CODE(MID(TRIM(UPPER(D91)),8,1))&gt;=48,CODE(MID(TRIM(UPPER(D91)),8,1))&lt;=57,CODE(MID(TRIM(UPPER(D91)),9,1))&gt;=48,CODE(MID(TRIM(UPPER(D91)),9,1))&lt;=57),"N","Y"))</f>
      </c>
      <c r="F91" s="7">
        <f>IF($C91="","",IF(LEN(D91)&lt;4,"",IF(UPPER(MID(D91,4,1))="P","Individual",IF(UPPER(MID(D91,4,1))="H","HUF",IF(UPPER(MID(D91,4,1))="C","Company",IF(UPPER(MID(D91,4,1))="F","Firm",IF(UPPER(MID(D91,4,1))="L","LLP",IF(UPPER(MID(D91,4,1))="T","Trust",IF(UPPER(MID(D91,4,1))="A","AOP","")))))))))</f>
      </c>
      <c r="G91" s="8"/>
      <c r="H91" s="7">
        <f>IF($C91="","",IF(R91&lt;&gt;"",R91,IF(G91="","",IF(E91="Y",SUMPRODUCT(('Rate Lookup'!$A$1:$A$37=G91)*'Rate Lookup'!$D$1:$D$37),IF(OR(F91="Individual",F91="HUF"),SUMPRODUCT(('Rate Lookup'!$A$1:$A$37=G91)*'Rate Lookup'!$B$1:$B$37),SUMPRODUCT(('Rate Lookup'!$A$1:$A$37=G91)*'Rate Lookup'!$C$1:$C$37)))))))</f>
      </c>
      <c r="I91" s="8"/>
      <c r="J91" s="8"/>
      <c r="K91" s="7">
        <f>IF($C91="","",IF(OR(P91="B",P91="D",P91="E",P91="N",P91="O",P91="P",P91="Q",P91="S",P91="Y",P91="Z"),0,ROUND(J91*H91/100,0)))</f>
      </c>
      <c r="L91" s="7">
        <f>IF($C91="","",0)</f>
      </c>
      <c r="M91" s="7">
        <f>IF($C91="","",0)</f>
      </c>
      <c r="N91" s="7">
        <f>IF($C91="","",IF(OR(K91=0,I91="",IFERROR(INDEX('Challan Master'!$D$4:$D$207,MATCH($B91,'Challan Master'!$S$4:$S$207,0)),"")="",IFERROR(INDEX('Challan Master'!$D$4:$D$207,MATCH($B91,'Challan Master'!$S$4:$S$207,0)),"")&lt;=0),0,IF(IFERROR(INDEX('Challan Master'!$D$4:$D$207,MATCH($B91,'Challan Master'!$S$4:$S$207,0)),"")&lt;=DATE(YEAR(I91),MONTH(I91)+1,7),0,ROUND(K91*0.015*((YEAR(IFERROR(INDEX('Challan Master'!$D$4:$D$207,MATCH($B91,'Challan Master'!$S$4:$S$207,0)),""))-YEAR(I91))*12+(MONTH(IFERROR(INDEX('Challan Master'!$D$4:$D$207,MATCH($B91,'Challan Master'!$S$4:$S$207,0)),""))-MONTH(I91))+1),0))))</f>
      </c>
      <c r="O91" s="7">
        <f>IF($C91="","",0)</f>
      </c>
      <c r="P91" s="8"/>
      <c r="Q91" s="8"/>
      <c r="R91" s="8"/>
      <c r="S91" s="8"/>
      <c r="T91" s="8"/>
      <c r="U91" s="7">
        <f>IF($B91="","",IFERROR(INDEX('Challan Master'!$AA$4:$AA$207,MATCH($B91,'Challan Master'!$S$4:$S$207,0)),""))</f>
      </c>
    </row>
    <row r="92" spans="1:22" x14ac:dyDescent="0.25">
      <c r="A92" s="7">
        <f>IF($C92="","",COUNTIF($C$4:$C92,"&lt;&gt;"))</f>
      </c>
      <c r="B92" s="8"/>
      <c r="C92" s="8"/>
      <c r="D92" s="8"/>
      <c r="E92" s="7">
        <f>IF($C92="","",IF(AND(LEN(TRIM(UPPER(D92)))=10,CODE(MID(TRIM(UPPER(D92)),1,1))&gt;=65,CODE(MID(TRIM(UPPER(D92)),1,1))&lt;=90,CODE(MID(TRIM(UPPER(D92)),2,1))&gt;=65,CODE(MID(TRIM(UPPER(D92)),2,1))&lt;=90,CODE(MID(TRIM(UPPER(D92)),3,1))&gt;=65,CODE(MID(TRIM(UPPER(D92)),3,1))&lt;=90,CODE(MID(TRIM(UPPER(D92)),4,1))&gt;=65,CODE(MID(TRIM(UPPER(D92)),4,1))&lt;=90,CODE(MID(TRIM(UPPER(D92)),5,1))&gt;=65,CODE(MID(TRIM(UPPER(D92)),5,1))&lt;=90,CODE(MID(TRIM(UPPER(D92)),10,1))&gt;=65,CODE(MID(TRIM(UPPER(D92)),10,1))&lt;=90,CODE(MID(TRIM(UPPER(D92)),6,1))&gt;=48,CODE(MID(TRIM(UPPER(D92)),6,1))&lt;=57,CODE(MID(TRIM(UPPER(D92)),7,1))&gt;=48,CODE(MID(TRIM(UPPER(D92)),7,1))&lt;=57,CODE(MID(TRIM(UPPER(D92)),8,1))&gt;=48,CODE(MID(TRIM(UPPER(D92)),8,1))&lt;=57,CODE(MID(TRIM(UPPER(D92)),9,1))&gt;=48,CODE(MID(TRIM(UPPER(D92)),9,1))&lt;=57),"N","Y"))</f>
      </c>
      <c r="F92" s="7">
        <f>IF($C92="","",IF(LEN(D92)&lt;4,"",IF(UPPER(MID(D92,4,1))="P","Individual",IF(UPPER(MID(D92,4,1))="H","HUF",IF(UPPER(MID(D92,4,1))="C","Company",IF(UPPER(MID(D92,4,1))="F","Firm",IF(UPPER(MID(D92,4,1))="L","LLP",IF(UPPER(MID(D92,4,1))="T","Trust",IF(UPPER(MID(D92,4,1))="A","AOP","")))))))))</f>
      </c>
      <c r="G92" s="8"/>
      <c r="H92" s="7">
        <f>IF($C92="","",IF(R92&lt;&gt;"",R92,IF(G92="","",IF(E92="Y",SUMPRODUCT(('Rate Lookup'!$A$1:$A$37=G92)*'Rate Lookup'!$D$1:$D$37),IF(OR(F92="Individual",F92="HUF"),SUMPRODUCT(('Rate Lookup'!$A$1:$A$37=G92)*'Rate Lookup'!$B$1:$B$37),SUMPRODUCT(('Rate Lookup'!$A$1:$A$37=G92)*'Rate Lookup'!$C$1:$C$37)))))))</f>
      </c>
      <c r="I92" s="8"/>
      <c r="J92" s="8"/>
      <c r="K92" s="7">
        <f>IF($C92="","",IF(OR(P92="B",P92="D",P92="E",P92="N",P92="O",P92="P",P92="Q",P92="S",P92="Y",P92="Z"),0,ROUND(J92*H92/100,0)))</f>
      </c>
      <c r="L92" s="7">
        <f>IF($C92="","",0)</f>
      </c>
      <c r="M92" s="7">
        <f>IF($C92="","",0)</f>
      </c>
      <c r="N92" s="7">
        <f>IF($C92="","",IF(OR(K92=0,I92="",IFERROR(INDEX('Challan Master'!$D$4:$D$207,MATCH($B92,'Challan Master'!$S$4:$S$207,0)),"")="",IFERROR(INDEX('Challan Master'!$D$4:$D$207,MATCH($B92,'Challan Master'!$S$4:$S$207,0)),"")&lt;=0),0,IF(IFERROR(INDEX('Challan Master'!$D$4:$D$207,MATCH($B92,'Challan Master'!$S$4:$S$207,0)),"")&lt;=DATE(YEAR(I92),MONTH(I92)+1,7),0,ROUND(K92*0.015*((YEAR(IFERROR(INDEX('Challan Master'!$D$4:$D$207,MATCH($B92,'Challan Master'!$S$4:$S$207,0)),""))-YEAR(I92))*12+(MONTH(IFERROR(INDEX('Challan Master'!$D$4:$D$207,MATCH($B92,'Challan Master'!$S$4:$S$207,0)),""))-MONTH(I92))+1),0))))</f>
      </c>
      <c r="O92" s="7">
        <f>IF($C92="","",0)</f>
      </c>
      <c r="P92" s="8"/>
      <c r="Q92" s="8"/>
      <c r="R92" s="8"/>
      <c r="S92" s="8"/>
      <c r="T92" s="8"/>
      <c r="U92" s="7">
        <f>IF($B92="","",IFERROR(INDEX('Challan Master'!$AA$4:$AA$207,MATCH($B92,'Challan Master'!$S$4:$S$207,0)),""))</f>
      </c>
    </row>
    <row r="93" spans="1:22" x14ac:dyDescent="0.25">
      <c r="A93" s="7">
        <f>IF($C93="","",COUNTIF($C$4:$C93,"&lt;&gt;"))</f>
      </c>
      <c r="B93" s="8"/>
      <c r="C93" s="8"/>
      <c r="D93" s="8"/>
      <c r="E93" s="7">
        <f>IF($C93="","",IF(AND(LEN(TRIM(UPPER(D93)))=10,CODE(MID(TRIM(UPPER(D93)),1,1))&gt;=65,CODE(MID(TRIM(UPPER(D93)),1,1))&lt;=90,CODE(MID(TRIM(UPPER(D93)),2,1))&gt;=65,CODE(MID(TRIM(UPPER(D93)),2,1))&lt;=90,CODE(MID(TRIM(UPPER(D93)),3,1))&gt;=65,CODE(MID(TRIM(UPPER(D93)),3,1))&lt;=90,CODE(MID(TRIM(UPPER(D93)),4,1))&gt;=65,CODE(MID(TRIM(UPPER(D93)),4,1))&lt;=90,CODE(MID(TRIM(UPPER(D93)),5,1))&gt;=65,CODE(MID(TRIM(UPPER(D93)),5,1))&lt;=90,CODE(MID(TRIM(UPPER(D93)),10,1))&gt;=65,CODE(MID(TRIM(UPPER(D93)),10,1))&lt;=90,CODE(MID(TRIM(UPPER(D93)),6,1))&gt;=48,CODE(MID(TRIM(UPPER(D93)),6,1))&lt;=57,CODE(MID(TRIM(UPPER(D93)),7,1))&gt;=48,CODE(MID(TRIM(UPPER(D93)),7,1))&lt;=57,CODE(MID(TRIM(UPPER(D93)),8,1))&gt;=48,CODE(MID(TRIM(UPPER(D93)),8,1))&lt;=57,CODE(MID(TRIM(UPPER(D93)),9,1))&gt;=48,CODE(MID(TRIM(UPPER(D93)),9,1))&lt;=57),"N","Y"))</f>
      </c>
      <c r="F93" s="7">
        <f>IF($C93="","",IF(LEN(D93)&lt;4,"",IF(UPPER(MID(D93,4,1))="P","Individual",IF(UPPER(MID(D93,4,1))="H","HUF",IF(UPPER(MID(D93,4,1))="C","Company",IF(UPPER(MID(D93,4,1))="F","Firm",IF(UPPER(MID(D93,4,1))="L","LLP",IF(UPPER(MID(D93,4,1))="T","Trust",IF(UPPER(MID(D93,4,1))="A","AOP","")))))))))</f>
      </c>
      <c r="G93" s="8"/>
      <c r="H93" s="7">
        <f>IF($C93="","",IF(R93&lt;&gt;"",R93,IF(G93="","",IF(E93="Y",SUMPRODUCT(('Rate Lookup'!$A$1:$A$37=G93)*'Rate Lookup'!$D$1:$D$37),IF(OR(F93="Individual",F93="HUF"),SUMPRODUCT(('Rate Lookup'!$A$1:$A$37=G93)*'Rate Lookup'!$B$1:$B$37),SUMPRODUCT(('Rate Lookup'!$A$1:$A$37=G93)*'Rate Lookup'!$C$1:$C$37)))))))</f>
      </c>
      <c r="I93" s="8"/>
      <c r="J93" s="8"/>
      <c r="K93" s="7">
        <f>IF($C93="","",IF(OR(P93="B",P93="D",P93="E",P93="N",P93="O",P93="P",P93="Q",P93="S",P93="Y",P93="Z"),0,ROUND(J93*H93/100,0)))</f>
      </c>
      <c r="L93" s="7">
        <f>IF($C93="","",0)</f>
      </c>
      <c r="M93" s="7">
        <f>IF($C93="","",0)</f>
      </c>
      <c r="N93" s="7">
        <f>IF($C93="","",IF(OR(K93=0,I93="",IFERROR(INDEX('Challan Master'!$D$4:$D$207,MATCH($B93,'Challan Master'!$S$4:$S$207,0)),"")="",IFERROR(INDEX('Challan Master'!$D$4:$D$207,MATCH($B93,'Challan Master'!$S$4:$S$207,0)),"")&lt;=0),0,IF(IFERROR(INDEX('Challan Master'!$D$4:$D$207,MATCH($B93,'Challan Master'!$S$4:$S$207,0)),"")&lt;=DATE(YEAR(I93),MONTH(I93)+1,7),0,ROUND(K93*0.015*((YEAR(IFERROR(INDEX('Challan Master'!$D$4:$D$207,MATCH($B93,'Challan Master'!$S$4:$S$207,0)),""))-YEAR(I93))*12+(MONTH(IFERROR(INDEX('Challan Master'!$D$4:$D$207,MATCH($B93,'Challan Master'!$S$4:$S$207,0)),""))-MONTH(I93))+1),0))))</f>
      </c>
      <c r="O93" s="7">
        <f>IF($C93="","",0)</f>
      </c>
      <c r="P93" s="8"/>
      <c r="Q93" s="8"/>
      <c r="R93" s="8"/>
      <c r="S93" s="8"/>
      <c r="T93" s="8"/>
      <c r="U93" s="7">
        <f>IF($B93="","",IFERROR(INDEX('Challan Master'!$AA$4:$AA$207,MATCH($B93,'Challan Master'!$S$4:$S$207,0)),""))</f>
      </c>
    </row>
    <row r="94" spans="1:22" x14ac:dyDescent="0.25">
      <c r="A94" s="7">
        <f>IF($C94="","",COUNTIF($C$4:$C94,"&lt;&gt;"))</f>
      </c>
      <c r="B94" s="8"/>
      <c r="C94" s="8"/>
      <c r="D94" s="8"/>
      <c r="E94" s="7">
        <f>IF($C94="","",IF(AND(LEN(TRIM(UPPER(D94)))=10,CODE(MID(TRIM(UPPER(D94)),1,1))&gt;=65,CODE(MID(TRIM(UPPER(D94)),1,1))&lt;=90,CODE(MID(TRIM(UPPER(D94)),2,1))&gt;=65,CODE(MID(TRIM(UPPER(D94)),2,1))&lt;=90,CODE(MID(TRIM(UPPER(D94)),3,1))&gt;=65,CODE(MID(TRIM(UPPER(D94)),3,1))&lt;=90,CODE(MID(TRIM(UPPER(D94)),4,1))&gt;=65,CODE(MID(TRIM(UPPER(D94)),4,1))&lt;=90,CODE(MID(TRIM(UPPER(D94)),5,1))&gt;=65,CODE(MID(TRIM(UPPER(D94)),5,1))&lt;=90,CODE(MID(TRIM(UPPER(D94)),10,1))&gt;=65,CODE(MID(TRIM(UPPER(D94)),10,1))&lt;=90,CODE(MID(TRIM(UPPER(D94)),6,1))&gt;=48,CODE(MID(TRIM(UPPER(D94)),6,1))&lt;=57,CODE(MID(TRIM(UPPER(D94)),7,1))&gt;=48,CODE(MID(TRIM(UPPER(D94)),7,1))&lt;=57,CODE(MID(TRIM(UPPER(D94)),8,1))&gt;=48,CODE(MID(TRIM(UPPER(D94)),8,1))&lt;=57,CODE(MID(TRIM(UPPER(D94)),9,1))&gt;=48,CODE(MID(TRIM(UPPER(D94)),9,1))&lt;=57),"N","Y"))</f>
      </c>
      <c r="F94" s="7">
        <f>IF($C94="","",IF(LEN(D94)&lt;4,"",IF(UPPER(MID(D94,4,1))="P","Individual",IF(UPPER(MID(D94,4,1))="H","HUF",IF(UPPER(MID(D94,4,1))="C","Company",IF(UPPER(MID(D94,4,1))="F","Firm",IF(UPPER(MID(D94,4,1))="L","LLP",IF(UPPER(MID(D94,4,1))="T","Trust",IF(UPPER(MID(D94,4,1))="A","AOP","")))))))))</f>
      </c>
      <c r="G94" s="8"/>
      <c r="H94" s="7">
        <f>IF($C94="","",IF(R94&lt;&gt;"",R94,IF(G94="","",IF(E94="Y",SUMPRODUCT(('Rate Lookup'!$A$1:$A$37=G94)*'Rate Lookup'!$D$1:$D$37),IF(OR(F94="Individual",F94="HUF"),SUMPRODUCT(('Rate Lookup'!$A$1:$A$37=G94)*'Rate Lookup'!$B$1:$B$37),SUMPRODUCT(('Rate Lookup'!$A$1:$A$37=G94)*'Rate Lookup'!$C$1:$C$37)))))))</f>
      </c>
      <c r="I94" s="8"/>
      <c r="J94" s="8"/>
      <c r="K94" s="7">
        <f>IF($C94="","",IF(OR(P94="B",P94="D",P94="E",P94="N",P94="O",P94="P",P94="Q",P94="S",P94="Y",P94="Z"),0,ROUND(J94*H94/100,0)))</f>
      </c>
      <c r="L94" s="7">
        <f>IF($C94="","",0)</f>
      </c>
      <c r="M94" s="7">
        <f>IF($C94="","",0)</f>
      </c>
      <c r="N94" s="7">
        <f>IF($C94="","",IF(OR(K94=0,I94="",IFERROR(INDEX('Challan Master'!$D$4:$D$207,MATCH($B94,'Challan Master'!$S$4:$S$207,0)),"")="",IFERROR(INDEX('Challan Master'!$D$4:$D$207,MATCH($B94,'Challan Master'!$S$4:$S$207,0)),"")&lt;=0),0,IF(IFERROR(INDEX('Challan Master'!$D$4:$D$207,MATCH($B94,'Challan Master'!$S$4:$S$207,0)),"")&lt;=DATE(YEAR(I94),MONTH(I94)+1,7),0,ROUND(K94*0.015*((YEAR(IFERROR(INDEX('Challan Master'!$D$4:$D$207,MATCH($B94,'Challan Master'!$S$4:$S$207,0)),""))-YEAR(I94))*12+(MONTH(IFERROR(INDEX('Challan Master'!$D$4:$D$207,MATCH($B94,'Challan Master'!$S$4:$S$207,0)),""))-MONTH(I94))+1),0))))</f>
      </c>
      <c r="O94" s="7">
        <f>IF($C94="","",0)</f>
      </c>
      <c r="P94" s="8"/>
      <c r="Q94" s="8"/>
      <c r="R94" s="8"/>
      <c r="S94" s="8"/>
      <c r="T94" s="8"/>
      <c r="U94" s="7">
        <f>IF($B94="","",IFERROR(INDEX('Challan Master'!$AA$4:$AA$207,MATCH($B94,'Challan Master'!$S$4:$S$207,0)),""))</f>
      </c>
    </row>
    <row r="95" spans="1:22" x14ac:dyDescent="0.25">
      <c r="A95" s="7">
        <f>IF($C95="","",COUNTIF($C$4:$C95,"&lt;&gt;"))</f>
      </c>
      <c r="B95" s="8"/>
      <c r="C95" s="8"/>
      <c r="D95" s="8"/>
      <c r="E95" s="7">
        <f>IF($C95="","",IF(AND(LEN(TRIM(UPPER(D95)))=10,CODE(MID(TRIM(UPPER(D95)),1,1))&gt;=65,CODE(MID(TRIM(UPPER(D95)),1,1))&lt;=90,CODE(MID(TRIM(UPPER(D95)),2,1))&gt;=65,CODE(MID(TRIM(UPPER(D95)),2,1))&lt;=90,CODE(MID(TRIM(UPPER(D95)),3,1))&gt;=65,CODE(MID(TRIM(UPPER(D95)),3,1))&lt;=90,CODE(MID(TRIM(UPPER(D95)),4,1))&gt;=65,CODE(MID(TRIM(UPPER(D95)),4,1))&lt;=90,CODE(MID(TRIM(UPPER(D95)),5,1))&gt;=65,CODE(MID(TRIM(UPPER(D95)),5,1))&lt;=90,CODE(MID(TRIM(UPPER(D95)),10,1))&gt;=65,CODE(MID(TRIM(UPPER(D95)),10,1))&lt;=90,CODE(MID(TRIM(UPPER(D95)),6,1))&gt;=48,CODE(MID(TRIM(UPPER(D95)),6,1))&lt;=57,CODE(MID(TRIM(UPPER(D95)),7,1))&gt;=48,CODE(MID(TRIM(UPPER(D95)),7,1))&lt;=57,CODE(MID(TRIM(UPPER(D95)),8,1))&gt;=48,CODE(MID(TRIM(UPPER(D95)),8,1))&lt;=57,CODE(MID(TRIM(UPPER(D95)),9,1))&gt;=48,CODE(MID(TRIM(UPPER(D95)),9,1))&lt;=57),"N","Y"))</f>
      </c>
      <c r="F95" s="7">
        <f>IF($C95="","",IF(LEN(D95)&lt;4,"",IF(UPPER(MID(D95,4,1))="P","Individual",IF(UPPER(MID(D95,4,1))="H","HUF",IF(UPPER(MID(D95,4,1))="C","Company",IF(UPPER(MID(D95,4,1))="F","Firm",IF(UPPER(MID(D95,4,1))="L","LLP",IF(UPPER(MID(D95,4,1))="T","Trust",IF(UPPER(MID(D95,4,1))="A","AOP","")))))))))</f>
      </c>
      <c r="G95" s="8"/>
      <c r="H95" s="7">
        <f>IF($C95="","",IF(R95&lt;&gt;"",R95,IF(G95="","",IF(E95="Y",SUMPRODUCT(('Rate Lookup'!$A$1:$A$37=G95)*'Rate Lookup'!$D$1:$D$37),IF(OR(F95="Individual",F95="HUF"),SUMPRODUCT(('Rate Lookup'!$A$1:$A$37=G95)*'Rate Lookup'!$B$1:$B$37),SUMPRODUCT(('Rate Lookup'!$A$1:$A$37=G95)*'Rate Lookup'!$C$1:$C$37)))))))</f>
      </c>
      <c r="I95" s="8"/>
      <c r="J95" s="8"/>
      <c r="K95" s="7">
        <f>IF($C95="","",IF(OR(P95="B",P95="D",P95="E",P95="N",P95="O",P95="P",P95="Q",P95="S",P95="Y",P95="Z"),0,ROUND(J95*H95/100,0)))</f>
      </c>
      <c r="L95" s="7">
        <f>IF($C95="","",0)</f>
      </c>
      <c r="M95" s="7">
        <f>IF($C95="","",0)</f>
      </c>
      <c r="N95" s="7">
        <f>IF($C95="","",IF(OR(K95=0,I95="",IFERROR(INDEX('Challan Master'!$D$4:$D$207,MATCH($B95,'Challan Master'!$S$4:$S$207,0)),"")="",IFERROR(INDEX('Challan Master'!$D$4:$D$207,MATCH($B95,'Challan Master'!$S$4:$S$207,0)),"")&lt;=0),0,IF(IFERROR(INDEX('Challan Master'!$D$4:$D$207,MATCH($B95,'Challan Master'!$S$4:$S$207,0)),"")&lt;=DATE(YEAR(I95),MONTH(I95)+1,7),0,ROUND(K95*0.015*((YEAR(IFERROR(INDEX('Challan Master'!$D$4:$D$207,MATCH($B95,'Challan Master'!$S$4:$S$207,0)),""))-YEAR(I95))*12+(MONTH(IFERROR(INDEX('Challan Master'!$D$4:$D$207,MATCH($B95,'Challan Master'!$S$4:$S$207,0)),""))-MONTH(I95))+1),0))))</f>
      </c>
      <c r="O95" s="7">
        <f>IF($C95="","",0)</f>
      </c>
      <c r="P95" s="8"/>
      <c r="Q95" s="8"/>
      <c r="R95" s="8"/>
      <c r="S95" s="8"/>
      <c r="T95" s="8"/>
      <c r="U95" s="7">
        <f>IF($B95="","",IFERROR(INDEX('Challan Master'!$AA$4:$AA$207,MATCH($B95,'Challan Master'!$S$4:$S$207,0)),""))</f>
      </c>
    </row>
    <row r="96" spans="1:22" x14ac:dyDescent="0.25">
      <c r="A96" s="7">
        <f>IF($C96="","",COUNTIF($C$4:$C96,"&lt;&gt;"))</f>
      </c>
      <c r="B96" s="8"/>
      <c r="C96" s="8"/>
      <c r="D96" s="8"/>
      <c r="E96" s="7">
        <f>IF($C96="","",IF(AND(LEN(TRIM(UPPER(D96)))=10,CODE(MID(TRIM(UPPER(D96)),1,1))&gt;=65,CODE(MID(TRIM(UPPER(D96)),1,1))&lt;=90,CODE(MID(TRIM(UPPER(D96)),2,1))&gt;=65,CODE(MID(TRIM(UPPER(D96)),2,1))&lt;=90,CODE(MID(TRIM(UPPER(D96)),3,1))&gt;=65,CODE(MID(TRIM(UPPER(D96)),3,1))&lt;=90,CODE(MID(TRIM(UPPER(D96)),4,1))&gt;=65,CODE(MID(TRIM(UPPER(D96)),4,1))&lt;=90,CODE(MID(TRIM(UPPER(D96)),5,1))&gt;=65,CODE(MID(TRIM(UPPER(D96)),5,1))&lt;=90,CODE(MID(TRIM(UPPER(D96)),10,1))&gt;=65,CODE(MID(TRIM(UPPER(D96)),10,1))&lt;=90,CODE(MID(TRIM(UPPER(D96)),6,1))&gt;=48,CODE(MID(TRIM(UPPER(D96)),6,1))&lt;=57,CODE(MID(TRIM(UPPER(D96)),7,1))&gt;=48,CODE(MID(TRIM(UPPER(D96)),7,1))&lt;=57,CODE(MID(TRIM(UPPER(D96)),8,1))&gt;=48,CODE(MID(TRIM(UPPER(D96)),8,1))&lt;=57,CODE(MID(TRIM(UPPER(D96)),9,1))&gt;=48,CODE(MID(TRIM(UPPER(D96)),9,1))&lt;=57),"N","Y"))</f>
      </c>
      <c r="F96" s="7">
        <f>IF($C96="","",IF(LEN(D96)&lt;4,"",IF(UPPER(MID(D96,4,1))="P","Individual",IF(UPPER(MID(D96,4,1))="H","HUF",IF(UPPER(MID(D96,4,1))="C","Company",IF(UPPER(MID(D96,4,1))="F","Firm",IF(UPPER(MID(D96,4,1))="L","LLP",IF(UPPER(MID(D96,4,1))="T","Trust",IF(UPPER(MID(D96,4,1))="A","AOP","")))))))))</f>
      </c>
      <c r="G96" s="8"/>
      <c r="H96" s="7">
        <f>IF($C96="","",IF(R96&lt;&gt;"",R96,IF(G96="","",IF(E96="Y",SUMPRODUCT(('Rate Lookup'!$A$1:$A$37=G96)*'Rate Lookup'!$D$1:$D$37),IF(OR(F96="Individual",F96="HUF"),SUMPRODUCT(('Rate Lookup'!$A$1:$A$37=G96)*'Rate Lookup'!$B$1:$B$37),SUMPRODUCT(('Rate Lookup'!$A$1:$A$37=G96)*'Rate Lookup'!$C$1:$C$37)))))))</f>
      </c>
      <c r="I96" s="8"/>
      <c r="J96" s="8"/>
      <c r="K96" s="7">
        <f>IF($C96="","",IF(OR(P96="B",P96="D",P96="E",P96="N",P96="O",P96="P",P96="Q",P96="S",P96="Y",P96="Z"),0,ROUND(J96*H96/100,0)))</f>
      </c>
      <c r="L96" s="7">
        <f>IF($C96="","",0)</f>
      </c>
      <c r="M96" s="7">
        <f>IF($C96="","",0)</f>
      </c>
      <c r="N96" s="7">
        <f>IF($C96="","",IF(OR(K96=0,I96="",IFERROR(INDEX('Challan Master'!$D$4:$D$207,MATCH($B96,'Challan Master'!$S$4:$S$207,0)),"")="",IFERROR(INDEX('Challan Master'!$D$4:$D$207,MATCH($B96,'Challan Master'!$S$4:$S$207,0)),"")&lt;=0),0,IF(IFERROR(INDEX('Challan Master'!$D$4:$D$207,MATCH($B96,'Challan Master'!$S$4:$S$207,0)),"")&lt;=DATE(YEAR(I96),MONTH(I96)+1,7),0,ROUND(K96*0.015*((YEAR(IFERROR(INDEX('Challan Master'!$D$4:$D$207,MATCH($B96,'Challan Master'!$S$4:$S$207,0)),""))-YEAR(I96))*12+(MONTH(IFERROR(INDEX('Challan Master'!$D$4:$D$207,MATCH($B96,'Challan Master'!$S$4:$S$207,0)),""))-MONTH(I96))+1),0))))</f>
      </c>
      <c r="O96" s="7">
        <f>IF($C96="","",0)</f>
      </c>
      <c r="P96" s="8"/>
      <c r="Q96" s="8"/>
      <c r="R96" s="8"/>
      <c r="S96" s="8"/>
      <c r="T96" s="8"/>
      <c r="U96" s="7">
        <f>IF($B96="","",IFERROR(INDEX('Challan Master'!$AA$4:$AA$207,MATCH($B96,'Challan Master'!$S$4:$S$207,0)),""))</f>
      </c>
    </row>
    <row r="97" spans="1:22" x14ac:dyDescent="0.25">
      <c r="A97" s="7">
        <f>IF($C97="","",COUNTIF($C$4:$C97,"&lt;&gt;"))</f>
      </c>
      <c r="B97" s="8"/>
      <c r="C97" s="8"/>
      <c r="D97" s="8"/>
      <c r="E97" s="7">
        <f>IF($C97="","",IF(AND(LEN(TRIM(UPPER(D97)))=10,CODE(MID(TRIM(UPPER(D97)),1,1))&gt;=65,CODE(MID(TRIM(UPPER(D97)),1,1))&lt;=90,CODE(MID(TRIM(UPPER(D97)),2,1))&gt;=65,CODE(MID(TRIM(UPPER(D97)),2,1))&lt;=90,CODE(MID(TRIM(UPPER(D97)),3,1))&gt;=65,CODE(MID(TRIM(UPPER(D97)),3,1))&lt;=90,CODE(MID(TRIM(UPPER(D97)),4,1))&gt;=65,CODE(MID(TRIM(UPPER(D97)),4,1))&lt;=90,CODE(MID(TRIM(UPPER(D97)),5,1))&gt;=65,CODE(MID(TRIM(UPPER(D97)),5,1))&lt;=90,CODE(MID(TRIM(UPPER(D97)),10,1))&gt;=65,CODE(MID(TRIM(UPPER(D97)),10,1))&lt;=90,CODE(MID(TRIM(UPPER(D97)),6,1))&gt;=48,CODE(MID(TRIM(UPPER(D97)),6,1))&lt;=57,CODE(MID(TRIM(UPPER(D97)),7,1))&gt;=48,CODE(MID(TRIM(UPPER(D97)),7,1))&lt;=57,CODE(MID(TRIM(UPPER(D97)),8,1))&gt;=48,CODE(MID(TRIM(UPPER(D97)),8,1))&lt;=57,CODE(MID(TRIM(UPPER(D97)),9,1))&gt;=48,CODE(MID(TRIM(UPPER(D97)),9,1))&lt;=57),"N","Y"))</f>
      </c>
      <c r="F97" s="7">
        <f>IF($C97="","",IF(LEN(D97)&lt;4,"",IF(UPPER(MID(D97,4,1))="P","Individual",IF(UPPER(MID(D97,4,1))="H","HUF",IF(UPPER(MID(D97,4,1))="C","Company",IF(UPPER(MID(D97,4,1))="F","Firm",IF(UPPER(MID(D97,4,1))="L","LLP",IF(UPPER(MID(D97,4,1))="T","Trust",IF(UPPER(MID(D97,4,1))="A","AOP","")))))))))</f>
      </c>
      <c r="G97" s="8"/>
      <c r="H97" s="7">
        <f>IF($C97="","",IF(R97&lt;&gt;"",R97,IF(G97="","",IF(E97="Y",SUMPRODUCT(('Rate Lookup'!$A$1:$A$37=G97)*'Rate Lookup'!$D$1:$D$37),IF(OR(F97="Individual",F97="HUF"),SUMPRODUCT(('Rate Lookup'!$A$1:$A$37=G97)*'Rate Lookup'!$B$1:$B$37),SUMPRODUCT(('Rate Lookup'!$A$1:$A$37=G97)*'Rate Lookup'!$C$1:$C$37)))))))</f>
      </c>
      <c r="I97" s="8"/>
      <c r="J97" s="8"/>
      <c r="K97" s="7">
        <f>IF($C97="","",IF(OR(P97="B",P97="D",P97="E",P97="N",P97="O",P97="P",P97="Q",P97="S",P97="Y",P97="Z"),0,ROUND(J97*H97/100,0)))</f>
      </c>
      <c r="L97" s="7">
        <f>IF($C97="","",0)</f>
      </c>
      <c r="M97" s="7">
        <f>IF($C97="","",0)</f>
      </c>
      <c r="N97" s="7">
        <f>IF($C97="","",IF(OR(K97=0,I97="",IFERROR(INDEX('Challan Master'!$D$4:$D$207,MATCH($B97,'Challan Master'!$S$4:$S$207,0)),"")="",IFERROR(INDEX('Challan Master'!$D$4:$D$207,MATCH($B97,'Challan Master'!$S$4:$S$207,0)),"")&lt;=0),0,IF(IFERROR(INDEX('Challan Master'!$D$4:$D$207,MATCH($B97,'Challan Master'!$S$4:$S$207,0)),"")&lt;=DATE(YEAR(I97),MONTH(I97)+1,7),0,ROUND(K97*0.015*((YEAR(IFERROR(INDEX('Challan Master'!$D$4:$D$207,MATCH($B97,'Challan Master'!$S$4:$S$207,0)),""))-YEAR(I97))*12+(MONTH(IFERROR(INDEX('Challan Master'!$D$4:$D$207,MATCH($B97,'Challan Master'!$S$4:$S$207,0)),""))-MONTH(I97))+1),0))))</f>
      </c>
      <c r="O97" s="7">
        <f>IF($C97="","",0)</f>
      </c>
      <c r="P97" s="8"/>
      <c r="Q97" s="8"/>
      <c r="R97" s="8"/>
      <c r="S97" s="8"/>
      <c r="T97" s="8"/>
      <c r="U97" s="7">
        <f>IF($B97="","",IFERROR(INDEX('Challan Master'!$AA$4:$AA$207,MATCH($B97,'Challan Master'!$S$4:$S$207,0)),""))</f>
      </c>
    </row>
    <row r="98" spans="1:22" x14ac:dyDescent="0.25">
      <c r="A98" s="7">
        <f>IF($C98="","",COUNTIF($C$4:$C98,"&lt;&gt;"))</f>
      </c>
      <c r="B98" s="8"/>
      <c r="C98" s="8"/>
      <c r="D98" s="8"/>
      <c r="E98" s="7">
        <f>IF($C98="","",IF(AND(LEN(TRIM(UPPER(D98)))=10,CODE(MID(TRIM(UPPER(D98)),1,1))&gt;=65,CODE(MID(TRIM(UPPER(D98)),1,1))&lt;=90,CODE(MID(TRIM(UPPER(D98)),2,1))&gt;=65,CODE(MID(TRIM(UPPER(D98)),2,1))&lt;=90,CODE(MID(TRIM(UPPER(D98)),3,1))&gt;=65,CODE(MID(TRIM(UPPER(D98)),3,1))&lt;=90,CODE(MID(TRIM(UPPER(D98)),4,1))&gt;=65,CODE(MID(TRIM(UPPER(D98)),4,1))&lt;=90,CODE(MID(TRIM(UPPER(D98)),5,1))&gt;=65,CODE(MID(TRIM(UPPER(D98)),5,1))&lt;=90,CODE(MID(TRIM(UPPER(D98)),10,1))&gt;=65,CODE(MID(TRIM(UPPER(D98)),10,1))&lt;=90,CODE(MID(TRIM(UPPER(D98)),6,1))&gt;=48,CODE(MID(TRIM(UPPER(D98)),6,1))&lt;=57,CODE(MID(TRIM(UPPER(D98)),7,1))&gt;=48,CODE(MID(TRIM(UPPER(D98)),7,1))&lt;=57,CODE(MID(TRIM(UPPER(D98)),8,1))&gt;=48,CODE(MID(TRIM(UPPER(D98)),8,1))&lt;=57,CODE(MID(TRIM(UPPER(D98)),9,1))&gt;=48,CODE(MID(TRIM(UPPER(D98)),9,1))&lt;=57),"N","Y"))</f>
      </c>
      <c r="F98" s="7">
        <f>IF($C98="","",IF(LEN(D98)&lt;4,"",IF(UPPER(MID(D98,4,1))="P","Individual",IF(UPPER(MID(D98,4,1))="H","HUF",IF(UPPER(MID(D98,4,1))="C","Company",IF(UPPER(MID(D98,4,1))="F","Firm",IF(UPPER(MID(D98,4,1))="L","LLP",IF(UPPER(MID(D98,4,1))="T","Trust",IF(UPPER(MID(D98,4,1))="A","AOP","")))))))))</f>
      </c>
      <c r="G98" s="8"/>
      <c r="H98" s="7">
        <f>IF($C98="","",IF(R98&lt;&gt;"",R98,IF(G98="","",IF(E98="Y",SUMPRODUCT(('Rate Lookup'!$A$1:$A$37=G98)*'Rate Lookup'!$D$1:$D$37),IF(OR(F98="Individual",F98="HUF"),SUMPRODUCT(('Rate Lookup'!$A$1:$A$37=G98)*'Rate Lookup'!$B$1:$B$37),SUMPRODUCT(('Rate Lookup'!$A$1:$A$37=G98)*'Rate Lookup'!$C$1:$C$37)))))))</f>
      </c>
      <c r="I98" s="8"/>
      <c r="J98" s="8"/>
      <c r="K98" s="7">
        <f>IF($C98="","",IF(OR(P98="B",P98="D",P98="E",P98="N",P98="O",P98="P",P98="Q",P98="S",P98="Y",P98="Z"),0,ROUND(J98*H98/100,0)))</f>
      </c>
      <c r="L98" s="7">
        <f>IF($C98="","",0)</f>
      </c>
      <c r="M98" s="7">
        <f>IF($C98="","",0)</f>
      </c>
      <c r="N98" s="7">
        <f>IF($C98="","",IF(OR(K98=0,I98="",IFERROR(INDEX('Challan Master'!$D$4:$D$207,MATCH($B98,'Challan Master'!$S$4:$S$207,0)),"")="",IFERROR(INDEX('Challan Master'!$D$4:$D$207,MATCH($B98,'Challan Master'!$S$4:$S$207,0)),"")&lt;=0),0,IF(IFERROR(INDEX('Challan Master'!$D$4:$D$207,MATCH($B98,'Challan Master'!$S$4:$S$207,0)),"")&lt;=DATE(YEAR(I98),MONTH(I98)+1,7),0,ROUND(K98*0.015*((YEAR(IFERROR(INDEX('Challan Master'!$D$4:$D$207,MATCH($B98,'Challan Master'!$S$4:$S$207,0)),""))-YEAR(I98))*12+(MONTH(IFERROR(INDEX('Challan Master'!$D$4:$D$207,MATCH($B98,'Challan Master'!$S$4:$S$207,0)),""))-MONTH(I98))+1),0))))</f>
      </c>
      <c r="O98" s="7">
        <f>IF($C98="","",0)</f>
      </c>
      <c r="P98" s="8"/>
      <c r="Q98" s="8"/>
      <c r="R98" s="8"/>
      <c r="S98" s="8"/>
      <c r="T98" s="8"/>
      <c r="U98" s="7">
        <f>IF($B98="","",IFERROR(INDEX('Challan Master'!$AA$4:$AA$207,MATCH($B98,'Challan Master'!$S$4:$S$207,0)),""))</f>
      </c>
    </row>
    <row r="99" spans="1:22" x14ac:dyDescent="0.25">
      <c r="A99" s="7">
        <f>IF($C99="","",COUNTIF($C$4:$C99,"&lt;&gt;"))</f>
      </c>
      <c r="B99" s="8"/>
      <c r="C99" s="8"/>
      <c r="D99" s="8"/>
      <c r="E99" s="7">
        <f>IF($C99="","",IF(AND(LEN(TRIM(UPPER(D99)))=10,CODE(MID(TRIM(UPPER(D99)),1,1))&gt;=65,CODE(MID(TRIM(UPPER(D99)),1,1))&lt;=90,CODE(MID(TRIM(UPPER(D99)),2,1))&gt;=65,CODE(MID(TRIM(UPPER(D99)),2,1))&lt;=90,CODE(MID(TRIM(UPPER(D99)),3,1))&gt;=65,CODE(MID(TRIM(UPPER(D99)),3,1))&lt;=90,CODE(MID(TRIM(UPPER(D99)),4,1))&gt;=65,CODE(MID(TRIM(UPPER(D99)),4,1))&lt;=90,CODE(MID(TRIM(UPPER(D99)),5,1))&gt;=65,CODE(MID(TRIM(UPPER(D99)),5,1))&lt;=90,CODE(MID(TRIM(UPPER(D99)),10,1))&gt;=65,CODE(MID(TRIM(UPPER(D99)),10,1))&lt;=90,CODE(MID(TRIM(UPPER(D99)),6,1))&gt;=48,CODE(MID(TRIM(UPPER(D99)),6,1))&lt;=57,CODE(MID(TRIM(UPPER(D99)),7,1))&gt;=48,CODE(MID(TRIM(UPPER(D99)),7,1))&lt;=57,CODE(MID(TRIM(UPPER(D99)),8,1))&gt;=48,CODE(MID(TRIM(UPPER(D99)),8,1))&lt;=57,CODE(MID(TRIM(UPPER(D99)),9,1))&gt;=48,CODE(MID(TRIM(UPPER(D99)),9,1))&lt;=57),"N","Y"))</f>
      </c>
      <c r="F99" s="7">
        <f>IF($C99="","",IF(LEN(D99)&lt;4,"",IF(UPPER(MID(D99,4,1))="P","Individual",IF(UPPER(MID(D99,4,1))="H","HUF",IF(UPPER(MID(D99,4,1))="C","Company",IF(UPPER(MID(D99,4,1))="F","Firm",IF(UPPER(MID(D99,4,1))="L","LLP",IF(UPPER(MID(D99,4,1))="T","Trust",IF(UPPER(MID(D99,4,1))="A","AOP","")))))))))</f>
      </c>
      <c r="G99" s="8"/>
      <c r="H99" s="7">
        <f>IF($C99="","",IF(R99&lt;&gt;"",R99,IF(G99="","",IF(E99="Y",SUMPRODUCT(('Rate Lookup'!$A$1:$A$37=G99)*'Rate Lookup'!$D$1:$D$37),IF(OR(F99="Individual",F99="HUF"),SUMPRODUCT(('Rate Lookup'!$A$1:$A$37=G99)*'Rate Lookup'!$B$1:$B$37),SUMPRODUCT(('Rate Lookup'!$A$1:$A$37=G99)*'Rate Lookup'!$C$1:$C$37)))))))</f>
      </c>
      <c r="I99" s="8"/>
      <c r="J99" s="8"/>
      <c r="K99" s="7">
        <f>IF($C99="","",IF(OR(P99="B",P99="D",P99="E",P99="N",P99="O",P99="P",P99="Q",P99="S",P99="Y",P99="Z"),0,ROUND(J99*H99/100,0)))</f>
      </c>
      <c r="L99" s="7">
        <f>IF($C99="","",0)</f>
      </c>
      <c r="M99" s="7">
        <f>IF($C99="","",0)</f>
      </c>
      <c r="N99" s="7">
        <f>IF($C99="","",IF(OR(K99=0,I99="",IFERROR(INDEX('Challan Master'!$D$4:$D$207,MATCH($B99,'Challan Master'!$S$4:$S$207,0)),"")="",IFERROR(INDEX('Challan Master'!$D$4:$D$207,MATCH($B99,'Challan Master'!$S$4:$S$207,0)),"")&lt;=0),0,IF(IFERROR(INDEX('Challan Master'!$D$4:$D$207,MATCH($B99,'Challan Master'!$S$4:$S$207,0)),"")&lt;=DATE(YEAR(I99),MONTH(I99)+1,7),0,ROUND(K99*0.015*((YEAR(IFERROR(INDEX('Challan Master'!$D$4:$D$207,MATCH($B99,'Challan Master'!$S$4:$S$207,0)),""))-YEAR(I99))*12+(MONTH(IFERROR(INDEX('Challan Master'!$D$4:$D$207,MATCH($B99,'Challan Master'!$S$4:$S$207,0)),""))-MONTH(I99))+1),0))))</f>
      </c>
      <c r="O99" s="7">
        <f>IF($C99="","",0)</f>
      </c>
      <c r="P99" s="8"/>
      <c r="Q99" s="8"/>
      <c r="R99" s="8"/>
      <c r="S99" s="8"/>
      <c r="T99" s="8"/>
      <c r="U99" s="7">
        <f>IF($B99="","",IFERROR(INDEX('Challan Master'!$AA$4:$AA$207,MATCH($B99,'Challan Master'!$S$4:$S$207,0)),""))</f>
      </c>
    </row>
    <row r="100" spans="1:22" x14ac:dyDescent="0.25">
      <c r="A100" s="7">
        <f>IF($C100="","",COUNTIF($C$4:$C100,"&lt;&gt;"))</f>
      </c>
      <c r="B100" s="8"/>
      <c r="C100" s="8"/>
      <c r="D100" s="8"/>
      <c r="E100" s="7">
        <f>IF($C100="","",IF(AND(LEN(TRIM(UPPER(D100)))=10,CODE(MID(TRIM(UPPER(D100)),1,1))&gt;=65,CODE(MID(TRIM(UPPER(D100)),1,1))&lt;=90,CODE(MID(TRIM(UPPER(D100)),2,1))&gt;=65,CODE(MID(TRIM(UPPER(D100)),2,1))&lt;=90,CODE(MID(TRIM(UPPER(D100)),3,1))&gt;=65,CODE(MID(TRIM(UPPER(D100)),3,1))&lt;=90,CODE(MID(TRIM(UPPER(D100)),4,1))&gt;=65,CODE(MID(TRIM(UPPER(D100)),4,1))&lt;=90,CODE(MID(TRIM(UPPER(D100)),5,1))&gt;=65,CODE(MID(TRIM(UPPER(D100)),5,1))&lt;=90,CODE(MID(TRIM(UPPER(D100)),10,1))&gt;=65,CODE(MID(TRIM(UPPER(D100)),10,1))&lt;=90,CODE(MID(TRIM(UPPER(D100)),6,1))&gt;=48,CODE(MID(TRIM(UPPER(D100)),6,1))&lt;=57,CODE(MID(TRIM(UPPER(D100)),7,1))&gt;=48,CODE(MID(TRIM(UPPER(D100)),7,1))&lt;=57,CODE(MID(TRIM(UPPER(D100)),8,1))&gt;=48,CODE(MID(TRIM(UPPER(D100)),8,1))&lt;=57,CODE(MID(TRIM(UPPER(D100)),9,1))&gt;=48,CODE(MID(TRIM(UPPER(D100)),9,1))&lt;=57),"N","Y"))</f>
      </c>
      <c r="F100" s="7">
        <f>IF($C100="","",IF(LEN(D100)&lt;4,"",IF(UPPER(MID(D100,4,1))="P","Individual",IF(UPPER(MID(D100,4,1))="H","HUF",IF(UPPER(MID(D100,4,1))="C","Company",IF(UPPER(MID(D100,4,1))="F","Firm",IF(UPPER(MID(D100,4,1))="L","LLP",IF(UPPER(MID(D100,4,1))="T","Trust",IF(UPPER(MID(D100,4,1))="A","AOP","")))))))))</f>
      </c>
      <c r="G100" s="8"/>
      <c r="H100" s="7">
        <f>IF($C100="","",IF(R100&lt;&gt;"",R100,IF(G100="","",IF(E100="Y",SUMPRODUCT(('Rate Lookup'!$A$1:$A$37=G100)*'Rate Lookup'!$D$1:$D$37),IF(OR(F100="Individual",F100="HUF"),SUMPRODUCT(('Rate Lookup'!$A$1:$A$37=G100)*'Rate Lookup'!$B$1:$B$37),SUMPRODUCT(('Rate Lookup'!$A$1:$A$37=G100)*'Rate Lookup'!$C$1:$C$37)))))))</f>
      </c>
      <c r="I100" s="8"/>
      <c r="J100" s="8"/>
      <c r="K100" s="7">
        <f>IF($C100="","",IF(OR(P100="B",P100="D",P100="E",P100="N",P100="O",P100="P",P100="Q",P100="S",P100="Y",P100="Z"),0,ROUND(J100*H100/100,0)))</f>
      </c>
      <c r="L100" s="7">
        <f>IF($C100="","",0)</f>
      </c>
      <c r="M100" s="7">
        <f>IF($C100="","",0)</f>
      </c>
      <c r="N100" s="7">
        <f>IF($C100="","",IF(OR(K100=0,I100="",IFERROR(INDEX('Challan Master'!$D$4:$D$207,MATCH($B100,'Challan Master'!$S$4:$S$207,0)),"")="",IFERROR(INDEX('Challan Master'!$D$4:$D$207,MATCH($B100,'Challan Master'!$S$4:$S$207,0)),"")&lt;=0),0,IF(IFERROR(INDEX('Challan Master'!$D$4:$D$207,MATCH($B100,'Challan Master'!$S$4:$S$207,0)),"")&lt;=DATE(YEAR(I100),MONTH(I100)+1,7),0,ROUND(K100*0.015*((YEAR(IFERROR(INDEX('Challan Master'!$D$4:$D$207,MATCH($B100,'Challan Master'!$S$4:$S$207,0)),""))-YEAR(I100))*12+(MONTH(IFERROR(INDEX('Challan Master'!$D$4:$D$207,MATCH($B100,'Challan Master'!$S$4:$S$207,0)),""))-MONTH(I100))+1),0))))</f>
      </c>
      <c r="O100" s="7">
        <f>IF($C100="","",0)</f>
      </c>
      <c r="P100" s="8"/>
      <c r="Q100" s="8"/>
      <c r="R100" s="8"/>
      <c r="S100" s="8"/>
      <c r="T100" s="8"/>
      <c r="U100" s="7">
        <f>IF($B100="","",IFERROR(INDEX('Challan Master'!$AA$4:$AA$207,MATCH($B100,'Challan Master'!$S$4:$S$207,0)),""))</f>
      </c>
    </row>
    <row r="101" spans="1:22" x14ac:dyDescent="0.25">
      <c r="A101" s="7">
        <f>IF($C101="","",COUNTIF($C$4:$C101,"&lt;&gt;"))</f>
      </c>
      <c r="B101" s="8"/>
      <c r="C101" s="8"/>
      <c r="D101" s="8"/>
      <c r="E101" s="7">
        <f>IF($C101="","",IF(AND(LEN(TRIM(UPPER(D101)))=10,CODE(MID(TRIM(UPPER(D101)),1,1))&gt;=65,CODE(MID(TRIM(UPPER(D101)),1,1))&lt;=90,CODE(MID(TRIM(UPPER(D101)),2,1))&gt;=65,CODE(MID(TRIM(UPPER(D101)),2,1))&lt;=90,CODE(MID(TRIM(UPPER(D101)),3,1))&gt;=65,CODE(MID(TRIM(UPPER(D101)),3,1))&lt;=90,CODE(MID(TRIM(UPPER(D101)),4,1))&gt;=65,CODE(MID(TRIM(UPPER(D101)),4,1))&lt;=90,CODE(MID(TRIM(UPPER(D101)),5,1))&gt;=65,CODE(MID(TRIM(UPPER(D101)),5,1))&lt;=90,CODE(MID(TRIM(UPPER(D101)),10,1))&gt;=65,CODE(MID(TRIM(UPPER(D101)),10,1))&lt;=90,CODE(MID(TRIM(UPPER(D101)),6,1))&gt;=48,CODE(MID(TRIM(UPPER(D101)),6,1))&lt;=57,CODE(MID(TRIM(UPPER(D101)),7,1))&gt;=48,CODE(MID(TRIM(UPPER(D101)),7,1))&lt;=57,CODE(MID(TRIM(UPPER(D101)),8,1))&gt;=48,CODE(MID(TRIM(UPPER(D101)),8,1))&lt;=57,CODE(MID(TRIM(UPPER(D101)),9,1))&gt;=48,CODE(MID(TRIM(UPPER(D101)),9,1))&lt;=57),"N","Y"))</f>
      </c>
      <c r="F101" s="7">
        <f>IF($C101="","",IF(LEN(D101)&lt;4,"",IF(UPPER(MID(D101,4,1))="P","Individual",IF(UPPER(MID(D101,4,1))="H","HUF",IF(UPPER(MID(D101,4,1))="C","Company",IF(UPPER(MID(D101,4,1))="F","Firm",IF(UPPER(MID(D101,4,1))="L","LLP",IF(UPPER(MID(D101,4,1))="T","Trust",IF(UPPER(MID(D101,4,1))="A","AOP","")))))))))</f>
      </c>
      <c r="G101" s="8"/>
      <c r="H101" s="7">
        <f>IF($C101="","",IF(R101&lt;&gt;"",R101,IF(G101="","",IF(E101="Y",SUMPRODUCT(('Rate Lookup'!$A$1:$A$37=G101)*'Rate Lookup'!$D$1:$D$37),IF(OR(F101="Individual",F101="HUF"),SUMPRODUCT(('Rate Lookup'!$A$1:$A$37=G101)*'Rate Lookup'!$B$1:$B$37),SUMPRODUCT(('Rate Lookup'!$A$1:$A$37=G101)*'Rate Lookup'!$C$1:$C$37)))))))</f>
      </c>
      <c r="I101" s="8"/>
      <c r="J101" s="8"/>
      <c r="K101" s="7">
        <f>IF($C101="","",IF(OR(P101="B",P101="D",P101="E",P101="N",P101="O",P101="P",P101="Q",P101="S",P101="Y",P101="Z"),0,ROUND(J101*H101/100,0)))</f>
      </c>
      <c r="L101" s="7">
        <f>IF($C101="","",0)</f>
      </c>
      <c r="M101" s="7">
        <f>IF($C101="","",0)</f>
      </c>
      <c r="N101" s="7">
        <f>IF($C101="","",IF(OR(K101=0,I101="",IFERROR(INDEX('Challan Master'!$D$4:$D$207,MATCH($B101,'Challan Master'!$S$4:$S$207,0)),"")="",IFERROR(INDEX('Challan Master'!$D$4:$D$207,MATCH($B101,'Challan Master'!$S$4:$S$207,0)),"")&lt;=0),0,IF(IFERROR(INDEX('Challan Master'!$D$4:$D$207,MATCH($B101,'Challan Master'!$S$4:$S$207,0)),"")&lt;=DATE(YEAR(I101),MONTH(I101)+1,7),0,ROUND(K101*0.015*((YEAR(IFERROR(INDEX('Challan Master'!$D$4:$D$207,MATCH($B101,'Challan Master'!$S$4:$S$207,0)),""))-YEAR(I101))*12+(MONTH(IFERROR(INDEX('Challan Master'!$D$4:$D$207,MATCH($B101,'Challan Master'!$S$4:$S$207,0)),""))-MONTH(I101))+1),0))))</f>
      </c>
      <c r="O101" s="7">
        <f>IF($C101="","",0)</f>
      </c>
      <c r="P101" s="8"/>
      <c r="Q101" s="8"/>
      <c r="R101" s="8"/>
      <c r="S101" s="8"/>
      <c r="T101" s="8"/>
      <c r="U101" s="7">
        <f>IF($B101="","",IFERROR(INDEX('Challan Master'!$AA$4:$AA$207,MATCH($B101,'Challan Master'!$S$4:$S$207,0)),""))</f>
      </c>
    </row>
    <row r="102" spans="1:22" x14ac:dyDescent="0.25">
      <c r="A102" s="7">
        <f>IF($C102="","",COUNTIF($C$4:$C102,"&lt;&gt;"))</f>
      </c>
      <c r="B102" s="8"/>
      <c r="C102" s="8"/>
      <c r="D102" s="8"/>
      <c r="E102" s="7">
        <f>IF($C102="","",IF(AND(LEN(TRIM(UPPER(D102)))=10,CODE(MID(TRIM(UPPER(D102)),1,1))&gt;=65,CODE(MID(TRIM(UPPER(D102)),1,1))&lt;=90,CODE(MID(TRIM(UPPER(D102)),2,1))&gt;=65,CODE(MID(TRIM(UPPER(D102)),2,1))&lt;=90,CODE(MID(TRIM(UPPER(D102)),3,1))&gt;=65,CODE(MID(TRIM(UPPER(D102)),3,1))&lt;=90,CODE(MID(TRIM(UPPER(D102)),4,1))&gt;=65,CODE(MID(TRIM(UPPER(D102)),4,1))&lt;=90,CODE(MID(TRIM(UPPER(D102)),5,1))&gt;=65,CODE(MID(TRIM(UPPER(D102)),5,1))&lt;=90,CODE(MID(TRIM(UPPER(D102)),10,1))&gt;=65,CODE(MID(TRIM(UPPER(D102)),10,1))&lt;=90,CODE(MID(TRIM(UPPER(D102)),6,1))&gt;=48,CODE(MID(TRIM(UPPER(D102)),6,1))&lt;=57,CODE(MID(TRIM(UPPER(D102)),7,1))&gt;=48,CODE(MID(TRIM(UPPER(D102)),7,1))&lt;=57,CODE(MID(TRIM(UPPER(D102)),8,1))&gt;=48,CODE(MID(TRIM(UPPER(D102)),8,1))&lt;=57,CODE(MID(TRIM(UPPER(D102)),9,1))&gt;=48,CODE(MID(TRIM(UPPER(D102)),9,1))&lt;=57),"N","Y"))</f>
      </c>
      <c r="F102" s="7">
        <f>IF($C102="","",IF(LEN(D102)&lt;4,"",IF(UPPER(MID(D102,4,1))="P","Individual",IF(UPPER(MID(D102,4,1))="H","HUF",IF(UPPER(MID(D102,4,1))="C","Company",IF(UPPER(MID(D102,4,1))="F","Firm",IF(UPPER(MID(D102,4,1))="L","LLP",IF(UPPER(MID(D102,4,1))="T","Trust",IF(UPPER(MID(D102,4,1))="A","AOP","")))))))))</f>
      </c>
      <c r="G102" s="8"/>
      <c r="H102" s="7">
        <f>IF($C102="","",IF(R102&lt;&gt;"",R102,IF(G102="","",IF(E102="Y",SUMPRODUCT(('Rate Lookup'!$A$1:$A$37=G102)*'Rate Lookup'!$D$1:$D$37),IF(OR(F102="Individual",F102="HUF"),SUMPRODUCT(('Rate Lookup'!$A$1:$A$37=G102)*'Rate Lookup'!$B$1:$B$37),SUMPRODUCT(('Rate Lookup'!$A$1:$A$37=G102)*'Rate Lookup'!$C$1:$C$37)))))))</f>
      </c>
      <c r="I102" s="8"/>
      <c r="J102" s="8"/>
      <c r="K102" s="7">
        <f>IF($C102="","",IF(OR(P102="B",P102="D",P102="E",P102="N",P102="O",P102="P",P102="Q",P102="S",P102="Y",P102="Z"),0,ROUND(J102*H102/100,0)))</f>
      </c>
      <c r="L102" s="7">
        <f>IF($C102="","",0)</f>
      </c>
      <c r="M102" s="7">
        <f>IF($C102="","",0)</f>
      </c>
      <c r="N102" s="7">
        <f>IF($C102="","",IF(OR(K102=0,I102="",IFERROR(INDEX('Challan Master'!$D$4:$D$207,MATCH($B102,'Challan Master'!$S$4:$S$207,0)),"")="",IFERROR(INDEX('Challan Master'!$D$4:$D$207,MATCH($B102,'Challan Master'!$S$4:$S$207,0)),"")&lt;=0),0,IF(IFERROR(INDEX('Challan Master'!$D$4:$D$207,MATCH($B102,'Challan Master'!$S$4:$S$207,0)),"")&lt;=DATE(YEAR(I102),MONTH(I102)+1,7),0,ROUND(K102*0.015*((YEAR(IFERROR(INDEX('Challan Master'!$D$4:$D$207,MATCH($B102,'Challan Master'!$S$4:$S$207,0)),""))-YEAR(I102))*12+(MONTH(IFERROR(INDEX('Challan Master'!$D$4:$D$207,MATCH($B102,'Challan Master'!$S$4:$S$207,0)),""))-MONTH(I102))+1),0))))</f>
      </c>
      <c r="O102" s="7">
        <f>IF($C102="","",0)</f>
      </c>
      <c r="P102" s="8"/>
      <c r="Q102" s="8"/>
      <c r="R102" s="8"/>
      <c r="S102" s="8"/>
      <c r="T102" s="8"/>
      <c r="U102" s="7">
        <f>IF($B102="","",IFERROR(INDEX('Challan Master'!$AA$4:$AA$207,MATCH($B102,'Challan Master'!$S$4:$S$207,0)),""))</f>
      </c>
    </row>
    <row r="103" spans="1:22" x14ac:dyDescent="0.25">
      <c r="A103" s="7">
        <f>IF($C103="","",COUNTIF($C$4:$C103,"&lt;&gt;"))</f>
      </c>
      <c r="B103" s="8"/>
      <c r="C103" s="8"/>
      <c r="D103" s="8"/>
      <c r="E103" s="7">
        <f>IF($C103="","",IF(AND(LEN(TRIM(UPPER(D103)))=10,CODE(MID(TRIM(UPPER(D103)),1,1))&gt;=65,CODE(MID(TRIM(UPPER(D103)),1,1))&lt;=90,CODE(MID(TRIM(UPPER(D103)),2,1))&gt;=65,CODE(MID(TRIM(UPPER(D103)),2,1))&lt;=90,CODE(MID(TRIM(UPPER(D103)),3,1))&gt;=65,CODE(MID(TRIM(UPPER(D103)),3,1))&lt;=90,CODE(MID(TRIM(UPPER(D103)),4,1))&gt;=65,CODE(MID(TRIM(UPPER(D103)),4,1))&lt;=90,CODE(MID(TRIM(UPPER(D103)),5,1))&gt;=65,CODE(MID(TRIM(UPPER(D103)),5,1))&lt;=90,CODE(MID(TRIM(UPPER(D103)),10,1))&gt;=65,CODE(MID(TRIM(UPPER(D103)),10,1))&lt;=90,CODE(MID(TRIM(UPPER(D103)),6,1))&gt;=48,CODE(MID(TRIM(UPPER(D103)),6,1))&lt;=57,CODE(MID(TRIM(UPPER(D103)),7,1))&gt;=48,CODE(MID(TRIM(UPPER(D103)),7,1))&lt;=57,CODE(MID(TRIM(UPPER(D103)),8,1))&gt;=48,CODE(MID(TRIM(UPPER(D103)),8,1))&lt;=57,CODE(MID(TRIM(UPPER(D103)),9,1))&gt;=48,CODE(MID(TRIM(UPPER(D103)),9,1))&lt;=57),"N","Y"))</f>
      </c>
      <c r="F103" s="7">
        <f>IF($C103="","",IF(LEN(D103)&lt;4,"",IF(UPPER(MID(D103,4,1))="P","Individual",IF(UPPER(MID(D103,4,1))="H","HUF",IF(UPPER(MID(D103,4,1))="C","Company",IF(UPPER(MID(D103,4,1))="F","Firm",IF(UPPER(MID(D103,4,1))="L","LLP",IF(UPPER(MID(D103,4,1))="T","Trust",IF(UPPER(MID(D103,4,1))="A","AOP","")))))))))</f>
      </c>
      <c r="G103" s="8"/>
      <c r="H103" s="7">
        <f>IF($C103="","",IF(R103&lt;&gt;"",R103,IF(G103="","",IF(E103="Y",SUMPRODUCT(('Rate Lookup'!$A$1:$A$37=G103)*'Rate Lookup'!$D$1:$D$37),IF(OR(F103="Individual",F103="HUF"),SUMPRODUCT(('Rate Lookup'!$A$1:$A$37=G103)*'Rate Lookup'!$B$1:$B$37),SUMPRODUCT(('Rate Lookup'!$A$1:$A$37=G103)*'Rate Lookup'!$C$1:$C$37)))))))</f>
      </c>
      <c r="I103" s="8"/>
      <c r="J103" s="8"/>
      <c r="K103" s="7">
        <f>IF($C103="","",IF(OR(P103="B",P103="D",P103="E",P103="N",P103="O",P103="P",P103="Q",P103="S",P103="Y",P103="Z"),0,ROUND(J103*H103/100,0)))</f>
      </c>
      <c r="L103" s="7">
        <f>IF($C103="","",0)</f>
      </c>
      <c r="M103" s="7">
        <f>IF($C103="","",0)</f>
      </c>
      <c r="N103" s="7">
        <f>IF($C103="","",IF(OR(K103=0,I103="",IFERROR(INDEX('Challan Master'!$D$4:$D$207,MATCH($B103,'Challan Master'!$S$4:$S$207,0)),"")="",IFERROR(INDEX('Challan Master'!$D$4:$D$207,MATCH($B103,'Challan Master'!$S$4:$S$207,0)),"")&lt;=0),0,IF(IFERROR(INDEX('Challan Master'!$D$4:$D$207,MATCH($B103,'Challan Master'!$S$4:$S$207,0)),"")&lt;=DATE(YEAR(I103),MONTH(I103)+1,7),0,ROUND(K103*0.015*((YEAR(IFERROR(INDEX('Challan Master'!$D$4:$D$207,MATCH($B103,'Challan Master'!$S$4:$S$207,0)),""))-YEAR(I103))*12+(MONTH(IFERROR(INDEX('Challan Master'!$D$4:$D$207,MATCH($B103,'Challan Master'!$S$4:$S$207,0)),""))-MONTH(I103))+1),0))))</f>
      </c>
      <c r="O103" s="7">
        <f>IF($C103="","",0)</f>
      </c>
      <c r="P103" s="8"/>
      <c r="Q103" s="8"/>
      <c r="R103" s="8"/>
      <c r="S103" s="8"/>
      <c r="T103" s="8"/>
      <c r="U103" s="7">
        <f>IF($B103="","",IFERROR(INDEX('Challan Master'!$AA$4:$AA$207,MATCH($B103,'Challan Master'!$S$4:$S$207,0)),""))</f>
      </c>
    </row>
    <row r="104" spans="1:22" x14ac:dyDescent="0.25">
      <c r="A104" s="7">
        <f>IF($C104="","",COUNTIF($C$4:$C104,"&lt;&gt;"))</f>
      </c>
      <c r="B104" s="8"/>
      <c r="C104" s="8"/>
      <c r="D104" s="8"/>
      <c r="E104" s="7">
        <f>IF($C104="","",IF(AND(LEN(TRIM(UPPER(D104)))=10,CODE(MID(TRIM(UPPER(D104)),1,1))&gt;=65,CODE(MID(TRIM(UPPER(D104)),1,1))&lt;=90,CODE(MID(TRIM(UPPER(D104)),2,1))&gt;=65,CODE(MID(TRIM(UPPER(D104)),2,1))&lt;=90,CODE(MID(TRIM(UPPER(D104)),3,1))&gt;=65,CODE(MID(TRIM(UPPER(D104)),3,1))&lt;=90,CODE(MID(TRIM(UPPER(D104)),4,1))&gt;=65,CODE(MID(TRIM(UPPER(D104)),4,1))&lt;=90,CODE(MID(TRIM(UPPER(D104)),5,1))&gt;=65,CODE(MID(TRIM(UPPER(D104)),5,1))&lt;=90,CODE(MID(TRIM(UPPER(D104)),10,1))&gt;=65,CODE(MID(TRIM(UPPER(D104)),10,1))&lt;=90,CODE(MID(TRIM(UPPER(D104)),6,1))&gt;=48,CODE(MID(TRIM(UPPER(D104)),6,1))&lt;=57,CODE(MID(TRIM(UPPER(D104)),7,1))&gt;=48,CODE(MID(TRIM(UPPER(D104)),7,1))&lt;=57,CODE(MID(TRIM(UPPER(D104)),8,1))&gt;=48,CODE(MID(TRIM(UPPER(D104)),8,1))&lt;=57,CODE(MID(TRIM(UPPER(D104)),9,1))&gt;=48,CODE(MID(TRIM(UPPER(D104)),9,1))&lt;=57),"N","Y"))</f>
      </c>
      <c r="F104" s="7">
        <f>IF($C104="","",IF(LEN(D104)&lt;4,"",IF(UPPER(MID(D104,4,1))="P","Individual",IF(UPPER(MID(D104,4,1))="H","HUF",IF(UPPER(MID(D104,4,1))="C","Company",IF(UPPER(MID(D104,4,1))="F","Firm",IF(UPPER(MID(D104,4,1))="L","LLP",IF(UPPER(MID(D104,4,1))="T","Trust",IF(UPPER(MID(D104,4,1))="A","AOP","")))))))))</f>
      </c>
      <c r="G104" s="8"/>
      <c r="H104" s="7">
        <f>IF($C104="","",IF(R104&lt;&gt;"",R104,IF(G104="","",IF(E104="Y",SUMPRODUCT(('Rate Lookup'!$A$1:$A$37=G104)*'Rate Lookup'!$D$1:$D$37),IF(OR(F104="Individual",F104="HUF"),SUMPRODUCT(('Rate Lookup'!$A$1:$A$37=G104)*'Rate Lookup'!$B$1:$B$37),SUMPRODUCT(('Rate Lookup'!$A$1:$A$37=G104)*'Rate Lookup'!$C$1:$C$37)))))))</f>
      </c>
      <c r="I104" s="8"/>
      <c r="J104" s="8"/>
      <c r="K104" s="7">
        <f>IF($C104="","",IF(OR(P104="B",P104="D",P104="E",P104="N",P104="O",P104="P",P104="Q",P104="S",P104="Y",P104="Z"),0,ROUND(J104*H104/100,0)))</f>
      </c>
      <c r="L104" s="7">
        <f>IF($C104="","",0)</f>
      </c>
      <c r="M104" s="7">
        <f>IF($C104="","",0)</f>
      </c>
      <c r="N104" s="7">
        <f>IF($C104="","",IF(OR(K104=0,I104="",IFERROR(INDEX('Challan Master'!$D$4:$D$207,MATCH($B104,'Challan Master'!$S$4:$S$207,0)),"")="",IFERROR(INDEX('Challan Master'!$D$4:$D$207,MATCH($B104,'Challan Master'!$S$4:$S$207,0)),"")&lt;=0),0,IF(IFERROR(INDEX('Challan Master'!$D$4:$D$207,MATCH($B104,'Challan Master'!$S$4:$S$207,0)),"")&lt;=DATE(YEAR(I104),MONTH(I104)+1,7),0,ROUND(K104*0.015*((YEAR(IFERROR(INDEX('Challan Master'!$D$4:$D$207,MATCH($B104,'Challan Master'!$S$4:$S$207,0)),""))-YEAR(I104))*12+(MONTH(IFERROR(INDEX('Challan Master'!$D$4:$D$207,MATCH($B104,'Challan Master'!$S$4:$S$207,0)),""))-MONTH(I104))+1),0))))</f>
      </c>
      <c r="O104" s="7">
        <f>IF($C104="","",0)</f>
      </c>
      <c r="P104" s="8"/>
      <c r="Q104" s="8"/>
      <c r="R104" s="8"/>
      <c r="S104" s="8"/>
      <c r="T104" s="8"/>
      <c r="U104" s="7">
        <f>IF($B104="","",IFERROR(INDEX('Challan Master'!$AA$4:$AA$207,MATCH($B104,'Challan Master'!$S$4:$S$207,0)),""))</f>
      </c>
    </row>
    <row r="105" spans="1:22" x14ac:dyDescent="0.25">
      <c r="A105" s="7">
        <f>IF($C105="","",COUNTIF($C$4:$C105,"&lt;&gt;"))</f>
      </c>
      <c r="B105" s="8"/>
      <c r="C105" s="8"/>
      <c r="D105" s="8"/>
      <c r="E105" s="7">
        <f>IF($C105="","",IF(AND(LEN(TRIM(UPPER(D105)))=10,CODE(MID(TRIM(UPPER(D105)),1,1))&gt;=65,CODE(MID(TRIM(UPPER(D105)),1,1))&lt;=90,CODE(MID(TRIM(UPPER(D105)),2,1))&gt;=65,CODE(MID(TRIM(UPPER(D105)),2,1))&lt;=90,CODE(MID(TRIM(UPPER(D105)),3,1))&gt;=65,CODE(MID(TRIM(UPPER(D105)),3,1))&lt;=90,CODE(MID(TRIM(UPPER(D105)),4,1))&gt;=65,CODE(MID(TRIM(UPPER(D105)),4,1))&lt;=90,CODE(MID(TRIM(UPPER(D105)),5,1))&gt;=65,CODE(MID(TRIM(UPPER(D105)),5,1))&lt;=90,CODE(MID(TRIM(UPPER(D105)),10,1))&gt;=65,CODE(MID(TRIM(UPPER(D105)),10,1))&lt;=90,CODE(MID(TRIM(UPPER(D105)),6,1))&gt;=48,CODE(MID(TRIM(UPPER(D105)),6,1))&lt;=57,CODE(MID(TRIM(UPPER(D105)),7,1))&gt;=48,CODE(MID(TRIM(UPPER(D105)),7,1))&lt;=57,CODE(MID(TRIM(UPPER(D105)),8,1))&gt;=48,CODE(MID(TRIM(UPPER(D105)),8,1))&lt;=57,CODE(MID(TRIM(UPPER(D105)),9,1))&gt;=48,CODE(MID(TRIM(UPPER(D105)),9,1))&lt;=57),"N","Y"))</f>
      </c>
      <c r="F105" s="7">
        <f>IF($C105="","",IF(LEN(D105)&lt;4,"",IF(UPPER(MID(D105,4,1))="P","Individual",IF(UPPER(MID(D105,4,1))="H","HUF",IF(UPPER(MID(D105,4,1))="C","Company",IF(UPPER(MID(D105,4,1))="F","Firm",IF(UPPER(MID(D105,4,1))="L","LLP",IF(UPPER(MID(D105,4,1))="T","Trust",IF(UPPER(MID(D105,4,1))="A","AOP","")))))))))</f>
      </c>
      <c r="G105" s="8"/>
      <c r="H105" s="7">
        <f>IF($C105="","",IF(R105&lt;&gt;"",R105,IF(G105="","",IF(E105="Y",SUMPRODUCT(('Rate Lookup'!$A$1:$A$37=G105)*'Rate Lookup'!$D$1:$D$37),IF(OR(F105="Individual",F105="HUF"),SUMPRODUCT(('Rate Lookup'!$A$1:$A$37=G105)*'Rate Lookup'!$B$1:$B$37),SUMPRODUCT(('Rate Lookup'!$A$1:$A$37=G105)*'Rate Lookup'!$C$1:$C$37)))))))</f>
      </c>
      <c r="I105" s="8"/>
      <c r="J105" s="8"/>
      <c r="K105" s="7">
        <f>IF($C105="","",IF(OR(P105="B",P105="D",P105="E",P105="N",P105="O",P105="P",P105="Q",P105="S",P105="Y",P105="Z"),0,ROUND(J105*H105/100,0)))</f>
      </c>
      <c r="L105" s="7">
        <f>IF($C105="","",0)</f>
      </c>
      <c r="M105" s="7">
        <f>IF($C105="","",0)</f>
      </c>
      <c r="N105" s="7">
        <f>IF($C105="","",IF(OR(K105=0,I105="",IFERROR(INDEX('Challan Master'!$D$4:$D$207,MATCH($B105,'Challan Master'!$S$4:$S$207,0)),"")="",IFERROR(INDEX('Challan Master'!$D$4:$D$207,MATCH($B105,'Challan Master'!$S$4:$S$207,0)),"")&lt;=0),0,IF(IFERROR(INDEX('Challan Master'!$D$4:$D$207,MATCH($B105,'Challan Master'!$S$4:$S$207,0)),"")&lt;=DATE(YEAR(I105),MONTH(I105)+1,7),0,ROUND(K105*0.015*((YEAR(IFERROR(INDEX('Challan Master'!$D$4:$D$207,MATCH($B105,'Challan Master'!$S$4:$S$207,0)),""))-YEAR(I105))*12+(MONTH(IFERROR(INDEX('Challan Master'!$D$4:$D$207,MATCH($B105,'Challan Master'!$S$4:$S$207,0)),""))-MONTH(I105))+1),0))))</f>
      </c>
      <c r="O105" s="7">
        <f>IF($C105="","",0)</f>
      </c>
      <c r="P105" s="8"/>
      <c r="Q105" s="8"/>
      <c r="R105" s="8"/>
      <c r="S105" s="8"/>
      <c r="T105" s="8"/>
      <c r="U105" s="7">
        <f>IF($B105="","",IFERROR(INDEX('Challan Master'!$AA$4:$AA$207,MATCH($B105,'Challan Master'!$S$4:$S$207,0)),""))</f>
      </c>
    </row>
    <row r="106" spans="1:22" x14ac:dyDescent="0.25">
      <c r="A106" s="7">
        <f>IF($C106="","",COUNTIF($C$4:$C106,"&lt;&gt;"))</f>
      </c>
      <c r="B106" s="8"/>
      <c r="C106" s="8"/>
      <c r="D106" s="8"/>
      <c r="E106" s="7">
        <f>IF($C106="","",IF(AND(LEN(TRIM(UPPER(D106)))=10,CODE(MID(TRIM(UPPER(D106)),1,1))&gt;=65,CODE(MID(TRIM(UPPER(D106)),1,1))&lt;=90,CODE(MID(TRIM(UPPER(D106)),2,1))&gt;=65,CODE(MID(TRIM(UPPER(D106)),2,1))&lt;=90,CODE(MID(TRIM(UPPER(D106)),3,1))&gt;=65,CODE(MID(TRIM(UPPER(D106)),3,1))&lt;=90,CODE(MID(TRIM(UPPER(D106)),4,1))&gt;=65,CODE(MID(TRIM(UPPER(D106)),4,1))&lt;=90,CODE(MID(TRIM(UPPER(D106)),5,1))&gt;=65,CODE(MID(TRIM(UPPER(D106)),5,1))&lt;=90,CODE(MID(TRIM(UPPER(D106)),10,1))&gt;=65,CODE(MID(TRIM(UPPER(D106)),10,1))&lt;=90,CODE(MID(TRIM(UPPER(D106)),6,1))&gt;=48,CODE(MID(TRIM(UPPER(D106)),6,1))&lt;=57,CODE(MID(TRIM(UPPER(D106)),7,1))&gt;=48,CODE(MID(TRIM(UPPER(D106)),7,1))&lt;=57,CODE(MID(TRIM(UPPER(D106)),8,1))&gt;=48,CODE(MID(TRIM(UPPER(D106)),8,1))&lt;=57,CODE(MID(TRIM(UPPER(D106)),9,1))&gt;=48,CODE(MID(TRIM(UPPER(D106)),9,1))&lt;=57),"N","Y"))</f>
      </c>
      <c r="F106" s="7">
        <f>IF($C106="","",IF(LEN(D106)&lt;4,"",IF(UPPER(MID(D106,4,1))="P","Individual",IF(UPPER(MID(D106,4,1))="H","HUF",IF(UPPER(MID(D106,4,1))="C","Company",IF(UPPER(MID(D106,4,1))="F","Firm",IF(UPPER(MID(D106,4,1))="L","LLP",IF(UPPER(MID(D106,4,1))="T","Trust",IF(UPPER(MID(D106,4,1))="A","AOP","")))))))))</f>
      </c>
      <c r="G106" s="8"/>
      <c r="H106" s="7">
        <f>IF($C106="","",IF(R106&lt;&gt;"",R106,IF(G106="","",IF(E106="Y",SUMPRODUCT(('Rate Lookup'!$A$1:$A$37=G106)*'Rate Lookup'!$D$1:$D$37),IF(OR(F106="Individual",F106="HUF"),SUMPRODUCT(('Rate Lookup'!$A$1:$A$37=G106)*'Rate Lookup'!$B$1:$B$37),SUMPRODUCT(('Rate Lookup'!$A$1:$A$37=G106)*'Rate Lookup'!$C$1:$C$37)))))))</f>
      </c>
      <c r="I106" s="8"/>
      <c r="J106" s="8"/>
      <c r="K106" s="7">
        <f>IF($C106="","",IF(OR(P106="B",P106="D",P106="E",P106="N",P106="O",P106="P",P106="Q",P106="S",P106="Y",P106="Z"),0,ROUND(J106*H106/100,0)))</f>
      </c>
      <c r="L106" s="7">
        <f>IF($C106="","",0)</f>
      </c>
      <c r="M106" s="7">
        <f>IF($C106="","",0)</f>
      </c>
      <c r="N106" s="7">
        <f>IF($C106="","",IF(OR(K106=0,I106="",IFERROR(INDEX('Challan Master'!$D$4:$D$207,MATCH($B106,'Challan Master'!$S$4:$S$207,0)),"")="",IFERROR(INDEX('Challan Master'!$D$4:$D$207,MATCH($B106,'Challan Master'!$S$4:$S$207,0)),"")&lt;=0),0,IF(IFERROR(INDEX('Challan Master'!$D$4:$D$207,MATCH($B106,'Challan Master'!$S$4:$S$207,0)),"")&lt;=DATE(YEAR(I106),MONTH(I106)+1,7),0,ROUND(K106*0.015*((YEAR(IFERROR(INDEX('Challan Master'!$D$4:$D$207,MATCH($B106,'Challan Master'!$S$4:$S$207,0)),""))-YEAR(I106))*12+(MONTH(IFERROR(INDEX('Challan Master'!$D$4:$D$207,MATCH($B106,'Challan Master'!$S$4:$S$207,0)),""))-MONTH(I106))+1),0))))</f>
      </c>
      <c r="O106" s="7">
        <f>IF($C106="","",0)</f>
      </c>
      <c r="P106" s="8"/>
      <c r="Q106" s="8"/>
      <c r="R106" s="8"/>
      <c r="S106" s="8"/>
      <c r="T106" s="8"/>
      <c r="U106" s="7">
        <f>IF($B106="","",IFERROR(INDEX('Challan Master'!$AA$4:$AA$207,MATCH($B106,'Challan Master'!$S$4:$S$207,0)),""))</f>
      </c>
    </row>
    <row r="107" spans="1:22" x14ac:dyDescent="0.25">
      <c r="A107" s="7">
        <f>IF($C107="","",COUNTIF($C$4:$C107,"&lt;&gt;"))</f>
      </c>
      <c r="B107" s="8"/>
      <c r="C107" s="8"/>
      <c r="D107" s="8"/>
      <c r="E107" s="7">
        <f>IF($C107="","",IF(AND(LEN(TRIM(UPPER(D107)))=10,CODE(MID(TRIM(UPPER(D107)),1,1))&gt;=65,CODE(MID(TRIM(UPPER(D107)),1,1))&lt;=90,CODE(MID(TRIM(UPPER(D107)),2,1))&gt;=65,CODE(MID(TRIM(UPPER(D107)),2,1))&lt;=90,CODE(MID(TRIM(UPPER(D107)),3,1))&gt;=65,CODE(MID(TRIM(UPPER(D107)),3,1))&lt;=90,CODE(MID(TRIM(UPPER(D107)),4,1))&gt;=65,CODE(MID(TRIM(UPPER(D107)),4,1))&lt;=90,CODE(MID(TRIM(UPPER(D107)),5,1))&gt;=65,CODE(MID(TRIM(UPPER(D107)),5,1))&lt;=90,CODE(MID(TRIM(UPPER(D107)),10,1))&gt;=65,CODE(MID(TRIM(UPPER(D107)),10,1))&lt;=90,CODE(MID(TRIM(UPPER(D107)),6,1))&gt;=48,CODE(MID(TRIM(UPPER(D107)),6,1))&lt;=57,CODE(MID(TRIM(UPPER(D107)),7,1))&gt;=48,CODE(MID(TRIM(UPPER(D107)),7,1))&lt;=57,CODE(MID(TRIM(UPPER(D107)),8,1))&gt;=48,CODE(MID(TRIM(UPPER(D107)),8,1))&lt;=57,CODE(MID(TRIM(UPPER(D107)),9,1))&gt;=48,CODE(MID(TRIM(UPPER(D107)),9,1))&lt;=57),"N","Y"))</f>
      </c>
      <c r="F107" s="7">
        <f>IF($C107="","",IF(LEN(D107)&lt;4,"",IF(UPPER(MID(D107,4,1))="P","Individual",IF(UPPER(MID(D107,4,1))="H","HUF",IF(UPPER(MID(D107,4,1))="C","Company",IF(UPPER(MID(D107,4,1))="F","Firm",IF(UPPER(MID(D107,4,1))="L","LLP",IF(UPPER(MID(D107,4,1))="T","Trust",IF(UPPER(MID(D107,4,1))="A","AOP","")))))))))</f>
      </c>
      <c r="G107" s="8"/>
      <c r="H107" s="7">
        <f>IF($C107="","",IF(R107&lt;&gt;"",R107,IF(G107="","",IF(E107="Y",SUMPRODUCT(('Rate Lookup'!$A$1:$A$37=G107)*'Rate Lookup'!$D$1:$D$37),IF(OR(F107="Individual",F107="HUF"),SUMPRODUCT(('Rate Lookup'!$A$1:$A$37=G107)*'Rate Lookup'!$B$1:$B$37),SUMPRODUCT(('Rate Lookup'!$A$1:$A$37=G107)*'Rate Lookup'!$C$1:$C$37)))))))</f>
      </c>
      <c r="I107" s="8"/>
      <c r="J107" s="8"/>
      <c r="K107" s="7">
        <f>IF($C107="","",IF(OR(P107="B",P107="D",P107="E",P107="N",P107="O",P107="P",P107="Q",P107="S",P107="Y",P107="Z"),0,ROUND(J107*H107/100,0)))</f>
      </c>
      <c r="L107" s="7">
        <f>IF($C107="","",0)</f>
      </c>
      <c r="M107" s="7">
        <f>IF($C107="","",0)</f>
      </c>
      <c r="N107" s="7">
        <f>IF($C107="","",IF(OR(K107=0,I107="",IFERROR(INDEX('Challan Master'!$D$4:$D$207,MATCH($B107,'Challan Master'!$S$4:$S$207,0)),"")="",IFERROR(INDEX('Challan Master'!$D$4:$D$207,MATCH($B107,'Challan Master'!$S$4:$S$207,0)),"")&lt;=0),0,IF(IFERROR(INDEX('Challan Master'!$D$4:$D$207,MATCH($B107,'Challan Master'!$S$4:$S$207,0)),"")&lt;=DATE(YEAR(I107),MONTH(I107)+1,7),0,ROUND(K107*0.015*((YEAR(IFERROR(INDEX('Challan Master'!$D$4:$D$207,MATCH($B107,'Challan Master'!$S$4:$S$207,0)),""))-YEAR(I107))*12+(MONTH(IFERROR(INDEX('Challan Master'!$D$4:$D$207,MATCH($B107,'Challan Master'!$S$4:$S$207,0)),""))-MONTH(I107))+1),0))))</f>
      </c>
      <c r="O107" s="7">
        <f>IF($C107="","",0)</f>
      </c>
      <c r="P107" s="8"/>
      <c r="Q107" s="8"/>
      <c r="R107" s="8"/>
      <c r="S107" s="8"/>
      <c r="T107" s="8"/>
      <c r="U107" s="7">
        <f>IF($B107="","",IFERROR(INDEX('Challan Master'!$AA$4:$AA$207,MATCH($B107,'Challan Master'!$S$4:$S$207,0)),""))</f>
      </c>
    </row>
    <row r="108" spans="1:22" x14ac:dyDescent="0.25">
      <c r="A108" s="7">
        <f>IF($C108="","",COUNTIF($C$4:$C108,"&lt;&gt;"))</f>
      </c>
      <c r="B108" s="8"/>
      <c r="C108" s="8"/>
      <c r="D108" s="8"/>
      <c r="E108" s="7">
        <f>IF($C108="","",IF(AND(LEN(TRIM(UPPER(D108)))=10,CODE(MID(TRIM(UPPER(D108)),1,1))&gt;=65,CODE(MID(TRIM(UPPER(D108)),1,1))&lt;=90,CODE(MID(TRIM(UPPER(D108)),2,1))&gt;=65,CODE(MID(TRIM(UPPER(D108)),2,1))&lt;=90,CODE(MID(TRIM(UPPER(D108)),3,1))&gt;=65,CODE(MID(TRIM(UPPER(D108)),3,1))&lt;=90,CODE(MID(TRIM(UPPER(D108)),4,1))&gt;=65,CODE(MID(TRIM(UPPER(D108)),4,1))&lt;=90,CODE(MID(TRIM(UPPER(D108)),5,1))&gt;=65,CODE(MID(TRIM(UPPER(D108)),5,1))&lt;=90,CODE(MID(TRIM(UPPER(D108)),10,1))&gt;=65,CODE(MID(TRIM(UPPER(D108)),10,1))&lt;=90,CODE(MID(TRIM(UPPER(D108)),6,1))&gt;=48,CODE(MID(TRIM(UPPER(D108)),6,1))&lt;=57,CODE(MID(TRIM(UPPER(D108)),7,1))&gt;=48,CODE(MID(TRIM(UPPER(D108)),7,1))&lt;=57,CODE(MID(TRIM(UPPER(D108)),8,1))&gt;=48,CODE(MID(TRIM(UPPER(D108)),8,1))&lt;=57,CODE(MID(TRIM(UPPER(D108)),9,1))&gt;=48,CODE(MID(TRIM(UPPER(D108)),9,1))&lt;=57),"N","Y"))</f>
      </c>
      <c r="F108" s="7">
        <f>IF($C108="","",IF(LEN(D108)&lt;4,"",IF(UPPER(MID(D108,4,1))="P","Individual",IF(UPPER(MID(D108,4,1))="H","HUF",IF(UPPER(MID(D108,4,1))="C","Company",IF(UPPER(MID(D108,4,1))="F","Firm",IF(UPPER(MID(D108,4,1))="L","LLP",IF(UPPER(MID(D108,4,1))="T","Trust",IF(UPPER(MID(D108,4,1))="A","AOP","")))))))))</f>
      </c>
      <c r="G108" s="8"/>
      <c r="H108" s="7">
        <f>IF($C108="","",IF(R108&lt;&gt;"",R108,IF(G108="","",IF(E108="Y",SUMPRODUCT(('Rate Lookup'!$A$1:$A$37=G108)*'Rate Lookup'!$D$1:$D$37),IF(OR(F108="Individual",F108="HUF"),SUMPRODUCT(('Rate Lookup'!$A$1:$A$37=G108)*'Rate Lookup'!$B$1:$B$37),SUMPRODUCT(('Rate Lookup'!$A$1:$A$37=G108)*'Rate Lookup'!$C$1:$C$37)))))))</f>
      </c>
      <c r="I108" s="8"/>
      <c r="J108" s="8"/>
      <c r="K108" s="7">
        <f>IF($C108="","",IF(OR(P108="B",P108="D",P108="E",P108="N",P108="O",P108="P",P108="Q",P108="S",P108="Y",P108="Z"),0,ROUND(J108*H108/100,0)))</f>
      </c>
      <c r="L108" s="7">
        <f>IF($C108="","",0)</f>
      </c>
      <c r="M108" s="7">
        <f>IF($C108="","",0)</f>
      </c>
      <c r="N108" s="7">
        <f>IF($C108="","",IF(OR(K108=0,I108="",IFERROR(INDEX('Challan Master'!$D$4:$D$207,MATCH($B108,'Challan Master'!$S$4:$S$207,0)),"")="",IFERROR(INDEX('Challan Master'!$D$4:$D$207,MATCH($B108,'Challan Master'!$S$4:$S$207,0)),"")&lt;=0),0,IF(IFERROR(INDEX('Challan Master'!$D$4:$D$207,MATCH($B108,'Challan Master'!$S$4:$S$207,0)),"")&lt;=DATE(YEAR(I108),MONTH(I108)+1,7),0,ROUND(K108*0.015*((YEAR(IFERROR(INDEX('Challan Master'!$D$4:$D$207,MATCH($B108,'Challan Master'!$S$4:$S$207,0)),""))-YEAR(I108))*12+(MONTH(IFERROR(INDEX('Challan Master'!$D$4:$D$207,MATCH($B108,'Challan Master'!$S$4:$S$207,0)),""))-MONTH(I108))+1),0))))</f>
      </c>
      <c r="O108" s="7">
        <f>IF($C108="","",0)</f>
      </c>
      <c r="P108" s="8"/>
      <c r="Q108" s="8"/>
      <c r="R108" s="8"/>
      <c r="S108" s="8"/>
      <c r="T108" s="8"/>
      <c r="U108" s="7">
        <f>IF($B108="","",IFERROR(INDEX('Challan Master'!$AA$4:$AA$207,MATCH($B108,'Challan Master'!$S$4:$S$207,0)),""))</f>
      </c>
    </row>
    <row r="109" spans="1:22" x14ac:dyDescent="0.25">
      <c r="A109" s="7">
        <f>IF($C109="","",COUNTIF($C$4:$C109,"&lt;&gt;"))</f>
      </c>
      <c r="B109" s="8"/>
      <c r="C109" s="8"/>
      <c r="D109" s="8"/>
      <c r="E109" s="7">
        <f>IF($C109="","",IF(AND(LEN(TRIM(UPPER(D109)))=10,CODE(MID(TRIM(UPPER(D109)),1,1))&gt;=65,CODE(MID(TRIM(UPPER(D109)),1,1))&lt;=90,CODE(MID(TRIM(UPPER(D109)),2,1))&gt;=65,CODE(MID(TRIM(UPPER(D109)),2,1))&lt;=90,CODE(MID(TRIM(UPPER(D109)),3,1))&gt;=65,CODE(MID(TRIM(UPPER(D109)),3,1))&lt;=90,CODE(MID(TRIM(UPPER(D109)),4,1))&gt;=65,CODE(MID(TRIM(UPPER(D109)),4,1))&lt;=90,CODE(MID(TRIM(UPPER(D109)),5,1))&gt;=65,CODE(MID(TRIM(UPPER(D109)),5,1))&lt;=90,CODE(MID(TRIM(UPPER(D109)),10,1))&gt;=65,CODE(MID(TRIM(UPPER(D109)),10,1))&lt;=90,CODE(MID(TRIM(UPPER(D109)),6,1))&gt;=48,CODE(MID(TRIM(UPPER(D109)),6,1))&lt;=57,CODE(MID(TRIM(UPPER(D109)),7,1))&gt;=48,CODE(MID(TRIM(UPPER(D109)),7,1))&lt;=57,CODE(MID(TRIM(UPPER(D109)),8,1))&gt;=48,CODE(MID(TRIM(UPPER(D109)),8,1))&lt;=57,CODE(MID(TRIM(UPPER(D109)),9,1))&gt;=48,CODE(MID(TRIM(UPPER(D109)),9,1))&lt;=57),"N","Y"))</f>
      </c>
      <c r="F109" s="7">
        <f>IF($C109="","",IF(LEN(D109)&lt;4,"",IF(UPPER(MID(D109,4,1))="P","Individual",IF(UPPER(MID(D109,4,1))="H","HUF",IF(UPPER(MID(D109,4,1))="C","Company",IF(UPPER(MID(D109,4,1))="F","Firm",IF(UPPER(MID(D109,4,1))="L","LLP",IF(UPPER(MID(D109,4,1))="T","Trust",IF(UPPER(MID(D109,4,1))="A","AOP","")))))))))</f>
      </c>
      <c r="G109" s="8"/>
      <c r="H109" s="7">
        <f>IF($C109="","",IF(R109&lt;&gt;"",R109,IF(G109="","",IF(E109="Y",SUMPRODUCT(('Rate Lookup'!$A$1:$A$37=G109)*'Rate Lookup'!$D$1:$D$37),IF(OR(F109="Individual",F109="HUF"),SUMPRODUCT(('Rate Lookup'!$A$1:$A$37=G109)*'Rate Lookup'!$B$1:$B$37),SUMPRODUCT(('Rate Lookup'!$A$1:$A$37=G109)*'Rate Lookup'!$C$1:$C$37)))))))</f>
      </c>
      <c r="I109" s="8"/>
      <c r="J109" s="8"/>
      <c r="K109" s="7">
        <f>IF($C109="","",IF(OR(P109="B",P109="D",P109="E",P109="N",P109="O",P109="P",P109="Q",P109="S",P109="Y",P109="Z"),0,ROUND(J109*H109/100,0)))</f>
      </c>
      <c r="L109" s="7">
        <f>IF($C109="","",0)</f>
      </c>
      <c r="M109" s="7">
        <f>IF($C109="","",0)</f>
      </c>
      <c r="N109" s="7">
        <f>IF($C109="","",IF(OR(K109=0,I109="",IFERROR(INDEX('Challan Master'!$D$4:$D$207,MATCH($B109,'Challan Master'!$S$4:$S$207,0)),"")="",IFERROR(INDEX('Challan Master'!$D$4:$D$207,MATCH($B109,'Challan Master'!$S$4:$S$207,0)),"")&lt;=0),0,IF(IFERROR(INDEX('Challan Master'!$D$4:$D$207,MATCH($B109,'Challan Master'!$S$4:$S$207,0)),"")&lt;=DATE(YEAR(I109),MONTH(I109)+1,7),0,ROUND(K109*0.015*((YEAR(IFERROR(INDEX('Challan Master'!$D$4:$D$207,MATCH($B109,'Challan Master'!$S$4:$S$207,0)),""))-YEAR(I109))*12+(MONTH(IFERROR(INDEX('Challan Master'!$D$4:$D$207,MATCH($B109,'Challan Master'!$S$4:$S$207,0)),""))-MONTH(I109))+1),0))))</f>
      </c>
      <c r="O109" s="7">
        <f>IF($C109="","",0)</f>
      </c>
      <c r="P109" s="8"/>
      <c r="Q109" s="8"/>
      <c r="R109" s="8"/>
      <c r="S109" s="8"/>
      <c r="T109" s="8"/>
      <c r="U109" s="7">
        <f>IF($B109="","",IFERROR(INDEX('Challan Master'!$AA$4:$AA$207,MATCH($B109,'Challan Master'!$S$4:$S$207,0)),""))</f>
      </c>
    </row>
    <row r="110" spans="1:22" x14ac:dyDescent="0.25">
      <c r="A110" s="7">
        <f>IF($C110="","",COUNTIF($C$4:$C110,"&lt;&gt;"))</f>
      </c>
      <c r="B110" s="8"/>
      <c r="C110" s="8"/>
      <c r="D110" s="8"/>
      <c r="E110" s="7">
        <f>IF($C110="","",IF(AND(LEN(TRIM(UPPER(D110)))=10,CODE(MID(TRIM(UPPER(D110)),1,1))&gt;=65,CODE(MID(TRIM(UPPER(D110)),1,1))&lt;=90,CODE(MID(TRIM(UPPER(D110)),2,1))&gt;=65,CODE(MID(TRIM(UPPER(D110)),2,1))&lt;=90,CODE(MID(TRIM(UPPER(D110)),3,1))&gt;=65,CODE(MID(TRIM(UPPER(D110)),3,1))&lt;=90,CODE(MID(TRIM(UPPER(D110)),4,1))&gt;=65,CODE(MID(TRIM(UPPER(D110)),4,1))&lt;=90,CODE(MID(TRIM(UPPER(D110)),5,1))&gt;=65,CODE(MID(TRIM(UPPER(D110)),5,1))&lt;=90,CODE(MID(TRIM(UPPER(D110)),10,1))&gt;=65,CODE(MID(TRIM(UPPER(D110)),10,1))&lt;=90,CODE(MID(TRIM(UPPER(D110)),6,1))&gt;=48,CODE(MID(TRIM(UPPER(D110)),6,1))&lt;=57,CODE(MID(TRIM(UPPER(D110)),7,1))&gt;=48,CODE(MID(TRIM(UPPER(D110)),7,1))&lt;=57,CODE(MID(TRIM(UPPER(D110)),8,1))&gt;=48,CODE(MID(TRIM(UPPER(D110)),8,1))&lt;=57,CODE(MID(TRIM(UPPER(D110)),9,1))&gt;=48,CODE(MID(TRIM(UPPER(D110)),9,1))&lt;=57),"N","Y"))</f>
      </c>
      <c r="F110" s="7">
        <f>IF($C110="","",IF(LEN(D110)&lt;4,"",IF(UPPER(MID(D110,4,1))="P","Individual",IF(UPPER(MID(D110,4,1))="H","HUF",IF(UPPER(MID(D110,4,1))="C","Company",IF(UPPER(MID(D110,4,1))="F","Firm",IF(UPPER(MID(D110,4,1))="L","LLP",IF(UPPER(MID(D110,4,1))="T","Trust",IF(UPPER(MID(D110,4,1))="A","AOP","")))))))))</f>
      </c>
      <c r="G110" s="8"/>
      <c r="H110" s="7">
        <f>IF($C110="","",IF(R110&lt;&gt;"",R110,IF(G110="","",IF(E110="Y",SUMPRODUCT(('Rate Lookup'!$A$1:$A$37=G110)*'Rate Lookup'!$D$1:$D$37),IF(OR(F110="Individual",F110="HUF"),SUMPRODUCT(('Rate Lookup'!$A$1:$A$37=G110)*'Rate Lookup'!$B$1:$B$37),SUMPRODUCT(('Rate Lookup'!$A$1:$A$37=G110)*'Rate Lookup'!$C$1:$C$37)))))))</f>
      </c>
      <c r="I110" s="8"/>
      <c r="J110" s="8"/>
      <c r="K110" s="7">
        <f>IF($C110="","",IF(OR(P110="B",P110="D",P110="E",P110="N",P110="O",P110="P",P110="Q",P110="S",P110="Y",P110="Z"),0,ROUND(J110*H110/100,0)))</f>
      </c>
      <c r="L110" s="7">
        <f>IF($C110="","",0)</f>
      </c>
      <c r="M110" s="7">
        <f>IF($C110="","",0)</f>
      </c>
      <c r="N110" s="7">
        <f>IF($C110="","",IF(OR(K110=0,I110="",IFERROR(INDEX('Challan Master'!$D$4:$D$207,MATCH($B110,'Challan Master'!$S$4:$S$207,0)),"")="",IFERROR(INDEX('Challan Master'!$D$4:$D$207,MATCH($B110,'Challan Master'!$S$4:$S$207,0)),"")&lt;=0),0,IF(IFERROR(INDEX('Challan Master'!$D$4:$D$207,MATCH($B110,'Challan Master'!$S$4:$S$207,0)),"")&lt;=DATE(YEAR(I110),MONTH(I110)+1,7),0,ROUND(K110*0.015*((YEAR(IFERROR(INDEX('Challan Master'!$D$4:$D$207,MATCH($B110,'Challan Master'!$S$4:$S$207,0)),""))-YEAR(I110))*12+(MONTH(IFERROR(INDEX('Challan Master'!$D$4:$D$207,MATCH($B110,'Challan Master'!$S$4:$S$207,0)),""))-MONTH(I110))+1),0))))</f>
      </c>
      <c r="O110" s="7">
        <f>IF($C110="","",0)</f>
      </c>
      <c r="P110" s="8"/>
      <c r="Q110" s="8"/>
      <c r="R110" s="8"/>
      <c r="S110" s="8"/>
      <c r="T110" s="8"/>
      <c r="U110" s="7">
        <f>IF($B110="","",IFERROR(INDEX('Challan Master'!$AA$4:$AA$207,MATCH($B110,'Challan Master'!$S$4:$S$207,0)),""))</f>
      </c>
    </row>
    <row r="111" spans="1:22" x14ac:dyDescent="0.25">
      <c r="A111" s="7">
        <f>IF($C111="","",COUNTIF($C$4:$C111,"&lt;&gt;"))</f>
      </c>
      <c r="B111" s="8"/>
      <c r="C111" s="8"/>
      <c r="D111" s="8"/>
      <c r="E111" s="7">
        <f>IF($C111="","",IF(AND(LEN(TRIM(UPPER(D111)))=10,CODE(MID(TRIM(UPPER(D111)),1,1))&gt;=65,CODE(MID(TRIM(UPPER(D111)),1,1))&lt;=90,CODE(MID(TRIM(UPPER(D111)),2,1))&gt;=65,CODE(MID(TRIM(UPPER(D111)),2,1))&lt;=90,CODE(MID(TRIM(UPPER(D111)),3,1))&gt;=65,CODE(MID(TRIM(UPPER(D111)),3,1))&lt;=90,CODE(MID(TRIM(UPPER(D111)),4,1))&gt;=65,CODE(MID(TRIM(UPPER(D111)),4,1))&lt;=90,CODE(MID(TRIM(UPPER(D111)),5,1))&gt;=65,CODE(MID(TRIM(UPPER(D111)),5,1))&lt;=90,CODE(MID(TRIM(UPPER(D111)),10,1))&gt;=65,CODE(MID(TRIM(UPPER(D111)),10,1))&lt;=90,CODE(MID(TRIM(UPPER(D111)),6,1))&gt;=48,CODE(MID(TRIM(UPPER(D111)),6,1))&lt;=57,CODE(MID(TRIM(UPPER(D111)),7,1))&gt;=48,CODE(MID(TRIM(UPPER(D111)),7,1))&lt;=57,CODE(MID(TRIM(UPPER(D111)),8,1))&gt;=48,CODE(MID(TRIM(UPPER(D111)),8,1))&lt;=57,CODE(MID(TRIM(UPPER(D111)),9,1))&gt;=48,CODE(MID(TRIM(UPPER(D111)),9,1))&lt;=57),"N","Y"))</f>
      </c>
      <c r="F111" s="7">
        <f>IF($C111="","",IF(LEN(D111)&lt;4,"",IF(UPPER(MID(D111,4,1))="P","Individual",IF(UPPER(MID(D111,4,1))="H","HUF",IF(UPPER(MID(D111,4,1))="C","Company",IF(UPPER(MID(D111,4,1))="F","Firm",IF(UPPER(MID(D111,4,1))="L","LLP",IF(UPPER(MID(D111,4,1))="T","Trust",IF(UPPER(MID(D111,4,1))="A","AOP","")))))))))</f>
      </c>
      <c r="G111" s="8"/>
      <c r="H111" s="7">
        <f>IF($C111="","",IF(R111&lt;&gt;"",R111,IF(G111="","",IF(E111="Y",SUMPRODUCT(('Rate Lookup'!$A$1:$A$37=G111)*'Rate Lookup'!$D$1:$D$37),IF(OR(F111="Individual",F111="HUF"),SUMPRODUCT(('Rate Lookup'!$A$1:$A$37=G111)*'Rate Lookup'!$B$1:$B$37),SUMPRODUCT(('Rate Lookup'!$A$1:$A$37=G111)*'Rate Lookup'!$C$1:$C$37)))))))</f>
      </c>
      <c r="I111" s="8"/>
      <c r="J111" s="8"/>
      <c r="K111" s="7">
        <f>IF($C111="","",IF(OR(P111="B",P111="D",P111="E",P111="N",P111="O",P111="P",P111="Q",P111="S",P111="Y",P111="Z"),0,ROUND(J111*H111/100,0)))</f>
      </c>
      <c r="L111" s="7">
        <f>IF($C111="","",0)</f>
      </c>
      <c r="M111" s="7">
        <f>IF($C111="","",0)</f>
      </c>
      <c r="N111" s="7">
        <f>IF($C111="","",IF(OR(K111=0,I111="",IFERROR(INDEX('Challan Master'!$D$4:$D$207,MATCH($B111,'Challan Master'!$S$4:$S$207,0)),"")="",IFERROR(INDEX('Challan Master'!$D$4:$D$207,MATCH($B111,'Challan Master'!$S$4:$S$207,0)),"")&lt;=0),0,IF(IFERROR(INDEX('Challan Master'!$D$4:$D$207,MATCH($B111,'Challan Master'!$S$4:$S$207,0)),"")&lt;=DATE(YEAR(I111),MONTH(I111)+1,7),0,ROUND(K111*0.015*((YEAR(IFERROR(INDEX('Challan Master'!$D$4:$D$207,MATCH($B111,'Challan Master'!$S$4:$S$207,0)),""))-YEAR(I111))*12+(MONTH(IFERROR(INDEX('Challan Master'!$D$4:$D$207,MATCH($B111,'Challan Master'!$S$4:$S$207,0)),""))-MONTH(I111))+1),0))))</f>
      </c>
      <c r="O111" s="7">
        <f>IF($C111="","",0)</f>
      </c>
      <c r="P111" s="8"/>
      <c r="Q111" s="8"/>
      <c r="R111" s="8"/>
      <c r="S111" s="8"/>
      <c r="T111" s="8"/>
      <c r="U111" s="7">
        <f>IF($B111="","",IFERROR(INDEX('Challan Master'!$AA$4:$AA$207,MATCH($B111,'Challan Master'!$S$4:$S$207,0)),""))</f>
      </c>
    </row>
    <row r="112" spans="1:22" x14ac:dyDescent="0.25">
      <c r="A112" s="7">
        <f>IF($C112="","",COUNTIF($C$4:$C112,"&lt;&gt;"))</f>
      </c>
      <c r="B112" s="8"/>
      <c r="C112" s="8"/>
      <c r="D112" s="8"/>
      <c r="E112" s="7">
        <f>IF($C112="","",IF(AND(LEN(TRIM(UPPER(D112)))=10,CODE(MID(TRIM(UPPER(D112)),1,1))&gt;=65,CODE(MID(TRIM(UPPER(D112)),1,1))&lt;=90,CODE(MID(TRIM(UPPER(D112)),2,1))&gt;=65,CODE(MID(TRIM(UPPER(D112)),2,1))&lt;=90,CODE(MID(TRIM(UPPER(D112)),3,1))&gt;=65,CODE(MID(TRIM(UPPER(D112)),3,1))&lt;=90,CODE(MID(TRIM(UPPER(D112)),4,1))&gt;=65,CODE(MID(TRIM(UPPER(D112)),4,1))&lt;=90,CODE(MID(TRIM(UPPER(D112)),5,1))&gt;=65,CODE(MID(TRIM(UPPER(D112)),5,1))&lt;=90,CODE(MID(TRIM(UPPER(D112)),10,1))&gt;=65,CODE(MID(TRIM(UPPER(D112)),10,1))&lt;=90,CODE(MID(TRIM(UPPER(D112)),6,1))&gt;=48,CODE(MID(TRIM(UPPER(D112)),6,1))&lt;=57,CODE(MID(TRIM(UPPER(D112)),7,1))&gt;=48,CODE(MID(TRIM(UPPER(D112)),7,1))&lt;=57,CODE(MID(TRIM(UPPER(D112)),8,1))&gt;=48,CODE(MID(TRIM(UPPER(D112)),8,1))&lt;=57,CODE(MID(TRIM(UPPER(D112)),9,1))&gt;=48,CODE(MID(TRIM(UPPER(D112)),9,1))&lt;=57),"N","Y"))</f>
      </c>
      <c r="F112" s="7">
        <f>IF($C112="","",IF(LEN(D112)&lt;4,"",IF(UPPER(MID(D112,4,1))="P","Individual",IF(UPPER(MID(D112,4,1))="H","HUF",IF(UPPER(MID(D112,4,1))="C","Company",IF(UPPER(MID(D112,4,1))="F","Firm",IF(UPPER(MID(D112,4,1))="L","LLP",IF(UPPER(MID(D112,4,1))="T","Trust",IF(UPPER(MID(D112,4,1))="A","AOP","")))))))))</f>
      </c>
      <c r="G112" s="8"/>
      <c r="H112" s="7">
        <f>IF($C112="","",IF(R112&lt;&gt;"",R112,IF(G112="","",IF(E112="Y",SUMPRODUCT(('Rate Lookup'!$A$1:$A$37=G112)*'Rate Lookup'!$D$1:$D$37),IF(OR(F112="Individual",F112="HUF"),SUMPRODUCT(('Rate Lookup'!$A$1:$A$37=G112)*'Rate Lookup'!$B$1:$B$37),SUMPRODUCT(('Rate Lookup'!$A$1:$A$37=G112)*'Rate Lookup'!$C$1:$C$37)))))))</f>
      </c>
      <c r="I112" s="8"/>
      <c r="J112" s="8"/>
      <c r="K112" s="7">
        <f>IF($C112="","",IF(OR(P112="B",P112="D",P112="E",P112="N",P112="O",P112="P",P112="Q",P112="S",P112="Y",P112="Z"),0,ROUND(J112*H112/100,0)))</f>
      </c>
      <c r="L112" s="7">
        <f>IF($C112="","",0)</f>
      </c>
      <c r="M112" s="7">
        <f>IF($C112="","",0)</f>
      </c>
      <c r="N112" s="7">
        <f>IF($C112="","",IF(OR(K112=0,I112="",IFERROR(INDEX('Challan Master'!$D$4:$D$207,MATCH($B112,'Challan Master'!$S$4:$S$207,0)),"")="",IFERROR(INDEX('Challan Master'!$D$4:$D$207,MATCH($B112,'Challan Master'!$S$4:$S$207,0)),"")&lt;=0),0,IF(IFERROR(INDEX('Challan Master'!$D$4:$D$207,MATCH($B112,'Challan Master'!$S$4:$S$207,0)),"")&lt;=DATE(YEAR(I112),MONTH(I112)+1,7),0,ROUND(K112*0.015*((YEAR(IFERROR(INDEX('Challan Master'!$D$4:$D$207,MATCH($B112,'Challan Master'!$S$4:$S$207,0)),""))-YEAR(I112))*12+(MONTH(IFERROR(INDEX('Challan Master'!$D$4:$D$207,MATCH($B112,'Challan Master'!$S$4:$S$207,0)),""))-MONTH(I112))+1),0))))</f>
      </c>
      <c r="O112" s="7">
        <f>IF($C112="","",0)</f>
      </c>
      <c r="P112" s="8"/>
      <c r="Q112" s="8"/>
      <c r="R112" s="8"/>
      <c r="S112" s="8"/>
      <c r="T112" s="8"/>
      <c r="U112" s="7">
        <f>IF($B112="","",IFERROR(INDEX('Challan Master'!$AA$4:$AA$207,MATCH($B112,'Challan Master'!$S$4:$S$207,0)),""))</f>
      </c>
    </row>
    <row r="113" spans="1:22" x14ac:dyDescent="0.25">
      <c r="A113" s="7">
        <f>IF($C113="","",COUNTIF($C$4:$C113,"&lt;&gt;"))</f>
      </c>
      <c r="B113" s="8"/>
      <c r="C113" s="8"/>
      <c r="D113" s="8"/>
      <c r="E113" s="7">
        <f>IF($C113="","",IF(AND(LEN(TRIM(UPPER(D113)))=10,CODE(MID(TRIM(UPPER(D113)),1,1))&gt;=65,CODE(MID(TRIM(UPPER(D113)),1,1))&lt;=90,CODE(MID(TRIM(UPPER(D113)),2,1))&gt;=65,CODE(MID(TRIM(UPPER(D113)),2,1))&lt;=90,CODE(MID(TRIM(UPPER(D113)),3,1))&gt;=65,CODE(MID(TRIM(UPPER(D113)),3,1))&lt;=90,CODE(MID(TRIM(UPPER(D113)),4,1))&gt;=65,CODE(MID(TRIM(UPPER(D113)),4,1))&lt;=90,CODE(MID(TRIM(UPPER(D113)),5,1))&gt;=65,CODE(MID(TRIM(UPPER(D113)),5,1))&lt;=90,CODE(MID(TRIM(UPPER(D113)),10,1))&gt;=65,CODE(MID(TRIM(UPPER(D113)),10,1))&lt;=90,CODE(MID(TRIM(UPPER(D113)),6,1))&gt;=48,CODE(MID(TRIM(UPPER(D113)),6,1))&lt;=57,CODE(MID(TRIM(UPPER(D113)),7,1))&gt;=48,CODE(MID(TRIM(UPPER(D113)),7,1))&lt;=57,CODE(MID(TRIM(UPPER(D113)),8,1))&gt;=48,CODE(MID(TRIM(UPPER(D113)),8,1))&lt;=57,CODE(MID(TRIM(UPPER(D113)),9,1))&gt;=48,CODE(MID(TRIM(UPPER(D113)),9,1))&lt;=57),"N","Y"))</f>
      </c>
      <c r="F113" s="7">
        <f>IF($C113="","",IF(LEN(D113)&lt;4,"",IF(UPPER(MID(D113,4,1))="P","Individual",IF(UPPER(MID(D113,4,1))="H","HUF",IF(UPPER(MID(D113,4,1))="C","Company",IF(UPPER(MID(D113,4,1))="F","Firm",IF(UPPER(MID(D113,4,1))="L","LLP",IF(UPPER(MID(D113,4,1))="T","Trust",IF(UPPER(MID(D113,4,1))="A","AOP","")))))))))</f>
      </c>
      <c r="G113" s="8"/>
      <c r="H113" s="7">
        <f>IF($C113="","",IF(R113&lt;&gt;"",R113,IF(G113="","",IF(E113="Y",SUMPRODUCT(('Rate Lookup'!$A$1:$A$37=G113)*'Rate Lookup'!$D$1:$D$37),IF(OR(F113="Individual",F113="HUF"),SUMPRODUCT(('Rate Lookup'!$A$1:$A$37=G113)*'Rate Lookup'!$B$1:$B$37),SUMPRODUCT(('Rate Lookup'!$A$1:$A$37=G113)*'Rate Lookup'!$C$1:$C$37)))))))</f>
      </c>
      <c r="I113" s="8"/>
      <c r="J113" s="8"/>
      <c r="K113" s="7">
        <f>IF($C113="","",IF(OR(P113="B",P113="D",P113="E",P113="N",P113="O",P113="P",P113="Q",P113="S",P113="Y",P113="Z"),0,ROUND(J113*H113/100,0)))</f>
      </c>
      <c r="L113" s="7">
        <f>IF($C113="","",0)</f>
      </c>
      <c r="M113" s="7">
        <f>IF($C113="","",0)</f>
      </c>
      <c r="N113" s="7">
        <f>IF($C113="","",IF(OR(K113=0,I113="",IFERROR(INDEX('Challan Master'!$D$4:$D$207,MATCH($B113,'Challan Master'!$S$4:$S$207,0)),"")="",IFERROR(INDEX('Challan Master'!$D$4:$D$207,MATCH($B113,'Challan Master'!$S$4:$S$207,0)),"")&lt;=0),0,IF(IFERROR(INDEX('Challan Master'!$D$4:$D$207,MATCH($B113,'Challan Master'!$S$4:$S$207,0)),"")&lt;=DATE(YEAR(I113),MONTH(I113)+1,7),0,ROUND(K113*0.015*((YEAR(IFERROR(INDEX('Challan Master'!$D$4:$D$207,MATCH($B113,'Challan Master'!$S$4:$S$207,0)),""))-YEAR(I113))*12+(MONTH(IFERROR(INDEX('Challan Master'!$D$4:$D$207,MATCH($B113,'Challan Master'!$S$4:$S$207,0)),""))-MONTH(I113))+1),0))))</f>
      </c>
      <c r="O113" s="7">
        <f>IF($C113="","",0)</f>
      </c>
      <c r="P113" s="8"/>
      <c r="Q113" s="8"/>
      <c r="R113" s="8"/>
      <c r="S113" s="8"/>
      <c r="T113" s="8"/>
      <c r="U113" s="7">
        <f>IF($B113="","",IFERROR(INDEX('Challan Master'!$AA$4:$AA$207,MATCH($B113,'Challan Master'!$S$4:$S$207,0)),""))</f>
      </c>
    </row>
    <row r="114" spans="1:22" x14ac:dyDescent="0.25">
      <c r="A114" s="7">
        <f>IF($C114="","",COUNTIF($C$4:$C114,"&lt;&gt;"))</f>
      </c>
      <c r="B114" s="8"/>
      <c r="C114" s="8"/>
      <c r="D114" s="8"/>
      <c r="E114" s="7">
        <f>IF($C114="","",IF(AND(LEN(TRIM(UPPER(D114)))=10,CODE(MID(TRIM(UPPER(D114)),1,1))&gt;=65,CODE(MID(TRIM(UPPER(D114)),1,1))&lt;=90,CODE(MID(TRIM(UPPER(D114)),2,1))&gt;=65,CODE(MID(TRIM(UPPER(D114)),2,1))&lt;=90,CODE(MID(TRIM(UPPER(D114)),3,1))&gt;=65,CODE(MID(TRIM(UPPER(D114)),3,1))&lt;=90,CODE(MID(TRIM(UPPER(D114)),4,1))&gt;=65,CODE(MID(TRIM(UPPER(D114)),4,1))&lt;=90,CODE(MID(TRIM(UPPER(D114)),5,1))&gt;=65,CODE(MID(TRIM(UPPER(D114)),5,1))&lt;=90,CODE(MID(TRIM(UPPER(D114)),10,1))&gt;=65,CODE(MID(TRIM(UPPER(D114)),10,1))&lt;=90,CODE(MID(TRIM(UPPER(D114)),6,1))&gt;=48,CODE(MID(TRIM(UPPER(D114)),6,1))&lt;=57,CODE(MID(TRIM(UPPER(D114)),7,1))&gt;=48,CODE(MID(TRIM(UPPER(D114)),7,1))&lt;=57,CODE(MID(TRIM(UPPER(D114)),8,1))&gt;=48,CODE(MID(TRIM(UPPER(D114)),8,1))&lt;=57,CODE(MID(TRIM(UPPER(D114)),9,1))&gt;=48,CODE(MID(TRIM(UPPER(D114)),9,1))&lt;=57),"N","Y"))</f>
      </c>
      <c r="F114" s="7">
        <f>IF($C114="","",IF(LEN(D114)&lt;4,"",IF(UPPER(MID(D114,4,1))="P","Individual",IF(UPPER(MID(D114,4,1))="H","HUF",IF(UPPER(MID(D114,4,1))="C","Company",IF(UPPER(MID(D114,4,1))="F","Firm",IF(UPPER(MID(D114,4,1))="L","LLP",IF(UPPER(MID(D114,4,1))="T","Trust",IF(UPPER(MID(D114,4,1))="A","AOP","")))))))))</f>
      </c>
      <c r="G114" s="8"/>
      <c r="H114" s="7">
        <f>IF($C114="","",IF(R114&lt;&gt;"",R114,IF(G114="","",IF(E114="Y",SUMPRODUCT(('Rate Lookup'!$A$1:$A$37=G114)*'Rate Lookup'!$D$1:$D$37),IF(OR(F114="Individual",F114="HUF"),SUMPRODUCT(('Rate Lookup'!$A$1:$A$37=G114)*'Rate Lookup'!$B$1:$B$37),SUMPRODUCT(('Rate Lookup'!$A$1:$A$37=G114)*'Rate Lookup'!$C$1:$C$37)))))))</f>
      </c>
      <c r="I114" s="8"/>
      <c r="J114" s="8"/>
      <c r="K114" s="7">
        <f>IF($C114="","",IF(OR(P114="B",P114="D",P114="E",P114="N",P114="O",P114="P",P114="Q",P114="S",P114="Y",P114="Z"),0,ROUND(J114*H114/100,0)))</f>
      </c>
      <c r="L114" s="7">
        <f>IF($C114="","",0)</f>
      </c>
      <c r="M114" s="7">
        <f>IF($C114="","",0)</f>
      </c>
      <c r="N114" s="7">
        <f>IF($C114="","",IF(OR(K114=0,I114="",IFERROR(INDEX('Challan Master'!$D$4:$D$207,MATCH($B114,'Challan Master'!$S$4:$S$207,0)),"")="",IFERROR(INDEX('Challan Master'!$D$4:$D$207,MATCH($B114,'Challan Master'!$S$4:$S$207,0)),"")&lt;=0),0,IF(IFERROR(INDEX('Challan Master'!$D$4:$D$207,MATCH($B114,'Challan Master'!$S$4:$S$207,0)),"")&lt;=DATE(YEAR(I114),MONTH(I114)+1,7),0,ROUND(K114*0.015*((YEAR(IFERROR(INDEX('Challan Master'!$D$4:$D$207,MATCH($B114,'Challan Master'!$S$4:$S$207,0)),""))-YEAR(I114))*12+(MONTH(IFERROR(INDEX('Challan Master'!$D$4:$D$207,MATCH($B114,'Challan Master'!$S$4:$S$207,0)),""))-MONTH(I114))+1),0))))</f>
      </c>
      <c r="O114" s="7">
        <f>IF($C114="","",0)</f>
      </c>
      <c r="P114" s="8"/>
      <c r="Q114" s="8"/>
      <c r="R114" s="8"/>
      <c r="S114" s="8"/>
      <c r="T114" s="8"/>
      <c r="U114" s="7">
        <f>IF($B114="","",IFERROR(INDEX('Challan Master'!$AA$4:$AA$207,MATCH($B114,'Challan Master'!$S$4:$S$207,0)),""))</f>
      </c>
    </row>
    <row r="115" spans="1:22" x14ac:dyDescent="0.25">
      <c r="A115" s="7">
        <f>IF($C115="","",COUNTIF($C$4:$C115,"&lt;&gt;"))</f>
      </c>
      <c r="B115" s="8"/>
      <c r="C115" s="8"/>
      <c r="D115" s="8"/>
      <c r="E115" s="7">
        <f>IF($C115="","",IF(AND(LEN(TRIM(UPPER(D115)))=10,CODE(MID(TRIM(UPPER(D115)),1,1))&gt;=65,CODE(MID(TRIM(UPPER(D115)),1,1))&lt;=90,CODE(MID(TRIM(UPPER(D115)),2,1))&gt;=65,CODE(MID(TRIM(UPPER(D115)),2,1))&lt;=90,CODE(MID(TRIM(UPPER(D115)),3,1))&gt;=65,CODE(MID(TRIM(UPPER(D115)),3,1))&lt;=90,CODE(MID(TRIM(UPPER(D115)),4,1))&gt;=65,CODE(MID(TRIM(UPPER(D115)),4,1))&lt;=90,CODE(MID(TRIM(UPPER(D115)),5,1))&gt;=65,CODE(MID(TRIM(UPPER(D115)),5,1))&lt;=90,CODE(MID(TRIM(UPPER(D115)),10,1))&gt;=65,CODE(MID(TRIM(UPPER(D115)),10,1))&lt;=90,CODE(MID(TRIM(UPPER(D115)),6,1))&gt;=48,CODE(MID(TRIM(UPPER(D115)),6,1))&lt;=57,CODE(MID(TRIM(UPPER(D115)),7,1))&gt;=48,CODE(MID(TRIM(UPPER(D115)),7,1))&lt;=57,CODE(MID(TRIM(UPPER(D115)),8,1))&gt;=48,CODE(MID(TRIM(UPPER(D115)),8,1))&lt;=57,CODE(MID(TRIM(UPPER(D115)),9,1))&gt;=48,CODE(MID(TRIM(UPPER(D115)),9,1))&lt;=57),"N","Y"))</f>
      </c>
      <c r="F115" s="7">
        <f>IF($C115="","",IF(LEN(D115)&lt;4,"",IF(UPPER(MID(D115,4,1))="P","Individual",IF(UPPER(MID(D115,4,1))="H","HUF",IF(UPPER(MID(D115,4,1))="C","Company",IF(UPPER(MID(D115,4,1))="F","Firm",IF(UPPER(MID(D115,4,1))="L","LLP",IF(UPPER(MID(D115,4,1))="T","Trust",IF(UPPER(MID(D115,4,1))="A","AOP","")))))))))</f>
      </c>
      <c r="G115" s="8"/>
      <c r="H115" s="7">
        <f>IF($C115="","",IF(R115&lt;&gt;"",R115,IF(G115="","",IF(E115="Y",SUMPRODUCT(('Rate Lookup'!$A$1:$A$37=G115)*'Rate Lookup'!$D$1:$D$37),IF(OR(F115="Individual",F115="HUF"),SUMPRODUCT(('Rate Lookup'!$A$1:$A$37=G115)*'Rate Lookup'!$B$1:$B$37),SUMPRODUCT(('Rate Lookup'!$A$1:$A$37=G115)*'Rate Lookup'!$C$1:$C$37)))))))</f>
      </c>
      <c r="I115" s="8"/>
      <c r="J115" s="8"/>
      <c r="K115" s="7">
        <f>IF($C115="","",IF(OR(P115="B",P115="D",P115="E",P115="N",P115="O",P115="P",P115="Q",P115="S",P115="Y",P115="Z"),0,ROUND(J115*H115/100,0)))</f>
      </c>
      <c r="L115" s="7">
        <f>IF($C115="","",0)</f>
      </c>
      <c r="M115" s="7">
        <f>IF($C115="","",0)</f>
      </c>
      <c r="N115" s="7">
        <f>IF($C115="","",IF(OR(K115=0,I115="",IFERROR(INDEX('Challan Master'!$D$4:$D$207,MATCH($B115,'Challan Master'!$S$4:$S$207,0)),"")="",IFERROR(INDEX('Challan Master'!$D$4:$D$207,MATCH($B115,'Challan Master'!$S$4:$S$207,0)),"")&lt;=0),0,IF(IFERROR(INDEX('Challan Master'!$D$4:$D$207,MATCH($B115,'Challan Master'!$S$4:$S$207,0)),"")&lt;=DATE(YEAR(I115),MONTH(I115)+1,7),0,ROUND(K115*0.015*((YEAR(IFERROR(INDEX('Challan Master'!$D$4:$D$207,MATCH($B115,'Challan Master'!$S$4:$S$207,0)),""))-YEAR(I115))*12+(MONTH(IFERROR(INDEX('Challan Master'!$D$4:$D$207,MATCH($B115,'Challan Master'!$S$4:$S$207,0)),""))-MONTH(I115))+1),0))))</f>
      </c>
      <c r="O115" s="7">
        <f>IF($C115="","",0)</f>
      </c>
      <c r="P115" s="8"/>
      <c r="Q115" s="8"/>
      <c r="R115" s="8"/>
      <c r="S115" s="8"/>
      <c r="T115" s="8"/>
      <c r="U115" s="7">
        <f>IF($B115="","",IFERROR(INDEX('Challan Master'!$AA$4:$AA$207,MATCH($B115,'Challan Master'!$S$4:$S$207,0)),""))</f>
      </c>
    </row>
    <row r="116" spans="1:22" x14ac:dyDescent="0.25">
      <c r="A116" s="7">
        <f>IF($C116="","",COUNTIF($C$4:$C116,"&lt;&gt;"))</f>
      </c>
      <c r="B116" s="8"/>
      <c r="C116" s="8"/>
      <c r="D116" s="8"/>
      <c r="E116" s="7">
        <f>IF($C116="","",IF(AND(LEN(TRIM(UPPER(D116)))=10,CODE(MID(TRIM(UPPER(D116)),1,1))&gt;=65,CODE(MID(TRIM(UPPER(D116)),1,1))&lt;=90,CODE(MID(TRIM(UPPER(D116)),2,1))&gt;=65,CODE(MID(TRIM(UPPER(D116)),2,1))&lt;=90,CODE(MID(TRIM(UPPER(D116)),3,1))&gt;=65,CODE(MID(TRIM(UPPER(D116)),3,1))&lt;=90,CODE(MID(TRIM(UPPER(D116)),4,1))&gt;=65,CODE(MID(TRIM(UPPER(D116)),4,1))&lt;=90,CODE(MID(TRIM(UPPER(D116)),5,1))&gt;=65,CODE(MID(TRIM(UPPER(D116)),5,1))&lt;=90,CODE(MID(TRIM(UPPER(D116)),10,1))&gt;=65,CODE(MID(TRIM(UPPER(D116)),10,1))&lt;=90,CODE(MID(TRIM(UPPER(D116)),6,1))&gt;=48,CODE(MID(TRIM(UPPER(D116)),6,1))&lt;=57,CODE(MID(TRIM(UPPER(D116)),7,1))&gt;=48,CODE(MID(TRIM(UPPER(D116)),7,1))&lt;=57,CODE(MID(TRIM(UPPER(D116)),8,1))&gt;=48,CODE(MID(TRIM(UPPER(D116)),8,1))&lt;=57,CODE(MID(TRIM(UPPER(D116)),9,1))&gt;=48,CODE(MID(TRIM(UPPER(D116)),9,1))&lt;=57),"N","Y"))</f>
      </c>
      <c r="F116" s="7">
        <f>IF($C116="","",IF(LEN(D116)&lt;4,"",IF(UPPER(MID(D116,4,1))="P","Individual",IF(UPPER(MID(D116,4,1))="H","HUF",IF(UPPER(MID(D116,4,1))="C","Company",IF(UPPER(MID(D116,4,1))="F","Firm",IF(UPPER(MID(D116,4,1))="L","LLP",IF(UPPER(MID(D116,4,1))="T","Trust",IF(UPPER(MID(D116,4,1))="A","AOP","")))))))))</f>
      </c>
      <c r="G116" s="8"/>
      <c r="H116" s="7">
        <f>IF($C116="","",IF(R116&lt;&gt;"",R116,IF(G116="","",IF(E116="Y",SUMPRODUCT(('Rate Lookup'!$A$1:$A$37=G116)*'Rate Lookup'!$D$1:$D$37),IF(OR(F116="Individual",F116="HUF"),SUMPRODUCT(('Rate Lookup'!$A$1:$A$37=G116)*'Rate Lookup'!$B$1:$B$37),SUMPRODUCT(('Rate Lookup'!$A$1:$A$37=G116)*'Rate Lookup'!$C$1:$C$37)))))))</f>
      </c>
      <c r="I116" s="8"/>
      <c r="J116" s="8"/>
      <c r="K116" s="7">
        <f>IF($C116="","",IF(OR(P116="B",P116="D",P116="E",P116="N",P116="O",P116="P",P116="Q",P116="S",P116="Y",P116="Z"),0,ROUND(J116*H116/100,0)))</f>
      </c>
      <c r="L116" s="7">
        <f>IF($C116="","",0)</f>
      </c>
      <c r="M116" s="7">
        <f>IF($C116="","",0)</f>
      </c>
      <c r="N116" s="7">
        <f>IF($C116="","",IF(OR(K116=0,I116="",IFERROR(INDEX('Challan Master'!$D$4:$D$207,MATCH($B116,'Challan Master'!$S$4:$S$207,0)),"")="",IFERROR(INDEX('Challan Master'!$D$4:$D$207,MATCH($B116,'Challan Master'!$S$4:$S$207,0)),"")&lt;=0),0,IF(IFERROR(INDEX('Challan Master'!$D$4:$D$207,MATCH($B116,'Challan Master'!$S$4:$S$207,0)),"")&lt;=DATE(YEAR(I116),MONTH(I116)+1,7),0,ROUND(K116*0.015*((YEAR(IFERROR(INDEX('Challan Master'!$D$4:$D$207,MATCH($B116,'Challan Master'!$S$4:$S$207,0)),""))-YEAR(I116))*12+(MONTH(IFERROR(INDEX('Challan Master'!$D$4:$D$207,MATCH($B116,'Challan Master'!$S$4:$S$207,0)),""))-MONTH(I116))+1),0))))</f>
      </c>
      <c r="O116" s="7">
        <f>IF($C116="","",0)</f>
      </c>
      <c r="P116" s="8"/>
      <c r="Q116" s="8"/>
      <c r="R116" s="8"/>
      <c r="S116" s="8"/>
      <c r="T116" s="8"/>
      <c r="U116" s="7">
        <f>IF($B116="","",IFERROR(INDEX('Challan Master'!$AA$4:$AA$207,MATCH($B116,'Challan Master'!$S$4:$S$207,0)),""))</f>
      </c>
    </row>
    <row r="117" spans="1:22" x14ac:dyDescent="0.25">
      <c r="A117" s="7">
        <f>IF($C117="","",COUNTIF($C$4:$C117,"&lt;&gt;"))</f>
      </c>
      <c r="B117" s="8"/>
      <c r="C117" s="8"/>
      <c r="D117" s="8"/>
      <c r="E117" s="7">
        <f>IF($C117="","",IF(AND(LEN(TRIM(UPPER(D117)))=10,CODE(MID(TRIM(UPPER(D117)),1,1))&gt;=65,CODE(MID(TRIM(UPPER(D117)),1,1))&lt;=90,CODE(MID(TRIM(UPPER(D117)),2,1))&gt;=65,CODE(MID(TRIM(UPPER(D117)),2,1))&lt;=90,CODE(MID(TRIM(UPPER(D117)),3,1))&gt;=65,CODE(MID(TRIM(UPPER(D117)),3,1))&lt;=90,CODE(MID(TRIM(UPPER(D117)),4,1))&gt;=65,CODE(MID(TRIM(UPPER(D117)),4,1))&lt;=90,CODE(MID(TRIM(UPPER(D117)),5,1))&gt;=65,CODE(MID(TRIM(UPPER(D117)),5,1))&lt;=90,CODE(MID(TRIM(UPPER(D117)),10,1))&gt;=65,CODE(MID(TRIM(UPPER(D117)),10,1))&lt;=90,CODE(MID(TRIM(UPPER(D117)),6,1))&gt;=48,CODE(MID(TRIM(UPPER(D117)),6,1))&lt;=57,CODE(MID(TRIM(UPPER(D117)),7,1))&gt;=48,CODE(MID(TRIM(UPPER(D117)),7,1))&lt;=57,CODE(MID(TRIM(UPPER(D117)),8,1))&gt;=48,CODE(MID(TRIM(UPPER(D117)),8,1))&lt;=57,CODE(MID(TRIM(UPPER(D117)),9,1))&gt;=48,CODE(MID(TRIM(UPPER(D117)),9,1))&lt;=57),"N","Y"))</f>
      </c>
      <c r="F117" s="7">
        <f>IF($C117="","",IF(LEN(D117)&lt;4,"",IF(UPPER(MID(D117,4,1))="P","Individual",IF(UPPER(MID(D117,4,1))="H","HUF",IF(UPPER(MID(D117,4,1))="C","Company",IF(UPPER(MID(D117,4,1))="F","Firm",IF(UPPER(MID(D117,4,1))="L","LLP",IF(UPPER(MID(D117,4,1))="T","Trust",IF(UPPER(MID(D117,4,1))="A","AOP","")))))))))</f>
      </c>
      <c r="G117" s="8"/>
      <c r="H117" s="7">
        <f>IF($C117="","",IF(R117&lt;&gt;"",R117,IF(G117="","",IF(E117="Y",SUMPRODUCT(('Rate Lookup'!$A$1:$A$37=G117)*'Rate Lookup'!$D$1:$D$37),IF(OR(F117="Individual",F117="HUF"),SUMPRODUCT(('Rate Lookup'!$A$1:$A$37=G117)*'Rate Lookup'!$B$1:$B$37),SUMPRODUCT(('Rate Lookup'!$A$1:$A$37=G117)*'Rate Lookup'!$C$1:$C$37)))))))</f>
      </c>
      <c r="I117" s="8"/>
      <c r="J117" s="8"/>
      <c r="K117" s="7">
        <f>IF($C117="","",IF(OR(P117="B",P117="D",P117="E",P117="N",P117="O",P117="P",P117="Q",P117="S",P117="Y",P117="Z"),0,ROUND(J117*H117/100,0)))</f>
      </c>
      <c r="L117" s="7">
        <f>IF($C117="","",0)</f>
      </c>
      <c r="M117" s="7">
        <f>IF($C117="","",0)</f>
      </c>
      <c r="N117" s="7">
        <f>IF($C117="","",IF(OR(K117=0,I117="",IFERROR(INDEX('Challan Master'!$D$4:$D$207,MATCH($B117,'Challan Master'!$S$4:$S$207,0)),"")="",IFERROR(INDEX('Challan Master'!$D$4:$D$207,MATCH($B117,'Challan Master'!$S$4:$S$207,0)),"")&lt;=0),0,IF(IFERROR(INDEX('Challan Master'!$D$4:$D$207,MATCH($B117,'Challan Master'!$S$4:$S$207,0)),"")&lt;=DATE(YEAR(I117),MONTH(I117)+1,7),0,ROUND(K117*0.015*((YEAR(IFERROR(INDEX('Challan Master'!$D$4:$D$207,MATCH($B117,'Challan Master'!$S$4:$S$207,0)),""))-YEAR(I117))*12+(MONTH(IFERROR(INDEX('Challan Master'!$D$4:$D$207,MATCH($B117,'Challan Master'!$S$4:$S$207,0)),""))-MONTH(I117))+1),0))))</f>
      </c>
      <c r="O117" s="7">
        <f>IF($C117="","",0)</f>
      </c>
      <c r="P117" s="8"/>
      <c r="Q117" s="8"/>
      <c r="R117" s="8"/>
      <c r="S117" s="8"/>
      <c r="T117" s="8"/>
      <c r="U117" s="7">
        <f>IF($B117="","",IFERROR(INDEX('Challan Master'!$AA$4:$AA$207,MATCH($B117,'Challan Master'!$S$4:$S$207,0)),""))</f>
      </c>
    </row>
    <row r="118" spans="1:22" x14ac:dyDescent="0.25">
      <c r="A118" s="7">
        <f>IF($C118="","",COUNTIF($C$4:$C118,"&lt;&gt;"))</f>
      </c>
      <c r="B118" s="8"/>
      <c r="C118" s="8"/>
      <c r="D118" s="8"/>
      <c r="E118" s="7">
        <f>IF($C118="","",IF(AND(LEN(TRIM(UPPER(D118)))=10,CODE(MID(TRIM(UPPER(D118)),1,1))&gt;=65,CODE(MID(TRIM(UPPER(D118)),1,1))&lt;=90,CODE(MID(TRIM(UPPER(D118)),2,1))&gt;=65,CODE(MID(TRIM(UPPER(D118)),2,1))&lt;=90,CODE(MID(TRIM(UPPER(D118)),3,1))&gt;=65,CODE(MID(TRIM(UPPER(D118)),3,1))&lt;=90,CODE(MID(TRIM(UPPER(D118)),4,1))&gt;=65,CODE(MID(TRIM(UPPER(D118)),4,1))&lt;=90,CODE(MID(TRIM(UPPER(D118)),5,1))&gt;=65,CODE(MID(TRIM(UPPER(D118)),5,1))&lt;=90,CODE(MID(TRIM(UPPER(D118)),10,1))&gt;=65,CODE(MID(TRIM(UPPER(D118)),10,1))&lt;=90,CODE(MID(TRIM(UPPER(D118)),6,1))&gt;=48,CODE(MID(TRIM(UPPER(D118)),6,1))&lt;=57,CODE(MID(TRIM(UPPER(D118)),7,1))&gt;=48,CODE(MID(TRIM(UPPER(D118)),7,1))&lt;=57,CODE(MID(TRIM(UPPER(D118)),8,1))&gt;=48,CODE(MID(TRIM(UPPER(D118)),8,1))&lt;=57,CODE(MID(TRIM(UPPER(D118)),9,1))&gt;=48,CODE(MID(TRIM(UPPER(D118)),9,1))&lt;=57),"N","Y"))</f>
      </c>
      <c r="F118" s="7">
        <f>IF($C118="","",IF(LEN(D118)&lt;4,"",IF(UPPER(MID(D118,4,1))="P","Individual",IF(UPPER(MID(D118,4,1))="H","HUF",IF(UPPER(MID(D118,4,1))="C","Company",IF(UPPER(MID(D118,4,1))="F","Firm",IF(UPPER(MID(D118,4,1))="L","LLP",IF(UPPER(MID(D118,4,1))="T","Trust",IF(UPPER(MID(D118,4,1))="A","AOP","")))))))))</f>
      </c>
      <c r="G118" s="8"/>
      <c r="H118" s="7">
        <f>IF($C118="","",IF(R118&lt;&gt;"",R118,IF(G118="","",IF(E118="Y",SUMPRODUCT(('Rate Lookup'!$A$1:$A$37=G118)*'Rate Lookup'!$D$1:$D$37),IF(OR(F118="Individual",F118="HUF"),SUMPRODUCT(('Rate Lookup'!$A$1:$A$37=G118)*'Rate Lookup'!$B$1:$B$37),SUMPRODUCT(('Rate Lookup'!$A$1:$A$37=G118)*'Rate Lookup'!$C$1:$C$37)))))))</f>
      </c>
      <c r="I118" s="8"/>
      <c r="J118" s="8"/>
      <c r="K118" s="7">
        <f>IF($C118="","",IF(OR(P118="B",P118="D",P118="E",P118="N",P118="O",P118="P",P118="Q",P118="S",P118="Y",P118="Z"),0,ROUND(J118*H118/100,0)))</f>
      </c>
      <c r="L118" s="7">
        <f>IF($C118="","",0)</f>
      </c>
      <c r="M118" s="7">
        <f>IF($C118="","",0)</f>
      </c>
      <c r="N118" s="7">
        <f>IF($C118="","",IF(OR(K118=0,I118="",IFERROR(INDEX('Challan Master'!$D$4:$D$207,MATCH($B118,'Challan Master'!$S$4:$S$207,0)),"")="",IFERROR(INDEX('Challan Master'!$D$4:$D$207,MATCH($B118,'Challan Master'!$S$4:$S$207,0)),"")&lt;=0),0,IF(IFERROR(INDEX('Challan Master'!$D$4:$D$207,MATCH($B118,'Challan Master'!$S$4:$S$207,0)),"")&lt;=DATE(YEAR(I118),MONTH(I118)+1,7),0,ROUND(K118*0.015*((YEAR(IFERROR(INDEX('Challan Master'!$D$4:$D$207,MATCH($B118,'Challan Master'!$S$4:$S$207,0)),""))-YEAR(I118))*12+(MONTH(IFERROR(INDEX('Challan Master'!$D$4:$D$207,MATCH($B118,'Challan Master'!$S$4:$S$207,0)),""))-MONTH(I118))+1),0))))</f>
      </c>
      <c r="O118" s="7">
        <f>IF($C118="","",0)</f>
      </c>
      <c r="P118" s="8"/>
      <c r="Q118" s="8"/>
      <c r="R118" s="8"/>
      <c r="S118" s="8"/>
      <c r="T118" s="8"/>
      <c r="U118" s="7">
        <f>IF($B118="","",IFERROR(INDEX('Challan Master'!$AA$4:$AA$207,MATCH($B118,'Challan Master'!$S$4:$S$207,0)),""))</f>
      </c>
    </row>
    <row r="119" spans="1:22" x14ac:dyDescent="0.25">
      <c r="A119" s="7">
        <f>IF($C119="","",COUNTIF($C$4:$C119,"&lt;&gt;"))</f>
      </c>
      <c r="B119" s="8"/>
      <c r="C119" s="8"/>
      <c r="D119" s="8"/>
      <c r="E119" s="7">
        <f>IF($C119="","",IF(AND(LEN(TRIM(UPPER(D119)))=10,CODE(MID(TRIM(UPPER(D119)),1,1))&gt;=65,CODE(MID(TRIM(UPPER(D119)),1,1))&lt;=90,CODE(MID(TRIM(UPPER(D119)),2,1))&gt;=65,CODE(MID(TRIM(UPPER(D119)),2,1))&lt;=90,CODE(MID(TRIM(UPPER(D119)),3,1))&gt;=65,CODE(MID(TRIM(UPPER(D119)),3,1))&lt;=90,CODE(MID(TRIM(UPPER(D119)),4,1))&gt;=65,CODE(MID(TRIM(UPPER(D119)),4,1))&lt;=90,CODE(MID(TRIM(UPPER(D119)),5,1))&gt;=65,CODE(MID(TRIM(UPPER(D119)),5,1))&lt;=90,CODE(MID(TRIM(UPPER(D119)),10,1))&gt;=65,CODE(MID(TRIM(UPPER(D119)),10,1))&lt;=90,CODE(MID(TRIM(UPPER(D119)),6,1))&gt;=48,CODE(MID(TRIM(UPPER(D119)),6,1))&lt;=57,CODE(MID(TRIM(UPPER(D119)),7,1))&gt;=48,CODE(MID(TRIM(UPPER(D119)),7,1))&lt;=57,CODE(MID(TRIM(UPPER(D119)),8,1))&gt;=48,CODE(MID(TRIM(UPPER(D119)),8,1))&lt;=57,CODE(MID(TRIM(UPPER(D119)),9,1))&gt;=48,CODE(MID(TRIM(UPPER(D119)),9,1))&lt;=57),"N","Y"))</f>
      </c>
      <c r="F119" s="7">
        <f>IF($C119="","",IF(LEN(D119)&lt;4,"",IF(UPPER(MID(D119,4,1))="P","Individual",IF(UPPER(MID(D119,4,1))="H","HUF",IF(UPPER(MID(D119,4,1))="C","Company",IF(UPPER(MID(D119,4,1))="F","Firm",IF(UPPER(MID(D119,4,1))="L","LLP",IF(UPPER(MID(D119,4,1))="T","Trust",IF(UPPER(MID(D119,4,1))="A","AOP","")))))))))</f>
      </c>
      <c r="G119" s="8"/>
      <c r="H119" s="7">
        <f>IF($C119="","",IF(R119&lt;&gt;"",R119,IF(G119="","",IF(E119="Y",SUMPRODUCT(('Rate Lookup'!$A$1:$A$37=G119)*'Rate Lookup'!$D$1:$D$37),IF(OR(F119="Individual",F119="HUF"),SUMPRODUCT(('Rate Lookup'!$A$1:$A$37=G119)*'Rate Lookup'!$B$1:$B$37),SUMPRODUCT(('Rate Lookup'!$A$1:$A$37=G119)*'Rate Lookup'!$C$1:$C$37)))))))</f>
      </c>
      <c r="I119" s="8"/>
      <c r="J119" s="8"/>
      <c r="K119" s="7">
        <f>IF($C119="","",IF(OR(P119="B",P119="D",P119="E",P119="N",P119="O",P119="P",P119="Q",P119="S",P119="Y",P119="Z"),0,ROUND(J119*H119/100,0)))</f>
      </c>
      <c r="L119" s="7">
        <f>IF($C119="","",0)</f>
      </c>
      <c r="M119" s="7">
        <f>IF($C119="","",0)</f>
      </c>
      <c r="N119" s="7">
        <f>IF($C119="","",IF(OR(K119=0,I119="",IFERROR(INDEX('Challan Master'!$D$4:$D$207,MATCH($B119,'Challan Master'!$S$4:$S$207,0)),"")="",IFERROR(INDEX('Challan Master'!$D$4:$D$207,MATCH($B119,'Challan Master'!$S$4:$S$207,0)),"")&lt;=0),0,IF(IFERROR(INDEX('Challan Master'!$D$4:$D$207,MATCH($B119,'Challan Master'!$S$4:$S$207,0)),"")&lt;=DATE(YEAR(I119),MONTH(I119)+1,7),0,ROUND(K119*0.015*((YEAR(IFERROR(INDEX('Challan Master'!$D$4:$D$207,MATCH($B119,'Challan Master'!$S$4:$S$207,0)),""))-YEAR(I119))*12+(MONTH(IFERROR(INDEX('Challan Master'!$D$4:$D$207,MATCH($B119,'Challan Master'!$S$4:$S$207,0)),""))-MONTH(I119))+1),0))))</f>
      </c>
      <c r="O119" s="7">
        <f>IF($C119="","",0)</f>
      </c>
      <c r="P119" s="8"/>
      <c r="Q119" s="8"/>
      <c r="R119" s="8"/>
      <c r="S119" s="8"/>
      <c r="T119" s="8"/>
      <c r="U119" s="7">
        <f>IF($B119="","",IFERROR(INDEX('Challan Master'!$AA$4:$AA$207,MATCH($B119,'Challan Master'!$S$4:$S$207,0)),""))</f>
      </c>
    </row>
    <row r="120" spans="1:22" x14ac:dyDescent="0.25">
      <c r="A120" s="7">
        <f>IF($C120="","",COUNTIF($C$4:$C120,"&lt;&gt;"))</f>
      </c>
      <c r="B120" s="8"/>
      <c r="C120" s="8"/>
      <c r="D120" s="8"/>
      <c r="E120" s="7">
        <f>IF($C120="","",IF(AND(LEN(TRIM(UPPER(D120)))=10,CODE(MID(TRIM(UPPER(D120)),1,1))&gt;=65,CODE(MID(TRIM(UPPER(D120)),1,1))&lt;=90,CODE(MID(TRIM(UPPER(D120)),2,1))&gt;=65,CODE(MID(TRIM(UPPER(D120)),2,1))&lt;=90,CODE(MID(TRIM(UPPER(D120)),3,1))&gt;=65,CODE(MID(TRIM(UPPER(D120)),3,1))&lt;=90,CODE(MID(TRIM(UPPER(D120)),4,1))&gt;=65,CODE(MID(TRIM(UPPER(D120)),4,1))&lt;=90,CODE(MID(TRIM(UPPER(D120)),5,1))&gt;=65,CODE(MID(TRIM(UPPER(D120)),5,1))&lt;=90,CODE(MID(TRIM(UPPER(D120)),10,1))&gt;=65,CODE(MID(TRIM(UPPER(D120)),10,1))&lt;=90,CODE(MID(TRIM(UPPER(D120)),6,1))&gt;=48,CODE(MID(TRIM(UPPER(D120)),6,1))&lt;=57,CODE(MID(TRIM(UPPER(D120)),7,1))&gt;=48,CODE(MID(TRIM(UPPER(D120)),7,1))&lt;=57,CODE(MID(TRIM(UPPER(D120)),8,1))&gt;=48,CODE(MID(TRIM(UPPER(D120)),8,1))&lt;=57,CODE(MID(TRIM(UPPER(D120)),9,1))&gt;=48,CODE(MID(TRIM(UPPER(D120)),9,1))&lt;=57),"N","Y"))</f>
      </c>
      <c r="F120" s="7">
        <f>IF($C120="","",IF(LEN(D120)&lt;4,"",IF(UPPER(MID(D120,4,1))="P","Individual",IF(UPPER(MID(D120,4,1))="H","HUF",IF(UPPER(MID(D120,4,1))="C","Company",IF(UPPER(MID(D120,4,1))="F","Firm",IF(UPPER(MID(D120,4,1))="L","LLP",IF(UPPER(MID(D120,4,1))="T","Trust",IF(UPPER(MID(D120,4,1))="A","AOP","")))))))))</f>
      </c>
      <c r="G120" s="8"/>
      <c r="H120" s="7">
        <f>IF($C120="","",IF(R120&lt;&gt;"",R120,IF(G120="","",IF(E120="Y",SUMPRODUCT(('Rate Lookup'!$A$1:$A$37=G120)*'Rate Lookup'!$D$1:$D$37),IF(OR(F120="Individual",F120="HUF"),SUMPRODUCT(('Rate Lookup'!$A$1:$A$37=G120)*'Rate Lookup'!$B$1:$B$37),SUMPRODUCT(('Rate Lookup'!$A$1:$A$37=G120)*'Rate Lookup'!$C$1:$C$37)))))))</f>
      </c>
      <c r="I120" s="8"/>
      <c r="J120" s="8"/>
      <c r="K120" s="7">
        <f>IF($C120="","",IF(OR(P120="B",P120="D",P120="E",P120="N",P120="O",P120="P",P120="Q",P120="S",P120="Y",P120="Z"),0,ROUND(J120*H120/100,0)))</f>
      </c>
      <c r="L120" s="7">
        <f>IF($C120="","",0)</f>
      </c>
      <c r="M120" s="7">
        <f>IF($C120="","",0)</f>
      </c>
      <c r="N120" s="7">
        <f>IF($C120="","",IF(OR(K120=0,I120="",IFERROR(INDEX('Challan Master'!$D$4:$D$207,MATCH($B120,'Challan Master'!$S$4:$S$207,0)),"")="",IFERROR(INDEX('Challan Master'!$D$4:$D$207,MATCH($B120,'Challan Master'!$S$4:$S$207,0)),"")&lt;=0),0,IF(IFERROR(INDEX('Challan Master'!$D$4:$D$207,MATCH($B120,'Challan Master'!$S$4:$S$207,0)),"")&lt;=DATE(YEAR(I120),MONTH(I120)+1,7),0,ROUND(K120*0.015*((YEAR(IFERROR(INDEX('Challan Master'!$D$4:$D$207,MATCH($B120,'Challan Master'!$S$4:$S$207,0)),""))-YEAR(I120))*12+(MONTH(IFERROR(INDEX('Challan Master'!$D$4:$D$207,MATCH($B120,'Challan Master'!$S$4:$S$207,0)),""))-MONTH(I120))+1),0))))</f>
      </c>
      <c r="O120" s="7">
        <f>IF($C120="","",0)</f>
      </c>
      <c r="P120" s="8"/>
      <c r="Q120" s="8"/>
      <c r="R120" s="8"/>
      <c r="S120" s="8"/>
      <c r="T120" s="8"/>
      <c r="U120" s="7">
        <f>IF($B120="","",IFERROR(INDEX('Challan Master'!$AA$4:$AA$207,MATCH($B120,'Challan Master'!$S$4:$S$207,0)),""))</f>
      </c>
    </row>
    <row r="121" spans="1:22" x14ac:dyDescent="0.25">
      <c r="A121" s="7">
        <f>IF($C121="","",COUNTIF($C$4:$C121,"&lt;&gt;"))</f>
      </c>
      <c r="B121" s="8"/>
      <c r="C121" s="8"/>
      <c r="D121" s="8"/>
      <c r="E121" s="7">
        <f>IF($C121="","",IF(AND(LEN(TRIM(UPPER(D121)))=10,CODE(MID(TRIM(UPPER(D121)),1,1))&gt;=65,CODE(MID(TRIM(UPPER(D121)),1,1))&lt;=90,CODE(MID(TRIM(UPPER(D121)),2,1))&gt;=65,CODE(MID(TRIM(UPPER(D121)),2,1))&lt;=90,CODE(MID(TRIM(UPPER(D121)),3,1))&gt;=65,CODE(MID(TRIM(UPPER(D121)),3,1))&lt;=90,CODE(MID(TRIM(UPPER(D121)),4,1))&gt;=65,CODE(MID(TRIM(UPPER(D121)),4,1))&lt;=90,CODE(MID(TRIM(UPPER(D121)),5,1))&gt;=65,CODE(MID(TRIM(UPPER(D121)),5,1))&lt;=90,CODE(MID(TRIM(UPPER(D121)),10,1))&gt;=65,CODE(MID(TRIM(UPPER(D121)),10,1))&lt;=90,CODE(MID(TRIM(UPPER(D121)),6,1))&gt;=48,CODE(MID(TRIM(UPPER(D121)),6,1))&lt;=57,CODE(MID(TRIM(UPPER(D121)),7,1))&gt;=48,CODE(MID(TRIM(UPPER(D121)),7,1))&lt;=57,CODE(MID(TRIM(UPPER(D121)),8,1))&gt;=48,CODE(MID(TRIM(UPPER(D121)),8,1))&lt;=57,CODE(MID(TRIM(UPPER(D121)),9,1))&gt;=48,CODE(MID(TRIM(UPPER(D121)),9,1))&lt;=57),"N","Y"))</f>
      </c>
      <c r="F121" s="7">
        <f>IF($C121="","",IF(LEN(D121)&lt;4,"",IF(UPPER(MID(D121,4,1))="P","Individual",IF(UPPER(MID(D121,4,1))="H","HUF",IF(UPPER(MID(D121,4,1))="C","Company",IF(UPPER(MID(D121,4,1))="F","Firm",IF(UPPER(MID(D121,4,1))="L","LLP",IF(UPPER(MID(D121,4,1))="T","Trust",IF(UPPER(MID(D121,4,1))="A","AOP","")))))))))</f>
      </c>
      <c r="G121" s="8"/>
      <c r="H121" s="7">
        <f>IF($C121="","",IF(R121&lt;&gt;"",R121,IF(G121="","",IF(E121="Y",SUMPRODUCT(('Rate Lookup'!$A$1:$A$37=G121)*'Rate Lookup'!$D$1:$D$37),IF(OR(F121="Individual",F121="HUF"),SUMPRODUCT(('Rate Lookup'!$A$1:$A$37=G121)*'Rate Lookup'!$B$1:$B$37),SUMPRODUCT(('Rate Lookup'!$A$1:$A$37=G121)*'Rate Lookup'!$C$1:$C$37)))))))</f>
      </c>
      <c r="I121" s="8"/>
      <c r="J121" s="8"/>
      <c r="K121" s="7">
        <f>IF($C121="","",IF(OR(P121="B",P121="D",P121="E",P121="N",P121="O",P121="P",P121="Q",P121="S",P121="Y",P121="Z"),0,ROUND(J121*H121/100,0)))</f>
      </c>
      <c r="L121" s="7">
        <f>IF($C121="","",0)</f>
      </c>
      <c r="M121" s="7">
        <f>IF($C121="","",0)</f>
      </c>
      <c r="N121" s="7">
        <f>IF($C121="","",IF(OR(K121=0,I121="",IFERROR(INDEX('Challan Master'!$D$4:$D$207,MATCH($B121,'Challan Master'!$S$4:$S$207,0)),"")="",IFERROR(INDEX('Challan Master'!$D$4:$D$207,MATCH($B121,'Challan Master'!$S$4:$S$207,0)),"")&lt;=0),0,IF(IFERROR(INDEX('Challan Master'!$D$4:$D$207,MATCH($B121,'Challan Master'!$S$4:$S$207,0)),"")&lt;=DATE(YEAR(I121),MONTH(I121)+1,7),0,ROUND(K121*0.015*((YEAR(IFERROR(INDEX('Challan Master'!$D$4:$D$207,MATCH($B121,'Challan Master'!$S$4:$S$207,0)),""))-YEAR(I121))*12+(MONTH(IFERROR(INDEX('Challan Master'!$D$4:$D$207,MATCH($B121,'Challan Master'!$S$4:$S$207,0)),""))-MONTH(I121))+1),0))))</f>
      </c>
      <c r="O121" s="7">
        <f>IF($C121="","",0)</f>
      </c>
      <c r="P121" s="8"/>
      <c r="Q121" s="8"/>
      <c r="R121" s="8"/>
      <c r="S121" s="8"/>
      <c r="T121" s="8"/>
      <c r="U121" s="7">
        <f>IF($B121="","",IFERROR(INDEX('Challan Master'!$AA$4:$AA$207,MATCH($B121,'Challan Master'!$S$4:$S$207,0)),""))</f>
      </c>
    </row>
    <row r="122" spans="1:22" x14ac:dyDescent="0.25">
      <c r="A122" s="7">
        <f>IF($C122="","",COUNTIF($C$4:$C122,"&lt;&gt;"))</f>
      </c>
      <c r="B122" s="8"/>
      <c r="C122" s="8"/>
      <c r="D122" s="8"/>
      <c r="E122" s="7">
        <f>IF($C122="","",IF(AND(LEN(TRIM(UPPER(D122)))=10,CODE(MID(TRIM(UPPER(D122)),1,1))&gt;=65,CODE(MID(TRIM(UPPER(D122)),1,1))&lt;=90,CODE(MID(TRIM(UPPER(D122)),2,1))&gt;=65,CODE(MID(TRIM(UPPER(D122)),2,1))&lt;=90,CODE(MID(TRIM(UPPER(D122)),3,1))&gt;=65,CODE(MID(TRIM(UPPER(D122)),3,1))&lt;=90,CODE(MID(TRIM(UPPER(D122)),4,1))&gt;=65,CODE(MID(TRIM(UPPER(D122)),4,1))&lt;=90,CODE(MID(TRIM(UPPER(D122)),5,1))&gt;=65,CODE(MID(TRIM(UPPER(D122)),5,1))&lt;=90,CODE(MID(TRIM(UPPER(D122)),10,1))&gt;=65,CODE(MID(TRIM(UPPER(D122)),10,1))&lt;=90,CODE(MID(TRIM(UPPER(D122)),6,1))&gt;=48,CODE(MID(TRIM(UPPER(D122)),6,1))&lt;=57,CODE(MID(TRIM(UPPER(D122)),7,1))&gt;=48,CODE(MID(TRIM(UPPER(D122)),7,1))&lt;=57,CODE(MID(TRIM(UPPER(D122)),8,1))&gt;=48,CODE(MID(TRIM(UPPER(D122)),8,1))&lt;=57,CODE(MID(TRIM(UPPER(D122)),9,1))&gt;=48,CODE(MID(TRIM(UPPER(D122)),9,1))&lt;=57),"N","Y"))</f>
      </c>
      <c r="F122" s="7">
        <f>IF($C122="","",IF(LEN(D122)&lt;4,"",IF(UPPER(MID(D122,4,1))="P","Individual",IF(UPPER(MID(D122,4,1))="H","HUF",IF(UPPER(MID(D122,4,1))="C","Company",IF(UPPER(MID(D122,4,1))="F","Firm",IF(UPPER(MID(D122,4,1))="L","LLP",IF(UPPER(MID(D122,4,1))="T","Trust",IF(UPPER(MID(D122,4,1))="A","AOP","")))))))))</f>
      </c>
      <c r="G122" s="8"/>
      <c r="H122" s="7">
        <f>IF($C122="","",IF(R122&lt;&gt;"",R122,IF(G122="","",IF(E122="Y",SUMPRODUCT(('Rate Lookup'!$A$1:$A$37=G122)*'Rate Lookup'!$D$1:$D$37),IF(OR(F122="Individual",F122="HUF"),SUMPRODUCT(('Rate Lookup'!$A$1:$A$37=G122)*'Rate Lookup'!$B$1:$B$37),SUMPRODUCT(('Rate Lookup'!$A$1:$A$37=G122)*'Rate Lookup'!$C$1:$C$37)))))))</f>
      </c>
      <c r="I122" s="8"/>
      <c r="J122" s="8"/>
      <c r="K122" s="7">
        <f>IF($C122="","",IF(OR(P122="B",P122="D",P122="E",P122="N",P122="O",P122="P",P122="Q",P122="S",P122="Y",P122="Z"),0,ROUND(J122*H122/100,0)))</f>
      </c>
      <c r="L122" s="7">
        <f>IF($C122="","",0)</f>
      </c>
      <c r="M122" s="7">
        <f>IF($C122="","",0)</f>
      </c>
      <c r="N122" s="7">
        <f>IF($C122="","",IF(OR(K122=0,I122="",IFERROR(INDEX('Challan Master'!$D$4:$D$207,MATCH($B122,'Challan Master'!$S$4:$S$207,0)),"")="",IFERROR(INDEX('Challan Master'!$D$4:$D$207,MATCH($B122,'Challan Master'!$S$4:$S$207,0)),"")&lt;=0),0,IF(IFERROR(INDEX('Challan Master'!$D$4:$D$207,MATCH($B122,'Challan Master'!$S$4:$S$207,0)),"")&lt;=DATE(YEAR(I122),MONTH(I122)+1,7),0,ROUND(K122*0.015*((YEAR(IFERROR(INDEX('Challan Master'!$D$4:$D$207,MATCH($B122,'Challan Master'!$S$4:$S$207,0)),""))-YEAR(I122))*12+(MONTH(IFERROR(INDEX('Challan Master'!$D$4:$D$207,MATCH($B122,'Challan Master'!$S$4:$S$207,0)),""))-MONTH(I122))+1),0))))</f>
      </c>
      <c r="O122" s="7">
        <f>IF($C122="","",0)</f>
      </c>
      <c r="P122" s="8"/>
      <c r="Q122" s="8"/>
      <c r="R122" s="8"/>
      <c r="S122" s="8"/>
      <c r="T122" s="8"/>
      <c r="U122" s="7">
        <f>IF($B122="","",IFERROR(INDEX('Challan Master'!$AA$4:$AA$207,MATCH($B122,'Challan Master'!$S$4:$S$207,0)),""))</f>
      </c>
    </row>
    <row r="123" spans="1:22" x14ac:dyDescent="0.25">
      <c r="A123" s="7">
        <f>IF($C123="","",COUNTIF($C$4:$C123,"&lt;&gt;"))</f>
      </c>
      <c r="B123" s="8"/>
      <c r="C123" s="8"/>
      <c r="D123" s="8"/>
      <c r="E123" s="7">
        <f>IF($C123="","",IF(AND(LEN(TRIM(UPPER(D123)))=10,CODE(MID(TRIM(UPPER(D123)),1,1))&gt;=65,CODE(MID(TRIM(UPPER(D123)),1,1))&lt;=90,CODE(MID(TRIM(UPPER(D123)),2,1))&gt;=65,CODE(MID(TRIM(UPPER(D123)),2,1))&lt;=90,CODE(MID(TRIM(UPPER(D123)),3,1))&gt;=65,CODE(MID(TRIM(UPPER(D123)),3,1))&lt;=90,CODE(MID(TRIM(UPPER(D123)),4,1))&gt;=65,CODE(MID(TRIM(UPPER(D123)),4,1))&lt;=90,CODE(MID(TRIM(UPPER(D123)),5,1))&gt;=65,CODE(MID(TRIM(UPPER(D123)),5,1))&lt;=90,CODE(MID(TRIM(UPPER(D123)),10,1))&gt;=65,CODE(MID(TRIM(UPPER(D123)),10,1))&lt;=90,CODE(MID(TRIM(UPPER(D123)),6,1))&gt;=48,CODE(MID(TRIM(UPPER(D123)),6,1))&lt;=57,CODE(MID(TRIM(UPPER(D123)),7,1))&gt;=48,CODE(MID(TRIM(UPPER(D123)),7,1))&lt;=57,CODE(MID(TRIM(UPPER(D123)),8,1))&gt;=48,CODE(MID(TRIM(UPPER(D123)),8,1))&lt;=57,CODE(MID(TRIM(UPPER(D123)),9,1))&gt;=48,CODE(MID(TRIM(UPPER(D123)),9,1))&lt;=57),"N","Y"))</f>
      </c>
      <c r="F123" s="7">
        <f>IF($C123="","",IF(LEN(D123)&lt;4,"",IF(UPPER(MID(D123,4,1))="P","Individual",IF(UPPER(MID(D123,4,1))="H","HUF",IF(UPPER(MID(D123,4,1))="C","Company",IF(UPPER(MID(D123,4,1))="F","Firm",IF(UPPER(MID(D123,4,1))="L","LLP",IF(UPPER(MID(D123,4,1))="T","Trust",IF(UPPER(MID(D123,4,1))="A","AOP","")))))))))</f>
      </c>
      <c r="G123" s="8"/>
      <c r="H123" s="7">
        <f>IF($C123="","",IF(R123&lt;&gt;"",R123,IF(G123="","",IF(E123="Y",SUMPRODUCT(('Rate Lookup'!$A$1:$A$37=G123)*'Rate Lookup'!$D$1:$D$37),IF(OR(F123="Individual",F123="HUF"),SUMPRODUCT(('Rate Lookup'!$A$1:$A$37=G123)*'Rate Lookup'!$B$1:$B$37),SUMPRODUCT(('Rate Lookup'!$A$1:$A$37=G123)*'Rate Lookup'!$C$1:$C$37)))))))</f>
      </c>
      <c r="I123" s="8"/>
      <c r="J123" s="8"/>
      <c r="K123" s="7">
        <f>IF($C123="","",IF(OR(P123="B",P123="D",P123="E",P123="N",P123="O",P123="P",P123="Q",P123="S",P123="Y",P123="Z"),0,ROUND(J123*H123/100,0)))</f>
      </c>
      <c r="L123" s="7">
        <f>IF($C123="","",0)</f>
      </c>
      <c r="M123" s="7">
        <f>IF($C123="","",0)</f>
      </c>
      <c r="N123" s="7">
        <f>IF($C123="","",IF(OR(K123=0,I123="",IFERROR(INDEX('Challan Master'!$D$4:$D$207,MATCH($B123,'Challan Master'!$S$4:$S$207,0)),"")="",IFERROR(INDEX('Challan Master'!$D$4:$D$207,MATCH($B123,'Challan Master'!$S$4:$S$207,0)),"")&lt;=0),0,IF(IFERROR(INDEX('Challan Master'!$D$4:$D$207,MATCH($B123,'Challan Master'!$S$4:$S$207,0)),"")&lt;=DATE(YEAR(I123),MONTH(I123)+1,7),0,ROUND(K123*0.015*((YEAR(IFERROR(INDEX('Challan Master'!$D$4:$D$207,MATCH($B123,'Challan Master'!$S$4:$S$207,0)),""))-YEAR(I123))*12+(MONTH(IFERROR(INDEX('Challan Master'!$D$4:$D$207,MATCH($B123,'Challan Master'!$S$4:$S$207,0)),""))-MONTH(I123))+1),0))))</f>
      </c>
      <c r="O123" s="7">
        <f>IF($C123="","",0)</f>
      </c>
      <c r="P123" s="8"/>
      <c r="Q123" s="8"/>
      <c r="R123" s="8"/>
      <c r="S123" s="8"/>
      <c r="T123" s="8"/>
      <c r="U123" s="7">
        <f>IF($B123="","",IFERROR(INDEX('Challan Master'!$AA$4:$AA$207,MATCH($B123,'Challan Master'!$S$4:$S$207,0)),""))</f>
      </c>
    </row>
    <row r="124" spans="1:22" x14ac:dyDescent="0.25">
      <c r="A124" s="7">
        <f>IF($C124="","",COUNTIF($C$4:$C124,"&lt;&gt;"))</f>
      </c>
      <c r="B124" s="8"/>
      <c r="C124" s="8"/>
      <c r="D124" s="8"/>
      <c r="E124" s="7">
        <f>IF($C124="","",IF(AND(LEN(TRIM(UPPER(D124)))=10,CODE(MID(TRIM(UPPER(D124)),1,1))&gt;=65,CODE(MID(TRIM(UPPER(D124)),1,1))&lt;=90,CODE(MID(TRIM(UPPER(D124)),2,1))&gt;=65,CODE(MID(TRIM(UPPER(D124)),2,1))&lt;=90,CODE(MID(TRIM(UPPER(D124)),3,1))&gt;=65,CODE(MID(TRIM(UPPER(D124)),3,1))&lt;=90,CODE(MID(TRIM(UPPER(D124)),4,1))&gt;=65,CODE(MID(TRIM(UPPER(D124)),4,1))&lt;=90,CODE(MID(TRIM(UPPER(D124)),5,1))&gt;=65,CODE(MID(TRIM(UPPER(D124)),5,1))&lt;=90,CODE(MID(TRIM(UPPER(D124)),10,1))&gt;=65,CODE(MID(TRIM(UPPER(D124)),10,1))&lt;=90,CODE(MID(TRIM(UPPER(D124)),6,1))&gt;=48,CODE(MID(TRIM(UPPER(D124)),6,1))&lt;=57,CODE(MID(TRIM(UPPER(D124)),7,1))&gt;=48,CODE(MID(TRIM(UPPER(D124)),7,1))&lt;=57,CODE(MID(TRIM(UPPER(D124)),8,1))&gt;=48,CODE(MID(TRIM(UPPER(D124)),8,1))&lt;=57,CODE(MID(TRIM(UPPER(D124)),9,1))&gt;=48,CODE(MID(TRIM(UPPER(D124)),9,1))&lt;=57),"N","Y"))</f>
      </c>
      <c r="F124" s="7">
        <f>IF($C124="","",IF(LEN(D124)&lt;4,"",IF(UPPER(MID(D124,4,1))="P","Individual",IF(UPPER(MID(D124,4,1))="H","HUF",IF(UPPER(MID(D124,4,1))="C","Company",IF(UPPER(MID(D124,4,1))="F","Firm",IF(UPPER(MID(D124,4,1))="L","LLP",IF(UPPER(MID(D124,4,1))="T","Trust",IF(UPPER(MID(D124,4,1))="A","AOP","")))))))))</f>
      </c>
      <c r="G124" s="8"/>
      <c r="H124" s="7">
        <f>IF($C124="","",IF(R124&lt;&gt;"",R124,IF(G124="","",IF(E124="Y",SUMPRODUCT(('Rate Lookup'!$A$1:$A$37=G124)*'Rate Lookup'!$D$1:$D$37),IF(OR(F124="Individual",F124="HUF"),SUMPRODUCT(('Rate Lookup'!$A$1:$A$37=G124)*'Rate Lookup'!$B$1:$B$37),SUMPRODUCT(('Rate Lookup'!$A$1:$A$37=G124)*'Rate Lookup'!$C$1:$C$37)))))))</f>
      </c>
      <c r="I124" s="8"/>
      <c r="J124" s="8"/>
      <c r="K124" s="7">
        <f>IF($C124="","",IF(OR(P124="B",P124="D",P124="E",P124="N",P124="O",P124="P",P124="Q",P124="S",P124="Y",P124="Z"),0,ROUND(J124*H124/100,0)))</f>
      </c>
      <c r="L124" s="7">
        <f>IF($C124="","",0)</f>
      </c>
      <c r="M124" s="7">
        <f>IF($C124="","",0)</f>
      </c>
      <c r="N124" s="7">
        <f>IF($C124="","",IF(OR(K124=0,I124="",IFERROR(INDEX('Challan Master'!$D$4:$D$207,MATCH($B124,'Challan Master'!$S$4:$S$207,0)),"")="",IFERROR(INDEX('Challan Master'!$D$4:$D$207,MATCH($B124,'Challan Master'!$S$4:$S$207,0)),"")&lt;=0),0,IF(IFERROR(INDEX('Challan Master'!$D$4:$D$207,MATCH($B124,'Challan Master'!$S$4:$S$207,0)),"")&lt;=DATE(YEAR(I124),MONTH(I124)+1,7),0,ROUND(K124*0.015*((YEAR(IFERROR(INDEX('Challan Master'!$D$4:$D$207,MATCH($B124,'Challan Master'!$S$4:$S$207,0)),""))-YEAR(I124))*12+(MONTH(IFERROR(INDEX('Challan Master'!$D$4:$D$207,MATCH($B124,'Challan Master'!$S$4:$S$207,0)),""))-MONTH(I124))+1),0))))</f>
      </c>
      <c r="O124" s="7">
        <f>IF($C124="","",0)</f>
      </c>
      <c r="P124" s="8"/>
      <c r="Q124" s="8"/>
      <c r="R124" s="8"/>
      <c r="S124" s="8"/>
      <c r="T124" s="8"/>
      <c r="U124" s="7">
        <f>IF($B124="","",IFERROR(INDEX('Challan Master'!$AA$4:$AA$207,MATCH($B124,'Challan Master'!$S$4:$S$207,0)),""))</f>
      </c>
    </row>
    <row r="125" spans="1:22" x14ac:dyDescent="0.25">
      <c r="A125" s="7">
        <f>IF($C125="","",COUNTIF($C$4:$C125,"&lt;&gt;"))</f>
      </c>
      <c r="B125" s="8"/>
      <c r="C125" s="8"/>
      <c r="D125" s="8"/>
      <c r="E125" s="7">
        <f>IF($C125="","",IF(AND(LEN(TRIM(UPPER(D125)))=10,CODE(MID(TRIM(UPPER(D125)),1,1))&gt;=65,CODE(MID(TRIM(UPPER(D125)),1,1))&lt;=90,CODE(MID(TRIM(UPPER(D125)),2,1))&gt;=65,CODE(MID(TRIM(UPPER(D125)),2,1))&lt;=90,CODE(MID(TRIM(UPPER(D125)),3,1))&gt;=65,CODE(MID(TRIM(UPPER(D125)),3,1))&lt;=90,CODE(MID(TRIM(UPPER(D125)),4,1))&gt;=65,CODE(MID(TRIM(UPPER(D125)),4,1))&lt;=90,CODE(MID(TRIM(UPPER(D125)),5,1))&gt;=65,CODE(MID(TRIM(UPPER(D125)),5,1))&lt;=90,CODE(MID(TRIM(UPPER(D125)),10,1))&gt;=65,CODE(MID(TRIM(UPPER(D125)),10,1))&lt;=90,CODE(MID(TRIM(UPPER(D125)),6,1))&gt;=48,CODE(MID(TRIM(UPPER(D125)),6,1))&lt;=57,CODE(MID(TRIM(UPPER(D125)),7,1))&gt;=48,CODE(MID(TRIM(UPPER(D125)),7,1))&lt;=57,CODE(MID(TRIM(UPPER(D125)),8,1))&gt;=48,CODE(MID(TRIM(UPPER(D125)),8,1))&lt;=57,CODE(MID(TRIM(UPPER(D125)),9,1))&gt;=48,CODE(MID(TRIM(UPPER(D125)),9,1))&lt;=57),"N","Y"))</f>
      </c>
      <c r="F125" s="7">
        <f>IF($C125="","",IF(LEN(D125)&lt;4,"",IF(UPPER(MID(D125,4,1))="P","Individual",IF(UPPER(MID(D125,4,1))="H","HUF",IF(UPPER(MID(D125,4,1))="C","Company",IF(UPPER(MID(D125,4,1))="F","Firm",IF(UPPER(MID(D125,4,1))="L","LLP",IF(UPPER(MID(D125,4,1))="T","Trust",IF(UPPER(MID(D125,4,1))="A","AOP","")))))))))</f>
      </c>
      <c r="G125" s="8"/>
      <c r="H125" s="7">
        <f>IF($C125="","",IF(R125&lt;&gt;"",R125,IF(G125="","",IF(E125="Y",SUMPRODUCT(('Rate Lookup'!$A$1:$A$37=G125)*'Rate Lookup'!$D$1:$D$37),IF(OR(F125="Individual",F125="HUF"),SUMPRODUCT(('Rate Lookup'!$A$1:$A$37=G125)*'Rate Lookup'!$B$1:$B$37),SUMPRODUCT(('Rate Lookup'!$A$1:$A$37=G125)*'Rate Lookup'!$C$1:$C$37)))))))</f>
      </c>
      <c r="I125" s="8"/>
      <c r="J125" s="8"/>
      <c r="K125" s="7">
        <f>IF($C125="","",IF(OR(P125="B",P125="D",P125="E",P125="N",P125="O",P125="P",P125="Q",P125="S",P125="Y",P125="Z"),0,ROUND(J125*H125/100,0)))</f>
      </c>
      <c r="L125" s="7">
        <f>IF($C125="","",0)</f>
      </c>
      <c r="M125" s="7">
        <f>IF($C125="","",0)</f>
      </c>
      <c r="N125" s="7">
        <f>IF($C125="","",IF(OR(K125=0,I125="",IFERROR(INDEX('Challan Master'!$D$4:$D$207,MATCH($B125,'Challan Master'!$S$4:$S$207,0)),"")="",IFERROR(INDEX('Challan Master'!$D$4:$D$207,MATCH($B125,'Challan Master'!$S$4:$S$207,0)),"")&lt;=0),0,IF(IFERROR(INDEX('Challan Master'!$D$4:$D$207,MATCH($B125,'Challan Master'!$S$4:$S$207,0)),"")&lt;=DATE(YEAR(I125),MONTH(I125)+1,7),0,ROUND(K125*0.015*((YEAR(IFERROR(INDEX('Challan Master'!$D$4:$D$207,MATCH($B125,'Challan Master'!$S$4:$S$207,0)),""))-YEAR(I125))*12+(MONTH(IFERROR(INDEX('Challan Master'!$D$4:$D$207,MATCH($B125,'Challan Master'!$S$4:$S$207,0)),""))-MONTH(I125))+1),0))))</f>
      </c>
      <c r="O125" s="7">
        <f>IF($C125="","",0)</f>
      </c>
      <c r="P125" s="8"/>
      <c r="Q125" s="8"/>
      <c r="R125" s="8"/>
      <c r="S125" s="8"/>
      <c r="T125" s="8"/>
      <c r="U125" s="7">
        <f>IF($B125="","",IFERROR(INDEX('Challan Master'!$AA$4:$AA$207,MATCH($B125,'Challan Master'!$S$4:$S$207,0)),""))</f>
      </c>
    </row>
    <row r="126" spans="1:22" x14ac:dyDescent="0.25">
      <c r="A126" s="7">
        <f>IF($C126="","",COUNTIF($C$4:$C126,"&lt;&gt;"))</f>
      </c>
      <c r="B126" s="8"/>
      <c r="C126" s="8"/>
      <c r="D126" s="8"/>
      <c r="E126" s="7">
        <f>IF($C126="","",IF(AND(LEN(TRIM(UPPER(D126)))=10,CODE(MID(TRIM(UPPER(D126)),1,1))&gt;=65,CODE(MID(TRIM(UPPER(D126)),1,1))&lt;=90,CODE(MID(TRIM(UPPER(D126)),2,1))&gt;=65,CODE(MID(TRIM(UPPER(D126)),2,1))&lt;=90,CODE(MID(TRIM(UPPER(D126)),3,1))&gt;=65,CODE(MID(TRIM(UPPER(D126)),3,1))&lt;=90,CODE(MID(TRIM(UPPER(D126)),4,1))&gt;=65,CODE(MID(TRIM(UPPER(D126)),4,1))&lt;=90,CODE(MID(TRIM(UPPER(D126)),5,1))&gt;=65,CODE(MID(TRIM(UPPER(D126)),5,1))&lt;=90,CODE(MID(TRIM(UPPER(D126)),10,1))&gt;=65,CODE(MID(TRIM(UPPER(D126)),10,1))&lt;=90,CODE(MID(TRIM(UPPER(D126)),6,1))&gt;=48,CODE(MID(TRIM(UPPER(D126)),6,1))&lt;=57,CODE(MID(TRIM(UPPER(D126)),7,1))&gt;=48,CODE(MID(TRIM(UPPER(D126)),7,1))&lt;=57,CODE(MID(TRIM(UPPER(D126)),8,1))&gt;=48,CODE(MID(TRIM(UPPER(D126)),8,1))&lt;=57,CODE(MID(TRIM(UPPER(D126)),9,1))&gt;=48,CODE(MID(TRIM(UPPER(D126)),9,1))&lt;=57),"N","Y"))</f>
      </c>
      <c r="F126" s="7">
        <f>IF($C126="","",IF(LEN(D126)&lt;4,"",IF(UPPER(MID(D126,4,1))="P","Individual",IF(UPPER(MID(D126,4,1))="H","HUF",IF(UPPER(MID(D126,4,1))="C","Company",IF(UPPER(MID(D126,4,1))="F","Firm",IF(UPPER(MID(D126,4,1))="L","LLP",IF(UPPER(MID(D126,4,1))="T","Trust",IF(UPPER(MID(D126,4,1))="A","AOP","")))))))))</f>
      </c>
      <c r="G126" s="8"/>
      <c r="H126" s="7">
        <f>IF($C126="","",IF(R126&lt;&gt;"",R126,IF(G126="","",IF(E126="Y",SUMPRODUCT(('Rate Lookup'!$A$1:$A$37=G126)*'Rate Lookup'!$D$1:$D$37),IF(OR(F126="Individual",F126="HUF"),SUMPRODUCT(('Rate Lookup'!$A$1:$A$37=G126)*'Rate Lookup'!$B$1:$B$37),SUMPRODUCT(('Rate Lookup'!$A$1:$A$37=G126)*'Rate Lookup'!$C$1:$C$37)))))))</f>
      </c>
      <c r="I126" s="8"/>
      <c r="J126" s="8"/>
      <c r="K126" s="7">
        <f>IF($C126="","",IF(OR(P126="B",P126="D",P126="E",P126="N",P126="O",P126="P",P126="Q",P126="S",P126="Y",P126="Z"),0,ROUND(J126*H126/100,0)))</f>
      </c>
      <c r="L126" s="7">
        <f>IF($C126="","",0)</f>
      </c>
      <c r="M126" s="7">
        <f>IF($C126="","",0)</f>
      </c>
      <c r="N126" s="7">
        <f>IF($C126="","",IF(OR(K126=0,I126="",IFERROR(INDEX('Challan Master'!$D$4:$D$207,MATCH($B126,'Challan Master'!$S$4:$S$207,0)),"")="",IFERROR(INDEX('Challan Master'!$D$4:$D$207,MATCH($B126,'Challan Master'!$S$4:$S$207,0)),"")&lt;=0),0,IF(IFERROR(INDEX('Challan Master'!$D$4:$D$207,MATCH($B126,'Challan Master'!$S$4:$S$207,0)),"")&lt;=DATE(YEAR(I126),MONTH(I126)+1,7),0,ROUND(K126*0.015*((YEAR(IFERROR(INDEX('Challan Master'!$D$4:$D$207,MATCH($B126,'Challan Master'!$S$4:$S$207,0)),""))-YEAR(I126))*12+(MONTH(IFERROR(INDEX('Challan Master'!$D$4:$D$207,MATCH($B126,'Challan Master'!$S$4:$S$207,0)),""))-MONTH(I126))+1),0))))</f>
      </c>
      <c r="O126" s="7">
        <f>IF($C126="","",0)</f>
      </c>
      <c r="P126" s="8"/>
      <c r="Q126" s="8"/>
      <c r="R126" s="8"/>
      <c r="S126" s="8"/>
      <c r="T126" s="8"/>
      <c r="U126" s="7">
        <f>IF($B126="","",IFERROR(INDEX('Challan Master'!$AA$4:$AA$207,MATCH($B126,'Challan Master'!$S$4:$S$207,0)),""))</f>
      </c>
    </row>
    <row r="127" spans="1:22" x14ac:dyDescent="0.25">
      <c r="A127" s="7">
        <f>IF($C127="","",COUNTIF($C$4:$C127,"&lt;&gt;"))</f>
      </c>
      <c r="B127" s="8"/>
      <c r="C127" s="8"/>
      <c r="D127" s="8"/>
      <c r="E127" s="7">
        <f>IF($C127="","",IF(AND(LEN(TRIM(UPPER(D127)))=10,CODE(MID(TRIM(UPPER(D127)),1,1))&gt;=65,CODE(MID(TRIM(UPPER(D127)),1,1))&lt;=90,CODE(MID(TRIM(UPPER(D127)),2,1))&gt;=65,CODE(MID(TRIM(UPPER(D127)),2,1))&lt;=90,CODE(MID(TRIM(UPPER(D127)),3,1))&gt;=65,CODE(MID(TRIM(UPPER(D127)),3,1))&lt;=90,CODE(MID(TRIM(UPPER(D127)),4,1))&gt;=65,CODE(MID(TRIM(UPPER(D127)),4,1))&lt;=90,CODE(MID(TRIM(UPPER(D127)),5,1))&gt;=65,CODE(MID(TRIM(UPPER(D127)),5,1))&lt;=90,CODE(MID(TRIM(UPPER(D127)),10,1))&gt;=65,CODE(MID(TRIM(UPPER(D127)),10,1))&lt;=90,CODE(MID(TRIM(UPPER(D127)),6,1))&gt;=48,CODE(MID(TRIM(UPPER(D127)),6,1))&lt;=57,CODE(MID(TRIM(UPPER(D127)),7,1))&gt;=48,CODE(MID(TRIM(UPPER(D127)),7,1))&lt;=57,CODE(MID(TRIM(UPPER(D127)),8,1))&gt;=48,CODE(MID(TRIM(UPPER(D127)),8,1))&lt;=57,CODE(MID(TRIM(UPPER(D127)),9,1))&gt;=48,CODE(MID(TRIM(UPPER(D127)),9,1))&lt;=57),"N","Y"))</f>
      </c>
      <c r="F127" s="7">
        <f>IF($C127="","",IF(LEN(D127)&lt;4,"",IF(UPPER(MID(D127,4,1))="P","Individual",IF(UPPER(MID(D127,4,1))="H","HUF",IF(UPPER(MID(D127,4,1))="C","Company",IF(UPPER(MID(D127,4,1))="F","Firm",IF(UPPER(MID(D127,4,1))="L","LLP",IF(UPPER(MID(D127,4,1))="T","Trust",IF(UPPER(MID(D127,4,1))="A","AOP","")))))))))</f>
      </c>
      <c r="G127" s="8"/>
      <c r="H127" s="7">
        <f>IF($C127="","",IF(R127&lt;&gt;"",R127,IF(G127="","",IF(E127="Y",SUMPRODUCT(('Rate Lookup'!$A$1:$A$37=G127)*'Rate Lookup'!$D$1:$D$37),IF(OR(F127="Individual",F127="HUF"),SUMPRODUCT(('Rate Lookup'!$A$1:$A$37=G127)*'Rate Lookup'!$B$1:$B$37),SUMPRODUCT(('Rate Lookup'!$A$1:$A$37=G127)*'Rate Lookup'!$C$1:$C$37)))))))</f>
      </c>
      <c r="I127" s="8"/>
      <c r="J127" s="8"/>
      <c r="K127" s="7">
        <f>IF($C127="","",IF(OR(P127="B",P127="D",P127="E",P127="N",P127="O",P127="P",P127="Q",P127="S",P127="Y",P127="Z"),0,ROUND(J127*H127/100,0)))</f>
      </c>
      <c r="L127" s="7">
        <f>IF($C127="","",0)</f>
      </c>
      <c r="M127" s="7">
        <f>IF($C127="","",0)</f>
      </c>
      <c r="N127" s="7">
        <f>IF($C127="","",IF(OR(K127=0,I127="",IFERROR(INDEX('Challan Master'!$D$4:$D$207,MATCH($B127,'Challan Master'!$S$4:$S$207,0)),"")="",IFERROR(INDEX('Challan Master'!$D$4:$D$207,MATCH($B127,'Challan Master'!$S$4:$S$207,0)),"")&lt;=0),0,IF(IFERROR(INDEX('Challan Master'!$D$4:$D$207,MATCH($B127,'Challan Master'!$S$4:$S$207,0)),"")&lt;=DATE(YEAR(I127),MONTH(I127)+1,7),0,ROUND(K127*0.015*((YEAR(IFERROR(INDEX('Challan Master'!$D$4:$D$207,MATCH($B127,'Challan Master'!$S$4:$S$207,0)),""))-YEAR(I127))*12+(MONTH(IFERROR(INDEX('Challan Master'!$D$4:$D$207,MATCH($B127,'Challan Master'!$S$4:$S$207,0)),""))-MONTH(I127))+1),0))))</f>
      </c>
      <c r="O127" s="7">
        <f>IF($C127="","",0)</f>
      </c>
      <c r="P127" s="8"/>
      <c r="Q127" s="8"/>
      <c r="R127" s="8"/>
      <c r="S127" s="8"/>
      <c r="T127" s="8"/>
      <c r="U127" s="7">
        <f>IF($B127="","",IFERROR(INDEX('Challan Master'!$AA$4:$AA$207,MATCH($B127,'Challan Master'!$S$4:$S$207,0)),""))</f>
      </c>
    </row>
    <row r="128" spans="1:22" x14ac:dyDescent="0.25">
      <c r="A128" s="7">
        <f>IF($C128="","",COUNTIF($C$4:$C128,"&lt;&gt;"))</f>
      </c>
      <c r="B128" s="8"/>
      <c r="C128" s="8"/>
      <c r="D128" s="8"/>
      <c r="E128" s="7">
        <f>IF($C128="","",IF(AND(LEN(TRIM(UPPER(D128)))=10,CODE(MID(TRIM(UPPER(D128)),1,1))&gt;=65,CODE(MID(TRIM(UPPER(D128)),1,1))&lt;=90,CODE(MID(TRIM(UPPER(D128)),2,1))&gt;=65,CODE(MID(TRIM(UPPER(D128)),2,1))&lt;=90,CODE(MID(TRIM(UPPER(D128)),3,1))&gt;=65,CODE(MID(TRIM(UPPER(D128)),3,1))&lt;=90,CODE(MID(TRIM(UPPER(D128)),4,1))&gt;=65,CODE(MID(TRIM(UPPER(D128)),4,1))&lt;=90,CODE(MID(TRIM(UPPER(D128)),5,1))&gt;=65,CODE(MID(TRIM(UPPER(D128)),5,1))&lt;=90,CODE(MID(TRIM(UPPER(D128)),10,1))&gt;=65,CODE(MID(TRIM(UPPER(D128)),10,1))&lt;=90,CODE(MID(TRIM(UPPER(D128)),6,1))&gt;=48,CODE(MID(TRIM(UPPER(D128)),6,1))&lt;=57,CODE(MID(TRIM(UPPER(D128)),7,1))&gt;=48,CODE(MID(TRIM(UPPER(D128)),7,1))&lt;=57,CODE(MID(TRIM(UPPER(D128)),8,1))&gt;=48,CODE(MID(TRIM(UPPER(D128)),8,1))&lt;=57,CODE(MID(TRIM(UPPER(D128)),9,1))&gt;=48,CODE(MID(TRIM(UPPER(D128)),9,1))&lt;=57),"N","Y"))</f>
      </c>
      <c r="F128" s="7">
        <f>IF($C128="","",IF(LEN(D128)&lt;4,"",IF(UPPER(MID(D128,4,1))="P","Individual",IF(UPPER(MID(D128,4,1))="H","HUF",IF(UPPER(MID(D128,4,1))="C","Company",IF(UPPER(MID(D128,4,1))="F","Firm",IF(UPPER(MID(D128,4,1))="L","LLP",IF(UPPER(MID(D128,4,1))="T","Trust",IF(UPPER(MID(D128,4,1))="A","AOP","")))))))))</f>
      </c>
      <c r="G128" s="8"/>
      <c r="H128" s="7">
        <f>IF($C128="","",IF(R128&lt;&gt;"",R128,IF(G128="","",IF(E128="Y",SUMPRODUCT(('Rate Lookup'!$A$1:$A$37=G128)*'Rate Lookup'!$D$1:$D$37),IF(OR(F128="Individual",F128="HUF"),SUMPRODUCT(('Rate Lookup'!$A$1:$A$37=G128)*'Rate Lookup'!$B$1:$B$37),SUMPRODUCT(('Rate Lookup'!$A$1:$A$37=G128)*'Rate Lookup'!$C$1:$C$37)))))))</f>
      </c>
      <c r="I128" s="8"/>
      <c r="J128" s="8"/>
      <c r="K128" s="7">
        <f>IF($C128="","",IF(OR(P128="B",P128="D",P128="E",P128="N",P128="O",P128="P",P128="Q",P128="S",P128="Y",P128="Z"),0,ROUND(J128*H128/100,0)))</f>
      </c>
      <c r="L128" s="7">
        <f>IF($C128="","",0)</f>
      </c>
      <c r="M128" s="7">
        <f>IF($C128="","",0)</f>
      </c>
      <c r="N128" s="7">
        <f>IF($C128="","",IF(OR(K128=0,I128="",IFERROR(INDEX('Challan Master'!$D$4:$D$207,MATCH($B128,'Challan Master'!$S$4:$S$207,0)),"")="",IFERROR(INDEX('Challan Master'!$D$4:$D$207,MATCH($B128,'Challan Master'!$S$4:$S$207,0)),"")&lt;=0),0,IF(IFERROR(INDEX('Challan Master'!$D$4:$D$207,MATCH($B128,'Challan Master'!$S$4:$S$207,0)),"")&lt;=DATE(YEAR(I128),MONTH(I128)+1,7),0,ROUND(K128*0.015*((YEAR(IFERROR(INDEX('Challan Master'!$D$4:$D$207,MATCH($B128,'Challan Master'!$S$4:$S$207,0)),""))-YEAR(I128))*12+(MONTH(IFERROR(INDEX('Challan Master'!$D$4:$D$207,MATCH($B128,'Challan Master'!$S$4:$S$207,0)),""))-MONTH(I128))+1),0))))</f>
      </c>
      <c r="O128" s="7">
        <f>IF($C128="","",0)</f>
      </c>
      <c r="P128" s="8"/>
      <c r="Q128" s="8"/>
      <c r="R128" s="8"/>
      <c r="S128" s="8"/>
      <c r="T128" s="8"/>
      <c r="U128" s="7">
        <f>IF($B128="","",IFERROR(INDEX('Challan Master'!$AA$4:$AA$207,MATCH($B128,'Challan Master'!$S$4:$S$207,0)),""))</f>
      </c>
    </row>
    <row r="129" spans="1:22" x14ac:dyDescent="0.25">
      <c r="A129" s="7">
        <f>IF($C129="","",COUNTIF($C$4:$C129,"&lt;&gt;"))</f>
      </c>
      <c r="B129" s="8"/>
      <c r="C129" s="8"/>
      <c r="D129" s="8"/>
      <c r="E129" s="7">
        <f>IF($C129="","",IF(AND(LEN(TRIM(UPPER(D129)))=10,CODE(MID(TRIM(UPPER(D129)),1,1))&gt;=65,CODE(MID(TRIM(UPPER(D129)),1,1))&lt;=90,CODE(MID(TRIM(UPPER(D129)),2,1))&gt;=65,CODE(MID(TRIM(UPPER(D129)),2,1))&lt;=90,CODE(MID(TRIM(UPPER(D129)),3,1))&gt;=65,CODE(MID(TRIM(UPPER(D129)),3,1))&lt;=90,CODE(MID(TRIM(UPPER(D129)),4,1))&gt;=65,CODE(MID(TRIM(UPPER(D129)),4,1))&lt;=90,CODE(MID(TRIM(UPPER(D129)),5,1))&gt;=65,CODE(MID(TRIM(UPPER(D129)),5,1))&lt;=90,CODE(MID(TRIM(UPPER(D129)),10,1))&gt;=65,CODE(MID(TRIM(UPPER(D129)),10,1))&lt;=90,CODE(MID(TRIM(UPPER(D129)),6,1))&gt;=48,CODE(MID(TRIM(UPPER(D129)),6,1))&lt;=57,CODE(MID(TRIM(UPPER(D129)),7,1))&gt;=48,CODE(MID(TRIM(UPPER(D129)),7,1))&lt;=57,CODE(MID(TRIM(UPPER(D129)),8,1))&gt;=48,CODE(MID(TRIM(UPPER(D129)),8,1))&lt;=57,CODE(MID(TRIM(UPPER(D129)),9,1))&gt;=48,CODE(MID(TRIM(UPPER(D129)),9,1))&lt;=57),"N","Y"))</f>
      </c>
      <c r="F129" s="7">
        <f>IF($C129="","",IF(LEN(D129)&lt;4,"",IF(UPPER(MID(D129,4,1))="P","Individual",IF(UPPER(MID(D129,4,1))="H","HUF",IF(UPPER(MID(D129,4,1))="C","Company",IF(UPPER(MID(D129,4,1))="F","Firm",IF(UPPER(MID(D129,4,1))="L","LLP",IF(UPPER(MID(D129,4,1))="T","Trust",IF(UPPER(MID(D129,4,1))="A","AOP","")))))))))</f>
      </c>
      <c r="G129" s="8"/>
      <c r="H129" s="7">
        <f>IF($C129="","",IF(R129&lt;&gt;"",R129,IF(G129="","",IF(E129="Y",SUMPRODUCT(('Rate Lookup'!$A$1:$A$37=G129)*'Rate Lookup'!$D$1:$D$37),IF(OR(F129="Individual",F129="HUF"),SUMPRODUCT(('Rate Lookup'!$A$1:$A$37=G129)*'Rate Lookup'!$B$1:$B$37),SUMPRODUCT(('Rate Lookup'!$A$1:$A$37=G129)*'Rate Lookup'!$C$1:$C$37)))))))</f>
      </c>
      <c r="I129" s="8"/>
      <c r="J129" s="8"/>
      <c r="K129" s="7">
        <f>IF($C129="","",IF(OR(P129="B",P129="D",P129="E",P129="N",P129="O",P129="P",P129="Q",P129="S",P129="Y",P129="Z"),0,ROUND(J129*H129/100,0)))</f>
      </c>
      <c r="L129" s="7">
        <f>IF($C129="","",0)</f>
      </c>
      <c r="M129" s="7">
        <f>IF($C129="","",0)</f>
      </c>
      <c r="N129" s="7">
        <f>IF($C129="","",IF(OR(K129=0,I129="",IFERROR(INDEX('Challan Master'!$D$4:$D$207,MATCH($B129,'Challan Master'!$S$4:$S$207,0)),"")="",IFERROR(INDEX('Challan Master'!$D$4:$D$207,MATCH($B129,'Challan Master'!$S$4:$S$207,0)),"")&lt;=0),0,IF(IFERROR(INDEX('Challan Master'!$D$4:$D$207,MATCH($B129,'Challan Master'!$S$4:$S$207,0)),"")&lt;=DATE(YEAR(I129),MONTH(I129)+1,7),0,ROUND(K129*0.015*((YEAR(IFERROR(INDEX('Challan Master'!$D$4:$D$207,MATCH($B129,'Challan Master'!$S$4:$S$207,0)),""))-YEAR(I129))*12+(MONTH(IFERROR(INDEX('Challan Master'!$D$4:$D$207,MATCH($B129,'Challan Master'!$S$4:$S$207,0)),""))-MONTH(I129))+1),0))))</f>
      </c>
      <c r="O129" s="7">
        <f>IF($C129="","",0)</f>
      </c>
      <c r="P129" s="8"/>
      <c r="Q129" s="8"/>
      <c r="R129" s="8"/>
      <c r="S129" s="8"/>
      <c r="T129" s="8"/>
      <c r="U129" s="7">
        <f>IF($B129="","",IFERROR(INDEX('Challan Master'!$AA$4:$AA$207,MATCH($B129,'Challan Master'!$S$4:$S$207,0)),""))</f>
      </c>
    </row>
    <row r="130" spans="1:22" x14ac:dyDescent="0.25">
      <c r="A130" s="7">
        <f>IF($C130="","",COUNTIF($C$4:$C130,"&lt;&gt;"))</f>
      </c>
      <c r="B130" s="8"/>
      <c r="C130" s="8"/>
      <c r="D130" s="8"/>
      <c r="E130" s="7">
        <f>IF($C130="","",IF(AND(LEN(TRIM(UPPER(D130)))=10,CODE(MID(TRIM(UPPER(D130)),1,1))&gt;=65,CODE(MID(TRIM(UPPER(D130)),1,1))&lt;=90,CODE(MID(TRIM(UPPER(D130)),2,1))&gt;=65,CODE(MID(TRIM(UPPER(D130)),2,1))&lt;=90,CODE(MID(TRIM(UPPER(D130)),3,1))&gt;=65,CODE(MID(TRIM(UPPER(D130)),3,1))&lt;=90,CODE(MID(TRIM(UPPER(D130)),4,1))&gt;=65,CODE(MID(TRIM(UPPER(D130)),4,1))&lt;=90,CODE(MID(TRIM(UPPER(D130)),5,1))&gt;=65,CODE(MID(TRIM(UPPER(D130)),5,1))&lt;=90,CODE(MID(TRIM(UPPER(D130)),10,1))&gt;=65,CODE(MID(TRIM(UPPER(D130)),10,1))&lt;=90,CODE(MID(TRIM(UPPER(D130)),6,1))&gt;=48,CODE(MID(TRIM(UPPER(D130)),6,1))&lt;=57,CODE(MID(TRIM(UPPER(D130)),7,1))&gt;=48,CODE(MID(TRIM(UPPER(D130)),7,1))&lt;=57,CODE(MID(TRIM(UPPER(D130)),8,1))&gt;=48,CODE(MID(TRIM(UPPER(D130)),8,1))&lt;=57,CODE(MID(TRIM(UPPER(D130)),9,1))&gt;=48,CODE(MID(TRIM(UPPER(D130)),9,1))&lt;=57),"N","Y"))</f>
      </c>
      <c r="F130" s="7">
        <f>IF($C130="","",IF(LEN(D130)&lt;4,"",IF(UPPER(MID(D130,4,1))="P","Individual",IF(UPPER(MID(D130,4,1))="H","HUF",IF(UPPER(MID(D130,4,1))="C","Company",IF(UPPER(MID(D130,4,1))="F","Firm",IF(UPPER(MID(D130,4,1))="L","LLP",IF(UPPER(MID(D130,4,1))="T","Trust",IF(UPPER(MID(D130,4,1))="A","AOP","")))))))))</f>
      </c>
      <c r="G130" s="8"/>
      <c r="H130" s="7">
        <f>IF($C130="","",IF(R130&lt;&gt;"",R130,IF(G130="","",IF(E130="Y",SUMPRODUCT(('Rate Lookup'!$A$1:$A$37=G130)*'Rate Lookup'!$D$1:$D$37),IF(OR(F130="Individual",F130="HUF"),SUMPRODUCT(('Rate Lookup'!$A$1:$A$37=G130)*'Rate Lookup'!$B$1:$B$37),SUMPRODUCT(('Rate Lookup'!$A$1:$A$37=G130)*'Rate Lookup'!$C$1:$C$37)))))))</f>
      </c>
      <c r="I130" s="8"/>
      <c r="J130" s="8"/>
      <c r="K130" s="7">
        <f>IF($C130="","",IF(OR(P130="B",P130="D",P130="E",P130="N",P130="O",P130="P",P130="Q",P130="S",P130="Y",P130="Z"),0,ROUND(J130*H130/100,0)))</f>
      </c>
      <c r="L130" s="7">
        <f>IF($C130="","",0)</f>
      </c>
      <c r="M130" s="7">
        <f>IF($C130="","",0)</f>
      </c>
      <c r="N130" s="7">
        <f>IF($C130="","",IF(OR(K130=0,I130="",IFERROR(INDEX('Challan Master'!$D$4:$D$207,MATCH($B130,'Challan Master'!$S$4:$S$207,0)),"")="",IFERROR(INDEX('Challan Master'!$D$4:$D$207,MATCH($B130,'Challan Master'!$S$4:$S$207,0)),"")&lt;=0),0,IF(IFERROR(INDEX('Challan Master'!$D$4:$D$207,MATCH($B130,'Challan Master'!$S$4:$S$207,0)),"")&lt;=DATE(YEAR(I130),MONTH(I130)+1,7),0,ROUND(K130*0.015*((YEAR(IFERROR(INDEX('Challan Master'!$D$4:$D$207,MATCH($B130,'Challan Master'!$S$4:$S$207,0)),""))-YEAR(I130))*12+(MONTH(IFERROR(INDEX('Challan Master'!$D$4:$D$207,MATCH($B130,'Challan Master'!$S$4:$S$207,0)),""))-MONTH(I130))+1),0))))</f>
      </c>
      <c r="O130" s="7">
        <f>IF($C130="","",0)</f>
      </c>
      <c r="P130" s="8"/>
      <c r="Q130" s="8"/>
      <c r="R130" s="8"/>
      <c r="S130" s="8"/>
      <c r="T130" s="8"/>
      <c r="U130" s="7">
        <f>IF($B130="","",IFERROR(INDEX('Challan Master'!$AA$4:$AA$207,MATCH($B130,'Challan Master'!$S$4:$S$207,0)),""))</f>
      </c>
    </row>
    <row r="131" spans="1:22" x14ac:dyDescent="0.25">
      <c r="A131" s="7">
        <f>IF($C131="","",COUNTIF($C$4:$C131,"&lt;&gt;"))</f>
      </c>
      <c r="B131" s="8"/>
      <c r="C131" s="8"/>
      <c r="D131" s="8"/>
      <c r="E131" s="7">
        <f>IF($C131="","",IF(AND(LEN(TRIM(UPPER(D131)))=10,CODE(MID(TRIM(UPPER(D131)),1,1))&gt;=65,CODE(MID(TRIM(UPPER(D131)),1,1))&lt;=90,CODE(MID(TRIM(UPPER(D131)),2,1))&gt;=65,CODE(MID(TRIM(UPPER(D131)),2,1))&lt;=90,CODE(MID(TRIM(UPPER(D131)),3,1))&gt;=65,CODE(MID(TRIM(UPPER(D131)),3,1))&lt;=90,CODE(MID(TRIM(UPPER(D131)),4,1))&gt;=65,CODE(MID(TRIM(UPPER(D131)),4,1))&lt;=90,CODE(MID(TRIM(UPPER(D131)),5,1))&gt;=65,CODE(MID(TRIM(UPPER(D131)),5,1))&lt;=90,CODE(MID(TRIM(UPPER(D131)),10,1))&gt;=65,CODE(MID(TRIM(UPPER(D131)),10,1))&lt;=90,CODE(MID(TRIM(UPPER(D131)),6,1))&gt;=48,CODE(MID(TRIM(UPPER(D131)),6,1))&lt;=57,CODE(MID(TRIM(UPPER(D131)),7,1))&gt;=48,CODE(MID(TRIM(UPPER(D131)),7,1))&lt;=57,CODE(MID(TRIM(UPPER(D131)),8,1))&gt;=48,CODE(MID(TRIM(UPPER(D131)),8,1))&lt;=57,CODE(MID(TRIM(UPPER(D131)),9,1))&gt;=48,CODE(MID(TRIM(UPPER(D131)),9,1))&lt;=57),"N","Y"))</f>
      </c>
      <c r="F131" s="7">
        <f>IF($C131="","",IF(LEN(D131)&lt;4,"",IF(UPPER(MID(D131,4,1))="P","Individual",IF(UPPER(MID(D131,4,1))="H","HUF",IF(UPPER(MID(D131,4,1))="C","Company",IF(UPPER(MID(D131,4,1))="F","Firm",IF(UPPER(MID(D131,4,1))="L","LLP",IF(UPPER(MID(D131,4,1))="T","Trust",IF(UPPER(MID(D131,4,1))="A","AOP","")))))))))</f>
      </c>
      <c r="G131" s="8"/>
      <c r="H131" s="7">
        <f>IF($C131="","",IF(R131&lt;&gt;"",R131,IF(G131="","",IF(E131="Y",SUMPRODUCT(('Rate Lookup'!$A$1:$A$37=G131)*'Rate Lookup'!$D$1:$D$37),IF(OR(F131="Individual",F131="HUF"),SUMPRODUCT(('Rate Lookup'!$A$1:$A$37=G131)*'Rate Lookup'!$B$1:$B$37),SUMPRODUCT(('Rate Lookup'!$A$1:$A$37=G131)*'Rate Lookup'!$C$1:$C$37)))))))</f>
      </c>
      <c r="I131" s="8"/>
      <c r="J131" s="8"/>
      <c r="K131" s="7">
        <f>IF($C131="","",IF(OR(P131="B",P131="D",P131="E",P131="N",P131="O",P131="P",P131="Q",P131="S",P131="Y",P131="Z"),0,ROUND(J131*H131/100,0)))</f>
      </c>
      <c r="L131" s="7">
        <f>IF($C131="","",0)</f>
      </c>
      <c r="M131" s="7">
        <f>IF($C131="","",0)</f>
      </c>
      <c r="N131" s="7">
        <f>IF($C131="","",IF(OR(K131=0,I131="",IFERROR(INDEX('Challan Master'!$D$4:$D$207,MATCH($B131,'Challan Master'!$S$4:$S$207,0)),"")="",IFERROR(INDEX('Challan Master'!$D$4:$D$207,MATCH($B131,'Challan Master'!$S$4:$S$207,0)),"")&lt;=0),0,IF(IFERROR(INDEX('Challan Master'!$D$4:$D$207,MATCH($B131,'Challan Master'!$S$4:$S$207,0)),"")&lt;=DATE(YEAR(I131),MONTH(I131)+1,7),0,ROUND(K131*0.015*((YEAR(IFERROR(INDEX('Challan Master'!$D$4:$D$207,MATCH($B131,'Challan Master'!$S$4:$S$207,0)),""))-YEAR(I131))*12+(MONTH(IFERROR(INDEX('Challan Master'!$D$4:$D$207,MATCH($B131,'Challan Master'!$S$4:$S$207,0)),""))-MONTH(I131))+1),0))))</f>
      </c>
      <c r="O131" s="7">
        <f>IF($C131="","",0)</f>
      </c>
      <c r="P131" s="8"/>
      <c r="Q131" s="8"/>
      <c r="R131" s="8"/>
      <c r="S131" s="8"/>
      <c r="T131" s="8"/>
      <c r="U131" s="7">
        <f>IF($B131="","",IFERROR(INDEX('Challan Master'!$AA$4:$AA$207,MATCH($B131,'Challan Master'!$S$4:$S$207,0)),""))</f>
      </c>
    </row>
    <row r="132" spans="1:22" x14ac:dyDescent="0.25">
      <c r="A132" s="7">
        <f>IF($C132="","",COUNTIF($C$4:$C132,"&lt;&gt;"))</f>
      </c>
      <c r="B132" s="8"/>
      <c r="C132" s="8"/>
      <c r="D132" s="8"/>
      <c r="E132" s="7">
        <f>IF($C132="","",IF(AND(LEN(TRIM(UPPER(D132)))=10,CODE(MID(TRIM(UPPER(D132)),1,1))&gt;=65,CODE(MID(TRIM(UPPER(D132)),1,1))&lt;=90,CODE(MID(TRIM(UPPER(D132)),2,1))&gt;=65,CODE(MID(TRIM(UPPER(D132)),2,1))&lt;=90,CODE(MID(TRIM(UPPER(D132)),3,1))&gt;=65,CODE(MID(TRIM(UPPER(D132)),3,1))&lt;=90,CODE(MID(TRIM(UPPER(D132)),4,1))&gt;=65,CODE(MID(TRIM(UPPER(D132)),4,1))&lt;=90,CODE(MID(TRIM(UPPER(D132)),5,1))&gt;=65,CODE(MID(TRIM(UPPER(D132)),5,1))&lt;=90,CODE(MID(TRIM(UPPER(D132)),10,1))&gt;=65,CODE(MID(TRIM(UPPER(D132)),10,1))&lt;=90,CODE(MID(TRIM(UPPER(D132)),6,1))&gt;=48,CODE(MID(TRIM(UPPER(D132)),6,1))&lt;=57,CODE(MID(TRIM(UPPER(D132)),7,1))&gt;=48,CODE(MID(TRIM(UPPER(D132)),7,1))&lt;=57,CODE(MID(TRIM(UPPER(D132)),8,1))&gt;=48,CODE(MID(TRIM(UPPER(D132)),8,1))&lt;=57,CODE(MID(TRIM(UPPER(D132)),9,1))&gt;=48,CODE(MID(TRIM(UPPER(D132)),9,1))&lt;=57),"N","Y"))</f>
      </c>
      <c r="F132" s="7">
        <f>IF($C132="","",IF(LEN(D132)&lt;4,"",IF(UPPER(MID(D132,4,1))="P","Individual",IF(UPPER(MID(D132,4,1))="H","HUF",IF(UPPER(MID(D132,4,1))="C","Company",IF(UPPER(MID(D132,4,1))="F","Firm",IF(UPPER(MID(D132,4,1))="L","LLP",IF(UPPER(MID(D132,4,1))="T","Trust",IF(UPPER(MID(D132,4,1))="A","AOP","")))))))))</f>
      </c>
      <c r="G132" s="8"/>
      <c r="H132" s="7">
        <f>IF($C132="","",IF(R132&lt;&gt;"",R132,IF(G132="","",IF(E132="Y",SUMPRODUCT(('Rate Lookup'!$A$1:$A$37=G132)*'Rate Lookup'!$D$1:$D$37),IF(OR(F132="Individual",F132="HUF"),SUMPRODUCT(('Rate Lookup'!$A$1:$A$37=G132)*'Rate Lookup'!$B$1:$B$37),SUMPRODUCT(('Rate Lookup'!$A$1:$A$37=G132)*'Rate Lookup'!$C$1:$C$37)))))))</f>
      </c>
      <c r="I132" s="8"/>
      <c r="J132" s="8"/>
      <c r="K132" s="7">
        <f>IF($C132="","",IF(OR(P132="B",P132="D",P132="E",P132="N",P132="O",P132="P",P132="Q",P132="S",P132="Y",P132="Z"),0,ROUND(J132*H132/100,0)))</f>
      </c>
      <c r="L132" s="7">
        <f>IF($C132="","",0)</f>
      </c>
      <c r="M132" s="7">
        <f>IF($C132="","",0)</f>
      </c>
      <c r="N132" s="7">
        <f>IF($C132="","",IF(OR(K132=0,I132="",IFERROR(INDEX('Challan Master'!$D$4:$D$207,MATCH($B132,'Challan Master'!$S$4:$S$207,0)),"")="",IFERROR(INDEX('Challan Master'!$D$4:$D$207,MATCH($B132,'Challan Master'!$S$4:$S$207,0)),"")&lt;=0),0,IF(IFERROR(INDEX('Challan Master'!$D$4:$D$207,MATCH($B132,'Challan Master'!$S$4:$S$207,0)),"")&lt;=DATE(YEAR(I132),MONTH(I132)+1,7),0,ROUND(K132*0.015*((YEAR(IFERROR(INDEX('Challan Master'!$D$4:$D$207,MATCH($B132,'Challan Master'!$S$4:$S$207,0)),""))-YEAR(I132))*12+(MONTH(IFERROR(INDEX('Challan Master'!$D$4:$D$207,MATCH($B132,'Challan Master'!$S$4:$S$207,0)),""))-MONTH(I132))+1),0))))</f>
      </c>
      <c r="O132" s="7">
        <f>IF($C132="","",0)</f>
      </c>
      <c r="P132" s="8"/>
      <c r="Q132" s="8"/>
      <c r="R132" s="8"/>
      <c r="S132" s="8"/>
      <c r="T132" s="8"/>
      <c r="U132" s="7">
        <f>IF($B132="","",IFERROR(INDEX('Challan Master'!$AA$4:$AA$207,MATCH($B132,'Challan Master'!$S$4:$S$207,0)),""))</f>
      </c>
    </row>
    <row r="133" spans="1:22" x14ac:dyDescent="0.25">
      <c r="A133" s="7">
        <f>IF($C133="","",COUNTIF($C$4:$C133,"&lt;&gt;"))</f>
      </c>
      <c r="B133" s="8"/>
      <c r="C133" s="8"/>
      <c r="D133" s="8"/>
      <c r="E133" s="7">
        <f>IF($C133="","",IF(AND(LEN(TRIM(UPPER(D133)))=10,CODE(MID(TRIM(UPPER(D133)),1,1))&gt;=65,CODE(MID(TRIM(UPPER(D133)),1,1))&lt;=90,CODE(MID(TRIM(UPPER(D133)),2,1))&gt;=65,CODE(MID(TRIM(UPPER(D133)),2,1))&lt;=90,CODE(MID(TRIM(UPPER(D133)),3,1))&gt;=65,CODE(MID(TRIM(UPPER(D133)),3,1))&lt;=90,CODE(MID(TRIM(UPPER(D133)),4,1))&gt;=65,CODE(MID(TRIM(UPPER(D133)),4,1))&lt;=90,CODE(MID(TRIM(UPPER(D133)),5,1))&gt;=65,CODE(MID(TRIM(UPPER(D133)),5,1))&lt;=90,CODE(MID(TRIM(UPPER(D133)),10,1))&gt;=65,CODE(MID(TRIM(UPPER(D133)),10,1))&lt;=90,CODE(MID(TRIM(UPPER(D133)),6,1))&gt;=48,CODE(MID(TRIM(UPPER(D133)),6,1))&lt;=57,CODE(MID(TRIM(UPPER(D133)),7,1))&gt;=48,CODE(MID(TRIM(UPPER(D133)),7,1))&lt;=57,CODE(MID(TRIM(UPPER(D133)),8,1))&gt;=48,CODE(MID(TRIM(UPPER(D133)),8,1))&lt;=57,CODE(MID(TRIM(UPPER(D133)),9,1))&gt;=48,CODE(MID(TRIM(UPPER(D133)),9,1))&lt;=57),"N","Y"))</f>
      </c>
      <c r="F133" s="7">
        <f>IF($C133="","",IF(LEN(D133)&lt;4,"",IF(UPPER(MID(D133,4,1))="P","Individual",IF(UPPER(MID(D133,4,1))="H","HUF",IF(UPPER(MID(D133,4,1))="C","Company",IF(UPPER(MID(D133,4,1))="F","Firm",IF(UPPER(MID(D133,4,1))="L","LLP",IF(UPPER(MID(D133,4,1))="T","Trust",IF(UPPER(MID(D133,4,1))="A","AOP","")))))))))</f>
      </c>
      <c r="G133" s="8"/>
      <c r="H133" s="7">
        <f>IF($C133="","",IF(R133&lt;&gt;"",R133,IF(G133="","",IF(E133="Y",SUMPRODUCT(('Rate Lookup'!$A$1:$A$37=G133)*'Rate Lookup'!$D$1:$D$37),IF(OR(F133="Individual",F133="HUF"),SUMPRODUCT(('Rate Lookup'!$A$1:$A$37=G133)*'Rate Lookup'!$B$1:$B$37),SUMPRODUCT(('Rate Lookup'!$A$1:$A$37=G133)*'Rate Lookup'!$C$1:$C$37)))))))</f>
      </c>
      <c r="I133" s="8"/>
      <c r="J133" s="8"/>
      <c r="K133" s="7">
        <f>IF($C133="","",IF(OR(P133="B",P133="D",P133="E",P133="N",P133="O",P133="P",P133="Q",P133="S",P133="Y",P133="Z"),0,ROUND(J133*H133/100,0)))</f>
      </c>
      <c r="L133" s="7">
        <f>IF($C133="","",0)</f>
      </c>
      <c r="M133" s="7">
        <f>IF($C133="","",0)</f>
      </c>
      <c r="N133" s="7">
        <f>IF($C133="","",IF(OR(K133=0,I133="",IFERROR(INDEX('Challan Master'!$D$4:$D$207,MATCH($B133,'Challan Master'!$S$4:$S$207,0)),"")="",IFERROR(INDEX('Challan Master'!$D$4:$D$207,MATCH($B133,'Challan Master'!$S$4:$S$207,0)),"")&lt;=0),0,IF(IFERROR(INDEX('Challan Master'!$D$4:$D$207,MATCH($B133,'Challan Master'!$S$4:$S$207,0)),"")&lt;=DATE(YEAR(I133),MONTH(I133)+1,7),0,ROUND(K133*0.015*((YEAR(IFERROR(INDEX('Challan Master'!$D$4:$D$207,MATCH($B133,'Challan Master'!$S$4:$S$207,0)),""))-YEAR(I133))*12+(MONTH(IFERROR(INDEX('Challan Master'!$D$4:$D$207,MATCH($B133,'Challan Master'!$S$4:$S$207,0)),""))-MONTH(I133))+1),0))))</f>
      </c>
      <c r="O133" s="7">
        <f>IF($C133="","",0)</f>
      </c>
      <c r="P133" s="8"/>
      <c r="Q133" s="8"/>
      <c r="R133" s="8"/>
      <c r="S133" s="8"/>
      <c r="T133" s="8"/>
      <c r="U133" s="7">
        <f>IF($B133="","",IFERROR(INDEX('Challan Master'!$AA$4:$AA$207,MATCH($B133,'Challan Master'!$S$4:$S$207,0)),""))</f>
      </c>
    </row>
    <row r="134" spans="1:22" x14ac:dyDescent="0.25">
      <c r="A134" s="7">
        <f>IF($C134="","",COUNTIF($C$4:$C134,"&lt;&gt;"))</f>
      </c>
      <c r="B134" s="8"/>
      <c r="C134" s="8"/>
      <c r="D134" s="8"/>
      <c r="E134" s="7">
        <f>IF($C134="","",IF(AND(LEN(TRIM(UPPER(D134)))=10,CODE(MID(TRIM(UPPER(D134)),1,1))&gt;=65,CODE(MID(TRIM(UPPER(D134)),1,1))&lt;=90,CODE(MID(TRIM(UPPER(D134)),2,1))&gt;=65,CODE(MID(TRIM(UPPER(D134)),2,1))&lt;=90,CODE(MID(TRIM(UPPER(D134)),3,1))&gt;=65,CODE(MID(TRIM(UPPER(D134)),3,1))&lt;=90,CODE(MID(TRIM(UPPER(D134)),4,1))&gt;=65,CODE(MID(TRIM(UPPER(D134)),4,1))&lt;=90,CODE(MID(TRIM(UPPER(D134)),5,1))&gt;=65,CODE(MID(TRIM(UPPER(D134)),5,1))&lt;=90,CODE(MID(TRIM(UPPER(D134)),10,1))&gt;=65,CODE(MID(TRIM(UPPER(D134)),10,1))&lt;=90,CODE(MID(TRIM(UPPER(D134)),6,1))&gt;=48,CODE(MID(TRIM(UPPER(D134)),6,1))&lt;=57,CODE(MID(TRIM(UPPER(D134)),7,1))&gt;=48,CODE(MID(TRIM(UPPER(D134)),7,1))&lt;=57,CODE(MID(TRIM(UPPER(D134)),8,1))&gt;=48,CODE(MID(TRIM(UPPER(D134)),8,1))&lt;=57,CODE(MID(TRIM(UPPER(D134)),9,1))&gt;=48,CODE(MID(TRIM(UPPER(D134)),9,1))&lt;=57),"N","Y"))</f>
      </c>
      <c r="F134" s="7">
        <f>IF($C134="","",IF(LEN(D134)&lt;4,"",IF(UPPER(MID(D134,4,1))="P","Individual",IF(UPPER(MID(D134,4,1))="H","HUF",IF(UPPER(MID(D134,4,1))="C","Company",IF(UPPER(MID(D134,4,1))="F","Firm",IF(UPPER(MID(D134,4,1))="L","LLP",IF(UPPER(MID(D134,4,1))="T","Trust",IF(UPPER(MID(D134,4,1))="A","AOP","")))))))))</f>
      </c>
      <c r="G134" s="8"/>
      <c r="H134" s="7">
        <f>IF($C134="","",IF(R134&lt;&gt;"",R134,IF(G134="","",IF(E134="Y",SUMPRODUCT(('Rate Lookup'!$A$1:$A$37=G134)*'Rate Lookup'!$D$1:$D$37),IF(OR(F134="Individual",F134="HUF"),SUMPRODUCT(('Rate Lookup'!$A$1:$A$37=G134)*'Rate Lookup'!$B$1:$B$37),SUMPRODUCT(('Rate Lookup'!$A$1:$A$37=G134)*'Rate Lookup'!$C$1:$C$37)))))))</f>
      </c>
      <c r="I134" s="8"/>
      <c r="J134" s="8"/>
      <c r="K134" s="7">
        <f>IF($C134="","",IF(OR(P134="B",P134="D",P134="E",P134="N",P134="O",P134="P",P134="Q",P134="S",P134="Y",P134="Z"),0,ROUND(J134*H134/100,0)))</f>
      </c>
      <c r="L134" s="7">
        <f>IF($C134="","",0)</f>
      </c>
      <c r="M134" s="7">
        <f>IF($C134="","",0)</f>
      </c>
      <c r="N134" s="7">
        <f>IF($C134="","",IF(OR(K134=0,I134="",IFERROR(INDEX('Challan Master'!$D$4:$D$207,MATCH($B134,'Challan Master'!$S$4:$S$207,0)),"")="",IFERROR(INDEX('Challan Master'!$D$4:$D$207,MATCH($B134,'Challan Master'!$S$4:$S$207,0)),"")&lt;=0),0,IF(IFERROR(INDEX('Challan Master'!$D$4:$D$207,MATCH($B134,'Challan Master'!$S$4:$S$207,0)),"")&lt;=DATE(YEAR(I134),MONTH(I134)+1,7),0,ROUND(K134*0.015*((YEAR(IFERROR(INDEX('Challan Master'!$D$4:$D$207,MATCH($B134,'Challan Master'!$S$4:$S$207,0)),""))-YEAR(I134))*12+(MONTH(IFERROR(INDEX('Challan Master'!$D$4:$D$207,MATCH($B134,'Challan Master'!$S$4:$S$207,0)),""))-MONTH(I134))+1),0))))</f>
      </c>
      <c r="O134" s="7">
        <f>IF($C134="","",0)</f>
      </c>
      <c r="P134" s="8"/>
      <c r="Q134" s="8"/>
      <c r="R134" s="8"/>
      <c r="S134" s="8"/>
      <c r="T134" s="8"/>
      <c r="U134" s="7">
        <f>IF($B134="","",IFERROR(INDEX('Challan Master'!$AA$4:$AA$207,MATCH($B134,'Challan Master'!$S$4:$S$207,0)),""))</f>
      </c>
    </row>
    <row r="135" spans="1:22" x14ac:dyDescent="0.25">
      <c r="A135" s="7">
        <f>IF($C135="","",COUNTIF($C$4:$C135,"&lt;&gt;"))</f>
      </c>
      <c r="B135" s="8"/>
      <c r="C135" s="8"/>
      <c r="D135" s="8"/>
      <c r="E135" s="7">
        <f>IF($C135="","",IF(AND(LEN(TRIM(UPPER(D135)))=10,CODE(MID(TRIM(UPPER(D135)),1,1))&gt;=65,CODE(MID(TRIM(UPPER(D135)),1,1))&lt;=90,CODE(MID(TRIM(UPPER(D135)),2,1))&gt;=65,CODE(MID(TRIM(UPPER(D135)),2,1))&lt;=90,CODE(MID(TRIM(UPPER(D135)),3,1))&gt;=65,CODE(MID(TRIM(UPPER(D135)),3,1))&lt;=90,CODE(MID(TRIM(UPPER(D135)),4,1))&gt;=65,CODE(MID(TRIM(UPPER(D135)),4,1))&lt;=90,CODE(MID(TRIM(UPPER(D135)),5,1))&gt;=65,CODE(MID(TRIM(UPPER(D135)),5,1))&lt;=90,CODE(MID(TRIM(UPPER(D135)),10,1))&gt;=65,CODE(MID(TRIM(UPPER(D135)),10,1))&lt;=90,CODE(MID(TRIM(UPPER(D135)),6,1))&gt;=48,CODE(MID(TRIM(UPPER(D135)),6,1))&lt;=57,CODE(MID(TRIM(UPPER(D135)),7,1))&gt;=48,CODE(MID(TRIM(UPPER(D135)),7,1))&lt;=57,CODE(MID(TRIM(UPPER(D135)),8,1))&gt;=48,CODE(MID(TRIM(UPPER(D135)),8,1))&lt;=57,CODE(MID(TRIM(UPPER(D135)),9,1))&gt;=48,CODE(MID(TRIM(UPPER(D135)),9,1))&lt;=57),"N","Y"))</f>
      </c>
      <c r="F135" s="7">
        <f>IF($C135="","",IF(LEN(D135)&lt;4,"",IF(UPPER(MID(D135,4,1))="P","Individual",IF(UPPER(MID(D135,4,1))="H","HUF",IF(UPPER(MID(D135,4,1))="C","Company",IF(UPPER(MID(D135,4,1))="F","Firm",IF(UPPER(MID(D135,4,1))="L","LLP",IF(UPPER(MID(D135,4,1))="T","Trust",IF(UPPER(MID(D135,4,1))="A","AOP","")))))))))</f>
      </c>
      <c r="G135" s="8"/>
      <c r="H135" s="7">
        <f>IF($C135="","",IF(R135&lt;&gt;"",R135,IF(G135="","",IF(E135="Y",SUMPRODUCT(('Rate Lookup'!$A$1:$A$37=G135)*'Rate Lookup'!$D$1:$D$37),IF(OR(F135="Individual",F135="HUF"),SUMPRODUCT(('Rate Lookup'!$A$1:$A$37=G135)*'Rate Lookup'!$B$1:$B$37),SUMPRODUCT(('Rate Lookup'!$A$1:$A$37=G135)*'Rate Lookup'!$C$1:$C$37)))))))</f>
      </c>
      <c r="I135" s="8"/>
      <c r="J135" s="8"/>
      <c r="K135" s="7">
        <f>IF($C135="","",IF(OR(P135="B",P135="D",P135="E",P135="N",P135="O",P135="P",P135="Q",P135="S",P135="Y",P135="Z"),0,ROUND(J135*H135/100,0)))</f>
      </c>
      <c r="L135" s="7">
        <f>IF($C135="","",0)</f>
      </c>
      <c r="M135" s="7">
        <f>IF($C135="","",0)</f>
      </c>
      <c r="N135" s="7">
        <f>IF($C135="","",IF(OR(K135=0,I135="",IFERROR(INDEX('Challan Master'!$D$4:$D$207,MATCH($B135,'Challan Master'!$S$4:$S$207,0)),"")="",IFERROR(INDEX('Challan Master'!$D$4:$D$207,MATCH($B135,'Challan Master'!$S$4:$S$207,0)),"")&lt;=0),0,IF(IFERROR(INDEX('Challan Master'!$D$4:$D$207,MATCH($B135,'Challan Master'!$S$4:$S$207,0)),"")&lt;=DATE(YEAR(I135),MONTH(I135)+1,7),0,ROUND(K135*0.015*((YEAR(IFERROR(INDEX('Challan Master'!$D$4:$D$207,MATCH($B135,'Challan Master'!$S$4:$S$207,0)),""))-YEAR(I135))*12+(MONTH(IFERROR(INDEX('Challan Master'!$D$4:$D$207,MATCH($B135,'Challan Master'!$S$4:$S$207,0)),""))-MONTH(I135))+1),0))))</f>
      </c>
      <c r="O135" s="7">
        <f>IF($C135="","",0)</f>
      </c>
      <c r="P135" s="8"/>
      <c r="Q135" s="8"/>
      <c r="R135" s="8"/>
      <c r="S135" s="8"/>
      <c r="T135" s="8"/>
      <c r="U135" s="7">
        <f>IF($B135="","",IFERROR(INDEX('Challan Master'!$AA$4:$AA$207,MATCH($B135,'Challan Master'!$S$4:$S$207,0)),""))</f>
      </c>
    </row>
    <row r="136" spans="1:22" x14ac:dyDescent="0.25">
      <c r="A136" s="7">
        <f>IF($C136="","",COUNTIF($C$4:$C136,"&lt;&gt;"))</f>
      </c>
      <c r="B136" s="8"/>
      <c r="C136" s="8"/>
      <c r="D136" s="8"/>
      <c r="E136" s="7">
        <f>IF($C136="","",IF(AND(LEN(TRIM(UPPER(D136)))=10,CODE(MID(TRIM(UPPER(D136)),1,1))&gt;=65,CODE(MID(TRIM(UPPER(D136)),1,1))&lt;=90,CODE(MID(TRIM(UPPER(D136)),2,1))&gt;=65,CODE(MID(TRIM(UPPER(D136)),2,1))&lt;=90,CODE(MID(TRIM(UPPER(D136)),3,1))&gt;=65,CODE(MID(TRIM(UPPER(D136)),3,1))&lt;=90,CODE(MID(TRIM(UPPER(D136)),4,1))&gt;=65,CODE(MID(TRIM(UPPER(D136)),4,1))&lt;=90,CODE(MID(TRIM(UPPER(D136)),5,1))&gt;=65,CODE(MID(TRIM(UPPER(D136)),5,1))&lt;=90,CODE(MID(TRIM(UPPER(D136)),10,1))&gt;=65,CODE(MID(TRIM(UPPER(D136)),10,1))&lt;=90,CODE(MID(TRIM(UPPER(D136)),6,1))&gt;=48,CODE(MID(TRIM(UPPER(D136)),6,1))&lt;=57,CODE(MID(TRIM(UPPER(D136)),7,1))&gt;=48,CODE(MID(TRIM(UPPER(D136)),7,1))&lt;=57,CODE(MID(TRIM(UPPER(D136)),8,1))&gt;=48,CODE(MID(TRIM(UPPER(D136)),8,1))&lt;=57,CODE(MID(TRIM(UPPER(D136)),9,1))&gt;=48,CODE(MID(TRIM(UPPER(D136)),9,1))&lt;=57),"N","Y"))</f>
      </c>
      <c r="F136" s="7">
        <f>IF($C136="","",IF(LEN(D136)&lt;4,"",IF(UPPER(MID(D136,4,1))="P","Individual",IF(UPPER(MID(D136,4,1))="H","HUF",IF(UPPER(MID(D136,4,1))="C","Company",IF(UPPER(MID(D136,4,1))="F","Firm",IF(UPPER(MID(D136,4,1))="L","LLP",IF(UPPER(MID(D136,4,1))="T","Trust",IF(UPPER(MID(D136,4,1))="A","AOP","")))))))))</f>
      </c>
      <c r="G136" s="8"/>
      <c r="H136" s="7">
        <f>IF($C136="","",IF(R136&lt;&gt;"",R136,IF(G136="","",IF(E136="Y",SUMPRODUCT(('Rate Lookup'!$A$1:$A$37=G136)*'Rate Lookup'!$D$1:$D$37),IF(OR(F136="Individual",F136="HUF"),SUMPRODUCT(('Rate Lookup'!$A$1:$A$37=G136)*'Rate Lookup'!$B$1:$B$37),SUMPRODUCT(('Rate Lookup'!$A$1:$A$37=G136)*'Rate Lookup'!$C$1:$C$37)))))))</f>
      </c>
      <c r="I136" s="8"/>
      <c r="J136" s="8"/>
      <c r="K136" s="7">
        <f>IF($C136="","",IF(OR(P136="B",P136="D",P136="E",P136="N",P136="O",P136="P",P136="Q",P136="S",P136="Y",P136="Z"),0,ROUND(J136*H136/100,0)))</f>
      </c>
      <c r="L136" s="7">
        <f>IF($C136="","",0)</f>
      </c>
      <c r="M136" s="7">
        <f>IF($C136="","",0)</f>
      </c>
      <c r="N136" s="7">
        <f>IF($C136="","",IF(OR(K136=0,I136="",IFERROR(INDEX('Challan Master'!$D$4:$D$207,MATCH($B136,'Challan Master'!$S$4:$S$207,0)),"")="",IFERROR(INDEX('Challan Master'!$D$4:$D$207,MATCH($B136,'Challan Master'!$S$4:$S$207,0)),"")&lt;=0),0,IF(IFERROR(INDEX('Challan Master'!$D$4:$D$207,MATCH($B136,'Challan Master'!$S$4:$S$207,0)),"")&lt;=DATE(YEAR(I136),MONTH(I136)+1,7),0,ROUND(K136*0.015*((YEAR(IFERROR(INDEX('Challan Master'!$D$4:$D$207,MATCH($B136,'Challan Master'!$S$4:$S$207,0)),""))-YEAR(I136))*12+(MONTH(IFERROR(INDEX('Challan Master'!$D$4:$D$207,MATCH($B136,'Challan Master'!$S$4:$S$207,0)),""))-MONTH(I136))+1),0))))</f>
      </c>
      <c r="O136" s="7">
        <f>IF($C136="","",0)</f>
      </c>
      <c r="P136" s="8"/>
      <c r="Q136" s="8"/>
      <c r="R136" s="8"/>
      <c r="S136" s="8"/>
      <c r="T136" s="8"/>
      <c r="U136" s="7">
        <f>IF($B136="","",IFERROR(INDEX('Challan Master'!$AA$4:$AA$207,MATCH($B136,'Challan Master'!$S$4:$S$207,0)),""))</f>
      </c>
    </row>
    <row r="137" spans="1:22" x14ac:dyDescent="0.25">
      <c r="A137" s="7">
        <f>IF($C137="","",COUNTIF($C$4:$C137,"&lt;&gt;"))</f>
      </c>
      <c r="B137" s="8"/>
      <c r="C137" s="8"/>
      <c r="D137" s="8"/>
      <c r="E137" s="7">
        <f>IF($C137="","",IF(AND(LEN(TRIM(UPPER(D137)))=10,CODE(MID(TRIM(UPPER(D137)),1,1))&gt;=65,CODE(MID(TRIM(UPPER(D137)),1,1))&lt;=90,CODE(MID(TRIM(UPPER(D137)),2,1))&gt;=65,CODE(MID(TRIM(UPPER(D137)),2,1))&lt;=90,CODE(MID(TRIM(UPPER(D137)),3,1))&gt;=65,CODE(MID(TRIM(UPPER(D137)),3,1))&lt;=90,CODE(MID(TRIM(UPPER(D137)),4,1))&gt;=65,CODE(MID(TRIM(UPPER(D137)),4,1))&lt;=90,CODE(MID(TRIM(UPPER(D137)),5,1))&gt;=65,CODE(MID(TRIM(UPPER(D137)),5,1))&lt;=90,CODE(MID(TRIM(UPPER(D137)),10,1))&gt;=65,CODE(MID(TRIM(UPPER(D137)),10,1))&lt;=90,CODE(MID(TRIM(UPPER(D137)),6,1))&gt;=48,CODE(MID(TRIM(UPPER(D137)),6,1))&lt;=57,CODE(MID(TRIM(UPPER(D137)),7,1))&gt;=48,CODE(MID(TRIM(UPPER(D137)),7,1))&lt;=57,CODE(MID(TRIM(UPPER(D137)),8,1))&gt;=48,CODE(MID(TRIM(UPPER(D137)),8,1))&lt;=57,CODE(MID(TRIM(UPPER(D137)),9,1))&gt;=48,CODE(MID(TRIM(UPPER(D137)),9,1))&lt;=57),"N","Y"))</f>
      </c>
      <c r="F137" s="7">
        <f>IF($C137="","",IF(LEN(D137)&lt;4,"",IF(UPPER(MID(D137,4,1))="P","Individual",IF(UPPER(MID(D137,4,1))="H","HUF",IF(UPPER(MID(D137,4,1))="C","Company",IF(UPPER(MID(D137,4,1))="F","Firm",IF(UPPER(MID(D137,4,1))="L","LLP",IF(UPPER(MID(D137,4,1))="T","Trust",IF(UPPER(MID(D137,4,1))="A","AOP","")))))))))</f>
      </c>
      <c r="G137" s="8"/>
      <c r="H137" s="7">
        <f>IF($C137="","",IF(R137&lt;&gt;"",R137,IF(G137="","",IF(E137="Y",SUMPRODUCT(('Rate Lookup'!$A$1:$A$37=G137)*'Rate Lookup'!$D$1:$D$37),IF(OR(F137="Individual",F137="HUF"),SUMPRODUCT(('Rate Lookup'!$A$1:$A$37=G137)*'Rate Lookup'!$B$1:$B$37),SUMPRODUCT(('Rate Lookup'!$A$1:$A$37=G137)*'Rate Lookup'!$C$1:$C$37)))))))</f>
      </c>
      <c r="I137" s="8"/>
      <c r="J137" s="8"/>
      <c r="K137" s="7">
        <f>IF($C137="","",IF(OR(P137="B",P137="D",P137="E",P137="N",P137="O",P137="P",P137="Q",P137="S",P137="Y",P137="Z"),0,ROUND(J137*H137/100,0)))</f>
      </c>
      <c r="L137" s="7">
        <f>IF($C137="","",0)</f>
      </c>
      <c r="M137" s="7">
        <f>IF($C137="","",0)</f>
      </c>
      <c r="N137" s="7">
        <f>IF($C137="","",IF(OR(K137=0,I137="",IFERROR(INDEX('Challan Master'!$D$4:$D$207,MATCH($B137,'Challan Master'!$S$4:$S$207,0)),"")="",IFERROR(INDEX('Challan Master'!$D$4:$D$207,MATCH($B137,'Challan Master'!$S$4:$S$207,0)),"")&lt;=0),0,IF(IFERROR(INDEX('Challan Master'!$D$4:$D$207,MATCH($B137,'Challan Master'!$S$4:$S$207,0)),"")&lt;=DATE(YEAR(I137),MONTH(I137)+1,7),0,ROUND(K137*0.015*((YEAR(IFERROR(INDEX('Challan Master'!$D$4:$D$207,MATCH($B137,'Challan Master'!$S$4:$S$207,0)),""))-YEAR(I137))*12+(MONTH(IFERROR(INDEX('Challan Master'!$D$4:$D$207,MATCH($B137,'Challan Master'!$S$4:$S$207,0)),""))-MONTH(I137))+1),0))))</f>
      </c>
      <c r="O137" s="7">
        <f>IF($C137="","",0)</f>
      </c>
      <c r="P137" s="8"/>
      <c r="Q137" s="8"/>
      <c r="R137" s="8"/>
      <c r="S137" s="8"/>
      <c r="T137" s="8"/>
      <c r="U137" s="7">
        <f>IF($B137="","",IFERROR(INDEX('Challan Master'!$AA$4:$AA$207,MATCH($B137,'Challan Master'!$S$4:$S$207,0)),""))</f>
      </c>
    </row>
    <row r="138" spans="1:22" x14ac:dyDescent="0.25">
      <c r="A138" s="7">
        <f>IF($C138="","",COUNTIF($C$4:$C138,"&lt;&gt;"))</f>
      </c>
      <c r="B138" s="8"/>
      <c r="C138" s="8"/>
      <c r="D138" s="8"/>
      <c r="E138" s="7">
        <f>IF($C138="","",IF(AND(LEN(TRIM(UPPER(D138)))=10,CODE(MID(TRIM(UPPER(D138)),1,1))&gt;=65,CODE(MID(TRIM(UPPER(D138)),1,1))&lt;=90,CODE(MID(TRIM(UPPER(D138)),2,1))&gt;=65,CODE(MID(TRIM(UPPER(D138)),2,1))&lt;=90,CODE(MID(TRIM(UPPER(D138)),3,1))&gt;=65,CODE(MID(TRIM(UPPER(D138)),3,1))&lt;=90,CODE(MID(TRIM(UPPER(D138)),4,1))&gt;=65,CODE(MID(TRIM(UPPER(D138)),4,1))&lt;=90,CODE(MID(TRIM(UPPER(D138)),5,1))&gt;=65,CODE(MID(TRIM(UPPER(D138)),5,1))&lt;=90,CODE(MID(TRIM(UPPER(D138)),10,1))&gt;=65,CODE(MID(TRIM(UPPER(D138)),10,1))&lt;=90,CODE(MID(TRIM(UPPER(D138)),6,1))&gt;=48,CODE(MID(TRIM(UPPER(D138)),6,1))&lt;=57,CODE(MID(TRIM(UPPER(D138)),7,1))&gt;=48,CODE(MID(TRIM(UPPER(D138)),7,1))&lt;=57,CODE(MID(TRIM(UPPER(D138)),8,1))&gt;=48,CODE(MID(TRIM(UPPER(D138)),8,1))&lt;=57,CODE(MID(TRIM(UPPER(D138)),9,1))&gt;=48,CODE(MID(TRIM(UPPER(D138)),9,1))&lt;=57),"N","Y"))</f>
      </c>
      <c r="F138" s="7">
        <f>IF($C138="","",IF(LEN(D138)&lt;4,"",IF(UPPER(MID(D138,4,1))="P","Individual",IF(UPPER(MID(D138,4,1))="H","HUF",IF(UPPER(MID(D138,4,1))="C","Company",IF(UPPER(MID(D138,4,1))="F","Firm",IF(UPPER(MID(D138,4,1))="L","LLP",IF(UPPER(MID(D138,4,1))="T","Trust",IF(UPPER(MID(D138,4,1))="A","AOP","")))))))))</f>
      </c>
      <c r="G138" s="8"/>
      <c r="H138" s="7">
        <f>IF($C138="","",IF(R138&lt;&gt;"",R138,IF(G138="","",IF(E138="Y",SUMPRODUCT(('Rate Lookup'!$A$1:$A$37=G138)*'Rate Lookup'!$D$1:$D$37),IF(OR(F138="Individual",F138="HUF"),SUMPRODUCT(('Rate Lookup'!$A$1:$A$37=G138)*'Rate Lookup'!$B$1:$B$37),SUMPRODUCT(('Rate Lookup'!$A$1:$A$37=G138)*'Rate Lookup'!$C$1:$C$37)))))))</f>
      </c>
      <c r="I138" s="8"/>
      <c r="J138" s="8"/>
      <c r="K138" s="7">
        <f>IF($C138="","",IF(OR(P138="B",P138="D",P138="E",P138="N",P138="O",P138="P",P138="Q",P138="S",P138="Y",P138="Z"),0,ROUND(J138*H138/100,0)))</f>
      </c>
      <c r="L138" s="7">
        <f>IF($C138="","",0)</f>
      </c>
      <c r="M138" s="7">
        <f>IF($C138="","",0)</f>
      </c>
      <c r="N138" s="7">
        <f>IF($C138="","",IF(OR(K138=0,I138="",IFERROR(INDEX('Challan Master'!$D$4:$D$207,MATCH($B138,'Challan Master'!$S$4:$S$207,0)),"")="",IFERROR(INDEX('Challan Master'!$D$4:$D$207,MATCH($B138,'Challan Master'!$S$4:$S$207,0)),"")&lt;=0),0,IF(IFERROR(INDEX('Challan Master'!$D$4:$D$207,MATCH($B138,'Challan Master'!$S$4:$S$207,0)),"")&lt;=DATE(YEAR(I138),MONTH(I138)+1,7),0,ROUND(K138*0.015*((YEAR(IFERROR(INDEX('Challan Master'!$D$4:$D$207,MATCH($B138,'Challan Master'!$S$4:$S$207,0)),""))-YEAR(I138))*12+(MONTH(IFERROR(INDEX('Challan Master'!$D$4:$D$207,MATCH($B138,'Challan Master'!$S$4:$S$207,0)),""))-MONTH(I138))+1),0))))</f>
      </c>
      <c r="O138" s="7">
        <f>IF($C138="","",0)</f>
      </c>
      <c r="P138" s="8"/>
      <c r="Q138" s="8"/>
      <c r="R138" s="8"/>
      <c r="S138" s="8"/>
      <c r="T138" s="8"/>
      <c r="U138" s="7">
        <f>IF($B138="","",IFERROR(INDEX('Challan Master'!$AA$4:$AA$207,MATCH($B138,'Challan Master'!$S$4:$S$207,0)),""))</f>
      </c>
    </row>
    <row r="139" spans="1:22" x14ac:dyDescent="0.25">
      <c r="A139" s="7">
        <f>IF($C139="","",COUNTIF($C$4:$C139,"&lt;&gt;"))</f>
      </c>
      <c r="B139" s="8"/>
      <c r="C139" s="8"/>
      <c r="D139" s="8"/>
      <c r="E139" s="7">
        <f>IF($C139="","",IF(AND(LEN(TRIM(UPPER(D139)))=10,CODE(MID(TRIM(UPPER(D139)),1,1))&gt;=65,CODE(MID(TRIM(UPPER(D139)),1,1))&lt;=90,CODE(MID(TRIM(UPPER(D139)),2,1))&gt;=65,CODE(MID(TRIM(UPPER(D139)),2,1))&lt;=90,CODE(MID(TRIM(UPPER(D139)),3,1))&gt;=65,CODE(MID(TRIM(UPPER(D139)),3,1))&lt;=90,CODE(MID(TRIM(UPPER(D139)),4,1))&gt;=65,CODE(MID(TRIM(UPPER(D139)),4,1))&lt;=90,CODE(MID(TRIM(UPPER(D139)),5,1))&gt;=65,CODE(MID(TRIM(UPPER(D139)),5,1))&lt;=90,CODE(MID(TRIM(UPPER(D139)),10,1))&gt;=65,CODE(MID(TRIM(UPPER(D139)),10,1))&lt;=90,CODE(MID(TRIM(UPPER(D139)),6,1))&gt;=48,CODE(MID(TRIM(UPPER(D139)),6,1))&lt;=57,CODE(MID(TRIM(UPPER(D139)),7,1))&gt;=48,CODE(MID(TRIM(UPPER(D139)),7,1))&lt;=57,CODE(MID(TRIM(UPPER(D139)),8,1))&gt;=48,CODE(MID(TRIM(UPPER(D139)),8,1))&lt;=57,CODE(MID(TRIM(UPPER(D139)),9,1))&gt;=48,CODE(MID(TRIM(UPPER(D139)),9,1))&lt;=57),"N","Y"))</f>
      </c>
      <c r="F139" s="7">
        <f>IF($C139="","",IF(LEN(D139)&lt;4,"",IF(UPPER(MID(D139,4,1))="P","Individual",IF(UPPER(MID(D139,4,1))="H","HUF",IF(UPPER(MID(D139,4,1))="C","Company",IF(UPPER(MID(D139,4,1))="F","Firm",IF(UPPER(MID(D139,4,1))="L","LLP",IF(UPPER(MID(D139,4,1))="T","Trust",IF(UPPER(MID(D139,4,1))="A","AOP","")))))))))</f>
      </c>
      <c r="G139" s="8"/>
      <c r="H139" s="7">
        <f>IF($C139="","",IF(R139&lt;&gt;"",R139,IF(G139="","",IF(E139="Y",SUMPRODUCT(('Rate Lookup'!$A$1:$A$37=G139)*'Rate Lookup'!$D$1:$D$37),IF(OR(F139="Individual",F139="HUF"),SUMPRODUCT(('Rate Lookup'!$A$1:$A$37=G139)*'Rate Lookup'!$B$1:$B$37),SUMPRODUCT(('Rate Lookup'!$A$1:$A$37=G139)*'Rate Lookup'!$C$1:$C$37)))))))</f>
      </c>
      <c r="I139" s="8"/>
      <c r="J139" s="8"/>
      <c r="K139" s="7">
        <f>IF($C139="","",IF(OR(P139="B",P139="D",P139="E",P139="N",P139="O",P139="P",P139="Q",P139="S",P139="Y",P139="Z"),0,ROUND(J139*H139/100,0)))</f>
      </c>
      <c r="L139" s="7">
        <f>IF($C139="","",0)</f>
      </c>
      <c r="M139" s="7">
        <f>IF($C139="","",0)</f>
      </c>
      <c r="N139" s="7">
        <f>IF($C139="","",IF(OR(K139=0,I139="",IFERROR(INDEX('Challan Master'!$D$4:$D$207,MATCH($B139,'Challan Master'!$S$4:$S$207,0)),"")="",IFERROR(INDEX('Challan Master'!$D$4:$D$207,MATCH($B139,'Challan Master'!$S$4:$S$207,0)),"")&lt;=0),0,IF(IFERROR(INDEX('Challan Master'!$D$4:$D$207,MATCH($B139,'Challan Master'!$S$4:$S$207,0)),"")&lt;=DATE(YEAR(I139),MONTH(I139)+1,7),0,ROUND(K139*0.015*((YEAR(IFERROR(INDEX('Challan Master'!$D$4:$D$207,MATCH($B139,'Challan Master'!$S$4:$S$207,0)),""))-YEAR(I139))*12+(MONTH(IFERROR(INDEX('Challan Master'!$D$4:$D$207,MATCH($B139,'Challan Master'!$S$4:$S$207,0)),""))-MONTH(I139))+1),0))))</f>
      </c>
      <c r="O139" s="7">
        <f>IF($C139="","",0)</f>
      </c>
      <c r="P139" s="8"/>
      <c r="Q139" s="8"/>
      <c r="R139" s="8"/>
      <c r="S139" s="8"/>
      <c r="T139" s="8"/>
      <c r="U139" s="7">
        <f>IF($B139="","",IFERROR(INDEX('Challan Master'!$AA$4:$AA$207,MATCH($B139,'Challan Master'!$S$4:$S$207,0)),""))</f>
      </c>
    </row>
    <row r="140" spans="1:22" x14ac:dyDescent="0.25">
      <c r="A140" s="7">
        <f>IF($C140="","",COUNTIF($C$4:$C140,"&lt;&gt;"))</f>
      </c>
      <c r="B140" s="8"/>
      <c r="C140" s="8"/>
      <c r="D140" s="8"/>
      <c r="E140" s="7">
        <f>IF($C140="","",IF(AND(LEN(TRIM(UPPER(D140)))=10,CODE(MID(TRIM(UPPER(D140)),1,1))&gt;=65,CODE(MID(TRIM(UPPER(D140)),1,1))&lt;=90,CODE(MID(TRIM(UPPER(D140)),2,1))&gt;=65,CODE(MID(TRIM(UPPER(D140)),2,1))&lt;=90,CODE(MID(TRIM(UPPER(D140)),3,1))&gt;=65,CODE(MID(TRIM(UPPER(D140)),3,1))&lt;=90,CODE(MID(TRIM(UPPER(D140)),4,1))&gt;=65,CODE(MID(TRIM(UPPER(D140)),4,1))&lt;=90,CODE(MID(TRIM(UPPER(D140)),5,1))&gt;=65,CODE(MID(TRIM(UPPER(D140)),5,1))&lt;=90,CODE(MID(TRIM(UPPER(D140)),10,1))&gt;=65,CODE(MID(TRIM(UPPER(D140)),10,1))&lt;=90,CODE(MID(TRIM(UPPER(D140)),6,1))&gt;=48,CODE(MID(TRIM(UPPER(D140)),6,1))&lt;=57,CODE(MID(TRIM(UPPER(D140)),7,1))&gt;=48,CODE(MID(TRIM(UPPER(D140)),7,1))&lt;=57,CODE(MID(TRIM(UPPER(D140)),8,1))&gt;=48,CODE(MID(TRIM(UPPER(D140)),8,1))&lt;=57,CODE(MID(TRIM(UPPER(D140)),9,1))&gt;=48,CODE(MID(TRIM(UPPER(D140)),9,1))&lt;=57),"N","Y"))</f>
      </c>
      <c r="F140" s="7">
        <f>IF($C140="","",IF(LEN(D140)&lt;4,"",IF(UPPER(MID(D140,4,1))="P","Individual",IF(UPPER(MID(D140,4,1))="H","HUF",IF(UPPER(MID(D140,4,1))="C","Company",IF(UPPER(MID(D140,4,1))="F","Firm",IF(UPPER(MID(D140,4,1))="L","LLP",IF(UPPER(MID(D140,4,1))="T","Trust",IF(UPPER(MID(D140,4,1))="A","AOP","")))))))))</f>
      </c>
      <c r="G140" s="8"/>
      <c r="H140" s="7">
        <f>IF($C140="","",IF(R140&lt;&gt;"",R140,IF(G140="","",IF(E140="Y",SUMPRODUCT(('Rate Lookup'!$A$1:$A$37=G140)*'Rate Lookup'!$D$1:$D$37),IF(OR(F140="Individual",F140="HUF"),SUMPRODUCT(('Rate Lookup'!$A$1:$A$37=G140)*'Rate Lookup'!$B$1:$B$37),SUMPRODUCT(('Rate Lookup'!$A$1:$A$37=G140)*'Rate Lookup'!$C$1:$C$37)))))))</f>
      </c>
      <c r="I140" s="8"/>
      <c r="J140" s="8"/>
      <c r="K140" s="7">
        <f>IF($C140="","",IF(OR(P140="B",P140="D",P140="E",P140="N",P140="O",P140="P",P140="Q",P140="S",P140="Y",P140="Z"),0,ROUND(J140*H140/100,0)))</f>
      </c>
      <c r="L140" s="7">
        <f>IF($C140="","",0)</f>
      </c>
      <c r="M140" s="7">
        <f>IF($C140="","",0)</f>
      </c>
      <c r="N140" s="7">
        <f>IF($C140="","",IF(OR(K140=0,I140="",IFERROR(INDEX('Challan Master'!$D$4:$D$207,MATCH($B140,'Challan Master'!$S$4:$S$207,0)),"")="",IFERROR(INDEX('Challan Master'!$D$4:$D$207,MATCH($B140,'Challan Master'!$S$4:$S$207,0)),"")&lt;=0),0,IF(IFERROR(INDEX('Challan Master'!$D$4:$D$207,MATCH($B140,'Challan Master'!$S$4:$S$207,0)),"")&lt;=DATE(YEAR(I140),MONTH(I140)+1,7),0,ROUND(K140*0.015*((YEAR(IFERROR(INDEX('Challan Master'!$D$4:$D$207,MATCH($B140,'Challan Master'!$S$4:$S$207,0)),""))-YEAR(I140))*12+(MONTH(IFERROR(INDEX('Challan Master'!$D$4:$D$207,MATCH($B140,'Challan Master'!$S$4:$S$207,0)),""))-MONTH(I140))+1),0))))</f>
      </c>
      <c r="O140" s="7">
        <f>IF($C140="","",0)</f>
      </c>
      <c r="P140" s="8"/>
      <c r="Q140" s="8"/>
      <c r="R140" s="8"/>
      <c r="S140" s="8"/>
      <c r="T140" s="8"/>
      <c r="U140" s="7">
        <f>IF($B140="","",IFERROR(INDEX('Challan Master'!$AA$4:$AA$207,MATCH($B140,'Challan Master'!$S$4:$S$207,0)),""))</f>
      </c>
    </row>
    <row r="141" spans="1:22" x14ac:dyDescent="0.25">
      <c r="A141" s="7">
        <f>IF($C141="","",COUNTIF($C$4:$C141,"&lt;&gt;"))</f>
      </c>
      <c r="B141" s="8"/>
      <c r="C141" s="8"/>
      <c r="D141" s="8"/>
      <c r="E141" s="7">
        <f>IF($C141="","",IF(AND(LEN(TRIM(UPPER(D141)))=10,CODE(MID(TRIM(UPPER(D141)),1,1))&gt;=65,CODE(MID(TRIM(UPPER(D141)),1,1))&lt;=90,CODE(MID(TRIM(UPPER(D141)),2,1))&gt;=65,CODE(MID(TRIM(UPPER(D141)),2,1))&lt;=90,CODE(MID(TRIM(UPPER(D141)),3,1))&gt;=65,CODE(MID(TRIM(UPPER(D141)),3,1))&lt;=90,CODE(MID(TRIM(UPPER(D141)),4,1))&gt;=65,CODE(MID(TRIM(UPPER(D141)),4,1))&lt;=90,CODE(MID(TRIM(UPPER(D141)),5,1))&gt;=65,CODE(MID(TRIM(UPPER(D141)),5,1))&lt;=90,CODE(MID(TRIM(UPPER(D141)),10,1))&gt;=65,CODE(MID(TRIM(UPPER(D141)),10,1))&lt;=90,CODE(MID(TRIM(UPPER(D141)),6,1))&gt;=48,CODE(MID(TRIM(UPPER(D141)),6,1))&lt;=57,CODE(MID(TRIM(UPPER(D141)),7,1))&gt;=48,CODE(MID(TRIM(UPPER(D141)),7,1))&lt;=57,CODE(MID(TRIM(UPPER(D141)),8,1))&gt;=48,CODE(MID(TRIM(UPPER(D141)),8,1))&lt;=57,CODE(MID(TRIM(UPPER(D141)),9,1))&gt;=48,CODE(MID(TRIM(UPPER(D141)),9,1))&lt;=57),"N","Y"))</f>
      </c>
      <c r="F141" s="7">
        <f>IF($C141="","",IF(LEN(D141)&lt;4,"",IF(UPPER(MID(D141,4,1))="P","Individual",IF(UPPER(MID(D141,4,1))="H","HUF",IF(UPPER(MID(D141,4,1))="C","Company",IF(UPPER(MID(D141,4,1))="F","Firm",IF(UPPER(MID(D141,4,1))="L","LLP",IF(UPPER(MID(D141,4,1))="T","Trust",IF(UPPER(MID(D141,4,1))="A","AOP","")))))))))</f>
      </c>
      <c r="G141" s="8"/>
      <c r="H141" s="7">
        <f>IF($C141="","",IF(R141&lt;&gt;"",R141,IF(G141="","",IF(E141="Y",SUMPRODUCT(('Rate Lookup'!$A$1:$A$37=G141)*'Rate Lookup'!$D$1:$D$37),IF(OR(F141="Individual",F141="HUF"),SUMPRODUCT(('Rate Lookup'!$A$1:$A$37=G141)*'Rate Lookup'!$B$1:$B$37),SUMPRODUCT(('Rate Lookup'!$A$1:$A$37=G141)*'Rate Lookup'!$C$1:$C$37)))))))</f>
      </c>
      <c r="I141" s="8"/>
      <c r="J141" s="8"/>
      <c r="K141" s="7">
        <f>IF($C141="","",IF(OR(P141="B",P141="D",P141="E",P141="N",P141="O",P141="P",P141="Q",P141="S",P141="Y",P141="Z"),0,ROUND(J141*H141/100,0)))</f>
      </c>
      <c r="L141" s="7">
        <f>IF($C141="","",0)</f>
      </c>
      <c r="M141" s="7">
        <f>IF($C141="","",0)</f>
      </c>
      <c r="N141" s="7">
        <f>IF($C141="","",IF(OR(K141=0,I141="",IFERROR(INDEX('Challan Master'!$D$4:$D$207,MATCH($B141,'Challan Master'!$S$4:$S$207,0)),"")="",IFERROR(INDEX('Challan Master'!$D$4:$D$207,MATCH($B141,'Challan Master'!$S$4:$S$207,0)),"")&lt;=0),0,IF(IFERROR(INDEX('Challan Master'!$D$4:$D$207,MATCH($B141,'Challan Master'!$S$4:$S$207,0)),"")&lt;=DATE(YEAR(I141),MONTH(I141)+1,7),0,ROUND(K141*0.015*((YEAR(IFERROR(INDEX('Challan Master'!$D$4:$D$207,MATCH($B141,'Challan Master'!$S$4:$S$207,0)),""))-YEAR(I141))*12+(MONTH(IFERROR(INDEX('Challan Master'!$D$4:$D$207,MATCH($B141,'Challan Master'!$S$4:$S$207,0)),""))-MONTH(I141))+1),0))))</f>
      </c>
      <c r="O141" s="7">
        <f>IF($C141="","",0)</f>
      </c>
      <c r="P141" s="8"/>
      <c r="Q141" s="8"/>
      <c r="R141" s="8"/>
      <c r="S141" s="8"/>
      <c r="T141" s="8"/>
      <c r="U141" s="7">
        <f>IF($B141="","",IFERROR(INDEX('Challan Master'!$AA$4:$AA$207,MATCH($B141,'Challan Master'!$S$4:$S$207,0)),""))</f>
      </c>
    </row>
    <row r="142" spans="1:22" x14ac:dyDescent="0.25">
      <c r="A142" s="7">
        <f>IF($C142="","",COUNTIF($C$4:$C142,"&lt;&gt;"))</f>
      </c>
      <c r="B142" s="8"/>
      <c r="C142" s="8"/>
      <c r="D142" s="8"/>
      <c r="E142" s="7">
        <f>IF($C142="","",IF(AND(LEN(TRIM(UPPER(D142)))=10,CODE(MID(TRIM(UPPER(D142)),1,1))&gt;=65,CODE(MID(TRIM(UPPER(D142)),1,1))&lt;=90,CODE(MID(TRIM(UPPER(D142)),2,1))&gt;=65,CODE(MID(TRIM(UPPER(D142)),2,1))&lt;=90,CODE(MID(TRIM(UPPER(D142)),3,1))&gt;=65,CODE(MID(TRIM(UPPER(D142)),3,1))&lt;=90,CODE(MID(TRIM(UPPER(D142)),4,1))&gt;=65,CODE(MID(TRIM(UPPER(D142)),4,1))&lt;=90,CODE(MID(TRIM(UPPER(D142)),5,1))&gt;=65,CODE(MID(TRIM(UPPER(D142)),5,1))&lt;=90,CODE(MID(TRIM(UPPER(D142)),10,1))&gt;=65,CODE(MID(TRIM(UPPER(D142)),10,1))&lt;=90,CODE(MID(TRIM(UPPER(D142)),6,1))&gt;=48,CODE(MID(TRIM(UPPER(D142)),6,1))&lt;=57,CODE(MID(TRIM(UPPER(D142)),7,1))&gt;=48,CODE(MID(TRIM(UPPER(D142)),7,1))&lt;=57,CODE(MID(TRIM(UPPER(D142)),8,1))&gt;=48,CODE(MID(TRIM(UPPER(D142)),8,1))&lt;=57,CODE(MID(TRIM(UPPER(D142)),9,1))&gt;=48,CODE(MID(TRIM(UPPER(D142)),9,1))&lt;=57),"N","Y"))</f>
      </c>
      <c r="F142" s="7">
        <f>IF($C142="","",IF(LEN(D142)&lt;4,"",IF(UPPER(MID(D142,4,1))="P","Individual",IF(UPPER(MID(D142,4,1))="H","HUF",IF(UPPER(MID(D142,4,1))="C","Company",IF(UPPER(MID(D142,4,1))="F","Firm",IF(UPPER(MID(D142,4,1))="L","LLP",IF(UPPER(MID(D142,4,1))="T","Trust",IF(UPPER(MID(D142,4,1))="A","AOP","")))))))))</f>
      </c>
      <c r="G142" s="8"/>
      <c r="H142" s="7">
        <f>IF($C142="","",IF(R142&lt;&gt;"",R142,IF(G142="","",IF(E142="Y",SUMPRODUCT(('Rate Lookup'!$A$1:$A$37=G142)*'Rate Lookup'!$D$1:$D$37),IF(OR(F142="Individual",F142="HUF"),SUMPRODUCT(('Rate Lookup'!$A$1:$A$37=G142)*'Rate Lookup'!$B$1:$B$37),SUMPRODUCT(('Rate Lookup'!$A$1:$A$37=G142)*'Rate Lookup'!$C$1:$C$37)))))))</f>
      </c>
      <c r="I142" s="8"/>
      <c r="J142" s="8"/>
      <c r="K142" s="7">
        <f>IF($C142="","",IF(OR(P142="B",P142="D",P142="E",P142="N",P142="O",P142="P",P142="Q",P142="S",P142="Y",P142="Z"),0,ROUND(J142*H142/100,0)))</f>
      </c>
      <c r="L142" s="7">
        <f>IF($C142="","",0)</f>
      </c>
      <c r="M142" s="7">
        <f>IF($C142="","",0)</f>
      </c>
      <c r="N142" s="7">
        <f>IF($C142="","",IF(OR(K142=0,I142="",IFERROR(INDEX('Challan Master'!$D$4:$D$207,MATCH($B142,'Challan Master'!$S$4:$S$207,0)),"")="",IFERROR(INDEX('Challan Master'!$D$4:$D$207,MATCH($B142,'Challan Master'!$S$4:$S$207,0)),"")&lt;=0),0,IF(IFERROR(INDEX('Challan Master'!$D$4:$D$207,MATCH($B142,'Challan Master'!$S$4:$S$207,0)),"")&lt;=DATE(YEAR(I142),MONTH(I142)+1,7),0,ROUND(K142*0.015*((YEAR(IFERROR(INDEX('Challan Master'!$D$4:$D$207,MATCH($B142,'Challan Master'!$S$4:$S$207,0)),""))-YEAR(I142))*12+(MONTH(IFERROR(INDEX('Challan Master'!$D$4:$D$207,MATCH($B142,'Challan Master'!$S$4:$S$207,0)),""))-MONTH(I142))+1),0))))</f>
      </c>
      <c r="O142" s="7">
        <f>IF($C142="","",0)</f>
      </c>
      <c r="P142" s="8"/>
      <c r="Q142" s="8"/>
      <c r="R142" s="8"/>
      <c r="S142" s="8"/>
      <c r="T142" s="8"/>
      <c r="U142" s="7">
        <f>IF($B142="","",IFERROR(INDEX('Challan Master'!$AA$4:$AA$207,MATCH($B142,'Challan Master'!$S$4:$S$207,0)),""))</f>
      </c>
    </row>
    <row r="143" spans="1:22" x14ac:dyDescent="0.25">
      <c r="A143" s="7">
        <f>IF($C143="","",COUNTIF($C$4:$C143,"&lt;&gt;"))</f>
      </c>
      <c r="B143" s="8"/>
      <c r="C143" s="8"/>
      <c r="D143" s="8"/>
      <c r="E143" s="7">
        <f>IF($C143="","",IF(AND(LEN(TRIM(UPPER(D143)))=10,CODE(MID(TRIM(UPPER(D143)),1,1))&gt;=65,CODE(MID(TRIM(UPPER(D143)),1,1))&lt;=90,CODE(MID(TRIM(UPPER(D143)),2,1))&gt;=65,CODE(MID(TRIM(UPPER(D143)),2,1))&lt;=90,CODE(MID(TRIM(UPPER(D143)),3,1))&gt;=65,CODE(MID(TRIM(UPPER(D143)),3,1))&lt;=90,CODE(MID(TRIM(UPPER(D143)),4,1))&gt;=65,CODE(MID(TRIM(UPPER(D143)),4,1))&lt;=90,CODE(MID(TRIM(UPPER(D143)),5,1))&gt;=65,CODE(MID(TRIM(UPPER(D143)),5,1))&lt;=90,CODE(MID(TRIM(UPPER(D143)),10,1))&gt;=65,CODE(MID(TRIM(UPPER(D143)),10,1))&lt;=90,CODE(MID(TRIM(UPPER(D143)),6,1))&gt;=48,CODE(MID(TRIM(UPPER(D143)),6,1))&lt;=57,CODE(MID(TRIM(UPPER(D143)),7,1))&gt;=48,CODE(MID(TRIM(UPPER(D143)),7,1))&lt;=57,CODE(MID(TRIM(UPPER(D143)),8,1))&gt;=48,CODE(MID(TRIM(UPPER(D143)),8,1))&lt;=57,CODE(MID(TRIM(UPPER(D143)),9,1))&gt;=48,CODE(MID(TRIM(UPPER(D143)),9,1))&lt;=57),"N","Y"))</f>
      </c>
      <c r="F143" s="7">
        <f>IF($C143="","",IF(LEN(D143)&lt;4,"",IF(UPPER(MID(D143,4,1))="P","Individual",IF(UPPER(MID(D143,4,1))="H","HUF",IF(UPPER(MID(D143,4,1))="C","Company",IF(UPPER(MID(D143,4,1))="F","Firm",IF(UPPER(MID(D143,4,1))="L","LLP",IF(UPPER(MID(D143,4,1))="T","Trust",IF(UPPER(MID(D143,4,1))="A","AOP","")))))))))</f>
      </c>
      <c r="G143" s="8"/>
      <c r="H143" s="7">
        <f>IF($C143="","",IF(R143&lt;&gt;"",R143,IF(G143="","",IF(E143="Y",SUMPRODUCT(('Rate Lookup'!$A$1:$A$37=G143)*'Rate Lookup'!$D$1:$D$37),IF(OR(F143="Individual",F143="HUF"),SUMPRODUCT(('Rate Lookup'!$A$1:$A$37=G143)*'Rate Lookup'!$B$1:$B$37),SUMPRODUCT(('Rate Lookup'!$A$1:$A$37=G143)*'Rate Lookup'!$C$1:$C$37)))))))</f>
      </c>
      <c r="I143" s="8"/>
      <c r="J143" s="8"/>
      <c r="K143" s="7">
        <f>IF($C143="","",IF(OR(P143="B",P143="D",P143="E",P143="N",P143="O",P143="P",P143="Q",P143="S",P143="Y",P143="Z"),0,ROUND(J143*H143/100,0)))</f>
      </c>
      <c r="L143" s="7">
        <f>IF($C143="","",0)</f>
      </c>
      <c r="M143" s="7">
        <f>IF($C143="","",0)</f>
      </c>
      <c r="N143" s="7">
        <f>IF($C143="","",IF(OR(K143=0,I143="",IFERROR(INDEX('Challan Master'!$D$4:$D$207,MATCH($B143,'Challan Master'!$S$4:$S$207,0)),"")="",IFERROR(INDEX('Challan Master'!$D$4:$D$207,MATCH($B143,'Challan Master'!$S$4:$S$207,0)),"")&lt;=0),0,IF(IFERROR(INDEX('Challan Master'!$D$4:$D$207,MATCH($B143,'Challan Master'!$S$4:$S$207,0)),"")&lt;=DATE(YEAR(I143),MONTH(I143)+1,7),0,ROUND(K143*0.015*((YEAR(IFERROR(INDEX('Challan Master'!$D$4:$D$207,MATCH($B143,'Challan Master'!$S$4:$S$207,0)),""))-YEAR(I143))*12+(MONTH(IFERROR(INDEX('Challan Master'!$D$4:$D$207,MATCH($B143,'Challan Master'!$S$4:$S$207,0)),""))-MONTH(I143))+1),0))))</f>
      </c>
      <c r="O143" s="7">
        <f>IF($C143="","",0)</f>
      </c>
      <c r="P143" s="8"/>
      <c r="Q143" s="8"/>
      <c r="R143" s="8"/>
      <c r="S143" s="8"/>
      <c r="T143" s="8"/>
      <c r="U143" s="7">
        <f>IF($B143="","",IFERROR(INDEX('Challan Master'!$AA$4:$AA$207,MATCH($B143,'Challan Master'!$S$4:$S$207,0)),""))</f>
      </c>
    </row>
    <row r="144" spans="1:22" x14ac:dyDescent="0.25">
      <c r="A144" s="7">
        <f>IF($C144="","",COUNTIF($C$4:$C144,"&lt;&gt;"))</f>
      </c>
      <c r="B144" s="8"/>
      <c r="C144" s="8"/>
      <c r="D144" s="8"/>
      <c r="E144" s="7">
        <f>IF($C144="","",IF(AND(LEN(TRIM(UPPER(D144)))=10,CODE(MID(TRIM(UPPER(D144)),1,1))&gt;=65,CODE(MID(TRIM(UPPER(D144)),1,1))&lt;=90,CODE(MID(TRIM(UPPER(D144)),2,1))&gt;=65,CODE(MID(TRIM(UPPER(D144)),2,1))&lt;=90,CODE(MID(TRIM(UPPER(D144)),3,1))&gt;=65,CODE(MID(TRIM(UPPER(D144)),3,1))&lt;=90,CODE(MID(TRIM(UPPER(D144)),4,1))&gt;=65,CODE(MID(TRIM(UPPER(D144)),4,1))&lt;=90,CODE(MID(TRIM(UPPER(D144)),5,1))&gt;=65,CODE(MID(TRIM(UPPER(D144)),5,1))&lt;=90,CODE(MID(TRIM(UPPER(D144)),10,1))&gt;=65,CODE(MID(TRIM(UPPER(D144)),10,1))&lt;=90,CODE(MID(TRIM(UPPER(D144)),6,1))&gt;=48,CODE(MID(TRIM(UPPER(D144)),6,1))&lt;=57,CODE(MID(TRIM(UPPER(D144)),7,1))&gt;=48,CODE(MID(TRIM(UPPER(D144)),7,1))&lt;=57,CODE(MID(TRIM(UPPER(D144)),8,1))&gt;=48,CODE(MID(TRIM(UPPER(D144)),8,1))&lt;=57,CODE(MID(TRIM(UPPER(D144)),9,1))&gt;=48,CODE(MID(TRIM(UPPER(D144)),9,1))&lt;=57),"N","Y"))</f>
      </c>
      <c r="F144" s="7">
        <f>IF($C144="","",IF(LEN(D144)&lt;4,"",IF(UPPER(MID(D144,4,1))="P","Individual",IF(UPPER(MID(D144,4,1))="H","HUF",IF(UPPER(MID(D144,4,1))="C","Company",IF(UPPER(MID(D144,4,1))="F","Firm",IF(UPPER(MID(D144,4,1))="L","LLP",IF(UPPER(MID(D144,4,1))="T","Trust",IF(UPPER(MID(D144,4,1))="A","AOP","")))))))))</f>
      </c>
      <c r="G144" s="8"/>
      <c r="H144" s="7">
        <f>IF($C144="","",IF(R144&lt;&gt;"",R144,IF(G144="","",IF(E144="Y",SUMPRODUCT(('Rate Lookup'!$A$1:$A$37=G144)*'Rate Lookup'!$D$1:$D$37),IF(OR(F144="Individual",F144="HUF"),SUMPRODUCT(('Rate Lookup'!$A$1:$A$37=G144)*'Rate Lookup'!$B$1:$B$37),SUMPRODUCT(('Rate Lookup'!$A$1:$A$37=G144)*'Rate Lookup'!$C$1:$C$37)))))))</f>
      </c>
      <c r="I144" s="8"/>
      <c r="J144" s="8"/>
      <c r="K144" s="7">
        <f>IF($C144="","",IF(OR(P144="B",P144="D",P144="E",P144="N",P144="O",P144="P",P144="Q",P144="S",P144="Y",P144="Z"),0,ROUND(J144*H144/100,0)))</f>
      </c>
      <c r="L144" s="7">
        <f>IF($C144="","",0)</f>
      </c>
      <c r="M144" s="7">
        <f>IF($C144="","",0)</f>
      </c>
      <c r="N144" s="7">
        <f>IF($C144="","",IF(OR(K144=0,I144="",IFERROR(INDEX('Challan Master'!$D$4:$D$207,MATCH($B144,'Challan Master'!$S$4:$S$207,0)),"")="",IFERROR(INDEX('Challan Master'!$D$4:$D$207,MATCH($B144,'Challan Master'!$S$4:$S$207,0)),"")&lt;=0),0,IF(IFERROR(INDEX('Challan Master'!$D$4:$D$207,MATCH($B144,'Challan Master'!$S$4:$S$207,0)),"")&lt;=DATE(YEAR(I144),MONTH(I144)+1,7),0,ROUND(K144*0.015*((YEAR(IFERROR(INDEX('Challan Master'!$D$4:$D$207,MATCH($B144,'Challan Master'!$S$4:$S$207,0)),""))-YEAR(I144))*12+(MONTH(IFERROR(INDEX('Challan Master'!$D$4:$D$207,MATCH($B144,'Challan Master'!$S$4:$S$207,0)),""))-MONTH(I144))+1),0))))</f>
      </c>
      <c r="O144" s="7">
        <f>IF($C144="","",0)</f>
      </c>
      <c r="P144" s="8"/>
      <c r="Q144" s="8"/>
      <c r="R144" s="8"/>
      <c r="S144" s="8"/>
      <c r="T144" s="8"/>
      <c r="U144" s="7">
        <f>IF($B144="","",IFERROR(INDEX('Challan Master'!$AA$4:$AA$207,MATCH($B144,'Challan Master'!$S$4:$S$207,0)),""))</f>
      </c>
    </row>
    <row r="145" spans="1:22" x14ac:dyDescent="0.25">
      <c r="A145" s="7">
        <f>IF($C145="","",COUNTIF($C$4:$C145,"&lt;&gt;"))</f>
      </c>
      <c r="B145" s="8"/>
      <c r="C145" s="8"/>
      <c r="D145" s="8"/>
      <c r="E145" s="7">
        <f>IF($C145="","",IF(AND(LEN(TRIM(UPPER(D145)))=10,CODE(MID(TRIM(UPPER(D145)),1,1))&gt;=65,CODE(MID(TRIM(UPPER(D145)),1,1))&lt;=90,CODE(MID(TRIM(UPPER(D145)),2,1))&gt;=65,CODE(MID(TRIM(UPPER(D145)),2,1))&lt;=90,CODE(MID(TRIM(UPPER(D145)),3,1))&gt;=65,CODE(MID(TRIM(UPPER(D145)),3,1))&lt;=90,CODE(MID(TRIM(UPPER(D145)),4,1))&gt;=65,CODE(MID(TRIM(UPPER(D145)),4,1))&lt;=90,CODE(MID(TRIM(UPPER(D145)),5,1))&gt;=65,CODE(MID(TRIM(UPPER(D145)),5,1))&lt;=90,CODE(MID(TRIM(UPPER(D145)),10,1))&gt;=65,CODE(MID(TRIM(UPPER(D145)),10,1))&lt;=90,CODE(MID(TRIM(UPPER(D145)),6,1))&gt;=48,CODE(MID(TRIM(UPPER(D145)),6,1))&lt;=57,CODE(MID(TRIM(UPPER(D145)),7,1))&gt;=48,CODE(MID(TRIM(UPPER(D145)),7,1))&lt;=57,CODE(MID(TRIM(UPPER(D145)),8,1))&gt;=48,CODE(MID(TRIM(UPPER(D145)),8,1))&lt;=57,CODE(MID(TRIM(UPPER(D145)),9,1))&gt;=48,CODE(MID(TRIM(UPPER(D145)),9,1))&lt;=57),"N","Y"))</f>
      </c>
      <c r="F145" s="7">
        <f>IF($C145="","",IF(LEN(D145)&lt;4,"",IF(UPPER(MID(D145,4,1))="P","Individual",IF(UPPER(MID(D145,4,1))="H","HUF",IF(UPPER(MID(D145,4,1))="C","Company",IF(UPPER(MID(D145,4,1))="F","Firm",IF(UPPER(MID(D145,4,1))="L","LLP",IF(UPPER(MID(D145,4,1))="T","Trust",IF(UPPER(MID(D145,4,1))="A","AOP","")))))))))</f>
      </c>
      <c r="G145" s="8"/>
      <c r="H145" s="7">
        <f>IF($C145="","",IF(R145&lt;&gt;"",R145,IF(G145="","",IF(E145="Y",SUMPRODUCT(('Rate Lookup'!$A$1:$A$37=G145)*'Rate Lookup'!$D$1:$D$37),IF(OR(F145="Individual",F145="HUF"),SUMPRODUCT(('Rate Lookup'!$A$1:$A$37=G145)*'Rate Lookup'!$B$1:$B$37),SUMPRODUCT(('Rate Lookup'!$A$1:$A$37=G145)*'Rate Lookup'!$C$1:$C$37)))))))</f>
      </c>
      <c r="I145" s="8"/>
      <c r="J145" s="8"/>
      <c r="K145" s="7">
        <f>IF($C145="","",IF(OR(P145="B",P145="D",P145="E",P145="N",P145="O",P145="P",P145="Q",P145="S",P145="Y",P145="Z"),0,ROUND(J145*H145/100,0)))</f>
      </c>
      <c r="L145" s="7">
        <f>IF($C145="","",0)</f>
      </c>
      <c r="M145" s="7">
        <f>IF($C145="","",0)</f>
      </c>
      <c r="N145" s="7">
        <f>IF($C145="","",IF(OR(K145=0,I145="",IFERROR(INDEX('Challan Master'!$D$4:$D$207,MATCH($B145,'Challan Master'!$S$4:$S$207,0)),"")="",IFERROR(INDEX('Challan Master'!$D$4:$D$207,MATCH($B145,'Challan Master'!$S$4:$S$207,0)),"")&lt;=0),0,IF(IFERROR(INDEX('Challan Master'!$D$4:$D$207,MATCH($B145,'Challan Master'!$S$4:$S$207,0)),"")&lt;=DATE(YEAR(I145),MONTH(I145)+1,7),0,ROUND(K145*0.015*((YEAR(IFERROR(INDEX('Challan Master'!$D$4:$D$207,MATCH($B145,'Challan Master'!$S$4:$S$207,0)),""))-YEAR(I145))*12+(MONTH(IFERROR(INDEX('Challan Master'!$D$4:$D$207,MATCH($B145,'Challan Master'!$S$4:$S$207,0)),""))-MONTH(I145))+1),0))))</f>
      </c>
      <c r="O145" s="7">
        <f>IF($C145="","",0)</f>
      </c>
      <c r="P145" s="8"/>
      <c r="Q145" s="8"/>
      <c r="R145" s="8"/>
      <c r="S145" s="8"/>
      <c r="T145" s="8"/>
      <c r="U145" s="7">
        <f>IF($B145="","",IFERROR(INDEX('Challan Master'!$AA$4:$AA$207,MATCH($B145,'Challan Master'!$S$4:$S$207,0)),""))</f>
      </c>
    </row>
    <row r="146" spans="1:22" x14ac:dyDescent="0.25">
      <c r="A146" s="7">
        <f>IF($C146="","",COUNTIF($C$4:$C146,"&lt;&gt;"))</f>
      </c>
      <c r="B146" s="8"/>
      <c r="C146" s="8"/>
      <c r="D146" s="8"/>
      <c r="E146" s="7">
        <f>IF($C146="","",IF(AND(LEN(TRIM(UPPER(D146)))=10,CODE(MID(TRIM(UPPER(D146)),1,1))&gt;=65,CODE(MID(TRIM(UPPER(D146)),1,1))&lt;=90,CODE(MID(TRIM(UPPER(D146)),2,1))&gt;=65,CODE(MID(TRIM(UPPER(D146)),2,1))&lt;=90,CODE(MID(TRIM(UPPER(D146)),3,1))&gt;=65,CODE(MID(TRIM(UPPER(D146)),3,1))&lt;=90,CODE(MID(TRIM(UPPER(D146)),4,1))&gt;=65,CODE(MID(TRIM(UPPER(D146)),4,1))&lt;=90,CODE(MID(TRIM(UPPER(D146)),5,1))&gt;=65,CODE(MID(TRIM(UPPER(D146)),5,1))&lt;=90,CODE(MID(TRIM(UPPER(D146)),10,1))&gt;=65,CODE(MID(TRIM(UPPER(D146)),10,1))&lt;=90,CODE(MID(TRIM(UPPER(D146)),6,1))&gt;=48,CODE(MID(TRIM(UPPER(D146)),6,1))&lt;=57,CODE(MID(TRIM(UPPER(D146)),7,1))&gt;=48,CODE(MID(TRIM(UPPER(D146)),7,1))&lt;=57,CODE(MID(TRIM(UPPER(D146)),8,1))&gt;=48,CODE(MID(TRIM(UPPER(D146)),8,1))&lt;=57,CODE(MID(TRIM(UPPER(D146)),9,1))&gt;=48,CODE(MID(TRIM(UPPER(D146)),9,1))&lt;=57),"N","Y"))</f>
      </c>
      <c r="F146" s="7">
        <f>IF($C146="","",IF(LEN(D146)&lt;4,"",IF(UPPER(MID(D146,4,1))="P","Individual",IF(UPPER(MID(D146,4,1))="H","HUF",IF(UPPER(MID(D146,4,1))="C","Company",IF(UPPER(MID(D146,4,1))="F","Firm",IF(UPPER(MID(D146,4,1))="L","LLP",IF(UPPER(MID(D146,4,1))="T","Trust",IF(UPPER(MID(D146,4,1))="A","AOP","")))))))))</f>
      </c>
      <c r="G146" s="8"/>
      <c r="H146" s="7">
        <f>IF($C146="","",IF(R146&lt;&gt;"",R146,IF(G146="","",IF(E146="Y",SUMPRODUCT(('Rate Lookup'!$A$1:$A$37=G146)*'Rate Lookup'!$D$1:$D$37),IF(OR(F146="Individual",F146="HUF"),SUMPRODUCT(('Rate Lookup'!$A$1:$A$37=G146)*'Rate Lookup'!$B$1:$B$37),SUMPRODUCT(('Rate Lookup'!$A$1:$A$37=G146)*'Rate Lookup'!$C$1:$C$37)))))))</f>
      </c>
      <c r="I146" s="8"/>
      <c r="J146" s="8"/>
      <c r="K146" s="7">
        <f>IF($C146="","",IF(OR(P146="B",P146="D",P146="E",P146="N",P146="O",P146="P",P146="Q",P146="S",P146="Y",P146="Z"),0,ROUND(J146*H146/100,0)))</f>
      </c>
      <c r="L146" s="7">
        <f>IF($C146="","",0)</f>
      </c>
      <c r="M146" s="7">
        <f>IF($C146="","",0)</f>
      </c>
      <c r="N146" s="7">
        <f>IF($C146="","",IF(OR(K146=0,I146="",IFERROR(INDEX('Challan Master'!$D$4:$D$207,MATCH($B146,'Challan Master'!$S$4:$S$207,0)),"")="",IFERROR(INDEX('Challan Master'!$D$4:$D$207,MATCH($B146,'Challan Master'!$S$4:$S$207,0)),"")&lt;=0),0,IF(IFERROR(INDEX('Challan Master'!$D$4:$D$207,MATCH($B146,'Challan Master'!$S$4:$S$207,0)),"")&lt;=DATE(YEAR(I146),MONTH(I146)+1,7),0,ROUND(K146*0.015*((YEAR(IFERROR(INDEX('Challan Master'!$D$4:$D$207,MATCH($B146,'Challan Master'!$S$4:$S$207,0)),""))-YEAR(I146))*12+(MONTH(IFERROR(INDEX('Challan Master'!$D$4:$D$207,MATCH($B146,'Challan Master'!$S$4:$S$207,0)),""))-MONTH(I146))+1),0))))</f>
      </c>
      <c r="O146" s="7">
        <f>IF($C146="","",0)</f>
      </c>
      <c r="P146" s="8"/>
      <c r="Q146" s="8"/>
      <c r="R146" s="8"/>
      <c r="S146" s="8"/>
      <c r="T146" s="8"/>
      <c r="U146" s="7">
        <f>IF($B146="","",IFERROR(INDEX('Challan Master'!$AA$4:$AA$207,MATCH($B146,'Challan Master'!$S$4:$S$207,0)),""))</f>
      </c>
    </row>
    <row r="147" spans="1:22" x14ac:dyDescent="0.25">
      <c r="A147" s="7">
        <f>IF($C147="","",COUNTIF($C$4:$C147,"&lt;&gt;"))</f>
      </c>
      <c r="B147" s="8"/>
      <c r="C147" s="8"/>
      <c r="D147" s="8"/>
      <c r="E147" s="7">
        <f>IF($C147="","",IF(AND(LEN(TRIM(UPPER(D147)))=10,CODE(MID(TRIM(UPPER(D147)),1,1))&gt;=65,CODE(MID(TRIM(UPPER(D147)),1,1))&lt;=90,CODE(MID(TRIM(UPPER(D147)),2,1))&gt;=65,CODE(MID(TRIM(UPPER(D147)),2,1))&lt;=90,CODE(MID(TRIM(UPPER(D147)),3,1))&gt;=65,CODE(MID(TRIM(UPPER(D147)),3,1))&lt;=90,CODE(MID(TRIM(UPPER(D147)),4,1))&gt;=65,CODE(MID(TRIM(UPPER(D147)),4,1))&lt;=90,CODE(MID(TRIM(UPPER(D147)),5,1))&gt;=65,CODE(MID(TRIM(UPPER(D147)),5,1))&lt;=90,CODE(MID(TRIM(UPPER(D147)),10,1))&gt;=65,CODE(MID(TRIM(UPPER(D147)),10,1))&lt;=90,CODE(MID(TRIM(UPPER(D147)),6,1))&gt;=48,CODE(MID(TRIM(UPPER(D147)),6,1))&lt;=57,CODE(MID(TRIM(UPPER(D147)),7,1))&gt;=48,CODE(MID(TRIM(UPPER(D147)),7,1))&lt;=57,CODE(MID(TRIM(UPPER(D147)),8,1))&gt;=48,CODE(MID(TRIM(UPPER(D147)),8,1))&lt;=57,CODE(MID(TRIM(UPPER(D147)),9,1))&gt;=48,CODE(MID(TRIM(UPPER(D147)),9,1))&lt;=57),"N","Y"))</f>
      </c>
      <c r="F147" s="7">
        <f>IF($C147="","",IF(LEN(D147)&lt;4,"",IF(UPPER(MID(D147,4,1))="P","Individual",IF(UPPER(MID(D147,4,1))="H","HUF",IF(UPPER(MID(D147,4,1))="C","Company",IF(UPPER(MID(D147,4,1))="F","Firm",IF(UPPER(MID(D147,4,1))="L","LLP",IF(UPPER(MID(D147,4,1))="T","Trust",IF(UPPER(MID(D147,4,1))="A","AOP","")))))))))</f>
      </c>
      <c r="G147" s="8"/>
      <c r="H147" s="7">
        <f>IF($C147="","",IF(R147&lt;&gt;"",R147,IF(G147="","",IF(E147="Y",SUMPRODUCT(('Rate Lookup'!$A$1:$A$37=G147)*'Rate Lookup'!$D$1:$D$37),IF(OR(F147="Individual",F147="HUF"),SUMPRODUCT(('Rate Lookup'!$A$1:$A$37=G147)*'Rate Lookup'!$B$1:$B$37),SUMPRODUCT(('Rate Lookup'!$A$1:$A$37=G147)*'Rate Lookup'!$C$1:$C$37)))))))</f>
      </c>
      <c r="I147" s="8"/>
      <c r="J147" s="8"/>
      <c r="K147" s="7">
        <f>IF($C147="","",IF(OR(P147="B",P147="D",P147="E",P147="N",P147="O",P147="P",P147="Q",P147="S",P147="Y",P147="Z"),0,ROUND(J147*H147/100,0)))</f>
      </c>
      <c r="L147" s="7">
        <f>IF($C147="","",0)</f>
      </c>
      <c r="M147" s="7">
        <f>IF($C147="","",0)</f>
      </c>
      <c r="N147" s="7">
        <f>IF($C147="","",IF(OR(K147=0,I147="",IFERROR(INDEX('Challan Master'!$D$4:$D$207,MATCH($B147,'Challan Master'!$S$4:$S$207,0)),"")="",IFERROR(INDEX('Challan Master'!$D$4:$D$207,MATCH($B147,'Challan Master'!$S$4:$S$207,0)),"")&lt;=0),0,IF(IFERROR(INDEX('Challan Master'!$D$4:$D$207,MATCH($B147,'Challan Master'!$S$4:$S$207,0)),"")&lt;=DATE(YEAR(I147),MONTH(I147)+1,7),0,ROUND(K147*0.015*((YEAR(IFERROR(INDEX('Challan Master'!$D$4:$D$207,MATCH($B147,'Challan Master'!$S$4:$S$207,0)),""))-YEAR(I147))*12+(MONTH(IFERROR(INDEX('Challan Master'!$D$4:$D$207,MATCH($B147,'Challan Master'!$S$4:$S$207,0)),""))-MONTH(I147))+1),0))))</f>
      </c>
      <c r="O147" s="7">
        <f>IF($C147="","",0)</f>
      </c>
      <c r="P147" s="8"/>
      <c r="Q147" s="8"/>
      <c r="R147" s="8"/>
      <c r="S147" s="8"/>
      <c r="T147" s="8"/>
      <c r="U147" s="7">
        <f>IF($B147="","",IFERROR(INDEX('Challan Master'!$AA$4:$AA$207,MATCH($B147,'Challan Master'!$S$4:$S$207,0)),""))</f>
      </c>
    </row>
    <row r="148" spans="1:22" x14ac:dyDescent="0.25">
      <c r="A148" s="7">
        <f>IF($C148="","",COUNTIF($C$4:$C148,"&lt;&gt;"))</f>
      </c>
      <c r="B148" s="8"/>
      <c r="C148" s="8"/>
      <c r="D148" s="8"/>
      <c r="E148" s="7">
        <f>IF($C148="","",IF(AND(LEN(TRIM(UPPER(D148)))=10,CODE(MID(TRIM(UPPER(D148)),1,1))&gt;=65,CODE(MID(TRIM(UPPER(D148)),1,1))&lt;=90,CODE(MID(TRIM(UPPER(D148)),2,1))&gt;=65,CODE(MID(TRIM(UPPER(D148)),2,1))&lt;=90,CODE(MID(TRIM(UPPER(D148)),3,1))&gt;=65,CODE(MID(TRIM(UPPER(D148)),3,1))&lt;=90,CODE(MID(TRIM(UPPER(D148)),4,1))&gt;=65,CODE(MID(TRIM(UPPER(D148)),4,1))&lt;=90,CODE(MID(TRIM(UPPER(D148)),5,1))&gt;=65,CODE(MID(TRIM(UPPER(D148)),5,1))&lt;=90,CODE(MID(TRIM(UPPER(D148)),10,1))&gt;=65,CODE(MID(TRIM(UPPER(D148)),10,1))&lt;=90,CODE(MID(TRIM(UPPER(D148)),6,1))&gt;=48,CODE(MID(TRIM(UPPER(D148)),6,1))&lt;=57,CODE(MID(TRIM(UPPER(D148)),7,1))&gt;=48,CODE(MID(TRIM(UPPER(D148)),7,1))&lt;=57,CODE(MID(TRIM(UPPER(D148)),8,1))&gt;=48,CODE(MID(TRIM(UPPER(D148)),8,1))&lt;=57,CODE(MID(TRIM(UPPER(D148)),9,1))&gt;=48,CODE(MID(TRIM(UPPER(D148)),9,1))&lt;=57),"N","Y"))</f>
      </c>
      <c r="F148" s="7">
        <f>IF($C148="","",IF(LEN(D148)&lt;4,"",IF(UPPER(MID(D148,4,1))="P","Individual",IF(UPPER(MID(D148,4,1))="H","HUF",IF(UPPER(MID(D148,4,1))="C","Company",IF(UPPER(MID(D148,4,1))="F","Firm",IF(UPPER(MID(D148,4,1))="L","LLP",IF(UPPER(MID(D148,4,1))="T","Trust",IF(UPPER(MID(D148,4,1))="A","AOP","")))))))))</f>
      </c>
      <c r="G148" s="8"/>
      <c r="H148" s="7">
        <f>IF($C148="","",IF(R148&lt;&gt;"",R148,IF(G148="","",IF(E148="Y",SUMPRODUCT(('Rate Lookup'!$A$1:$A$37=G148)*'Rate Lookup'!$D$1:$D$37),IF(OR(F148="Individual",F148="HUF"),SUMPRODUCT(('Rate Lookup'!$A$1:$A$37=G148)*'Rate Lookup'!$B$1:$B$37),SUMPRODUCT(('Rate Lookup'!$A$1:$A$37=G148)*'Rate Lookup'!$C$1:$C$37)))))))</f>
      </c>
      <c r="I148" s="8"/>
      <c r="J148" s="8"/>
      <c r="K148" s="7">
        <f>IF($C148="","",IF(OR(P148="B",P148="D",P148="E",P148="N",P148="O",P148="P",P148="Q",P148="S",P148="Y",P148="Z"),0,ROUND(J148*H148/100,0)))</f>
      </c>
      <c r="L148" s="7">
        <f>IF($C148="","",0)</f>
      </c>
      <c r="M148" s="7">
        <f>IF($C148="","",0)</f>
      </c>
      <c r="N148" s="7">
        <f>IF($C148="","",IF(OR(K148=0,I148="",IFERROR(INDEX('Challan Master'!$D$4:$D$207,MATCH($B148,'Challan Master'!$S$4:$S$207,0)),"")="",IFERROR(INDEX('Challan Master'!$D$4:$D$207,MATCH($B148,'Challan Master'!$S$4:$S$207,0)),"")&lt;=0),0,IF(IFERROR(INDEX('Challan Master'!$D$4:$D$207,MATCH($B148,'Challan Master'!$S$4:$S$207,0)),"")&lt;=DATE(YEAR(I148),MONTH(I148)+1,7),0,ROUND(K148*0.015*((YEAR(IFERROR(INDEX('Challan Master'!$D$4:$D$207,MATCH($B148,'Challan Master'!$S$4:$S$207,0)),""))-YEAR(I148))*12+(MONTH(IFERROR(INDEX('Challan Master'!$D$4:$D$207,MATCH($B148,'Challan Master'!$S$4:$S$207,0)),""))-MONTH(I148))+1),0))))</f>
      </c>
      <c r="O148" s="7">
        <f>IF($C148="","",0)</f>
      </c>
      <c r="P148" s="8"/>
      <c r="Q148" s="8"/>
      <c r="R148" s="8"/>
      <c r="S148" s="8"/>
      <c r="T148" s="8"/>
      <c r="U148" s="7">
        <f>IF($B148="","",IFERROR(INDEX('Challan Master'!$AA$4:$AA$207,MATCH($B148,'Challan Master'!$S$4:$S$207,0)),""))</f>
      </c>
    </row>
    <row r="149" spans="1:22" x14ac:dyDescent="0.25">
      <c r="A149" s="7">
        <f>IF($C149="","",COUNTIF($C$4:$C149,"&lt;&gt;"))</f>
      </c>
      <c r="B149" s="8"/>
      <c r="C149" s="8"/>
      <c r="D149" s="8"/>
      <c r="E149" s="7">
        <f>IF($C149="","",IF(AND(LEN(TRIM(UPPER(D149)))=10,CODE(MID(TRIM(UPPER(D149)),1,1))&gt;=65,CODE(MID(TRIM(UPPER(D149)),1,1))&lt;=90,CODE(MID(TRIM(UPPER(D149)),2,1))&gt;=65,CODE(MID(TRIM(UPPER(D149)),2,1))&lt;=90,CODE(MID(TRIM(UPPER(D149)),3,1))&gt;=65,CODE(MID(TRIM(UPPER(D149)),3,1))&lt;=90,CODE(MID(TRIM(UPPER(D149)),4,1))&gt;=65,CODE(MID(TRIM(UPPER(D149)),4,1))&lt;=90,CODE(MID(TRIM(UPPER(D149)),5,1))&gt;=65,CODE(MID(TRIM(UPPER(D149)),5,1))&lt;=90,CODE(MID(TRIM(UPPER(D149)),10,1))&gt;=65,CODE(MID(TRIM(UPPER(D149)),10,1))&lt;=90,CODE(MID(TRIM(UPPER(D149)),6,1))&gt;=48,CODE(MID(TRIM(UPPER(D149)),6,1))&lt;=57,CODE(MID(TRIM(UPPER(D149)),7,1))&gt;=48,CODE(MID(TRIM(UPPER(D149)),7,1))&lt;=57,CODE(MID(TRIM(UPPER(D149)),8,1))&gt;=48,CODE(MID(TRIM(UPPER(D149)),8,1))&lt;=57,CODE(MID(TRIM(UPPER(D149)),9,1))&gt;=48,CODE(MID(TRIM(UPPER(D149)),9,1))&lt;=57),"N","Y"))</f>
      </c>
      <c r="F149" s="7">
        <f>IF($C149="","",IF(LEN(D149)&lt;4,"",IF(UPPER(MID(D149,4,1))="P","Individual",IF(UPPER(MID(D149,4,1))="H","HUF",IF(UPPER(MID(D149,4,1))="C","Company",IF(UPPER(MID(D149,4,1))="F","Firm",IF(UPPER(MID(D149,4,1))="L","LLP",IF(UPPER(MID(D149,4,1))="T","Trust",IF(UPPER(MID(D149,4,1))="A","AOP","")))))))))</f>
      </c>
      <c r="G149" s="8"/>
      <c r="H149" s="7">
        <f>IF($C149="","",IF(R149&lt;&gt;"",R149,IF(G149="","",IF(E149="Y",SUMPRODUCT(('Rate Lookup'!$A$1:$A$37=G149)*'Rate Lookup'!$D$1:$D$37),IF(OR(F149="Individual",F149="HUF"),SUMPRODUCT(('Rate Lookup'!$A$1:$A$37=G149)*'Rate Lookup'!$B$1:$B$37),SUMPRODUCT(('Rate Lookup'!$A$1:$A$37=G149)*'Rate Lookup'!$C$1:$C$37)))))))</f>
      </c>
      <c r="I149" s="8"/>
      <c r="J149" s="8"/>
      <c r="K149" s="7">
        <f>IF($C149="","",IF(OR(P149="B",P149="D",P149="E",P149="N",P149="O",P149="P",P149="Q",P149="S",P149="Y",P149="Z"),0,ROUND(J149*H149/100,0)))</f>
      </c>
      <c r="L149" s="7">
        <f>IF($C149="","",0)</f>
      </c>
      <c r="M149" s="7">
        <f>IF($C149="","",0)</f>
      </c>
      <c r="N149" s="7">
        <f>IF($C149="","",IF(OR(K149=0,I149="",IFERROR(INDEX('Challan Master'!$D$4:$D$207,MATCH($B149,'Challan Master'!$S$4:$S$207,0)),"")="",IFERROR(INDEX('Challan Master'!$D$4:$D$207,MATCH($B149,'Challan Master'!$S$4:$S$207,0)),"")&lt;=0),0,IF(IFERROR(INDEX('Challan Master'!$D$4:$D$207,MATCH($B149,'Challan Master'!$S$4:$S$207,0)),"")&lt;=DATE(YEAR(I149),MONTH(I149)+1,7),0,ROUND(K149*0.015*((YEAR(IFERROR(INDEX('Challan Master'!$D$4:$D$207,MATCH($B149,'Challan Master'!$S$4:$S$207,0)),""))-YEAR(I149))*12+(MONTH(IFERROR(INDEX('Challan Master'!$D$4:$D$207,MATCH($B149,'Challan Master'!$S$4:$S$207,0)),""))-MONTH(I149))+1),0))))</f>
      </c>
      <c r="O149" s="7">
        <f>IF($C149="","",0)</f>
      </c>
      <c r="P149" s="8"/>
      <c r="Q149" s="8"/>
      <c r="R149" s="8"/>
      <c r="S149" s="8"/>
      <c r="T149" s="8"/>
      <c r="U149" s="7">
        <f>IF($B149="","",IFERROR(INDEX('Challan Master'!$AA$4:$AA$207,MATCH($B149,'Challan Master'!$S$4:$S$207,0)),""))</f>
      </c>
    </row>
    <row r="150" spans="1:22" x14ac:dyDescent="0.25">
      <c r="A150" s="7">
        <f>IF($C150="","",COUNTIF($C$4:$C150,"&lt;&gt;"))</f>
      </c>
      <c r="B150" s="8"/>
      <c r="C150" s="8"/>
      <c r="D150" s="8"/>
      <c r="E150" s="7">
        <f>IF($C150="","",IF(AND(LEN(TRIM(UPPER(D150)))=10,CODE(MID(TRIM(UPPER(D150)),1,1))&gt;=65,CODE(MID(TRIM(UPPER(D150)),1,1))&lt;=90,CODE(MID(TRIM(UPPER(D150)),2,1))&gt;=65,CODE(MID(TRIM(UPPER(D150)),2,1))&lt;=90,CODE(MID(TRIM(UPPER(D150)),3,1))&gt;=65,CODE(MID(TRIM(UPPER(D150)),3,1))&lt;=90,CODE(MID(TRIM(UPPER(D150)),4,1))&gt;=65,CODE(MID(TRIM(UPPER(D150)),4,1))&lt;=90,CODE(MID(TRIM(UPPER(D150)),5,1))&gt;=65,CODE(MID(TRIM(UPPER(D150)),5,1))&lt;=90,CODE(MID(TRIM(UPPER(D150)),10,1))&gt;=65,CODE(MID(TRIM(UPPER(D150)),10,1))&lt;=90,CODE(MID(TRIM(UPPER(D150)),6,1))&gt;=48,CODE(MID(TRIM(UPPER(D150)),6,1))&lt;=57,CODE(MID(TRIM(UPPER(D150)),7,1))&gt;=48,CODE(MID(TRIM(UPPER(D150)),7,1))&lt;=57,CODE(MID(TRIM(UPPER(D150)),8,1))&gt;=48,CODE(MID(TRIM(UPPER(D150)),8,1))&lt;=57,CODE(MID(TRIM(UPPER(D150)),9,1))&gt;=48,CODE(MID(TRIM(UPPER(D150)),9,1))&lt;=57),"N","Y"))</f>
      </c>
      <c r="F150" s="7">
        <f>IF($C150="","",IF(LEN(D150)&lt;4,"",IF(UPPER(MID(D150,4,1))="P","Individual",IF(UPPER(MID(D150,4,1))="H","HUF",IF(UPPER(MID(D150,4,1))="C","Company",IF(UPPER(MID(D150,4,1))="F","Firm",IF(UPPER(MID(D150,4,1))="L","LLP",IF(UPPER(MID(D150,4,1))="T","Trust",IF(UPPER(MID(D150,4,1))="A","AOP","")))))))))</f>
      </c>
      <c r="G150" s="8"/>
      <c r="H150" s="7">
        <f>IF($C150="","",IF(R150&lt;&gt;"",R150,IF(G150="","",IF(E150="Y",SUMPRODUCT(('Rate Lookup'!$A$1:$A$37=G150)*'Rate Lookup'!$D$1:$D$37),IF(OR(F150="Individual",F150="HUF"),SUMPRODUCT(('Rate Lookup'!$A$1:$A$37=G150)*'Rate Lookup'!$B$1:$B$37),SUMPRODUCT(('Rate Lookup'!$A$1:$A$37=G150)*'Rate Lookup'!$C$1:$C$37)))))))</f>
      </c>
      <c r="I150" s="8"/>
      <c r="J150" s="8"/>
      <c r="K150" s="7">
        <f>IF($C150="","",IF(OR(P150="B",P150="D",P150="E",P150="N",P150="O",P150="P",P150="Q",P150="S",P150="Y",P150="Z"),0,ROUND(J150*H150/100,0)))</f>
      </c>
      <c r="L150" s="7">
        <f>IF($C150="","",0)</f>
      </c>
      <c r="M150" s="7">
        <f>IF($C150="","",0)</f>
      </c>
      <c r="N150" s="7">
        <f>IF($C150="","",IF(OR(K150=0,I150="",IFERROR(INDEX('Challan Master'!$D$4:$D$207,MATCH($B150,'Challan Master'!$S$4:$S$207,0)),"")="",IFERROR(INDEX('Challan Master'!$D$4:$D$207,MATCH($B150,'Challan Master'!$S$4:$S$207,0)),"")&lt;=0),0,IF(IFERROR(INDEX('Challan Master'!$D$4:$D$207,MATCH($B150,'Challan Master'!$S$4:$S$207,0)),"")&lt;=DATE(YEAR(I150),MONTH(I150)+1,7),0,ROUND(K150*0.015*((YEAR(IFERROR(INDEX('Challan Master'!$D$4:$D$207,MATCH($B150,'Challan Master'!$S$4:$S$207,0)),""))-YEAR(I150))*12+(MONTH(IFERROR(INDEX('Challan Master'!$D$4:$D$207,MATCH($B150,'Challan Master'!$S$4:$S$207,0)),""))-MONTH(I150))+1),0))))</f>
      </c>
      <c r="O150" s="7">
        <f>IF($C150="","",0)</f>
      </c>
      <c r="P150" s="8"/>
      <c r="Q150" s="8"/>
      <c r="R150" s="8"/>
      <c r="S150" s="8"/>
      <c r="T150" s="8"/>
      <c r="U150" s="7">
        <f>IF($B150="","",IFERROR(INDEX('Challan Master'!$AA$4:$AA$207,MATCH($B150,'Challan Master'!$S$4:$S$207,0)),""))</f>
      </c>
    </row>
    <row r="151" spans="1:22" x14ac:dyDescent="0.25">
      <c r="A151" s="7">
        <f>IF($C151="","",COUNTIF($C$4:$C151,"&lt;&gt;"))</f>
      </c>
      <c r="B151" s="8"/>
      <c r="C151" s="8"/>
      <c r="D151" s="8"/>
      <c r="E151" s="7">
        <f>IF($C151="","",IF(AND(LEN(TRIM(UPPER(D151)))=10,CODE(MID(TRIM(UPPER(D151)),1,1))&gt;=65,CODE(MID(TRIM(UPPER(D151)),1,1))&lt;=90,CODE(MID(TRIM(UPPER(D151)),2,1))&gt;=65,CODE(MID(TRIM(UPPER(D151)),2,1))&lt;=90,CODE(MID(TRIM(UPPER(D151)),3,1))&gt;=65,CODE(MID(TRIM(UPPER(D151)),3,1))&lt;=90,CODE(MID(TRIM(UPPER(D151)),4,1))&gt;=65,CODE(MID(TRIM(UPPER(D151)),4,1))&lt;=90,CODE(MID(TRIM(UPPER(D151)),5,1))&gt;=65,CODE(MID(TRIM(UPPER(D151)),5,1))&lt;=90,CODE(MID(TRIM(UPPER(D151)),10,1))&gt;=65,CODE(MID(TRIM(UPPER(D151)),10,1))&lt;=90,CODE(MID(TRIM(UPPER(D151)),6,1))&gt;=48,CODE(MID(TRIM(UPPER(D151)),6,1))&lt;=57,CODE(MID(TRIM(UPPER(D151)),7,1))&gt;=48,CODE(MID(TRIM(UPPER(D151)),7,1))&lt;=57,CODE(MID(TRIM(UPPER(D151)),8,1))&gt;=48,CODE(MID(TRIM(UPPER(D151)),8,1))&lt;=57,CODE(MID(TRIM(UPPER(D151)),9,1))&gt;=48,CODE(MID(TRIM(UPPER(D151)),9,1))&lt;=57),"N","Y"))</f>
      </c>
      <c r="F151" s="7">
        <f>IF($C151="","",IF(LEN(D151)&lt;4,"",IF(UPPER(MID(D151,4,1))="P","Individual",IF(UPPER(MID(D151,4,1))="H","HUF",IF(UPPER(MID(D151,4,1))="C","Company",IF(UPPER(MID(D151,4,1))="F","Firm",IF(UPPER(MID(D151,4,1))="L","LLP",IF(UPPER(MID(D151,4,1))="T","Trust",IF(UPPER(MID(D151,4,1))="A","AOP","")))))))))</f>
      </c>
      <c r="G151" s="8"/>
      <c r="H151" s="7">
        <f>IF($C151="","",IF(R151&lt;&gt;"",R151,IF(G151="","",IF(E151="Y",SUMPRODUCT(('Rate Lookup'!$A$1:$A$37=G151)*'Rate Lookup'!$D$1:$D$37),IF(OR(F151="Individual",F151="HUF"),SUMPRODUCT(('Rate Lookup'!$A$1:$A$37=G151)*'Rate Lookup'!$B$1:$B$37),SUMPRODUCT(('Rate Lookup'!$A$1:$A$37=G151)*'Rate Lookup'!$C$1:$C$37)))))))</f>
      </c>
      <c r="I151" s="8"/>
      <c r="J151" s="8"/>
      <c r="K151" s="7">
        <f>IF($C151="","",IF(OR(P151="B",P151="D",P151="E",P151="N",P151="O",P151="P",P151="Q",P151="S",P151="Y",P151="Z"),0,ROUND(J151*H151/100,0)))</f>
      </c>
      <c r="L151" s="7">
        <f>IF($C151="","",0)</f>
      </c>
      <c r="M151" s="7">
        <f>IF($C151="","",0)</f>
      </c>
      <c r="N151" s="7">
        <f>IF($C151="","",IF(OR(K151=0,I151="",IFERROR(INDEX('Challan Master'!$D$4:$D$207,MATCH($B151,'Challan Master'!$S$4:$S$207,0)),"")="",IFERROR(INDEX('Challan Master'!$D$4:$D$207,MATCH($B151,'Challan Master'!$S$4:$S$207,0)),"")&lt;=0),0,IF(IFERROR(INDEX('Challan Master'!$D$4:$D$207,MATCH($B151,'Challan Master'!$S$4:$S$207,0)),"")&lt;=DATE(YEAR(I151),MONTH(I151)+1,7),0,ROUND(K151*0.015*((YEAR(IFERROR(INDEX('Challan Master'!$D$4:$D$207,MATCH($B151,'Challan Master'!$S$4:$S$207,0)),""))-YEAR(I151))*12+(MONTH(IFERROR(INDEX('Challan Master'!$D$4:$D$207,MATCH($B151,'Challan Master'!$S$4:$S$207,0)),""))-MONTH(I151))+1),0))))</f>
      </c>
      <c r="O151" s="7">
        <f>IF($C151="","",0)</f>
      </c>
      <c r="P151" s="8"/>
      <c r="Q151" s="8"/>
      <c r="R151" s="8"/>
      <c r="S151" s="8"/>
      <c r="T151" s="8"/>
      <c r="U151" s="7">
        <f>IF($B151="","",IFERROR(INDEX('Challan Master'!$AA$4:$AA$207,MATCH($B151,'Challan Master'!$S$4:$S$207,0)),""))</f>
      </c>
    </row>
    <row r="152" spans="1:22" x14ac:dyDescent="0.25">
      <c r="A152" s="7">
        <f>IF($C152="","",COUNTIF($C$4:$C152,"&lt;&gt;"))</f>
      </c>
      <c r="B152" s="8"/>
      <c r="C152" s="8"/>
      <c r="D152" s="8"/>
      <c r="E152" s="7">
        <f>IF($C152="","",IF(AND(LEN(TRIM(UPPER(D152)))=10,CODE(MID(TRIM(UPPER(D152)),1,1))&gt;=65,CODE(MID(TRIM(UPPER(D152)),1,1))&lt;=90,CODE(MID(TRIM(UPPER(D152)),2,1))&gt;=65,CODE(MID(TRIM(UPPER(D152)),2,1))&lt;=90,CODE(MID(TRIM(UPPER(D152)),3,1))&gt;=65,CODE(MID(TRIM(UPPER(D152)),3,1))&lt;=90,CODE(MID(TRIM(UPPER(D152)),4,1))&gt;=65,CODE(MID(TRIM(UPPER(D152)),4,1))&lt;=90,CODE(MID(TRIM(UPPER(D152)),5,1))&gt;=65,CODE(MID(TRIM(UPPER(D152)),5,1))&lt;=90,CODE(MID(TRIM(UPPER(D152)),10,1))&gt;=65,CODE(MID(TRIM(UPPER(D152)),10,1))&lt;=90,CODE(MID(TRIM(UPPER(D152)),6,1))&gt;=48,CODE(MID(TRIM(UPPER(D152)),6,1))&lt;=57,CODE(MID(TRIM(UPPER(D152)),7,1))&gt;=48,CODE(MID(TRIM(UPPER(D152)),7,1))&lt;=57,CODE(MID(TRIM(UPPER(D152)),8,1))&gt;=48,CODE(MID(TRIM(UPPER(D152)),8,1))&lt;=57,CODE(MID(TRIM(UPPER(D152)),9,1))&gt;=48,CODE(MID(TRIM(UPPER(D152)),9,1))&lt;=57),"N","Y"))</f>
      </c>
      <c r="F152" s="7">
        <f>IF($C152="","",IF(LEN(D152)&lt;4,"",IF(UPPER(MID(D152,4,1))="P","Individual",IF(UPPER(MID(D152,4,1))="H","HUF",IF(UPPER(MID(D152,4,1))="C","Company",IF(UPPER(MID(D152,4,1))="F","Firm",IF(UPPER(MID(D152,4,1))="L","LLP",IF(UPPER(MID(D152,4,1))="T","Trust",IF(UPPER(MID(D152,4,1))="A","AOP","")))))))))</f>
      </c>
      <c r="G152" s="8"/>
      <c r="H152" s="7">
        <f>IF($C152="","",IF(R152&lt;&gt;"",R152,IF(G152="","",IF(E152="Y",SUMPRODUCT(('Rate Lookup'!$A$1:$A$37=G152)*'Rate Lookup'!$D$1:$D$37),IF(OR(F152="Individual",F152="HUF"),SUMPRODUCT(('Rate Lookup'!$A$1:$A$37=G152)*'Rate Lookup'!$B$1:$B$37),SUMPRODUCT(('Rate Lookup'!$A$1:$A$37=G152)*'Rate Lookup'!$C$1:$C$37)))))))</f>
      </c>
      <c r="I152" s="8"/>
      <c r="J152" s="8"/>
      <c r="K152" s="7">
        <f>IF($C152="","",IF(OR(P152="B",P152="D",P152="E",P152="N",P152="O",P152="P",P152="Q",P152="S",P152="Y",P152="Z"),0,ROUND(J152*H152/100,0)))</f>
      </c>
      <c r="L152" s="7">
        <f>IF($C152="","",0)</f>
      </c>
      <c r="M152" s="7">
        <f>IF($C152="","",0)</f>
      </c>
      <c r="N152" s="7">
        <f>IF($C152="","",IF(OR(K152=0,I152="",IFERROR(INDEX('Challan Master'!$D$4:$D$207,MATCH($B152,'Challan Master'!$S$4:$S$207,0)),"")="",IFERROR(INDEX('Challan Master'!$D$4:$D$207,MATCH($B152,'Challan Master'!$S$4:$S$207,0)),"")&lt;=0),0,IF(IFERROR(INDEX('Challan Master'!$D$4:$D$207,MATCH($B152,'Challan Master'!$S$4:$S$207,0)),"")&lt;=DATE(YEAR(I152),MONTH(I152)+1,7),0,ROUND(K152*0.015*((YEAR(IFERROR(INDEX('Challan Master'!$D$4:$D$207,MATCH($B152,'Challan Master'!$S$4:$S$207,0)),""))-YEAR(I152))*12+(MONTH(IFERROR(INDEX('Challan Master'!$D$4:$D$207,MATCH($B152,'Challan Master'!$S$4:$S$207,0)),""))-MONTH(I152))+1),0))))</f>
      </c>
      <c r="O152" s="7">
        <f>IF($C152="","",0)</f>
      </c>
      <c r="P152" s="8"/>
      <c r="Q152" s="8"/>
      <c r="R152" s="8"/>
      <c r="S152" s="8"/>
      <c r="T152" s="8"/>
      <c r="U152" s="7">
        <f>IF($B152="","",IFERROR(INDEX('Challan Master'!$AA$4:$AA$207,MATCH($B152,'Challan Master'!$S$4:$S$207,0)),""))</f>
      </c>
    </row>
    <row r="153" spans="1:22" x14ac:dyDescent="0.25">
      <c r="A153" s="7">
        <f>IF($C153="","",COUNTIF($C$4:$C153,"&lt;&gt;"))</f>
      </c>
      <c r="B153" s="8"/>
      <c r="C153" s="8"/>
      <c r="D153" s="8"/>
      <c r="E153" s="7">
        <f>IF($C153="","",IF(AND(LEN(TRIM(UPPER(D153)))=10,CODE(MID(TRIM(UPPER(D153)),1,1))&gt;=65,CODE(MID(TRIM(UPPER(D153)),1,1))&lt;=90,CODE(MID(TRIM(UPPER(D153)),2,1))&gt;=65,CODE(MID(TRIM(UPPER(D153)),2,1))&lt;=90,CODE(MID(TRIM(UPPER(D153)),3,1))&gt;=65,CODE(MID(TRIM(UPPER(D153)),3,1))&lt;=90,CODE(MID(TRIM(UPPER(D153)),4,1))&gt;=65,CODE(MID(TRIM(UPPER(D153)),4,1))&lt;=90,CODE(MID(TRIM(UPPER(D153)),5,1))&gt;=65,CODE(MID(TRIM(UPPER(D153)),5,1))&lt;=90,CODE(MID(TRIM(UPPER(D153)),10,1))&gt;=65,CODE(MID(TRIM(UPPER(D153)),10,1))&lt;=90,CODE(MID(TRIM(UPPER(D153)),6,1))&gt;=48,CODE(MID(TRIM(UPPER(D153)),6,1))&lt;=57,CODE(MID(TRIM(UPPER(D153)),7,1))&gt;=48,CODE(MID(TRIM(UPPER(D153)),7,1))&lt;=57,CODE(MID(TRIM(UPPER(D153)),8,1))&gt;=48,CODE(MID(TRIM(UPPER(D153)),8,1))&lt;=57,CODE(MID(TRIM(UPPER(D153)),9,1))&gt;=48,CODE(MID(TRIM(UPPER(D153)),9,1))&lt;=57),"N","Y"))</f>
      </c>
      <c r="F153" s="7">
        <f>IF($C153="","",IF(LEN(D153)&lt;4,"",IF(UPPER(MID(D153,4,1))="P","Individual",IF(UPPER(MID(D153,4,1))="H","HUF",IF(UPPER(MID(D153,4,1))="C","Company",IF(UPPER(MID(D153,4,1))="F","Firm",IF(UPPER(MID(D153,4,1))="L","LLP",IF(UPPER(MID(D153,4,1))="T","Trust",IF(UPPER(MID(D153,4,1))="A","AOP","")))))))))</f>
      </c>
      <c r="G153" s="8"/>
      <c r="H153" s="7">
        <f>IF($C153="","",IF(R153&lt;&gt;"",R153,IF(G153="","",IF(E153="Y",SUMPRODUCT(('Rate Lookup'!$A$1:$A$37=G153)*'Rate Lookup'!$D$1:$D$37),IF(OR(F153="Individual",F153="HUF"),SUMPRODUCT(('Rate Lookup'!$A$1:$A$37=G153)*'Rate Lookup'!$B$1:$B$37),SUMPRODUCT(('Rate Lookup'!$A$1:$A$37=G153)*'Rate Lookup'!$C$1:$C$37)))))))</f>
      </c>
      <c r="I153" s="8"/>
      <c r="J153" s="8"/>
      <c r="K153" s="7">
        <f>IF($C153="","",IF(OR(P153="B",P153="D",P153="E",P153="N",P153="O",P153="P",P153="Q",P153="S",P153="Y",P153="Z"),0,ROUND(J153*H153/100,0)))</f>
      </c>
      <c r="L153" s="7">
        <f>IF($C153="","",0)</f>
      </c>
      <c r="M153" s="7">
        <f>IF($C153="","",0)</f>
      </c>
      <c r="N153" s="7">
        <f>IF($C153="","",IF(OR(K153=0,I153="",IFERROR(INDEX('Challan Master'!$D$4:$D$207,MATCH($B153,'Challan Master'!$S$4:$S$207,0)),"")="",IFERROR(INDEX('Challan Master'!$D$4:$D$207,MATCH($B153,'Challan Master'!$S$4:$S$207,0)),"")&lt;=0),0,IF(IFERROR(INDEX('Challan Master'!$D$4:$D$207,MATCH($B153,'Challan Master'!$S$4:$S$207,0)),"")&lt;=DATE(YEAR(I153),MONTH(I153)+1,7),0,ROUND(K153*0.015*((YEAR(IFERROR(INDEX('Challan Master'!$D$4:$D$207,MATCH($B153,'Challan Master'!$S$4:$S$207,0)),""))-YEAR(I153))*12+(MONTH(IFERROR(INDEX('Challan Master'!$D$4:$D$207,MATCH($B153,'Challan Master'!$S$4:$S$207,0)),""))-MONTH(I153))+1),0))))</f>
      </c>
      <c r="O153" s="7">
        <f>IF($C153="","",0)</f>
      </c>
      <c r="P153" s="8"/>
      <c r="Q153" s="8"/>
      <c r="R153" s="8"/>
      <c r="S153" s="8"/>
      <c r="T153" s="8"/>
      <c r="U153" s="7">
        <f>IF($B153="","",IFERROR(INDEX('Challan Master'!$AA$4:$AA$207,MATCH($B153,'Challan Master'!$S$4:$S$207,0)),""))</f>
      </c>
    </row>
    <row r="154" spans="1:22" x14ac:dyDescent="0.25">
      <c r="A154" s="7">
        <f>IF($C154="","",COUNTIF($C$4:$C154,"&lt;&gt;"))</f>
      </c>
      <c r="B154" s="8"/>
      <c r="C154" s="8"/>
      <c r="D154" s="8"/>
      <c r="E154" s="7">
        <f>IF($C154="","",IF(AND(LEN(TRIM(UPPER(D154)))=10,CODE(MID(TRIM(UPPER(D154)),1,1))&gt;=65,CODE(MID(TRIM(UPPER(D154)),1,1))&lt;=90,CODE(MID(TRIM(UPPER(D154)),2,1))&gt;=65,CODE(MID(TRIM(UPPER(D154)),2,1))&lt;=90,CODE(MID(TRIM(UPPER(D154)),3,1))&gt;=65,CODE(MID(TRIM(UPPER(D154)),3,1))&lt;=90,CODE(MID(TRIM(UPPER(D154)),4,1))&gt;=65,CODE(MID(TRIM(UPPER(D154)),4,1))&lt;=90,CODE(MID(TRIM(UPPER(D154)),5,1))&gt;=65,CODE(MID(TRIM(UPPER(D154)),5,1))&lt;=90,CODE(MID(TRIM(UPPER(D154)),10,1))&gt;=65,CODE(MID(TRIM(UPPER(D154)),10,1))&lt;=90,CODE(MID(TRIM(UPPER(D154)),6,1))&gt;=48,CODE(MID(TRIM(UPPER(D154)),6,1))&lt;=57,CODE(MID(TRIM(UPPER(D154)),7,1))&gt;=48,CODE(MID(TRIM(UPPER(D154)),7,1))&lt;=57,CODE(MID(TRIM(UPPER(D154)),8,1))&gt;=48,CODE(MID(TRIM(UPPER(D154)),8,1))&lt;=57,CODE(MID(TRIM(UPPER(D154)),9,1))&gt;=48,CODE(MID(TRIM(UPPER(D154)),9,1))&lt;=57),"N","Y"))</f>
      </c>
      <c r="F154" s="7">
        <f>IF($C154="","",IF(LEN(D154)&lt;4,"",IF(UPPER(MID(D154,4,1))="P","Individual",IF(UPPER(MID(D154,4,1))="H","HUF",IF(UPPER(MID(D154,4,1))="C","Company",IF(UPPER(MID(D154,4,1))="F","Firm",IF(UPPER(MID(D154,4,1))="L","LLP",IF(UPPER(MID(D154,4,1))="T","Trust",IF(UPPER(MID(D154,4,1))="A","AOP","")))))))))</f>
      </c>
      <c r="G154" s="8"/>
      <c r="H154" s="7">
        <f>IF($C154="","",IF(R154&lt;&gt;"",R154,IF(G154="","",IF(E154="Y",SUMPRODUCT(('Rate Lookup'!$A$1:$A$37=G154)*'Rate Lookup'!$D$1:$D$37),IF(OR(F154="Individual",F154="HUF"),SUMPRODUCT(('Rate Lookup'!$A$1:$A$37=G154)*'Rate Lookup'!$B$1:$B$37),SUMPRODUCT(('Rate Lookup'!$A$1:$A$37=G154)*'Rate Lookup'!$C$1:$C$37)))))))</f>
      </c>
      <c r="I154" s="8"/>
      <c r="J154" s="8"/>
      <c r="K154" s="7">
        <f>IF($C154="","",IF(OR(P154="B",P154="D",P154="E",P154="N",P154="O",P154="P",P154="Q",P154="S",P154="Y",P154="Z"),0,ROUND(J154*H154/100,0)))</f>
      </c>
      <c r="L154" s="7">
        <f>IF($C154="","",0)</f>
      </c>
      <c r="M154" s="7">
        <f>IF($C154="","",0)</f>
      </c>
      <c r="N154" s="7">
        <f>IF($C154="","",IF(OR(K154=0,I154="",IFERROR(INDEX('Challan Master'!$D$4:$D$207,MATCH($B154,'Challan Master'!$S$4:$S$207,0)),"")="",IFERROR(INDEX('Challan Master'!$D$4:$D$207,MATCH($B154,'Challan Master'!$S$4:$S$207,0)),"")&lt;=0),0,IF(IFERROR(INDEX('Challan Master'!$D$4:$D$207,MATCH($B154,'Challan Master'!$S$4:$S$207,0)),"")&lt;=DATE(YEAR(I154),MONTH(I154)+1,7),0,ROUND(K154*0.015*((YEAR(IFERROR(INDEX('Challan Master'!$D$4:$D$207,MATCH($B154,'Challan Master'!$S$4:$S$207,0)),""))-YEAR(I154))*12+(MONTH(IFERROR(INDEX('Challan Master'!$D$4:$D$207,MATCH($B154,'Challan Master'!$S$4:$S$207,0)),""))-MONTH(I154))+1),0))))</f>
      </c>
      <c r="O154" s="7">
        <f>IF($C154="","",0)</f>
      </c>
      <c r="P154" s="8"/>
      <c r="Q154" s="8"/>
      <c r="R154" s="8"/>
      <c r="S154" s="8"/>
      <c r="T154" s="8"/>
      <c r="U154" s="7">
        <f>IF($B154="","",IFERROR(INDEX('Challan Master'!$AA$4:$AA$207,MATCH($B154,'Challan Master'!$S$4:$S$207,0)),""))</f>
      </c>
    </row>
    <row r="155" spans="1:22" x14ac:dyDescent="0.25">
      <c r="A155" s="7">
        <f>IF($C155="","",COUNTIF($C$4:$C155,"&lt;&gt;"))</f>
      </c>
      <c r="B155" s="8"/>
      <c r="C155" s="8"/>
      <c r="D155" s="8"/>
      <c r="E155" s="7">
        <f>IF($C155="","",IF(AND(LEN(TRIM(UPPER(D155)))=10,CODE(MID(TRIM(UPPER(D155)),1,1))&gt;=65,CODE(MID(TRIM(UPPER(D155)),1,1))&lt;=90,CODE(MID(TRIM(UPPER(D155)),2,1))&gt;=65,CODE(MID(TRIM(UPPER(D155)),2,1))&lt;=90,CODE(MID(TRIM(UPPER(D155)),3,1))&gt;=65,CODE(MID(TRIM(UPPER(D155)),3,1))&lt;=90,CODE(MID(TRIM(UPPER(D155)),4,1))&gt;=65,CODE(MID(TRIM(UPPER(D155)),4,1))&lt;=90,CODE(MID(TRIM(UPPER(D155)),5,1))&gt;=65,CODE(MID(TRIM(UPPER(D155)),5,1))&lt;=90,CODE(MID(TRIM(UPPER(D155)),10,1))&gt;=65,CODE(MID(TRIM(UPPER(D155)),10,1))&lt;=90,CODE(MID(TRIM(UPPER(D155)),6,1))&gt;=48,CODE(MID(TRIM(UPPER(D155)),6,1))&lt;=57,CODE(MID(TRIM(UPPER(D155)),7,1))&gt;=48,CODE(MID(TRIM(UPPER(D155)),7,1))&lt;=57,CODE(MID(TRIM(UPPER(D155)),8,1))&gt;=48,CODE(MID(TRIM(UPPER(D155)),8,1))&lt;=57,CODE(MID(TRIM(UPPER(D155)),9,1))&gt;=48,CODE(MID(TRIM(UPPER(D155)),9,1))&lt;=57),"N","Y"))</f>
      </c>
      <c r="F155" s="7">
        <f>IF($C155="","",IF(LEN(D155)&lt;4,"",IF(UPPER(MID(D155,4,1))="P","Individual",IF(UPPER(MID(D155,4,1))="H","HUF",IF(UPPER(MID(D155,4,1))="C","Company",IF(UPPER(MID(D155,4,1))="F","Firm",IF(UPPER(MID(D155,4,1))="L","LLP",IF(UPPER(MID(D155,4,1))="T","Trust",IF(UPPER(MID(D155,4,1))="A","AOP","")))))))))</f>
      </c>
      <c r="G155" s="8"/>
      <c r="H155" s="7">
        <f>IF($C155="","",IF(R155&lt;&gt;"",R155,IF(G155="","",IF(E155="Y",SUMPRODUCT(('Rate Lookup'!$A$1:$A$37=G155)*'Rate Lookup'!$D$1:$D$37),IF(OR(F155="Individual",F155="HUF"),SUMPRODUCT(('Rate Lookup'!$A$1:$A$37=G155)*'Rate Lookup'!$B$1:$B$37),SUMPRODUCT(('Rate Lookup'!$A$1:$A$37=G155)*'Rate Lookup'!$C$1:$C$37)))))))</f>
      </c>
      <c r="I155" s="8"/>
      <c r="J155" s="8"/>
      <c r="K155" s="7">
        <f>IF($C155="","",IF(OR(P155="B",P155="D",P155="E",P155="N",P155="O",P155="P",P155="Q",P155="S",P155="Y",P155="Z"),0,ROUND(J155*H155/100,0)))</f>
      </c>
      <c r="L155" s="7">
        <f>IF($C155="","",0)</f>
      </c>
      <c r="M155" s="7">
        <f>IF($C155="","",0)</f>
      </c>
      <c r="N155" s="7">
        <f>IF($C155="","",IF(OR(K155=0,I155="",IFERROR(INDEX('Challan Master'!$D$4:$D$207,MATCH($B155,'Challan Master'!$S$4:$S$207,0)),"")="",IFERROR(INDEX('Challan Master'!$D$4:$D$207,MATCH($B155,'Challan Master'!$S$4:$S$207,0)),"")&lt;=0),0,IF(IFERROR(INDEX('Challan Master'!$D$4:$D$207,MATCH($B155,'Challan Master'!$S$4:$S$207,0)),"")&lt;=DATE(YEAR(I155),MONTH(I155)+1,7),0,ROUND(K155*0.015*((YEAR(IFERROR(INDEX('Challan Master'!$D$4:$D$207,MATCH($B155,'Challan Master'!$S$4:$S$207,0)),""))-YEAR(I155))*12+(MONTH(IFERROR(INDEX('Challan Master'!$D$4:$D$207,MATCH($B155,'Challan Master'!$S$4:$S$207,0)),""))-MONTH(I155))+1),0))))</f>
      </c>
      <c r="O155" s="7">
        <f>IF($C155="","",0)</f>
      </c>
      <c r="P155" s="8"/>
      <c r="Q155" s="8"/>
      <c r="R155" s="8"/>
      <c r="S155" s="8"/>
      <c r="T155" s="8"/>
      <c r="U155" s="7">
        <f>IF($B155="","",IFERROR(INDEX('Challan Master'!$AA$4:$AA$207,MATCH($B155,'Challan Master'!$S$4:$S$207,0)),""))</f>
      </c>
    </row>
    <row r="156" spans="1:22" x14ac:dyDescent="0.25">
      <c r="A156" s="7">
        <f>IF($C156="","",COUNTIF($C$4:$C156,"&lt;&gt;"))</f>
      </c>
      <c r="B156" s="8"/>
      <c r="C156" s="8"/>
      <c r="D156" s="8"/>
      <c r="E156" s="7">
        <f>IF($C156="","",IF(AND(LEN(TRIM(UPPER(D156)))=10,CODE(MID(TRIM(UPPER(D156)),1,1))&gt;=65,CODE(MID(TRIM(UPPER(D156)),1,1))&lt;=90,CODE(MID(TRIM(UPPER(D156)),2,1))&gt;=65,CODE(MID(TRIM(UPPER(D156)),2,1))&lt;=90,CODE(MID(TRIM(UPPER(D156)),3,1))&gt;=65,CODE(MID(TRIM(UPPER(D156)),3,1))&lt;=90,CODE(MID(TRIM(UPPER(D156)),4,1))&gt;=65,CODE(MID(TRIM(UPPER(D156)),4,1))&lt;=90,CODE(MID(TRIM(UPPER(D156)),5,1))&gt;=65,CODE(MID(TRIM(UPPER(D156)),5,1))&lt;=90,CODE(MID(TRIM(UPPER(D156)),10,1))&gt;=65,CODE(MID(TRIM(UPPER(D156)),10,1))&lt;=90,CODE(MID(TRIM(UPPER(D156)),6,1))&gt;=48,CODE(MID(TRIM(UPPER(D156)),6,1))&lt;=57,CODE(MID(TRIM(UPPER(D156)),7,1))&gt;=48,CODE(MID(TRIM(UPPER(D156)),7,1))&lt;=57,CODE(MID(TRIM(UPPER(D156)),8,1))&gt;=48,CODE(MID(TRIM(UPPER(D156)),8,1))&lt;=57,CODE(MID(TRIM(UPPER(D156)),9,1))&gt;=48,CODE(MID(TRIM(UPPER(D156)),9,1))&lt;=57),"N","Y"))</f>
      </c>
      <c r="F156" s="7">
        <f>IF($C156="","",IF(LEN(D156)&lt;4,"",IF(UPPER(MID(D156,4,1))="P","Individual",IF(UPPER(MID(D156,4,1))="H","HUF",IF(UPPER(MID(D156,4,1))="C","Company",IF(UPPER(MID(D156,4,1))="F","Firm",IF(UPPER(MID(D156,4,1))="L","LLP",IF(UPPER(MID(D156,4,1))="T","Trust",IF(UPPER(MID(D156,4,1))="A","AOP","")))))))))</f>
      </c>
      <c r="G156" s="8"/>
      <c r="H156" s="7">
        <f>IF($C156="","",IF(R156&lt;&gt;"",R156,IF(G156="","",IF(E156="Y",SUMPRODUCT(('Rate Lookup'!$A$1:$A$37=G156)*'Rate Lookup'!$D$1:$D$37),IF(OR(F156="Individual",F156="HUF"),SUMPRODUCT(('Rate Lookup'!$A$1:$A$37=G156)*'Rate Lookup'!$B$1:$B$37),SUMPRODUCT(('Rate Lookup'!$A$1:$A$37=G156)*'Rate Lookup'!$C$1:$C$37)))))))</f>
      </c>
      <c r="I156" s="8"/>
      <c r="J156" s="8"/>
      <c r="K156" s="7">
        <f>IF($C156="","",IF(OR(P156="B",P156="D",P156="E",P156="N",P156="O",P156="P",P156="Q",P156="S",P156="Y",P156="Z"),0,ROUND(J156*H156/100,0)))</f>
      </c>
      <c r="L156" s="7">
        <f>IF($C156="","",0)</f>
      </c>
      <c r="M156" s="7">
        <f>IF($C156="","",0)</f>
      </c>
      <c r="N156" s="7">
        <f>IF($C156="","",IF(OR(K156=0,I156="",IFERROR(INDEX('Challan Master'!$D$4:$D$207,MATCH($B156,'Challan Master'!$S$4:$S$207,0)),"")="",IFERROR(INDEX('Challan Master'!$D$4:$D$207,MATCH($B156,'Challan Master'!$S$4:$S$207,0)),"")&lt;=0),0,IF(IFERROR(INDEX('Challan Master'!$D$4:$D$207,MATCH($B156,'Challan Master'!$S$4:$S$207,0)),"")&lt;=DATE(YEAR(I156),MONTH(I156)+1,7),0,ROUND(K156*0.015*((YEAR(IFERROR(INDEX('Challan Master'!$D$4:$D$207,MATCH($B156,'Challan Master'!$S$4:$S$207,0)),""))-YEAR(I156))*12+(MONTH(IFERROR(INDEX('Challan Master'!$D$4:$D$207,MATCH($B156,'Challan Master'!$S$4:$S$207,0)),""))-MONTH(I156))+1),0))))</f>
      </c>
      <c r="O156" s="7">
        <f>IF($C156="","",0)</f>
      </c>
      <c r="P156" s="8"/>
      <c r="Q156" s="8"/>
      <c r="R156" s="8"/>
      <c r="S156" s="8"/>
      <c r="T156" s="8"/>
      <c r="U156" s="7">
        <f>IF($B156="","",IFERROR(INDEX('Challan Master'!$AA$4:$AA$207,MATCH($B156,'Challan Master'!$S$4:$S$207,0)),""))</f>
      </c>
    </row>
    <row r="157" spans="1:22" x14ac:dyDescent="0.25">
      <c r="A157" s="7">
        <f>IF($C157="","",COUNTIF($C$4:$C157,"&lt;&gt;"))</f>
      </c>
      <c r="B157" s="8"/>
      <c r="C157" s="8"/>
      <c r="D157" s="8"/>
      <c r="E157" s="7">
        <f>IF($C157="","",IF(AND(LEN(TRIM(UPPER(D157)))=10,CODE(MID(TRIM(UPPER(D157)),1,1))&gt;=65,CODE(MID(TRIM(UPPER(D157)),1,1))&lt;=90,CODE(MID(TRIM(UPPER(D157)),2,1))&gt;=65,CODE(MID(TRIM(UPPER(D157)),2,1))&lt;=90,CODE(MID(TRIM(UPPER(D157)),3,1))&gt;=65,CODE(MID(TRIM(UPPER(D157)),3,1))&lt;=90,CODE(MID(TRIM(UPPER(D157)),4,1))&gt;=65,CODE(MID(TRIM(UPPER(D157)),4,1))&lt;=90,CODE(MID(TRIM(UPPER(D157)),5,1))&gt;=65,CODE(MID(TRIM(UPPER(D157)),5,1))&lt;=90,CODE(MID(TRIM(UPPER(D157)),10,1))&gt;=65,CODE(MID(TRIM(UPPER(D157)),10,1))&lt;=90,CODE(MID(TRIM(UPPER(D157)),6,1))&gt;=48,CODE(MID(TRIM(UPPER(D157)),6,1))&lt;=57,CODE(MID(TRIM(UPPER(D157)),7,1))&gt;=48,CODE(MID(TRIM(UPPER(D157)),7,1))&lt;=57,CODE(MID(TRIM(UPPER(D157)),8,1))&gt;=48,CODE(MID(TRIM(UPPER(D157)),8,1))&lt;=57,CODE(MID(TRIM(UPPER(D157)),9,1))&gt;=48,CODE(MID(TRIM(UPPER(D157)),9,1))&lt;=57),"N","Y"))</f>
      </c>
      <c r="F157" s="7">
        <f>IF($C157="","",IF(LEN(D157)&lt;4,"",IF(UPPER(MID(D157,4,1))="P","Individual",IF(UPPER(MID(D157,4,1))="H","HUF",IF(UPPER(MID(D157,4,1))="C","Company",IF(UPPER(MID(D157,4,1))="F","Firm",IF(UPPER(MID(D157,4,1))="L","LLP",IF(UPPER(MID(D157,4,1))="T","Trust",IF(UPPER(MID(D157,4,1))="A","AOP","")))))))))</f>
      </c>
      <c r="G157" s="8"/>
      <c r="H157" s="7">
        <f>IF($C157="","",IF(R157&lt;&gt;"",R157,IF(G157="","",IF(E157="Y",SUMPRODUCT(('Rate Lookup'!$A$1:$A$37=G157)*'Rate Lookup'!$D$1:$D$37),IF(OR(F157="Individual",F157="HUF"),SUMPRODUCT(('Rate Lookup'!$A$1:$A$37=G157)*'Rate Lookup'!$B$1:$B$37),SUMPRODUCT(('Rate Lookup'!$A$1:$A$37=G157)*'Rate Lookup'!$C$1:$C$37)))))))</f>
      </c>
      <c r="I157" s="8"/>
      <c r="J157" s="8"/>
      <c r="K157" s="7">
        <f>IF($C157="","",IF(OR(P157="B",P157="D",P157="E",P157="N",P157="O",P157="P",P157="Q",P157="S",P157="Y",P157="Z"),0,ROUND(J157*H157/100,0)))</f>
      </c>
      <c r="L157" s="7">
        <f>IF($C157="","",0)</f>
      </c>
      <c r="M157" s="7">
        <f>IF($C157="","",0)</f>
      </c>
      <c r="N157" s="7">
        <f>IF($C157="","",IF(OR(K157=0,I157="",IFERROR(INDEX('Challan Master'!$D$4:$D$207,MATCH($B157,'Challan Master'!$S$4:$S$207,0)),"")="",IFERROR(INDEX('Challan Master'!$D$4:$D$207,MATCH($B157,'Challan Master'!$S$4:$S$207,0)),"")&lt;=0),0,IF(IFERROR(INDEX('Challan Master'!$D$4:$D$207,MATCH($B157,'Challan Master'!$S$4:$S$207,0)),"")&lt;=DATE(YEAR(I157),MONTH(I157)+1,7),0,ROUND(K157*0.015*((YEAR(IFERROR(INDEX('Challan Master'!$D$4:$D$207,MATCH($B157,'Challan Master'!$S$4:$S$207,0)),""))-YEAR(I157))*12+(MONTH(IFERROR(INDEX('Challan Master'!$D$4:$D$207,MATCH($B157,'Challan Master'!$S$4:$S$207,0)),""))-MONTH(I157))+1),0))))</f>
      </c>
      <c r="O157" s="7">
        <f>IF($C157="","",0)</f>
      </c>
      <c r="P157" s="8"/>
      <c r="Q157" s="8"/>
      <c r="R157" s="8"/>
      <c r="S157" s="8"/>
      <c r="T157" s="8"/>
      <c r="U157" s="7">
        <f>IF($B157="","",IFERROR(INDEX('Challan Master'!$AA$4:$AA$207,MATCH($B157,'Challan Master'!$S$4:$S$207,0)),""))</f>
      </c>
    </row>
    <row r="158" spans="1:22" x14ac:dyDescent="0.25">
      <c r="A158" s="7">
        <f>IF($C158="","",COUNTIF($C$4:$C158,"&lt;&gt;"))</f>
      </c>
      <c r="B158" s="8"/>
      <c r="C158" s="8"/>
      <c r="D158" s="8"/>
      <c r="E158" s="7">
        <f>IF($C158="","",IF(AND(LEN(TRIM(UPPER(D158)))=10,CODE(MID(TRIM(UPPER(D158)),1,1))&gt;=65,CODE(MID(TRIM(UPPER(D158)),1,1))&lt;=90,CODE(MID(TRIM(UPPER(D158)),2,1))&gt;=65,CODE(MID(TRIM(UPPER(D158)),2,1))&lt;=90,CODE(MID(TRIM(UPPER(D158)),3,1))&gt;=65,CODE(MID(TRIM(UPPER(D158)),3,1))&lt;=90,CODE(MID(TRIM(UPPER(D158)),4,1))&gt;=65,CODE(MID(TRIM(UPPER(D158)),4,1))&lt;=90,CODE(MID(TRIM(UPPER(D158)),5,1))&gt;=65,CODE(MID(TRIM(UPPER(D158)),5,1))&lt;=90,CODE(MID(TRIM(UPPER(D158)),10,1))&gt;=65,CODE(MID(TRIM(UPPER(D158)),10,1))&lt;=90,CODE(MID(TRIM(UPPER(D158)),6,1))&gt;=48,CODE(MID(TRIM(UPPER(D158)),6,1))&lt;=57,CODE(MID(TRIM(UPPER(D158)),7,1))&gt;=48,CODE(MID(TRIM(UPPER(D158)),7,1))&lt;=57,CODE(MID(TRIM(UPPER(D158)),8,1))&gt;=48,CODE(MID(TRIM(UPPER(D158)),8,1))&lt;=57,CODE(MID(TRIM(UPPER(D158)),9,1))&gt;=48,CODE(MID(TRIM(UPPER(D158)),9,1))&lt;=57),"N","Y"))</f>
      </c>
      <c r="F158" s="7">
        <f>IF($C158="","",IF(LEN(D158)&lt;4,"",IF(UPPER(MID(D158,4,1))="P","Individual",IF(UPPER(MID(D158,4,1))="H","HUF",IF(UPPER(MID(D158,4,1))="C","Company",IF(UPPER(MID(D158,4,1))="F","Firm",IF(UPPER(MID(D158,4,1))="L","LLP",IF(UPPER(MID(D158,4,1))="T","Trust",IF(UPPER(MID(D158,4,1))="A","AOP","")))))))))</f>
      </c>
      <c r="G158" s="8"/>
      <c r="H158" s="7">
        <f>IF($C158="","",IF(R158&lt;&gt;"",R158,IF(G158="","",IF(E158="Y",SUMPRODUCT(('Rate Lookup'!$A$1:$A$37=G158)*'Rate Lookup'!$D$1:$D$37),IF(OR(F158="Individual",F158="HUF"),SUMPRODUCT(('Rate Lookup'!$A$1:$A$37=G158)*'Rate Lookup'!$B$1:$B$37),SUMPRODUCT(('Rate Lookup'!$A$1:$A$37=G158)*'Rate Lookup'!$C$1:$C$37)))))))</f>
      </c>
      <c r="I158" s="8"/>
      <c r="J158" s="8"/>
      <c r="K158" s="7">
        <f>IF($C158="","",IF(OR(P158="B",P158="D",P158="E",P158="N",P158="O",P158="P",P158="Q",P158="S",P158="Y",P158="Z"),0,ROUND(J158*H158/100,0)))</f>
      </c>
      <c r="L158" s="7">
        <f>IF($C158="","",0)</f>
      </c>
      <c r="M158" s="7">
        <f>IF($C158="","",0)</f>
      </c>
      <c r="N158" s="7">
        <f>IF($C158="","",IF(OR(K158=0,I158="",IFERROR(INDEX('Challan Master'!$D$4:$D$207,MATCH($B158,'Challan Master'!$S$4:$S$207,0)),"")="",IFERROR(INDEX('Challan Master'!$D$4:$D$207,MATCH($B158,'Challan Master'!$S$4:$S$207,0)),"")&lt;=0),0,IF(IFERROR(INDEX('Challan Master'!$D$4:$D$207,MATCH($B158,'Challan Master'!$S$4:$S$207,0)),"")&lt;=DATE(YEAR(I158),MONTH(I158)+1,7),0,ROUND(K158*0.015*((YEAR(IFERROR(INDEX('Challan Master'!$D$4:$D$207,MATCH($B158,'Challan Master'!$S$4:$S$207,0)),""))-YEAR(I158))*12+(MONTH(IFERROR(INDEX('Challan Master'!$D$4:$D$207,MATCH($B158,'Challan Master'!$S$4:$S$207,0)),""))-MONTH(I158))+1),0))))</f>
      </c>
      <c r="O158" s="7">
        <f>IF($C158="","",0)</f>
      </c>
      <c r="P158" s="8"/>
      <c r="Q158" s="8"/>
      <c r="R158" s="8"/>
      <c r="S158" s="8"/>
      <c r="T158" s="8"/>
      <c r="U158" s="7">
        <f>IF($B158="","",IFERROR(INDEX('Challan Master'!$AA$4:$AA$207,MATCH($B158,'Challan Master'!$S$4:$S$207,0)),""))</f>
      </c>
    </row>
    <row r="159" spans="1:22" x14ac:dyDescent="0.25">
      <c r="A159" s="7">
        <f>IF($C159="","",COUNTIF($C$4:$C159,"&lt;&gt;"))</f>
      </c>
      <c r="B159" s="8"/>
      <c r="C159" s="8"/>
      <c r="D159" s="8"/>
      <c r="E159" s="7">
        <f>IF($C159="","",IF(AND(LEN(TRIM(UPPER(D159)))=10,CODE(MID(TRIM(UPPER(D159)),1,1))&gt;=65,CODE(MID(TRIM(UPPER(D159)),1,1))&lt;=90,CODE(MID(TRIM(UPPER(D159)),2,1))&gt;=65,CODE(MID(TRIM(UPPER(D159)),2,1))&lt;=90,CODE(MID(TRIM(UPPER(D159)),3,1))&gt;=65,CODE(MID(TRIM(UPPER(D159)),3,1))&lt;=90,CODE(MID(TRIM(UPPER(D159)),4,1))&gt;=65,CODE(MID(TRIM(UPPER(D159)),4,1))&lt;=90,CODE(MID(TRIM(UPPER(D159)),5,1))&gt;=65,CODE(MID(TRIM(UPPER(D159)),5,1))&lt;=90,CODE(MID(TRIM(UPPER(D159)),10,1))&gt;=65,CODE(MID(TRIM(UPPER(D159)),10,1))&lt;=90,CODE(MID(TRIM(UPPER(D159)),6,1))&gt;=48,CODE(MID(TRIM(UPPER(D159)),6,1))&lt;=57,CODE(MID(TRIM(UPPER(D159)),7,1))&gt;=48,CODE(MID(TRIM(UPPER(D159)),7,1))&lt;=57,CODE(MID(TRIM(UPPER(D159)),8,1))&gt;=48,CODE(MID(TRIM(UPPER(D159)),8,1))&lt;=57,CODE(MID(TRIM(UPPER(D159)),9,1))&gt;=48,CODE(MID(TRIM(UPPER(D159)),9,1))&lt;=57),"N","Y"))</f>
      </c>
      <c r="F159" s="7">
        <f>IF($C159="","",IF(LEN(D159)&lt;4,"",IF(UPPER(MID(D159,4,1))="P","Individual",IF(UPPER(MID(D159,4,1))="H","HUF",IF(UPPER(MID(D159,4,1))="C","Company",IF(UPPER(MID(D159,4,1))="F","Firm",IF(UPPER(MID(D159,4,1))="L","LLP",IF(UPPER(MID(D159,4,1))="T","Trust",IF(UPPER(MID(D159,4,1))="A","AOP","")))))))))</f>
      </c>
      <c r="G159" s="8"/>
      <c r="H159" s="7">
        <f>IF($C159="","",IF(R159&lt;&gt;"",R159,IF(G159="","",IF(E159="Y",SUMPRODUCT(('Rate Lookup'!$A$1:$A$37=G159)*'Rate Lookup'!$D$1:$D$37),IF(OR(F159="Individual",F159="HUF"),SUMPRODUCT(('Rate Lookup'!$A$1:$A$37=G159)*'Rate Lookup'!$B$1:$B$37),SUMPRODUCT(('Rate Lookup'!$A$1:$A$37=G159)*'Rate Lookup'!$C$1:$C$37)))))))</f>
      </c>
      <c r="I159" s="8"/>
      <c r="J159" s="8"/>
      <c r="K159" s="7">
        <f>IF($C159="","",IF(OR(P159="B",P159="D",P159="E",P159="N",P159="O",P159="P",P159="Q",P159="S",P159="Y",P159="Z"),0,ROUND(J159*H159/100,0)))</f>
      </c>
      <c r="L159" s="7">
        <f>IF($C159="","",0)</f>
      </c>
      <c r="M159" s="7">
        <f>IF($C159="","",0)</f>
      </c>
      <c r="N159" s="7">
        <f>IF($C159="","",IF(OR(K159=0,I159="",IFERROR(INDEX('Challan Master'!$D$4:$D$207,MATCH($B159,'Challan Master'!$S$4:$S$207,0)),"")="",IFERROR(INDEX('Challan Master'!$D$4:$D$207,MATCH($B159,'Challan Master'!$S$4:$S$207,0)),"")&lt;=0),0,IF(IFERROR(INDEX('Challan Master'!$D$4:$D$207,MATCH($B159,'Challan Master'!$S$4:$S$207,0)),"")&lt;=DATE(YEAR(I159),MONTH(I159)+1,7),0,ROUND(K159*0.015*((YEAR(IFERROR(INDEX('Challan Master'!$D$4:$D$207,MATCH($B159,'Challan Master'!$S$4:$S$207,0)),""))-YEAR(I159))*12+(MONTH(IFERROR(INDEX('Challan Master'!$D$4:$D$207,MATCH($B159,'Challan Master'!$S$4:$S$207,0)),""))-MONTH(I159))+1),0))))</f>
      </c>
      <c r="O159" s="7">
        <f>IF($C159="","",0)</f>
      </c>
      <c r="P159" s="8"/>
      <c r="Q159" s="8"/>
      <c r="R159" s="8"/>
      <c r="S159" s="8"/>
      <c r="T159" s="8"/>
      <c r="U159" s="7">
        <f>IF($B159="","",IFERROR(INDEX('Challan Master'!$AA$4:$AA$207,MATCH($B159,'Challan Master'!$S$4:$S$207,0)),""))</f>
      </c>
    </row>
    <row r="160" spans="1:22" x14ac:dyDescent="0.25">
      <c r="A160" s="7">
        <f>IF($C160="","",COUNTIF($C$4:$C160,"&lt;&gt;"))</f>
      </c>
      <c r="B160" s="8"/>
      <c r="C160" s="8"/>
      <c r="D160" s="8"/>
      <c r="E160" s="7">
        <f>IF($C160="","",IF(AND(LEN(TRIM(UPPER(D160)))=10,CODE(MID(TRIM(UPPER(D160)),1,1))&gt;=65,CODE(MID(TRIM(UPPER(D160)),1,1))&lt;=90,CODE(MID(TRIM(UPPER(D160)),2,1))&gt;=65,CODE(MID(TRIM(UPPER(D160)),2,1))&lt;=90,CODE(MID(TRIM(UPPER(D160)),3,1))&gt;=65,CODE(MID(TRIM(UPPER(D160)),3,1))&lt;=90,CODE(MID(TRIM(UPPER(D160)),4,1))&gt;=65,CODE(MID(TRIM(UPPER(D160)),4,1))&lt;=90,CODE(MID(TRIM(UPPER(D160)),5,1))&gt;=65,CODE(MID(TRIM(UPPER(D160)),5,1))&lt;=90,CODE(MID(TRIM(UPPER(D160)),10,1))&gt;=65,CODE(MID(TRIM(UPPER(D160)),10,1))&lt;=90,CODE(MID(TRIM(UPPER(D160)),6,1))&gt;=48,CODE(MID(TRIM(UPPER(D160)),6,1))&lt;=57,CODE(MID(TRIM(UPPER(D160)),7,1))&gt;=48,CODE(MID(TRIM(UPPER(D160)),7,1))&lt;=57,CODE(MID(TRIM(UPPER(D160)),8,1))&gt;=48,CODE(MID(TRIM(UPPER(D160)),8,1))&lt;=57,CODE(MID(TRIM(UPPER(D160)),9,1))&gt;=48,CODE(MID(TRIM(UPPER(D160)),9,1))&lt;=57),"N","Y"))</f>
      </c>
      <c r="F160" s="7">
        <f>IF($C160="","",IF(LEN(D160)&lt;4,"",IF(UPPER(MID(D160,4,1))="P","Individual",IF(UPPER(MID(D160,4,1))="H","HUF",IF(UPPER(MID(D160,4,1))="C","Company",IF(UPPER(MID(D160,4,1))="F","Firm",IF(UPPER(MID(D160,4,1))="L","LLP",IF(UPPER(MID(D160,4,1))="T","Trust",IF(UPPER(MID(D160,4,1))="A","AOP","")))))))))</f>
      </c>
      <c r="G160" s="8"/>
      <c r="H160" s="7">
        <f>IF($C160="","",IF(R160&lt;&gt;"",R160,IF(G160="","",IF(E160="Y",SUMPRODUCT(('Rate Lookup'!$A$1:$A$37=G160)*'Rate Lookup'!$D$1:$D$37),IF(OR(F160="Individual",F160="HUF"),SUMPRODUCT(('Rate Lookup'!$A$1:$A$37=G160)*'Rate Lookup'!$B$1:$B$37),SUMPRODUCT(('Rate Lookup'!$A$1:$A$37=G160)*'Rate Lookup'!$C$1:$C$37)))))))</f>
      </c>
      <c r="I160" s="8"/>
      <c r="J160" s="8"/>
      <c r="K160" s="7">
        <f>IF($C160="","",IF(OR(P160="B",P160="D",P160="E",P160="N",P160="O",P160="P",P160="Q",P160="S",P160="Y",P160="Z"),0,ROUND(J160*H160/100,0)))</f>
      </c>
      <c r="L160" s="7">
        <f>IF($C160="","",0)</f>
      </c>
      <c r="M160" s="7">
        <f>IF($C160="","",0)</f>
      </c>
      <c r="N160" s="7">
        <f>IF($C160="","",IF(OR(K160=0,I160="",IFERROR(INDEX('Challan Master'!$D$4:$D$207,MATCH($B160,'Challan Master'!$S$4:$S$207,0)),"")="",IFERROR(INDEX('Challan Master'!$D$4:$D$207,MATCH($B160,'Challan Master'!$S$4:$S$207,0)),"")&lt;=0),0,IF(IFERROR(INDEX('Challan Master'!$D$4:$D$207,MATCH($B160,'Challan Master'!$S$4:$S$207,0)),"")&lt;=DATE(YEAR(I160),MONTH(I160)+1,7),0,ROUND(K160*0.015*((YEAR(IFERROR(INDEX('Challan Master'!$D$4:$D$207,MATCH($B160,'Challan Master'!$S$4:$S$207,0)),""))-YEAR(I160))*12+(MONTH(IFERROR(INDEX('Challan Master'!$D$4:$D$207,MATCH($B160,'Challan Master'!$S$4:$S$207,0)),""))-MONTH(I160))+1),0))))</f>
      </c>
      <c r="O160" s="7">
        <f>IF($C160="","",0)</f>
      </c>
      <c r="P160" s="8"/>
      <c r="Q160" s="8"/>
      <c r="R160" s="8"/>
      <c r="S160" s="8"/>
      <c r="T160" s="8"/>
      <c r="U160" s="7">
        <f>IF($B160="","",IFERROR(INDEX('Challan Master'!$AA$4:$AA$207,MATCH($B160,'Challan Master'!$S$4:$S$207,0)),""))</f>
      </c>
    </row>
    <row r="161" spans="1:22" x14ac:dyDescent="0.25">
      <c r="A161" s="7">
        <f>IF($C161="","",COUNTIF($C$4:$C161,"&lt;&gt;"))</f>
      </c>
      <c r="B161" s="8"/>
      <c r="C161" s="8"/>
      <c r="D161" s="8"/>
      <c r="E161" s="7">
        <f>IF($C161="","",IF(AND(LEN(TRIM(UPPER(D161)))=10,CODE(MID(TRIM(UPPER(D161)),1,1))&gt;=65,CODE(MID(TRIM(UPPER(D161)),1,1))&lt;=90,CODE(MID(TRIM(UPPER(D161)),2,1))&gt;=65,CODE(MID(TRIM(UPPER(D161)),2,1))&lt;=90,CODE(MID(TRIM(UPPER(D161)),3,1))&gt;=65,CODE(MID(TRIM(UPPER(D161)),3,1))&lt;=90,CODE(MID(TRIM(UPPER(D161)),4,1))&gt;=65,CODE(MID(TRIM(UPPER(D161)),4,1))&lt;=90,CODE(MID(TRIM(UPPER(D161)),5,1))&gt;=65,CODE(MID(TRIM(UPPER(D161)),5,1))&lt;=90,CODE(MID(TRIM(UPPER(D161)),10,1))&gt;=65,CODE(MID(TRIM(UPPER(D161)),10,1))&lt;=90,CODE(MID(TRIM(UPPER(D161)),6,1))&gt;=48,CODE(MID(TRIM(UPPER(D161)),6,1))&lt;=57,CODE(MID(TRIM(UPPER(D161)),7,1))&gt;=48,CODE(MID(TRIM(UPPER(D161)),7,1))&lt;=57,CODE(MID(TRIM(UPPER(D161)),8,1))&gt;=48,CODE(MID(TRIM(UPPER(D161)),8,1))&lt;=57,CODE(MID(TRIM(UPPER(D161)),9,1))&gt;=48,CODE(MID(TRIM(UPPER(D161)),9,1))&lt;=57),"N","Y"))</f>
      </c>
      <c r="F161" s="7">
        <f>IF($C161="","",IF(LEN(D161)&lt;4,"",IF(UPPER(MID(D161,4,1))="P","Individual",IF(UPPER(MID(D161,4,1))="H","HUF",IF(UPPER(MID(D161,4,1))="C","Company",IF(UPPER(MID(D161,4,1))="F","Firm",IF(UPPER(MID(D161,4,1))="L","LLP",IF(UPPER(MID(D161,4,1))="T","Trust",IF(UPPER(MID(D161,4,1))="A","AOP","")))))))))</f>
      </c>
      <c r="G161" s="8"/>
      <c r="H161" s="7">
        <f>IF($C161="","",IF(R161&lt;&gt;"",R161,IF(G161="","",IF(E161="Y",SUMPRODUCT(('Rate Lookup'!$A$1:$A$37=G161)*'Rate Lookup'!$D$1:$D$37),IF(OR(F161="Individual",F161="HUF"),SUMPRODUCT(('Rate Lookup'!$A$1:$A$37=G161)*'Rate Lookup'!$B$1:$B$37),SUMPRODUCT(('Rate Lookup'!$A$1:$A$37=G161)*'Rate Lookup'!$C$1:$C$37)))))))</f>
      </c>
      <c r="I161" s="8"/>
      <c r="J161" s="8"/>
      <c r="K161" s="7">
        <f>IF($C161="","",IF(OR(P161="B",P161="D",P161="E",P161="N",P161="O",P161="P",P161="Q",P161="S",P161="Y",P161="Z"),0,ROUND(J161*H161/100,0)))</f>
      </c>
      <c r="L161" s="7">
        <f>IF($C161="","",0)</f>
      </c>
      <c r="M161" s="7">
        <f>IF($C161="","",0)</f>
      </c>
      <c r="N161" s="7">
        <f>IF($C161="","",IF(OR(K161=0,I161="",IFERROR(INDEX('Challan Master'!$D$4:$D$207,MATCH($B161,'Challan Master'!$S$4:$S$207,0)),"")="",IFERROR(INDEX('Challan Master'!$D$4:$D$207,MATCH($B161,'Challan Master'!$S$4:$S$207,0)),"")&lt;=0),0,IF(IFERROR(INDEX('Challan Master'!$D$4:$D$207,MATCH($B161,'Challan Master'!$S$4:$S$207,0)),"")&lt;=DATE(YEAR(I161),MONTH(I161)+1,7),0,ROUND(K161*0.015*((YEAR(IFERROR(INDEX('Challan Master'!$D$4:$D$207,MATCH($B161,'Challan Master'!$S$4:$S$207,0)),""))-YEAR(I161))*12+(MONTH(IFERROR(INDEX('Challan Master'!$D$4:$D$207,MATCH($B161,'Challan Master'!$S$4:$S$207,0)),""))-MONTH(I161))+1),0))))</f>
      </c>
      <c r="O161" s="7">
        <f>IF($C161="","",0)</f>
      </c>
      <c r="P161" s="8"/>
      <c r="Q161" s="8"/>
      <c r="R161" s="8"/>
      <c r="S161" s="8"/>
      <c r="T161" s="8"/>
      <c r="U161" s="7">
        <f>IF($B161="","",IFERROR(INDEX('Challan Master'!$AA$4:$AA$207,MATCH($B161,'Challan Master'!$S$4:$S$207,0)),""))</f>
      </c>
    </row>
    <row r="162" spans="1:22" x14ac:dyDescent="0.25">
      <c r="A162" s="7">
        <f>IF($C162="","",COUNTIF($C$4:$C162,"&lt;&gt;"))</f>
      </c>
      <c r="B162" s="8"/>
      <c r="C162" s="8"/>
      <c r="D162" s="8"/>
      <c r="E162" s="7">
        <f>IF($C162="","",IF(AND(LEN(TRIM(UPPER(D162)))=10,CODE(MID(TRIM(UPPER(D162)),1,1))&gt;=65,CODE(MID(TRIM(UPPER(D162)),1,1))&lt;=90,CODE(MID(TRIM(UPPER(D162)),2,1))&gt;=65,CODE(MID(TRIM(UPPER(D162)),2,1))&lt;=90,CODE(MID(TRIM(UPPER(D162)),3,1))&gt;=65,CODE(MID(TRIM(UPPER(D162)),3,1))&lt;=90,CODE(MID(TRIM(UPPER(D162)),4,1))&gt;=65,CODE(MID(TRIM(UPPER(D162)),4,1))&lt;=90,CODE(MID(TRIM(UPPER(D162)),5,1))&gt;=65,CODE(MID(TRIM(UPPER(D162)),5,1))&lt;=90,CODE(MID(TRIM(UPPER(D162)),10,1))&gt;=65,CODE(MID(TRIM(UPPER(D162)),10,1))&lt;=90,CODE(MID(TRIM(UPPER(D162)),6,1))&gt;=48,CODE(MID(TRIM(UPPER(D162)),6,1))&lt;=57,CODE(MID(TRIM(UPPER(D162)),7,1))&gt;=48,CODE(MID(TRIM(UPPER(D162)),7,1))&lt;=57,CODE(MID(TRIM(UPPER(D162)),8,1))&gt;=48,CODE(MID(TRIM(UPPER(D162)),8,1))&lt;=57,CODE(MID(TRIM(UPPER(D162)),9,1))&gt;=48,CODE(MID(TRIM(UPPER(D162)),9,1))&lt;=57),"N","Y"))</f>
      </c>
      <c r="F162" s="7">
        <f>IF($C162="","",IF(LEN(D162)&lt;4,"",IF(UPPER(MID(D162,4,1))="P","Individual",IF(UPPER(MID(D162,4,1))="H","HUF",IF(UPPER(MID(D162,4,1))="C","Company",IF(UPPER(MID(D162,4,1))="F","Firm",IF(UPPER(MID(D162,4,1))="L","LLP",IF(UPPER(MID(D162,4,1))="T","Trust",IF(UPPER(MID(D162,4,1))="A","AOP","")))))))))</f>
      </c>
      <c r="G162" s="8"/>
      <c r="H162" s="7">
        <f>IF($C162="","",IF(R162&lt;&gt;"",R162,IF(G162="","",IF(E162="Y",SUMPRODUCT(('Rate Lookup'!$A$1:$A$37=G162)*'Rate Lookup'!$D$1:$D$37),IF(OR(F162="Individual",F162="HUF"),SUMPRODUCT(('Rate Lookup'!$A$1:$A$37=G162)*'Rate Lookup'!$B$1:$B$37),SUMPRODUCT(('Rate Lookup'!$A$1:$A$37=G162)*'Rate Lookup'!$C$1:$C$37)))))))</f>
      </c>
      <c r="I162" s="8"/>
      <c r="J162" s="8"/>
      <c r="K162" s="7">
        <f>IF($C162="","",IF(OR(P162="B",P162="D",P162="E",P162="N",P162="O",P162="P",P162="Q",P162="S",P162="Y",P162="Z"),0,ROUND(J162*H162/100,0)))</f>
      </c>
      <c r="L162" s="7">
        <f>IF($C162="","",0)</f>
      </c>
      <c r="M162" s="7">
        <f>IF($C162="","",0)</f>
      </c>
      <c r="N162" s="7">
        <f>IF($C162="","",IF(OR(K162=0,I162="",IFERROR(INDEX('Challan Master'!$D$4:$D$207,MATCH($B162,'Challan Master'!$S$4:$S$207,0)),"")="",IFERROR(INDEX('Challan Master'!$D$4:$D$207,MATCH($B162,'Challan Master'!$S$4:$S$207,0)),"")&lt;=0),0,IF(IFERROR(INDEX('Challan Master'!$D$4:$D$207,MATCH($B162,'Challan Master'!$S$4:$S$207,0)),"")&lt;=DATE(YEAR(I162),MONTH(I162)+1,7),0,ROUND(K162*0.015*((YEAR(IFERROR(INDEX('Challan Master'!$D$4:$D$207,MATCH($B162,'Challan Master'!$S$4:$S$207,0)),""))-YEAR(I162))*12+(MONTH(IFERROR(INDEX('Challan Master'!$D$4:$D$207,MATCH($B162,'Challan Master'!$S$4:$S$207,0)),""))-MONTH(I162))+1),0))))</f>
      </c>
      <c r="O162" s="7">
        <f>IF($C162="","",0)</f>
      </c>
      <c r="P162" s="8"/>
      <c r="Q162" s="8"/>
      <c r="R162" s="8"/>
      <c r="S162" s="8"/>
      <c r="T162" s="8"/>
      <c r="U162" s="7">
        <f>IF($B162="","",IFERROR(INDEX('Challan Master'!$AA$4:$AA$207,MATCH($B162,'Challan Master'!$S$4:$S$207,0)),""))</f>
      </c>
    </row>
    <row r="163" spans="1:22" x14ac:dyDescent="0.25">
      <c r="A163" s="7">
        <f>IF($C163="","",COUNTIF($C$4:$C163,"&lt;&gt;"))</f>
      </c>
      <c r="B163" s="8"/>
      <c r="C163" s="8"/>
      <c r="D163" s="8"/>
      <c r="E163" s="7">
        <f>IF($C163="","",IF(AND(LEN(TRIM(UPPER(D163)))=10,CODE(MID(TRIM(UPPER(D163)),1,1))&gt;=65,CODE(MID(TRIM(UPPER(D163)),1,1))&lt;=90,CODE(MID(TRIM(UPPER(D163)),2,1))&gt;=65,CODE(MID(TRIM(UPPER(D163)),2,1))&lt;=90,CODE(MID(TRIM(UPPER(D163)),3,1))&gt;=65,CODE(MID(TRIM(UPPER(D163)),3,1))&lt;=90,CODE(MID(TRIM(UPPER(D163)),4,1))&gt;=65,CODE(MID(TRIM(UPPER(D163)),4,1))&lt;=90,CODE(MID(TRIM(UPPER(D163)),5,1))&gt;=65,CODE(MID(TRIM(UPPER(D163)),5,1))&lt;=90,CODE(MID(TRIM(UPPER(D163)),10,1))&gt;=65,CODE(MID(TRIM(UPPER(D163)),10,1))&lt;=90,CODE(MID(TRIM(UPPER(D163)),6,1))&gt;=48,CODE(MID(TRIM(UPPER(D163)),6,1))&lt;=57,CODE(MID(TRIM(UPPER(D163)),7,1))&gt;=48,CODE(MID(TRIM(UPPER(D163)),7,1))&lt;=57,CODE(MID(TRIM(UPPER(D163)),8,1))&gt;=48,CODE(MID(TRIM(UPPER(D163)),8,1))&lt;=57,CODE(MID(TRIM(UPPER(D163)),9,1))&gt;=48,CODE(MID(TRIM(UPPER(D163)),9,1))&lt;=57),"N","Y"))</f>
      </c>
      <c r="F163" s="7">
        <f>IF($C163="","",IF(LEN(D163)&lt;4,"",IF(UPPER(MID(D163,4,1))="P","Individual",IF(UPPER(MID(D163,4,1))="H","HUF",IF(UPPER(MID(D163,4,1))="C","Company",IF(UPPER(MID(D163,4,1))="F","Firm",IF(UPPER(MID(D163,4,1))="L","LLP",IF(UPPER(MID(D163,4,1))="T","Trust",IF(UPPER(MID(D163,4,1))="A","AOP","")))))))))</f>
      </c>
      <c r="G163" s="8"/>
      <c r="H163" s="7">
        <f>IF($C163="","",IF(R163&lt;&gt;"",R163,IF(G163="","",IF(E163="Y",SUMPRODUCT(('Rate Lookup'!$A$1:$A$37=G163)*'Rate Lookup'!$D$1:$D$37),IF(OR(F163="Individual",F163="HUF"),SUMPRODUCT(('Rate Lookup'!$A$1:$A$37=G163)*'Rate Lookup'!$B$1:$B$37),SUMPRODUCT(('Rate Lookup'!$A$1:$A$37=G163)*'Rate Lookup'!$C$1:$C$37)))))))</f>
      </c>
      <c r="I163" s="8"/>
      <c r="J163" s="8"/>
      <c r="K163" s="7">
        <f>IF($C163="","",IF(OR(P163="B",P163="D",P163="E",P163="N",P163="O",P163="P",P163="Q",P163="S",P163="Y",P163="Z"),0,ROUND(J163*H163/100,0)))</f>
      </c>
      <c r="L163" s="7">
        <f>IF($C163="","",0)</f>
      </c>
      <c r="M163" s="7">
        <f>IF($C163="","",0)</f>
      </c>
      <c r="N163" s="7">
        <f>IF($C163="","",IF(OR(K163=0,I163="",IFERROR(INDEX('Challan Master'!$D$4:$D$207,MATCH($B163,'Challan Master'!$S$4:$S$207,0)),"")="",IFERROR(INDEX('Challan Master'!$D$4:$D$207,MATCH($B163,'Challan Master'!$S$4:$S$207,0)),"")&lt;=0),0,IF(IFERROR(INDEX('Challan Master'!$D$4:$D$207,MATCH($B163,'Challan Master'!$S$4:$S$207,0)),"")&lt;=DATE(YEAR(I163),MONTH(I163)+1,7),0,ROUND(K163*0.015*((YEAR(IFERROR(INDEX('Challan Master'!$D$4:$D$207,MATCH($B163,'Challan Master'!$S$4:$S$207,0)),""))-YEAR(I163))*12+(MONTH(IFERROR(INDEX('Challan Master'!$D$4:$D$207,MATCH($B163,'Challan Master'!$S$4:$S$207,0)),""))-MONTH(I163))+1),0))))</f>
      </c>
      <c r="O163" s="7">
        <f>IF($C163="","",0)</f>
      </c>
      <c r="P163" s="8"/>
      <c r="Q163" s="8"/>
      <c r="R163" s="8"/>
      <c r="S163" s="8"/>
      <c r="T163" s="8"/>
      <c r="U163" s="7">
        <f>IF($B163="","",IFERROR(INDEX('Challan Master'!$AA$4:$AA$207,MATCH($B163,'Challan Master'!$S$4:$S$207,0)),""))</f>
      </c>
    </row>
    <row r="164" spans="1:22" x14ac:dyDescent="0.25">
      <c r="A164" s="7">
        <f>IF($C164="","",COUNTIF($C$4:$C164,"&lt;&gt;"))</f>
      </c>
      <c r="B164" s="8"/>
      <c r="C164" s="8"/>
      <c r="D164" s="8"/>
      <c r="E164" s="7">
        <f>IF($C164="","",IF(AND(LEN(TRIM(UPPER(D164)))=10,CODE(MID(TRIM(UPPER(D164)),1,1))&gt;=65,CODE(MID(TRIM(UPPER(D164)),1,1))&lt;=90,CODE(MID(TRIM(UPPER(D164)),2,1))&gt;=65,CODE(MID(TRIM(UPPER(D164)),2,1))&lt;=90,CODE(MID(TRIM(UPPER(D164)),3,1))&gt;=65,CODE(MID(TRIM(UPPER(D164)),3,1))&lt;=90,CODE(MID(TRIM(UPPER(D164)),4,1))&gt;=65,CODE(MID(TRIM(UPPER(D164)),4,1))&lt;=90,CODE(MID(TRIM(UPPER(D164)),5,1))&gt;=65,CODE(MID(TRIM(UPPER(D164)),5,1))&lt;=90,CODE(MID(TRIM(UPPER(D164)),10,1))&gt;=65,CODE(MID(TRIM(UPPER(D164)),10,1))&lt;=90,CODE(MID(TRIM(UPPER(D164)),6,1))&gt;=48,CODE(MID(TRIM(UPPER(D164)),6,1))&lt;=57,CODE(MID(TRIM(UPPER(D164)),7,1))&gt;=48,CODE(MID(TRIM(UPPER(D164)),7,1))&lt;=57,CODE(MID(TRIM(UPPER(D164)),8,1))&gt;=48,CODE(MID(TRIM(UPPER(D164)),8,1))&lt;=57,CODE(MID(TRIM(UPPER(D164)),9,1))&gt;=48,CODE(MID(TRIM(UPPER(D164)),9,1))&lt;=57),"N","Y"))</f>
      </c>
      <c r="F164" s="7">
        <f>IF($C164="","",IF(LEN(D164)&lt;4,"",IF(UPPER(MID(D164,4,1))="P","Individual",IF(UPPER(MID(D164,4,1))="H","HUF",IF(UPPER(MID(D164,4,1))="C","Company",IF(UPPER(MID(D164,4,1))="F","Firm",IF(UPPER(MID(D164,4,1))="L","LLP",IF(UPPER(MID(D164,4,1))="T","Trust",IF(UPPER(MID(D164,4,1))="A","AOP","")))))))))</f>
      </c>
      <c r="G164" s="8"/>
      <c r="H164" s="7">
        <f>IF($C164="","",IF(R164&lt;&gt;"",R164,IF(G164="","",IF(E164="Y",SUMPRODUCT(('Rate Lookup'!$A$1:$A$37=G164)*'Rate Lookup'!$D$1:$D$37),IF(OR(F164="Individual",F164="HUF"),SUMPRODUCT(('Rate Lookup'!$A$1:$A$37=G164)*'Rate Lookup'!$B$1:$B$37),SUMPRODUCT(('Rate Lookup'!$A$1:$A$37=G164)*'Rate Lookup'!$C$1:$C$37)))))))</f>
      </c>
      <c r="I164" s="8"/>
      <c r="J164" s="8"/>
      <c r="K164" s="7">
        <f>IF($C164="","",IF(OR(P164="B",P164="D",P164="E",P164="N",P164="O",P164="P",P164="Q",P164="S",P164="Y",P164="Z"),0,ROUND(J164*H164/100,0)))</f>
      </c>
      <c r="L164" s="7">
        <f>IF($C164="","",0)</f>
      </c>
      <c r="M164" s="7">
        <f>IF($C164="","",0)</f>
      </c>
      <c r="N164" s="7">
        <f>IF($C164="","",IF(OR(K164=0,I164="",IFERROR(INDEX('Challan Master'!$D$4:$D$207,MATCH($B164,'Challan Master'!$S$4:$S$207,0)),"")="",IFERROR(INDEX('Challan Master'!$D$4:$D$207,MATCH($B164,'Challan Master'!$S$4:$S$207,0)),"")&lt;=0),0,IF(IFERROR(INDEX('Challan Master'!$D$4:$D$207,MATCH($B164,'Challan Master'!$S$4:$S$207,0)),"")&lt;=DATE(YEAR(I164),MONTH(I164)+1,7),0,ROUND(K164*0.015*((YEAR(IFERROR(INDEX('Challan Master'!$D$4:$D$207,MATCH($B164,'Challan Master'!$S$4:$S$207,0)),""))-YEAR(I164))*12+(MONTH(IFERROR(INDEX('Challan Master'!$D$4:$D$207,MATCH($B164,'Challan Master'!$S$4:$S$207,0)),""))-MONTH(I164))+1),0))))</f>
      </c>
      <c r="O164" s="7">
        <f>IF($C164="","",0)</f>
      </c>
      <c r="P164" s="8"/>
      <c r="Q164" s="8"/>
      <c r="R164" s="8"/>
      <c r="S164" s="8"/>
      <c r="T164" s="8"/>
      <c r="U164" s="7">
        <f>IF($B164="","",IFERROR(INDEX('Challan Master'!$AA$4:$AA$207,MATCH($B164,'Challan Master'!$S$4:$S$207,0)),""))</f>
      </c>
    </row>
    <row r="165" spans="1:22" x14ac:dyDescent="0.25">
      <c r="A165" s="7">
        <f>IF($C165="","",COUNTIF($C$4:$C165,"&lt;&gt;"))</f>
      </c>
      <c r="B165" s="8"/>
      <c r="C165" s="8"/>
      <c r="D165" s="8"/>
      <c r="E165" s="7">
        <f>IF($C165="","",IF(AND(LEN(TRIM(UPPER(D165)))=10,CODE(MID(TRIM(UPPER(D165)),1,1))&gt;=65,CODE(MID(TRIM(UPPER(D165)),1,1))&lt;=90,CODE(MID(TRIM(UPPER(D165)),2,1))&gt;=65,CODE(MID(TRIM(UPPER(D165)),2,1))&lt;=90,CODE(MID(TRIM(UPPER(D165)),3,1))&gt;=65,CODE(MID(TRIM(UPPER(D165)),3,1))&lt;=90,CODE(MID(TRIM(UPPER(D165)),4,1))&gt;=65,CODE(MID(TRIM(UPPER(D165)),4,1))&lt;=90,CODE(MID(TRIM(UPPER(D165)),5,1))&gt;=65,CODE(MID(TRIM(UPPER(D165)),5,1))&lt;=90,CODE(MID(TRIM(UPPER(D165)),10,1))&gt;=65,CODE(MID(TRIM(UPPER(D165)),10,1))&lt;=90,CODE(MID(TRIM(UPPER(D165)),6,1))&gt;=48,CODE(MID(TRIM(UPPER(D165)),6,1))&lt;=57,CODE(MID(TRIM(UPPER(D165)),7,1))&gt;=48,CODE(MID(TRIM(UPPER(D165)),7,1))&lt;=57,CODE(MID(TRIM(UPPER(D165)),8,1))&gt;=48,CODE(MID(TRIM(UPPER(D165)),8,1))&lt;=57,CODE(MID(TRIM(UPPER(D165)),9,1))&gt;=48,CODE(MID(TRIM(UPPER(D165)),9,1))&lt;=57),"N","Y"))</f>
      </c>
      <c r="F165" s="7">
        <f>IF($C165="","",IF(LEN(D165)&lt;4,"",IF(UPPER(MID(D165,4,1))="P","Individual",IF(UPPER(MID(D165,4,1))="H","HUF",IF(UPPER(MID(D165,4,1))="C","Company",IF(UPPER(MID(D165,4,1))="F","Firm",IF(UPPER(MID(D165,4,1))="L","LLP",IF(UPPER(MID(D165,4,1))="T","Trust",IF(UPPER(MID(D165,4,1))="A","AOP","")))))))))</f>
      </c>
      <c r="G165" s="8"/>
      <c r="H165" s="7">
        <f>IF($C165="","",IF(R165&lt;&gt;"",R165,IF(G165="","",IF(E165="Y",SUMPRODUCT(('Rate Lookup'!$A$1:$A$37=G165)*'Rate Lookup'!$D$1:$D$37),IF(OR(F165="Individual",F165="HUF"),SUMPRODUCT(('Rate Lookup'!$A$1:$A$37=G165)*'Rate Lookup'!$B$1:$B$37),SUMPRODUCT(('Rate Lookup'!$A$1:$A$37=G165)*'Rate Lookup'!$C$1:$C$37)))))))</f>
      </c>
      <c r="I165" s="8"/>
      <c r="J165" s="8"/>
      <c r="K165" s="7">
        <f>IF($C165="","",IF(OR(P165="B",P165="D",P165="E",P165="N",P165="O",P165="P",P165="Q",P165="S",P165="Y",P165="Z"),0,ROUND(J165*H165/100,0)))</f>
      </c>
      <c r="L165" s="7">
        <f>IF($C165="","",0)</f>
      </c>
      <c r="M165" s="7">
        <f>IF($C165="","",0)</f>
      </c>
      <c r="N165" s="7">
        <f>IF($C165="","",IF(OR(K165=0,I165="",IFERROR(INDEX('Challan Master'!$D$4:$D$207,MATCH($B165,'Challan Master'!$S$4:$S$207,0)),"")="",IFERROR(INDEX('Challan Master'!$D$4:$D$207,MATCH($B165,'Challan Master'!$S$4:$S$207,0)),"")&lt;=0),0,IF(IFERROR(INDEX('Challan Master'!$D$4:$D$207,MATCH($B165,'Challan Master'!$S$4:$S$207,0)),"")&lt;=DATE(YEAR(I165),MONTH(I165)+1,7),0,ROUND(K165*0.015*((YEAR(IFERROR(INDEX('Challan Master'!$D$4:$D$207,MATCH($B165,'Challan Master'!$S$4:$S$207,0)),""))-YEAR(I165))*12+(MONTH(IFERROR(INDEX('Challan Master'!$D$4:$D$207,MATCH($B165,'Challan Master'!$S$4:$S$207,0)),""))-MONTH(I165))+1),0))))</f>
      </c>
      <c r="O165" s="7">
        <f>IF($C165="","",0)</f>
      </c>
      <c r="P165" s="8"/>
      <c r="Q165" s="8"/>
      <c r="R165" s="8"/>
      <c r="S165" s="8"/>
      <c r="T165" s="8"/>
      <c r="U165" s="7">
        <f>IF($B165="","",IFERROR(INDEX('Challan Master'!$AA$4:$AA$207,MATCH($B165,'Challan Master'!$S$4:$S$207,0)),""))</f>
      </c>
    </row>
    <row r="166" spans="1:22" x14ac:dyDescent="0.25">
      <c r="A166" s="7">
        <f>IF($C166="","",COUNTIF($C$4:$C166,"&lt;&gt;"))</f>
      </c>
      <c r="B166" s="8"/>
      <c r="C166" s="8"/>
      <c r="D166" s="8"/>
      <c r="E166" s="7">
        <f>IF($C166="","",IF(AND(LEN(TRIM(UPPER(D166)))=10,CODE(MID(TRIM(UPPER(D166)),1,1))&gt;=65,CODE(MID(TRIM(UPPER(D166)),1,1))&lt;=90,CODE(MID(TRIM(UPPER(D166)),2,1))&gt;=65,CODE(MID(TRIM(UPPER(D166)),2,1))&lt;=90,CODE(MID(TRIM(UPPER(D166)),3,1))&gt;=65,CODE(MID(TRIM(UPPER(D166)),3,1))&lt;=90,CODE(MID(TRIM(UPPER(D166)),4,1))&gt;=65,CODE(MID(TRIM(UPPER(D166)),4,1))&lt;=90,CODE(MID(TRIM(UPPER(D166)),5,1))&gt;=65,CODE(MID(TRIM(UPPER(D166)),5,1))&lt;=90,CODE(MID(TRIM(UPPER(D166)),10,1))&gt;=65,CODE(MID(TRIM(UPPER(D166)),10,1))&lt;=90,CODE(MID(TRIM(UPPER(D166)),6,1))&gt;=48,CODE(MID(TRIM(UPPER(D166)),6,1))&lt;=57,CODE(MID(TRIM(UPPER(D166)),7,1))&gt;=48,CODE(MID(TRIM(UPPER(D166)),7,1))&lt;=57,CODE(MID(TRIM(UPPER(D166)),8,1))&gt;=48,CODE(MID(TRIM(UPPER(D166)),8,1))&lt;=57,CODE(MID(TRIM(UPPER(D166)),9,1))&gt;=48,CODE(MID(TRIM(UPPER(D166)),9,1))&lt;=57),"N","Y"))</f>
      </c>
      <c r="F166" s="7">
        <f>IF($C166="","",IF(LEN(D166)&lt;4,"",IF(UPPER(MID(D166,4,1))="P","Individual",IF(UPPER(MID(D166,4,1))="H","HUF",IF(UPPER(MID(D166,4,1))="C","Company",IF(UPPER(MID(D166,4,1))="F","Firm",IF(UPPER(MID(D166,4,1))="L","LLP",IF(UPPER(MID(D166,4,1))="T","Trust",IF(UPPER(MID(D166,4,1))="A","AOP","")))))))))</f>
      </c>
      <c r="G166" s="8"/>
      <c r="H166" s="7">
        <f>IF($C166="","",IF(R166&lt;&gt;"",R166,IF(G166="","",IF(E166="Y",SUMPRODUCT(('Rate Lookup'!$A$1:$A$37=G166)*'Rate Lookup'!$D$1:$D$37),IF(OR(F166="Individual",F166="HUF"),SUMPRODUCT(('Rate Lookup'!$A$1:$A$37=G166)*'Rate Lookup'!$B$1:$B$37),SUMPRODUCT(('Rate Lookup'!$A$1:$A$37=G166)*'Rate Lookup'!$C$1:$C$37)))))))</f>
      </c>
      <c r="I166" s="8"/>
      <c r="J166" s="8"/>
      <c r="K166" s="7">
        <f>IF($C166="","",IF(OR(P166="B",P166="D",P166="E",P166="N",P166="O",P166="P",P166="Q",P166="S",P166="Y",P166="Z"),0,ROUND(J166*H166/100,0)))</f>
      </c>
      <c r="L166" s="7">
        <f>IF($C166="","",0)</f>
      </c>
      <c r="M166" s="7">
        <f>IF($C166="","",0)</f>
      </c>
      <c r="N166" s="7">
        <f>IF($C166="","",IF(OR(K166=0,I166="",IFERROR(INDEX('Challan Master'!$D$4:$D$207,MATCH($B166,'Challan Master'!$S$4:$S$207,0)),"")="",IFERROR(INDEX('Challan Master'!$D$4:$D$207,MATCH($B166,'Challan Master'!$S$4:$S$207,0)),"")&lt;=0),0,IF(IFERROR(INDEX('Challan Master'!$D$4:$D$207,MATCH($B166,'Challan Master'!$S$4:$S$207,0)),"")&lt;=DATE(YEAR(I166),MONTH(I166)+1,7),0,ROUND(K166*0.015*((YEAR(IFERROR(INDEX('Challan Master'!$D$4:$D$207,MATCH($B166,'Challan Master'!$S$4:$S$207,0)),""))-YEAR(I166))*12+(MONTH(IFERROR(INDEX('Challan Master'!$D$4:$D$207,MATCH($B166,'Challan Master'!$S$4:$S$207,0)),""))-MONTH(I166))+1),0))))</f>
      </c>
      <c r="O166" s="7">
        <f>IF($C166="","",0)</f>
      </c>
      <c r="P166" s="8"/>
      <c r="Q166" s="8"/>
      <c r="R166" s="8"/>
      <c r="S166" s="8"/>
      <c r="T166" s="8"/>
      <c r="U166" s="7">
        <f>IF($B166="","",IFERROR(INDEX('Challan Master'!$AA$4:$AA$207,MATCH($B166,'Challan Master'!$S$4:$S$207,0)),""))</f>
      </c>
    </row>
    <row r="167" spans="1:22" x14ac:dyDescent="0.25">
      <c r="A167" s="7">
        <f>IF($C167="","",COUNTIF($C$4:$C167,"&lt;&gt;"))</f>
      </c>
      <c r="B167" s="8"/>
      <c r="C167" s="8"/>
      <c r="D167" s="8"/>
      <c r="E167" s="7">
        <f>IF($C167="","",IF(AND(LEN(TRIM(UPPER(D167)))=10,CODE(MID(TRIM(UPPER(D167)),1,1))&gt;=65,CODE(MID(TRIM(UPPER(D167)),1,1))&lt;=90,CODE(MID(TRIM(UPPER(D167)),2,1))&gt;=65,CODE(MID(TRIM(UPPER(D167)),2,1))&lt;=90,CODE(MID(TRIM(UPPER(D167)),3,1))&gt;=65,CODE(MID(TRIM(UPPER(D167)),3,1))&lt;=90,CODE(MID(TRIM(UPPER(D167)),4,1))&gt;=65,CODE(MID(TRIM(UPPER(D167)),4,1))&lt;=90,CODE(MID(TRIM(UPPER(D167)),5,1))&gt;=65,CODE(MID(TRIM(UPPER(D167)),5,1))&lt;=90,CODE(MID(TRIM(UPPER(D167)),10,1))&gt;=65,CODE(MID(TRIM(UPPER(D167)),10,1))&lt;=90,CODE(MID(TRIM(UPPER(D167)),6,1))&gt;=48,CODE(MID(TRIM(UPPER(D167)),6,1))&lt;=57,CODE(MID(TRIM(UPPER(D167)),7,1))&gt;=48,CODE(MID(TRIM(UPPER(D167)),7,1))&lt;=57,CODE(MID(TRIM(UPPER(D167)),8,1))&gt;=48,CODE(MID(TRIM(UPPER(D167)),8,1))&lt;=57,CODE(MID(TRIM(UPPER(D167)),9,1))&gt;=48,CODE(MID(TRIM(UPPER(D167)),9,1))&lt;=57),"N","Y"))</f>
      </c>
      <c r="F167" s="7">
        <f>IF($C167="","",IF(LEN(D167)&lt;4,"",IF(UPPER(MID(D167,4,1))="P","Individual",IF(UPPER(MID(D167,4,1))="H","HUF",IF(UPPER(MID(D167,4,1))="C","Company",IF(UPPER(MID(D167,4,1))="F","Firm",IF(UPPER(MID(D167,4,1))="L","LLP",IF(UPPER(MID(D167,4,1))="T","Trust",IF(UPPER(MID(D167,4,1))="A","AOP","")))))))))</f>
      </c>
      <c r="G167" s="8"/>
      <c r="H167" s="7">
        <f>IF($C167="","",IF(R167&lt;&gt;"",R167,IF(G167="","",IF(E167="Y",SUMPRODUCT(('Rate Lookup'!$A$1:$A$37=G167)*'Rate Lookup'!$D$1:$D$37),IF(OR(F167="Individual",F167="HUF"),SUMPRODUCT(('Rate Lookup'!$A$1:$A$37=G167)*'Rate Lookup'!$B$1:$B$37),SUMPRODUCT(('Rate Lookup'!$A$1:$A$37=G167)*'Rate Lookup'!$C$1:$C$37)))))))</f>
      </c>
      <c r="I167" s="8"/>
      <c r="J167" s="8"/>
      <c r="K167" s="7">
        <f>IF($C167="","",IF(OR(P167="B",P167="D",P167="E",P167="N",P167="O",P167="P",P167="Q",P167="S",P167="Y",P167="Z"),0,ROUND(J167*H167/100,0)))</f>
      </c>
      <c r="L167" s="7">
        <f>IF($C167="","",0)</f>
      </c>
      <c r="M167" s="7">
        <f>IF($C167="","",0)</f>
      </c>
      <c r="N167" s="7">
        <f>IF($C167="","",IF(OR(K167=0,I167="",IFERROR(INDEX('Challan Master'!$D$4:$D$207,MATCH($B167,'Challan Master'!$S$4:$S$207,0)),"")="",IFERROR(INDEX('Challan Master'!$D$4:$D$207,MATCH($B167,'Challan Master'!$S$4:$S$207,0)),"")&lt;=0),0,IF(IFERROR(INDEX('Challan Master'!$D$4:$D$207,MATCH($B167,'Challan Master'!$S$4:$S$207,0)),"")&lt;=DATE(YEAR(I167),MONTH(I167)+1,7),0,ROUND(K167*0.015*((YEAR(IFERROR(INDEX('Challan Master'!$D$4:$D$207,MATCH($B167,'Challan Master'!$S$4:$S$207,0)),""))-YEAR(I167))*12+(MONTH(IFERROR(INDEX('Challan Master'!$D$4:$D$207,MATCH($B167,'Challan Master'!$S$4:$S$207,0)),""))-MONTH(I167))+1),0))))</f>
      </c>
      <c r="O167" s="7">
        <f>IF($C167="","",0)</f>
      </c>
      <c r="P167" s="8"/>
      <c r="Q167" s="8"/>
      <c r="R167" s="8"/>
      <c r="S167" s="8"/>
      <c r="T167" s="8"/>
      <c r="U167" s="7">
        <f>IF($B167="","",IFERROR(INDEX('Challan Master'!$AA$4:$AA$207,MATCH($B167,'Challan Master'!$S$4:$S$207,0)),""))</f>
      </c>
    </row>
    <row r="168" spans="1:22" x14ac:dyDescent="0.25">
      <c r="A168" s="7">
        <f>IF($C168="","",COUNTIF($C$4:$C168,"&lt;&gt;"))</f>
      </c>
      <c r="B168" s="8"/>
      <c r="C168" s="8"/>
      <c r="D168" s="8"/>
      <c r="E168" s="7">
        <f>IF($C168="","",IF(AND(LEN(TRIM(UPPER(D168)))=10,CODE(MID(TRIM(UPPER(D168)),1,1))&gt;=65,CODE(MID(TRIM(UPPER(D168)),1,1))&lt;=90,CODE(MID(TRIM(UPPER(D168)),2,1))&gt;=65,CODE(MID(TRIM(UPPER(D168)),2,1))&lt;=90,CODE(MID(TRIM(UPPER(D168)),3,1))&gt;=65,CODE(MID(TRIM(UPPER(D168)),3,1))&lt;=90,CODE(MID(TRIM(UPPER(D168)),4,1))&gt;=65,CODE(MID(TRIM(UPPER(D168)),4,1))&lt;=90,CODE(MID(TRIM(UPPER(D168)),5,1))&gt;=65,CODE(MID(TRIM(UPPER(D168)),5,1))&lt;=90,CODE(MID(TRIM(UPPER(D168)),10,1))&gt;=65,CODE(MID(TRIM(UPPER(D168)),10,1))&lt;=90,CODE(MID(TRIM(UPPER(D168)),6,1))&gt;=48,CODE(MID(TRIM(UPPER(D168)),6,1))&lt;=57,CODE(MID(TRIM(UPPER(D168)),7,1))&gt;=48,CODE(MID(TRIM(UPPER(D168)),7,1))&lt;=57,CODE(MID(TRIM(UPPER(D168)),8,1))&gt;=48,CODE(MID(TRIM(UPPER(D168)),8,1))&lt;=57,CODE(MID(TRIM(UPPER(D168)),9,1))&gt;=48,CODE(MID(TRIM(UPPER(D168)),9,1))&lt;=57),"N","Y"))</f>
      </c>
      <c r="F168" s="7">
        <f>IF($C168="","",IF(LEN(D168)&lt;4,"",IF(UPPER(MID(D168,4,1))="P","Individual",IF(UPPER(MID(D168,4,1))="H","HUF",IF(UPPER(MID(D168,4,1))="C","Company",IF(UPPER(MID(D168,4,1))="F","Firm",IF(UPPER(MID(D168,4,1))="L","LLP",IF(UPPER(MID(D168,4,1))="T","Trust",IF(UPPER(MID(D168,4,1))="A","AOP","")))))))))</f>
      </c>
      <c r="G168" s="8"/>
      <c r="H168" s="7">
        <f>IF($C168="","",IF(R168&lt;&gt;"",R168,IF(G168="","",IF(E168="Y",SUMPRODUCT(('Rate Lookup'!$A$1:$A$37=G168)*'Rate Lookup'!$D$1:$D$37),IF(OR(F168="Individual",F168="HUF"),SUMPRODUCT(('Rate Lookup'!$A$1:$A$37=G168)*'Rate Lookup'!$B$1:$B$37),SUMPRODUCT(('Rate Lookup'!$A$1:$A$37=G168)*'Rate Lookup'!$C$1:$C$37)))))))</f>
      </c>
      <c r="I168" s="8"/>
      <c r="J168" s="8"/>
      <c r="K168" s="7">
        <f>IF($C168="","",IF(OR(P168="B",P168="D",P168="E",P168="N",P168="O",P168="P",P168="Q",P168="S",P168="Y",P168="Z"),0,ROUND(J168*H168/100,0)))</f>
      </c>
      <c r="L168" s="7">
        <f>IF($C168="","",0)</f>
      </c>
      <c r="M168" s="7">
        <f>IF($C168="","",0)</f>
      </c>
      <c r="N168" s="7">
        <f>IF($C168="","",IF(OR(K168=0,I168="",IFERROR(INDEX('Challan Master'!$D$4:$D$207,MATCH($B168,'Challan Master'!$S$4:$S$207,0)),"")="",IFERROR(INDEX('Challan Master'!$D$4:$D$207,MATCH($B168,'Challan Master'!$S$4:$S$207,0)),"")&lt;=0),0,IF(IFERROR(INDEX('Challan Master'!$D$4:$D$207,MATCH($B168,'Challan Master'!$S$4:$S$207,0)),"")&lt;=DATE(YEAR(I168),MONTH(I168)+1,7),0,ROUND(K168*0.015*((YEAR(IFERROR(INDEX('Challan Master'!$D$4:$D$207,MATCH($B168,'Challan Master'!$S$4:$S$207,0)),""))-YEAR(I168))*12+(MONTH(IFERROR(INDEX('Challan Master'!$D$4:$D$207,MATCH($B168,'Challan Master'!$S$4:$S$207,0)),""))-MONTH(I168))+1),0))))</f>
      </c>
      <c r="O168" s="7">
        <f>IF($C168="","",0)</f>
      </c>
      <c r="P168" s="8"/>
      <c r="Q168" s="8"/>
      <c r="R168" s="8"/>
      <c r="S168" s="8"/>
      <c r="T168" s="8"/>
      <c r="U168" s="7">
        <f>IF($B168="","",IFERROR(INDEX('Challan Master'!$AA$4:$AA$207,MATCH($B168,'Challan Master'!$S$4:$S$207,0)),""))</f>
      </c>
    </row>
    <row r="169" spans="1:22" x14ac:dyDescent="0.25">
      <c r="A169" s="7">
        <f>IF($C169="","",COUNTIF($C$4:$C169,"&lt;&gt;"))</f>
      </c>
      <c r="B169" s="8"/>
      <c r="C169" s="8"/>
      <c r="D169" s="8"/>
      <c r="E169" s="7">
        <f>IF($C169="","",IF(AND(LEN(TRIM(UPPER(D169)))=10,CODE(MID(TRIM(UPPER(D169)),1,1))&gt;=65,CODE(MID(TRIM(UPPER(D169)),1,1))&lt;=90,CODE(MID(TRIM(UPPER(D169)),2,1))&gt;=65,CODE(MID(TRIM(UPPER(D169)),2,1))&lt;=90,CODE(MID(TRIM(UPPER(D169)),3,1))&gt;=65,CODE(MID(TRIM(UPPER(D169)),3,1))&lt;=90,CODE(MID(TRIM(UPPER(D169)),4,1))&gt;=65,CODE(MID(TRIM(UPPER(D169)),4,1))&lt;=90,CODE(MID(TRIM(UPPER(D169)),5,1))&gt;=65,CODE(MID(TRIM(UPPER(D169)),5,1))&lt;=90,CODE(MID(TRIM(UPPER(D169)),10,1))&gt;=65,CODE(MID(TRIM(UPPER(D169)),10,1))&lt;=90,CODE(MID(TRIM(UPPER(D169)),6,1))&gt;=48,CODE(MID(TRIM(UPPER(D169)),6,1))&lt;=57,CODE(MID(TRIM(UPPER(D169)),7,1))&gt;=48,CODE(MID(TRIM(UPPER(D169)),7,1))&lt;=57,CODE(MID(TRIM(UPPER(D169)),8,1))&gt;=48,CODE(MID(TRIM(UPPER(D169)),8,1))&lt;=57,CODE(MID(TRIM(UPPER(D169)),9,1))&gt;=48,CODE(MID(TRIM(UPPER(D169)),9,1))&lt;=57),"N","Y"))</f>
      </c>
      <c r="F169" s="7">
        <f>IF($C169="","",IF(LEN(D169)&lt;4,"",IF(UPPER(MID(D169,4,1))="P","Individual",IF(UPPER(MID(D169,4,1))="H","HUF",IF(UPPER(MID(D169,4,1))="C","Company",IF(UPPER(MID(D169,4,1))="F","Firm",IF(UPPER(MID(D169,4,1))="L","LLP",IF(UPPER(MID(D169,4,1))="T","Trust",IF(UPPER(MID(D169,4,1))="A","AOP","")))))))))</f>
      </c>
      <c r="G169" s="8"/>
      <c r="H169" s="7">
        <f>IF($C169="","",IF(R169&lt;&gt;"",R169,IF(G169="","",IF(E169="Y",SUMPRODUCT(('Rate Lookup'!$A$1:$A$37=G169)*'Rate Lookup'!$D$1:$D$37),IF(OR(F169="Individual",F169="HUF"),SUMPRODUCT(('Rate Lookup'!$A$1:$A$37=G169)*'Rate Lookup'!$B$1:$B$37),SUMPRODUCT(('Rate Lookup'!$A$1:$A$37=G169)*'Rate Lookup'!$C$1:$C$37)))))))</f>
      </c>
      <c r="I169" s="8"/>
      <c r="J169" s="8"/>
      <c r="K169" s="7">
        <f>IF($C169="","",IF(OR(P169="B",P169="D",P169="E",P169="N",P169="O",P169="P",P169="Q",P169="S",P169="Y",P169="Z"),0,ROUND(J169*H169/100,0)))</f>
      </c>
      <c r="L169" s="7">
        <f>IF($C169="","",0)</f>
      </c>
      <c r="M169" s="7">
        <f>IF($C169="","",0)</f>
      </c>
      <c r="N169" s="7">
        <f>IF($C169="","",IF(OR(K169=0,I169="",IFERROR(INDEX('Challan Master'!$D$4:$D$207,MATCH($B169,'Challan Master'!$S$4:$S$207,0)),"")="",IFERROR(INDEX('Challan Master'!$D$4:$D$207,MATCH($B169,'Challan Master'!$S$4:$S$207,0)),"")&lt;=0),0,IF(IFERROR(INDEX('Challan Master'!$D$4:$D$207,MATCH($B169,'Challan Master'!$S$4:$S$207,0)),"")&lt;=DATE(YEAR(I169),MONTH(I169)+1,7),0,ROUND(K169*0.015*((YEAR(IFERROR(INDEX('Challan Master'!$D$4:$D$207,MATCH($B169,'Challan Master'!$S$4:$S$207,0)),""))-YEAR(I169))*12+(MONTH(IFERROR(INDEX('Challan Master'!$D$4:$D$207,MATCH($B169,'Challan Master'!$S$4:$S$207,0)),""))-MONTH(I169))+1),0))))</f>
      </c>
      <c r="O169" s="7">
        <f>IF($C169="","",0)</f>
      </c>
      <c r="P169" s="8"/>
      <c r="Q169" s="8"/>
      <c r="R169" s="8"/>
      <c r="S169" s="8"/>
      <c r="T169" s="8"/>
      <c r="U169" s="7">
        <f>IF($B169="","",IFERROR(INDEX('Challan Master'!$AA$4:$AA$207,MATCH($B169,'Challan Master'!$S$4:$S$207,0)),""))</f>
      </c>
    </row>
    <row r="170" spans="1:22" x14ac:dyDescent="0.25">
      <c r="A170" s="7">
        <f>IF($C170="","",COUNTIF($C$4:$C170,"&lt;&gt;"))</f>
      </c>
      <c r="B170" s="8"/>
      <c r="C170" s="8"/>
      <c r="D170" s="8"/>
      <c r="E170" s="7">
        <f>IF($C170="","",IF(AND(LEN(TRIM(UPPER(D170)))=10,CODE(MID(TRIM(UPPER(D170)),1,1))&gt;=65,CODE(MID(TRIM(UPPER(D170)),1,1))&lt;=90,CODE(MID(TRIM(UPPER(D170)),2,1))&gt;=65,CODE(MID(TRIM(UPPER(D170)),2,1))&lt;=90,CODE(MID(TRIM(UPPER(D170)),3,1))&gt;=65,CODE(MID(TRIM(UPPER(D170)),3,1))&lt;=90,CODE(MID(TRIM(UPPER(D170)),4,1))&gt;=65,CODE(MID(TRIM(UPPER(D170)),4,1))&lt;=90,CODE(MID(TRIM(UPPER(D170)),5,1))&gt;=65,CODE(MID(TRIM(UPPER(D170)),5,1))&lt;=90,CODE(MID(TRIM(UPPER(D170)),10,1))&gt;=65,CODE(MID(TRIM(UPPER(D170)),10,1))&lt;=90,CODE(MID(TRIM(UPPER(D170)),6,1))&gt;=48,CODE(MID(TRIM(UPPER(D170)),6,1))&lt;=57,CODE(MID(TRIM(UPPER(D170)),7,1))&gt;=48,CODE(MID(TRIM(UPPER(D170)),7,1))&lt;=57,CODE(MID(TRIM(UPPER(D170)),8,1))&gt;=48,CODE(MID(TRIM(UPPER(D170)),8,1))&lt;=57,CODE(MID(TRIM(UPPER(D170)),9,1))&gt;=48,CODE(MID(TRIM(UPPER(D170)),9,1))&lt;=57),"N","Y"))</f>
      </c>
      <c r="F170" s="7">
        <f>IF($C170="","",IF(LEN(D170)&lt;4,"",IF(UPPER(MID(D170,4,1))="P","Individual",IF(UPPER(MID(D170,4,1))="H","HUF",IF(UPPER(MID(D170,4,1))="C","Company",IF(UPPER(MID(D170,4,1))="F","Firm",IF(UPPER(MID(D170,4,1))="L","LLP",IF(UPPER(MID(D170,4,1))="T","Trust",IF(UPPER(MID(D170,4,1))="A","AOP","")))))))))</f>
      </c>
      <c r="G170" s="8"/>
      <c r="H170" s="7">
        <f>IF($C170="","",IF(R170&lt;&gt;"",R170,IF(G170="","",IF(E170="Y",SUMPRODUCT(('Rate Lookup'!$A$1:$A$37=G170)*'Rate Lookup'!$D$1:$D$37),IF(OR(F170="Individual",F170="HUF"),SUMPRODUCT(('Rate Lookup'!$A$1:$A$37=G170)*'Rate Lookup'!$B$1:$B$37),SUMPRODUCT(('Rate Lookup'!$A$1:$A$37=G170)*'Rate Lookup'!$C$1:$C$37)))))))</f>
      </c>
      <c r="I170" s="8"/>
      <c r="J170" s="8"/>
      <c r="K170" s="7">
        <f>IF($C170="","",IF(OR(P170="B",P170="D",P170="E",P170="N",P170="O",P170="P",P170="Q",P170="S",P170="Y",P170="Z"),0,ROUND(J170*H170/100,0)))</f>
      </c>
      <c r="L170" s="7">
        <f>IF($C170="","",0)</f>
      </c>
      <c r="M170" s="7">
        <f>IF($C170="","",0)</f>
      </c>
      <c r="N170" s="7">
        <f>IF($C170="","",IF(OR(K170=0,I170="",IFERROR(INDEX('Challan Master'!$D$4:$D$207,MATCH($B170,'Challan Master'!$S$4:$S$207,0)),"")="",IFERROR(INDEX('Challan Master'!$D$4:$D$207,MATCH($B170,'Challan Master'!$S$4:$S$207,0)),"")&lt;=0),0,IF(IFERROR(INDEX('Challan Master'!$D$4:$D$207,MATCH($B170,'Challan Master'!$S$4:$S$207,0)),"")&lt;=DATE(YEAR(I170),MONTH(I170)+1,7),0,ROUND(K170*0.015*((YEAR(IFERROR(INDEX('Challan Master'!$D$4:$D$207,MATCH($B170,'Challan Master'!$S$4:$S$207,0)),""))-YEAR(I170))*12+(MONTH(IFERROR(INDEX('Challan Master'!$D$4:$D$207,MATCH($B170,'Challan Master'!$S$4:$S$207,0)),""))-MONTH(I170))+1),0))))</f>
      </c>
      <c r="O170" s="7">
        <f>IF($C170="","",0)</f>
      </c>
      <c r="P170" s="8"/>
      <c r="Q170" s="8"/>
      <c r="R170" s="8"/>
      <c r="S170" s="8"/>
      <c r="T170" s="8"/>
      <c r="U170" s="7">
        <f>IF($B170="","",IFERROR(INDEX('Challan Master'!$AA$4:$AA$207,MATCH($B170,'Challan Master'!$S$4:$S$207,0)),""))</f>
      </c>
    </row>
    <row r="171" spans="1:22" x14ac:dyDescent="0.25">
      <c r="A171" s="7">
        <f>IF($C171="","",COUNTIF($C$4:$C171,"&lt;&gt;"))</f>
      </c>
      <c r="B171" s="8"/>
      <c r="C171" s="8"/>
      <c r="D171" s="8"/>
      <c r="E171" s="7">
        <f>IF($C171="","",IF(AND(LEN(TRIM(UPPER(D171)))=10,CODE(MID(TRIM(UPPER(D171)),1,1))&gt;=65,CODE(MID(TRIM(UPPER(D171)),1,1))&lt;=90,CODE(MID(TRIM(UPPER(D171)),2,1))&gt;=65,CODE(MID(TRIM(UPPER(D171)),2,1))&lt;=90,CODE(MID(TRIM(UPPER(D171)),3,1))&gt;=65,CODE(MID(TRIM(UPPER(D171)),3,1))&lt;=90,CODE(MID(TRIM(UPPER(D171)),4,1))&gt;=65,CODE(MID(TRIM(UPPER(D171)),4,1))&lt;=90,CODE(MID(TRIM(UPPER(D171)),5,1))&gt;=65,CODE(MID(TRIM(UPPER(D171)),5,1))&lt;=90,CODE(MID(TRIM(UPPER(D171)),10,1))&gt;=65,CODE(MID(TRIM(UPPER(D171)),10,1))&lt;=90,CODE(MID(TRIM(UPPER(D171)),6,1))&gt;=48,CODE(MID(TRIM(UPPER(D171)),6,1))&lt;=57,CODE(MID(TRIM(UPPER(D171)),7,1))&gt;=48,CODE(MID(TRIM(UPPER(D171)),7,1))&lt;=57,CODE(MID(TRIM(UPPER(D171)),8,1))&gt;=48,CODE(MID(TRIM(UPPER(D171)),8,1))&lt;=57,CODE(MID(TRIM(UPPER(D171)),9,1))&gt;=48,CODE(MID(TRIM(UPPER(D171)),9,1))&lt;=57),"N","Y"))</f>
      </c>
      <c r="F171" s="7">
        <f>IF($C171="","",IF(LEN(D171)&lt;4,"",IF(UPPER(MID(D171,4,1))="P","Individual",IF(UPPER(MID(D171,4,1))="H","HUF",IF(UPPER(MID(D171,4,1))="C","Company",IF(UPPER(MID(D171,4,1))="F","Firm",IF(UPPER(MID(D171,4,1))="L","LLP",IF(UPPER(MID(D171,4,1))="T","Trust",IF(UPPER(MID(D171,4,1))="A","AOP","")))))))))</f>
      </c>
      <c r="G171" s="8"/>
      <c r="H171" s="7">
        <f>IF($C171="","",IF(R171&lt;&gt;"",R171,IF(G171="","",IF(E171="Y",SUMPRODUCT(('Rate Lookup'!$A$1:$A$37=G171)*'Rate Lookup'!$D$1:$D$37),IF(OR(F171="Individual",F171="HUF"),SUMPRODUCT(('Rate Lookup'!$A$1:$A$37=G171)*'Rate Lookup'!$B$1:$B$37),SUMPRODUCT(('Rate Lookup'!$A$1:$A$37=G171)*'Rate Lookup'!$C$1:$C$37)))))))</f>
      </c>
      <c r="I171" s="8"/>
      <c r="J171" s="8"/>
      <c r="K171" s="7">
        <f>IF($C171="","",IF(OR(P171="B",P171="D",P171="E",P171="N",P171="O",P171="P",P171="Q",P171="S",P171="Y",P171="Z"),0,ROUND(J171*H171/100,0)))</f>
      </c>
      <c r="L171" s="7">
        <f>IF($C171="","",0)</f>
      </c>
      <c r="M171" s="7">
        <f>IF($C171="","",0)</f>
      </c>
      <c r="N171" s="7">
        <f>IF($C171="","",IF(OR(K171=0,I171="",IFERROR(INDEX('Challan Master'!$D$4:$D$207,MATCH($B171,'Challan Master'!$S$4:$S$207,0)),"")="",IFERROR(INDEX('Challan Master'!$D$4:$D$207,MATCH($B171,'Challan Master'!$S$4:$S$207,0)),"")&lt;=0),0,IF(IFERROR(INDEX('Challan Master'!$D$4:$D$207,MATCH($B171,'Challan Master'!$S$4:$S$207,0)),"")&lt;=DATE(YEAR(I171),MONTH(I171)+1,7),0,ROUND(K171*0.015*((YEAR(IFERROR(INDEX('Challan Master'!$D$4:$D$207,MATCH($B171,'Challan Master'!$S$4:$S$207,0)),""))-YEAR(I171))*12+(MONTH(IFERROR(INDEX('Challan Master'!$D$4:$D$207,MATCH($B171,'Challan Master'!$S$4:$S$207,0)),""))-MONTH(I171))+1),0))))</f>
      </c>
      <c r="O171" s="7">
        <f>IF($C171="","",0)</f>
      </c>
      <c r="P171" s="8"/>
      <c r="Q171" s="8"/>
      <c r="R171" s="8"/>
      <c r="S171" s="8"/>
      <c r="T171" s="8"/>
      <c r="U171" s="7">
        <f>IF($B171="","",IFERROR(INDEX('Challan Master'!$AA$4:$AA$207,MATCH($B171,'Challan Master'!$S$4:$S$207,0)),""))</f>
      </c>
    </row>
    <row r="172" spans="1:22" x14ac:dyDescent="0.25">
      <c r="A172" s="7">
        <f>IF($C172="","",COUNTIF($C$4:$C172,"&lt;&gt;"))</f>
      </c>
      <c r="B172" s="8"/>
      <c r="C172" s="8"/>
      <c r="D172" s="8"/>
      <c r="E172" s="7">
        <f>IF($C172="","",IF(AND(LEN(TRIM(UPPER(D172)))=10,CODE(MID(TRIM(UPPER(D172)),1,1))&gt;=65,CODE(MID(TRIM(UPPER(D172)),1,1))&lt;=90,CODE(MID(TRIM(UPPER(D172)),2,1))&gt;=65,CODE(MID(TRIM(UPPER(D172)),2,1))&lt;=90,CODE(MID(TRIM(UPPER(D172)),3,1))&gt;=65,CODE(MID(TRIM(UPPER(D172)),3,1))&lt;=90,CODE(MID(TRIM(UPPER(D172)),4,1))&gt;=65,CODE(MID(TRIM(UPPER(D172)),4,1))&lt;=90,CODE(MID(TRIM(UPPER(D172)),5,1))&gt;=65,CODE(MID(TRIM(UPPER(D172)),5,1))&lt;=90,CODE(MID(TRIM(UPPER(D172)),10,1))&gt;=65,CODE(MID(TRIM(UPPER(D172)),10,1))&lt;=90,CODE(MID(TRIM(UPPER(D172)),6,1))&gt;=48,CODE(MID(TRIM(UPPER(D172)),6,1))&lt;=57,CODE(MID(TRIM(UPPER(D172)),7,1))&gt;=48,CODE(MID(TRIM(UPPER(D172)),7,1))&lt;=57,CODE(MID(TRIM(UPPER(D172)),8,1))&gt;=48,CODE(MID(TRIM(UPPER(D172)),8,1))&lt;=57,CODE(MID(TRIM(UPPER(D172)),9,1))&gt;=48,CODE(MID(TRIM(UPPER(D172)),9,1))&lt;=57),"N","Y"))</f>
      </c>
      <c r="F172" s="7">
        <f>IF($C172="","",IF(LEN(D172)&lt;4,"",IF(UPPER(MID(D172,4,1))="P","Individual",IF(UPPER(MID(D172,4,1))="H","HUF",IF(UPPER(MID(D172,4,1))="C","Company",IF(UPPER(MID(D172,4,1))="F","Firm",IF(UPPER(MID(D172,4,1))="L","LLP",IF(UPPER(MID(D172,4,1))="T","Trust",IF(UPPER(MID(D172,4,1))="A","AOP","")))))))))</f>
      </c>
      <c r="G172" s="8"/>
      <c r="H172" s="7">
        <f>IF($C172="","",IF(R172&lt;&gt;"",R172,IF(G172="","",IF(E172="Y",SUMPRODUCT(('Rate Lookup'!$A$1:$A$37=G172)*'Rate Lookup'!$D$1:$D$37),IF(OR(F172="Individual",F172="HUF"),SUMPRODUCT(('Rate Lookup'!$A$1:$A$37=G172)*'Rate Lookup'!$B$1:$B$37),SUMPRODUCT(('Rate Lookup'!$A$1:$A$37=G172)*'Rate Lookup'!$C$1:$C$37)))))))</f>
      </c>
      <c r="I172" s="8"/>
      <c r="J172" s="8"/>
      <c r="K172" s="7">
        <f>IF($C172="","",IF(OR(P172="B",P172="D",P172="E",P172="N",P172="O",P172="P",P172="Q",P172="S",P172="Y",P172="Z"),0,ROUND(J172*H172/100,0)))</f>
      </c>
      <c r="L172" s="7">
        <f>IF($C172="","",0)</f>
      </c>
      <c r="M172" s="7">
        <f>IF($C172="","",0)</f>
      </c>
      <c r="N172" s="7">
        <f>IF($C172="","",IF(OR(K172=0,I172="",IFERROR(INDEX('Challan Master'!$D$4:$D$207,MATCH($B172,'Challan Master'!$S$4:$S$207,0)),"")="",IFERROR(INDEX('Challan Master'!$D$4:$D$207,MATCH($B172,'Challan Master'!$S$4:$S$207,0)),"")&lt;=0),0,IF(IFERROR(INDEX('Challan Master'!$D$4:$D$207,MATCH($B172,'Challan Master'!$S$4:$S$207,0)),"")&lt;=DATE(YEAR(I172),MONTH(I172)+1,7),0,ROUND(K172*0.015*((YEAR(IFERROR(INDEX('Challan Master'!$D$4:$D$207,MATCH($B172,'Challan Master'!$S$4:$S$207,0)),""))-YEAR(I172))*12+(MONTH(IFERROR(INDEX('Challan Master'!$D$4:$D$207,MATCH($B172,'Challan Master'!$S$4:$S$207,0)),""))-MONTH(I172))+1),0))))</f>
      </c>
      <c r="O172" s="7">
        <f>IF($C172="","",0)</f>
      </c>
      <c r="P172" s="8"/>
      <c r="Q172" s="8"/>
      <c r="R172" s="8"/>
      <c r="S172" s="8"/>
      <c r="T172" s="8"/>
      <c r="U172" s="7">
        <f>IF($B172="","",IFERROR(INDEX('Challan Master'!$AA$4:$AA$207,MATCH($B172,'Challan Master'!$S$4:$S$207,0)),""))</f>
      </c>
    </row>
    <row r="173" spans="1:22" x14ac:dyDescent="0.25">
      <c r="A173" s="7">
        <f>IF($C173="","",COUNTIF($C$4:$C173,"&lt;&gt;"))</f>
      </c>
      <c r="B173" s="8"/>
      <c r="C173" s="8"/>
      <c r="D173" s="8"/>
      <c r="E173" s="7">
        <f>IF($C173="","",IF(AND(LEN(TRIM(UPPER(D173)))=10,CODE(MID(TRIM(UPPER(D173)),1,1))&gt;=65,CODE(MID(TRIM(UPPER(D173)),1,1))&lt;=90,CODE(MID(TRIM(UPPER(D173)),2,1))&gt;=65,CODE(MID(TRIM(UPPER(D173)),2,1))&lt;=90,CODE(MID(TRIM(UPPER(D173)),3,1))&gt;=65,CODE(MID(TRIM(UPPER(D173)),3,1))&lt;=90,CODE(MID(TRIM(UPPER(D173)),4,1))&gt;=65,CODE(MID(TRIM(UPPER(D173)),4,1))&lt;=90,CODE(MID(TRIM(UPPER(D173)),5,1))&gt;=65,CODE(MID(TRIM(UPPER(D173)),5,1))&lt;=90,CODE(MID(TRIM(UPPER(D173)),10,1))&gt;=65,CODE(MID(TRIM(UPPER(D173)),10,1))&lt;=90,CODE(MID(TRIM(UPPER(D173)),6,1))&gt;=48,CODE(MID(TRIM(UPPER(D173)),6,1))&lt;=57,CODE(MID(TRIM(UPPER(D173)),7,1))&gt;=48,CODE(MID(TRIM(UPPER(D173)),7,1))&lt;=57,CODE(MID(TRIM(UPPER(D173)),8,1))&gt;=48,CODE(MID(TRIM(UPPER(D173)),8,1))&lt;=57,CODE(MID(TRIM(UPPER(D173)),9,1))&gt;=48,CODE(MID(TRIM(UPPER(D173)),9,1))&lt;=57),"N","Y"))</f>
      </c>
      <c r="F173" s="7">
        <f>IF($C173="","",IF(LEN(D173)&lt;4,"",IF(UPPER(MID(D173,4,1))="P","Individual",IF(UPPER(MID(D173,4,1))="H","HUF",IF(UPPER(MID(D173,4,1))="C","Company",IF(UPPER(MID(D173,4,1))="F","Firm",IF(UPPER(MID(D173,4,1))="L","LLP",IF(UPPER(MID(D173,4,1))="T","Trust",IF(UPPER(MID(D173,4,1))="A","AOP","")))))))))</f>
      </c>
      <c r="G173" s="8"/>
      <c r="H173" s="7">
        <f>IF($C173="","",IF(R173&lt;&gt;"",R173,IF(G173="","",IF(E173="Y",SUMPRODUCT(('Rate Lookup'!$A$1:$A$37=G173)*'Rate Lookup'!$D$1:$D$37),IF(OR(F173="Individual",F173="HUF"),SUMPRODUCT(('Rate Lookup'!$A$1:$A$37=G173)*'Rate Lookup'!$B$1:$B$37),SUMPRODUCT(('Rate Lookup'!$A$1:$A$37=G173)*'Rate Lookup'!$C$1:$C$37)))))))</f>
      </c>
      <c r="I173" s="8"/>
      <c r="J173" s="8"/>
      <c r="K173" s="7">
        <f>IF($C173="","",IF(OR(P173="B",P173="D",P173="E",P173="N",P173="O",P173="P",P173="Q",P173="S",P173="Y",P173="Z"),0,ROUND(J173*H173/100,0)))</f>
      </c>
      <c r="L173" s="7">
        <f>IF($C173="","",0)</f>
      </c>
      <c r="M173" s="7">
        <f>IF($C173="","",0)</f>
      </c>
      <c r="N173" s="7">
        <f>IF($C173="","",IF(OR(K173=0,I173="",IFERROR(INDEX('Challan Master'!$D$4:$D$207,MATCH($B173,'Challan Master'!$S$4:$S$207,0)),"")="",IFERROR(INDEX('Challan Master'!$D$4:$D$207,MATCH($B173,'Challan Master'!$S$4:$S$207,0)),"")&lt;=0),0,IF(IFERROR(INDEX('Challan Master'!$D$4:$D$207,MATCH($B173,'Challan Master'!$S$4:$S$207,0)),"")&lt;=DATE(YEAR(I173),MONTH(I173)+1,7),0,ROUND(K173*0.015*((YEAR(IFERROR(INDEX('Challan Master'!$D$4:$D$207,MATCH($B173,'Challan Master'!$S$4:$S$207,0)),""))-YEAR(I173))*12+(MONTH(IFERROR(INDEX('Challan Master'!$D$4:$D$207,MATCH($B173,'Challan Master'!$S$4:$S$207,0)),""))-MONTH(I173))+1),0))))</f>
      </c>
      <c r="O173" s="7">
        <f>IF($C173="","",0)</f>
      </c>
      <c r="P173" s="8"/>
      <c r="Q173" s="8"/>
      <c r="R173" s="8"/>
      <c r="S173" s="8"/>
      <c r="T173" s="8"/>
      <c r="U173" s="7">
        <f>IF($B173="","",IFERROR(INDEX('Challan Master'!$AA$4:$AA$207,MATCH($B173,'Challan Master'!$S$4:$S$207,0)),""))</f>
      </c>
    </row>
    <row r="174" spans="1:22" x14ac:dyDescent="0.25">
      <c r="A174" s="7">
        <f>IF($C174="","",COUNTIF($C$4:$C174,"&lt;&gt;"))</f>
      </c>
      <c r="B174" s="8"/>
      <c r="C174" s="8"/>
      <c r="D174" s="8"/>
      <c r="E174" s="7">
        <f>IF($C174="","",IF(AND(LEN(TRIM(UPPER(D174)))=10,CODE(MID(TRIM(UPPER(D174)),1,1))&gt;=65,CODE(MID(TRIM(UPPER(D174)),1,1))&lt;=90,CODE(MID(TRIM(UPPER(D174)),2,1))&gt;=65,CODE(MID(TRIM(UPPER(D174)),2,1))&lt;=90,CODE(MID(TRIM(UPPER(D174)),3,1))&gt;=65,CODE(MID(TRIM(UPPER(D174)),3,1))&lt;=90,CODE(MID(TRIM(UPPER(D174)),4,1))&gt;=65,CODE(MID(TRIM(UPPER(D174)),4,1))&lt;=90,CODE(MID(TRIM(UPPER(D174)),5,1))&gt;=65,CODE(MID(TRIM(UPPER(D174)),5,1))&lt;=90,CODE(MID(TRIM(UPPER(D174)),10,1))&gt;=65,CODE(MID(TRIM(UPPER(D174)),10,1))&lt;=90,CODE(MID(TRIM(UPPER(D174)),6,1))&gt;=48,CODE(MID(TRIM(UPPER(D174)),6,1))&lt;=57,CODE(MID(TRIM(UPPER(D174)),7,1))&gt;=48,CODE(MID(TRIM(UPPER(D174)),7,1))&lt;=57,CODE(MID(TRIM(UPPER(D174)),8,1))&gt;=48,CODE(MID(TRIM(UPPER(D174)),8,1))&lt;=57,CODE(MID(TRIM(UPPER(D174)),9,1))&gt;=48,CODE(MID(TRIM(UPPER(D174)),9,1))&lt;=57),"N","Y"))</f>
      </c>
      <c r="F174" s="7">
        <f>IF($C174="","",IF(LEN(D174)&lt;4,"",IF(UPPER(MID(D174,4,1))="P","Individual",IF(UPPER(MID(D174,4,1))="H","HUF",IF(UPPER(MID(D174,4,1))="C","Company",IF(UPPER(MID(D174,4,1))="F","Firm",IF(UPPER(MID(D174,4,1))="L","LLP",IF(UPPER(MID(D174,4,1))="T","Trust",IF(UPPER(MID(D174,4,1))="A","AOP","")))))))))</f>
      </c>
      <c r="G174" s="8"/>
      <c r="H174" s="7">
        <f>IF($C174="","",IF(R174&lt;&gt;"",R174,IF(G174="","",IF(E174="Y",SUMPRODUCT(('Rate Lookup'!$A$1:$A$37=G174)*'Rate Lookup'!$D$1:$D$37),IF(OR(F174="Individual",F174="HUF"),SUMPRODUCT(('Rate Lookup'!$A$1:$A$37=G174)*'Rate Lookup'!$B$1:$B$37),SUMPRODUCT(('Rate Lookup'!$A$1:$A$37=G174)*'Rate Lookup'!$C$1:$C$37)))))))</f>
      </c>
      <c r="I174" s="8"/>
      <c r="J174" s="8"/>
      <c r="K174" s="7">
        <f>IF($C174="","",IF(OR(P174="B",P174="D",P174="E",P174="N",P174="O",P174="P",P174="Q",P174="S",P174="Y",P174="Z"),0,ROUND(J174*H174/100,0)))</f>
      </c>
      <c r="L174" s="7">
        <f>IF($C174="","",0)</f>
      </c>
      <c r="M174" s="7">
        <f>IF($C174="","",0)</f>
      </c>
      <c r="N174" s="7">
        <f>IF($C174="","",IF(OR(K174=0,I174="",IFERROR(INDEX('Challan Master'!$D$4:$D$207,MATCH($B174,'Challan Master'!$S$4:$S$207,0)),"")="",IFERROR(INDEX('Challan Master'!$D$4:$D$207,MATCH($B174,'Challan Master'!$S$4:$S$207,0)),"")&lt;=0),0,IF(IFERROR(INDEX('Challan Master'!$D$4:$D$207,MATCH($B174,'Challan Master'!$S$4:$S$207,0)),"")&lt;=DATE(YEAR(I174),MONTH(I174)+1,7),0,ROUND(K174*0.015*((YEAR(IFERROR(INDEX('Challan Master'!$D$4:$D$207,MATCH($B174,'Challan Master'!$S$4:$S$207,0)),""))-YEAR(I174))*12+(MONTH(IFERROR(INDEX('Challan Master'!$D$4:$D$207,MATCH($B174,'Challan Master'!$S$4:$S$207,0)),""))-MONTH(I174))+1),0))))</f>
      </c>
      <c r="O174" s="7">
        <f>IF($C174="","",0)</f>
      </c>
      <c r="P174" s="8"/>
      <c r="Q174" s="8"/>
      <c r="R174" s="8"/>
      <c r="S174" s="8"/>
      <c r="T174" s="8"/>
      <c r="U174" s="7">
        <f>IF($B174="","",IFERROR(INDEX('Challan Master'!$AA$4:$AA$207,MATCH($B174,'Challan Master'!$S$4:$S$207,0)),""))</f>
      </c>
    </row>
    <row r="175" spans="1:22" x14ac:dyDescent="0.25">
      <c r="A175" s="7">
        <f>IF($C175="","",COUNTIF($C$4:$C175,"&lt;&gt;"))</f>
      </c>
      <c r="B175" s="8"/>
      <c r="C175" s="8"/>
      <c r="D175" s="8"/>
      <c r="E175" s="7">
        <f>IF($C175="","",IF(AND(LEN(TRIM(UPPER(D175)))=10,CODE(MID(TRIM(UPPER(D175)),1,1))&gt;=65,CODE(MID(TRIM(UPPER(D175)),1,1))&lt;=90,CODE(MID(TRIM(UPPER(D175)),2,1))&gt;=65,CODE(MID(TRIM(UPPER(D175)),2,1))&lt;=90,CODE(MID(TRIM(UPPER(D175)),3,1))&gt;=65,CODE(MID(TRIM(UPPER(D175)),3,1))&lt;=90,CODE(MID(TRIM(UPPER(D175)),4,1))&gt;=65,CODE(MID(TRIM(UPPER(D175)),4,1))&lt;=90,CODE(MID(TRIM(UPPER(D175)),5,1))&gt;=65,CODE(MID(TRIM(UPPER(D175)),5,1))&lt;=90,CODE(MID(TRIM(UPPER(D175)),10,1))&gt;=65,CODE(MID(TRIM(UPPER(D175)),10,1))&lt;=90,CODE(MID(TRIM(UPPER(D175)),6,1))&gt;=48,CODE(MID(TRIM(UPPER(D175)),6,1))&lt;=57,CODE(MID(TRIM(UPPER(D175)),7,1))&gt;=48,CODE(MID(TRIM(UPPER(D175)),7,1))&lt;=57,CODE(MID(TRIM(UPPER(D175)),8,1))&gt;=48,CODE(MID(TRIM(UPPER(D175)),8,1))&lt;=57,CODE(MID(TRIM(UPPER(D175)),9,1))&gt;=48,CODE(MID(TRIM(UPPER(D175)),9,1))&lt;=57),"N","Y"))</f>
      </c>
      <c r="F175" s="7">
        <f>IF($C175="","",IF(LEN(D175)&lt;4,"",IF(UPPER(MID(D175,4,1))="P","Individual",IF(UPPER(MID(D175,4,1))="H","HUF",IF(UPPER(MID(D175,4,1))="C","Company",IF(UPPER(MID(D175,4,1))="F","Firm",IF(UPPER(MID(D175,4,1))="L","LLP",IF(UPPER(MID(D175,4,1))="T","Trust",IF(UPPER(MID(D175,4,1))="A","AOP","")))))))))</f>
      </c>
      <c r="G175" s="8"/>
      <c r="H175" s="7">
        <f>IF($C175="","",IF(R175&lt;&gt;"",R175,IF(G175="","",IF(E175="Y",SUMPRODUCT(('Rate Lookup'!$A$1:$A$37=G175)*'Rate Lookup'!$D$1:$D$37),IF(OR(F175="Individual",F175="HUF"),SUMPRODUCT(('Rate Lookup'!$A$1:$A$37=G175)*'Rate Lookup'!$B$1:$B$37),SUMPRODUCT(('Rate Lookup'!$A$1:$A$37=G175)*'Rate Lookup'!$C$1:$C$37)))))))</f>
      </c>
      <c r="I175" s="8"/>
      <c r="J175" s="8"/>
      <c r="K175" s="7">
        <f>IF($C175="","",IF(OR(P175="B",P175="D",P175="E",P175="N",P175="O",P175="P",P175="Q",P175="S",P175="Y",P175="Z"),0,ROUND(J175*H175/100,0)))</f>
      </c>
      <c r="L175" s="7">
        <f>IF($C175="","",0)</f>
      </c>
      <c r="M175" s="7">
        <f>IF($C175="","",0)</f>
      </c>
      <c r="N175" s="7">
        <f>IF($C175="","",IF(OR(K175=0,I175="",IFERROR(INDEX('Challan Master'!$D$4:$D$207,MATCH($B175,'Challan Master'!$S$4:$S$207,0)),"")="",IFERROR(INDEX('Challan Master'!$D$4:$D$207,MATCH($B175,'Challan Master'!$S$4:$S$207,0)),"")&lt;=0),0,IF(IFERROR(INDEX('Challan Master'!$D$4:$D$207,MATCH($B175,'Challan Master'!$S$4:$S$207,0)),"")&lt;=DATE(YEAR(I175),MONTH(I175)+1,7),0,ROUND(K175*0.015*((YEAR(IFERROR(INDEX('Challan Master'!$D$4:$D$207,MATCH($B175,'Challan Master'!$S$4:$S$207,0)),""))-YEAR(I175))*12+(MONTH(IFERROR(INDEX('Challan Master'!$D$4:$D$207,MATCH($B175,'Challan Master'!$S$4:$S$207,0)),""))-MONTH(I175))+1),0))))</f>
      </c>
      <c r="O175" s="7">
        <f>IF($C175="","",0)</f>
      </c>
      <c r="P175" s="8"/>
      <c r="Q175" s="8"/>
      <c r="R175" s="8"/>
      <c r="S175" s="8"/>
      <c r="T175" s="8"/>
      <c r="U175" s="7">
        <f>IF($B175="","",IFERROR(INDEX('Challan Master'!$AA$4:$AA$207,MATCH($B175,'Challan Master'!$S$4:$S$207,0)),""))</f>
      </c>
    </row>
    <row r="176" spans="1:22" x14ac:dyDescent="0.25">
      <c r="A176" s="7">
        <f>IF($C176="","",COUNTIF($C$4:$C176,"&lt;&gt;"))</f>
      </c>
      <c r="B176" s="8"/>
      <c r="C176" s="8"/>
      <c r="D176" s="8"/>
      <c r="E176" s="7">
        <f>IF($C176="","",IF(AND(LEN(TRIM(UPPER(D176)))=10,CODE(MID(TRIM(UPPER(D176)),1,1))&gt;=65,CODE(MID(TRIM(UPPER(D176)),1,1))&lt;=90,CODE(MID(TRIM(UPPER(D176)),2,1))&gt;=65,CODE(MID(TRIM(UPPER(D176)),2,1))&lt;=90,CODE(MID(TRIM(UPPER(D176)),3,1))&gt;=65,CODE(MID(TRIM(UPPER(D176)),3,1))&lt;=90,CODE(MID(TRIM(UPPER(D176)),4,1))&gt;=65,CODE(MID(TRIM(UPPER(D176)),4,1))&lt;=90,CODE(MID(TRIM(UPPER(D176)),5,1))&gt;=65,CODE(MID(TRIM(UPPER(D176)),5,1))&lt;=90,CODE(MID(TRIM(UPPER(D176)),10,1))&gt;=65,CODE(MID(TRIM(UPPER(D176)),10,1))&lt;=90,CODE(MID(TRIM(UPPER(D176)),6,1))&gt;=48,CODE(MID(TRIM(UPPER(D176)),6,1))&lt;=57,CODE(MID(TRIM(UPPER(D176)),7,1))&gt;=48,CODE(MID(TRIM(UPPER(D176)),7,1))&lt;=57,CODE(MID(TRIM(UPPER(D176)),8,1))&gt;=48,CODE(MID(TRIM(UPPER(D176)),8,1))&lt;=57,CODE(MID(TRIM(UPPER(D176)),9,1))&gt;=48,CODE(MID(TRIM(UPPER(D176)),9,1))&lt;=57),"N","Y"))</f>
      </c>
      <c r="F176" s="7">
        <f>IF($C176="","",IF(LEN(D176)&lt;4,"",IF(UPPER(MID(D176,4,1))="P","Individual",IF(UPPER(MID(D176,4,1))="H","HUF",IF(UPPER(MID(D176,4,1))="C","Company",IF(UPPER(MID(D176,4,1))="F","Firm",IF(UPPER(MID(D176,4,1))="L","LLP",IF(UPPER(MID(D176,4,1))="T","Trust",IF(UPPER(MID(D176,4,1))="A","AOP","")))))))))</f>
      </c>
      <c r="G176" s="8"/>
      <c r="H176" s="7">
        <f>IF($C176="","",IF(R176&lt;&gt;"",R176,IF(G176="","",IF(E176="Y",SUMPRODUCT(('Rate Lookup'!$A$1:$A$37=G176)*'Rate Lookup'!$D$1:$D$37),IF(OR(F176="Individual",F176="HUF"),SUMPRODUCT(('Rate Lookup'!$A$1:$A$37=G176)*'Rate Lookup'!$B$1:$B$37),SUMPRODUCT(('Rate Lookup'!$A$1:$A$37=G176)*'Rate Lookup'!$C$1:$C$37)))))))</f>
      </c>
      <c r="I176" s="8"/>
      <c r="J176" s="8"/>
      <c r="K176" s="7">
        <f>IF($C176="","",IF(OR(P176="B",P176="D",P176="E",P176="N",P176="O",P176="P",P176="Q",P176="S",P176="Y",P176="Z"),0,ROUND(J176*H176/100,0)))</f>
      </c>
      <c r="L176" s="7">
        <f>IF($C176="","",0)</f>
      </c>
      <c r="M176" s="7">
        <f>IF($C176="","",0)</f>
      </c>
      <c r="N176" s="7">
        <f>IF($C176="","",IF(OR(K176=0,I176="",IFERROR(INDEX('Challan Master'!$D$4:$D$207,MATCH($B176,'Challan Master'!$S$4:$S$207,0)),"")="",IFERROR(INDEX('Challan Master'!$D$4:$D$207,MATCH($B176,'Challan Master'!$S$4:$S$207,0)),"")&lt;=0),0,IF(IFERROR(INDEX('Challan Master'!$D$4:$D$207,MATCH($B176,'Challan Master'!$S$4:$S$207,0)),"")&lt;=DATE(YEAR(I176),MONTH(I176)+1,7),0,ROUND(K176*0.015*((YEAR(IFERROR(INDEX('Challan Master'!$D$4:$D$207,MATCH($B176,'Challan Master'!$S$4:$S$207,0)),""))-YEAR(I176))*12+(MONTH(IFERROR(INDEX('Challan Master'!$D$4:$D$207,MATCH($B176,'Challan Master'!$S$4:$S$207,0)),""))-MONTH(I176))+1),0))))</f>
      </c>
      <c r="O176" s="7">
        <f>IF($C176="","",0)</f>
      </c>
      <c r="P176" s="8"/>
      <c r="Q176" s="8"/>
      <c r="R176" s="8"/>
      <c r="S176" s="8"/>
      <c r="T176" s="8"/>
      <c r="U176" s="7">
        <f>IF($B176="","",IFERROR(INDEX('Challan Master'!$AA$4:$AA$207,MATCH($B176,'Challan Master'!$S$4:$S$207,0)),""))</f>
      </c>
    </row>
    <row r="177" spans="1:22" x14ac:dyDescent="0.25">
      <c r="A177" s="7">
        <f>IF($C177="","",COUNTIF($C$4:$C177,"&lt;&gt;"))</f>
      </c>
      <c r="B177" s="8"/>
      <c r="C177" s="8"/>
      <c r="D177" s="8"/>
      <c r="E177" s="7">
        <f>IF($C177="","",IF(AND(LEN(TRIM(UPPER(D177)))=10,CODE(MID(TRIM(UPPER(D177)),1,1))&gt;=65,CODE(MID(TRIM(UPPER(D177)),1,1))&lt;=90,CODE(MID(TRIM(UPPER(D177)),2,1))&gt;=65,CODE(MID(TRIM(UPPER(D177)),2,1))&lt;=90,CODE(MID(TRIM(UPPER(D177)),3,1))&gt;=65,CODE(MID(TRIM(UPPER(D177)),3,1))&lt;=90,CODE(MID(TRIM(UPPER(D177)),4,1))&gt;=65,CODE(MID(TRIM(UPPER(D177)),4,1))&lt;=90,CODE(MID(TRIM(UPPER(D177)),5,1))&gt;=65,CODE(MID(TRIM(UPPER(D177)),5,1))&lt;=90,CODE(MID(TRIM(UPPER(D177)),10,1))&gt;=65,CODE(MID(TRIM(UPPER(D177)),10,1))&lt;=90,CODE(MID(TRIM(UPPER(D177)),6,1))&gt;=48,CODE(MID(TRIM(UPPER(D177)),6,1))&lt;=57,CODE(MID(TRIM(UPPER(D177)),7,1))&gt;=48,CODE(MID(TRIM(UPPER(D177)),7,1))&lt;=57,CODE(MID(TRIM(UPPER(D177)),8,1))&gt;=48,CODE(MID(TRIM(UPPER(D177)),8,1))&lt;=57,CODE(MID(TRIM(UPPER(D177)),9,1))&gt;=48,CODE(MID(TRIM(UPPER(D177)),9,1))&lt;=57),"N","Y"))</f>
      </c>
      <c r="F177" s="7">
        <f>IF($C177="","",IF(LEN(D177)&lt;4,"",IF(UPPER(MID(D177,4,1))="P","Individual",IF(UPPER(MID(D177,4,1))="H","HUF",IF(UPPER(MID(D177,4,1))="C","Company",IF(UPPER(MID(D177,4,1))="F","Firm",IF(UPPER(MID(D177,4,1))="L","LLP",IF(UPPER(MID(D177,4,1))="T","Trust",IF(UPPER(MID(D177,4,1))="A","AOP","")))))))))</f>
      </c>
      <c r="G177" s="8"/>
      <c r="H177" s="7">
        <f>IF($C177="","",IF(R177&lt;&gt;"",R177,IF(G177="","",IF(E177="Y",SUMPRODUCT(('Rate Lookup'!$A$1:$A$37=G177)*'Rate Lookup'!$D$1:$D$37),IF(OR(F177="Individual",F177="HUF"),SUMPRODUCT(('Rate Lookup'!$A$1:$A$37=G177)*'Rate Lookup'!$B$1:$B$37),SUMPRODUCT(('Rate Lookup'!$A$1:$A$37=G177)*'Rate Lookup'!$C$1:$C$37)))))))</f>
      </c>
      <c r="I177" s="8"/>
      <c r="J177" s="8"/>
      <c r="K177" s="7">
        <f>IF($C177="","",IF(OR(P177="B",P177="D",P177="E",P177="N",P177="O",P177="P",P177="Q",P177="S",P177="Y",P177="Z"),0,ROUND(J177*H177/100,0)))</f>
      </c>
      <c r="L177" s="7">
        <f>IF($C177="","",0)</f>
      </c>
      <c r="M177" s="7">
        <f>IF($C177="","",0)</f>
      </c>
      <c r="N177" s="7">
        <f>IF($C177="","",IF(OR(K177=0,I177="",IFERROR(INDEX('Challan Master'!$D$4:$D$207,MATCH($B177,'Challan Master'!$S$4:$S$207,0)),"")="",IFERROR(INDEX('Challan Master'!$D$4:$D$207,MATCH($B177,'Challan Master'!$S$4:$S$207,0)),"")&lt;=0),0,IF(IFERROR(INDEX('Challan Master'!$D$4:$D$207,MATCH($B177,'Challan Master'!$S$4:$S$207,0)),"")&lt;=DATE(YEAR(I177),MONTH(I177)+1,7),0,ROUND(K177*0.015*((YEAR(IFERROR(INDEX('Challan Master'!$D$4:$D$207,MATCH($B177,'Challan Master'!$S$4:$S$207,0)),""))-YEAR(I177))*12+(MONTH(IFERROR(INDEX('Challan Master'!$D$4:$D$207,MATCH($B177,'Challan Master'!$S$4:$S$207,0)),""))-MONTH(I177))+1),0))))</f>
      </c>
      <c r="O177" s="7">
        <f>IF($C177="","",0)</f>
      </c>
      <c r="P177" s="8"/>
      <c r="Q177" s="8"/>
      <c r="R177" s="8"/>
      <c r="S177" s="8"/>
      <c r="T177" s="8"/>
      <c r="U177" s="7">
        <f>IF($B177="","",IFERROR(INDEX('Challan Master'!$AA$4:$AA$207,MATCH($B177,'Challan Master'!$S$4:$S$207,0)),""))</f>
      </c>
    </row>
    <row r="178" spans="1:22" x14ac:dyDescent="0.25">
      <c r="A178" s="7">
        <f>IF($C178="","",COUNTIF($C$4:$C178,"&lt;&gt;"))</f>
      </c>
      <c r="B178" s="8"/>
      <c r="C178" s="8"/>
      <c r="D178" s="8"/>
      <c r="E178" s="7">
        <f>IF($C178="","",IF(AND(LEN(TRIM(UPPER(D178)))=10,CODE(MID(TRIM(UPPER(D178)),1,1))&gt;=65,CODE(MID(TRIM(UPPER(D178)),1,1))&lt;=90,CODE(MID(TRIM(UPPER(D178)),2,1))&gt;=65,CODE(MID(TRIM(UPPER(D178)),2,1))&lt;=90,CODE(MID(TRIM(UPPER(D178)),3,1))&gt;=65,CODE(MID(TRIM(UPPER(D178)),3,1))&lt;=90,CODE(MID(TRIM(UPPER(D178)),4,1))&gt;=65,CODE(MID(TRIM(UPPER(D178)),4,1))&lt;=90,CODE(MID(TRIM(UPPER(D178)),5,1))&gt;=65,CODE(MID(TRIM(UPPER(D178)),5,1))&lt;=90,CODE(MID(TRIM(UPPER(D178)),10,1))&gt;=65,CODE(MID(TRIM(UPPER(D178)),10,1))&lt;=90,CODE(MID(TRIM(UPPER(D178)),6,1))&gt;=48,CODE(MID(TRIM(UPPER(D178)),6,1))&lt;=57,CODE(MID(TRIM(UPPER(D178)),7,1))&gt;=48,CODE(MID(TRIM(UPPER(D178)),7,1))&lt;=57,CODE(MID(TRIM(UPPER(D178)),8,1))&gt;=48,CODE(MID(TRIM(UPPER(D178)),8,1))&lt;=57,CODE(MID(TRIM(UPPER(D178)),9,1))&gt;=48,CODE(MID(TRIM(UPPER(D178)),9,1))&lt;=57),"N","Y"))</f>
      </c>
      <c r="F178" s="7">
        <f>IF($C178="","",IF(LEN(D178)&lt;4,"",IF(UPPER(MID(D178,4,1))="P","Individual",IF(UPPER(MID(D178,4,1))="H","HUF",IF(UPPER(MID(D178,4,1))="C","Company",IF(UPPER(MID(D178,4,1))="F","Firm",IF(UPPER(MID(D178,4,1))="L","LLP",IF(UPPER(MID(D178,4,1))="T","Trust",IF(UPPER(MID(D178,4,1))="A","AOP","")))))))))</f>
      </c>
      <c r="G178" s="8"/>
      <c r="H178" s="7">
        <f>IF($C178="","",IF(R178&lt;&gt;"",R178,IF(G178="","",IF(E178="Y",SUMPRODUCT(('Rate Lookup'!$A$1:$A$37=G178)*'Rate Lookup'!$D$1:$D$37),IF(OR(F178="Individual",F178="HUF"),SUMPRODUCT(('Rate Lookup'!$A$1:$A$37=G178)*'Rate Lookup'!$B$1:$B$37),SUMPRODUCT(('Rate Lookup'!$A$1:$A$37=G178)*'Rate Lookup'!$C$1:$C$37)))))))</f>
      </c>
      <c r="I178" s="8"/>
      <c r="J178" s="8"/>
      <c r="K178" s="7">
        <f>IF($C178="","",IF(OR(P178="B",P178="D",P178="E",P178="N",P178="O",P178="P",P178="Q",P178="S",P178="Y",P178="Z"),0,ROUND(J178*H178/100,0)))</f>
      </c>
      <c r="L178" s="7">
        <f>IF($C178="","",0)</f>
      </c>
      <c r="M178" s="7">
        <f>IF($C178="","",0)</f>
      </c>
      <c r="N178" s="7">
        <f>IF($C178="","",IF(OR(K178=0,I178="",IFERROR(INDEX('Challan Master'!$D$4:$D$207,MATCH($B178,'Challan Master'!$S$4:$S$207,0)),"")="",IFERROR(INDEX('Challan Master'!$D$4:$D$207,MATCH($B178,'Challan Master'!$S$4:$S$207,0)),"")&lt;=0),0,IF(IFERROR(INDEX('Challan Master'!$D$4:$D$207,MATCH($B178,'Challan Master'!$S$4:$S$207,0)),"")&lt;=DATE(YEAR(I178),MONTH(I178)+1,7),0,ROUND(K178*0.015*((YEAR(IFERROR(INDEX('Challan Master'!$D$4:$D$207,MATCH($B178,'Challan Master'!$S$4:$S$207,0)),""))-YEAR(I178))*12+(MONTH(IFERROR(INDEX('Challan Master'!$D$4:$D$207,MATCH($B178,'Challan Master'!$S$4:$S$207,0)),""))-MONTH(I178))+1),0))))</f>
      </c>
      <c r="O178" s="7">
        <f>IF($C178="","",0)</f>
      </c>
      <c r="P178" s="8"/>
      <c r="Q178" s="8"/>
      <c r="R178" s="8"/>
      <c r="S178" s="8"/>
      <c r="T178" s="8"/>
      <c r="U178" s="7">
        <f>IF($B178="","",IFERROR(INDEX('Challan Master'!$AA$4:$AA$207,MATCH($B178,'Challan Master'!$S$4:$S$207,0)),""))</f>
      </c>
    </row>
    <row r="179" spans="1:22" x14ac:dyDescent="0.25">
      <c r="A179" s="7">
        <f>IF($C179="","",COUNTIF($C$4:$C179,"&lt;&gt;"))</f>
      </c>
      <c r="B179" s="8"/>
      <c r="C179" s="8"/>
      <c r="D179" s="8"/>
      <c r="E179" s="7">
        <f>IF($C179="","",IF(AND(LEN(TRIM(UPPER(D179)))=10,CODE(MID(TRIM(UPPER(D179)),1,1))&gt;=65,CODE(MID(TRIM(UPPER(D179)),1,1))&lt;=90,CODE(MID(TRIM(UPPER(D179)),2,1))&gt;=65,CODE(MID(TRIM(UPPER(D179)),2,1))&lt;=90,CODE(MID(TRIM(UPPER(D179)),3,1))&gt;=65,CODE(MID(TRIM(UPPER(D179)),3,1))&lt;=90,CODE(MID(TRIM(UPPER(D179)),4,1))&gt;=65,CODE(MID(TRIM(UPPER(D179)),4,1))&lt;=90,CODE(MID(TRIM(UPPER(D179)),5,1))&gt;=65,CODE(MID(TRIM(UPPER(D179)),5,1))&lt;=90,CODE(MID(TRIM(UPPER(D179)),10,1))&gt;=65,CODE(MID(TRIM(UPPER(D179)),10,1))&lt;=90,CODE(MID(TRIM(UPPER(D179)),6,1))&gt;=48,CODE(MID(TRIM(UPPER(D179)),6,1))&lt;=57,CODE(MID(TRIM(UPPER(D179)),7,1))&gt;=48,CODE(MID(TRIM(UPPER(D179)),7,1))&lt;=57,CODE(MID(TRIM(UPPER(D179)),8,1))&gt;=48,CODE(MID(TRIM(UPPER(D179)),8,1))&lt;=57,CODE(MID(TRIM(UPPER(D179)),9,1))&gt;=48,CODE(MID(TRIM(UPPER(D179)),9,1))&lt;=57),"N","Y"))</f>
      </c>
      <c r="F179" s="7">
        <f>IF($C179="","",IF(LEN(D179)&lt;4,"",IF(UPPER(MID(D179,4,1))="P","Individual",IF(UPPER(MID(D179,4,1))="H","HUF",IF(UPPER(MID(D179,4,1))="C","Company",IF(UPPER(MID(D179,4,1))="F","Firm",IF(UPPER(MID(D179,4,1))="L","LLP",IF(UPPER(MID(D179,4,1))="T","Trust",IF(UPPER(MID(D179,4,1))="A","AOP","")))))))))</f>
      </c>
      <c r="G179" s="8"/>
      <c r="H179" s="7">
        <f>IF($C179="","",IF(R179&lt;&gt;"",R179,IF(G179="","",IF(E179="Y",SUMPRODUCT(('Rate Lookup'!$A$1:$A$37=G179)*'Rate Lookup'!$D$1:$D$37),IF(OR(F179="Individual",F179="HUF"),SUMPRODUCT(('Rate Lookup'!$A$1:$A$37=G179)*'Rate Lookup'!$B$1:$B$37),SUMPRODUCT(('Rate Lookup'!$A$1:$A$37=G179)*'Rate Lookup'!$C$1:$C$37)))))))</f>
      </c>
      <c r="I179" s="8"/>
      <c r="J179" s="8"/>
      <c r="K179" s="7">
        <f>IF($C179="","",IF(OR(P179="B",P179="D",P179="E",P179="N",P179="O",P179="P",P179="Q",P179="S",P179="Y",P179="Z"),0,ROUND(J179*H179/100,0)))</f>
      </c>
      <c r="L179" s="7">
        <f>IF($C179="","",0)</f>
      </c>
      <c r="M179" s="7">
        <f>IF($C179="","",0)</f>
      </c>
      <c r="N179" s="7">
        <f>IF($C179="","",IF(OR(K179=0,I179="",IFERROR(INDEX('Challan Master'!$D$4:$D$207,MATCH($B179,'Challan Master'!$S$4:$S$207,0)),"")="",IFERROR(INDEX('Challan Master'!$D$4:$D$207,MATCH($B179,'Challan Master'!$S$4:$S$207,0)),"")&lt;=0),0,IF(IFERROR(INDEX('Challan Master'!$D$4:$D$207,MATCH($B179,'Challan Master'!$S$4:$S$207,0)),"")&lt;=DATE(YEAR(I179),MONTH(I179)+1,7),0,ROUND(K179*0.015*((YEAR(IFERROR(INDEX('Challan Master'!$D$4:$D$207,MATCH($B179,'Challan Master'!$S$4:$S$207,0)),""))-YEAR(I179))*12+(MONTH(IFERROR(INDEX('Challan Master'!$D$4:$D$207,MATCH($B179,'Challan Master'!$S$4:$S$207,0)),""))-MONTH(I179))+1),0))))</f>
      </c>
      <c r="O179" s="7">
        <f>IF($C179="","",0)</f>
      </c>
      <c r="P179" s="8"/>
      <c r="Q179" s="8"/>
      <c r="R179" s="8"/>
      <c r="S179" s="8"/>
      <c r="T179" s="8"/>
      <c r="U179" s="7">
        <f>IF($B179="","",IFERROR(INDEX('Challan Master'!$AA$4:$AA$207,MATCH($B179,'Challan Master'!$S$4:$S$207,0)),""))</f>
      </c>
    </row>
    <row r="180" spans="1:22" x14ac:dyDescent="0.25">
      <c r="A180" s="7">
        <f>IF($C180="","",COUNTIF($C$4:$C180,"&lt;&gt;"))</f>
      </c>
      <c r="B180" s="8"/>
      <c r="C180" s="8"/>
      <c r="D180" s="8"/>
      <c r="E180" s="7">
        <f>IF($C180="","",IF(AND(LEN(TRIM(UPPER(D180)))=10,CODE(MID(TRIM(UPPER(D180)),1,1))&gt;=65,CODE(MID(TRIM(UPPER(D180)),1,1))&lt;=90,CODE(MID(TRIM(UPPER(D180)),2,1))&gt;=65,CODE(MID(TRIM(UPPER(D180)),2,1))&lt;=90,CODE(MID(TRIM(UPPER(D180)),3,1))&gt;=65,CODE(MID(TRIM(UPPER(D180)),3,1))&lt;=90,CODE(MID(TRIM(UPPER(D180)),4,1))&gt;=65,CODE(MID(TRIM(UPPER(D180)),4,1))&lt;=90,CODE(MID(TRIM(UPPER(D180)),5,1))&gt;=65,CODE(MID(TRIM(UPPER(D180)),5,1))&lt;=90,CODE(MID(TRIM(UPPER(D180)),10,1))&gt;=65,CODE(MID(TRIM(UPPER(D180)),10,1))&lt;=90,CODE(MID(TRIM(UPPER(D180)),6,1))&gt;=48,CODE(MID(TRIM(UPPER(D180)),6,1))&lt;=57,CODE(MID(TRIM(UPPER(D180)),7,1))&gt;=48,CODE(MID(TRIM(UPPER(D180)),7,1))&lt;=57,CODE(MID(TRIM(UPPER(D180)),8,1))&gt;=48,CODE(MID(TRIM(UPPER(D180)),8,1))&lt;=57,CODE(MID(TRIM(UPPER(D180)),9,1))&gt;=48,CODE(MID(TRIM(UPPER(D180)),9,1))&lt;=57),"N","Y"))</f>
      </c>
      <c r="F180" s="7">
        <f>IF($C180="","",IF(LEN(D180)&lt;4,"",IF(UPPER(MID(D180,4,1))="P","Individual",IF(UPPER(MID(D180,4,1))="H","HUF",IF(UPPER(MID(D180,4,1))="C","Company",IF(UPPER(MID(D180,4,1))="F","Firm",IF(UPPER(MID(D180,4,1))="L","LLP",IF(UPPER(MID(D180,4,1))="T","Trust",IF(UPPER(MID(D180,4,1))="A","AOP","")))))))))</f>
      </c>
      <c r="G180" s="8"/>
      <c r="H180" s="7">
        <f>IF($C180="","",IF(R180&lt;&gt;"",R180,IF(G180="","",IF(E180="Y",SUMPRODUCT(('Rate Lookup'!$A$1:$A$37=G180)*'Rate Lookup'!$D$1:$D$37),IF(OR(F180="Individual",F180="HUF"),SUMPRODUCT(('Rate Lookup'!$A$1:$A$37=G180)*'Rate Lookup'!$B$1:$B$37),SUMPRODUCT(('Rate Lookup'!$A$1:$A$37=G180)*'Rate Lookup'!$C$1:$C$37)))))))</f>
      </c>
      <c r="I180" s="8"/>
      <c r="J180" s="8"/>
      <c r="K180" s="7">
        <f>IF($C180="","",IF(OR(P180="B",P180="D",P180="E",P180="N",P180="O",P180="P",P180="Q",P180="S",P180="Y",P180="Z"),0,ROUND(J180*H180/100,0)))</f>
      </c>
      <c r="L180" s="7">
        <f>IF($C180="","",0)</f>
      </c>
      <c r="M180" s="7">
        <f>IF($C180="","",0)</f>
      </c>
      <c r="N180" s="7">
        <f>IF($C180="","",IF(OR(K180=0,I180="",IFERROR(INDEX('Challan Master'!$D$4:$D$207,MATCH($B180,'Challan Master'!$S$4:$S$207,0)),"")="",IFERROR(INDEX('Challan Master'!$D$4:$D$207,MATCH($B180,'Challan Master'!$S$4:$S$207,0)),"")&lt;=0),0,IF(IFERROR(INDEX('Challan Master'!$D$4:$D$207,MATCH($B180,'Challan Master'!$S$4:$S$207,0)),"")&lt;=DATE(YEAR(I180),MONTH(I180)+1,7),0,ROUND(K180*0.015*((YEAR(IFERROR(INDEX('Challan Master'!$D$4:$D$207,MATCH($B180,'Challan Master'!$S$4:$S$207,0)),""))-YEAR(I180))*12+(MONTH(IFERROR(INDEX('Challan Master'!$D$4:$D$207,MATCH($B180,'Challan Master'!$S$4:$S$207,0)),""))-MONTH(I180))+1),0))))</f>
      </c>
      <c r="O180" s="7">
        <f>IF($C180="","",0)</f>
      </c>
      <c r="P180" s="8"/>
      <c r="Q180" s="8"/>
      <c r="R180" s="8"/>
      <c r="S180" s="8"/>
      <c r="T180" s="8"/>
      <c r="U180" s="7">
        <f>IF($B180="","",IFERROR(INDEX('Challan Master'!$AA$4:$AA$207,MATCH($B180,'Challan Master'!$S$4:$S$207,0)),""))</f>
      </c>
    </row>
    <row r="181" spans="1:22" x14ac:dyDescent="0.25">
      <c r="A181" s="7">
        <f>IF($C181="","",COUNTIF($C$4:$C181,"&lt;&gt;"))</f>
      </c>
      <c r="B181" s="8"/>
      <c r="C181" s="8"/>
      <c r="D181" s="8"/>
      <c r="E181" s="7">
        <f>IF($C181="","",IF(AND(LEN(TRIM(UPPER(D181)))=10,CODE(MID(TRIM(UPPER(D181)),1,1))&gt;=65,CODE(MID(TRIM(UPPER(D181)),1,1))&lt;=90,CODE(MID(TRIM(UPPER(D181)),2,1))&gt;=65,CODE(MID(TRIM(UPPER(D181)),2,1))&lt;=90,CODE(MID(TRIM(UPPER(D181)),3,1))&gt;=65,CODE(MID(TRIM(UPPER(D181)),3,1))&lt;=90,CODE(MID(TRIM(UPPER(D181)),4,1))&gt;=65,CODE(MID(TRIM(UPPER(D181)),4,1))&lt;=90,CODE(MID(TRIM(UPPER(D181)),5,1))&gt;=65,CODE(MID(TRIM(UPPER(D181)),5,1))&lt;=90,CODE(MID(TRIM(UPPER(D181)),10,1))&gt;=65,CODE(MID(TRIM(UPPER(D181)),10,1))&lt;=90,CODE(MID(TRIM(UPPER(D181)),6,1))&gt;=48,CODE(MID(TRIM(UPPER(D181)),6,1))&lt;=57,CODE(MID(TRIM(UPPER(D181)),7,1))&gt;=48,CODE(MID(TRIM(UPPER(D181)),7,1))&lt;=57,CODE(MID(TRIM(UPPER(D181)),8,1))&gt;=48,CODE(MID(TRIM(UPPER(D181)),8,1))&lt;=57,CODE(MID(TRIM(UPPER(D181)),9,1))&gt;=48,CODE(MID(TRIM(UPPER(D181)),9,1))&lt;=57),"N","Y"))</f>
      </c>
      <c r="F181" s="7">
        <f>IF($C181="","",IF(LEN(D181)&lt;4,"",IF(UPPER(MID(D181,4,1))="P","Individual",IF(UPPER(MID(D181,4,1))="H","HUF",IF(UPPER(MID(D181,4,1))="C","Company",IF(UPPER(MID(D181,4,1))="F","Firm",IF(UPPER(MID(D181,4,1))="L","LLP",IF(UPPER(MID(D181,4,1))="T","Trust",IF(UPPER(MID(D181,4,1))="A","AOP","")))))))))</f>
      </c>
      <c r="G181" s="8"/>
      <c r="H181" s="7">
        <f>IF($C181="","",IF(R181&lt;&gt;"",R181,IF(G181="","",IF(E181="Y",SUMPRODUCT(('Rate Lookup'!$A$1:$A$37=G181)*'Rate Lookup'!$D$1:$D$37),IF(OR(F181="Individual",F181="HUF"),SUMPRODUCT(('Rate Lookup'!$A$1:$A$37=G181)*'Rate Lookup'!$B$1:$B$37),SUMPRODUCT(('Rate Lookup'!$A$1:$A$37=G181)*'Rate Lookup'!$C$1:$C$37)))))))</f>
      </c>
      <c r="I181" s="8"/>
      <c r="J181" s="8"/>
      <c r="K181" s="7">
        <f>IF($C181="","",IF(OR(P181="B",P181="D",P181="E",P181="N",P181="O",P181="P",P181="Q",P181="S",P181="Y",P181="Z"),0,ROUND(J181*H181/100,0)))</f>
      </c>
      <c r="L181" s="7">
        <f>IF($C181="","",0)</f>
      </c>
      <c r="M181" s="7">
        <f>IF($C181="","",0)</f>
      </c>
      <c r="N181" s="7">
        <f>IF($C181="","",IF(OR(K181=0,I181="",IFERROR(INDEX('Challan Master'!$D$4:$D$207,MATCH($B181,'Challan Master'!$S$4:$S$207,0)),"")="",IFERROR(INDEX('Challan Master'!$D$4:$D$207,MATCH($B181,'Challan Master'!$S$4:$S$207,0)),"")&lt;=0),0,IF(IFERROR(INDEX('Challan Master'!$D$4:$D$207,MATCH($B181,'Challan Master'!$S$4:$S$207,0)),"")&lt;=DATE(YEAR(I181),MONTH(I181)+1,7),0,ROUND(K181*0.015*((YEAR(IFERROR(INDEX('Challan Master'!$D$4:$D$207,MATCH($B181,'Challan Master'!$S$4:$S$207,0)),""))-YEAR(I181))*12+(MONTH(IFERROR(INDEX('Challan Master'!$D$4:$D$207,MATCH($B181,'Challan Master'!$S$4:$S$207,0)),""))-MONTH(I181))+1),0))))</f>
      </c>
      <c r="O181" s="7">
        <f>IF($C181="","",0)</f>
      </c>
      <c r="P181" s="8"/>
      <c r="Q181" s="8"/>
      <c r="R181" s="8"/>
      <c r="S181" s="8"/>
      <c r="T181" s="8"/>
      <c r="U181" s="7">
        <f>IF($B181="","",IFERROR(INDEX('Challan Master'!$AA$4:$AA$207,MATCH($B181,'Challan Master'!$S$4:$S$207,0)),""))</f>
      </c>
    </row>
    <row r="182" spans="1:22" x14ac:dyDescent="0.25">
      <c r="A182" s="7">
        <f>IF($C182="","",COUNTIF($C$4:$C182,"&lt;&gt;"))</f>
      </c>
      <c r="B182" s="8"/>
      <c r="C182" s="8"/>
      <c r="D182" s="8"/>
      <c r="E182" s="7">
        <f>IF($C182="","",IF(AND(LEN(TRIM(UPPER(D182)))=10,CODE(MID(TRIM(UPPER(D182)),1,1))&gt;=65,CODE(MID(TRIM(UPPER(D182)),1,1))&lt;=90,CODE(MID(TRIM(UPPER(D182)),2,1))&gt;=65,CODE(MID(TRIM(UPPER(D182)),2,1))&lt;=90,CODE(MID(TRIM(UPPER(D182)),3,1))&gt;=65,CODE(MID(TRIM(UPPER(D182)),3,1))&lt;=90,CODE(MID(TRIM(UPPER(D182)),4,1))&gt;=65,CODE(MID(TRIM(UPPER(D182)),4,1))&lt;=90,CODE(MID(TRIM(UPPER(D182)),5,1))&gt;=65,CODE(MID(TRIM(UPPER(D182)),5,1))&lt;=90,CODE(MID(TRIM(UPPER(D182)),10,1))&gt;=65,CODE(MID(TRIM(UPPER(D182)),10,1))&lt;=90,CODE(MID(TRIM(UPPER(D182)),6,1))&gt;=48,CODE(MID(TRIM(UPPER(D182)),6,1))&lt;=57,CODE(MID(TRIM(UPPER(D182)),7,1))&gt;=48,CODE(MID(TRIM(UPPER(D182)),7,1))&lt;=57,CODE(MID(TRIM(UPPER(D182)),8,1))&gt;=48,CODE(MID(TRIM(UPPER(D182)),8,1))&lt;=57,CODE(MID(TRIM(UPPER(D182)),9,1))&gt;=48,CODE(MID(TRIM(UPPER(D182)),9,1))&lt;=57),"N","Y"))</f>
      </c>
      <c r="F182" s="7">
        <f>IF($C182="","",IF(LEN(D182)&lt;4,"",IF(UPPER(MID(D182,4,1))="P","Individual",IF(UPPER(MID(D182,4,1))="H","HUF",IF(UPPER(MID(D182,4,1))="C","Company",IF(UPPER(MID(D182,4,1))="F","Firm",IF(UPPER(MID(D182,4,1))="L","LLP",IF(UPPER(MID(D182,4,1))="T","Trust",IF(UPPER(MID(D182,4,1))="A","AOP","")))))))))</f>
      </c>
      <c r="G182" s="8"/>
      <c r="H182" s="7">
        <f>IF($C182="","",IF(R182&lt;&gt;"",R182,IF(G182="","",IF(E182="Y",SUMPRODUCT(('Rate Lookup'!$A$1:$A$37=G182)*'Rate Lookup'!$D$1:$D$37),IF(OR(F182="Individual",F182="HUF"),SUMPRODUCT(('Rate Lookup'!$A$1:$A$37=G182)*'Rate Lookup'!$B$1:$B$37),SUMPRODUCT(('Rate Lookup'!$A$1:$A$37=G182)*'Rate Lookup'!$C$1:$C$37)))))))</f>
      </c>
      <c r="I182" s="8"/>
      <c r="J182" s="8"/>
      <c r="K182" s="7">
        <f>IF($C182="","",IF(OR(P182="B",P182="D",P182="E",P182="N",P182="O",P182="P",P182="Q",P182="S",P182="Y",P182="Z"),0,ROUND(J182*H182/100,0)))</f>
      </c>
      <c r="L182" s="7">
        <f>IF($C182="","",0)</f>
      </c>
      <c r="M182" s="7">
        <f>IF($C182="","",0)</f>
      </c>
      <c r="N182" s="7">
        <f>IF($C182="","",IF(OR(K182=0,I182="",IFERROR(INDEX('Challan Master'!$D$4:$D$207,MATCH($B182,'Challan Master'!$S$4:$S$207,0)),"")="",IFERROR(INDEX('Challan Master'!$D$4:$D$207,MATCH($B182,'Challan Master'!$S$4:$S$207,0)),"")&lt;=0),0,IF(IFERROR(INDEX('Challan Master'!$D$4:$D$207,MATCH($B182,'Challan Master'!$S$4:$S$207,0)),"")&lt;=DATE(YEAR(I182),MONTH(I182)+1,7),0,ROUND(K182*0.015*((YEAR(IFERROR(INDEX('Challan Master'!$D$4:$D$207,MATCH($B182,'Challan Master'!$S$4:$S$207,0)),""))-YEAR(I182))*12+(MONTH(IFERROR(INDEX('Challan Master'!$D$4:$D$207,MATCH($B182,'Challan Master'!$S$4:$S$207,0)),""))-MONTH(I182))+1),0))))</f>
      </c>
      <c r="O182" s="7">
        <f>IF($C182="","",0)</f>
      </c>
      <c r="P182" s="8"/>
      <c r="Q182" s="8"/>
      <c r="R182" s="8"/>
      <c r="S182" s="8"/>
      <c r="T182" s="8"/>
      <c r="U182" s="7">
        <f>IF($B182="","",IFERROR(INDEX('Challan Master'!$AA$4:$AA$207,MATCH($B182,'Challan Master'!$S$4:$S$207,0)),""))</f>
      </c>
    </row>
    <row r="183" spans="1:22" x14ac:dyDescent="0.25">
      <c r="A183" s="7">
        <f>IF($C183="","",COUNTIF($C$4:$C183,"&lt;&gt;"))</f>
      </c>
      <c r="B183" s="8"/>
      <c r="C183" s="8"/>
      <c r="D183" s="8"/>
      <c r="E183" s="7">
        <f>IF($C183="","",IF(AND(LEN(TRIM(UPPER(D183)))=10,CODE(MID(TRIM(UPPER(D183)),1,1))&gt;=65,CODE(MID(TRIM(UPPER(D183)),1,1))&lt;=90,CODE(MID(TRIM(UPPER(D183)),2,1))&gt;=65,CODE(MID(TRIM(UPPER(D183)),2,1))&lt;=90,CODE(MID(TRIM(UPPER(D183)),3,1))&gt;=65,CODE(MID(TRIM(UPPER(D183)),3,1))&lt;=90,CODE(MID(TRIM(UPPER(D183)),4,1))&gt;=65,CODE(MID(TRIM(UPPER(D183)),4,1))&lt;=90,CODE(MID(TRIM(UPPER(D183)),5,1))&gt;=65,CODE(MID(TRIM(UPPER(D183)),5,1))&lt;=90,CODE(MID(TRIM(UPPER(D183)),10,1))&gt;=65,CODE(MID(TRIM(UPPER(D183)),10,1))&lt;=90,CODE(MID(TRIM(UPPER(D183)),6,1))&gt;=48,CODE(MID(TRIM(UPPER(D183)),6,1))&lt;=57,CODE(MID(TRIM(UPPER(D183)),7,1))&gt;=48,CODE(MID(TRIM(UPPER(D183)),7,1))&lt;=57,CODE(MID(TRIM(UPPER(D183)),8,1))&gt;=48,CODE(MID(TRIM(UPPER(D183)),8,1))&lt;=57,CODE(MID(TRIM(UPPER(D183)),9,1))&gt;=48,CODE(MID(TRIM(UPPER(D183)),9,1))&lt;=57),"N","Y"))</f>
      </c>
      <c r="F183" s="7">
        <f>IF($C183="","",IF(LEN(D183)&lt;4,"",IF(UPPER(MID(D183,4,1))="P","Individual",IF(UPPER(MID(D183,4,1))="H","HUF",IF(UPPER(MID(D183,4,1))="C","Company",IF(UPPER(MID(D183,4,1))="F","Firm",IF(UPPER(MID(D183,4,1))="L","LLP",IF(UPPER(MID(D183,4,1))="T","Trust",IF(UPPER(MID(D183,4,1))="A","AOP","")))))))))</f>
      </c>
      <c r="G183" s="8"/>
      <c r="H183" s="7">
        <f>IF($C183="","",IF(R183&lt;&gt;"",R183,IF(G183="","",IF(E183="Y",SUMPRODUCT(('Rate Lookup'!$A$1:$A$37=G183)*'Rate Lookup'!$D$1:$D$37),IF(OR(F183="Individual",F183="HUF"),SUMPRODUCT(('Rate Lookup'!$A$1:$A$37=G183)*'Rate Lookup'!$B$1:$B$37),SUMPRODUCT(('Rate Lookup'!$A$1:$A$37=G183)*'Rate Lookup'!$C$1:$C$37)))))))</f>
      </c>
      <c r="I183" s="8"/>
      <c r="J183" s="8"/>
      <c r="K183" s="7">
        <f>IF($C183="","",IF(OR(P183="B",P183="D",P183="E",P183="N",P183="O",P183="P",P183="Q",P183="S",P183="Y",P183="Z"),0,ROUND(J183*H183/100,0)))</f>
      </c>
      <c r="L183" s="7">
        <f>IF($C183="","",0)</f>
      </c>
      <c r="M183" s="7">
        <f>IF($C183="","",0)</f>
      </c>
      <c r="N183" s="7">
        <f>IF($C183="","",IF(OR(K183=0,I183="",IFERROR(INDEX('Challan Master'!$D$4:$D$207,MATCH($B183,'Challan Master'!$S$4:$S$207,0)),"")="",IFERROR(INDEX('Challan Master'!$D$4:$D$207,MATCH($B183,'Challan Master'!$S$4:$S$207,0)),"")&lt;=0),0,IF(IFERROR(INDEX('Challan Master'!$D$4:$D$207,MATCH($B183,'Challan Master'!$S$4:$S$207,0)),"")&lt;=DATE(YEAR(I183),MONTH(I183)+1,7),0,ROUND(K183*0.015*((YEAR(IFERROR(INDEX('Challan Master'!$D$4:$D$207,MATCH($B183,'Challan Master'!$S$4:$S$207,0)),""))-YEAR(I183))*12+(MONTH(IFERROR(INDEX('Challan Master'!$D$4:$D$207,MATCH($B183,'Challan Master'!$S$4:$S$207,0)),""))-MONTH(I183))+1),0))))</f>
      </c>
      <c r="O183" s="7">
        <f>IF($C183="","",0)</f>
      </c>
      <c r="P183" s="8"/>
      <c r="Q183" s="8"/>
      <c r="R183" s="8"/>
      <c r="S183" s="8"/>
      <c r="T183" s="8"/>
      <c r="U183" s="7">
        <f>IF($B183="","",IFERROR(INDEX('Challan Master'!$AA$4:$AA$207,MATCH($B183,'Challan Master'!$S$4:$S$207,0)),""))</f>
      </c>
    </row>
    <row r="184" spans="1:22" x14ac:dyDescent="0.25">
      <c r="A184" s="7">
        <f>IF($C184="","",COUNTIF($C$4:$C184,"&lt;&gt;"))</f>
      </c>
      <c r="B184" s="8"/>
      <c r="C184" s="8"/>
      <c r="D184" s="8"/>
      <c r="E184" s="7">
        <f>IF($C184="","",IF(AND(LEN(TRIM(UPPER(D184)))=10,CODE(MID(TRIM(UPPER(D184)),1,1))&gt;=65,CODE(MID(TRIM(UPPER(D184)),1,1))&lt;=90,CODE(MID(TRIM(UPPER(D184)),2,1))&gt;=65,CODE(MID(TRIM(UPPER(D184)),2,1))&lt;=90,CODE(MID(TRIM(UPPER(D184)),3,1))&gt;=65,CODE(MID(TRIM(UPPER(D184)),3,1))&lt;=90,CODE(MID(TRIM(UPPER(D184)),4,1))&gt;=65,CODE(MID(TRIM(UPPER(D184)),4,1))&lt;=90,CODE(MID(TRIM(UPPER(D184)),5,1))&gt;=65,CODE(MID(TRIM(UPPER(D184)),5,1))&lt;=90,CODE(MID(TRIM(UPPER(D184)),10,1))&gt;=65,CODE(MID(TRIM(UPPER(D184)),10,1))&lt;=90,CODE(MID(TRIM(UPPER(D184)),6,1))&gt;=48,CODE(MID(TRIM(UPPER(D184)),6,1))&lt;=57,CODE(MID(TRIM(UPPER(D184)),7,1))&gt;=48,CODE(MID(TRIM(UPPER(D184)),7,1))&lt;=57,CODE(MID(TRIM(UPPER(D184)),8,1))&gt;=48,CODE(MID(TRIM(UPPER(D184)),8,1))&lt;=57,CODE(MID(TRIM(UPPER(D184)),9,1))&gt;=48,CODE(MID(TRIM(UPPER(D184)),9,1))&lt;=57),"N","Y"))</f>
      </c>
      <c r="F184" s="7">
        <f>IF($C184="","",IF(LEN(D184)&lt;4,"",IF(UPPER(MID(D184,4,1))="P","Individual",IF(UPPER(MID(D184,4,1))="H","HUF",IF(UPPER(MID(D184,4,1))="C","Company",IF(UPPER(MID(D184,4,1))="F","Firm",IF(UPPER(MID(D184,4,1))="L","LLP",IF(UPPER(MID(D184,4,1))="T","Trust",IF(UPPER(MID(D184,4,1))="A","AOP","")))))))))</f>
      </c>
      <c r="G184" s="8"/>
      <c r="H184" s="7">
        <f>IF($C184="","",IF(R184&lt;&gt;"",R184,IF(G184="","",IF(E184="Y",SUMPRODUCT(('Rate Lookup'!$A$1:$A$37=G184)*'Rate Lookup'!$D$1:$D$37),IF(OR(F184="Individual",F184="HUF"),SUMPRODUCT(('Rate Lookup'!$A$1:$A$37=G184)*'Rate Lookup'!$B$1:$B$37),SUMPRODUCT(('Rate Lookup'!$A$1:$A$37=G184)*'Rate Lookup'!$C$1:$C$37)))))))</f>
      </c>
      <c r="I184" s="8"/>
      <c r="J184" s="8"/>
      <c r="K184" s="7">
        <f>IF($C184="","",IF(OR(P184="B",P184="D",P184="E",P184="N",P184="O",P184="P",P184="Q",P184="S",P184="Y",P184="Z"),0,ROUND(J184*H184/100,0)))</f>
      </c>
      <c r="L184" s="7">
        <f>IF($C184="","",0)</f>
      </c>
      <c r="M184" s="7">
        <f>IF($C184="","",0)</f>
      </c>
      <c r="N184" s="7">
        <f>IF($C184="","",IF(OR(K184=0,I184="",IFERROR(INDEX('Challan Master'!$D$4:$D$207,MATCH($B184,'Challan Master'!$S$4:$S$207,0)),"")="",IFERROR(INDEX('Challan Master'!$D$4:$D$207,MATCH($B184,'Challan Master'!$S$4:$S$207,0)),"")&lt;=0),0,IF(IFERROR(INDEX('Challan Master'!$D$4:$D$207,MATCH($B184,'Challan Master'!$S$4:$S$207,0)),"")&lt;=DATE(YEAR(I184),MONTH(I184)+1,7),0,ROUND(K184*0.015*((YEAR(IFERROR(INDEX('Challan Master'!$D$4:$D$207,MATCH($B184,'Challan Master'!$S$4:$S$207,0)),""))-YEAR(I184))*12+(MONTH(IFERROR(INDEX('Challan Master'!$D$4:$D$207,MATCH($B184,'Challan Master'!$S$4:$S$207,0)),""))-MONTH(I184))+1),0))))</f>
      </c>
      <c r="O184" s="7">
        <f>IF($C184="","",0)</f>
      </c>
      <c r="P184" s="8"/>
      <c r="Q184" s="8"/>
      <c r="R184" s="8"/>
      <c r="S184" s="8"/>
      <c r="T184" s="8"/>
      <c r="U184" s="7">
        <f>IF($B184="","",IFERROR(INDEX('Challan Master'!$AA$4:$AA$207,MATCH($B184,'Challan Master'!$S$4:$S$207,0)),""))</f>
      </c>
    </row>
    <row r="185" spans="1:22" x14ac:dyDescent="0.25">
      <c r="A185" s="7">
        <f>IF($C185="","",COUNTIF($C$4:$C185,"&lt;&gt;"))</f>
      </c>
      <c r="B185" s="8"/>
      <c r="C185" s="8"/>
      <c r="D185" s="8"/>
      <c r="E185" s="7">
        <f>IF($C185="","",IF(AND(LEN(TRIM(UPPER(D185)))=10,CODE(MID(TRIM(UPPER(D185)),1,1))&gt;=65,CODE(MID(TRIM(UPPER(D185)),1,1))&lt;=90,CODE(MID(TRIM(UPPER(D185)),2,1))&gt;=65,CODE(MID(TRIM(UPPER(D185)),2,1))&lt;=90,CODE(MID(TRIM(UPPER(D185)),3,1))&gt;=65,CODE(MID(TRIM(UPPER(D185)),3,1))&lt;=90,CODE(MID(TRIM(UPPER(D185)),4,1))&gt;=65,CODE(MID(TRIM(UPPER(D185)),4,1))&lt;=90,CODE(MID(TRIM(UPPER(D185)),5,1))&gt;=65,CODE(MID(TRIM(UPPER(D185)),5,1))&lt;=90,CODE(MID(TRIM(UPPER(D185)),10,1))&gt;=65,CODE(MID(TRIM(UPPER(D185)),10,1))&lt;=90,CODE(MID(TRIM(UPPER(D185)),6,1))&gt;=48,CODE(MID(TRIM(UPPER(D185)),6,1))&lt;=57,CODE(MID(TRIM(UPPER(D185)),7,1))&gt;=48,CODE(MID(TRIM(UPPER(D185)),7,1))&lt;=57,CODE(MID(TRIM(UPPER(D185)),8,1))&gt;=48,CODE(MID(TRIM(UPPER(D185)),8,1))&lt;=57,CODE(MID(TRIM(UPPER(D185)),9,1))&gt;=48,CODE(MID(TRIM(UPPER(D185)),9,1))&lt;=57),"N","Y"))</f>
      </c>
      <c r="F185" s="7">
        <f>IF($C185="","",IF(LEN(D185)&lt;4,"",IF(UPPER(MID(D185,4,1))="P","Individual",IF(UPPER(MID(D185,4,1))="H","HUF",IF(UPPER(MID(D185,4,1))="C","Company",IF(UPPER(MID(D185,4,1))="F","Firm",IF(UPPER(MID(D185,4,1))="L","LLP",IF(UPPER(MID(D185,4,1))="T","Trust",IF(UPPER(MID(D185,4,1))="A","AOP","")))))))))</f>
      </c>
      <c r="G185" s="8"/>
      <c r="H185" s="7">
        <f>IF($C185="","",IF(R185&lt;&gt;"",R185,IF(G185="","",IF(E185="Y",SUMPRODUCT(('Rate Lookup'!$A$1:$A$37=G185)*'Rate Lookup'!$D$1:$D$37),IF(OR(F185="Individual",F185="HUF"),SUMPRODUCT(('Rate Lookup'!$A$1:$A$37=G185)*'Rate Lookup'!$B$1:$B$37),SUMPRODUCT(('Rate Lookup'!$A$1:$A$37=G185)*'Rate Lookup'!$C$1:$C$37)))))))</f>
      </c>
      <c r="I185" s="8"/>
      <c r="J185" s="8"/>
      <c r="K185" s="7">
        <f>IF($C185="","",IF(OR(P185="B",P185="D",P185="E",P185="N",P185="O",P185="P",P185="Q",P185="S",P185="Y",P185="Z"),0,ROUND(J185*H185/100,0)))</f>
      </c>
      <c r="L185" s="7">
        <f>IF($C185="","",0)</f>
      </c>
      <c r="M185" s="7">
        <f>IF($C185="","",0)</f>
      </c>
      <c r="N185" s="7">
        <f>IF($C185="","",IF(OR(K185=0,I185="",IFERROR(INDEX('Challan Master'!$D$4:$D$207,MATCH($B185,'Challan Master'!$S$4:$S$207,0)),"")="",IFERROR(INDEX('Challan Master'!$D$4:$D$207,MATCH($B185,'Challan Master'!$S$4:$S$207,0)),"")&lt;=0),0,IF(IFERROR(INDEX('Challan Master'!$D$4:$D$207,MATCH($B185,'Challan Master'!$S$4:$S$207,0)),"")&lt;=DATE(YEAR(I185),MONTH(I185)+1,7),0,ROUND(K185*0.015*((YEAR(IFERROR(INDEX('Challan Master'!$D$4:$D$207,MATCH($B185,'Challan Master'!$S$4:$S$207,0)),""))-YEAR(I185))*12+(MONTH(IFERROR(INDEX('Challan Master'!$D$4:$D$207,MATCH($B185,'Challan Master'!$S$4:$S$207,0)),""))-MONTH(I185))+1),0))))</f>
      </c>
      <c r="O185" s="7">
        <f>IF($C185="","",0)</f>
      </c>
      <c r="P185" s="8"/>
      <c r="Q185" s="8"/>
      <c r="R185" s="8"/>
      <c r="S185" s="8"/>
      <c r="T185" s="8"/>
      <c r="U185" s="7">
        <f>IF($B185="","",IFERROR(INDEX('Challan Master'!$AA$4:$AA$207,MATCH($B185,'Challan Master'!$S$4:$S$207,0)),""))</f>
      </c>
    </row>
    <row r="186" spans="1:22" x14ac:dyDescent="0.25">
      <c r="A186" s="7">
        <f>IF($C186="","",COUNTIF($C$4:$C186,"&lt;&gt;"))</f>
      </c>
      <c r="B186" s="8"/>
      <c r="C186" s="8"/>
      <c r="D186" s="8"/>
      <c r="E186" s="7">
        <f>IF($C186="","",IF(AND(LEN(TRIM(UPPER(D186)))=10,CODE(MID(TRIM(UPPER(D186)),1,1))&gt;=65,CODE(MID(TRIM(UPPER(D186)),1,1))&lt;=90,CODE(MID(TRIM(UPPER(D186)),2,1))&gt;=65,CODE(MID(TRIM(UPPER(D186)),2,1))&lt;=90,CODE(MID(TRIM(UPPER(D186)),3,1))&gt;=65,CODE(MID(TRIM(UPPER(D186)),3,1))&lt;=90,CODE(MID(TRIM(UPPER(D186)),4,1))&gt;=65,CODE(MID(TRIM(UPPER(D186)),4,1))&lt;=90,CODE(MID(TRIM(UPPER(D186)),5,1))&gt;=65,CODE(MID(TRIM(UPPER(D186)),5,1))&lt;=90,CODE(MID(TRIM(UPPER(D186)),10,1))&gt;=65,CODE(MID(TRIM(UPPER(D186)),10,1))&lt;=90,CODE(MID(TRIM(UPPER(D186)),6,1))&gt;=48,CODE(MID(TRIM(UPPER(D186)),6,1))&lt;=57,CODE(MID(TRIM(UPPER(D186)),7,1))&gt;=48,CODE(MID(TRIM(UPPER(D186)),7,1))&lt;=57,CODE(MID(TRIM(UPPER(D186)),8,1))&gt;=48,CODE(MID(TRIM(UPPER(D186)),8,1))&lt;=57,CODE(MID(TRIM(UPPER(D186)),9,1))&gt;=48,CODE(MID(TRIM(UPPER(D186)),9,1))&lt;=57),"N","Y"))</f>
      </c>
      <c r="F186" s="7">
        <f>IF($C186="","",IF(LEN(D186)&lt;4,"",IF(UPPER(MID(D186,4,1))="P","Individual",IF(UPPER(MID(D186,4,1))="H","HUF",IF(UPPER(MID(D186,4,1))="C","Company",IF(UPPER(MID(D186,4,1))="F","Firm",IF(UPPER(MID(D186,4,1))="L","LLP",IF(UPPER(MID(D186,4,1))="T","Trust",IF(UPPER(MID(D186,4,1))="A","AOP","")))))))))</f>
      </c>
      <c r="G186" s="8"/>
      <c r="H186" s="7">
        <f>IF($C186="","",IF(R186&lt;&gt;"",R186,IF(G186="","",IF(E186="Y",SUMPRODUCT(('Rate Lookup'!$A$1:$A$37=G186)*'Rate Lookup'!$D$1:$D$37),IF(OR(F186="Individual",F186="HUF"),SUMPRODUCT(('Rate Lookup'!$A$1:$A$37=G186)*'Rate Lookup'!$B$1:$B$37),SUMPRODUCT(('Rate Lookup'!$A$1:$A$37=G186)*'Rate Lookup'!$C$1:$C$37)))))))</f>
      </c>
      <c r="I186" s="8"/>
      <c r="J186" s="8"/>
      <c r="K186" s="7">
        <f>IF($C186="","",IF(OR(P186="B",P186="D",P186="E",P186="N",P186="O",P186="P",P186="Q",P186="S",P186="Y",P186="Z"),0,ROUND(J186*H186/100,0)))</f>
      </c>
      <c r="L186" s="7">
        <f>IF($C186="","",0)</f>
      </c>
      <c r="M186" s="7">
        <f>IF($C186="","",0)</f>
      </c>
      <c r="N186" s="7">
        <f>IF($C186="","",IF(OR(K186=0,I186="",IFERROR(INDEX('Challan Master'!$D$4:$D$207,MATCH($B186,'Challan Master'!$S$4:$S$207,0)),"")="",IFERROR(INDEX('Challan Master'!$D$4:$D$207,MATCH($B186,'Challan Master'!$S$4:$S$207,0)),"")&lt;=0),0,IF(IFERROR(INDEX('Challan Master'!$D$4:$D$207,MATCH($B186,'Challan Master'!$S$4:$S$207,0)),"")&lt;=DATE(YEAR(I186),MONTH(I186)+1,7),0,ROUND(K186*0.015*((YEAR(IFERROR(INDEX('Challan Master'!$D$4:$D$207,MATCH($B186,'Challan Master'!$S$4:$S$207,0)),""))-YEAR(I186))*12+(MONTH(IFERROR(INDEX('Challan Master'!$D$4:$D$207,MATCH($B186,'Challan Master'!$S$4:$S$207,0)),""))-MONTH(I186))+1),0))))</f>
      </c>
      <c r="O186" s="7">
        <f>IF($C186="","",0)</f>
      </c>
      <c r="P186" s="8"/>
      <c r="Q186" s="8"/>
      <c r="R186" s="8"/>
      <c r="S186" s="8"/>
      <c r="T186" s="8"/>
      <c r="U186" s="7">
        <f>IF($B186="","",IFERROR(INDEX('Challan Master'!$AA$4:$AA$207,MATCH($B186,'Challan Master'!$S$4:$S$207,0)),""))</f>
      </c>
    </row>
    <row r="187" spans="1:22" x14ac:dyDescent="0.25">
      <c r="A187" s="7">
        <f>IF($C187="","",COUNTIF($C$4:$C187,"&lt;&gt;"))</f>
      </c>
      <c r="B187" s="8"/>
      <c r="C187" s="8"/>
      <c r="D187" s="8"/>
      <c r="E187" s="7">
        <f>IF($C187="","",IF(AND(LEN(TRIM(UPPER(D187)))=10,CODE(MID(TRIM(UPPER(D187)),1,1))&gt;=65,CODE(MID(TRIM(UPPER(D187)),1,1))&lt;=90,CODE(MID(TRIM(UPPER(D187)),2,1))&gt;=65,CODE(MID(TRIM(UPPER(D187)),2,1))&lt;=90,CODE(MID(TRIM(UPPER(D187)),3,1))&gt;=65,CODE(MID(TRIM(UPPER(D187)),3,1))&lt;=90,CODE(MID(TRIM(UPPER(D187)),4,1))&gt;=65,CODE(MID(TRIM(UPPER(D187)),4,1))&lt;=90,CODE(MID(TRIM(UPPER(D187)),5,1))&gt;=65,CODE(MID(TRIM(UPPER(D187)),5,1))&lt;=90,CODE(MID(TRIM(UPPER(D187)),10,1))&gt;=65,CODE(MID(TRIM(UPPER(D187)),10,1))&lt;=90,CODE(MID(TRIM(UPPER(D187)),6,1))&gt;=48,CODE(MID(TRIM(UPPER(D187)),6,1))&lt;=57,CODE(MID(TRIM(UPPER(D187)),7,1))&gt;=48,CODE(MID(TRIM(UPPER(D187)),7,1))&lt;=57,CODE(MID(TRIM(UPPER(D187)),8,1))&gt;=48,CODE(MID(TRIM(UPPER(D187)),8,1))&lt;=57,CODE(MID(TRIM(UPPER(D187)),9,1))&gt;=48,CODE(MID(TRIM(UPPER(D187)),9,1))&lt;=57),"N","Y"))</f>
      </c>
      <c r="F187" s="7">
        <f>IF($C187="","",IF(LEN(D187)&lt;4,"",IF(UPPER(MID(D187,4,1))="P","Individual",IF(UPPER(MID(D187,4,1))="H","HUF",IF(UPPER(MID(D187,4,1))="C","Company",IF(UPPER(MID(D187,4,1))="F","Firm",IF(UPPER(MID(D187,4,1))="L","LLP",IF(UPPER(MID(D187,4,1))="T","Trust",IF(UPPER(MID(D187,4,1))="A","AOP","")))))))))</f>
      </c>
      <c r="G187" s="8"/>
      <c r="H187" s="7">
        <f>IF($C187="","",IF(R187&lt;&gt;"",R187,IF(G187="","",IF(E187="Y",SUMPRODUCT(('Rate Lookup'!$A$1:$A$37=G187)*'Rate Lookup'!$D$1:$D$37),IF(OR(F187="Individual",F187="HUF"),SUMPRODUCT(('Rate Lookup'!$A$1:$A$37=G187)*'Rate Lookup'!$B$1:$B$37),SUMPRODUCT(('Rate Lookup'!$A$1:$A$37=G187)*'Rate Lookup'!$C$1:$C$37)))))))</f>
      </c>
      <c r="I187" s="8"/>
      <c r="J187" s="8"/>
      <c r="K187" s="7">
        <f>IF($C187="","",IF(OR(P187="B",P187="D",P187="E",P187="N",P187="O",P187="P",P187="Q",P187="S",P187="Y",P187="Z"),0,ROUND(J187*H187/100,0)))</f>
      </c>
      <c r="L187" s="7">
        <f>IF($C187="","",0)</f>
      </c>
      <c r="M187" s="7">
        <f>IF($C187="","",0)</f>
      </c>
      <c r="N187" s="7">
        <f>IF($C187="","",IF(OR(K187=0,I187="",IFERROR(INDEX('Challan Master'!$D$4:$D$207,MATCH($B187,'Challan Master'!$S$4:$S$207,0)),"")="",IFERROR(INDEX('Challan Master'!$D$4:$D$207,MATCH($B187,'Challan Master'!$S$4:$S$207,0)),"")&lt;=0),0,IF(IFERROR(INDEX('Challan Master'!$D$4:$D$207,MATCH($B187,'Challan Master'!$S$4:$S$207,0)),"")&lt;=DATE(YEAR(I187),MONTH(I187)+1,7),0,ROUND(K187*0.015*((YEAR(IFERROR(INDEX('Challan Master'!$D$4:$D$207,MATCH($B187,'Challan Master'!$S$4:$S$207,0)),""))-YEAR(I187))*12+(MONTH(IFERROR(INDEX('Challan Master'!$D$4:$D$207,MATCH($B187,'Challan Master'!$S$4:$S$207,0)),""))-MONTH(I187))+1),0))))</f>
      </c>
      <c r="O187" s="7">
        <f>IF($C187="","",0)</f>
      </c>
      <c r="P187" s="8"/>
      <c r="Q187" s="8"/>
      <c r="R187" s="8"/>
      <c r="S187" s="8"/>
      <c r="T187" s="8"/>
      <c r="U187" s="7">
        <f>IF($B187="","",IFERROR(INDEX('Challan Master'!$AA$4:$AA$207,MATCH($B187,'Challan Master'!$S$4:$S$207,0)),""))</f>
      </c>
    </row>
    <row r="188" spans="1:22" x14ac:dyDescent="0.25">
      <c r="A188" s="7">
        <f>IF($C188="","",COUNTIF($C$4:$C188,"&lt;&gt;"))</f>
      </c>
      <c r="B188" s="8"/>
      <c r="C188" s="8"/>
      <c r="D188" s="8"/>
      <c r="E188" s="7">
        <f>IF($C188="","",IF(AND(LEN(TRIM(UPPER(D188)))=10,CODE(MID(TRIM(UPPER(D188)),1,1))&gt;=65,CODE(MID(TRIM(UPPER(D188)),1,1))&lt;=90,CODE(MID(TRIM(UPPER(D188)),2,1))&gt;=65,CODE(MID(TRIM(UPPER(D188)),2,1))&lt;=90,CODE(MID(TRIM(UPPER(D188)),3,1))&gt;=65,CODE(MID(TRIM(UPPER(D188)),3,1))&lt;=90,CODE(MID(TRIM(UPPER(D188)),4,1))&gt;=65,CODE(MID(TRIM(UPPER(D188)),4,1))&lt;=90,CODE(MID(TRIM(UPPER(D188)),5,1))&gt;=65,CODE(MID(TRIM(UPPER(D188)),5,1))&lt;=90,CODE(MID(TRIM(UPPER(D188)),10,1))&gt;=65,CODE(MID(TRIM(UPPER(D188)),10,1))&lt;=90,CODE(MID(TRIM(UPPER(D188)),6,1))&gt;=48,CODE(MID(TRIM(UPPER(D188)),6,1))&lt;=57,CODE(MID(TRIM(UPPER(D188)),7,1))&gt;=48,CODE(MID(TRIM(UPPER(D188)),7,1))&lt;=57,CODE(MID(TRIM(UPPER(D188)),8,1))&gt;=48,CODE(MID(TRIM(UPPER(D188)),8,1))&lt;=57,CODE(MID(TRIM(UPPER(D188)),9,1))&gt;=48,CODE(MID(TRIM(UPPER(D188)),9,1))&lt;=57),"N","Y"))</f>
      </c>
      <c r="F188" s="7">
        <f>IF($C188="","",IF(LEN(D188)&lt;4,"",IF(UPPER(MID(D188,4,1))="P","Individual",IF(UPPER(MID(D188,4,1))="H","HUF",IF(UPPER(MID(D188,4,1))="C","Company",IF(UPPER(MID(D188,4,1))="F","Firm",IF(UPPER(MID(D188,4,1))="L","LLP",IF(UPPER(MID(D188,4,1))="T","Trust",IF(UPPER(MID(D188,4,1))="A","AOP","")))))))))</f>
      </c>
      <c r="G188" s="8"/>
      <c r="H188" s="7">
        <f>IF($C188="","",IF(R188&lt;&gt;"",R188,IF(G188="","",IF(E188="Y",SUMPRODUCT(('Rate Lookup'!$A$1:$A$37=G188)*'Rate Lookup'!$D$1:$D$37),IF(OR(F188="Individual",F188="HUF"),SUMPRODUCT(('Rate Lookup'!$A$1:$A$37=G188)*'Rate Lookup'!$B$1:$B$37),SUMPRODUCT(('Rate Lookup'!$A$1:$A$37=G188)*'Rate Lookup'!$C$1:$C$37)))))))</f>
      </c>
      <c r="I188" s="8"/>
      <c r="J188" s="8"/>
      <c r="K188" s="7">
        <f>IF($C188="","",IF(OR(P188="B",P188="D",P188="E",P188="N",P188="O",P188="P",P188="Q",P188="S",P188="Y",P188="Z"),0,ROUND(J188*H188/100,0)))</f>
      </c>
      <c r="L188" s="7">
        <f>IF($C188="","",0)</f>
      </c>
      <c r="M188" s="7">
        <f>IF($C188="","",0)</f>
      </c>
      <c r="N188" s="7">
        <f>IF($C188="","",IF(OR(K188=0,I188="",IFERROR(INDEX('Challan Master'!$D$4:$D$207,MATCH($B188,'Challan Master'!$S$4:$S$207,0)),"")="",IFERROR(INDEX('Challan Master'!$D$4:$D$207,MATCH($B188,'Challan Master'!$S$4:$S$207,0)),"")&lt;=0),0,IF(IFERROR(INDEX('Challan Master'!$D$4:$D$207,MATCH($B188,'Challan Master'!$S$4:$S$207,0)),"")&lt;=DATE(YEAR(I188),MONTH(I188)+1,7),0,ROUND(K188*0.015*((YEAR(IFERROR(INDEX('Challan Master'!$D$4:$D$207,MATCH($B188,'Challan Master'!$S$4:$S$207,0)),""))-YEAR(I188))*12+(MONTH(IFERROR(INDEX('Challan Master'!$D$4:$D$207,MATCH($B188,'Challan Master'!$S$4:$S$207,0)),""))-MONTH(I188))+1),0))))</f>
      </c>
      <c r="O188" s="7">
        <f>IF($C188="","",0)</f>
      </c>
      <c r="P188" s="8"/>
      <c r="Q188" s="8"/>
      <c r="R188" s="8"/>
      <c r="S188" s="8"/>
      <c r="T188" s="8"/>
      <c r="U188" s="7">
        <f>IF($B188="","",IFERROR(INDEX('Challan Master'!$AA$4:$AA$207,MATCH($B188,'Challan Master'!$S$4:$S$207,0)),""))</f>
      </c>
    </row>
    <row r="189" spans="1:22" x14ac:dyDescent="0.25">
      <c r="A189" s="7">
        <f>IF($C189="","",COUNTIF($C$4:$C189,"&lt;&gt;"))</f>
      </c>
      <c r="B189" s="8"/>
      <c r="C189" s="8"/>
      <c r="D189" s="8"/>
      <c r="E189" s="7">
        <f>IF($C189="","",IF(AND(LEN(TRIM(UPPER(D189)))=10,CODE(MID(TRIM(UPPER(D189)),1,1))&gt;=65,CODE(MID(TRIM(UPPER(D189)),1,1))&lt;=90,CODE(MID(TRIM(UPPER(D189)),2,1))&gt;=65,CODE(MID(TRIM(UPPER(D189)),2,1))&lt;=90,CODE(MID(TRIM(UPPER(D189)),3,1))&gt;=65,CODE(MID(TRIM(UPPER(D189)),3,1))&lt;=90,CODE(MID(TRIM(UPPER(D189)),4,1))&gt;=65,CODE(MID(TRIM(UPPER(D189)),4,1))&lt;=90,CODE(MID(TRIM(UPPER(D189)),5,1))&gt;=65,CODE(MID(TRIM(UPPER(D189)),5,1))&lt;=90,CODE(MID(TRIM(UPPER(D189)),10,1))&gt;=65,CODE(MID(TRIM(UPPER(D189)),10,1))&lt;=90,CODE(MID(TRIM(UPPER(D189)),6,1))&gt;=48,CODE(MID(TRIM(UPPER(D189)),6,1))&lt;=57,CODE(MID(TRIM(UPPER(D189)),7,1))&gt;=48,CODE(MID(TRIM(UPPER(D189)),7,1))&lt;=57,CODE(MID(TRIM(UPPER(D189)),8,1))&gt;=48,CODE(MID(TRIM(UPPER(D189)),8,1))&lt;=57,CODE(MID(TRIM(UPPER(D189)),9,1))&gt;=48,CODE(MID(TRIM(UPPER(D189)),9,1))&lt;=57),"N","Y"))</f>
      </c>
      <c r="F189" s="7">
        <f>IF($C189="","",IF(LEN(D189)&lt;4,"",IF(UPPER(MID(D189,4,1))="P","Individual",IF(UPPER(MID(D189,4,1))="H","HUF",IF(UPPER(MID(D189,4,1))="C","Company",IF(UPPER(MID(D189,4,1))="F","Firm",IF(UPPER(MID(D189,4,1))="L","LLP",IF(UPPER(MID(D189,4,1))="T","Trust",IF(UPPER(MID(D189,4,1))="A","AOP","")))))))))</f>
      </c>
      <c r="G189" s="8"/>
      <c r="H189" s="7">
        <f>IF($C189="","",IF(R189&lt;&gt;"",R189,IF(G189="","",IF(E189="Y",SUMPRODUCT(('Rate Lookup'!$A$1:$A$37=G189)*'Rate Lookup'!$D$1:$D$37),IF(OR(F189="Individual",F189="HUF"),SUMPRODUCT(('Rate Lookup'!$A$1:$A$37=G189)*'Rate Lookup'!$B$1:$B$37),SUMPRODUCT(('Rate Lookup'!$A$1:$A$37=G189)*'Rate Lookup'!$C$1:$C$37)))))))</f>
      </c>
      <c r="I189" s="8"/>
      <c r="J189" s="8"/>
      <c r="K189" s="7">
        <f>IF($C189="","",IF(OR(P189="B",P189="D",P189="E",P189="N",P189="O",P189="P",P189="Q",P189="S",P189="Y",P189="Z"),0,ROUND(J189*H189/100,0)))</f>
      </c>
      <c r="L189" s="7">
        <f>IF($C189="","",0)</f>
      </c>
      <c r="M189" s="7">
        <f>IF($C189="","",0)</f>
      </c>
      <c r="N189" s="7">
        <f>IF($C189="","",IF(OR(K189=0,I189="",IFERROR(INDEX('Challan Master'!$D$4:$D$207,MATCH($B189,'Challan Master'!$S$4:$S$207,0)),"")="",IFERROR(INDEX('Challan Master'!$D$4:$D$207,MATCH($B189,'Challan Master'!$S$4:$S$207,0)),"")&lt;=0),0,IF(IFERROR(INDEX('Challan Master'!$D$4:$D$207,MATCH($B189,'Challan Master'!$S$4:$S$207,0)),"")&lt;=DATE(YEAR(I189),MONTH(I189)+1,7),0,ROUND(K189*0.015*((YEAR(IFERROR(INDEX('Challan Master'!$D$4:$D$207,MATCH($B189,'Challan Master'!$S$4:$S$207,0)),""))-YEAR(I189))*12+(MONTH(IFERROR(INDEX('Challan Master'!$D$4:$D$207,MATCH($B189,'Challan Master'!$S$4:$S$207,0)),""))-MONTH(I189))+1),0))))</f>
      </c>
      <c r="O189" s="7">
        <f>IF($C189="","",0)</f>
      </c>
      <c r="P189" s="8"/>
      <c r="Q189" s="8"/>
      <c r="R189" s="8"/>
      <c r="S189" s="8"/>
      <c r="T189" s="8"/>
      <c r="U189" s="7">
        <f>IF($B189="","",IFERROR(INDEX('Challan Master'!$AA$4:$AA$207,MATCH($B189,'Challan Master'!$S$4:$S$207,0)),""))</f>
      </c>
    </row>
    <row r="190" spans="1:22" x14ac:dyDescent="0.25">
      <c r="A190" s="7">
        <f>IF($C190="","",COUNTIF($C$4:$C190,"&lt;&gt;"))</f>
      </c>
      <c r="B190" s="8"/>
      <c r="C190" s="8"/>
      <c r="D190" s="8"/>
      <c r="E190" s="7">
        <f>IF($C190="","",IF(AND(LEN(TRIM(UPPER(D190)))=10,CODE(MID(TRIM(UPPER(D190)),1,1))&gt;=65,CODE(MID(TRIM(UPPER(D190)),1,1))&lt;=90,CODE(MID(TRIM(UPPER(D190)),2,1))&gt;=65,CODE(MID(TRIM(UPPER(D190)),2,1))&lt;=90,CODE(MID(TRIM(UPPER(D190)),3,1))&gt;=65,CODE(MID(TRIM(UPPER(D190)),3,1))&lt;=90,CODE(MID(TRIM(UPPER(D190)),4,1))&gt;=65,CODE(MID(TRIM(UPPER(D190)),4,1))&lt;=90,CODE(MID(TRIM(UPPER(D190)),5,1))&gt;=65,CODE(MID(TRIM(UPPER(D190)),5,1))&lt;=90,CODE(MID(TRIM(UPPER(D190)),10,1))&gt;=65,CODE(MID(TRIM(UPPER(D190)),10,1))&lt;=90,CODE(MID(TRIM(UPPER(D190)),6,1))&gt;=48,CODE(MID(TRIM(UPPER(D190)),6,1))&lt;=57,CODE(MID(TRIM(UPPER(D190)),7,1))&gt;=48,CODE(MID(TRIM(UPPER(D190)),7,1))&lt;=57,CODE(MID(TRIM(UPPER(D190)),8,1))&gt;=48,CODE(MID(TRIM(UPPER(D190)),8,1))&lt;=57,CODE(MID(TRIM(UPPER(D190)),9,1))&gt;=48,CODE(MID(TRIM(UPPER(D190)),9,1))&lt;=57),"N","Y"))</f>
      </c>
      <c r="F190" s="7">
        <f>IF($C190="","",IF(LEN(D190)&lt;4,"",IF(UPPER(MID(D190,4,1))="P","Individual",IF(UPPER(MID(D190,4,1))="H","HUF",IF(UPPER(MID(D190,4,1))="C","Company",IF(UPPER(MID(D190,4,1))="F","Firm",IF(UPPER(MID(D190,4,1))="L","LLP",IF(UPPER(MID(D190,4,1))="T","Trust",IF(UPPER(MID(D190,4,1))="A","AOP","")))))))))</f>
      </c>
      <c r="G190" s="8"/>
      <c r="H190" s="7">
        <f>IF($C190="","",IF(R190&lt;&gt;"",R190,IF(G190="","",IF(E190="Y",SUMPRODUCT(('Rate Lookup'!$A$1:$A$37=G190)*'Rate Lookup'!$D$1:$D$37),IF(OR(F190="Individual",F190="HUF"),SUMPRODUCT(('Rate Lookup'!$A$1:$A$37=G190)*'Rate Lookup'!$B$1:$B$37),SUMPRODUCT(('Rate Lookup'!$A$1:$A$37=G190)*'Rate Lookup'!$C$1:$C$37)))))))</f>
      </c>
      <c r="I190" s="8"/>
      <c r="J190" s="8"/>
      <c r="K190" s="7">
        <f>IF($C190="","",IF(OR(P190="B",P190="D",P190="E",P190="N",P190="O",P190="P",P190="Q",P190="S",P190="Y",P190="Z"),0,ROUND(J190*H190/100,0)))</f>
      </c>
      <c r="L190" s="7">
        <f>IF($C190="","",0)</f>
      </c>
      <c r="M190" s="7">
        <f>IF($C190="","",0)</f>
      </c>
      <c r="N190" s="7">
        <f>IF($C190="","",IF(OR(K190=0,I190="",IFERROR(INDEX('Challan Master'!$D$4:$D$207,MATCH($B190,'Challan Master'!$S$4:$S$207,0)),"")="",IFERROR(INDEX('Challan Master'!$D$4:$D$207,MATCH($B190,'Challan Master'!$S$4:$S$207,0)),"")&lt;=0),0,IF(IFERROR(INDEX('Challan Master'!$D$4:$D$207,MATCH($B190,'Challan Master'!$S$4:$S$207,0)),"")&lt;=DATE(YEAR(I190),MONTH(I190)+1,7),0,ROUND(K190*0.015*((YEAR(IFERROR(INDEX('Challan Master'!$D$4:$D$207,MATCH($B190,'Challan Master'!$S$4:$S$207,0)),""))-YEAR(I190))*12+(MONTH(IFERROR(INDEX('Challan Master'!$D$4:$D$207,MATCH($B190,'Challan Master'!$S$4:$S$207,0)),""))-MONTH(I190))+1),0))))</f>
      </c>
      <c r="O190" s="7">
        <f>IF($C190="","",0)</f>
      </c>
      <c r="P190" s="8"/>
      <c r="Q190" s="8"/>
      <c r="R190" s="8"/>
      <c r="S190" s="8"/>
      <c r="T190" s="8"/>
      <c r="U190" s="7">
        <f>IF($B190="","",IFERROR(INDEX('Challan Master'!$AA$4:$AA$207,MATCH($B190,'Challan Master'!$S$4:$S$207,0)),""))</f>
      </c>
    </row>
    <row r="191" spans="1:22" x14ac:dyDescent="0.25">
      <c r="A191" s="7">
        <f>IF($C191="","",COUNTIF($C$4:$C191,"&lt;&gt;"))</f>
      </c>
      <c r="B191" s="8"/>
      <c r="C191" s="8"/>
      <c r="D191" s="8"/>
      <c r="E191" s="7">
        <f>IF($C191="","",IF(AND(LEN(TRIM(UPPER(D191)))=10,CODE(MID(TRIM(UPPER(D191)),1,1))&gt;=65,CODE(MID(TRIM(UPPER(D191)),1,1))&lt;=90,CODE(MID(TRIM(UPPER(D191)),2,1))&gt;=65,CODE(MID(TRIM(UPPER(D191)),2,1))&lt;=90,CODE(MID(TRIM(UPPER(D191)),3,1))&gt;=65,CODE(MID(TRIM(UPPER(D191)),3,1))&lt;=90,CODE(MID(TRIM(UPPER(D191)),4,1))&gt;=65,CODE(MID(TRIM(UPPER(D191)),4,1))&lt;=90,CODE(MID(TRIM(UPPER(D191)),5,1))&gt;=65,CODE(MID(TRIM(UPPER(D191)),5,1))&lt;=90,CODE(MID(TRIM(UPPER(D191)),10,1))&gt;=65,CODE(MID(TRIM(UPPER(D191)),10,1))&lt;=90,CODE(MID(TRIM(UPPER(D191)),6,1))&gt;=48,CODE(MID(TRIM(UPPER(D191)),6,1))&lt;=57,CODE(MID(TRIM(UPPER(D191)),7,1))&gt;=48,CODE(MID(TRIM(UPPER(D191)),7,1))&lt;=57,CODE(MID(TRIM(UPPER(D191)),8,1))&gt;=48,CODE(MID(TRIM(UPPER(D191)),8,1))&lt;=57,CODE(MID(TRIM(UPPER(D191)),9,1))&gt;=48,CODE(MID(TRIM(UPPER(D191)),9,1))&lt;=57),"N","Y"))</f>
      </c>
      <c r="F191" s="7">
        <f>IF($C191="","",IF(LEN(D191)&lt;4,"",IF(UPPER(MID(D191,4,1))="P","Individual",IF(UPPER(MID(D191,4,1))="H","HUF",IF(UPPER(MID(D191,4,1))="C","Company",IF(UPPER(MID(D191,4,1))="F","Firm",IF(UPPER(MID(D191,4,1))="L","LLP",IF(UPPER(MID(D191,4,1))="T","Trust",IF(UPPER(MID(D191,4,1))="A","AOP","")))))))))</f>
      </c>
      <c r="G191" s="8"/>
      <c r="H191" s="7">
        <f>IF($C191="","",IF(R191&lt;&gt;"",R191,IF(G191="","",IF(E191="Y",SUMPRODUCT(('Rate Lookup'!$A$1:$A$37=G191)*'Rate Lookup'!$D$1:$D$37),IF(OR(F191="Individual",F191="HUF"),SUMPRODUCT(('Rate Lookup'!$A$1:$A$37=G191)*'Rate Lookup'!$B$1:$B$37),SUMPRODUCT(('Rate Lookup'!$A$1:$A$37=G191)*'Rate Lookup'!$C$1:$C$37)))))))</f>
      </c>
      <c r="I191" s="8"/>
      <c r="J191" s="8"/>
      <c r="K191" s="7">
        <f>IF($C191="","",IF(OR(P191="B",P191="D",P191="E",P191="N",P191="O",P191="P",P191="Q",P191="S",P191="Y",P191="Z"),0,ROUND(J191*H191/100,0)))</f>
      </c>
      <c r="L191" s="7">
        <f>IF($C191="","",0)</f>
      </c>
      <c r="M191" s="7">
        <f>IF($C191="","",0)</f>
      </c>
      <c r="N191" s="7">
        <f>IF($C191="","",IF(OR(K191=0,I191="",IFERROR(INDEX('Challan Master'!$D$4:$D$207,MATCH($B191,'Challan Master'!$S$4:$S$207,0)),"")="",IFERROR(INDEX('Challan Master'!$D$4:$D$207,MATCH($B191,'Challan Master'!$S$4:$S$207,0)),"")&lt;=0),0,IF(IFERROR(INDEX('Challan Master'!$D$4:$D$207,MATCH($B191,'Challan Master'!$S$4:$S$207,0)),"")&lt;=DATE(YEAR(I191),MONTH(I191)+1,7),0,ROUND(K191*0.015*((YEAR(IFERROR(INDEX('Challan Master'!$D$4:$D$207,MATCH($B191,'Challan Master'!$S$4:$S$207,0)),""))-YEAR(I191))*12+(MONTH(IFERROR(INDEX('Challan Master'!$D$4:$D$207,MATCH($B191,'Challan Master'!$S$4:$S$207,0)),""))-MONTH(I191))+1),0))))</f>
      </c>
      <c r="O191" s="7">
        <f>IF($C191="","",0)</f>
      </c>
      <c r="P191" s="8"/>
      <c r="Q191" s="8"/>
      <c r="R191" s="8"/>
      <c r="S191" s="8"/>
      <c r="T191" s="8"/>
      <c r="U191" s="7">
        <f>IF($B191="","",IFERROR(INDEX('Challan Master'!$AA$4:$AA$207,MATCH($B191,'Challan Master'!$S$4:$S$207,0)),""))</f>
      </c>
    </row>
    <row r="192" spans="1:22" x14ac:dyDescent="0.25">
      <c r="A192" s="7">
        <f>IF($C192="","",COUNTIF($C$4:$C192,"&lt;&gt;"))</f>
      </c>
      <c r="B192" s="8"/>
      <c r="C192" s="8"/>
      <c r="D192" s="8"/>
      <c r="E192" s="7">
        <f>IF($C192="","",IF(AND(LEN(TRIM(UPPER(D192)))=10,CODE(MID(TRIM(UPPER(D192)),1,1))&gt;=65,CODE(MID(TRIM(UPPER(D192)),1,1))&lt;=90,CODE(MID(TRIM(UPPER(D192)),2,1))&gt;=65,CODE(MID(TRIM(UPPER(D192)),2,1))&lt;=90,CODE(MID(TRIM(UPPER(D192)),3,1))&gt;=65,CODE(MID(TRIM(UPPER(D192)),3,1))&lt;=90,CODE(MID(TRIM(UPPER(D192)),4,1))&gt;=65,CODE(MID(TRIM(UPPER(D192)),4,1))&lt;=90,CODE(MID(TRIM(UPPER(D192)),5,1))&gt;=65,CODE(MID(TRIM(UPPER(D192)),5,1))&lt;=90,CODE(MID(TRIM(UPPER(D192)),10,1))&gt;=65,CODE(MID(TRIM(UPPER(D192)),10,1))&lt;=90,CODE(MID(TRIM(UPPER(D192)),6,1))&gt;=48,CODE(MID(TRIM(UPPER(D192)),6,1))&lt;=57,CODE(MID(TRIM(UPPER(D192)),7,1))&gt;=48,CODE(MID(TRIM(UPPER(D192)),7,1))&lt;=57,CODE(MID(TRIM(UPPER(D192)),8,1))&gt;=48,CODE(MID(TRIM(UPPER(D192)),8,1))&lt;=57,CODE(MID(TRIM(UPPER(D192)),9,1))&gt;=48,CODE(MID(TRIM(UPPER(D192)),9,1))&lt;=57),"N","Y"))</f>
      </c>
      <c r="F192" s="7">
        <f>IF($C192="","",IF(LEN(D192)&lt;4,"",IF(UPPER(MID(D192,4,1))="P","Individual",IF(UPPER(MID(D192,4,1))="H","HUF",IF(UPPER(MID(D192,4,1))="C","Company",IF(UPPER(MID(D192,4,1))="F","Firm",IF(UPPER(MID(D192,4,1))="L","LLP",IF(UPPER(MID(D192,4,1))="T","Trust",IF(UPPER(MID(D192,4,1))="A","AOP","")))))))))</f>
      </c>
      <c r="G192" s="8"/>
      <c r="H192" s="7">
        <f>IF($C192="","",IF(R192&lt;&gt;"",R192,IF(G192="","",IF(E192="Y",SUMPRODUCT(('Rate Lookup'!$A$1:$A$37=G192)*'Rate Lookup'!$D$1:$D$37),IF(OR(F192="Individual",F192="HUF"),SUMPRODUCT(('Rate Lookup'!$A$1:$A$37=G192)*'Rate Lookup'!$B$1:$B$37),SUMPRODUCT(('Rate Lookup'!$A$1:$A$37=G192)*'Rate Lookup'!$C$1:$C$37)))))))</f>
      </c>
      <c r="I192" s="8"/>
      <c r="J192" s="8"/>
      <c r="K192" s="7">
        <f>IF($C192="","",IF(OR(P192="B",P192="D",P192="E",P192="N",P192="O",P192="P",P192="Q",P192="S",P192="Y",P192="Z"),0,ROUND(J192*H192/100,0)))</f>
      </c>
      <c r="L192" s="7">
        <f>IF($C192="","",0)</f>
      </c>
      <c r="M192" s="7">
        <f>IF($C192="","",0)</f>
      </c>
      <c r="N192" s="7">
        <f>IF($C192="","",IF(OR(K192=0,I192="",IFERROR(INDEX('Challan Master'!$D$4:$D$207,MATCH($B192,'Challan Master'!$S$4:$S$207,0)),"")="",IFERROR(INDEX('Challan Master'!$D$4:$D$207,MATCH($B192,'Challan Master'!$S$4:$S$207,0)),"")&lt;=0),0,IF(IFERROR(INDEX('Challan Master'!$D$4:$D$207,MATCH($B192,'Challan Master'!$S$4:$S$207,0)),"")&lt;=DATE(YEAR(I192),MONTH(I192)+1,7),0,ROUND(K192*0.015*((YEAR(IFERROR(INDEX('Challan Master'!$D$4:$D$207,MATCH($B192,'Challan Master'!$S$4:$S$207,0)),""))-YEAR(I192))*12+(MONTH(IFERROR(INDEX('Challan Master'!$D$4:$D$207,MATCH($B192,'Challan Master'!$S$4:$S$207,0)),""))-MONTH(I192))+1),0))))</f>
      </c>
      <c r="O192" s="7">
        <f>IF($C192="","",0)</f>
      </c>
      <c r="P192" s="8"/>
      <c r="Q192" s="8"/>
      <c r="R192" s="8"/>
      <c r="S192" s="8"/>
      <c r="T192" s="8"/>
      <c r="U192" s="7">
        <f>IF($B192="","",IFERROR(INDEX('Challan Master'!$AA$4:$AA$207,MATCH($B192,'Challan Master'!$S$4:$S$207,0)),""))</f>
      </c>
    </row>
    <row r="193" spans="1:22" x14ac:dyDescent="0.25">
      <c r="A193" s="7">
        <f>IF($C193="","",COUNTIF($C$4:$C193,"&lt;&gt;"))</f>
      </c>
      <c r="B193" s="8"/>
      <c r="C193" s="8"/>
      <c r="D193" s="8"/>
      <c r="E193" s="7">
        <f>IF($C193="","",IF(AND(LEN(TRIM(UPPER(D193)))=10,CODE(MID(TRIM(UPPER(D193)),1,1))&gt;=65,CODE(MID(TRIM(UPPER(D193)),1,1))&lt;=90,CODE(MID(TRIM(UPPER(D193)),2,1))&gt;=65,CODE(MID(TRIM(UPPER(D193)),2,1))&lt;=90,CODE(MID(TRIM(UPPER(D193)),3,1))&gt;=65,CODE(MID(TRIM(UPPER(D193)),3,1))&lt;=90,CODE(MID(TRIM(UPPER(D193)),4,1))&gt;=65,CODE(MID(TRIM(UPPER(D193)),4,1))&lt;=90,CODE(MID(TRIM(UPPER(D193)),5,1))&gt;=65,CODE(MID(TRIM(UPPER(D193)),5,1))&lt;=90,CODE(MID(TRIM(UPPER(D193)),10,1))&gt;=65,CODE(MID(TRIM(UPPER(D193)),10,1))&lt;=90,CODE(MID(TRIM(UPPER(D193)),6,1))&gt;=48,CODE(MID(TRIM(UPPER(D193)),6,1))&lt;=57,CODE(MID(TRIM(UPPER(D193)),7,1))&gt;=48,CODE(MID(TRIM(UPPER(D193)),7,1))&lt;=57,CODE(MID(TRIM(UPPER(D193)),8,1))&gt;=48,CODE(MID(TRIM(UPPER(D193)),8,1))&lt;=57,CODE(MID(TRIM(UPPER(D193)),9,1))&gt;=48,CODE(MID(TRIM(UPPER(D193)),9,1))&lt;=57),"N","Y"))</f>
      </c>
      <c r="F193" s="7">
        <f>IF($C193="","",IF(LEN(D193)&lt;4,"",IF(UPPER(MID(D193,4,1))="P","Individual",IF(UPPER(MID(D193,4,1))="H","HUF",IF(UPPER(MID(D193,4,1))="C","Company",IF(UPPER(MID(D193,4,1))="F","Firm",IF(UPPER(MID(D193,4,1))="L","LLP",IF(UPPER(MID(D193,4,1))="T","Trust",IF(UPPER(MID(D193,4,1))="A","AOP","")))))))))</f>
      </c>
      <c r="G193" s="8"/>
      <c r="H193" s="7">
        <f>IF($C193="","",IF(R193&lt;&gt;"",R193,IF(G193="","",IF(E193="Y",SUMPRODUCT(('Rate Lookup'!$A$1:$A$37=G193)*'Rate Lookup'!$D$1:$D$37),IF(OR(F193="Individual",F193="HUF"),SUMPRODUCT(('Rate Lookup'!$A$1:$A$37=G193)*'Rate Lookup'!$B$1:$B$37),SUMPRODUCT(('Rate Lookup'!$A$1:$A$37=G193)*'Rate Lookup'!$C$1:$C$37)))))))</f>
      </c>
      <c r="I193" s="8"/>
      <c r="J193" s="8"/>
      <c r="K193" s="7">
        <f>IF($C193="","",IF(OR(P193="B",P193="D",P193="E",P193="N",P193="O",P193="P",P193="Q",P193="S",P193="Y",P193="Z"),0,ROUND(J193*H193/100,0)))</f>
      </c>
      <c r="L193" s="7">
        <f>IF($C193="","",0)</f>
      </c>
      <c r="M193" s="7">
        <f>IF($C193="","",0)</f>
      </c>
      <c r="N193" s="7">
        <f>IF($C193="","",IF(OR(K193=0,I193="",IFERROR(INDEX('Challan Master'!$D$4:$D$207,MATCH($B193,'Challan Master'!$S$4:$S$207,0)),"")="",IFERROR(INDEX('Challan Master'!$D$4:$D$207,MATCH($B193,'Challan Master'!$S$4:$S$207,0)),"")&lt;=0),0,IF(IFERROR(INDEX('Challan Master'!$D$4:$D$207,MATCH($B193,'Challan Master'!$S$4:$S$207,0)),"")&lt;=DATE(YEAR(I193),MONTH(I193)+1,7),0,ROUND(K193*0.015*((YEAR(IFERROR(INDEX('Challan Master'!$D$4:$D$207,MATCH($B193,'Challan Master'!$S$4:$S$207,0)),""))-YEAR(I193))*12+(MONTH(IFERROR(INDEX('Challan Master'!$D$4:$D$207,MATCH($B193,'Challan Master'!$S$4:$S$207,0)),""))-MONTH(I193))+1),0))))</f>
      </c>
      <c r="O193" s="7">
        <f>IF($C193="","",0)</f>
      </c>
      <c r="P193" s="8"/>
      <c r="Q193" s="8"/>
      <c r="R193" s="8"/>
      <c r="S193" s="8"/>
      <c r="T193" s="8"/>
      <c r="U193" s="7">
        <f>IF($B193="","",IFERROR(INDEX('Challan Master'!$AA$4:$AA$207,MATCH($B193,'Challan Master'!$S$4:$S$207,0)),""))</f>
      </c>
    </row>
    <row r="194" spans="1:22" x14ac:dyDescent="0.25">
      <c r="A194" s="7">
        <f>IF($C194="","",COUNTIF($C$4:$C194,"&lt;&gt;"))</f>
      </c>
      <c r="B194" s="8"/>
      <c r="C194" s="8"/>
      <c r="D194" s="8"/>
      <c r="E194" s="7">
        <f>IF($C194="","",IF(AND(LEN(TRIM(UPPER(D194)))=10,CODE(MID(TRIM(UPPER(D194)),1,1))&gt;=65,CODE(MID(TRIM(UPPER(D194)),1,1))&lt;=90,CODE(MID(TRIM(UPPER(D194)),2,1))&gt;=65,CODE(MID(TRIM(UPPER(D194)),2,1))&lt;=90,CODE(MID(TRIM(UPPER(D194)),3,1))&gt;=65,CODE(MID(TRIM(UPPER(D194)),3,1))&lt;=90,CODE(MID(TRIM(UPPER(D194)),4,1))&gt;=65,CODE(MID(TRIM(UPPER(D194)),4,1))&lt;=90,CODE(MID(TRIM(UPPER(D194)),5,1))&gt;=65,CODE(MID(TRIM(UPPER(D194)),5,1))&lt;=90,CODE(MID(TRIM(UPPER(D194)),10,1))&gt;=65,CODE(MID(TRIM(UPPER(D194)),10,1))&lt;=90,CODE(MID(TRIM(UPPER(D194)),6,1))&gt;=48,CODE(MID(TRIM(UPPER(D194)),6,1))&lt;=57,CODE(MID(TRIM(UPPER(D194)),7,1))&gt;=48,CODE(MID(TRIM(UPPER(D194)),7,1))&lt;=57,CODE(MID(TRIM(UPPER(D194)),8,1))&gt;=48,CODE(MID(TRIM(UPPER(D194)),8,1))&lt;=57,CODE(MID(TRIM(UPPER(D194)),9,1))&gt;=48,CODE(MID(TRIM(UPPER(D194)),9,1))&lt;=57),"N","Y"))</f>
      </c>
      <c r="F194" s="7">
        <f>IF($C194="","",IF(LEN(D194)&lt;4,"",IF(UPPER(MID(D194,4,1))="P","Individual",IF(UPPER(MID(D194,4,1))="H","HUF",IF(UPPER(MID(D194,4,1))="C","Company",IF(UPPER(MID(D194,4,1))="F","Firm",IF(UPPER(MID(D194,4,1))="L","LLP",IF(UPPER(MID(D194,4,1))="T","Trust",IF(UPPER(MID(D194,4,1))="A","AOP","")))))))))</f>
      </c>
      <c r="G194" s="8"/>
      <c r="H194" s="7">
        <f>IF($C194="","",IF(R194&lt;&gt;"",R194,IF(G194="","",IF(E194="Y",SUMPRODUCT(('Rate Lookup'!$A$1:$A$37=G194)*'Rate Lookup'!$D$1:$D$37),IF(OR(F194="Individual",F194="HUF"),SUMPRODUCT(('Rate Lookup'!$A$1:$A$37=G194)*'Rate Lookup'!$B$1:$B$37),SUMPRODUCT(('Rate Lookup'!$A$1:$A$37=G194)*'Rate Lookup'!$C$1:$C$37)))))))</f>
      </c>
      <c r="I194" s="8"/>
      <c r="J194" s="8"/>
      <c r="K194" s="7">
        <f>IF($C194="","",IF(OR(P194="B",P194="D",P194="E",P194="N",P194="O",P194="P",P194="Q",P194="S",P194="Y",P194="Z"),0,ROUND(J194*H194/100,0)))</f>
      </c>
      <c r="L194" s="7">
        <f>IF($C194="","",0)</f>
      </c>
      <c r="M194" s="7">
        <f>IF($C194="","",0)</f>
      </c>
      <c r="N194" s="7">
        <f>IF($C194="","",IF(OR(K194=0,I194="",IFERROR(INDEX('Challan Master'!$D$4:$D$207,MATCH($B194,'Challan Master'!$S$4:$S$207,0)),"")="",IFERROR(INDEX('Challan Master'!$D$4:$D$207,MATCH($B194,'Challan Master'!$S$4:$S$207,0)),"")&lt;=0),0,IF(IFERROR(INDEX('Challan Master'!$D$4:$D$207,MATCH($B194,'Challan Master'!$S$4:$S$207,0)),"")&lt;=DATE(YEAR(I194),MONTH(I194)+1,7),0,ROUND(K194*0.015*((YEAR(IFERROR(INDEX('Challan Master'!$D$4:$D$207,MATCH($B194,'Challan Master'!$S$4:$S$207,0)),""))-YEAR(I194))*12+(MONTH(IFERROR(INDEX('Challan Master'!$D$4:$D$207,MATCH($B194,'Challan Master'!$S$4:$S$207,0)),""))-MONTH(I194))+1),0))))</f>
      </c>
      <c r="O194" s="7">
        <f>IF($C194="","",0)</f>
      </c>
      <c r="P194" s="8"/>
      <c r="Q194" s="8"/>
      <c r="R194" s="8"/>
      <c r="S194" s="8"/>
      <c r="T194" s="8"/>
      <c r="U194" s="7">
        <f>IF($B194="","",IFERROR(INDEX('Challan Master'!$AA$4:$AA$207,MATCH($B194,'Challan Master'!$S$4:$S$207,0)),""))</f>
      </c>
    </row>
    <row r="195" spans="1:22" x14ac:dyDescent="0.25">
      <c r="A195" s="7">
        <f>IF($C195="","",COUNTIF($C$4:$C195,"&lt;&gt;"))</f>
      </c>
      <c r="B195" s="8"/>
      <c r="C195" s="8"/>
      <c r="D195" s="8"/>
      <c r="E195" s="7">
        <f>IF($C195="","",IF(AND(LEN(TRIM(UPPER(D195)))=10,CODE(MID(TRIM(UPPER(D195)),1,1))&gt;=65,CODE(MID(TRIM(UPPER(D195)),1,1))&lt;=90,CODE(MID(TRIM(UPPER(D195)),2,1))&gt;=65,CODE(MID(TRIM(UPPER(D195)),2,1))&lt;=90,CODE(MID(TRIM(UPPER(D195)),3,1))&gt;=65,CODE(MID(TRIM(UPPER(D195)),3,1))&lt;=90,CODE(MID(TRIM(UPPER(D195)),4,1))&gt;=65,CODE(MID(TRIM(UPPER(D195)),4,1))&lt;=90,CODE(MID(TRIM(UPPER(D195)),5,1))&gt;=65,CODE(MID(TRIM(UPPER(D195)),5,1))&lt;=90,CODE(MID(TRIM(UPPER(D195)),10,1))&gt;=65,CODE(MID(TRIM(UPPER(D195)),10,1))&lt;=90,CODE(MID(TRIM(UPPER(D195)),6,1))&gt;=48,CODE(MID(TRIM(UPPER(D195)),6,1))&lt;=57,CODE(MID(TRIM(UPPER(D195)),7,1))&gt;=48,CODE(MID(TRIM(UPPER(D195)),7,1))&lt;=57,CODE(MID(TRIM(UPPER(D195)),8,1))&gt;=48,CODE(MID(TRIM(UPPER(D195)),8,1))&lt;=57,CODE(MID(TRIM(UPPER(D195)),9,1))&gt;=48,CODE(MID(TRIM(UPPER(D195)),9,1))&lt;=57),"N","Y"))</f>
      </c>
      <c r="F195" s="7">
        <f>IF($C195="","",IF(LEN(D195)&lt;4,"",IF(UPPER(MID(D195,4,1))="P","Individual",IF(UPPER(MID(D195,4,1))="H","HUF",IF(UPPER(MID(D195,4,1))="C","Company",IF(UPPER(MID(D195,4,1))="F","Firm",IF(UPPER(MID(D195,4,1))="L","LLP",IF(UPPER(MID(D195,4,1))="T","Trust",IF(UPPER(MID(D195,4,1))="A","AOP","")))))))))</f>
      </c>
      <c r="G195" s="8"/>
      <c r="H195" s="7">
        <f>IF($C195="","",IF(R195&lt;&gt;"",R195,IF(G195="","",IF(E195="Y",SUMPRODUCT(('Rate Lookup'!$A$1:$A$37=G195)*'Rate Lookup'!$D$1:$D$37),IF(OR(F195="Individual",F195="HUF"),SUMPRODUCT(('Rate Lookup'!$A$1:$A$37=G195)*'Rate Lookup'!$B$1:$B$37),SUMPRODUCT(('Rate Lookup'!$A$1:$A$37=G195)*'Rate Lookup'!$C$1:$C$37)))))))</f>
      </c>
      <c r="I195" s="8"/>
      <c r="J195" s="8"/>
      <c r="K195" s="7">
        <f>IF($C195="","",IF(OR(P195="B",P195="D",P195="E",P195="N",P195="O",P195="P",P195="Q",P195="S",P195="Y",P195="Z"),0,ROUND(J195*H195/100,0)))</f>
      </c>
      <c r="L195" s="7">
        <f>IF($C195="","",0)</f>
      </c>
      <c r="M195" s="7">
        <f>IF($C195="","",0)</f>
      </c>
      <c r="N195" s="7">
        <f>IF($C195="","",IF(OR(K195=0,I195="",IFERROR(INDEX('Challan Master'!$D$4:$D$207,MATCH($B195,'Challan Master'!$S$4:$S$207,0)),"")="",IFERROR(INDEX('Challan Master'!$D$4:$D$207,MATCH($B195,'Challan Master'!$S$4:$S$207,0)),"")&lt;=0),0,IF(IFERROR(INDEX('Challan Master'!$D$4:$D$207,MATCH($B195,'Challan Master'!$S$4:$S$207,0)),"")&lt;=DATE(YEAR(I195),MONTH(I195)+1,7),0,ROUND(K195*0.015*((YEAR(IFERROR(INDEX('Challan Master'!$D$4:$D$207,MATCH($B195,'Challan Master'!$S$4:$S$207,0)),""))-YEAR(I195))*12+(MONTH(IFERROR(INDEX('Challan Master'!$D$4:$D$207,MATCH($B195,'Challan Master'!$S$4:$S$207,0)),""))-MONTH(I195))+1),0))))</f>
      </c>
      <c r="O195" s="7">
        <f>IF($C195="","",0)</f>
      </c>
      <c r="P195" s="8"/>
      <c r="Q195" s="8"/>
      <c r="R195" s="8"/>
      <c r="S195" s="8"/>
      <c r="T195" s="8"/>
      <c r="U195" s="7">
        <f>IF($B195="","",IFERROR(INDEX('Challan Master'!$AA$4:$AA$207,MATCH($B195,'Challan Master'!$S$4:$S$207,0)),""))</f>
      </c>
    </row>
    <row r="196" spans="1:22" x14ac:dyDescent="0.25">
      <c r="A196" s="7">
        <f>IF($C196="","",COUNTIF($C$4:$C196,"&lt;&gt;"))</f>
      </c>
      <c r="B196" s="8"/>
      <c r="C196" s="8"/>
      <c r="D196" s="8"/>
      <c r="E196" s="7">
        <f>IF($C196="","",IF(AND(LEN(TRIM(UPPER(D196)))=10,CODE(MID(TRIM(UPPER(D196)),1,1))&gt;=65,CODE(MID(TRIM(UPPER(D196)),1,1))&lt;=90,CODE(MID(TRIM(UPPER(D196)),2,1))&gt;=65,CODE(MID(TRIM(UPPER(D196)),2,1))&lt;=90,CODE(MID(TRIM(UPPER(D196)),3,1))&gt;=65,CODE(MID(TRIM(UPPER(D196)),3,1))&lt;=90,CODE(MID(TRIM(UPPER(D196)),4,1))&gt;=65,CODE(MID(TRIM(UPPER(D196)),4,1))&lt;=90,CODE(MID(TRIM(UPPER(D196)),5,1))&gt;=65,CODE(MID(TRIM(UPPER(D196)),5,1))&lt;=90,CODE(MID(TRIM(UPPER(D196)),10,1))&gt;=65,CODE(MID(TRIM(UPPER(D196)),10,1))&lt;=90,CODE(MID(TRIM(UPPER(D196)),6,1))&gt;=48,CODE(MID(TRIM(UPPER(D196)),6,1))&lt;=57,CODE(MID(TRIM(UPPER(D196)),7,1))&gt;=48,CODE(MID(TRIM(UPPER(D196)),7,1))&lt;=57,CODE(MID(TRIM(UPPER(D196)),8,1))&gt;=48,CODE(MID(TRIM(UPPER(D196)),8,1))&lt;=57,CODE(MID(TRIM(UPPER(D196)),9,1))&gt;=48,CODE(MID(TRIM(UPPER(D196)),9,1))&lt;=57),"N","Y"))</f>
      </c>
      <c r="F196" s="7">
        <f>IF($C196="","",IF(LEN(D196)&lt;4,"",IF(UPPER(MID(D196,4,1))="P","Individual",IF(UPPER(MID(D196,4,1))="H","HUF",IF(UPPER(MID(D196,4,1))="C","Company",IF(UPPER(MID(D196,4,1))="F","Firm",IF(UPPER(MID(D196,4,1))="L","LLP",IF(UPPER(MID(D196,4,1))="T","Trust",IF(UPPER(MID(D196,4,1))="A","AOP","")))))))))</f>
      </c>
      <c r="G196" s="8"/>
      <c r="H196" s="7">
        <f>IF($C196="","",IF(R196&lt;&gt;"",R196,IF(G196="","",IF(E196="Y",SUMPRODUCT(('Rate Lookup'!$A$1:$A$37=G196)*'Rate Lookup'!$D$1:$D$37),IF(OR(F196="Individual",F196="HUF"),SUMPRODUCT(('Rate Lookup'!$A$1:$A$37=G196)*'Rate Lookup'!$B$1:$B$37),SUMPRODUCT(('Rate Lookup'!$A$1:$A$37=G196)*'Rate Lookup'!$C$1:$C$37)))))))</f>
      </c>
      <c r="I196" s="8"/>
      <c r="J196" s="8"/>
      <c r="K196" s="7">
        <f>IF($C196="","",IF(OR(P196="B",P196="D",P196="E",P196="N",P196="O",P196="P",P196="Q",P196="S",P196="Y",P196="Z"),0,ROUND(J196*H196/100,0)))</f>
      </c>
      <c r="L196" s="7">
        <f>IF($C196="","",0)</f>
      </c>
      <c r="M196" s="7">
        <f>IF($C196="","",0)</f>
      </c>
      <c r="N196" s="7">
        <f>IF($C196="","",IF(OR(K196=0,I196="",IFERROR(INDEX('Challan Master'!$D$4:$D$207,MATCH($B196,'Challan Master'!$S$4:$S$207,0)),"")="",IFERROR(INDEX('Challan Master'!$D$4:$D$207,MATCH($B196,'Challan Master'!$S$4:$S$207,0)),"")&lt;=0),0,IF(IFERROR(INDEX('Challan Master'!$D$4:$D$207,MATCH($B196,'Challan Master'!$S$4:$S$207,0)),"")&lt;=DATE(YEAR(I196),MONTH(I196)+1,7),0,ROUND(K196*0.015*((YEAR(IFERROR(INDEX('Challan Master'!$D$4:$D$207,MATCH($B196,'Challan Master'!$S$4:$S$207,0)),""))-YEAR(I196))*12+(MONTH(IFERROR(INDEX('Challan Master'!$D$4:$D$207,MATCH($B196,'Challan Master'!$S$4:$S$207,0)),""))-MONTH(I196))+1),0))))</f>
      </c>
      <c r="O196" s="7">
        <f>IF($C196="","",0)</f>
      </c>
      <c r="P196" s="8"/>
      <c r="Q196" s="8"/>
      <c r="R196" s="8"/>
      <c r="S196" s="8"/>
      <c r="T196" s="8"/>
      <c r="U196" s="7">
        <f>IF($B196="","",IFERROR(INDEX('Challan Master'!$AA$4:$AA$207,MATCH($B196,'Challan Master'!$S$4:$S$207,0)),""))</f>
      </c>
    </row>
    <row r="197" spans="1:22" x14ac:dyDescent="0.25">
      <c r="A197" s="7">
        <f>IF($C197="","",COUNTIF($C$4:$C197,"&lt;&gt;"))</f>
      </c>
      <c r="B197" s="8"/>
      <c r="C197" s="8"/>
      <c r="D197" s="8"/>
      <c r="E197" s="7">
        <f>IF($C197="","",IF(AND(LEN(TRIM(UPPER(D197)))=10,CODE(MID(TRIM(UPPER(D197)),1,1))&gt;=65,CODE(MID(TRIM(UPPER(D197)),1,1))&lt;=90,CODE(MID(TRIM(UPPER(D197)),2,1))&gt;=65,CODE(MID(TRIM(UPPER(D197)),2,1))&lt;=90,CODE(MID(TRIM(UPPER(D197)),3,1))&gt;=65,CODE(MID(TRIM(UPPER(D197)),3,1))&lt;=90,CODE(MID(TRIM(UPPER(D197)),4,1))&gt;=65,CODE(MID(TRIM(UPPER(D197)),4,1))&lt;=90,CODE(MID(TRIM(UPPER(D197)),5,1))&gt;=65,CODE(MID(TRIM(UPPER(D197)),5,1))&lt;=90,CODE(MID(TRIM(UPPER(D197)),10,1))&gt;=65,CODE(MID(TRIM(UPPER(D197)),10,1))&lt;=90,CODE(MID(TRIM(UPPER(D197)),6,1))&gt;=48,CODE(MID(TRIM(UPPER(D197)),6,1))&lt;=57,CODE(MID(TRIM(UPPER(D197)),7,1))&gt;=48,CODE(MID(TRIM(UPPER(D197)),7,1))&lt;=57,CODE(MID(TRIM(UPPER(D197)),8,1))&gt;=48,CODE(MID(TRIM(UPPER(D197)),8,1))&lt;=57,CODE(MID(TRIM(UPPER(D197)),9,1))&gt;=48,CODE(MID(TRIM(UPPER(D197)),9,1))&lt;=57),"N","Y"))</f>
      </c>
      <c r="F197" s="7">
        <f>IF($C197="","",IF(LEN(D197)&lt;4,"",IF(UPPER(MID(D197,4,1))="P","Individual",IF(UPPER(MID(D197,4,1))="H","HUF",IF(UPPER(MID(D197,4,1))="C","Company",IF(UPPER(MID(D197,4,1))="F","Firm",IF(UPPER(MID(D197,4,1))="L","LLP",IF(UPPER(MID(D197,4,1))="T","Trust",IF(UPPER(MID(D197,4,1))="A","AOP","")))))))))</f>
      </c>
      <c r="G197" s="8"/>
      <c r="H197" s="7">
        <f>IF($C197="","",IF(R197&lt;&gt;"",R197,IF(G197="","",IF(E197="Y",SUMPRODUCT(('Rate Lookup'!$A$1:$A$37=G197)*'Rate Lookup'!$D$1:$D$37),IF(OR(F197="Individual",F197="HUF"),SUMPRODUCT(('Rate Lookup'!$A$1:$A$37=G197)*'Rate Lookup'!$B$1:$B$37),SUMPRODUCT(('Rate Lookup'!$A$1:$A$37=G197)*'Rate Lookup'!$C$1:$C$37)))))))</f>
      </c>
      <c r="I197" s="8"/>
      <c r="J197" s="8"/>
      <c r="K197" s="7">
        <f>IF($C197="","",IF(OR(P197="B",P197="D",P197="E",P197="N",P197="O",P197="P",P197="Q",P197="S",P197="Y",P197="Z"),0,ROUND(J197*H197/100,0)))</f>
      </c>
      <c r="L197" s="7">
        <f>IF($C197="","",0)</f>
      </c>
      <c r="M197" s="7">
        <f>IF($C197="","",0)</f>
      </c>
      <c r="N197" s="7">
        <f>IF($C197="","",IF(OR(K197=0,I197="",IFERROR(INDEX('Challan Master'!$D$4:$D$207,MATCH($B197,'Challan Master'!$S$4:$S$207,0)),"")="",IFERROR(INDEX('Challan Master'!$D$4:$D$207,MATCH($B197,'Challan Master'!$S$4:$S$207,0)),"")&lt;=0),0,IF(IFERROR(INDEX('Challan Master'!$D$4:$D$207,MATCH($B197,'Challan Master'!$S$4:$S$207,0)),"")&lt;=DATE(YEAR(I197),MONTH(I197)+1,7),0,ROUND(K197*0.015*((YEAR(IFERROR(INDEX('Challan Master'!$D$4:$D$207,MATCH($B197,'Challan Master'!$S$4:$S$207,0)),""))-YEAR(I197))*12+(MONTH(IFERROR(INDEX('Challan Master'!$D$4:$D$207,MATCH($B197,'Challan Master'!$S$4:$S$207,0)),""))-MONTH(I197))+1),0))))</f>
      </c>
      <c r="O197" s="7">
        <f>IF($C197="","",0)</f>
      </c>
      <c r="P197" s="8"/>
      <c r="Q197" s="8"/>
      <c r="R197" s="8"/>
      <c r="S197" s="8"/>
      <c r="T197" s="8"/>
      <c r="U197" s="7">
        <f>IF($B197="","",IFERROR(INDEX('Challan Master'!$AA$4:$AA$207,MATCH($B197,'Challan Master'!$S$4:$S$207,0)),""))</f>
      </c>
    </row>
    <row r="198" spans="1:22" x14ac:dyDescent="0.25">
      <c r="A198" s="7">
        <f>IF($C198="","",COUNTIF($C$4:$C198,"&lt;&gt;"))</f>
      </c>
      <c r="B198" s="8"/>
      <c r="C198" s="8"/>
      <c r="D198" s="8"/>
      <c r="E198" s="7">
        <f>IF($C198="","",IF(AND(LEN(TRIM(UPPER(D198)))=10,CODE(MID(TRIM(UPPER(D198)),1,1))&gt;=65,CODE(MID(TRIM(UPPER(D198)),1,1))&lt;=90,CODE(MID(TRIM(UPPER(D198)),2,1))&gt;=65,CODE(MID(TRIM(UPPER(D198)),2,1))&lt;=90,CODE(MID(TRIM(UPPER(D198)),3,1))&gt;=65,CODE(MID(TRIM(UPPER(D198)),3,1))&lt;=90,CODE(MID(TRIM(UPPER(D198)),4,1))&gt;=65,CODE(MID(TRIM(UPPER(D198)),4,1))&lt;=90,CODE(MID(TRIM(UPPER(D198)),5,1))&gt;=65,CODE(MID(TRIM(UPPER(D198)),5,1))&lt;=90,CODE(MID(TRIM(UPPER(D198)),10,1))&gt;=65,CODE(MID(TRIM(UPPER(D198)),10,1))&lt;=90,CODE(MID(TRIM(UPPER(D198)),6,1))&gt;=48,CODE(MID(TRIM(UPPER(D198)),6,1))&lt;=57,CODE(MID(TRIM(UPPER(D198)),7,1))&gt;=48,CODE(MID(TRIM(UPPER(D198)),7,1))&lt;=57,CODE(MID(TRIM(UPPER(D198)),8,1))&gt;=48,CODE(MID(TRIM(UPPER(D198)),8,1))&lt;=57,CODE(MID(TRIM(UPPER(D198)),9,1))&gt;=48,CODE(MID(TRIM(UPPER(D198)),9,1))&lt;=57),"N","Y"))</f>
      </c>
      <c r="F198" s="7">
        <f>IF($C198="","",IF(LEN(D198)&lt;4,"",IF(UPPER(MID(D198,4,1))="P","Individual",IF(UPPER(MID(D198,4,1))="H","HUF",IF(UPPER(MID(D198,4,1))="C","Company",IF(UPPER(MID(D198,4,1))="F","Firm",IF(UPPER(MID(D198,4,1))="L","LLP",IF(UPPER(MID(D198,4,1))="T","Trust",IF(UPPER(MID(D198,4,1))="A","AOP","")))))))))</f>
      </c>
      <c r="G198" s="8"/>
      <c r="H198" s="7">
        <f>IF($C198="","",IF(R198&lt;&gt;"",R198,IF(G198="","",IF(E198="Y",SUMPRODUCT(('Rate Lookup'!$A$1:$A$37=G198)*'Rate Lookup'!$D$1:$D$37),IF(OR(F198="Individual",F198="HUF"),SUMPRODUCT(('Rate Lookup'!$A$1:$A$37=G198)*'Rate Lookup'!$B$1:$B$37),SUMPRODUCT(('Rate Lookup'!$A$1:$A$37=G198)*'Rate Lookup'!$C$1:$C$37)))))))</f>
      </c>
      <c r="I198" s="8"/>
      <c r="J198" s="8"/>
      <c r="K198" s="7">
        <f>IF($C198="","",IF(OR(P198="B",P198="D",P198="E",P198="N",P198="O",P198="P",P198="Q",P198="S",P198="Y",P198="Z"),0,ROUND(J198*H198/100,0)))</f>
      </c>
      <c r="L198" s="7">
        <f>IF($C198="","",0)</f>
      </c>
      <c r="M198" s="7">
        <f>IF($C198="","",0)</f>
      </c>
      <c r="N198" s="7">
        <f>IF($C198="","",IF(OR(K198=0,I198="",IFERROR(INDEX('Challan Master'!$D$4:$D$207,MATCH($B198,'Challan Master'!$S$4:$S$207,0)),"")="",IFERROR(INDEX('Challan Master'!$D$4:$D$207,MATCH($B198,'Challan Master'!$S$4:$S$207,0)),"")&lt;=0),0,IF(IFERROR(INDEX('Challan Master'!$D$4:$D$207,MATCH($B198,'Challan Master'!$S$4:$S$207,0)),"")&lt;=DATE(YEAR(I198),MONTH(I198)+1,7),0,ROUND(K198*0.015*((YEAR(IFERROR(INDEX('Challan Master'!$D$4:$D$207,MATCH($B198,'Challan Master'!$S$4:$S$207,0)),""))-YEAR(I198))*12+(MONTH(IFERROR(INDEX('Challan Master'!$D$4:$D$207,MATCH($B198,'Challan Master'!$S$4:$S$207,0)),""))-MONTH(I198))+1),0))))</f>
      </c>
      <c r="O198" s="7">
        <f>IF($C198="","",0)</f>
      </c>
      <c r="P198" s="8"/>
      <c r="Q198" s="8"/>
      <c r="R198" s="8"/>
      <c r="S198" s="8"/>
      <c r="T198" s="8"/>
      <c r="U198" s="7">
        <f>IF($B198="","",IFERROR(INDEX('Challan Master'!$AA$4:$AA$207,MATCH($B198,'Challan Master'!$S$4:$S$207,0)),""))</f>
      </c>
    </row>
    <row r="199" spans="1:22" x14ac:dyDescent="0.25">
      <c r="A199" s="7">
        <f>IF($C199="","",COUNTIF($C$4:$C199,"&lt;&gt;"))</f>
      </c>
      <c r="B199" s="8"/>
      <c r="C199" s="8"/>
      <c r="D199" s="8"/>
      <c r="E199" s="7">
        <f>IF($C199="","",IF(AND(LEN(TRIM(UPPER(D199)))=10,CODE(MID(TRIM(UPPER(D199)),1,1))&gt;=65,CODE(MID(TRIM(UPPER(D199)),1,1))&lt;=90,CODE(MID(TRIM(UPPER(D199)),2,1))&gt;=65,CODE(MID(TRIM(UPPER(D199)),2,1))&lt;=90,CODE(MID(TRIM(UPPER(D199)),3,1))&gt;=65,CODE(MID(TRIM(UPPER(D199)),3,1))&lt;=90,CODE(MID(TRIM(UPPER(D199)),4,1))&gt;=65,CODE(MID(TRIM(UPPER(D199)),4,1))&lt;=90,CODE(MID(TRIM(UPPER(D199)),5,1))&gt;=65,CODE(MID(TRIM(UPPER(D199)),5,1))&lt;=90,CODE(MID(TRIM(UPPER(D199)),10,1))&gt;=65,CODE(MID(TRIM(UPPER(D199)),10,1))&lt;=90,CODE(MID(TRIM(UPPER(D199)),6,1))&gt;=48,CODE(MID(TRIM(UPPER(D199)),6,1))&lt;=57,CODE(MID(TRIM(UPPER(D199)),7,1))&gt;=48,CODE(MID(TRIM(UPPER(D199)),7,1))&lt;=57,CODE(MID(TRIM(UPPER(D199)),8,1))&gt;=48,CODE(MID(TRIM(UPPER(D199)),8,1))&lt;=57,CODE(MID(TRIM(UPPER(D199)),9,1))&gt;=48,CODE(MID(TRIM(UPPER(D199)),9,1))&lt;=57),"N","Y"))</f>
      </c>
      <c r="F199" s="7">
        <f>IF($C199="","",IF(LEN(D199)&lt;4,"",IF(UPPER(MID(D199,4,1))="P","Individual",IF(UPPER(MID(D199,4,1))="H","HUF",IF(UPPER(MID(D199,4,1))="C","Company",IF(UPPER(MID(D199,4,1))="F","Firm",IF(UPPER(MID(D199,4,1))="L","LLP",IF(UPPER(MID(D199,4,1))="T","Trust",IF(UPPER(MID(D199,4,1))="A","AOP","")))))))))</f>
      </c>
      <c r="G199" s="8"/>
      <c r="H199" s="7">
        <f>IF($C199="","",IF(R199&lt;&gt;"",R199,IF(G199="","",IF(E199="Y",SUMPRODUCT(('Rate Lookup'!$A$1:$A$37=G199)*'Rate Lookup'!$D$1:$D$37),IF(OR(F199="Individual",F199="HUF"),SUMPRODUCT(('Rate Lookup'!$A$1:$A$37=G199)*'Rate Lookup'!$B$1:$B$37),SUMPRODUCT(('Rate Lookup'!$A$1:$A$37=G199)*'Rate Lookup'!$C$1:$C$37)))))))</f>
      </c>
      <c r="I199" s="8"/>
      <c r="J199" s="8"/>
      <c r="K199" s="7">
        <f>IF($C199="","",IF(OR(P199="B",P199="D",P199="E",P199="N",P199="O",P199="P",P199="Q",P199="S",P199="Y",P199="Z"),0,ROUND(J199*H199/100,0)))</f>
      </c>
      <c r="L199" s="7">
        <f>IF($C199="","",0)</f>
      </c>
      <c r="M199" s="7">
        <f>IF($C199="","",0)</f>
      </c>
      <c r="N199" s="7">
        <f>IF($C199="","",IF(OR(K199=0,I199="",IFERROR(INDEX('Challan Master'!$D$4:$D$207,MATCH($B199,'Challan Master'!$S$4:$S$207,0)),"")="",IFERROR(INDEX('Challan Master'!$D$4:$D$207,MATCH($B199,'Challan Master'!$S$4:$S$207,0)),"")&lt;=0),0,IF(IFERROR(INDEX('Challan Master'!$D$4:$D$207,MATCH($B199,'Challan Master'!$S$4:$S$207,0)),"")&lt;=DATE(YEAR(I199),MONTH(I199)+1,7),0,ROUND(K199*0.015*((YEAR(IFERROR(INDEX('Challan Master'!$D$4:$D$207,MATCH($B199,'Challan Master'!$S$4:$S$207,0)),""))-YEAR(I199))*12+(MONTH(IFERROR(INDEX('Challan Master'!$D$4:$D$207,MATCH($B199,'Challan Master'!$S$4:$S$207,0)),""))-MONTH(I199))+1),0))))</f>
      </c>
      <c r="O199" s="7">
        <f>IF($C199="","",0)</f>
      </c>
      <c r="P199" s="8"/>
      <c r="Q199" s="8"/>
      <c r="R199" s="8"/>
      <c r="S199" s="8"/>
      <c r="T199" s="8"/>
      <c r="U199" s="7">
        <f>IF($B199="","",IFERROR(INDEX('Challan Master'!$AA$4:$AA$207,MATCH($B199,'Challan Master'!$S$4:$S$207,0)),""))</f>
      </c>
    </row>
    <row r="200" spans="1:22" x14ac:dyDescent="0.25">
      <c r="A200" s="7">
        <f>IF($C200="","",COUNTIF($C$4:$C200,"&lt;&gt;"))</f>
      </c>
      <c r="B200" s="8"/>
      <c r="C200" s="8"/>
      <c r="D200" s="8"/>
      <c r="E200" s="7">
        <f>IF($C200="","",IF(AND(LEN(TRIM(UPPER(D200)))=10,CODE(MID(TRIM(UPPER(D200)),1,1))&gt;=65,CODE(MID(TRIM(UPPER(D200)),1,1))&lt;=90,CODE(MID(TRIM(UPPER(D200)),2,1))&gt;=65,CODE(MID(TRIM(UPPER(D200)),2,1))&lt;=90,CODE(MID(TRIM(UPPER(D200)),3,1))&gt;=65,CODE(MID(TRIM(UPPER(D200)),3,1))&lt;=90,CODE(MID(TRIM(UPPER(D200)),4,1))&gt;=65,CODE(MID(TRIM(UPPER(D200)),4,1))&lt;=90,CODE(MID(TRIM(UPPER(D200)),5,1))&gt;=65,CODE(MID(TRIM(UPPER(D200)),5,1))&lt;=90,CODE(MID(TRIM(UPPER(D200)),10,1))&gt;=65,CODE(MID(TRIM(UPPER(D200)),10,1))&lt;=90,CODE(MID(TRIM(UPPER(D200)),6,1))&gt;=48,CODE(MID(TRIM(UPPER(D200)),6,1))&lt;=57,CODE(MID(TRIM(UPPER(D200)),7,1))&gt;=48,CODE(MID(TRIM(UPPER(D200)),7,1))&lt;=57,CODE(MID(TRIM(UPPER(D200)),8,1))&gt;=48,CODE(MID(TRIM(UPPER(D200)),8,1))&lt;=57,CODE(MID(TRIM(UPPER(D200)),9,1))&gt;=48,CODE(MID(TRIM(UPPER(D200)),9,1))&lt;=57),"N","Y"))</f>
      </c>
      <c r="F200" s="7">
        <f>IF($C200="","",IF(LEN(D200)&lt;4,"",IF(UPPER(MID(D200,4,1))="P","Individual",IF(UPPER(MID(D200,4,1))="H","HUF",IF(UPPER(MID(D200,4,1))="C","Company",IF(UPPER(MID(D200,4,1))="F","Firm",IF(UPPER(MID(D200,4,1))="L","LLP",IF(UPPER(MID(D200,4,1))="T","Trust",IF(UPPER(MID(D200,4,1))="A","AOP","")))))))))</f>
      </c>
      <c r="G200" s="8"/>
      <c r="H200" s="7">
        <f>IF($C200="","",IF(R200&lt;&gt;"",R200,IF(G200="","",IF(E200="Y",SUMPRODUCT(('Rate Lookup'!$A$1:$A$37=G200)*'Rate Lookup'!$D$1:$D$37),IF(OR(F200="Individual",F200="HUF"),SUMPRODUCT(('Rate Lookup'!$A$1:$A$37=G200)*'Rate Lookup'!$B$1:$B$37),SUMPRODUCT(('Rate Lookup'!$A$1:$A$37=G200)*'Rate Lookup'!$C$1:$C$37)))))))</f>
      </c>
      <c r="I200" s="8"/>
      <c r="J200" s="8"/>
      <c r="K200" s="7">
        <f>IF($C200="","",IF(OR(P200="B",P200="D",P200="E",P200="N",P200="O",P200="P",P200="Q",P200="S",P200="Y",P200="Z"),0,ROUND(J200*H200/100,0)))</f>
      </c>
      <c r="L200" s="7">
        <f>IF($C200="","",0)</f>
      </c>
      <c r="M200" s="7">
        <f>IF($C200="","",0)</f>
      </c>
      <c r="N200" s="7">
        <f>IF($C200="","",IF(OR(K200=0,I200="",IFERROR(INDEX('Challan Master'!$D$4:$D$207,MATCH($B200,'Challan Master'!$S$4:$S$207,0)),"")="",IFERROR(INDEX('Challan Master'!$D$4:$D$207,MATCH($B200,'Challan Master'!$S$4:$S$207,0)),"")&lt;=0),0,IF(IFERROR(INDEX('Challan Master'!$D$4:$D$207,MATCH($B200,'Challan Master'!$S$4:$S$207,0)),"")&lt;=DATE(YEAR(I200),MONTH(I200)+1,7),0,ROUND(K200*0.015*((YEAR(IFERROR(INDEX('Challan Master'!$D$4:$D$207,MATCH($B200,'Challan Master'!$S$4:$S$207,0)),""))-YEAR(I200))*12+(MONTH(IFERROR(INDEX('Challan Master'!$D$4:$D$207,MATCH($B200,'Challan Master'!$S$4:$S$207,0)),""))-MONTH(I200))+1),0))))</f>
      </c>
      <c r="O200" s="7">
        <f>IF($C200="","",0)</f>
      </c>
      <c r="P200" s="8"/>
      <c r="Q200" s="8"/>
      <c r="R200" s="8"/>
      <c r="S200" s="8"/>
      <c r="T200" s="8"/>
      <c r="U200" s="7">
        <f>IF($B200="","",IFERROR(INDEX('Challan Master'!$AA$4:$AA$207,MATCH($B200,'Challan Master'!$S$4:$S$207,0)),""))</f>
      </c>
    </row>
    <row r="201" spans="1:22" x14ac:dyDescent="0.25">
      <c r="A201" s="7">
        <f>IF($C201="","",COUNTIF($C$4:$C201,"&lt;&gt;"))</f>
      </c>
      <c r="B201" s="8"/>
      <c r="C201" s="8"/>
      <c r="D201" s="8"/>
      <c r="E201" s="7">
        <f>IF($C201="","",IF(AND(LEN(TRIM(UPPER(D201)))=10,CODE(MID(TRIM(UPPER(D201)),1,1))&gt;=65,CODE(MID(TRIM(UPPER(D201)),1,1))&lt;=90,CODE(MID(TRIM(UPPER(D201)),2,1))&gt;=65,CODE(MID(TRIM(UPPER(D201)),2,1))&lt;=90,CODE(MID(TRIM(UPPER(D201)),3,1))&gt;=65,CODE(MID(TRIM(UPPER(D201)),3,1))&lt;=90,CODE(MID(TRIM(UPPER(D201)),4,1))&gt;=65,CODE(MID(TRIM(UPPER(D201)),4,1))&lt;=90,CODE(MID(TRIM(UPPER(D201)),5,1))&gt;=65,CODE(MID(TRIM(UPPER(D201)),5,1))&lt;=90,CODE(MID(TRIM(UPPER(D201)),10,1))&gt;=65,CODE(MID(TRIM(UPPER(D201)),10,1))&lt;=90,CODE(MID(TRIM(UPPER(D201)),6,1))&gt;=48,CODE(MID(TRIM(UPPER(D201)),6,1))&lt;=57,CODE(MID(TRIM(UPPER(D201)),7,1))&gt;=48,CODE(MID(TRIM(UPPER(D201)),7,1))&lt;=57,CODE(MID(TRIM(UPPER(D201)),8,1))&gt;=48,CODE(MID(TRIM(UPPER(D201)),8,1))&lt;=57,CODE(MID(TRIM(UPPER(D201)),9,1))&gt;=48,CODE(MID(TRIM(UPPER(D201)),9,1))&lt;=57),"N","Y"))</f>
      </c>
      <c r="F201" s="7">
        <f>IF($C201="","",IF(LEN(D201)&lt;4,"",IF(UPPER(MID(D201,4,1))="P","Individual",IF(UPPER(MID(D201,4,1))="H","HUF",IF(UPPER(MID(D201,4,1))="C","Company",IF(UPPER(MID(D201,4,1))="F","Firm",IF(UPPER(MID(D201,4,1))="L","LLP",IF(UPPER(MID(D201,4,1))="T","Trust",IF(UPPER(MID(D201,4,1))="A","AOP","")))))))))</f>
      </c>
      <c r="G201" s="8"/>
      <c r="H201" s="7">
        <f>IF($C201="","",IF(R201&lt;&gt;"",R201,IF(G201="","",IF(E201="Y",SUMPRODUCT(('Rate Lookup'!$A$1:$A$37=G201)*'Rate Lookup'!$D$1:$D$37),IF(OR(F201="Individual",F201="HUF"),SUMPRODUCT(('Rate Lookup'!$A$1:$A$37=G201)*'Rate Lookup'!$B$1:$B$37),SUMPRODUCT(('Rate Lookup'!$A$1:$A$37=G201)*'Rate Lookup'!$C$1:$C$37)))))))</f>
      </c>
      <c r="I201" s="8"/>
      <c r="J201" s="8"/>
      <c r="K201" s="7">
        <f>IF($C201="","",IF(OR(P201="B",P201="D",P201="E",P201="N",P201="O",P201="P",P201="Q",P201="S",P201="Y",P201="Z"),0,ROUND(J201*H201/100,0)))</f>
      </c>
      <c r="L201" s="7">
        <f>IF($C201="","",0)</f>
      </c>
      <c r="M201" s="7">
        <f>IF($C201="","",0)</f>
      </c>
      <c r="N201" s="7">
        <f>IF($C201="","",IF(OR(K201=0,I201="",IFERROR(INDEX('Challan Master'!$D$4:$D$207,MATCH($B201,'Challan Master'!$S$4:$S$207,0)),"")="",IFERROR(INDEX('Challan Master'!$D$4:$D$207,MATCH($B201,'Challan Master'!$S$4:$S$207,0)),"")&lt;=0),0,IF(IFERROR(INDEX('Challan Master'!$D$4:$D$207,MATCH($B201,'Challan Master'!$S$4:$S$207,0)),"")&lt;=DATE(YEAR(I201),MONTH(I201)+1,7),0,ROUND(K201*0.015*((YEAR(IFERROR(INDEX('Challan Master'!$D$4:$D$207,MATCH($B201,'Challan Master'!$S$4:$S$207,0)),""))-YEAR(I201))*12+(MONTH(IFERROR(INDEX('Challan Master'!$D$4:$D$207,MATCH($B201,'Challan Master'!$S$4:$S$207,0)),""))-MONTH(I201))+1),0))))</f>
      </c>
      <c r="O201" s="7">
        <f>IF($C201="","",0)</f>
      </c>
      <c r="P201" s="8"/>
      <c r="Q201" s="8"/>
      <c r="R201" s="8"/>
      <c r="S201" s="8"/>
      <c r="T201" s="8"/>
      <c r="U201" s="7">
        <f>IF($B201="","",IFERROR(INDEX('Challan Master'!$AA$4:$AA$207,MATCH($B201,'Challan Master'!$S$4:$S$207,0)),""))</f>
      </c>
    </row>
    <row r="202" spans="1:22" x14ac:dyDescent="0.25">
      <c r="A202" s="7">
        <f>IF($C202="","",COUNTIF($C$4:$C202,"&lt;&gt;"))</f>
      </c>
      <c r="B202" s="8"/>
      <c r="C202" s="8"/>
      <c r="D202" s="8"/>
      <c r="E202" s="7">
        <f>IF($C202="","",IF(AND(LEN(TRIM(UPPER(D202)))=10,CODE(MID(TRIM(UPPER(D202)),1,1))&gt;=65,CODE(MID(TRIM(UPPER(D202)),1,1))&lt;=90,CODE(MID(TRIM(UPPER(D202)),2,1))&gt;=65,CODE(MID(TRIM(UPPER(D202)),2,1))&lt;=90,CODE(MID(TRIM(UPPER(D202)),3,1))&gt;=65,CODE(MID(TRIM(UPPER(D202)),3,1))&lt;=90,CODE(MID(TRIM(UPPER(D202)),4,1))&gt;=65,CODE(MID(TRIM(UPPER(D202)),4,1))&lt;=90,CODE(MID(TRIM(UPPER(D202)),5,1))&gt;=65,CODE(MID(TRIM(UPPER(D202)),5,1))&lt;=90,CODE(MID(TRIM(UPPER(D202)),10,1))&gt;=65,CODE(MID(TRIM(UPPER(D202)),10,1))&lt;=90,CODE(MID(TRIM(UPPER(D202)),6,1))&gt;=48,CODE(MID(TRIM(UPPER(D202)),6,1))&lt;=57,CODE(MID(TRIM(UPPER(D202)),7,1))&gt;=48,CODE(MID(TRIM(UPPER(D202)),7,1))&lt;=57,CODE(MID(TRIM(UPPER(D202)),8,1))&gt;=48,CODE(MID(TRIM(UPPER(D202)),8,1))&lt;=57,CODE(MID(TRIM(UPPER(D202)),9,1))&gt;=48,CODE(MID(TRIM(UPPER(D202)),9,1))&lt;=57),"N","Y"))</f>
      </c>
      <c r="F202" s="7">
        <f>IF($C202="","",IF(LEN(D202)&lt;4,"",IF(UPPER(MID(D202,4,1))="P","Individual",IF(UPPER(MID(D202,4,1))="H","HUF",IF(UPPER(MID(D202,4,1))="C","Company",IF(UPPER(MID(D202,4,1))="F","Firm",IF(UPPER(MID(D202,4,1))="L","LLP",IF(UPPER(MID(D202,4,1))="T","Trust",IF(UPPER(MID(D202,4,1))="A","AOP","")))))))))</f>
      </c>
      <c r="G202" s="8"/>
      <c r="H202" s="7">
        <f>IF($C202="","",IF(R202&lt;&gt;"",R202,IF(G202="","",IF(E202="Y",SUMPRODUCT(('Rate Lookup'!$A$1:$A$37=G202)*'Rate Lookup'!$D$1:$D$37),IF(OR(F202="Individual",F202="HUF"),SUMPRODUCT(('Rate Lookup'!$A$1:$A$37=G202)*'Rate Lookup'!$B$1:$B$37),SUMPRODUCT(('Rate Lookup'!$A$1:$A$37=G202)*'Rate Lookup'!$C$1:$C$37)))))))</f>
      </c>
      <c r="I202" s="8"/>
      <c r="J202" s="8"/>
      <c r="K202" s="7">
        <f>IF($C202="","",IF(OR(P202="B",P202="D",P202="E",P202="N",P202="O",P202="P",P202="Q",P202="S",P202="Y",P202="Z"),0,ROUND(J202*H202/100,0)))</f>
      </c>
      <c r="L202" s="7">
        <f>IF($C202="","",0)</f>
      </c>
      <c r="M202" s="7">
        <f>IF($C202="","",0)</f>
      </c>
      <c r="N202" s="7">
        <f>IF($C202="","",IF(OR(K202=0,I202="",IFERROR(INDEX('Challan Master'!$D$4:$D$207,MATCH($B202,'Challan Master'!$S$4:$S$207,0)),"")="",IFERROR(INDEX('Challan Master'!$D$4:$D$207,MATCH($B202,'Challan Master'!$S$4:$S$207,0)),"")&lt;=0),0,IF(IFERROR(INDEX('Challan Master'!$D$4:$D$207,MATCH($B202,'Challan Master'!$S$4:$S$207,0)),"")&lt;=DATE(YEAR(I202),MONTH(I202)+1,7),0,ROUND(K202*0.015*((YEAR(IFERROR(INDEX('Challan Master'!$D$4:$D$207,MATCH($B202,'Challan Master'!$S$4:$S$207,0)),""))-YEAR(I202))*12+(MONTH(IFERROR(INDEX('Challan Master'!$D$4:$D$207,MATCH($B202,'Challan Master'!$S$4:$S$207,0)),""))-MONTH(I202))+1),0))))</f>
      </c>
      <c r="O202" s="7">
        <f>IF($C202="","",0)</f>
      </c>
      <c r="P202" s="8"/>
      <c r="Q202" s="8"/>
      <c r="R202" s="8"/>
      <c r="S202" s="8"/>
      <c r="T202" s="8"/>
      <c r="U202" s="7">
        <f>IF($B202="","",IFERROR(INDEX('Challan Master'!$AA$4:$AA$207,MATCH($B202,'Challan Master'!$S$4:$S$207,0)),""))</f>
      </c>
    </row>
    <row r="203" spans="1:22" x14ac:dyDescent="0.25">
      <c r="A203" s="7">
        <f>IF($C203="","",COUNTIF($C$4:$C203,"&lt;&gt;"))</f>
      </c>
      <c r="B203" s="8"/>
      <c r="C203" s="8"/>
      <c r="D203" s="8"/>
      <c r="E203" s="7">
        <f>IF($C203="","",IF(AND(LEN(TRIM(UPPER(D203)))=10,CODE(MID(TRIM(UPPER(D203)),1,1))&gt;=65,CODE(MID(TRIM(UPPER(D203)),1,1))&lt;=90,CODE(MID(TRIM(UPPER(D203)),2,1))&gt;=65,CODE(MID(TRIM(UPPER(D203)),2,1))&lt;=90,CODE(MID(TRIM(UPPER(D203)),3,1))&gt;=65,CODE(MID(TRIM(UPPER(D203)),3,1))&lt;=90,CODE(MID(TRIM(UPPER(D203)),4,1))&gt;=65,CODE(MID(TRIM(UPPER(D203)),4,1))&lt;=90,CODE(MID(TRIM(UPPER(D203)),5,1))&gt;=65,CODE(MID(TRIM(UPPER(D203)),5,1))&lt;=90,CODE(MID(TRIM(UPPER(D203)),10,1))&gt;=65,CODE(MID(TRIM(UPPER(D203)),10,1))&lt;=90,CODE(MID(TRIM(UPPER(D203)),6,1))&gt;=48,CODE(MID(TRIM(UPPER(D203)),6,1))&lt;=57,CODE(MID(TRIM(UPPER(D203)),7,1))&gt;=48,CODE(MID(TRIM(UPPER(D203)),7,1))&lt;=57,CODE(MID(TRIM(UPPER(D203)),8,1))&gt;=48,CODE(MID(TRIM(UPPER(D203)),8,1))&lt;=57,CODE(MID(TRIM(UPPER(D203)),9,1))&gt;=48,CODE(MID(TRIM(UPPER(D203)),9,1))&lt;=57),"N","Y"))</f>
      </c>
      <c r="F203" s="7">
        <f>IF($C203="","",IF(LEN(D203)&lt;4,"",IF(UPPER(MID(D203,4,1))="P","Individual",IF(UPPER(MID(D203,4,1))="H","HUF",IF(UPPER(MID(D203,4,1))="C","Company",IF(UPPER(MID(D203,4,1))="F","Firm",IF(UPPER(MID(D203,4,1))="L","LLP",IF(UPPER(MID(D203,4,1))="T","Trust",IF(UPPER(MID(D203,4,1))="A","AOP","")))))))))</f>
      </c>
      <c r="G203" s="8"/>
      <c r="H203" s="7">
        <f>IF($C203="","",IF(R203&lt;&gt;"",R203,IF(G203="","",IF(E203="Y",SUMPRODUCT(('Rate Lookup'!$A$1:$A$37=G203)*'Rate Lookup'!$D$1:$D$37),IF(OR(F203="Individual",F203="HUF"),SUMPRODUCT(('Rate Lookup'!$A$1:$A$37=G203)*'Rate Lookup'!$B$1:$B$37),SUMPRODUCT(('Rate Lookup'!$A$1:$A$37=G203)*'Rate Lookup'!$C$1:$C$37)))))))</f>
      </c>
      <c r="I203" s="8"/>
      <c r="J203" s="8"/>
      <c r="K203" s="7">
        <f>IF($C203="","",IF(OR(P203="B",P203="D",P203="E",P203="N",P203="O",P203="P",P203="Q",P203="S",P203="Y",P203="Z"),0,ROUND(J203*H203/100,0)))</f>
      </c>
      <c r="L203" s="7">
        <f>IF($C203="","",0)</f>
      </c>
      <c r="M203" s="7">
        <f>IF($C203="","",0)</f>
      </c>
      <c r="N203" s="7">
        <f>IF($C203="","",IF(OR(K203=0,I203="",IFERROR(INDEX('Challan Master'!$D$4:$D$207,MATCH($B203,'Challan Master'!$S$4:$S$207,0)),"")="",IFERROR(INDEX('Challan Master'!$D$4:$D$207,MATCH($B203,'Challan Master'!$S$4:$S$207,0)),"")&lt;=0),0,IF(IFERROR(INDEX('Challan Master'!$D$4:$D$207,MATCH($B203,'Challan Master'!$S$4:$S$207,0)),"")&lt;=DATE(YEAR(I203),MONTH(I203)+1,7),0,ROUND(K203*0.015*((YEAR(IFERROR(INDEX('Challan Master'!$D$4:$D$207,MATCH($B203,'Challan Master'!$S$4:$S$207,0)),""))-YEAR(I203))*12+(MONTH(IFERROR(INDEX('Challan Master'!$D$4:$D$207,MATCH($B203,'Challan Master'!$S$4:$S$207,0)),""))-MONTH(I203))+1),0))))</f>
      </c>
      <c r="O203" s="7">
        <f>IF($C203="","",0)</f>
      </c>
      <c r="P203" s="8"/>
      <c r="Q203" s="8"/>
      <c r="R203" s="8"/>
      <c r="S203" s="8"/>
      <c r="T203" s="8"/>
      <c r="U203" s="7">
        <f>IF($B203="","",IFERROR(INDEX('Challan Master'!$AA$4:$AA$207,MATCH($B203,'Challan Master'!$S$4:$S$207,0)),""))</f>
      </c>
    </row>
    <row r="204" spans="1:22" x14ac:dyDescent="0.25">
      <c r="A204" s="7">
        <f>IF($C204="","",COUNTIF($C$4:$C204,"&lt;&gt;"))</f>
      </c>
      <c r="B204" s="8"/>
      <c r="C204" s="8"/>
      <c r="D204" s="8"/>
      <c r="E204" s="7">
        <f>IF($C204="","",IF(AND(LEN(TRIM(UPPER(D204)))=10,CODE(MID(TRIM(UPPER(D204)),1,1))&gt;=65,CODE(MID(TRIM(UPPER(D204)),1,1))&lt;=90,CODE(MID(TRIM(UPPER(D204)),2,1))&gt;=65,CODE(MID(TRIM(UPPER(D204)),2,1))&lt;=90,CODE(MID(TRIM(UPPER(D204)),3,1))&gt;=65,CODE(MID(TRIM(UPPER(D204)),3,1))&lt;=90,CODE(MID(TRIM(UPPER(D204)),4,1))&gt;=65,CODE(MID(TRIM(UPPER(D204)),4,1))&lt;=90,CODE(MID(TRIM(UPPER(D204)),5,1))&gt;=65,CODE(MID(TRIM(UPPER(D204)),5,1))&lt;=90,CODE(MID(TRIM(UPPER(D204)),10,1))&gt;=65,CODE(MID(TRIM(UPPER(D204)),10,1))&lt;=90,CODE(MID(TRIM(UPPER(D204)),6,1))&gt;=48,CODE(MID(TRIM(UPPER(D204)),6,1))&lt;=57,CODE(MID(TRIM(UPPER(D204)),7,1))&gt;=48,CODE(MID(TRIM(UPPER(D204)),7,1))&lt;=57,CODE(MID(TRIM(UPPER(D204)),8,1))&gt;=48,CODE(MID(TRIM(UPPER(D204)),8,1))&lt;=57,CODE(MID(TRIM(UPPER(D204)),9,1))&gt;=48,CODE(MID(TRIM(UPPER(D204)),9,1))&lt;=57),"N","Y"))</f>
      </c>
      <c r="F204" s="7">
        <f>IF($C204="","",IF(LEN(D204)&lt;4,"",IF(UPPER(MID(D204,4,1))="P","Individual",IF(UPPER(MID(D204,4,1))="H","HUF",IF(UPPER(MID(D204,4,1))="C","Company",IF(UPPER(MID(D204,4,1))="F","Firm",IF(UPPER(MID(D204,4,1))="L","LLP",IF(UPPER(MID(D204,4,1))="T","Trust",IF(UPPER(MID(D204,4,1))="A","AOP","")))))))))</f>
      </c>
      <c r="G204" s="8"/>
      <c r="H204" s="7">
        <f>IF($C204="","",IF(R204&lt;&gt;"",R204,IF(G204="","",IF(E204="Y",SUMPRODUCT(('Rate Lookup'!$A$1:$A$37=G204)*'Rate Lookup'!$D$1:$D$37),IF(OR(F204="Individual",F204="HUF"),SUMPRODUCT(('Rate Lookup'!$A$1:$A$37=G204)*'Rate Lookup'!$B$1:$B$37),SUMPRODUCT(('Rate Lookup'!$A$1:$A$37=G204)*'Rate Lookup'!$C$1:$C$37)))))))</f>
      </c>
      <c r="I204" s="8"/>
      <c r="J204" s="8"/>
      <c r="K204" s="7">
        <f>IF($C204="","",IF(OR(P204="B",P204="D",P204="E",P204="N",P204="O",P204="P",P204="Q",P204="S",P204="Y",P204="Z"),0,ROUND(J204*H204/100,0)))</f>
      </c>
      <c r="L204" s="7">
        <f>IF($C204="","",0)</f>
      </c>
      <c r="M204" s="7">
        <f>IF($C204="","",0)</f>
      </c>
      <c r="N204" s="7">
        <f>IF($C204="","",IF(OR(K204=0,I204="",IFERROR(INDEX('Challan Master'!$D$4:$D$207,MATCH($B204,'Challan Master'!$S$4:$S$207,0)),"")="",IFERROR(INDEX('Challan Master'!$D$4:$D$207,MATCH($B204,'Challan Master'!$S$4:$S$207,0)),"")&lt;=0),0,IF(IFERROR(INDEX('Challan Master'!$D$4:$D$207,MATCH($B204,'Challan Master'!$S$4:$S$207,0)),"")&lt;=DATE(YEAR(I204),MONTH(I204)+1,7),0,ROUND(K204*0.015*((YEAR(IFERROR(INDEX('Challan Master'!$D$4:$D$207,MATCH($B204,'Challan Master'!$S$4:$S$207,0)),""))-YEAR(I204))*12+(MONTH(IFERROR(INDEX('Challan Master'!$D$4:$D$207,MATCH($B204,'Challan Master'!$S$4:$S$207,0)),""))-MONTH(I204))+1),0))))</f>
      </c>
      <c r="O204" s="7">
        <f>IF($C204="","",0)</f>
      </c>
      <c r="P204" s="8"/>
      <c r="Q204" s="8"/>
      <c r="R204" s="8"/>
      <c r="S204" s="8"/>
      <c r="T204" s="8"/>
      <c r="U204" s="7">
        <f>IF($B204="","",IFERROR(INDEX('Challan Master'!$AA$4:$AA$207,MATCH($B204,'Challan Master'!$S$4:$S$207,0)),""))</f>
      </c>
    </row>
    <row r="205" spans="1:22" x14ac:dyDescent="0.25">
      <c r="A205" s="7">
        <f>IF($C205="","",COUNTIF($C$4:$C205,"&lt;&gt;"))</f>
      </c>
      <c r="B205" s="8"/>
      <c r="C205" s="8"/>
      <c r="D205" s="8"/>
      <c r="E205" s="7">
        <f>IF($C205="","",IF(AND(LEN(TRIM(UPPER(D205)))=10,CODE(MID(TRIM(UPPER(D205)),1,1))&gt;=65,CODE(MID(TRIM(UPPER(D205)),1,1))&lt;=90,CODE(MID(TRIM(UPPER(D205)),2,1))&gt;=65,CODE(MID(TRIM(UPPER(D205)),2,1))&lt;=90,CODE(MID(TRIM(UPPER(D205)),3,1))&gt;=65,CODE(MID(TRIM(UPPER(D205)),3,1))&lt;=90,CODE(MID(TRIM(UPPER(D205)),4,1))&gt;=65,CODE(MID(TRIM(UPPER(D205)),4,1))&lt;=90,CODE(MID(TRIM(UPPER(D205)),5,1))&gt;=65,CODE(MID(TRIM(UPPER(D205)),5,1))&lt;=90,CODE(MID(TRIM(UPPER(D205)),10,1))&gt;=65,CODE(MID(TRIM(UPPER(D205)),10,1))&lt;=90,CODE(MID(TRIM(UPPER(D205)),6,1))&gt;=48,CODE(MID(TRIM(UPPER(D205)),6,1))&lt;=57,CODE(MID(TRIM(UPPER(D205)),7,1))&gt;=48,CODE(MID(TRIM(UPPER(D205)),7,1))&lt;=57,CODE(MID(TRIM(UPPER(D205)),8,1))&gt;=48,CODE(MID(TRIM(UPPER(D205)),8,1))&lt;=57,CODE(MID(TRIM(UPPER(D205)),9,1))&gt;=48,CODE(MID(TRIM(UPPER(D205)),9,1))&lt;=57),"N","Y"))</f>
      </c>
      <c r="F205" s="7">
        <f>IF($C205="","",IF(LEN(D205)&lt;4,"",IF(UPPER(MID(D205,4,1))="P","Individual",IF(UPPER(MID(D205,4,1))="H","HUF",IF(UPPER(MID(D205,4,1))="C","Company",IF(UPPER(MID(D205,4,1))="F","Firm",IF(UPPER(MID(D205,4,1))="L","LLP",IF(UPPER(MID(D205,4,1))="T","Trust",IF(UPPER(MID(D205,4,1))="A","AOP","")))))))))</f>
      </c>
      <c r="G205" s="8"/>
      <c r="H205" s="7">
        <f>IF($C205="","",IF(R205&lt;&gt;"",R205,IF(G205="","",IF(E205="Y",SUMPRODUCT(('Rate Lookup'!$A$1:$A$37=G205)*'Rate Lookup'!$D$1:$D$37),IF(OR(F205="Individual",F205="HUF"),SUMPRODUCT(('Rate Lookup'!$A$1:$A$37=G205)*'Rate Lookup'!$B$1:$B$37),SUMPRODUCT(('Rate Lookup'!$A$1:$A$37=G205)*'Rate Lookup'!$C$1:$C$37)))))))</f>
      </c>
      <c r="I205" s="8"/>
      <c r="J205" s="8"/>
      <c r="K205" s="7">
        <f>IF($C205="","",IF(OR(P205="B",P205="D",P205="E",P205="N",P205="O",P205="P",P205="Q",P205="S",P205="Y",P205="Z"),0,ROUND(J205*H205/100,0)))</f>
      </c>
      <c r="L205" s="7">
        <f>IF($C205="","",0)</f>
      </c>
      <c r="M205" s="7">
        <f>IF($C205="","",0)</f>
      </c>
      <c r="N205" s="7">
        <f>IF($C205="","",IF(OR(K205=0,I205="",IFERROR(INDEX('Challan Master'!$D$4:$D$207,MATCH($B205,'Challan Master'!$S$4:$S$207,0)),"")="",IFERROR(INDEX('Challan Master'!$D$4:$D$207,MATCH($B205,'Challan Master'!$S$4:$S$207,0)),"")&lt;=0),0,IF(IFERROR(INDEX('Challan Master'!$D$4:$D$207,MATCH($B205,'Challan Master'!$S$4:$S$207,0)),"")&lt;=DATE(YEAR(I205),MONTH(I205)+1,7),0,ROUND(K205*0.015*((YEAR(IFERROR(INDEX('Challan Master'!$D$4:$D$207,MATCH($B205,'Challan Master'!$S$4:$S$207,0)),""))-YEAR(I205))*12+(MONTH(IFERROR(INDEX('Challan Master'!$D$4:$D$207,MATCH($B205,'Challan Master'!$S$4:$S$207,0)),""))-MONTH(I205))+1),0))))</f>
      </c>
      <c r="O205" s="7">
        <f>IF($C205="","",0)</f>
      </c>
      <c r="P205" s="8"/>
      <c r="Q205" s="8"/>
      <c r="R205" s="8"/>
      <c r="S205" s="8"/>
      <c r="T205" s="8"/>
      <c r="U205" s="7">
        <f>IF($B205="","",IFERROR(INDEX('Challan Master'!$AA$4:$AA$207,MATCH($B205,'Challan Master'!$S$4:$S$207,0)),""))</f>
      </c>
    </row>
    <row r="206" spans="1:22" x14ac:dyDescent="0.25">
      <c r="A206" s="7">
        <f>IF($C206="","",COUNTIF($C$4:$C206,"&lt;&gt;"))</f>
      </c>
      <c r="B206" s="8"/>
      <c r="C206" s="8"/>
      <c r="D206" s="8"/>
      <c r="E206" s="7">
        <f>IF($C206="","",IF(AND(LEN(TRIM(UPPER(D206)))=10,CODE(MID(TRIM(UPPER(D206)),1,1))&gt;=65,CODE(MID(TRIM(UPPER(D206)),1,1))&lt;=90,CODE(MID(TRIM(UPPER(D206)),2,1))&gt;=65,CODE(MID(TRIM(UPPER(D206)),2,1))&lt;=90,CODE(MID(TRIM(UPPER(D206)),3,1))&gt;=65,CODE(MID(TRIM(UPPER(D206)),3,1))&lt;=90,CODE(MID(TRIM(UPPER(D206)),4,1))&gt;=65,CODE(MID(TRIM(UPPER(D206)),4,1))&lt;=90,CODE(MID(TRIM(UPPER(D206)),5,1))&gt;=65,CODE(MID(TRIM(UPPER(D206)),5,1))&lt;=90,CODE(MID(TRIM(UPPER(D206)),10,1))&gt;=65,CODE(MID(TRIM(UPPER(D206)),10,1))&lt;=90,CODE(MID(TRIM(UPPER(D206)),6,1))&gt;=48,CODE(MID(TRIM(UPPER(D206)),6,1))&lt;=57,CODE(MID(TRIM(UPPER(D206)),7,1))&gt;=48,CODE(MID(TRIM(UPPER(D206)),7,1))&lt;=57,CODE(MID(TRIM(UPPER(D206)),8,1))&gt;=48,CODE(MID(TRIM(UPPER(D206)),8,1))&lt;=57,CODE(MID(TRIM(UPPER(D206)),9,1))&gt;=48,CODE(MID(TRIM(UPPER(D206)),9,1))&lt;=57),"N","Y"))</f>
      </c>
      <c r="F206" s="7">
        <f>IF($C206="","",IF(LEN(D206)&lt;4,"",IF(UPPER(MID(D206,4,1))="P","Individual",IF(UPPER(MID(D206,4,1))="H","HUF",IF(UPPER(MID(D206,4,1))="C","Company",IF(UPPER(MID(D206,4,1))="F","Firm",IF(UPPER(MID(D206,4,1))="L","LLP",IF(UPPER(MID(D206,4,1))="T","Trust",IF(UPPER(MID(D206,4,1))="A","AOP","")))))))))</f>
      </c>
      <c r="G206" s="8"/>
      <c r="H206" s="7">
        <f>IF($C206="","",IF(R206&lt;&gt;"",R206,IF(G206="","",IF(E206="Y",SUMPRODUCT(('Rate Lookup'!$A$1:$A$37=G206)*'Rate Lookup'!$D$1:$D$37),IF(OR(F206="Individual",F206="HUF"),SUMPRODUCT(('Rate Lookup'!$A$1:$A$37=G206)*'Rate Lookup'!$B$1:$B$37),SUMPRODUCT(('Rate Lookup'!$A$1:$A$37=G206)*'Rate Lookup'!$C$1:$C$37)))))))</f>
      </c>
      <c r="I206" s="8"/>
      <c r="J206" s="8"/>
      <c r="K206" s="7">
        <f>IF($C206="","",IF(OR(P206="B",P206="D",P206="E",P206="N",P206="O",P206="P",P206="Q",P206="S",P206="Y",P206="Z"),0,ROUND(J206*H206/100,0)))</f>
      </c>
      <c r="L206" s="7">
        <f>IF($C206="","",0)</f>
      </c>
      <c r="M206" s="7">
        <f>IF($C206="","",0)</f>
      </c>
      <c r="N206" s="7">
        <f>IF($C206="","",IF(OR(K206=0,I206="",IFERROR(INDEX('Challan Master'!$D$4:$D$207,MATCH($B206,'Challan Master'!$S$4:$S$207,0)),"")="",IFERROR(INDEX('Challan Master'!$D$4:$D$207,MATCH($B206,'Challan Master'!$S$4:$S$207,0)),"")&lt;=0),0,IF(IFERROR(INDEX('Challan Master'!$D$4:$D$207,MATCH($B206,'Challan Master'!$S$4:$S$207,0)),"")&lt;=DATE(YEAR(I206),MONTH(I206)+1,7),0,ROUND(K206*0.015*((YEAR(IFERROR(INDEX('Challan Master'!$D$4:$D$207,MATCH($B206,'Challan Master'!$S$4:$S$207,0)),""))-YEAR(I206))*12+(MONTH(IFERROR(INDEX('Challan Master'!$D$4:$D$207,MATCH($B206,'Challan Master'!$S$4:$S$207,0)),""))-MONTH(I206))+1),0))))</f>
      </c>
      <c r="O206" s="7">
        <f>IF($C206="","",0)</f>
      </c>
      <c r="P206" s="8"/>
      <c r="Q206" s="8"/>
      <c r="R206" s="8"/>
      <c r="S206" s="8"/>
      <c r="T206" s="8"/>
      <c r="U206" s="7">
        <f>IF($B206="","",IFERROR(INDEX('Challan Master'!$AA$4:$AA$207,MATCH($B206,'Challan Master'!$S$4:$S$207,0)),""))</f>
      </c>
    </row>
    <row r="207" spans="1:22" x14ac:dyDescent="0.25">
      <c r="A207" s="7">
        <f>IF($C207="","",COUNTIF($C$4:$C207,"&lt;&gt;"))</f>
      </c>
      <c r="B207" s="8"/>
      <c r="C207" s="8"/>
      <c r="D207" s="8"/>
      <c r="E207" s="7">
        <f>IF($C207="","",IF(AND(LEN(TRIM(UPPER(D207)))=10,CODE(MID(TRIM(UPPER(D207)),1,1))&gt;=65,CODE(MID(TRIM(UPPER(D207)),1,1))&lt;=90,CODE(MID(TRIM(UPPER(D207)),2,1))&gt;=65,CODE(MID(TRIM(UPPER(D207)),2,1))&lt;=90,CODE(MID(TRIM(UPPER(D207)),3,1))&gt;=65,CODE(MID(TRIM(UPPER(D207)),3,1))&lt;=90,CODE(MID(TRIM(UPPER(D207)),4,1))&gt;=65,CODE(MID(TRIM(UPPER(D207)),4,1))&lt;=90,CODE(MID(TRIM(UPPER(D207)),5,1))&gt;=65,CODE(MID(TRIM(UPPER(D207)),5,1))&lt;=90,CODE(MID(TRIM(UPPER(D207)),10,1))&gt;=65,CODE(MID(TRIM(UPPER(D207)),10,1))&lt;=90,CODE(MID(TRIM(UPPER(D207)),6,1))&gt;=48,CODE(MID(TRIM(UPPER(D207)),6,1))&lt;=57,CODE(MID(TRIM(UPPER(D207)),7,1))&gt;=48,CODE(MID(TRIM(UPPER(D207)),7,1))&lt;=57,CODE(MID(TRIM(UPPER(D207)),8,1))&gt;=48,CODE(MID(TRIM(UPPER(D207)),8,1))&lt;=57,CODE(MID(TRIM(UPPER(D207)),9,1))&gt;=48,CODE(MID(TRIM(UPPER(D207)),9,1))&lt;=57),"N","Y"))</f>
      </c>
      <c r="F207" s="7">
        <f>IF($C207="","",IF(LEN(D207)&lt;4,"",IF(UPPER(MID(D207,4,1))="P","Individual",IF(UPPER(MID(D207,4,1))="H","HUF",IF(UPPER(MID(D207,4,1))="C","Company",IF(UPPER(MID(D207,4,1))="F","Firm",IF(UPPER(MID(D207,4,1))="L","LLP",IF(UPPER(MID(D207,4,1))="T","Trust",IF(UPPER(MID(D207,4,1))="A","AOP","")))))))))</f>
      </c>
      <c r="G207" s="8"/>
      <c r="H207" s="7">
        <f>IF($C207="","",IF(R207&lt;&gt;"",R207,IF(G207="","",IF(E207="Y",SUMPRODUCT(('Rate Lookup'!$A$1:$A$37=G207)*'Rate Lookup'!$D$1:$D$37),IF(OR(F207="Individual",F207="HUF"),SUMPRODUCT(('Rate Lookup'!$A$1:$A$37=G207)*'Rate Lookup'!$B$1:$B$37),SUMPRODUCT(('Rate Lookup'!$A$1:$A$37=G207)*'Rate Lookup'!$C$1:$C$37)))))))</f>
      </c>
      <c r="I207" s="8"/>
      <c r="J207" s="8"/>
      <c r="K207" s="7">
        <f>IF($C207="","",IF(OR(P207="B",P207="D",P207="E",P207="N",P207="O",P207="P",P207="Q",P207="S",P207="Y",P207="Z"),0,ROUND(J207*H207/100,0)))</f>
      </c>
      <c r="L207" s="7">
        <f>IF($C207="","",0)</f>
      </c>
      <c r="M207" s="7">
        <f>IF($C207="","",0)</f>
      </c>
      <c r="N207" s="7">
        <f>IF($C207="","",IF(OR(K207=0,I207="",IFERROR(INDEX('Challan Master'!$D$4:$D$207,MATCH($B207,'Challan Master'!$S$4:$S$207,0)),"")="",IFERROR(INDEX('Challan Master'!$D$4:$D$207,MATCH($B207,'Challan Master'!$S$4:$S$207,0)),"")&lt;=0),0,IF(IFERROR(INDEX('Challan Master'!$D$4:$D$207,MATCH($B207,'Challan Master'!$S$4:$S$207,0)),"")&lt;=DATE(YEAR(I207),MONTH(I207)+1,7),0,ROUND(K207*0.015*((YEAR(IFERROR(INDEX('Challan Master'!$D$4:$D$207,MATCH($B207,'Challan Master'!$S$4:$S$207,0)),""))-YEAR(I207))*12+(MONTH(IFERROR(INDEX('Challan Master'!$D$4:$D$207,MATCH($B207,'Challan Master'!$S$4:$S$207,0)),""))-MONTH(I207))+1),0))))</f>
      </c>
      <c r="O207" s="7">
        <f>IF($C207="","",0)</f>
      </c>
      <c r="P207" s="8"/>
      <c r="Q207" s="8"/>
      <c r="R207" s="8"/>
      <c r="S207" s="8"/>
      <c r="T207" s="8"/>
      <c r="U207" s="7">
        <f>IF($B207="","",IFERROR(INDEX('Challan Master'!$AA$4:$AA$207,MATCH($B207,'Challan Master'!$S$4:$S$207,0)),""))</f>
      </c>
    </row>
  </sheetData>
  <sheetProtection sheet="1" formatCells="0" formatColumns="0" formatRows="0"/>
  <mergeCells count="2">
    <mergeCell ref="A1:U1"/>
    <mergeCell ref="A2:U2"/>
  </mergeCells>
  <conditionalFormatting sqref="A2:U2">
    <cfRule type="expression" dxfId="8" priority="1">
      <formula>ISNUMBER(SEARCH("VALIDATION FAILED",$A2))</formula>
    </cfRule>
    <cfRule type="expression" dxfId="9" priority="2">
      <formula>ISNUMBER(SEARCH("Validation Successful",$A2))</formula>
    </cfRule>
  </conditionalFormatting>
  <conditionalFormatting sqref="B4:B207">
    <cfRule type="expression" dxfId="10" priority="3">
      <formula>AND($C4&lt;&gt;"",$B4="")</formula>
    </cfRule>
  </conditionalFormatting>
  <conditionalFormatting sqref="D4:D207">
    <cfRule type="expression" dxfId="11" priority="4">
      <formula>$E4="Y"</formula>
    </cfRule>
  </conditionalFormatting>
  <conditionalFormatting sqref="A4:U207">
    <cfRule type="expression" dxfId="12" priority="5">
      <formula>$U4="Over-applied"</formula>
    </cfRule>
  </conditionalFormatting>
  <conditionalFormatting sqref="Q4:R207">
    <cfRule type="expression" dxfId="13" priority="6">
      <formula>AND($P4="A",OR($Q4="",$R4=""))</formula>
    </cfRule>
  </conditionalFormatting>
  <conditionalFormatting sqref="P4:P207">
    <cfRule type="expression" dxfId="14" priority="7">
      <formula>AND($P4="C",$E4&lt;&gt;"Y")</formula>
    </cfRule>
  </conditionalFormatting>
  <conditionalFormatting sqref="P4:P207">
    <cfRule type="expression" dxfId="15" priority="8">
      <formula>AND($P4="T",$E4="Y")</formula>
    </cfRule>
  </conditionalFormatting>
  <conditionalFormatting sqref="T4:T207">
    <cfRule type="expression" dxfId="16" priority="9">
      <formula>AND(OR($P4="D",$P4="E",$P4="N",$P4="O",$P4="P",$P4="Q",$P4="S",$P4="Z"),$T4="")</formula>
    </cfRule>
  </conditionalFormatting>
  <dataValidations count="10">
    <dataValidation type="list" allowBlank="1" showErrorMessage="1" errorTitle="Invalid Challan" error="Pick a challan from the dropdown — it must already exist on the Challan Master sheet." sqref="B10:B207">
      <formula1>'Challan Master'!$S$4:$S$207</formula1>
    </dataValidation>
    <dataValidation type="list" allowBlank="1" showErrorMessage="1" errorTitle="Invalid Challan" error="Pick a challan from the dropdown — it must already exist on the Challan Master sheet." sqref="B4:B207">
      <formula1>'Challan Master'!$S$4:$S$207</formula1>
    </dataValidation>
    <dataValidation type="list" allowBlank="1" showErrorMessage="1" errorTitle="Invalid Section" error="Pick a section from the dropdown list." sqref="G10:G207">
      <formula1>'Rate Lookup'!$A$1:$A$37</formula1>
    </dataValidation>
    <dataValidation type="list" allowBlank="1" showErrorMessage="1" errorTitle="Invalid Section" error="Pick a section from the dropdown list." sqref="G4:G207">
      <formula1>'Rate Lookup'!$A$1:$A$37</formula1>
    </dataValidation>
    <dataValidation type="date" allowBlank="1" showErrorMessage="1" errorTitle="Invalid Date" error="Enter a real date (use the date picker), between 01-Apr-2020 and 31-Mar-2030." sqref="I10:I207">
      <formula1>43922</formula1>
      <formula2>47573</formula2>
    </dataValidation>
    <dataValidation type="date" allowBlank="1" showErrorMessage="1" errorTitle="Invalid Date" error="Enter a real date (use the date picker), between 01-Apr-2020 and 31-Mar-2030." sqref="I4:I207">
      <formula1>43922</formula1>
      <formula2>47573</formula2>
    </dataValidation>
    <dataValidation type="decimal" operator="greaterThanOrEqual" allowBlank="1" showErrorMessage="1" errorTitle="Invalid Amount" error="Must be a number of 0 or more." sqref="J10:J207">
      <formula1>0</formula1>
    </dataValidation>
    <dataValidation type="decimal" operator="greaterThanOrEqual" allowBlank="1" showErrorMessage="1" errorTitle="Invalid Amount" error="Must be a number of 0 or more." sqref="J4:J207">
      <formula1>0</formula1>
    </dataValidation>
    <dataValidation type="list" allowBlank="1" showErrorMessage="1" errorTitle="Invalid Reason Code" error="Pick a Reason Code from the dropdown (A/B/C/D/E/N/O/P/Q/S/T/Y/Z)." sqref="P10:P207">
      <formula1>"A,B,C,D,E,N,O,P,Q,S,T,Y,Z"</formula1>
    </dataValidation>
    <dataValidation type="list" allowBlank="1" showErrorMessage="1" errorTitle="Invalid Reason Code" error="Pick a Reason Code from the dropdown (A/B/C/D/E/N/O/P/Q/S/T/Y/Z)." sqref="P4:P207">
      <formula1>"A,B,C,D,E,N,O,P,Q,S,T,Y,Z"</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7"/>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40" customWidth="1"/>
    <col min="3" max="3" width="26" customWidth="1"/>
    <col min="4" max="6" width="12" customWidth="1"/>
    <col min="7" max="7" width="40" customWidth="1"/>
    <col min="8" max="8" width="12" customWidth="1"/>
    <col min="9" max="15" width="13" customWidth="1"/>
    <col min="16" max="16" width="12" customWidth="1"/>
    <col min="17" max="17" width="20" customWidth="1"/>
    <col min="18" max="18" width="14" customWidth="1"/>
    <col min="19" max="19" width="16" customWidth="1"/>
    <col min="20" max="20" width="18" customWidth="1"/>
    <col min="21" max="21" width="14" customWidth="1"/>
  </cols>
  <sheetData>
    <row r="1" ht="22" customHeight="1" spans="1:22" x14ac:dyDescent="0.25">
      <c r="A1" s="3" t="s">
        <v>103</v>
      </c>
      <c r="B1" s="3"/>
      <c r="C1" s="3"/>
      <c r="D1" s="3"/>
      <c r="E1" s="3"/>
      <c r="F1" s="3"/>
      <c r="G1" s="3"/>
      <c r="H1" s="3"/>
      <c r="I1" s="3"/>
      <c r="J1" s="3"/>
      <c r="K1" s="3"/>
      <c r="L1" s="3"/>
      <c r="M1" s="3"/>
      <c r="N1" s="3"/>
      <c r="O1" s="3"/>
      <c r="P1" s="3"/>
      <c r="Q1" s="3"/>
      <c r="R1" s="3"/>
      <c r="S1" s="3"/>
      <c r="T1" s="3"/>
      <c r="U1" s="3"/>
    </row>
    <row r="2" ht="20" customHeight="1" spans="1:22" x14ac:dyDescent="0.25">
      <c r="A2" s="5">
        <f>IF(AND(SUMPRODUCT(($C$4:$C$207&lt;&gt;"")*($B$4:$B$207=""))=0,SUMPRODUCT(($C$4:$C$207&lt;&gt;"")*($U$4:$U$207="Over-applied"))=0),"✅ Validation Successful — every entry has a Challan selected, none reference an over-applied challan ("&amp;COUNTIF($C$4:$C$207,"&lt;&gt;")&amp;" entries checked).","❌ VALIDATION FAILED — "&amp;SUMPRODUCT(($C$4:$C$207&lt;&gt;"")*($B$4:$B$207=""))&amp;" entr(y/ies) missing a Challan selection, "&amp;SUMPRODUCT(($C$4:$C$207&lt;&gt;"")*($U$4:$U$207="Over-applied"))&amp;" entr(y/ies) posted against an Over-applied challan. See the pink/red-highlighted row(s) below.")</f>
      </c>
      <c r="B2" s="5"/>
      <c r="C2" s="5"/>
      <c r="D2" s="5"/>
      <c r="E2" s="5"/>
      <c r="F2" s="5"/>
      <c r="G2" s="5"/>
      <c r="H2" s="5"/>
      <c r="I2" s="5"/>
      <c r="J2" s="5"/>
      <c r="K2" s="5"/>
      <c r="L2" s="5"/>
      <c r="M2" s="5"/>
      <c r="N2" s="5"/>
      <c r="O2" s="5"/>
      <c r="P2" s="5"/>
      <c r="Q2" s="5"/>
      <c r="R2" s="5"/>
      <c r="S2" s="5"/>
      <c r="T2" s="5"/>
      <c r="U2" s="5"/>
    </row>
    <row r="3" ht="40" customHeight="1" spans="1:22" x14ac:dyDescent="0.25">
      <c r="A3" s="6" t="s">
        <v>56</v>
      </c>
      <c r="B3" s="6" t="s">
        <v>84</v>
      </c>
      <c r="C3" s="6" t="s">
        <v>85</v>
      </c>
      <c r="D3" s="6" t="s">
        <v>86</v>
      </c>
      <c r="E3" s="6" t="s">
        <v>87</v>
      </c>
      <c r="F3" s="6" t="s">
        <v>88</v>
      </c>
      <c r="G3" s="6" t="s">
        <v>89</v>
      </c>
      <c r="H3" s="6" t="s">
        <v>90</v>
      </c>
      <c r="I3" s="6" t="s">
        <v>91</v>
      </c>
      <c r="J3" s="6" t="s">
        <v>92</v>
      </c>
      <c r="K3" s="6" t="s">
        <v>93</v>
      </c>
      <c r="L3" s="6" t="s">
        <v>94</v>
      </c>
      <c r="M3" s="6" t="s">
        <v>95</v>
      </c>
      <c r="N3" s="6" t="s">
        <v>96</v>
      </c>
      <c r="O3" s="6" t="s">
        <v>97</v>
      </c>
      <c r="P3" s="6" t="s">
        <v>98</v>
      </c>
      <c r="Q3" s="6" t="s">
        <v>99</v>
      </c>
      <c r="R3" s="6" t="s">
        <v>100</v>
      </c>
      <c r="S3" s="6" t="s">
        <v>101</v>
      </c>
      <c r="T3" s="6" t="s">
        <v>73</v>
      </c>
      <c r="U3" s="6" t="s">
        <v>102</v>
      </c>
    </row>
    <row r="4" spans="1:22" x14ac:dyDescent="0.25">
      <c r="A4" s="7">
        <f>IF($C4="","",COUNTIF($C$4:$C4,"&lt;&gt;"))</f>
      </c>
      <c r="B4" s="8"/>
      <c r="C4" s="8"/>
      <c r="D4" s="8"/>
      <c r="E4" s="7">
        <f>IF($C4="","",IF(AND(LEN(TRIM(UPPER(D4)))=10,CODE(MID(TRIM(UPPER(D4)),1,1))&gt;=65,CODE(MID(TRIM(UPPER(D4)),1,1))&lt;=90,CODE(MID(TRIM(UPPER(D4)),2,1))&gt;=65,CODE(MID(TRIM(UPPER(D4)),2,1))&lt;=90,CODE(MID(TRIM(UPPER(D4)),3,1))&gt;=65,CODE(MID(TRIM(UPPER(D4)),3,1))&lt;=90,CODE(MID(TRIM(UPPER(D4)),4,1))&gt;=65,CODE(MID(TRIM(UPPER(D4)),4,1))&lt;=90,CODE(MID(TRIM(UPPER(D4)),5,1))&gt;=65,CODE(MID(TRIM(UPPER(D4)),5,1))&lt;=90,CODE(MID(TRIM(UPPER(D4)),10,1))&gt;=65,CODE(MID(TRIM(UPPER(D4)),10,1))&lt;=90,CODE(MID(TRIM(UPPER(D4)),6,1))&gt;=48,CODE(MID(TRIM(UPPER(D4)),6,1))&lt;=57,CODE(MID(TRIM(UPPER(D4)),7,1))&gt;=48,CODE(MID(TRIM(UPPER(D4)),7,1))&lt;=57,CODE(MID(TRIM(UPPER(D4)),8,1))&gt;=48,CODE(MID(TRIM(UPPER(D4)),8,1))&lt;=57,CODE(MID(TRIM(UPPER(D4)),9,1))&gt;=48,CODE(MID(TRIM(UPPER(D4)),9,1))&lt;=57),"N","Y"))</f>
      </c>
      <c r="F4" s="7">
        <f>IF($C4="","",IF(LEN(D4)&lt;4,"",IF(UPPER(MID(D4,4,1))="P","Individual",IF(UPPER(MID(D4,4,1))="H","HUF",IF(UPPER(MID(D4,4,1))="C","Company",IF(UPPER(MID(D4,4,1))="F","Firm",IF(UPPER(MID(D4,4,1))="L","LLP",IF(UPPER(MID(D4,4,1))="T","Trust",IF(UPPER(MID(D4,4,1))="A","AOP","")))))))))</f>
      </c>
      <c r="G4" s="8"/>
      <c r="H4" s="7">
        <f>IF($C4="","",IF(R4&lt;&gt;"",R4,IF(G4="","",IF(E4="Y",SUMPRODUCT(('Rate Lookup'!$A$1:$A$37=G4)*'Rate Lookup'!$D$1:$D$37),IF(OR(F4="Individual",F4="HUF"),SUMPRODUCT(('Rate Lookup'!$A$1:$A$37=G4)*'Rate Lookup'!$B$1:$B$37),SUMPRODUCT(('Rate Lookup'!$A$1:$A$37=G4)*'Rate Lookup'!$C$1:$C$37)))))))</f>
      </c>
      <c r="I4" s="8"/>
      <c r="J4" s="8"/>
      <c r="K4" s="7">
        <f>IF($C4="","",IF(OR(P4="B",P4="D",P4="E",P4="N",P4="O",P4="P",P4="Q",P4="S",P4="Y",P4="Z"),0,ROUND(J4*H4/100,0)))</f>
      </c>
      <c r="L4" s="7">
        <f>IF($C4="","",0)</f>
      </c>
      <c r="M4" s="7">
        <f>IF($C4="","",0)</f>
      </c>
      <c r="N4" s="7">
        <f>IF($C4="","",IF(OR(K4=0,I4="",IFERROR(INDEX('Challan Master'!$D$4:$D$207,MATCH($B4,'Challan Master'!$S$4:$S$207,0)),"")="",IFERROR(INDEX('Challan Master'!$D$4:$D$207,MATCH($B4,'Challan Master'!$S$4:$S$207,0)),"")&lt;=0),0,IF(IFERROR(INDEX('Challan Master'!$D$4:$D$207,MATCH($B4,'Challan Master'!$S$4:$S$207,0)),"")&lt;=DATE(YEAR(I4),MONTH(I4)+1,7),0,ROUND(K4*0.015*((YEAR(IFERROR(INDEX('Challan Master'!$D$4:$D$207,MATCH($B4,'Challan Master'!$S$4:$S$207,0)),""))-YEAR(I4))*12+(MONTH(IFERROR(INDEX('Challan Master'!$D$4:$D$207,MATCH($B4,'Challan Master'!$S$4:$S$207,0)),""))-MONTH(I4))+1),0))))</f>
      </c>
      <c r="O4" s="7">
        <f>IF($C4="","",0)</f>
      </c>
      <c r="P4" s="8"/>
      <c r="Q4" s="8"/>
      <c r="R4" s="8"/>
      <c r="S4" s="8"/>
      <c r="T4" s="8"/>
      <c r="U4" s="7">
        <f>IF($B4="","",IFERROR(INDEX('Challan Master'!$AA$4:$AA$207,MATCH($B4,'Challan Master'!$S$4:$S$207,0)),""))</f>
      </c>
    </row>
    <row r="5" spans="1:22" x14ac:dyDescent="0.25">
      <c r="A5" s="7">
        <f>IF($C5="","",COUNTIF($C$4:$C5,"&lt;&gt;"))</f>
      </c>
      <c r="B5" s="8"/>
      <c r="C5" s="8"/>
      <c r="D5" s="8"/>
      <c r="E5" s="7">
        <f>IF($C5="","",IF(AND(LEN(TRIM(UPPER(D5)))=10,CODE(MID(TRIM(UPPER(D5)),1,1))&gt;=65,CODE(MID(TRIM(UPPER(D5)),1,1))&lt;=90,CODE(MID(TRIM(UPPER(D5)),2,1))&gt;=65,CODE(MID(TRIM(UPPER(D5)),2,1))&lt;=90,CODE(MID(TRIM(UPPER(D5)),3,1))&gt;=65,CODE(MID(TRIM(UPPER(D5)),3,1))&lt;=90,CODE(MID(TRIM(UPPER(D5)),4,1))&gt;=65,CODE(MID(TRIM(UPPER(D5)),4,1))&lt;=90,CODE(MID(TRIM(UPPER(D5)),5,1))&gt;=65,CODE(MID(TRIM(UPPER(D5)),5,1))&lt;=90,CODE(MID(TRIM(UPPER(D5)),10,1))&gt;=65,CODE(MID(TRIM(UPPER(D5)),10,1))&lt;=90,CODE(MID(TRIM(UPPER(D5)),6,1))&gt;=48,CODE(MID(TRIM(UPPER(D5)),6,1))&lt;=57,CODE(MID(TRIM(UPPER(D5)),7,1))&gt;=48,CODE(MID(TRIM(UPPER(D5)),7,1))&lt;=57,CODE(MID(TRIM(UPPER(D5)),8,1))&gt;=48,CODE(MID(TRIM(UPPER(D5)),8,1))&lt;=57,CODE(MID(TRIM(UPPER(D5)),9,1))&gt;=48,CODE(MID(TRIM(UPPER(D5)),9,1))&lt;=57),"N","Y"))</f>
      </c>
      <c r="F5" s="7">
        <f>IF($C5="","",IF(LEN(D5)&lt;4,"",IF(UPPER(MID(D5,4,1))="P","Individual",IF(UPPER(MID(D5,4,1))="H","HUF",IF(UPPER(MID(D5,4,1))="C","Company",IF(UPPER(MID(D5,4,1))="F","Firm",IF(UPPER(MID(D5,4,1))="L","LLP",IF(UPPER(MID(D5,4,1))="T","Trust",IF(UPPER(MID(D5,4,1))="A","AOP","")))))))))</f>
      </c>
      <c r="G5" s="8"/>
      <c r="H5" s="7">
        <f>IF($C5="","",IF(R5&lt;&gt;"",R5,IF(G5="","",IF(E5="Y",SUMPRODUCT(('Rate Lookup'!$A$1:$A$37=G5)*'Rate Lookup'!$D$1:$D$37),IF(OR(F5="Individual",F5="HUF"),SUMPRODUCT(('Rate Lookup'!$A$1:$A$37=G5)*'Rate Lookup'!$B$1:$B$37),SUMPRODUCT(('Rate Lookup'!$A$1:$A$37=G5)*'Rate Lookup'!$C$1:$C$37)))))))</f>
      </c>
      <c r="I5" s="8"/>
      <c r="J5" s="8"/>
      <c r="K5" s="7">
        <f>IF($C5="","",IF(OR(P5="B",P5="D",P5="E",P5="N",P5="O",P5="P",P5="Q",P5="S",P5="Y",P5="Z"),0,ROUND(J5*H5/100,0)))</f>
      </c>
      <c r="L5" s="7">
        <f>IF($C5="","",0)</f>
      </c>
      <c r="M5" s="7">
        <f>IF($C5="","",0)</f>
      </c>
      <c r="N5" s="7">
        <f>IF($C5="","",IF(OR(K5=0,I5="",IFERROR(INDEX('Challan Master'!$D$4:$D$207,MATCH($B5,'Challan Master'!$S$4:$S$207,0)),"")="",IFERROR(INDEX('Challan Master'!$D$4:$D$207,MATCH($B5,'Challan Master'!$S$4:$S$207,0)),"")&lt;=0),0,IF(IFERROR(INDEX('Challan Master'!$D$4:$D$207,MATCH($B5,'Challan Master'!$S$4:$S$207,0)),"")&lt;=DATE(YEAR(I5),MONTH(I5)+1,7),0,ROUND(K5*0.015*((YEAR(IFERROR(INDEX('Challan Master'!$D$4:$D$207,MATCH($B5,'Challan Master'!$S$4:$S$207,0)),""))-YEAR(I5))*12+(MONTH(IFERROR(INDEX('Challan Master'!$D$4:$D$207,MATCH($B5,'Challan Master'!$S$4:$S$207,0)),""))-MONTH(I5))+1),0))))</f>
      </c>
      <c r="O5" s="7">
        <f>IF($C5="","",0)</f>
      </c>
      <c r="P5" s="8"/>
      <c r="Q5" s="8"/>
      <c r="R5" s="8"/>
      <c r="S5" s="8"/>
      <c r="T5" s="8"/>
      <c r="U5" s="7">
        <f>IF($B5="","",IFERROR(INDEX('Challan Master'!$AA$4:$AA$207,MATCH($B5,'Challan Master'!$S$4:$S$207,0)),""))</f>
      </c>
    </row>
    <row r="6" spans="1:22" x14ac:dyDescent="0.25">
      <c r="A6" s="7">
        <f>IF($C6="","",COUNTIF($C$4:$C6,"&lt;&gt;"))</f>
      </c>
      <c r="B6" s="8"/>
      <c r="C6" s="8"/>
      <c r="D6" s="8"/>
      <c r="E6" s="7">
        <f>IF($C6="","",IF(AND(LEN(TRIM(UPPER(D6)))=10,CODE(MID(TRIM(UPPER(D6)),1,1))&gt;=65,CODE(MID(TRIM(UPPER(D6)),1,1))&lt;=90,CODE(MID(TRIM(UPPER(D6)),2,1))&gt;=65,CODE(MID(TRIM(UPPER(D6)),2,1))&lt;=90,CODE(MID(TRIM(UPPER(D6)),3,1))&gt;=65,CODE(MID(TRIM(UPPER(D6)),3,1))&lt;=90,CODE(MID(TRIM(UPPER(D6)),4,1))&gt;=65,CODE(MID(TRIM(UPPER(D6)),4,1))&lt;=90,CODE(MID(TRIM(UPPER(D6)),5,1))&gt;=65,CODE(MID(TRIM(UPPER(D6)),5,1))&lt;=90,CODE(MID(TRIM(UPPER(D6)),10,1))&gt;=65,CODE(MID(TRIM(UPPER(D6)),10,1))&lt;=90,CODE(MID(TRIM(UPPER(D6)),6,1))&gt;=48,CODE(MID(TRIM(UPPER(D6)),6,1))&lt;=57,CODE(MID(TRIM(UPPER(D6)),7,1))&gt;=48,CODE(MID(TRIM(UPPER(D6)),7,1))&lt;=57,CODE(MID(TRIM(UPPER(D6)),8,1))&gt;=48,CODE(MID(TRIM(UPPER(D6)),8,1))&lt;=57,CODE(MID(TRIM(UPPER(D6)),9,1))&gt;=48,CODE(MID(TRIM(UPPER(D6)),9,1))&lt;=57),"N","Y"))</f>
      </c>
      <c r="F6" s="7">
        <f>IF($C6="","",IF(LEN(D6)&lt;4,"",IF(UPPER(MID(D6,4,1))="P","Individual",IF(UPPER(MID(D6,4,1))="H","HUF",IF(UPPER(MID(D6,4,1))="C","Company",IF(UPPER(MID(D6,4,1))="F","Firm",IF(UPPER(MID(D6,4,1))="L","LLP",IF(UPPER(MID(D6,4,1))="T","Trust",IF(UPPER(MID(D6,4,1))="A","AOP","")))))))))</f>
      </c>
      <c r="G6" s="8"/>
      <c r="H6" s="7">
        <f>IF($C6="","",IF(R6&lt;&gt;"",R6,IF(G6="","",IF(E6="Y",SUMPRODUCT(('Rate Lookup'!$A$1:$A$37=G6)*'Rate Lookup'!$D$1:$D$37),IF(OR(F6="Individual",F6="HUF"),SUMPRODUCT(('Rate Lookup'!$A$1:$A$37=G6)*'Rate Lookup'!$B$1:$B$37),SUMPRODUCT(('Rate Lookup'!$A$1:$A$37=G6)*'Rate Lookup'!$C$1:$C$37)))))))</f>
      </c>
      <c r="I6" s="8"/>
      <c r="J6" s="8"/>
      <c r="K6" s="7">
        <f>IF($C6="","",IF(OR(P6="B",P6="D",P6="E",P6="N",P6="O",P6="P",P6="Q",P6="S",P6="Y",P6="Z"),0,ROUND(J6*H6/100,0)))</f>
      </c>
      <c r="L6" s="7">
        <f>IF($C6="","",0)</f>
      </c>
      <c r="M6" s="7">
        <f>IF($C6="","",0)</f>
      </c>
      <c r="N6" s="7">
        <f>IF($C6="","",IF(OR(K6=0,I6="",IFERROR(INDEX('Challan Master'!$D$4:$D$207,MATCH($B6,'Challan Master'!$S$4:$S$207,0)),"")="",IFERROR(INDEX('Challan Master'!$D$4:$D$207,MATCH($B6,'Challan Master'!$S$4:$S$207,0)),"")&lt;=0),0,IF(IFERROR(INDEX('Challan Master'!$D$4:$D$207,MATCH($B6,'Challan Master'!$S$4:$S$207,0)),"")&lt;=DATE(YEAR(I6),MONTH(I6)+1,7),0,ROUND(K6*0.015*((YEAR(IFERROR(INDEX('Challan Master'!$D$4:$D$207,MATCH($B6,'Challan Master'!$S$4:$S$207,0)),""))-YEAR(I6))*12+(MONTH(IFERROR(INDEX('Challan Master'!$D$4:$D$207,MATCH($B6,'Challan Master'!$S$4:$S$207,0)),""))-MONTH(I6))+1),0))))</f>
      </c>
      <c r="O6" s="7">
        <f>IF($C6="","",0)</f>
      </c>
      <c r="P6" s="8"/>
      <c r="Q6" s="8"/>
      <c r="R6" s="8"/>
      <c r="S6" s="8"/>
      <c r="T6" s="8"/>
      <c r="U6" s="7">
        <f>IF($B6="","",IFERROR(INDEX('Challan Master'!$AA$4:$AA$207,MATCH($B6,'Challan Master'!$S$4:$S$207,0)),""))</f>
      </c>
    </row>
    <row r="7" spans="1:22" x14ac:dyDescent="0.25">
      <c r="A7" s="7">
        <f>IF($C7="","",COUNTIF($C$4:$C7,"&lt;&gt;"))</f>
      </c>
      <c r="B7" s="8"/>
      <c r="C7" s="8"/>
      <c r="D7" s="8"/>
      <c r="E7" s="7">
        <f>IF($C7="","",IF(AND(LEN(TRIM(UPPER(D7)))=10,CODE(MID(TRIM(UPPER(D7)),1,1))&gt;=65,CODE(MID(TRIM(UPPER(D7)),1,1))&lt;=90,CODE(MID(TRIM(UPPER(D7)),2,1))&gt;=65,CODE(MID(TRIM(UPPER(D7)),2,1))&lt;=90,CODE(MID(TRIM(UPPER(D7)),3,1))&gt;=65,CODE(MID(TRIM(UPPER(D7)),3,1))&lt;=90,CODE(MID(TRIM(UPPER(D7)),4,1))&gt;=65,CODE(MID(TRIM(UPPER(D7)),4,1))&lt;=90,CODE(MID(TRIM(UPPER(D7)),5,1))&gt;=65,CODE(MID(TRIM(UPPER(D7)),5,1))&lt;=90,CODE(MID(TRIM(UPPER(D7)),10,1))&gt;=65,CODE(MID(TRIM(UPPER(D7)),10,1))&lt;=90,CODE(MID(TRIM(UPPER(D7)),6,1))&gt;=48,CODE(MID(TRIM(UPPER(D7)),6,1))&lt;=57,CODE(MID(TRIM(UPPER(D7)),7,1))&gt;=48,CODE(MID(TRIM(UPPER(D7)),7,1))&lt;=57,CODE(MID(TRIM(UPPER(D7)),8,1))&gt;=48,CODE(MID(TRIM(UPPER(D7)),8,1))&lt;=57,CODE(MID(TRIM(UPPER(D7)),9,1))&gt;=48,CODE(MID(TRIM(UPPER(D7)),9,1))&lt;=57),"N","Y"))</f>
      </c>
      <c r="F7" s="7">
        <f>IF($C7="","",IF(LEN(D7)&lt;4,"",IF(UPPER(MID(D7,4,1))="P","Individual",IF(UPPER(MID(D7,4,1))="H","HUF",IF(UPPER(MID(D7,4,1))="C","Company",IF(UPPER(MID(D7,4,1))="F","Firm",IF(UPPER(MID(D7,4,1))="L","LLP",IF(UPPER(MID(D7,4,1))="T","Trust",IF(UPPER(MID(D7,4,1))="A","AOP","")))))))))</f>
      </c>
      <c r="G7" s="8"/>
      <c r="H7" s="7">
        <f>IF($C7="","",IF(R7&lt;&gt;"",R7,IF(G7="","",IF(E7="Y",SUMPRODUCT(('Rate Lookup'!$A$1:$A$37=G7)*'Rate Lookup'!$D$1:$D$37),IF(OR(F7="Individual",F7="HUF"),SUMPRODUCT(('Rate Lookup'!$A$1:$A$37=G7)*'Rate Lookup'!$B$1:$B$37),SUMPRODUCT(('Rate Lookup'!$A$1:$A$37=G7)*'Rate Lookup'!$C$1:$C$37)))))))</f>
      </c>
      <c r="I7" s="8"/>
      <c r="J7" s="8"/>
      <c r="K7" s="7">
        <f>IF($C7="","",IF(OR(P7="B",P7="D",P7="E",P7="N",P7="O",P7="P",P7="Q",P7="S",P7="Y",P7="Z"),0,ROUND(J7*H7/100,0)))</f>
      </c>
      <c r="L7" s="7">
        <f>IF($C7="","",0)</f>
      </c>
      <c r="M7" s="7">
        <f>IF($C7="","",0)</f>
      </c>
      <c r="N7" s="7">
        <f>IF($C7="","",IF(OR(K7=0,I7="",IFERROR(INDEX('Challan Master'!$D$4:$D$207,MATCH($B7,'Challan Master'!$S$4:$S$207,0)),"")="",IFERROR(INDEX('Challan Master'!$D$4:$D$207,MATCH($B7,'Challan Master'!$S$4:$S$207,0)),"")&lt;=0),0,IF(IFERROR(INDEX('Challan Master'!$D$4:$D$207,MATCH($B7,'Challan Master'!$S$4:$S$207,0)),"")&lt;=DATE(YEAR(I7),MONTH(I7)+1,7),0,ROUND(K7*0.015*((YEAR(IFERROR(INDEX('Challan Master'!$D$4:$D$207,MATCH($B7,'Challan Master'!$S$4:$S$207,0)),""))-YEAR(I7))*12+(MONTH(IFERROR(INDEX('Challan Master'!$D$4:$D$207,MATCH($B7,'Challan Master'!$S$4:$S$207,0)),""))-MONTH(I7))+1),0))))</f>
      </c>
      <c r="O7" s="7">
        <f>IF($C7="","",0)</f>
      </c>
      <c r="P7" s="8"/>
      <c r="Q7" s="8"/>
      <c r="R7" s="8"/>
      <c r="S7" s="8"/>
      <c r="T7" s="8"/>
      <c r="U7" s="7">
        <f>IF($B7="","",IFERROR(INDEX('Challan Master'!$AA$4:$AA$207,MATCH($B7,'Challan Master'!$S$4:$S$207,0)),""))</f>
      </c>
    </row>
    <row r="8" spans="1:22" x14ac:dyDescent="0.25">
      <c r="A8" s="7">
        <f>IF($C8="","",COUNTIF($C$4:$C8,"&lt;&gt;"))</f>
      </c>
      <c r="B8" s="8"/>
      <c r="C8" s="8"/>
      <c r="D8" s="8"/>
      <c r="E8" s="7">
        <f>IF($C8="","",IF(AND(LEN(TRIM(UPPER(D8)))=10,CODE(MID(TRIM(UPPER(D8)),1,1))&gt;=65,CODE(MID(TRIM(UPPER(D8)),1,1))&lt;=90,CODE(MID(TRIM(UPPER(D8)),2,1))&gt;=65,CODE(MID(TRIM(UPPER(D8)),2,1))&lt;=90,CODE(MID(TRIM(UPPER(D8)),3,1))&gt;=65,CODE(MID(TRIM(UPPER(D8)),3,1))&lt;=90,CODE(MID(TRIM(UPPER(D8)),4,1))&gt;=65,CODE(MID(TRIM(UPPER(D8)),4,1))&lt;=90,CODE(MID(TRIM(UPPER(D8)),5,1))&gt;=65,CODE(MID(TRIM(UPPER(D8)),5,1))&lt;=90,CODE(MID(TRIM(UPPER(D8)),10,1))&gt;=65,CODE(MID(TRIM(UPPER(D8)),10,1))&lt;=90,CODE(MID(TRIM(UPPER(D8)),6,1))&gt;=48,CODE(MID(TRIM(UPPER(D8)),6,1))&lt;=57,CODE(MID(TRIM(UPPER(D8)),7,1))&gt;=48,CODE(MID(TRIM(UPPER(D8)),7,1))&lt;=57,CODE(MID(TRIM(UPPER(D8)),8,1))&gt;=48,CODE(MID(TRIM(UPPER(D8)),8,1))&lt;=57,CODE(MID(TRIM(UPPER(D8)),9,1))&gt;=48,CODE(MID(TRIM(UPPER(D8)),9,1))&lt;=57),"N","Y"))</f>
      </c>
      <c r="F8" s="7">
        <f>IF($C8="","",IF(LEN(D8)&lt;4,"",IF(UPPER(MID(D8,4,1))="P","Individual",IF(UPPER(MID(D8,4,1))="H","HUF",IF(UPPER(MID(D8,4,1))="C","Company",IF(UPPER(MID(D8,4,1))="F","Firm",IF(UPPER(MID(D8,4,1))="L","LLP",IF(UPPER(MID(D8,4,1))="T","Trust",IF(UPPER(MID(D8,4,1))="A","AOP","")))))))))</f>
      </c>
      <c r="G8" s="8"/>
      <c r="H8" s="7">
        <f>IF($C8="","",IF(R8&lt;&gt;"",R8,IF(G8="","",IF(E8="Y",SUMPRODUCT(('Rate Lookup'!$A$1:$A$37=G8)*'Rate Lookup'!$D$1:$D$37),IF(OR(F8="Individual",F8="HUF"),SUMPRODUCT(('Rate Lookup'!$A$1:$A$37=G8)*'Rate Lookup'!$B$1:$B$37),SUMPRODUCT(('Rate Lookup'!$A$1:$A$37=G8)*'Rate Lookup'!$C$1:$C$37)))))))</f>
      </c>
      <c r="I8" s="8"/>
      <c r="J8" s="8"/>
      <c r="K8" s="7">
        <f>IF($C8="","",IF(OR(P8="B",P8="D",P8="E",P8="N",P8="O",P8="P",P8="Q",P8="S",P8="Y",P8="Z"),0,ROUND(J8*H8/100,0)))</f>
      </c>
      <c r="L8" s="7">
        <f>IF($C8="","",0)</f>
      </c>
      <c r="M8" s="7">
        <f>IF($C8="","",0)</f>
      </c>
      <c r="N8" s="7">
        <f>IF($C8="","",IF(OR(K8=0,I8="",IFERROR(INDEX('Challan Master'!$D$4:$D$207,MATCH($B8,'Challan Master'!$S$4:$S$207,0)),"")="",IFERROR(INDEX('Challan Master'!$D$4:$D$207,MATCH($B8,'Challan Master'!$S$4:$S$207,0)),"")&lt;=0),0,IF(IFERROR(INDEX('Challan Master'!$D$4:$D$207,MATCH($B8,'Challan Master'!$S$4:$S$207,0)),"")&lt;=DATE(YEAR(I8),MONTH(I8)+1,7),0,ROUND(K8*0.015*((YEAR(IFERROR(INDEX('Challan Master'!$D$4:$D$207,MATCH($B8,'Challan Master'!$S$4:$S$207,0)),""))-YEAR(I8))*12+(MONTH(IFERROR(INDEX('Challan Master'!$D$4:$D$207,MATCH($B8,'Challan Master'!$S$4:$S$207,0)),""))-MONTH(I8))+1),0))))</f>
      </c>
      <c r="O8" s="7">
        <f>IF($C8="","",0)</f>
      </c>
      <c r="P8" s="8"/>
      <c r="Q8" s="8"/>
      <c r="R8" s="8"/>
      <c r="S8" s="8"/>
      <c r="T8" s="8"/>
      <c r="U8" s="7">
        <f>IF($B8="","",IFERROR(INDEX('Challan Master'!$AA$4:$AA$207,MATCH($B8,'Challan Master'!$S$4:$S$207,0)),""))</f>
      </c>
    </row>
    <row r="9" spans="1:22" x14ac:dyDescent="0.25">
      <c r="A9" s="7">
        <f>IF($C9="","",COUNTIF($C$4:$C9,"&lt;&gt;"))</f>
      </c>
      <c r="B9" s="8"/>
      <c r="C9" s="8"/>
      <c r="D9" s="8"/>
      <c r="E9" s="7">
        <f>IF($C9="","",IF(AND(LEN(TRIM(UPPER(D9)))=10,CODE(MID(TRIM(UPPER(D9)),1,1))&gt;=65,CODE(MID(TRIM(UPPER(D9)),1,1))&lt;=90,CODE(MID(TRIM(UPPER(D9)),2,1))&gt;=65,CODE(MID(TRIM(UPPER(D9)),2,1))&lt;=90,CODE(MID(TRIM(UPPER(D9)),3,1))&gt;=65,CODE(MID(TRIM(UPPER(D9)),3,1))&lt;=90,CODE(MID(TRIM(UPPER(D9)),4,1))&gt;=65,CODE(MID(TRIM(UPPER(D9)),4,1))&lt;=90,CODE(MID(TRIM(UPPER(D9)),5,1))&gt;=65,CODE(MID(TRIM(UPPER(D9)),5,1))&lt;=90,CODE(MID(TRIM(UPPER(D9)),10,1))&gt;=65,CODE(MID(TRIM(UPPER(D9)),10,1))&lt;=90,CODE(MID(TRIM(UPPER(D9)),6,1))&gt;=48,CODE(MID(TRIM(UPPER(D9)),6,1))&lt;=57,CODE(MID(TRIM(UPPER(D9)),7,1))&gt;=48,CODE(MID(TRIM(UPPER(D9)),7,1))&lt;=57,CODE(MID(TRIM(UPPER(D9)),8,1))&gt;=48,CODE(MID(TRIM(UPPER(D9)),8,1))&lt;=57,CODE(MID(TRIM(UPPER(D9)),9,1))&gt;=48,CODE(MID(TRIM(UPPER(D9)),9,1))&lt;=57),"N","Y"))</f>
      </c>
      <c r="F9" s="7">
        <f>IF($C9="","",IF(LEN(D9)&lt;4,"",IF(UPPER(MID(D9,4,1))="P","Individual",IF(UPPER(MID(D9,4,1))="H","HUF",IF(UPPER(MID(D9,4,1))="C","Company",IF(UPPER(MID(D9,4,1))="F","Firm",IF(UPPER(MID(D9,4,1))="L","LLP",IF(UPPER(MID(D9,4,1))="T","Trust",IF(UPPER(MID(D9,4,1))="A","AOP","")))))))))</f>
      </c>
      <c r="G9" s="8"/>
      <c r="H9" s="7">
        <f>IF($C9="","",IF(R9&lt;&gt;"",R9,IF(G9="","",IF(E9="Y",SUMPRODUCT(('Rate Lookup'!$A$1:$A$37=G9)*'Rate Lookup'!$D$1:$D$37),IF(OR(F9="Individual",F9="HUF"),SUMPRODUCT(('Rate Lookup'!$A$1:$A$37=G9)*'Rate Lookup'!$B$1:$B$37),SUMPRODUCT(('Rate Lookup'!$A$1:$A$37=G9)*'Rate Lookup'!$C$1:$C$37)))))))</f>
      </c>
      <c r="I9" s="8"/>
      <c r="J9" s="8"/>
      <c r="K9" s="7">
        <f>IF($C9="","",IF(OR(P9="B",P9="D",P9="E",P9="N",P9="O",P9="P",P9="Q",P9="S",P9="Y",P9="Z"),0,ROUND(J9*H9/100,0)))</f>
      </c>
      <c r="L9" s="7">
        <f>IF($C9="","",0)</f>
      </c>
      <c r="M9" s="7">
        <f>IF($C9="","",0)</f>
      </c>
      <c r="N9" s="7">
        <f>IF($C9="","",IF(OR(K9=0,I9="",IFERROR(INDEX('Challan Master'!$D$4:$D$207,MATCH($B9,'Challan Master'!$S$4:$S$207,0)),"")="",IFERROR(INDEX('Challan Master'!$D$4:$D$207,MATCH($B9,'Challan Master'!$S$4:$S$207,0)),"")&lt;=0),0,IF(IFERROR(INDEX('Challan Master'!$D$4:$D$207,MATCH($B9,'Challan Master'!$S$4:$S$207,0)),"")&lt;=DATE(YEAR(I9),MONTH(I9)+1,7),0,ROUND(K9*0.015*((YEAR(IFERROR(INDEX('Challan Master'!$D$4:$D$207,MATCH($B9,'Challan Master'!$S$4:$S$207,0)),""))-YEAR(I9))*12+(MONTH(IFERROR(INDEX('Challan Master'!$D$4:$D$207,MATCH($B9,'Challan Master'!$S$4:$S$207,0)),""))-MONTH(I9))+1),0))))</f>
      </c>
      <c r="O9" s="7">
        <f>IF($C9="","",0)</f>
      </c>
      <c r="P9" s="8"/>
      <c r="Q9" s="8"/>
      <c r="R9" s="8"/>
      <c r="S9" s="8"/>
      <c r="T9" s="8"/>
      <c r="U9" s="7">
        <f>IF($B9="","",IFERROR(INDEX('Challan Master'!$AA$4:$AA$207,MATCH($B9,'Challan Master'!$S$4:$S$207,0)),""))</f>
      </c>
    </row>
    <row r="10" spans="1:22" x14ac:dyDescent="0.25">
      <c r="A10" s="7">
        <f>IF($C10="","",COUNTIF($C$4:$C10,"&lt;&gt;"))</f>
      </c>
      <c r="B10" s="8"/>
      <c r="C10" s="8"/>
      <c r="D10" s="8"/>
      <c r="E10" s="7">
        <f>IF($C10="","",IF(AND(LEN(TRIM(UPPER(D10)))=10,CODE(MID(TRIM(UPPER(D10)),1,1))&gt;=65,CODE(MID(TRIM(UPPER(D10)),1,1))&lt;=90,CODE(MID(TRIM(UPPER(D10)),2,1))&gt;=65,CODE(MID(TRIM(UPPER(D10)),2,1))&lt;=90,CODE(MID(TRIM(UPPER(D10)),3,1))&gt;=65,CODE(MID(TRIM(UPPER(D10)),3,1))&lt;=90,CODE(MID(TRIM(UPPER(D10)),4,1))&gt;=65,CODE(MID(TRIM(UPPER(D10)),4,1))&lt;=90,CODE(MID(TRIM(UPPER(D10)),5,1))&gt;=65,CODE(MID(TRIM(UPPER(D10)),5,1))&lt;=90,CODE(MID(TRIM(UPPER(D10)),10,1))&gt;=65,CODE(MID(TRIM(UPPER(D10)),10,1))&lt;=90,CODE(MID(TRIM(UPPER(D10)),6,1))&gt;=48,CODE(MID(TRIM(UPPER(D10)),6,1))&lt;=57,CODE(MID(TRIM(UPPER(D10)),7,1))&gt;=48,CODE(MID(TRIM(UPPER(D10)),7,1))&lt;=57,CODE(MID(TRIM(UPPER(D10)),8,1))&gt;=48,CODE(MID(TRIM(UPPER(D10)),8,1))&lt;=57,CODE(MID(TRIM(UPPER(D10)),9,1))&gt;=48,CODE(MID(TRIM(UPPER(D10)),9,1))&lt;=57),"N","Y"))</f>
      </c>
      <c r="F10" s="7">
        <f>IF($C10="","",IF(LEN(D10)&lt;4,"",IF(UPPER(MID(D10,4,1))="P","Individual",IF(UPPER(MID(D10,4,1))="H","HUF",IF(UPPER(MID(D10,4,1))="C","Company",IF(UPPER(MID(D10,4,1))="F","Firm",IF(UPPER(MID(D10,4,1))="L","LLP",IF(UPPER(MID(D10,4,1))="T","Trust",IF(UPPER(MID(D10,4,1))="A","AOP","")))))))))</f>
      </c>
      <c r="G10" s="8"/>
      <c r="H10" s="7">
        <f>IF($C10="","",IF(R10&lt;&gt;"",R10,IF(G10="","",IF(E10="Y",SUMPRODUCT(('Rate Lookup'!$A$1:$A$37=G10)*'Rate Lookup'!$D$1:$D$37),IF(OR(F10="Individual",F10="HUF"),SUMPRODUCT(('Rate Lookup'!$A$1:$A$37=G10)*'Rate Lookup'!$B$1:$B$37),SUMPRODUCT(('Rate Lookup'!$A$1:$A$37=G10)*'Rate Lookup'!$C$1:$C$37)))))))</f>
      </c>
      <c r="I10" s="8"/>
      <c r="J10" s="8"/>
      <c r="K10" s="7">
        <f>IF($C10="","",IF(OR(P10="B",P10="D",P10="E",P10="N",P10="O",P10="P",P10="Q",P10="S",P10="Y",P10="Z"),0,ROUND(J10*H10/100,0)))</f>
      </c>
      <c r="L10" s="7">
        <f>IF($C10="","",0)</f>
      </c>
      <c r="M10" s="7">
        <f>IF($C10="","",0)</f>
      </c>
      <c r="N10" s="7">
        <f>IF($C10="","",IF(OR(K10=0,I10="",IFERROR(INDEX('Challan Master'!$D$4:$D$207,MATCH($B10,'Challan Master'!$S$4:$S$207,0)),"")="",IFERROR(INDEX('Challan Master'!$D$4:$D$207,MATCH($B10,'Challan Master'!$S$4:$S$207,0)),"")&lt;=0),0,IF(IFERROR(INDEX('Challan Master'!$D$4:$D$207,MATCH($B10,'Challan Master'!$S$4:$S$207,0)),"")&lt;=DATE(YEAR(I10),MONTH(I10)+1,7),0,ROUND(K10*0.015*((YEAR(IFERROR(INDEX('Challan Master'!$D$4:$D$207,MATCH($B10,'Challan Master'!$S$4:$S$207,0)),""))-YEAR(I10))*12+(MONTH(IFERROR(INDEX('Challan Master'!$D$4:$D$207,MATCH($B10,'Challan Master'!$S$4:$S$207,0)),""))-MONTH(I10))+1),0))))</f>
      </c>
      <c r="O10" s="7">
        <f>IF($C10="","",0)</f>
      </c>
      <c r="P10" s="8"/>
      <c r="Q10" s="8"/>
      <c r="R10" s="8"/>
      <c r="S10" s="8"/>
      <c r="T10" s="8"/>
      <c r="U10" s="7">
        <f>IF($B10="","",IFERROR(INDEX('Challan Master'!$AA$4:$AA$207,MATCH($B10,'Challan Master'!$S$4:$S$207,0)),""))</f>
      </c>
    </row>
    <row r="11" spans="1:22" x14ac:dyDescent="0.25">
      <c r="A11" s="7">
        <f>IF($C11="","",COUNTIF($C$4:$C11,"&lt;&gt;"))</f>
      </c>
      <c r="B11" s="8"/>
      <c r="C11" s="8"/>
      <c r="D11" s="8"/>
      <c r="E11" s="7">
        <f>IF($C11="","",IF(AND(LEN(TRIM(UPPER(D11)))=10,CODE(MID(TRIM(UPPER(D11)),1,1))&gt;=65,CODE(MID(TRIM(UPPER(D11)),1,1))&lt;=90,CODE(MID(TRIM(UPPER(D11)),2,1))&gt;=65,CODE(MID(TRIM(UPPER(D11)),2,1))&lt;=90,CODE(MID(TRIM(UPPER(D11)),3,1))&gt;=65,CODE(MID(TRIM(UPPER(D11)),3,1))&lt;=90,CODE(MID(TRIM(UPPER(D11)),4,1))&gt;=65,CODE(MID(TRIM(UPPER(D11)),4,1))&lt;=90,CODE(MID(TRIM(UPPER(D11)),5,1))&gt;=65,CODE(MID(TRIM(UPPER(D11)),5,1))&lt;=90,CODE(MID(TRIM(UPPER(D11)),10,1))&gt;=65,CODE(MID(TRIM(UPPER(D11)),10,1))&lt;=90,CODE(MID(TRIM(UPPER(D11)),6,1))&gt;=48,CODE(MID(TRIM(UPPER(D11)),6,1))&lt;=57,CODE(MID(TRIM(UPPER(D11)),7,1))&gt;=48,CODE(MID(TRIM(UPPER(D11)),7,1))&lt;=57,CODE(MID(TRIM(UPPER(D11)),8,1))&gt;=48,CODE(MID(TRIM(UPPER(D11)),8,1))&lt;=57,CODE(MID(TRIM(UPPER(D11)),9,1))&gt;=48,CODE(MID(TRIM(UPPER(D11)),9,1))&lt;=57),"N","Y"))</f>
      </c>
      <c r="F11" s="7">
        <f>IF($C11="","",IF(LEN(D11)&lt;4,"",IF(UPPER(MID(D11,4,1))="P","Individual",IF(UPPER(MID(D11,4,1))="H","HUF",IF(UPPER(MID(D11,4,1))="C","Company",IF(UPPER(MID(D11,4,1))="F","Firm",IF(UPPER(MID(D11,4,1))="L","LLP",IF(UPPER(MID(D11,4,1))="T","Trust",IF(UPPER(MID(D11,4,1))="A","AOP","")))))))))</f>
      </c>
      <c r="G11" s="8"/>
      <c r="H11" s="7">
        <f>IF($C11="","",IF(R11&lt;&gt;"",R11,IF(G11="","",IF(E11="Y",SUMPRODUCT(('Rate Lookup'!$A$1:$A$37=G11)*'Rate Lookup'!$D$1:$D$37),IF(OR(F11="Individual",F11="HUF"),SUMPRODUCT(('Rate Lookup'!$A$1:$A$37=G11)*'Rate Lookup'!$B$1:$B$37),SUMPRODUCT(('Rate Lookup'!$A$1:$A$37=G11)*'Rate Lookup'!$C$1:$C$37)))))))</f>
      </c>
      <c r="I11" s="8"/>
      <c r="J11" s="8"/>
      <c r="K11" s="7">
        <f>IF($C11="","",IF(OR(P11="B",P11="D",P11="E",P11="N",P11="O",P11="P",P11="Q",P11="S",P11="Y",P11="Z"),0,ROUND(J11*H11/100,0)))</f>
      </c>
      <c r="L11" s="7">
        <f>IF($C11="","",0)</f>
      </c>
      <c r="M11" s="7">
        <f>IF($C11="","",0)</f>
      </c>
      <c r="N11" s="7">
        <f>IF($C11="","",IF(OR(K11=0,I11="",IFERROR(INDEX('Challan Master'!$D$4:$D$207,MATCH($B11,'Challan Master'!$S$4:$S$207,0)),"")="",IFERROR(INDEX('Challan Master'!$D$4:$D$207,MATCH($B11,'Challan Master'!$S$4:$S$207,0)),"")&lt;=0),0,IF(IFERROR(INDEX('Challan Master'!$D$4:$D$207,MATCH($B11,'Challan Master'!$S$4:$S$207,0)),"")&lt;=DATE(YEAR(I11),MONTH(I11)+1,7),0,ROUND(K11*0.015*((YEAR(IFERROR(INDEX('Challan Master'!$D$4:$D$207,MATCH($B11,'Challan Master'!$S$4:$S$207,0)),""))-YEAR(I11))*12+(MONTH(IFERROR(INDEX('Challan Master'!$D$4:$D$207,MATCH($B11,'Challan Master'!$S$4:$S$207,0)),""))-MONTH(I11))+1),0))))</f>
      </c>
      <c r="O11" s="7">
        <f>IF($C11="","",0)</f>
      </c>
      <c r="P11" s="8"/>
      <c r="Q11" s="8"/>
      <c r="R11" s="8"/>
      <c r="S11" s="8"/>
      <c r="T11" s="8"/>
      <c r="U11" s="7">
        <f>IF($B11="","",IFERROR(INDEX('Challan Master'!$AA$4:$AA$207,MATCH($B11,'Challan Master'!$S$4:$S$207,0)),""))</f>
      </c>
    </row>
    <row r="12" spans="1:22" x14ac:dyDescent="0.25">
      <c r="A12" s="7">
        <f>IF($C12="","",COUNTIF($C$4:$C12,"&lt;&gt;"))</f>
      </c>
      <c r="B12" s="8"/>
      <c r="C12" s="8"/>
      <c r="D12" s="8"/>
      <c r="E12" s="7">
        <f>IF($C12="","",IF(AND(LEN(TRIM(UPPER(D12)))=10,CODE(MID(TRIM(UPPER(D12)),1,1))&gt;=65,CODE(MID(TRIM(UPPER(D12)),1,1))&lt;=90,CODE(MID(TRIM(UPPER(D12)),2,1))&gt;=65,CODE(MID(TRIM(UPPER(D12)),2,1))&lt;=90,CODE(MID(TRIM(UPPER(D12)),3,1))&gt;=65,CODE(MID(TRIM(UPPER(D12)),3,1))&lt;=90,CODE(MID(TRIM(UPPER(D12)),4,1))&gt;=65,CODE(MID(TRIM(UPPER(D12)),4,1))&lt;=90,CODE(MID(TRIM(UPPER(D12)),5,1))&gt;=65,CODE(MID(TRIM(UPPER(D12)),5,1))&lt;=90,CODE(MID(TRIM(UPPER(D12)),10,1))&gt;=65,CODE(MID(TRIM(UPPER(D12)),10,1))&lt;=90,CODE(MID(TRIM(UPPER(D12)),6,1))&gt;=48,CODE(MID(TRIM(UPPER(D12)),6,1))&lt;=57,CODE(MID(TRIM(UPPER(D12)),7,1))&gt;=48,CODE(MID(TRIM(UPPER(D12)),7,1))&lt;=57,CODE(MID(TRIM(UPPER(D12)),8,1))&gt;=48,CODE(MID(TRIM(UPPER(D12)),8,1))&lt;=57,CODE(MID(TRIM(UPPER(D12)),9,1))&gt;=48,CODE(MID(TRIM(UPPER(D12)),9,1))&lt;=57),"N","Y"))</f>
      </c>
      <c r="F12" s="7">
        <f>IF($C12="","",IF(LEN(D12)&lt;4,"",IF(UPPER(MID(D12,4,1))="P","Individual",IF(UPPER(MID(D12,4,1))="H","HUF",IF(UPPER(MID(D12,4,1))="C","Company",IF(UPPER(MID(D12,4,1))="F","Firm",IF(UPPER(MID(D12,4,1))="L","LLP",IF(UPPER(MID(D12,4,1))="T","Trust",IF(UPPER(MID(D12,4,1))="A","AOP","")))))))))</f>
      </c>
      <c r="G12" s="8"/>
      <c r="H12" s="7">
        <f>IF($C12="","",IF(R12&lt;&gt;"",R12,IF(G12="","",IF(E12="Y",SUMPRODUCT(('Rate Lookup'!$A$1:$A$37=G12)*'Rate Lookup'!$D$1:$D$37),IF(OR(F12="Individual",F12="HUF"),SUMPRODUCT(('Rate Lookup'!$A$1:$A$37=G12)*'Rate Lookup'!$B$1:$B$37),SUMPRODUCT(('Rate Lookup'!$A$1:$A$37=G12)*'Rate Lookup'!$C$1:$C$37)))))))</f>
      </c>
      <c r="I12" s="8"/>
      <c r="J12" s="8"/>
      <c r="K12" s="7">
        <f>IF($C12="","",IF(OR(P12="B",P12="D",P12="E",P12="N",P12="O",P12="P",P12="Q",P12="S",P12="Y",P12="Z"),0,ROUND(J12*H12/100,0)))</f>
      </c>
      <c r="L12" s="7">
        <f>IF($C12="","",0)</f>
      </c>
      <c r="M12" s="7">
        <f>IF($C12="","",0)</f>
      </c>
      <c r="N12" s="7">
        <f>IF($C12="","",IF(OR(K12=0,I12="",IFERROR(INDEX('Challan Master'!$D$4:$D$207,MATCH($B12,'Challan Master'!$S$4:$S$207,0)),"")="",IFERROR(INDEX('Challan Master'!$D$4:$D$207,MATCH($B12,'Challan Master'!$S$4:$S$207,0)),"")&lt;=0),0,IF(IFERROR(INDEX('Challan Master'!$D$4:$D$207,MATCH($B12,'Challan Master'!$S$4:$S$207,0)),"")&lt;=DATE(YEAR(I12),MONTH(I12)+1,7),0,ROUND(K12*0.015*((YEAR(IFERROR(INDEX('Challan Master'!$D$4:$D$207,MATCH($B12,'Challan Master'!$S$4:$S$207,0)),""))-YEAR(I12))*12+(MONTH(IFERROR(INDEX('Challan Master'!$D$4:$D$207,MATCH($B12,'Challan Master'!$S$4:$S$207,0)),""))-MONTH(I12))+1),0))))</f>
      </c>
      <c r="O12" s="7">
        <f>IF($C12="","",0)</f>
      </c>
      <c r="P12" s="8"/>
      <c r="Q12" s="8"/>
      <c r="R12" s="8"/>
      <c r="S12" s="8"/>
      <c r="T12" s="8"/>
      <c r="U12" s="7">
        <f>IF($B12="","",IFERROR(INDEX('Challan Master'!$AA$4:$AA$207,MATCH($B12,'Challan Master'!$S$4:$S$207,0)),""))</f>
      </c>
    </row>
    <row r="13" spans="1:22" x14ac:dyDescent="0.25">
      <c r="A13" s="7">
        <f>IF($C13="","",COUNTIF($C$4:$C13,"&lt;&gt;"))</f>
      </c>
      <c r="B13" s="8"/>
      <c r="C13" s="8"/>
      <c r="D13" s="8"/>
      <c r="E13" s="7">
        <f>IF($C13="","",IF(AND(LEN(TRIM(UPPER(D13)))=10,CODE(MID(TRIM(UPPER(D13)),1,1))&gt;=65,CODE(MID(TRIM(UPPER(D13)),1,1))&lt;=90,CODE(MID(TRIM(UPPER(D13)),2,1))&gt;=65,CODE(MID(TRIM(UPPER(D13)),2,1))&lt;=90,CODE(MID(TRIM(UPPER(D13)),3,1))&gt;=65,CODE(MID(TRIM(UPPER(D13)),3,1))&lt;=90,CODE(MID(TRIM(UPPER(D13)),4,1))&gt;=65,CODE(MID(TRIM(UPPER(D13)),4,1))&lt;=90,CODE(MID(TRIM(UPPER(D13)),5,1))&gt;=65,CODE(MID(TRIM(UPPER(D13)),5,1))&lt;=90,CODE(MID(TRIM(UPPER(D13)),10,1))&gt;=65,CODE(MID(TRIM(UPPER(D13)),10,1))&lt;=90,CODE(MID(TRIM(UPPER(D13)),6,1))&gt;=48,CODE(MID(TRIM(UPPER(D13)),6,1))&lt;=57,CODE(MID(TRIM(UPPER(D13)),7,1))&gt;=48,CODE(MID(TRIM(UPPER(D13)),7,1))&lt;=57,CODE(MID(TRIM(UPPER(D13)),8,1))&gt;=48,CODE(MID(TRIM(UPPER(D13)),8,1))&lt;=57,CODE(MID(TRIM(UPPER(D13)),9,1))&gt;=48,CODE(MID(TRIM(UPPER(D13)),9,1))&lt;=57),"N","Y"))</f>
      </c>
      <c r="F13" s="7">
        <f>IF($C13="","",IF(LEN(D13)&lt;4,"",IF(UPPER(MID(D13,4,1))="P","Individual",IF(UPPER(MID(D13,4,1))="H","HUF",IF(UPPER(MID(D13,4,1))="C","Company",IF(UPPER(MID(D13,4,1))="F","Firm",IF(UPPER(MID(D13,4,1))="L","LLP",IF(UPPER(MID(D13,4,1))="T","Trust",IF(UPPER(MID(D13,4,1))="A","AOP","")))))))))</f>
      </c>
      <c r="G13" s="8"/>
      <c r="H13" s="7">
        <f>IF($C13="","",IF(R13&lt;&gt;"",R13,IF(G13="","",IF(E13="Y",SUMPRODUCT(('Rate Lookup'!$A$1:$A$37=G13)*'Rate Lookup'!$D$1:$D$37),IF(OR(F13="Individual",F13="HUF"),SUMPRODUCT(('Rate Lookup'!$A$1:$A$37=G13)*'Rate Lookup'!$B$1:$B$37),SUMPRODUCT(('Rate Lookup'!$A$1:$A$37=G13)*'Rate Lookup'!$C$1:$C$37)))))))</f>
      </c>
      <c r="I13" s="8"/>
      <c r="J13" s="8"/>
      <c r="K13" s="7">
        <f>IF($C13="","",IF(OR(P13="B",P13="D",P13="E",P13="N",P13="O",P13="P",P13="Q",P13="S",P13="Y",P13="Z"),0,ROUND(J13*H13/100,0)))</f>
      </c>
      <c r="L13" s="7">
        <f>IF($C13="","",0)</f>
      </c>
      <c r="M13" s="7">
        <f>IF($C13="","",0)</f>
      </c>
      <c r="N13" s="7">
        <f>IF($C13="","",IF(OR(K13=0,I13="",IFERROR(INDEX('Challan Master'!$D$4:$D$207,MATCH($B13,'Challan Master'!$S$4:$S$207,0)),"")="",IFERROR(INDEX('Challan Master'!$D$4:$D$207,MATCH($B13,'Challan Master'!$S$4:$S$207,0)),"")&lt;=0),0,IF(IFERROR(INDEX('Challan Master'!$D$4:$D$207,MATCH($B13,'Challan Master'!$S$4:$S$207,0)),"")&lt;=DATE(YEAR(I13),MONTH(I13)+1,7),0,ROUND(K13*0.015*((YEAR(IFERROR(INDEX('Challan Master'!$D$4:$D$207,MATCH($B13,'Challan Master'!$S$4:$S$207,0)),""))-YEAR(I13))*12+(MONTH(IFERROR(INDEX('Challan Master'!$D$4:$D$207,MATCH($B13,'Challan Master'!$S$4:$S$207,0)),""))-MONTH(I13))+1),0))))</f>
      </c>
      <c r="O13" s="7">
        <f>IF($C13="","",0)</f>
      </c>
      <c r="P13" s="8"/>
      <c r="Q13" s="8"/>
      <c r="R13" s="8"/>
      <c r="S13" s="8"/>
      <c r="T13" s="8"/>
      <c r="U13" s="7">
        <f>IF($B13="","",IFERROR(INDEX('Challan Master'!$AA$4:$AA$207,MATCH($B13,'Challan Master'!$S$4:$S$207,0)),""))</f>
      </c>
    </row>
    <row r="14" spans="1:22" x14ac:dyDescent="0.25">
      <c r="A14" s="7">
        <f>IF($C14="","",COUNTIF($C$4:$C14,"&lt;&gt;"))</f>
      </c>
      <c r="B14" s="8"/>
      <c r="C14" s="8"/>
      <c r="D14" s="8"/>
      <c r="E14" s="7">
        <f>IF($C14="","",IF(AND(LEN(TRIM(UPPER(D14)))=10,CODE(MID(TRIM(UPPER(D14)),1,1))&gt;=65,CODE(MID(TRIM(UPPER(D14)),1,1))&lt;=90,CODE(MID(TRIM(UPPER(D14)),2,1))&gt;=65,CODE(MID(TRIM(UPPER(D14)),2,1))&lt;=90,CODE(MID(TRIM(UPPER(D14)),3,1))&gt;=65,CODE(MID(TRIM(UPPER(D14)),3,1))&lt;=90,CODE(MID(TRIM(UPPER(D14)),4,1))&gt;=65,CODE(MID(TRIM(UPPER(D14)),4,1))&lt;=90,CODE(MID(TRIM(UPPER(D14)),5,1))&gt;=65,CODE(MID(TRIM(UPPER(D14)),5,1))&lt;=90,CODE(MID(TRIM(UPPER(D14)),10,1))&gt;=65,CODE(MID(TRIM(UPPER(D14)),10,1))&lt;=90,CODE(MID(TRIM(UPPER(D14)),6,1))&gt;=48,CODE(MID(TRIM(UPPER(D14)),6,1))&lt;=57,CODE(MID(TRIM(UPPER(D14)),7,1))&gt;=48,CODE(MID(TRIM(UPPER(D14)),7,1))&lt;=57,CODE(MID(TRIM(UPPER(D14)),8,1))&gt;=48,CODE(MID(TRIM(UPPER(D14)),8,1))&lt;=57,CODE(MID(TRIM(UPPER(D14)),9,1))&gt;=48,CODE(MID(TRIM(UPPER(D14)),9,1))&lt;=57),"N","Y"))</f>
      </c>
      <c r="F14" s="7">
        <f>IF($C14="","",IF(LEN(D14)&lt;4,"",IF(UPPER(MID(D14,4,1))="P","Individual",IF(UPPER(MID(D14,4,1))="H","HUF",IF(UPPER(MID(D14,4,1))="C","Company",IF(UPPER(MID(D14,4,1))="F","Firm",IF(UPPER(MID(D14,4,1))="L","LLP",IF(UPPER(MID(D14,4,1))="T","Trust",IF(UPPER(MID(D14,4,1))="A","AOP","")))))))))</f>
      </c>
      <c r="G14" s="8"/>
      <c r="H14" s="7">
        <f>IF($C14="","",IF(R14&lt;&gt;"",R14,IF(G14="","",IF(E14="Y",SUMPRODUCT(('Rate Lookup'!$A$1:$A$37=G14)*'Rate Lookup'!$D$1:$D$37),IF(OR(F14="Individual",F14="HUF"),SUMPRODUCT(('Rate Lookup'!$A$1:$A$37=G14)*'Rate Lookup'!$B$1:$B$37),SUMPRODUCT(('Rate Lookup'!$A$1:$A$37=G14)*'Rate Lookup'!$C$1:$C$37)))))))</f>
      </c>
      <c r="I14" s="8"/>
      <c r="J14" s="8"/>
      <c r="K14" s="7">
        <f>IF($C14="","",IF(OR(P14="B",P14="D",P14="E",P14="N",P14="O",P14="P",P14="Q",P14="S",P14="Y",P14="Z"),0,ROUND(J14*H14/100,0)))</f>
      </c>
      <c r="L14" s="7">
        <f>IF($C14="","",0)</f>
      </c>
      <c r="M14" s="7">
        <f>IF($C14="","",0)</f>
      </c>
      <c r="N14" s="7">
        <f>IF($C14="","",IF(OR(K14=0,I14="",IFERROR(INDEX('Challan Master'!$D$4:$D$207,MATCH($B14,'Challan Master'!$S$4:$S$207,0)),"")="",IFERROR(INDEX('Challan Master'!$D$4:$D$207,MATCH($B14,'Challan Master'!$S$4:$S$207,0)),"")&lt;=0),0,IF(IFERROR(INDEX('Challan Master'!$D$4:$D$207,MATCH($B14,'Challan Master'!$S$4:$S$207,0)),"")&lt;=DATE(YEAR(I14),MONTH(I14)+1,7),0,ROUND(K14*0.015*((YEAR(IFERROR(INDEX('Challan Master'!$D$4:$D$207,MATCH($B14,'Challan Master'!$S$4:$S$207,0)),""))-YEAR(I14))*12+(MONTH(IFERROR(INDEX('Challan Master'!$D$4:$D$207,MATCH($B14,'Challan Master'!$S$4:$S$207,0)),""))-MONTH(I14))+1),0))))</f>
      </c>
      <c r="O14" s="7">
        <f>IF($C14="","",0)</f>
      </c>
      <c r="P14" s="8"/>
      <c r="Q14" s="8"/>
      <c r="R14" s="8"/>
      <c r="S14" s="8"/>
      <c r="T14" s="8"/>
      <c r="U14" s="7">
        <f>IF($B14="","",IFERROR(INDEX('Challan Master'!$AA$4:$AA$207,MATCH($B14,'Challan Master'!$S$4:$S$207,0)),""))</f>
      </c>
    </row>
    <row r="15" spans="1:22" x14ac:dyDescent="0.25">
      <c r="A15" s="7">
        <f>IF($C15="","",COUNTIF($C$4:$C15,"&lt;&gt;"))</f>
      </c>
      <c r="B15" s="8"/>
      <c r="C15" s="8"/>
      <c r="D15" s="8"/>
      <c r="E15" s="7">
        <f>IF($C15="","",IF(AND(LEN(TRIM(UPPER(D15)))=10,CODE(MID(TRIM(UPPER(D15)),1,1))&gt;=65,CODE(MID(TRIM(UPPER(D15)),1,1))&lt;=90,CODE(MID(TRIM(UPPER(D15)),2,1))&gt;=65,CODE(MID(TRIM(UPPER(D15)),2,1))&lt;=90,CODE(MID(TRIM(UPPER(D15)),3,1))&gt;=65,CODE(MID(TRIM(UPPER(D15)),3,1))&lt;=90,CODE(MID(TRIM(UPPER(D15)),4,1))&gt;=65,CODE(MID(TRIM(UPPER(D15)),4,1))&lt;=90,CODE(MID(TRIM(UPPER(D15)),5,1))&gt;=65,CODE(MID(TRIM(UPPER(D15)),5,1))&lt;=90,CODE(MID(TRIM(UPPER(D15)),10,1))&gt;=65,CODE(MID(TRIM(UPPER(D15)),10,1))&lt;=90,CODE(MID(TRIM(UPPER(D15)),6,1))&gt;=48,CODE(MID(TRIM(UPPER(D15)),6,1))&lt;=57,CODE(MID(TRIM(UPPER(D15)),7,1))&gt;=48,CODE(MID(TRIM(UPPER(D15)),7,1))&lt;=57,CODE(MID(TRIM(UPPER(D15)),8,1))&gt;=48,CODE(MID(TRIM(UPPER(D15)),8,1))&lt;=57,CODE(MID(TRIM(UPPER(D15)),9,1))&gt;=48,CODE(MID(TRIM(UPPER(D15)),9,1))&lt;=57),"N","Y"))</f>
      </c>
      <c r="F15" s="7">
        <f>IF($C15="","",IF(LEN(D15)&lt;4,"",IF(UPPER(MID(D15,4,1))="P","Individual",IF(UPPER(MID(D15,4,1))="H","HUF",IF(UPPER(MID(D15,4,1))="C","Company",IF(UPPER(MID(D15,4,1))="F","Firm",IF(UPPER(MID(D15,4,1))="L","LLP",IF(UPPER(MID(D15,4,1))="T","Trust",IF(UPPER(MID(D15,4,1))="A","AOP","")))))))))</f>
      </c>
      <c r="G15" s="8"/>
      <c r="H15" s="7">
        <f>IF($C15="","",IF(R15&lt;&gt;"",R15,IF(G15="","",IF(E15="Y",SUMPRODUCT(('Rate Lookup'!$A$1:$A$37=G15)*'Rate Lookup'!$D$1:$D$37),IF(OR(F15="Individual",F15="HUF"),SUMPRODUCT(('Rate Lookup'!$A$1:$A$37=G15)*'Rate Lookup'!$B$1:$B$37),SUMPRODUCT(('Rate Lookup'!$A$1:$A$37=G15)*'Rate Lookup'!$C$1:$C$37)))))))</f>
      </c>
      <c r="I15" s="8"/>
      <c r="J15" s="8"/>
      <c r="K15" s="7">
        <f>IF($C15="","",IF(OR(P15="B",P15="D",P15="E",P15="N",P15="O",P15="P",P15="Q",P15="S",P15="Y",P15="Z"),0,ROUND(J15*H15/100,0)))</f>
      </c>
      <c r="L15" s="7">
        <f>IF($C15="","",0)</f>
      </c>
      <c r="M15" s="7">
        <f>IF($C15="","",0)</f>
      </c>
      <c r="N15" s="7">
        <f>IF($C15="","",IF(OR(K15=0,I15="",IFERROR(INDEX('Challan Master'!$D$4:$D$207,MATCH($B15,'Challan Master'!$S$4:$S$207,0)),"")="",IFERROR(INDEX('Challan Master'!$D$4:$D$207,MATCH($B15,'Challan Master'!$S$4:$S$207,0)),"")&lt;=0),0,IF(IFERROR(INDEX('Challan Master'!$D$4:$D$207,MATCH($B15,'Challan Master'!$S$4:$S$207,0)),"")&lt;=DATE(YEAR(I15),MONTH(I15)+1,7),0,ROUND(K15*0.015*((YEAR(IFERROR(INDEX('Challan Master'!$D$4:$D$207,MATCH($B15,'Challan Master'!$S$4:$S$207,0)),""))-YEAR(I15))*12+(MONTH(IFERROR(INDEX('Challan Master'!$D$4:$D$207,MATCH($B15,'Challan Master'!$S$4:$S$207,0)),""))-MONTH(I15))+1),0))))</f>
      </c>
      <c r="O15" s="7">
        <f>IF($C15="","",0)</f>
      </c>
      <c r="P15" s="8"/>
      <c r="Q15" s="8"/>
      <c r="R15" s="8"/>
      <c r="S15" s="8"/>
      <c r="T15" s="8"/>
      <c r="U15" s="7">
        <f>IF($B15="","",IFERROR(INDEX('Challan Master'!$AA$4:$AA$207,MATCH($B15,'Challan Master'!$S$4:$S$207,0)),""))</f>
      </c>
    </row>
    <row r="16" spans="1:22" x14ac:dyDescent="0.25">
      <c r="A16" s="7">
        <f>IF($C16="","",COUNTIF($C$4:$C16,"&lt;&gt;"))</f>
      </c>
      <c r="B16" s="8"/>
      <c r="C16" s="8"/>
      <c r="D16" s="8"/>
      <c r="E16" s="7">
        <f>IF($C16="","",IF(AND(LEN(TRIM(UPPER(D16)))=10,CODE(MID(TRIM(UPPER(D16)),1,1))&gt;=65,CODE(MID(TRIM(UPPER(D16)),1,1))&lt;=90,CODE(MID(TRIM(UPPER(D16)),2,1))&gt;=65,CODE(MID(TRIM(UPPER(D16)),2,1))&lt;=90,CODE(MID(TRIM(UPPER(D16)),3,1))&gt;=65,CODE(MID(TRIM(UPPER(D16)),3,1))&lt;=90,CODE(MID(TRIM(UPPER(D16)),4,1))&gt;=65,CODE(MID(TRIM(UPPER(D16)),4,1))&lt;=90,CODE(MID(TRIM(UPPER(D16)),5,1))&gt;=65,CODE(MID(TRIM(UPPER(D16)),5,1))&lt;=90,CODE(MID(TRIM(UPPER(D16)),10,1))&gt;=65,CODE(MID(TRIM(UPPER(D16)),10,1))&lt;=90,CODE(MID(TRIM(UPPER(D16)),6,1))&gt;=48,CODE(MID(TRIM(UPPER(D16)),6,1))&lt;=57,CODE(MID(TRIM(UPPER(D16)),7,1))&gt;=48,CODE(MID(TRIM(UPPER(D16)),7,1))&lt;=57,CODE(MID(TRIM(UPPER(D16)),8,1))&gt;=48,CODE(MID(TRIM(UPPER(D16)),8,1))&lt;=57,CODE(MID(TRIM(UPPER(D16)),9,1))&gt;=48,CODE(MID(TRIM(UPPER(D16)),9,1))&lt;=57),"N","Y"))</f>
      </c>
      <c r="F16" s="7">
        <f>IF($C16="","",IF(LEN(D16)&lt;4,"",IF(UPPER(MID(D16,4,1))="P","Individual",IF(UPPER(MID(D16,4,1))="H","HUF",IF(UPPER(MID(D16,4,1))="C","Company",IF(UPPER(MID(D16,4,1))="F","Firm",IF(UPPER(MID(D16,4,1))="L","LLP",IF(UPPER(MID(D16,4,1))="T","Trust",IF(UPPER(MID(D16,4,1))="A","AOP","")))))))))</f>
      </c>
      <c r="G16" s="8"/>
      <c r="H16" s="7">
        <f>IF($C16="","",IF(R16&lt;&gt;"",R16,IF(G16="","",IF(E16="Y",SUMPRODUCT(('Rate Lookup'!$A$1:$A$37=G16)*'Rate Lookup'!$D$1:$D$37),IF(OR(F16="Individual",F16="HUF"),SUMPRODUCT(('Rate Lookup'!$A$1:$A$37=G16)*'Rate Lookup'!$B$1:$B$37),SUMPRODUCT(('Rate Lookup'!$A$1:$A$37=G16)*'Rate Lookup'!$C$1:$C$37)))))))</f>
      </c>
      <c r="I16" s="8"/>
      <c r="J16" s="8"/>
      <c r="K16" s="7">
        <f>IF($C16="","",IF(OR(P16="B",P16="D",P16="E",P16="N",P16="O",P16="P",P16="Q",P16="S",P16="Y",P16="Z"),0,ROUND(J16*H16/100,0)))</f>
      </c>
      <c r="L16" s="7">
        <f>IF($C16="","",0)</f>
      </c>
      <c r="M16" s="7">
        <f>IF($C16="","",0)</f>
      </c>
      <c r="N16" s="7">
        <f>IF($C16="","",IF(OR(K16=0,I16="",IFERROR(INDEX('Challan Master'!$D$4:$D$207,MATCH($B16,'Challan Master'!$S$4:$S$207,0)),"")="",IFERROR(INDEX('Challan Master'!$D$4:$D$207,MATCH($B16,'Challan Master'!$S$4:$S$207,0)),"")&lt;=0),0,IF(IFERROR(INDEX('Challan Master'!$D$4:$D$207,MATCH($B16,'Challan Master'!$S$4:$S$207,0)),"")&lt;=DATE(YEAR(I16),MONTH(I16)+1,7),0,ROUND(K16*0.015*((YEAR(IFERROR(INDEX('Challan Master'!$D$4:$D$207,MATCH($B16,'Challan Master'!$S$4:$S$207,0)),""))-YEAR(I16))*12+(MONTH(IFERROR(INDEX('Challan Master'!$D$4:$D$207,MATCH($B16,'Challan Master'!$S$4:$S$207,0)),""))-MONTH(I16))+1),0))))</f>
      </c>
      <c r="O16" s="7">
        <f>IF($C16="","",0)</f>
      </c>
      <c r="P16" s="8"/>
      <c r="Q16" s="8"/>
      <c r="R16" s="8"/>
      <c r="S16" s="8"/>
      <c r="T16" s="8"/>
      <c r="U16" s="7">
        <f>IF($B16="","",IFERROR(INDEX('Challan Master'!$AA$4:$AA$207,MATCH($B16,'Challan Master'!$S$4:$S$207,0)),""))</f>
      </c>
    </row>
    <row r="17" spans="1:22" x14ac:dyDescent="0.25">
      <c r="A17" s="7">
        <f>IF($C17="","",COUNTIF($C$4:$C17,"&lt;&gt;"))</f>
      </c>
      <c r="B17" s="8"/>
      <c r="C17" s="8"/>
      <c r="D17" s="8"/>
      <c r="E17" s="7">
        <f>IF($C17="","",IF(AND(LEN(TRIM(UPPER(D17)))=10,CODE(MID(TRIM(UPPER(D17)),1,1))&gt;=65,CODE(MID(TRIM(UPPER(D17)),1,1))&lt;=90,CODE(MID(TRIM(UPPER(D17)),2,1))&gt;=65,CODE(MID(TRIM(UPPER(D17)),2,1))&lt;=90,CODE(MID(TRIM(UPPER(D17)),3,1))&gt;=65,CODE(MID(TRIM(UPPER(D17)),3,1))&lt;=90,CODE(MID(TRIM(UPPER(D17)),4,1))&gt;=65,CODE(MID(TRIM(UPPER(D17)),4,1))&lt;=90,CODE(MID(TRIM(UPPER(D17)),5,1))&gt;=65,CODE(MID(TRIM(UPPER(D17)),5,1))&lt;=90,CODE(MID(TRIM(UPPER(D17)),10,1))&gt;=65,CODE(MID(TRIM(UPPER(D17)),10,1))&lt;=90,CODE(MID(TRIM(UPPER(D17)),6,1))&gt;=48,CODE(MID(TRIM(UPPER(D17)),6,1))&lt;=57,CODE(MID(TRIM(UPPER(D17)),7,1))&gt;=48,CODE(MID(TRIM(UPPER(D17)),7,1))&lt;=57,CODE(MID(TRIM(UPPER(D17)),8,1))&gt;=48,CODE(MID(TRIM(UPPER(D17)),8,1))&lt;=57,CODE(MID(TRIM(UPPER(D17)),9,1))&gt;=48,CODE(MID(TRIM(UPPER(D17)),9,1))&lt;=57),"N","Y"))</f>
      </c>
      <c r="F17" s="7">
        <f>IF($C17="","",IF(LEN(D17)&lt;4,"",IF(UPPER(MID(D17,4,1))="P","Individual",IF(UPPER(MID(D17,4,1))="H","HUF",IF(UPPER(MID(D17,4,1))="C","Company",IF(UPPER(MID(D17,4,1))="F","Firm",IF(UPPER(MID(D17,4,1))="L","LLP",IF(UPPER(MID(D17,4,1))="T","Trust",IF(UPPER(MID(D17,4,1))="A","AOP","")))))))))</f>
      </c>
      <c r="G17" s="8"/>
      <c r="H17" s="7">
        <f>IF($C17="","",IF(R17&lt;&gt;"",R17,IF(G17="","",IF(E17="Y",SUMPRODUCT(('Rate Lookup'!$A$1:$A$37=G17)*'Rate Lookup'!$D$1:$D$37),IF(OR(F17="Individual",F17="HUF"),SUMPRODUCT(('Rate Lookup'!$A$1:$A$37=G17)*'Rate Lookup'!$B$1:$B$37),SUMPRODUCT(('Rate Lookup'!$A$1:$A$37=G17)*'Rate Lookup'!$C$1:$C$37)))))))</f>
      </c>
      <c r="I17" s="8"/>
      <c r="J17" s="8"/>
      <c r="K17" s="7">
        <f>IF($C17="","",IF(OR(P17="B",P17="D",P17="E",P17="N",P17="O",P17="P",P17="Q",P17="S",P17="Y",P17="Z"),0,ROUND(J17*H17/100,0)))</f>
      </c>
      <c r="L17" s="7">
        <f>IF($C17="","",0)</f>
      </c>
      <c r="M17" s="7">
        <f>IF($C17="","",0)</f>
      </c>
      <c r="N17" s="7">
        <f>IF($C17="","",IF(OR(K17=0,I17="",IFERROR(INDEX('Challan Master'!$D$4:$D$207,MATCH($B17,'Challan Master'!$S$4:$S$207,0)),"")="",IFERROR(INDEX('Challan Master'!$D$4:$D$207,MATCH($B17,'Challan Master'!$S$4:$S$207,0)),"")&lt;=0),0,IF(IFERROR(INDEX('Challan Master'!$D$4:$D$207,MATCH($B17,'Challan Master'!$S$4:$S$207,0)),"")&lt;=DATE(YEAR(I17),MONTH(I17)+1,7),0,ROUND(K17*0.015*((YEAR(IFERROR(INDEX('Challan Master'!$D$4:$D$207,MATCH($B17,'Challan Master'!$S$4:$S$207,0)),""))-YEAR(I17))*12+(MONTH(IFERROR(INDEX('Challan Master'!$D$4:$D$207,MATCH($B17,'Challan Master'!$S$4:$S$207,0)),""))-MONTH(I17))+1),0))))</f>
      </c>
      <c r="O17" s="7">
        <f>IF($C17="","",0)</f>
      </c>
      <c r="P17" s="8"/>
      <c r="Q17" s="8"/>
      <c r="R17" s="8"/>
      <c r="S17" s="8"/>
      <c r="T17" s="8"/>
      <c r="U17" s="7">
        <f>IF($B17="","",IFERROR(INDEX('Challan Master'!$AA$4:$AA$207,MATCH($B17,'Challan Master'!$S$4:$S$207,0)),""))</f>
      </c>
    </row>
    <row r="18" spans="1:22" x14ac:dyDescent="0.25">
      <c r="A18" s="7">
        <f>IF($C18="","",COUNTIF($C$4:$C18,"&lt;&gt;"))</f>
      </c>
      <c r="B18" s="8"/>
      <c r="C18" s="8"/>
      <c r="D18" s="8"/>
      <c r="E18" s="7">
        <f>IF($C18="","",IF(AND(LEN(TRIM(UPPER(D18)))=10,CODE(MID(TRIM(UPPER(D18)),1,1))&gt;=65,CODE(MID(TRIM(UPPER(D18)),1,1))&lt;=90,CODE(MID(TRIM(UPPER(D18)),2,1))&gt;=65,CODE(MID(TRIM(UPPER(D18)),2,1))&lt;=90,CODE(MID(TRIM(UPPER(D18)),3,1))&gt;=65,CODE(MID(TRIM(UPPER(D18)),3,1))&lt;=90,CODE(MID(TRIM(UPPER(D18)),4,1))&gt;=65,CODE(MID(TRIM(UPPER(D18)),4,1))&lt;=90,CODE(MID(TRIM(UPPER(D18)),5,1))&gt;=65,CODE(MID(TRIM(UPPER(D18)),5,1))&lt;=90,CODE(MID(TRIM(UPPER(D18)),10,1))&gt;=65,CODE(MID(TRIM(UPPER(D18)),10,1))&lt;=90,CODE(MID(TRIM(UPPER(D18)),6,1))&gt;=48,CODE(MID(TRIM(UPPER(D18)),6,1))&lt;=57,CODE(MID(TRIM(UPPER(D18)),7,1))&gt;=48,CODE(MID(TRIM(UPPER(D18)),7,1))&lt;=57,CODE(MID(TRIM(UPPER(D18)),8,1))&gt;=48,CODE(MID(TRIM(UPPER(D18)),8,1))&lt;=57,CODE(MID(TRIM(UPPER(D18)),9,1))&gt;=48,CODE(MID(TRIM(UPPER(D18)),9,1))&lt;=57),"N","Y"))</f>
      </c>
      <c r="F18" s="7">
        <f>IF($C18="","",IF(LEN(D18)&lt;4,"",IF(UPPER(MID(D18,4,1))="P","Individual",IF(UPPER(MID(D18,4,1))="H","HUF",IF(UPPER(MID(D18,4,1))="C","Company",IF(UPPER(MID(D18,4,1))="F","Firm",IF(UPPER(MID(D18,4,1))="L","LLP",IF(UPPER(MID(D18,4,1))="T","Trust",IF(UPPER(MID(D18,4,1))="A","AOP","")))))))))</f>
      </c>
      <c r="G18" s="8"/>
      <c r="H18" s="7">
        <f>IF($C18="","",IF(R18&lt;&gt;"",R18,IF(G18="","",IF(E18="Y",SUMPRODUCT(('Rate Lookup'!$A$1:$A$37=G18)*'Rate Lookup'!$D$1:$D$37),IF(OR(F18="Individual",F18="HUF"),SUMPRODUCT(('Rate Lookup'!$A$1:$A$37=G18)*'Rate Lookup'!$B$1:$B$37),SUMPRODUCT(('Rate Lookup'!$A$1:$A$37=G18)*'Rate Lookup'!$C$1:$C$37)))))))</f>
      </c>
      <c r="I18" s="8"/>
      <c r="J18" s="8"/>
      <c r="K18" s="7">
        <f>IF($C18="","",IF(OR(P18="B",P18="D",P18="E",P18="N",P18="O",P18="P",P18="Q",P18="S",P18="Y",P18="Z"),0,ROUND(J18*H18/100,0)))</f>
      </c>
      <c r="L18" s="7">
        <f>IF($C18="","",0)</f>
      </c>
      <c r="M18" s="7">
        <f>IF($C18="","",0)</f>
      </c>
      <c r="N18" s="7">
        <f>IF($C18="","",IF(OR(K18=0,I18="",IFERROR(INDEX('Challan Master'!$D$4:$D$207,MATCH($B18,'Challan Master'!$S$4:$S$207,0)),"")="",IFERROR(INDEX('Challan Master'!$D$4:$D$207,MATCH($B18,'Challan Master'!$S$4:$S$207,0)),"")&lt;=0),0,IF(IFERROR(INDEX('Challan Master'!$D$4:$D$207,MATCH($B18,'Challan Master'!$S$4:$S$207,0)),"")&lt;=DATE(YEAR(I18),MONTH(I18)+1,7),0,ROUND(K18*0.015*((YEAR(IFERROR(INDEX('Challan Master'!$D$4:$D$207,MATCH($B18,'Challan Master'!$S$4:$S$207,0)),""))-YEAR(I18))*12+(MONTH(IFERROR(INDEX('Challan Master'!$D$4:$D$207,MATCH($B18,'Challan Master'!$S$4:$S$207,0)),""))-MONTH(I18))+1),0))))</f>
      </c>
      <c r="O18" s="7">
        <f>IF($C18="","",0)</f>
      </c>
      <c r="P18" s="8"/>
      <c r="Q18" s="8"/>
      <c r="R18" s="8"/>
      <c r="S18" s="8"/>
      <c r="T18" s="8"/>
      <c r="U18" s="7">
        <f>IF($B18="","",IFERROR(INDEX('Challan Master'!$AA$4:$AA$207,MATCH($B18,'Challan Master'!$S$4:$S$207,0)),""))</f>
      </c>
    </row>
    <row r="19" spans="1:22" x14ac:dyDescent="0.25">
      <c r="A19" s="7">
        <f>IF($C19="","",COUNTIF($C$4:$C19,"&lt;&gt;"))</f>
      </c>
      <c r="B19" s="8"/>
      <c r="C19" s="8"/>
      <c r="D19" s="8"/>
      <c r="E19" s="7">
        <f>IF($C19="","",IF(AND(LEN(TRIM(UPPER(D19)))=10,CODE(MID(TRIM(UPPER(D19)),1,1))&gt;=65,CODE(MID(TRIM(UPPER(D19)),1,1))&lt;=90,CODE(MID(TRIM(UPPER(D19)),2,1))&gt;=65,CODE(MID(TRIM(UPPER(D19)),2,1))&lt;=90,CODE(MID(TRIM(UPPER(D19)),3,1))&gt;=65,CODE(MID(TRIM(UPPER(D19)),3,1))&lt;=90,CODE(MID(TRIM(UPPER(D19)),4,1))&gt;=65,CODE(MID(TRIM(UPPER(D19)),4,1))&lt;=90,CODE(MID(TRIM(UPPER(D19)),5,1))&gt;=65,CODE(MID(TRIM(UPPER(D19)),5,1))&lt;=90,CODE(MID(TRIM(UPPER(D19)),10,1))&gt;=65,CODE(MID(TRIM(UPPER(D19)),10,1))&lt;=90,CODE(MID(TRIM(UPPER(D19)),6,1))&gt;=48,CODE(MID(TRIM(UPPER(D19)),6,1))&lt;=57,CODE(MID(TRIM(UPPER(D19)),7,1))&gt;=48,CODE(MID(TRIM(UPPER(D19)),7,1))&lt;=57,CODE(MID(TRIM(UPPER(D19)),8,1))&gt;=48,CODE(MID(TRIM(UPPER(D19)),8,1))&lt;=57,CODE(MID(TRIM(UPPER(D19)),9,1))&gt;=48,CODE(MID(TRIM(UPPER(D19)),9,1))&lt;=57),"N","Y"))</f>
      </c>
      <c r="F19" s="7">
        <f>IF($C19="","",IF(LEN(D19)&lt;4,"",IF(UPPER(MID(D19,4,1))="P","Individual",IF(UPPER(MID(D19,4,1))="H","HUF",IF(UPPER(MID(D19,4,1))="C","Company",IF(UPPER(MID(D19,4,1))="F","Firm",IF(UPPER(MID(D19,4,1))="L","LLP",IF(UPPER(MID(D19,4,1))="T","Trust",IF(UPPER(MID(D19,4,1))="A","AOP","")))))))))</f>
      </c>
      <c r="G19" s="8"/>
      <c r="H19" s="7">
        <f>IF($C19="","",IF(R19&lt;&gt;"",R19,IF(G19="","",IF(E19="Y",SUMPRODUCT(('Rate Lookup'!$A$1:$A$37=G19)*'Rate Lookup'!$D$1:$D$37),IF(OR(F19="Individual",F19="HUF"),SUMPRODUCT(('Rate Lookup'!$A$1:$A$37=G19)*'Rate Lookup'!$B$1:$B$37),SUMPRODUCT(('Rate Lookup'!$A$1:$A$37=G19)*'Rate Lookup'!$C$1:$C$37)))))))</f>
      </c>
      <c r="I19" s="8"/>
      <c r="J19" s="8"/>
      <c r="K19" s="7">
        <f>IF($C19="","",IF(OR(P19="B",P19="D",P19="E",P19="N",P19="O",P19="P",P19="Q",P19="S",P19="Y",P19="Z"),0,ROUND(J19*H19/100,0)))</f>
      </c>
      <c r="L19" s="7">
        <f>IF($C19="","",0)</f>
      </c>
      <c r="M19" s="7">
        <f>IF($C19="","",0)</f>
      </c>
      <c r="N19" s="7">
        <f>IF($C19="","",IF(OR(K19=0,I19="",IFERROR(INDEX('Challan Master'!$D$4:$D$207,MATCH($B19,'Challan Master'!$S$4:$S$207,0)),"")="",IFERROR(INDEX('Challan Master'!$D$4:$D$207,MATCH($B19,'Challan Master'!$S$4:$S$207,0)),"")&lt;=0),0,IF(IFERROR(INDEX('Challan Master'!$D$4:$D$207,MATCH($B19,'Challan Master'!$S$4:$S$207,0)),"")&lt;=DATE(YEAR(I19),MONTH(I19)+1,7),0,ROUND(K19*0.015*((YEAR(IFERROR(INDEX('Challan Master'!$D$4:$D$207,MATCH($B19,'Challan Master'!$S$4:$S$207,0)),""))-YEAR(I19))*12+(MONTH(IFERROR(INDEX('Challan Master'!$D$4:$D$207,MATCH($B19,'Challan Master'!$S$4:$S$207,0)),""))-MONTH(I19))+1),0))))</f>
      </c>
      <c r="O19" s="7">
        <f>IF($C19="","",0)</f>
      </c>
      <c r="P19" s="8"/>
      <c r="Q19" s="8"/>
      <c r="R19" s="8"/>
      <c r="S19" s="8"/>
      <c r="T19" s="8"/>
      <c r="U19" s="7">
        <f>IF($B19="","",IFERROR(INDEX('Challan Master'!$AA$4:$AA$207,MATCH($B19,'Challan Master'!$S$4:$S$207,0)),""))</f>
      </c>
    </row>
    <row r="20" spans="1:22" x14ac:dyDescent="0.25">
      <c r="A20" s="7">
        <f>IF($C20="","",COUNTIF($C$4:$C20,"&lt;&gt;"))</f>
      </c>
      <c r="B20" s="8"/>
      <c r="C20" s="8"/>
      <c r="D20" s="8"/>
      <c r="E20" s="7">
        <f>IF($C20="","",IF(AND(LEN(TRIM(UPPER(D20)))=10,CODE(MID(TRIM(UPPER(D20)),1,1))&gt;=65,CODE(MID(TRIM(UPPER(D20)),1,1))&lt;=90,CODE(MID(TRIM(UPPER(D20)),2,1))&gt;=65,CODE(MID(TRIM(UPPER(D20)),2,1))&lt;=90,CODE(MID(TRIM(UPPER(D20)),3,1))&gt;=65,CODE(MID(TRIM(UPPER(D20)),3,1))&lt;=90,CODE(MID(TRIM(UPPER(D20)),4,1))&gt;=65,CODE(MID(TRIM(UPPER(D20)),4,1))&lt;=90,CODE(MID(TRIM(UPPER(D20)),5,1))&gt;=65,CODE(MID(TRIM(UPPER(D20)),5,1))&lt;=90,CODE(MID(TRIM(UPPER(D20)),10,1))&gt;=65,CODE(MID(TRIM(UPPER(D20)),10,1))&lt;=90,CODE(MID(TRIM(UPPER(D20)),6,1))&gt;=48,CODE(MID(TRIM(UPPER(D20)),6,1))&lt;=57,CODE(MID(TRIM(UPPER(D20)),7,1))&gt;=48,CODE(MID(TRIM(UPPER(D20)),7,1))&lt;=57,CODE(MID(TRIM(UPPER(D20)),8,1))&gt;=48,CODE(MID(TRIM(UPPER(D20)),8,1))&lt;=57,CODE(MID(TRIM(UPPER(D20)),9,1))&gt;=48,CODE(MID(TRIM(UPPER(D20)),9,1))&lt;=57),"N","Y"))</f>
      </c>
      <c r="F20" s="7">
        <f>IF($C20="","",IF(LEN(D20)&lt;4,"",IF(UPPER(MID(D20,4,1))="P","Individual",IF(UPPER(MID(D20,4,1))="H","HUF",IF(UPPER(MID(D20,4,1))="C","Company",IF(UPPER(MID(D20,4,1))="F","Firm",IF(UPPER(MID(D20,4,1))="L","LLP",IF(UPPER(MID(D20,4,1))="T","Trust",IF(UPPER(MID(D20,4,1))="A","AOP","")))))))))</f>
      </c>
      <c r="G20" s="8"/>
      <c r="H20" s="7">
        <f>IF($C20="","",IF(R20&lt;&gt;"",R20,IF(G20="","",IF(E20="Y",SUMPRODUCT(('Rate Lookup'!$A$1:$A$37=G20)*'Rate Lookup'!$D$1:$D$37),IF(OR(F20="Individual",F20="HUF"),SUMPRODUCT(('Rate Lookup'!$A$1:$A$37=G20)*'Rate Lookup'!$B$1:$B$37),SUMPRODUCT(('Rate Lookup'!$A$1:$A$37=G20)*'Rate Lookup'!$C$1:$C$37)))))))</f>
      </c>
      <c r="I20" s="8"/>
      <c r="J20" s="8"/>
      <c r="K20" s="7">
        <f>IF($C20="","",IF(OR(P20="B",P20="D",P20="E",P20="N",P20="O",P20="P",P20="Q",P20="S",P20="Y",P20="Z"),0,ROUND(J20*H20/100,0)))</f>
      </c>
      <c r="L20" s="7">
        <f>IF($C20="","",0)</f>
      </c>
      <c r="M20" s="7">
        <f>IF($C20="","",0)</f>
      </c>
      <c r="N20" s="7">
        <f>IF($C20="","",IF(OR(K20=0,I20="",IFERROR(INDEX('Challan Master'!$D$4:$D$207,MATCH($B20,'Challan Master'!$S$4:$S$207,0)),"")="",IFERROR(INDEX('Challan Master'!$D$4:$D$207,MATCH($B20,'Challan Master'!$S$4:$S$207,0)),"")&lt;=0),0,IF(IFERROR(INDEX('Challan Master'!$D$4:$D$207,MATCH($B20,'Challan Master'!$S$4:$S$207,0)),"")&lt;=DATE(YEAR(I20),MONTH(I20)+1,7),0,ROUND(K20*0.015*((YEAR(IFERROR(INDEX('Challan Master'!$D$4:$D$207,MATCH($B20,'Challan Master'!$S$4:$S$207,0)),""))-YEAR(I20))*12+(MONTH(IFERROR(INDEX('Challan Master'!$D$4:$D$207,MATCH($B20,'Challan Master'!$S$4:$S$207,0)),""))-MONTH(I20))+1),0))))</f>
      </c>
      <c r="O20" s="7">
        <f>IF($C20="","",0)</f>
      </c>
      <c r="P20" s="8"/>
      <c r="Q20" s="8"/>
      <c r="R20" s="8"/>
      <c r="S20" s="8"/>
      <c r="T20" s="8"/>
      <c r="U20" s="7">
        <f>IF($B20="","",IFERROR(INDEX('Challan Master'!$AA$4:$AA$207,MATCH($B20,'Challan Master'!$S$4:$S$207,0)),""))</f>
      </c>
    </row>
    <row r="21" spans="1:22" x14ac:dyDescent="0.25">
      <c r="A21" s="7">
        <f>IF($C21="","",COUNTIF($C$4:$C21,"&lt;&gt;"))</f>
      </c>
      <c r="B21" s="8"/>
      <c r="C21" s="8"/>
      <c r="D21" s="8"/>
      <c r="E21" s="7">
        <f>IF($C21="","",IF(AND(LEN(TRIM(UPPER(D21)))=10,CODE(MID(TRIM(UPPER(D21)),1,1))&gt;=65,CODE(MID(TRIM(UPPER(D21)),1,1))&lt;=90,CODE(MID(TRIM(UPPER(D21)),2,1))&gt;=65,CODE(MID(TRIM(UPPER(D21)),2,1))&lt;=90,CODE(MID(TRIM(UPPER(D21)),3,1))&gt;=65,CODE(MID(TRIM(UPPER(D21)),3,1))&lt;=90,CODE(MID(TRIM(UPPER(D21)),4,1))&gt;=65,CODE(MID(TRIM(UPPER(D21)),4,1))&lt;=90,CODE(MID(TRIM(UPPER(D21)),5,1))&gt;=65,CODE(MID(TRIM(UPPER(D21)),5,1))&lt;=90,CODE(MID(TRIM(UPPER(D21)),10,1))&gt;=65,CODE(MID(TRIM(UPPER(D21)),10,1))&lt;=90,CODE(MID(TRIM(UPPER(D21)),6,1))&gt;=48,CODE(MID(TRIM(UPPER(D21)),6,1))&lt;=57,CODE(MID(TRIM(UPPER(D21)),7,1))&gt;=48,CODE(MID(TRIM(UPPER(D21)),7,1))&lt;=57,CODE(MID(TRIM(UPPER(D21)),8,1))&gt;=48,CODE(MID(TRIM(UPPER(D21)),8,1))&lt;=57,CODE(MID(TRIM(UPPER(D21)),9,1))&gt;=48,CODE(MID(TRIM(UPPER(D21)),9,1))&lt;=57),"N","Y"))</f>
      </c>
      <c r="F21" s="7">
        <f>IF($C21="","",IF(LEN(D21)&lt;4,"",IF(UPPER(MID(D21,4,1))="P","Individual",IF(UPPER(MID(D21,4,1))="H","HUF",IF(UPPER(MID(D21,4,1))="C","Company",IF(UPPER(MID(D21,4,1))="F","Firm",IF(UPPER(MID(D21,4,1))="L","LLP",IF(UPPER(MID(D21,4,1))="T","Trust",IF(UPPER(MID(D21,4,1))="A","AOP","")))))))))</f>
      </c>
      <c r="G21" s="8"/>
      <c r="H21" s="7">
        <f>IF($C21="","",IF(R21&lt;&gt;"",R21,IF(G21="","",IF(E21="Y",SUMPRODUCT(('Rate Lookup'!$A$1:$A$37=G21)*'Rate Lookup'!$D$1:$D$37),IF(OR(F21="Individual",F21="HUF"),SUMPRODUCT(('Rate Lookup'!$A$1:$A$37=G21)*'Rate Lookup'!$B$1:$B$37),SUMPRODUCT(('Rate Lookup'!$A$1:$A$37=G21)*'Rate Lookup'!$C$1:$C$37)))))))</f>
      </c>
      <c r="I21" s="8"/>
      <c r="J21" s="8"/>
      <c r="K21" s="7">
        <f>IF($C21="","",IF(OR(P21="B",P21="D",P21="E",P21="N",P21="O",P21="P",P21="Q",P21="S",P21="Y",P21="Z"),0,ROUND(J21*H21/100,0)))</f>
      </c>
      <c r="L21" s="7">
        <f>IF($C21="","",0)</f>
      </c>
      <c r="M21" s="7">
        <f>IF($C21="","",0)</f>
      </c>
      <c r="N21" s="7">
        <f>IF($C21="","",IF(OR(K21=0,I21="",IFERROR(INDEX('Challan Master'!$D$4:$D$207,MATCH($B21,'Challan Master'!$S$4:$S$207,0)),"")="",IFERROR(INDEX('Challan Master'!$D$4:$D$207,MATCH($B21,'Challan Master'!$S$4:$S$207,0)),"")&lt;=0),0,IF(IFERROR(INDEX('Challan Master'!$D$4:$D$207,MATCH($B21,'Challan Master'!$S$4:$S$207,0)),"")&lt;=DATE(YEAR(I21),MONTH(I21)+1,7),0,ROUND(K21*0.015*((YEAR(IFERROR(INDEX('Challan Master'!$D$4:$D$207,MATCH($B21,'Challan Master'!$S$4:$S$207,0)),""))-YEAR(I21))*12+(MONTH(IFERROR(INDEX('Challan Master'!$D$4:$D$207,MATCH($B21,'Challan Master'!$S$4:$S$207,0)),""))-MONTH(I21))+1),0))))</f>
      </c>
      <c r="O21" s="7">
        <f>IF($C21="","",0)</f>
      </c>
      <c r="P21" s="8"/>
      <c r="Q21" s="8"/>
      <c r="R21" s="8"/>
      <c r="S21" s="8"/>
      <c r="T21" s="8"/>
      <c r="U21" s="7">
        <f>IF($B21="","",IFERROR(INDEX('Challan Master'!$AA$4:$AA$207,MATCH($B21,'Challan Master'!$S$4:$S$207,0)),""))</f>
      </c>
    </row>
    <row r="22" spans="1:22" x14ac:dyDescent="0.25">
      <c r="A22" s="7">
        <f>IF($C22="","",COUNTIF($C$4:$C22,"&lt;&gt;"))</f>
      </c>
      <c r="B22" s="8"/>
      <c r="C22" s="8"/>
      <c r="D22" s="8"/>
      <c r="E22" s="7">
        <f>IF($C22="","",IF(AND(LEN(TRIM(UPPER(D22)))=10,CODE(MID(TRIM(UPPER(D22)),1,1))&gt;=65,CODE(MID(TRIM(UPPER(D22)),1,1))&lt;=90,CODE(MID(TRIM(UPPER(D22)),2,1))&gt;=65,CODE(MID(TRIM(UPPER(D22)),2,1))&lt;=90,CODE(MID(TRIM(UPPER(D22)),3,1))&gt;=65,CODE(MID(TRIM(UPPER(D22)),3,1))&lt;=90,CODE(MID(TRIM(UPPER(D22)),4,1))&gt;=65,CODE(MID(TRIM(UPPER(D22)),4,1))&lt;=90,CODE(MID(TRIM(UPPER(D22)),5,1))&gt;=65,CODE(MID(TRIM(UPPER(D22)),5,1))&lt;=90,CODE(MID(TRIM(UPPER(D22)),10,1))&gt;=65,CODE(MID(TRIM(UPPER(D22)),10,1))&lt;=90,CODE(MID(TRIM(UPPER(D22)),6,1))&gt;=48,CODE(MID(TRIM(UPPER(D22)),6,1))&lt;=57,CODE(MID(TRIM(UPPER(D22)),7,1))&gt;=48,CODE(MID(TRIM(UPPER(D22)),7,1))&lt;=57,CODE(MID(TRIM(UPPER(D22)),8,1))&gt;=48,CODE(MID(TRIM(UPPER(D22)),8,1))&lt;=57,CODE(MID(TRIM(UPPER(D22)),9,1))&gt;=48,CODE(MID(TRIM(UPPER(D22)),9,1))&lt;=57),"N","Y"))</f>
      </c>
      <c r="F22" s="7">
        <f>IF($C22="","",IF(LEN(D22)&lt;4,"",IF(UPPER(MID(D22,4,1))="P","Individual",IF(UPPER(MID(D22,4,1))="H","HUF",IF(UPPER(MID(D22,4,1))="C","Company",IF(UPPER(MID(D22,4,1))="F","Firm",IF(UPPER(MID(D22,4,1))="L","LLP",IF(UPPER(MID(D22,4,1))="T","Trust",IF(UPPER(MID(D22,4,1))="A","AOP","")))))))))</f>
      </c>
      <c r="G22" s="8"/>
      <c r="H22" s="7">
        <f>IF($C22="","",IF(R22&lt;&gt;"",R22,IF(G22="","",IF(E22="Y",SUMPRODUCT(('Rate Lookup'!$A$1:$A$37=G22)*'Rate Lookup'!$D$1:$D$37),IF(OR(F22="Individual",F22="HUF"),SUMPRODUCT(('Rate Lookup'!$A$1:$A$37=G22)*'Rate Lookup'!$B$1:$B$37),SUMPRODUCT(('Rate Lookup'!$A$1:$A$37=G22)*'Rate Lookup'!$C$1:$C$37)))))))</f>
      </c>
      <c r="I22" s="8"/>
      <c r="J22" s="8"/>
      <c r="K22" s="7">
        <f>IF($C22="","",IF(OR(P22="B",P22="D",P22="E",P22="N",P22="O",P22="P",P22="Q",P22="S",P22="Y",P22="Z"),0,ROUND(J22*H22/100,0)))</f>
      </c>
      <c r="L22" s="7">
        <f>IF($C22="","",0)</f>
      </c>
      <c r="M22" s="7">
        <f>IF($C22="","",0)</f>
      </c>
      <c r="N22" s="7">
        <f>IF($C22="","",IF(OR(K22=0,I22="",IFERROR(INDEX('Challan Master'!$D$4:$D$207,MATCH($B22,'Challan Master'!$S$4:$S$207,0)),"")="",IFERROR(INDEX('Challan Master'!$D$4:$D$207,MATCH($B22,'Challan Master'!$S$4:$S$207,0)),"")&lt;=0),0,IF(IFERROR(INDEX('Challan Master'!$D$4:$D$207,MATCH($B22,'Challan Master'!$S$4:$S$207,0)),"")&lt;=DATE(YEAR(I22),MONTH(I22)+1,7),0,ROUND(K22*0.015*((YEAR(IFERROR(INDEX('Challan Master'!$D$4:$D$207,MATCH($B22,'Challan Master'!$S$4:$S$207,0)),""))-YEAR(I22))*12+(MONTH(IFERROR(INDEX('Challan Master'!$D$4:$D$207,MATCH($B22,'Challan Master'!$S$4:$S$207,0)),""))-MONTH(I22))+1),0))))</f>
      </c>
      <c r="O22" s="7">
        <f>IF($C22="","",0)</f>
      </c>
      <c r="P22" s="8"/>
      <c r="Q22" s="8"/>
      <c r="R22" s="8"/>
      <c r="S22" s="8"/>
      <c r="T22" s="8"/>
      <c r="U22" s="7">
        <f>IF($B22="","",IFERROR(INDEX('Challan Master'!$AA$4:$AA$207,MATCH($B22,'Challan Master'!$S$4:$S$207,0)),""))</f>
      </c>
    </row>
    <row r="23" spans="1:22" x14ac:dyDescent="0.25">
      <c r="A23" s="7">
        <f>IF($C23="","",COUNTIF($C$4:$C23,"&lt;&gt;"))</f>
      </c>
      <c r="B23" s="8"/>
      <c r="C23" s="8"/>
      <c r="D23" s="8"/>
      <c r="E23" s="7">
        <f>IF($C23="","",IF(AND(LEN(TRIM(UPPER(D23)))=10,CODE(MID(TRIM(UPPER(D23)),1,1))&gt;=65,CODE(MID(TRIM(UPPER(D23)),1,1))&lt;=90,CODE(MID(TRIM(UPPER(D23)),2,1))&gt;=65,CODE(MID(TRIM(UPPER(D23)),2,1))&lt;=90,CODE(MID(TRIM(UPPER(D23)),3,1))&gt;=65,CODE(MID(TRIM(UPPER(D23)),3,1))&lt;=90,CODE(MID(TRIM(UPPER(D23)),4,1))&gt;=65,CODE(MID(TRIM(UPPER(D23)),4,1))&lt;=90,CODE(MID(TRIM(UPPER(D23)),5,1))&gt;=65,CODE(MID(TRIM(UPPER(D23)),5,1))&lt;=90,CODE(MID(TRIM(UPPER(D23)),10,1))&gt;=65,CODE(MID(TRIM(UPPER(D23)),10,1))&lt;=90,CODE(MID(TRIM(UPPER(D23)),6,1))&gt;=48,CODE(MID(TRIM(UPPER(D23)),6,1))&lt;=57,CODE(MID(TRIM(UPPER(D23)),7,1))&gt;=48,CODE(MID(TRIM(UPPER(D23)),7,1))&lt;=57,CODE(MID(TRIM(UPPER(D23)),8,1))&gt;=48,CODE(MID(TRIM(UPPER(D23)),8,1))&lt;=57,CODE(MID(TRIM(UPPER(D23)),9,1))&gt;=48,CODE(MID(TRIM(UPPER(D23)),9,1))&lt;=57),"N","Y"))</f>
      </c>
      <c r="F23" s="7">
        <f>IF($C23="","",IF(LEN(D23)&lt;4,"",IF(UPPER(MID(D23,4,1))="P","Individual",IF(UPPER(MID(D23,4,1))="H","HUF",IF(UPPER(MID(D23,4,1))="C","Company",IF(UPPER(MID(D23,4,1))="F","Firm",IF(UPPER(MID(D23,4,1))="L","LLP",IF(UPPER(MID(D23,4,1))="T","Trust",IF(UPPER(MID(D23,4,1))="A","AOP","")))))))))</f>
      </c>
      <c r="G23" s="8"/>
      <c r="H23" s="7">
        <f>IF($C23="","",IF(R23&lt;&gt;"",R23,IF(G23="","",IF(E23="Y",SUMPRODUCT(('Rate Lookup'!$A$1:$A$37=G23)*'Rate Lookup'!$D$1:$D$37),IF(OR(F23="Individual",F23="HUF"),SUMPRODUCT(('Rate Lookup'!$A$1:$A$37=G23)*'Rate Lookup'!$B$1:$B$37),SUMPRODUCT(('Rate Lookup'!$A$1:$A$37=G23)*'Rate Lookup'!$C$1:$C$37)))))))</f>
      </c>
      <c r="I23" s="8"/>
      <c r="J23" s="8"/>
      <c r="K23" s="7">
        <f>IF($C23="","",IF(OR(P23="B",P23="D",P23="E",P23="N",P23="O",P23="P",P23="Q",P23="S",P23="Y",P23="Z"),0,ROUND(J23*H23/100,0)))</f>
      </c>
      <c r="L23" s="7">
        <f>IF($C23="","",0)</f>
      </c>
      <c r="M23" s="7">
        <f>IF($C23="","",0)</f>
      </c>
      <c r="N23" s="7">
        <f>IF($C23="","",IF(OR(K23=0,I23="",IFERROR(INDEX('Challan Master'!$D$4:$D$207,MATCH($B23,'Challan Master'!$S$4:$S$207,0)),"")="",IFERROR(INDEX('Challan Master'!$D$4:$D$207,MATCH($B23,'Challan Master'!$S$4:$S$207,0)),"")&lt;=0),0,IF(IFERROR(INDEX('Challan Master'!$D$4:$D$207,MATCH($B23,'Challan Master'!$S$4:$S$207,0)),"")&lt;=DATE(YEAR(I23),MONTH(I23)+1,7),0,ROUND(K23*0.015*((YEAR(IFERROR(INDEX('Challan Master'!$D$4:$D$207,MATCH($B23,'Challan Master'!$S$4:$S$207,0)),""))-YEAR(I23))*12+(MONTH(IFERROR(INDEX('Challan Master'!$D$4:$D$207,MATCH($B23,'Challan Master'!$S$4:$S$207,0)),""))-MONTH(I23))+1),0))))</f>
      </c>
      <c r="O23" s="7">
        <f>IF($C23="","",0)</f>
      </c>
      <c r="P23" s="8"/>
      <c r="Q23" s="8"/>
      <c r="R23" s="8"/>
      <c r="S23" s="8"/>
      <c r="T23" s="8"/>
      <c r="U23" s="7">
        <f>IF($B23="","",IFERROR(INDEX('Challan Master'!$AA$4:$AA$207,MATCH($B23,'Challan Master'!$S$4:$S$207,0)),""))</f>
      </c>
    </row>
    <row r="24" spans="1:22" x14ac:dyDescent="0.25">
      <c r="A24" s="7">
        <f>IF($C24="","",COUNTIF($C$4:$C24,"&lt;&gt;"))</f>
      </c>
      <c r="B24" s="8"/>
      <c r="C24" s="8"/>
      <c r="D24" s="8"/>
      <c r="E24" s="7">
        <f>IF($C24="","",IF(AND(LEN(TRIM(UPPER(D24)))=10,CODE(MID(TRIM(UPPER(D24)),1,1))&gt;=65,CODE(MID(TRIM(UPPER(D24)),1,1))&lt;=90,CODE(MID(TRIM(UPPER(D24)),2,1))&gt;=65,CODE(MID(TRIM(UPPER(D24)),2,1))&lt;=90,CODE(MID(TRIM(UPPER(D24)),3,1))&gt;=65,CODE(MID(TRIM(UPPER(D24)),3,1))&lt;=90,CODE(MID(TRIM(UPPER(D24)),4,1))&gt;=65,CODE(MID(TRIM(UPPER(D24)),4,1))&lt;=90,CODE(MID(TRIM(UPPER(D24)),5,1))&gt;=65,CODE(MID(TRIM(UPPER(D24)),5,1))&lt;=90,CODE(MID(TRIM(UPPER(D24)),10,1))&gt;=65,CODE(MID(TRIM(UPPER(D24)),10,1))&lt;=90,CODE(MID(TRIM(UPPER(D24)),6,1))&gt;=48,CODE(MID(TRIM(UPPER(D24)),6,1))&lt;=57,CODE(MID(TRIM(UPPER(D24)),7,1))&gt;=48,CODE(MID(TRIM(UPPER(D24)),7,1))&lt;=57,CODE(MID(TRIM(UPPER(D24)),8,1))&gt;=48,CODE(MID(TRIM(UPPER(D24)),8,1))&lt;=57,CODE(MID(TRIM(UPPER(D24)),9,1))&gt;=48,CODE(MID(TRIM(UPPER(D24)),9,1))&lt;=57),"N","Y"))</f>
      </c>
      <c r="F24" s="7">
        <f>IF($C24="","",IF(LEN(D24)&lt;4,"",IF(UPPER(MID(D24,4,1))="P","Individual",IF(UPPER(MID(D24,4,1))="H","HUF",IF(UPPER(MID(D24,4,1))="C","Company",IF(UPPER(MID(D24,4,1))="F","Firm",IF(UPPER(MID(D24,4,1))="L","LLP",IF(UPPER(MID(D24,4,1))="T","Trust",IF(UPPER(MID(D24,4,1))="A","AOP","")))))))))</f>
      </c>
      <c r="G24" s="8"/>
      <c r="H24" s="7">
        <f>IF($C24="","",IF(R24&lt;&gt;"",R24,IF(G24="","",IF(E24="Y",SUMPRODUCT(('Rate Lookup'!$A$1:$A$37=G24)*'Rate Lookup'!$D$1:$D$37),IF(OR(F24="Individual",F24="HUF"),SUMPRODUCT(('Rate Lookup'!$A$1:$A$37=G24)*'Rate Lookup'!$B$1:$B$37),SUMPRODUCT(('Rate Lookup'!$A$1:$A$37=G24)*'Rate Lookup'!$C$1:$C$37)))))))</f>
      </c>
      <c r="I24" s="8"/>
      <c r="J24" s="8"/>
      <c r="K24" s="7">
        <f>IF($C24="","",IF(OR(P24="B",P24="D",P24="E",P24="N",P24="O",P24="P",P24="Q",P24="S",P24="Y",P24="Z"),0,ROUND(J24*H24/100,0)))</f>
      </c>
      <c r="L24" s="7">
        <f>IF($C24="","",0)</f>
      </c>
      <c r="M24" s="7">
        <f>IF($C24="","",0)</f>
      </c>
      <c r="N24" s="7">
        <f>IF($C24="","",IF(OR(K24=0,I24="",IFERROR(INDEX('Challan Master'!$D$4:$D$207,MATCH($B24,'Challan Master'!$S$4:$S$207,0)),"")="",IFERROR(INDEX('Challan Master'!$D$4:$D$207,MATCH($B24,'Challan Master'!$S$4:$S$207,0)),"")&lt;=0),0,IF(IFERROR(INDEX('Challan Master'!$D$4:$D$207,MATCH($B24,'Challan Master'!$S$4:$S$207,0)),"")&lt;=DATE(YEAR(I24),MONTH(I24)+1,7),0,ROUND(K24*0.015*((YEAR(IFERROR(INDEX('Challan Master'!$D$4:$D$207,MATCH($B24,'Challan Master'!$S$4:$S$207,0)),""))-YEAR(I24))*12+(MONTH(IFERROR(INDEX('Challan Master'!$D$4:$D$207,MATCH($B24,'Challan Master'!$S$4:$S$207,0)),""))-MONTH(I24))+1),0))))</f>
      </c>
      <c r="O24" s="7">
        <f>IF($C24="","",0)</f>
      </c>
      <c r="P24" s="8"/>
      <c r="Q24" s="8"/>
      <c r="R24" s="8"/>
      <c r="S24" s="8"/>
      <c r="T24" s="8"/>
      <c r="U24" s="7">
        <f>IF($B24="","",IFERROR(INDEX('Challan Master'!$AA$4:$AA$207,MATCH($B24,'Challan Master'!$S$4:$S$207,0)),""))</f>
      </c>
    </row>
    <row r="25" spans="1:22" x14ac:dyDescent="0.25">
      <c r="A25" s="7">
        <f>IF($C25="","",COUNTIF($C$4:$C25,"&lt;&gt;"))</f>
      </c>
      <c r="B25" s="8"/>
      <c r="C25" s="8"/>
      <c r="D25" s="8"/>
      <c r="E25" s="7">
        <f>IF($C25="","",IF(AND(LEN(TRIM(UPPER(D25)))=10,CODE(MID(TRIM(UPPER(D25)),1,1))&gt;=65,CODE(MID(TRIM(UPPER(D25)),1,1))&lt;=90,CODE(MID(TRIM(UPPER(D25)),2,1))&gt;=65,CODE(MID(TRIM(UPPER(D25)),2,1))&lt;=90,CODE(MID(TRIM(UPPER(D25)),3,1))&gt;=65,CODE(MID(TRIM(UPPER(D25)),3,1))&lt;=90,CODE(MID(TRIM(UPPER(D25)),4,1))&gt;=65,CODE(MID(TRIM(UPPER(D25)),4,1))&lt;=90,CODE(MID(TRIM(UPPER(D25)),5,1))&gt;=65,CODE(MID(TRIM(UPPER(D25)),5,1))&lt;=90,CODE(MID(TRIM(UPPER(D25)),10,1))&gt;=65,CODE(MID(TRIM(UPPER(D25)),10,1))&lt;=90,CODE(MID(TRIM(UPPER(D25)),6,1))&gt;=48,CODE(MID(TRIM(UPPER(D25)),6,1))&lt;=57,CODE(MID(TRIM(UPPER(D25)),7,1))&gt;=48,CODE(MID(TRIM(UPPER(D25)),7,1))&lt;=57,CODE(MID(TRIM(UPPER(D25)),8,1))&gt;=48,CODE(MID(TRIM(UPPER(D25)),8,1))&lt;=57,CODE(MID(TRIM(UPPER(D25)),9,1))&gt;=48,CODE(MID(TRIM(UPPER(D25)),9,1))&lt;=57),"N","Y"))</f>
      </c>
      <c r="F25" s="7">
        <f>IF($C25="","",IF(LEN(D25)&lt;4,"",IF(UPPER(MID(D25,4,1))="P","Individual",IF(UPPER(MID(D25,4,1))="H","HUF",IF(UPPER(MID(D25,4,1))="C","Company",IF(UPPER(MID(D25,4,1))="F","Firm",IF(UPPER(MID(D25,4,1))="L","LLP",IF(UPPER(MID(D25,4,1))="T","Trust",IF(UPPER(MID(D25,4,1))="A","AOP","")))))))))</f>
      </c>
      <c r="G25" s="8"/>
      <c r="H25" s="7">
        <f>IF($C25="","",IF(R25&lt;&gt;"",R25,IF(G25="","",IF(E25="Y",SUMPRODUCT(('Rate Lookup'!$A$1:$A$37=G25)*'Rate Lookup'!$D$1:$D$37),IF(OR(F25="Individual",F25="HUF"),SUMPRODUCT(('Rate Lookup'!$A$1:$A$37=G25)*'Rate Lookup'!$B$1:$B$37),SUMPRODUCT(('Rate Lookup'!$A$1:$A$37=G25)*'Rate Lookup'!$C$1:$C$37)))))))</f>
      </c>
      <c r="I25" s="8"/>
      <c r="J25" s="8"/>
      <c r="K25" s="7">
        <f>IF($C25="","",IF(OR(P25="B",P25="D",P25="E",P25="N",P25="O",P25="P",P25="Q",P25="S",P25="Y",P25="Z"),0,ROUND(J25*H25/100,0)))</f>
      </c>
      <c r="L25" s="7">
        <f>IF($C25="","",0)</f>
      </c>
      <c r="M25" s="7">
        <f>IF($C25="","",0)</f>
      </c>
      <c r="N25" s="7">
        <f>IF($C25="","",IF(OR(K25=0,I25="",IFERROR(INDEX('Challan Master'!$D$4:$D$207,MATCH($B25,'Challan Master'!$S$4:$S$207,0)),"")="",IFERROR(INDEX('Challan Master'!$D$4:$D$207,MATCH($B25,'Challan Master'!$S$4:$S$207,0)),"")&lt;=0),0,IF(IFERROR(INDEX('Challan Master'!$D$4:$D$207,MATCH($B25,'Challan Master'!$S$4:$S$207,0)),"")&lt;=DATE(YEAR(I25),MONTH(I25)+1,7),0,ROUND(K25*0.015*((YEAR(IFERROR(INDEX('Challan Master'!$D$4:$D$207,MATCH($B25,'Challan Master'!$S$4:$S$207,0)),""))-YEAR(I25))*12+(MONTH(IFERROR(INDEX('Challan Master'!$D$4:$D$207,MATCH($B25,'Challan Master'!$S$4:$S$207,0)),""))-MONTH(I25))+1),0))))</f>
      </c>
      <c r="O25" s="7">
        <f>IF($C25="","",0)</f>
      </c>
      <c r="P25" s="8"/>
      <c r="Q25" s="8"/>
      <c r="R25" s="8"/>
      <c r="S25" s="8"/>
      <c r="T25" s="8"/>
      <c r="U25" s="7">
        <f>IF($B25="","",IFERROR(INDEX('Challan Master'!$AA$4:$AA$207,MATCH($B25,'Challan Master'!$S$4:$S$207,0)),""))</f>
      </c>
    </row>
    <row r="26" spans="1:22" x14ac:dyDescent="0.25">
      <c r="A26" s="7">
        <f>IF($C26="","",COUNTIF($C$4:$C26,"&lt;&gt;"))</f>
      </c>
      <c r="B26" s="8"/>
      <c r="C26" s="8"/>
      <c r="D26" s="8"/>
      <c r="E26" s="7">
        <f>IF($C26="","",IF(AND(LEN(TRIM(UPPER(D26)))=10,CODE(MID(TRIM(UPPER(D26)),1,1))&gt;=65,CODE(MID(TRIM(UPPER(D26)),1,1))&lt;=90,CODE(MID(TRIM(UPPER(D26)),2,1))&gt;=65,CODE(MID(TRIM(UPPER(D26)),2,1))&lt;=90,CODE(MID(TRIM(UPPER(D26)),3,1))&gt;=65,CODE(MID(TRIM(UPPER(D26)),3,1))&lt;=90,CODE(MID(TRIM(UPPER(D26)),4,1))&gt;=65,CODE(MID(TRIM(UPPER(D26)),4,1))&lt;=90,CODE(MID(TRIM(UPPER(D26)),5,1))&gt;=65,CODE(MID(TRIM(UPPER(D26)),5,1))&lt;=90,CODE(MID(TRIM(UPPER(D26)),10,1))&gt;=65,CODE(MID(TRIM(UPPER(D26)),10,1))&lt;=90,CODE(MID(TRIM(UPPER(D26)),6,1))&gt;=48,CODE(MID(TRIM(UPPER(D26)),6,1))&lt;=57,CODE(MID(TRIM(UPPER(D26)),7,1))&gt;=48,CODE(MID(TRIM(UPPER(D26)),7,1))&lt;=57,CODE(MID(TRIM(UPPER(D26)),8,1))&gt;=48,CODE(MID(TRIM(UPPER(D26)),8,1))&lt;=57,CODE(MID(TRIM(UPPER(D26)),9,1))&gt;=48,CODE(MID(TRIM(UPPER(D26)),9,1))&lt;=57),"N","Y"))</f>
      </c>
      <c r="F26" s="7">
        <f>IF($C26="","",IF(LEN(D26)&lt;4,"",IF(UPPER(MID(D26,4,1))="P","Individual",IF(UPPER(MID(D26,4,1))="H","HUF",IF(UPPER(MID(D26,4,1))="C","Company",IF(UPPER(MID(D26,4,1))="F","Firm",IF(UPPER(MID(D26,4,1))="L","LLP",IF(UPPER(MID(D26,4,1))="T","Trust",IF(UPPER(MID(D26,4,1))="A","AOP","")))))))))</f>
      </c>
      <c r="G26" s="8"/>
      <c r="H26" s="7">
        <f>IF($C26="","",IF(R26&lt;&gt;"",R26,IF(G26="","",IF(E26="Y",SUMPRODUCT(('Rate Lookup'!$A$1:$A$37=G26)*'Rate Lookup'!$D$1:$D$37),IF(OR(F26="Individual",F26="HUF"),SUMPRODUCT(('Rate Lookup'!$A$1:$A$37=G26)*'Rate Lookup'!$B$1:$B$37),SUMPRODUCT(('Rate Lookup'!$A$1:$A$37=G26)*'Rate Lookup'!$C$1:$C$37)))))))</f>
      </c>
      <c r="I26" s="8"/>
      <c r="J26" s="8"/>
      <c r="K26" s="7">
        <f>IF($C26="","",IF(OR(P26="B",P26="D",P26="E",P26="N",P26="O",P26="P",P26="Q",P26="S",P26="Y",P26="Z"),0,ROUND(J26*H26/100,0)))</f>
      </c>
      <c r="L26" s="7">
        <f>IF($C26="","",0)</f>
      </c>
      <c r="M26" s="7">
        <f>IF($C26="","",0)</f>
      </c>
      <c r="N26" s="7">
        <f>IF($C26="","",IF(OR(K26=0,I26="",IFERROR(INDEX('Challan Master'!$D$4:$D$207,MATCH($B26,'Challan Master'!$S$4:$S$207,0)),"")="",IFERROR(INDEX('Challan Master'!$D$4:$D$207,MATCH($B26,'Challan Master'!$S$4:$S$207,0)),"")&lt;=0),0,IF(IFERROR(INDEX('Challan Master'!$D$4:$D$207,MATCH($B26,'Challan Master'!$S$4:$S$207,0)),"")&lt;=DATE(YEAR(I26),MONTH(I26)+1,7),0,ROUND(K26*0.015*((YEAR(IFERROR(INDEX('Challan Master'!$D$4:$D$207,MATCH($B26,'Challan Master'!$S$4:$S$207,0)),""))-YEAR(I26))*12+(MONTH(IFERROR(INDEX('Challan Master'!$D$4:$D$207,MATCH($B26,'Challan Master'!$S$4:$S$207,0)),""))-MONTH(I26))+1),0))))</f>
      </c>
      <c r="O26" s="7">
        <f>IF($C26="","",0)</f>
      </c>
      <c r="P26" s="8"/>
      <c r="Q26" s="8"/>
      <c r="R26" s="8"/>
      <c r="S26" s="8"/>
      <c r="T26" s="8"/>
      <c r="U26" s="7">
        <f>IF($B26="","",IFERROR(INDEX('Challan Master'!$AA$4:$AA$207,MATCH($B26,'Challan Master'!$S$4:$S$207,0)),""))</f>
      </c>
    </row>
    <row r="27" spans="1:22" x14ac:dyDescent="0.25">
      <c r="A27" s="7">
        <f>IF($C27="","",COUNTIF($C$4:$C27,"&lt;&gt;"))</f>
      </c>
      <c r="B27" s="8"/>
      <c r="C27" s="8"/>
      <c r="D27" s="8"/>
      <c r="E27" s="7">
        <f>IF($C27="","",IF(AND(LEN(TRIM(UPPER(D27)))=10,CODE(MID(TRIM(UPPER(D27)),1,1))&gt;=65,CODE(MID(TRIM(UPPER(D27)),1,1))&lt;=90,CODE(MID(TRIM(UPPER(D27)),2,1))&gt;=65,CODE(MID(TRIM(UPPER(D27)),2,1))&lt;=90,CODE(MID(TRIM(UPPER(D27)),3,1))&gt;=65,CODE(MID(TRIM(UPPER(D27)),3,1))&lt;=90,CODE(MID(TRIM(UPPER(D27)),4,1))&gt;=65,CODE(MID(TRIM(UPPER(D27)),4,1))&lt;=90,CODE(MID(TRIM(UPPER(D27)),5,1))&gt;=65,CODE(MID(TRIM(UPPER(D27)),5,1))&lt;=90,CODE(MID(TRIM(UPPER(D27)),10,1))&gt;=65,CODE(MID(TRIM(UPPER(D27)),10,1))&lt;=90,CODE(MID(TRIM(UPPER(D27)),6,1))&gt;=48,CODE(MID(TRIM(UPPER(D27)),6,1))&lt;=57,CODE(MID(TRIM(UPPER(D27)),7,1))&gt;=48,CODE(MID(TRIM(UPPER(D27)),7,1))&lt;=57,CODE(MID(TRIM(UPPER(D27)),8,1))&gt;=48,CODE(MID(TRIM(UPPER(D27)),8,1))&lt;=57,CODE(MID(TRIM(UPPER(D27)),9,1))&gt;=48,CODE(MID(TRIM(UPPER(D27)),9,1))&lt;=57),"N","Y"))</f>
      </c>
      <c r="F27" s="7">
        <f>IF($C27="","",IF(LEN(D27)&lt;4,"",IF(UPPER(MID(D27,4,1))="P","Individual",IF(UPPER(MID(D27,4,1))="H","HUF",IF(UPPER(MID(D27,4,1))="C","Company",IF(UPPER(MID(D27,4,1))="F","Firm",IF(UPPER(MID(D27,4,1))="L","LLP",IF(UPPER(MID(D27,4,1))="T","Trust",IF(UPPER(MID(D27,4,1))="A","AOP","")))))))))</f>
      </c>
      <c r="G27" s="8"/>
      <c r="H27" s="7">
        <f>IF($C27="","",IF(R27&lt;&gt;"",R27,IF(G27="","",IF(E27="Y",SUMPRODUCT(('Rate Lookup'!$A$1:$A$37=G27)*'Rate Lookup'!$D$1:$D$37),IF(OR(F27="Individual",F27="HUF"),SUMPRODUCT(('Rate Lookup'!$A$1:$A$37=G27)*'Rate Lookup'!$B$1:$B$37),SUMPRODUCT(('Rate Lookup'!$A$1:$A$37=G27)*'Rate Lookup'!$C$1:$C$37)))))))</f>
      </c>
      <c r="I27" s="8"/>
      <c r="J27" s="8"/>
      <c r="K27" s="7">
        <f>IF($C27="","",IF(OR(P27="B",P27="D",P27="E",P27="N",P27="O",P27="P",P27="Q",P27="S",P27="Y",P27="Z"),0,ROUND(J27*H27/100,0)))</f>
      </c>
      <c r="L27" s="7">
        <f>IF($C27="","",0)</f>
      </c>
      <c r="M27" s="7">
        <f>IF($C27="","",0)</f>
      </c>
      <c r="N27" s="7">
        <f>IF($C27="","",IF(OR(K27=0,I27="",IFERROR(INDEX('Challan Master'!$D$4:$D$207,MATCH($B27,'Challan Master'!$S$4:$S$207,0)),"")="",IFERROR(INDEX('Challan Master'!$D$4:$D$207,MATCH($B27,'Challan Master'!$S$4:$S$207,0)),"")&lt;=0),0,IF(IFERROR(INDEX('Challan Master'!$D$4:$D$207,MATCH($B27,'Challan Master'!$S$4:$S$207,0)),"")&lt;=DATE(YEAR(I27),MONTH(I27)+1,7),0,ROUND(K27*0.015*((YEAR(IFERROR(INDEX('Challan Master'!$D$4:$D$207,MATCH($B27,'Challan Master'!$S$4:$S$207,0)),""))-YEAR(I27))*12+(MONTH(IFERROR(INDEX('Challan Master'!$D$4:$D$207,MATCH($B27,'Challan Master'!$S$4:$S$207,0)),""))-MONTH(I27))+1),0))))</f>
      </c>
      <c r="O27" s="7">
        <f>IF($C27="","",0)</f>
      </c>
      <c r="P27" s="8"/>
      <c r="Q27" s="8"/>
      <c r="R27" s="8"/>
      <c r="S27" s="8"/>
      <c r="T27" s="8"/>
      <c r="U27" s="7">
        <f>IF($B27="","",IFERROR(INDEX('Challan Master'!$AA$4:$AA$207,MATCH($B27,'Challan Master'!$S$4:$S$207,0)),""))</f>
      </c>
    </row>
    <row r="28" spans="1:22" x14ac:dyDescent="0.25">
      <c r="A28" s="7">
        <f>IF($C28="","",COUNTIF($C$4:$C28,"&lt;&gt;"))</f>
      </c>
      <c r="B28" s="8"/>
      <c r="C28" s="8"/>
      <c r="D28" s="8"/>
      <c r="E28" s="7">
        <f>IF($C28="","",IF(AND(LEN(TRIM(UPPER(D28)))=10,CODE(MID(TRIM(UPPER(D28)),1,1))&gt;=65,CODE(MID(TRIM(UPPER(D28)),1,1))&lt;=90,CODE(MID(TRIM(UPPER(D28)),2,1))&gt;=65,CODE(MID(TRIM(UPPER(D28)),2,1))&lt;=90,CODE(MID(TRIM(UPPER(D28)),3,1))&gt;=65,CODE(MID(TRIM(UPPER(D28)),3,1))&lt;=90,CODE(MID(TRIM(UPPER(D28)),4,1))&gt;=65,CODE(MID(TRIM(UPPER(D28)),4,1))&lt;=90,CODE(MID(TRIM(UPPER(D28)),5,1))&gt;=65,CODE(MID(TRIM(UPPER(D28)),5,1))&lt;=90,CODE(MID(TRIM(UPPER(D28)),10,1))&gt;=65,CODE(MID(TRIM(UPPER(D28)),10,1))&lt;=90,CODE(MID(TRIM(UPPER(D28)),6,1))&gt;=48,CODE(MID(TRIM(UPPER(D28)),6,1))&lt;=57,CODE(MID(TRIM(UPPER(D28)),7,1))&gt;=48,CODE(MID(TRIM(UPPER(D28)),7,1))&lt;=57,CODE(MID(TRIM(UPPER(D28)),8,1))&gt;=48,CODE(MID(TRIM(UPPER(D28)),8,1))&lt;=57,CODE(MID(TRIM(UPPER(D28)),9,1))&gt;=48,CODE(MID(TRIM(UPPER(D28)),9,1))&lt;=57),"N","Y"))</f>
      </c>
      <c r="F28" s="7">
        <f>IF($C28="","",IF(LEN(D28)&lt;4,"",IF(UPPER(MID(D28,4,1))="P","Individual",IF(UPPER(MID(D28,4,1))="H","HUF",IF(UPPER(MID(D28,4,1))="C","Company",IF(UPPER(MID(D28,4,1))="F","Firm",IF(UPPER(MID(D28,4,1))="L","LLP",IF(UPPER(MID(D28,4,1))="T","Trust",IF(UPPER(MID(D28,4,1))="A","AOP","")))))))))</f>
      </c>
      <c r="G28" s="8"/>
      <c r="H28" s="7">
        <f>IF($C28="","",IF(R28&lt;&gt;"",R28,IF(G28="","",IF(E28="Y",SUMPRODUCT(('Rate Lookup'!$A$1:$A$37=G28)*'Rate Lookup'!$D$1:$D$37),IF(OR(F28="Individual",F28="HUF"),SUMPRODUCT(('Rate Lookup'!$A$1:$A$37=G28)*'Rate Lookup'!$B$1:$B$37),SUMPRODUCT(('Rate Lookup'!$A$1:$A$37=G28)*'Rate Lookup'!$C$1:$C$37)))))))</f>
      </c>
      <c r="I28" s="8"/>
      <c r="J28" s="8"/>
      <c r="K28" s="7">
        <f>IF($C28="","",IF(OR(P28="B",P28="D",P28="E",P28="N",P28="O",P28="P",P28="Q",P28="S",P28="Y",P28="Z"),0,ROUND(J28*H28/100,0)))</f>
      </c>
      <c r="L28" s="7">
        <f>IF($C28="","",0)</f>
      </c>
      <c r="M28" s="7">
        <f>IF($C28="","",0)</f>
      </c>
      <c r="N28" s="7">
        <f>IF($C28="","",IF(OR(K28=0,I28="",IFERROR(INDEX('Challan Master'!$D$4:$D$207,MATCH($B28,'Challan Master'!$S$4:$S$207,0)),"")="",IFERROR(INDEX('Challan Master'!$D$4:$D$207,MATCH($B28,'Challan Master'!$S$4:$S$207,0)),"")&lt;=0),0,IF(IFERROR(INDEX('Challan Master'!$D$4:$D$207,MATCH($B28,'Challan Master'!$S$4:$S$207,0)),"")&lt;=DATE(YEAR(I28),MONTH(I28)+1,7),0,ROUND(K28*0.015*((YEAR(IFERROR(INDEX('Challan Master'!$D$4:$D$207,MATCH($B28,'Challan Master'!$S$4:$S$207,0)),""))-YEAR(I28))*12+(MONTH(IFERROR(INDEX('Challan Master'!$D$4:$D$207,MATCH($B28,'Challan Master'!$S$4:$S$207,0)),""))-MONTH(I28))+1),0))))</f>
      </c>
      <c r="O28" s="7">
        <f>IF($C28="","",0)</f>
      </c>
      <c r="P28" s="8"/>
      <c r="Q28" s="8"/>
      <c r="R28" s="8"/>
      <c r="S28" s="8"/>
      <c r="T28" s="8"/>
      <c r="U28" s="7">
        <f>IF($B28="","",IFERROR(INDEX('Challan Master'!$AA$4:$AA$207,MATCH($B28,'Challan Master'!$S$4:$S$207,0)),""))</f>
      </c>
    </row>
    <row r="29" spans="1:22" x14ac:dyDescent="0.25">
      <c r="A29" s="7">
        <f>IF($C29="","",COUNTIF($C$4:$C29,"&lt;&gt;"))</f>
      </c>
      <c r="B29" s="8"/>
      <c r="C29" s="8"/>
      <c r="D29" s="8"/>
      <c r="E29" s="7">
        <f>IF($C29="","",IF(AND(LEN(TRIM(UPPER(D29)))=10,CODE(MID(TRIM(UPPER(D29)),1,1))&gt;=65,CODE(MID(TRIM(UPPER(D29)),1,1))&lt;=90,CODE(MID(TRIM(UPPER(D29)),2,1))&gt;=65,CODE(MID(TRIM(UPPER(D29)),2,1))&lt;=90,CODE(MID(TRIM(UPPER(D29)),3,1))&gt;=65,CODE(MID(TRIM(UPPER(D29)),3,1))&lt;=90,CODE(MID(TRIM(UPPER(D29)),4,1))&gt;=65,CODE(MID(TRIM(UPPER(D29)),4,1))&lt;=90,CODE(MID(TRIM(UPPER(D29)),5,1))&gt;=65,CODE(MID(TRIM(UPPER(D29)),5,1))&lt;=90,CODE(MID(TRIM(UPPER(D29)),10,1))&gt;=65,CODE(MID(TRIM(UPPER(D29)),10,1))&lt;=90,CODE(MID(TRIM(UPPER(D29)),6,1))&gt;=48,CODE(MID(TRIM(UPPER(D29)),6,1))&lt;=57,CODE(MID(TRIM(UPPER(D29)),7,1))&gt;=48,CODE(MID(TRIM(UPPER(D29)),7,1))&lt;=57,CODE(MID(TRIM(UPPER(D29)),8,1))&gt;=48,CODE(MID(TRIM(UPPER(D29)),8,1))&lt;=57,CODE(MID(TRIM(UPPER(D29)),9,1))&gt;=48,CODE(MID(TRIM(UPPER(D29)),9,1))&lt;=57),"N","Y"))</f>
      </c>
      <c r="F29" s="7">
        <f>IF($C29="","",IF(LEN(D29)&lt;4,"",IF(UPPER(MID(D29,4,1))="P","Individual",IF(UPPER(MID(D29,4,1))="H","HUF",IF(UPPER(MID(D29,4,1))="C","Company",IF(UPPER(MID(D29,4,1))="F","Firm",IF(UPPER(MID(D29,4,1))="L","LLP",IF(UPPER(MID(D29,4,1))="T","Trust",IF(UPPER(MID(D29,4,1))="A","AOP","")))))))))</f>
      </c>
      <c r="G29" s="8"/>
      <c r="H29" s="7">
        <f>IF($C29="","",IF(R29&lt;&gt;"",R29,IF(G29="","",IF(E29="Y",SUMPRODUCT(('Rate Lookup'!$A$1:$A$37=G29)*'Rate Lookup'!$D$1:$D$37),IF(OR(F29="Individual",F29="HUF"),SUMPRODUCT(('Rate Lookup'!$A$1:$A$37=G29)*'Rate Lookup'!$B$1:$B$37),SUMPRODUCT(('Rate Lookup'!$A$1:$A$37=G29)*'Rate Lookup'!$C$1:$C$37)))))))</f>
      </c>
      <c r="I29" s="8"/>
      <c r="J29" s="8"/>
      <c r="K29" s="7">
        <f>IF($C29="","",IF(OR(P29="B",P29="D",P29="E",P29="N",P29="O",P29="P",P29="Q",P29="S",P29="Y",P29="Z"),0,ROUND(J29*H29/100,0)))</f>
      </c>
      <c r="L29" s="7">
        <f>IF($C29="","",0)</f>
      </c>
      <c r="M29" s="7">
        <f>IF($C29="","",0)</f>
      </c>
      <c r="N29" s="7">
        <f>IF($C29="","",IF(OR(K29=0,I29="",IFERROR(INDEX('Challan Master'!$D$4:$D$207,MATCH($B29,'Challan Master'!$S$4:$S$207,0)),"")="",IFERROR(INDEX('Challan Master'!$D$4:$D$207,MATCH($B29,'Challan Master'!$S$4:$S$207,0)),"")&lt;=0),0,IF(IFERROR(INDEX('Challan Master'!$D$4:$D$207,MATCH($B29,'Challan Master'!$S$4:$S$207,0)),"")&lt;=DATE(YEAR(I29),MONTH(I29)+1,7),0,ROUND(K29*0.015*((YEAR(IFERROR(INDEX('Challan Master'!$D$4:$D$207,MATCH($B29,'Challan Master'!$S$4:$S$207,0)),""))-YEAR(I29))*12+(MONTH(IFERROR(INDEX('Challan Master'!$D$4:$D$207,MATCH($B29,'Challan Master'!$S$4:$S$207,0)),""))-MONTH(I29))+1),0))))</f>
      </c>
      <c r="O29" s="7">
        <f>IF($C29="","",0)</f>
      </c>
      <c r="P29" s="8"/>
      <c r="Q29" s="8"/>
      <c r="R29" s="8"/>
      <c r="S29" s="8"/>
      <c r="T29" s="8"/>
      <c r="U29" s="7">
        <f>IF($B29="","",IFERROR(INDEX('Challan Master'!$AA$4:$AA$207,MATCH($B29,'Challan Master'!$S$4:$S$207,0)),""))</f>
      </c>
    </row>
    <row r="30" spans="1:22" x14ac:dyDescent="0.25">
      <c r="A30" s="7">
        <f>IF($C30="","",COUNTIF($C$4:$C30,"&lt;&gt;"))</f>
      </c>
      <c r="B30" s="8"/>
      <c r="C30" s="8"/>
      <c r="D30" s="8"/>
      <c r="E30" s="7">
        <f>IF($C30="","",IF(AND(LEN(TRIM(UPPER(D30)))=10,CODE(MID(TRIM(UPPER(D30)),1,1))&gt;=65,CODE(MID(TRIM(UPPER(D30)),1,1))&lt;=90,CODE(MID(TRIM(UPPER(D30)),2,1))&gt;=65,CODE(MID(TRIM(UPPER(D30)),2,1))&lt;=90,CODE(MID(TRIM(UPPER(D30)),3,1))&gt;=65,CODE(MID(TRIM(UPPER(D30)),3,1))&lt;=90,CODE(MID(TRIM(UPPER(D30)),4,1))&gt;=65,CODE(MID(TRIM(UPPER(D30)),4,1))&lt;=90,CODE(MID(TRIM(UPPER(D30)),5,1))&gt;=65,CODE(MID(TRIM(UPPER(D30)),5,1))&lt;=90,CODE(MID(TRIM(UPPER(D30)),10,1))&gt;=65,CODE(MID(TRIM(UPPER(D30)),10,1))&lt;=90,CODE(MID(TRIM(UPPER(D30)),6,1))&gt;=48,CODE(MID(TRIM(UPPER(D30)),6,1))&lt;=57,CODE(MID(TRIM(UPPER(D30)),7,1))&gt;=48,CODE(MID(TRIM(UPPER(D30)),7,1))&lt;=57,CODE(MID(TRIM(UPPER(D30)),8,1))&gt;=48,CODE(MID(TRIM(UPPER(D30)),8,1))&lt;=57,CODE(MID(TRIM(UPPER(D30)),9,1))&gt;=48,CODE(MID(TRIM(UPPER(D30)),9,1))&lt;=57),"N","Y"))</f>
      </c>
      <c r="F30" s="7">
        <f>IF($C30="","",IF(LEN(D30)&lt;4,"",IF(UPPER(MID(D30,4,1))="P","Individual",IF(UPPER(MID(D30,4,1))="H","HUF",IF(UPPER(MID(D30,4,1))="C","Company",IF(UPPER(MID(D30,4,1))="F","Firm",IF(UPPER(MID(D30,4,1))="L","LLP",IF(UPPER(MID(D30,4,1))="T","Trust",IF(UPPER(MID(D30,4,1))="A","AOP","")))))))))</f>
      </c>
      <c r="G30" s="8"/>
      <c r="H30" s="7">
        <f>IF($C30="","",IF(R30&lt;&gt;"",R30,IF(G30="","",IF(E30="Y",SUMPRODUCT(('Rate Lookup'!$A$1:$A$37=G30)*'Rate Lookup'!$D$1:$D$37),IF(OR(F30="Individual",F30="HUF"),SUMPRODUCT(('Rate Lookup'!$A$1:$A$37=G30)*'Rate Lookup'!$B$1:$B$37),SUMPRODUCT(('Rate Lookup'!$A$1:$A$37=G30)*'Rate Lookup'!$C$1:$C$37)))))))</f>
      </c>
      <c r="I30" s="8"/>
      <c r="J30" s="8"/>
      <c r="K30" s="7">
        <f>IF($C30="","",IF(OR(P30="B",P30="D",P30="E",P30="N",P30="O",P30="P",P30="Q",P30="S",P30="Y",P30="Z"),0,ROUND(J30*H30/100,0)))</f>
      </c>
      <c r="L30" s="7">
        <f>IF($C30="","",0)</f>
      </c>
      <c r="M30" s="7">
        <f>IF($C30="","",0)</f>
      </c>
      <c r="N30" s="7">
        <f>IF($C30="","",IF(OR(K30=0,I30="",IFERROR(INDEX('Challan Master'!$D$4:$D$207,MATCH($B30,'Challan Master'!$S$4:$S$207,0)),"")="",IFERROR(INDEX('Challan Master'!$D$4:$D$207,MATCH($B30,'Challan Master'!$S$4:$S$207,0)),"")&lt;=0),0,IF(IFERROR(INDEX('Challan Master'!$D$4:$D$207,MATCH($B30,'Challan Master'!$S$4:$S$207,0)),"")&lt;=DATE(YEAR(I30),MONTH(I30)+1,7),0,ROUND(K30*0.015*((YEAR(IFERROR(INDEX('Challan Master'!$D$4:$D$207,MATCH($B30,'Challan Master'!$S$4:$S$207,0)),""))-YEAR(I30))*12+(MONTH(IFERROR(INDEX('Challan Master'!$D$4:$D$207,MATCH($B30,'Challan Master'!$S$4:$S$207,0)),""))-MONTH(I30))+1),0))))</f>
      </c>
      <c r="O30" s="7">
        <f>IF($C30="","",0)</f>
      </c>
      <c r="P30" s="8"/>
      <c r="Q30" s="8"/>
      <c r="R30" s="8"/>
      <c r="S30" s="8"/>
      <c r="T30" s="8"/>
      <c r="U30" s="7">
        <f>IF($B30="","",IFERROR(INDEX('Challan Master'!$AA$4:$AA$207,MATCH($B30,'Challan Master'!$S$4:$S$207,0)),""))</f>
      </c>
    </row>
    <row r="31" spans="1:22" x14ac:dyDescent="0.25">
      <c r="A31" s="7">
        <f>IF($C31="","",COUNTIF($C$4:$C31,"&lt;&gt;"))</f>
      </c>
      <c r="B31" s="8"/>
      <c r="C31" s="8"/>
      <c r="D31" s="8"/>
      <c r="E31" s="7">
        <f>IF($C31="","",IF(AND(LEN(TRIM(UPPER(D31)))=10,CODE(MID(TRIM(UPPER(D31)),1,1))&gt;=65,CODE(MID(TRIM(UPPER(D31)),1,1))&lt;=90,CODE(MID(TRIM(UPPER(D31)),2,1))&gt;=65,CODE(MID(TRIM(UPPER(D31)),2,1))&lt;=90,CODE(MID(TRIM(UPPER(D31)),3,1))&gt;=65,CODE(MID(TRIM(UPPER(D31)),3,1))&lt;=90,CODE(MID(TRIM(UPPER(D31)),4,1))&gt;=65,CODE(MID(TRIM(UPPER(D31)),4,1))&lt;=90,CODE(MID(TRIM(UPPER(D31)),5,1))&gt;=65,CODE(MID(TRIM(UPPER(D31)),5,1))&lt;=90,CODE(MID(TRIM(UPPER(D31)),10,1))&gt;=65,CODE(MID(TRIM(UPPER(D31)),10,1))&lt;=90,CODE(MID(TRIM(UPPER(D31)),6,1))&gt;=48,CODE(MID(TRIM(UPPER(D31)),6,1))&lt;=57,CODE(MID(TRIM(UPPER(D31)),7,1))&gt;=48,CODE(MID(TRIM(UPPER(D31)),7,1))&lt;=57,CODE(MID(TRIM(UPPER(D31)),8,1))&gt;=48,CODE(MID(TRIM(UPPER(D31)),8,1))&lt;=57,CODE(MID(TRIM(UPPER(D31)),9,1))&gt;=48,CODE(MID(TRIM(UPPER(D31)),9,1))&lt;=57),"N","Y"))</f>
      </c>
      <c r="F31" s="7">
        <f>IF($C31="","",IF(LEN(D31)&lt;4,"",IF(UPPER(MID(D31,4,1))="P","Individual",IF(UPPER(MID(D31,4,1))="H","HUF",IF(UPPER(MID(D31,4,1))="C","Company",IF(UPPER(MID(D31,4,1))="F","Firm",IF(UPPER(MID(D31,4,1))="L","LLP",IF(UPPER(MID(D31,4,1))="T","Trust",IF(UPPER(MID(D31,4,1))="A","AOP","")))))))))</f>
      </c>
      <c r="G31" s="8"/>
      <c r="H31" s="7">
        <f>IF($C31="","",IF(R31&lt;&gt;"",R31,IF(G31="","",IF(E31="Y",SUMPRODUCT(('Rate Lookup'!$A$1:$A$37=G31)*'Rate Lookup'!$D$1:$D$37),IF(OR(F31="Individual",F31="HUF"),SUMPRODUCT(('Rate Lookup'!$A$1:$A$37=G31)*'Rate Lookup'!$B$1:$B$37),SUMPRODUCT(('Rate Lookup'!$A$1:$A$37=G31)*'Rate Lookup'!$C$1:$C$37)))))))</f>
      </c>
      <c r="I31" s="8"/>
      <c r="J31" s="8"/>
      <c r="K31" s="7">
        <f>IF($C31="","",IF(OR(P31="B",P31="D",P31="E",P31="N",P31="O",P31="P",P31="Q",P31="S",P31="Y",P31="Z"),0,ROUND(J31*H31/100,0)))</f>
      </c>
      <c r="L31" s="7">
        <f>IF($C31="","",0)</f>
      </c>
      <c r="M31" s="7">
        <f>IF($C31="","",0)</f>
      </c>
      <c r="N31" s="7">
        <f>IF($C31="","",IF(OR(K31=0,I31="",IFERROR(INDEX('Challan Master'!$D$4:$D$207,MATCH($B31,'Challan Master'!$S$4:$S$207,0)),"")="",IFERROR(INDEX('Challan Master'!$D$4:$D$207,MATCH($B31,'Challan Master'!$S$4:$S$207,0)),"")&lt;=0),0,IF(IFERROR(INDEX('Challan Master'!$D$4:$D$207,MATCH($B31,'Challan Master'!$S$4:$S$207,0)),"")&lt;=DATE(YEAR(I31),MONTH(I31)+1,7),0,ROUND(K31*0.015*((YEAR(IFERROR(INDEX('Challan Master'!$D$4:$D$207,MATCH($B31,'Challan Master'!$S$4:$S$207,0)),""))-YEAR(I31))*12+(MONTH(IFERROR(INDEX('Challan Master'!$D$4:$D$207,MATCH($B31,'Challan Master'!$S$4:$S$207,0)),""))-MONTH(I31))+1),0))))</f>
      </c>
      <c r="O31" s="7">
        <f>IF($C31="","",0)</f>
      </c>
      <c r="P31" s="8"/>
      <c r="Q31" s="8"/>
      <c r="R31" s="8"/>
      <c r="S31" s="8"/>
      <c r="T31" s="8"/>
      <c r="U31" s="7">
        <f>IF($B31="","",IFERROR(INDEX('Challan Master'!$AA$4:$AA$207,MATCH($B31,'Challan Master'!$S$4:$S$207,0)),""))</f>
      </c>
    </row>
    <row r="32" spans="1:22" x14ac:dyDescent="0.25">
      <c r="A32" s="7">
        <f>IF($C32="","",COUNTIF($C$4:$C32,"&lt;&gt;"))</f>
      </c>
      <c r="B32" s="8"/>
      <c r="C32" s="8"/>
      <c r="D32" s="8"/>
      <c r="E32" s="7">
        <f>IF($C32="","",IF(AND(LEN(TRIM(UPPER(D32)))=10,CODE(MID(TRIM(UPPER(D32)),1,1))&gt;=65,CODE(MID(TRIM(UPPER(D32)),1,1))&lt;=90,CODE(MID(TRIM(UPPER(D32)),2,1))&gt;=65,CODE(MID(TRIM(UPPER(D32)),2,1))&lt;=90,CODE(MID(TRIM(UPPER(D32)),3,1))&gt;=65,CODE(MID(TRIM(UPPER(D32)),3,1))&lt;=90,CODE(MID(TRIM(UPPER(D32)),4,1))&gt;=65,CODE(MID(TRIM(UPPER(D32)),4,1))&lt;=90,CODE(MID(TRIM(UPPER(D32)),5,1))&gt;=65,CODE(MID(TRIM(UPPER(D32)),5,1))&lt;=90,CODE(MID(TRIM(UPPER(D32)),10,1))&gt;=65,CODE(MID(TRIM(UPPER(D32)),10,1))&lt;=90,CODE(MID(TRIM(UPPER(D32)),6,1))&gt;=48,CODE(MID(TRIM(UPPER(D32)),6,1))&lt;=57,CODE(MID(TRIM(UPPER(D32)),7,1))&gt;=48,CODE(MID(TRIM(UPPER(D32)),7,1))&lt;=57,CODE(MID(TRIM(UPPER(D32)),8,1))&gt;=48,CODE(MID(TRIM(UPPER(D32)),8,1))&lt;=57,CODE(MID(TRIM(UPPER(D32)),9,1))&gt;=48,CODE(MID(TRIM(UPPER(D32)),9,1))&lt;=57),"N","Y"))</f>
      </c>
      <c r="F32" s="7">
        <f>IF($C32="","",IF(LEN(D32)&lt;4,"",IF(UPPER(MID(D32,4,1))="P","Individual",IF(UPPER(MID(D32,4,1))="H","HUF",IF(UPPER(MID(D32,4,1))="C","Company",IF(UPPER(MID(D32,4,1))="F","Firm",IF(UPPER(MID(D32,4,1))="L","LLP",IF(UPPER(MID(D32,4,1))="T","Trust",IF(UPPER(MID(D32,4,1))="A","AOP","")))))))))</f>
      </c>
      <c r="G32" s="8"/>
      <c r="H32" s="7">
        <f>IF($C32="","",IF(R32&lt;&gt;"",R32,IF(G32="","",IF(E32="Y",SUMPRODUCT(('Rate Lookup'!$A$1:$A$37=G32)*'Rate Lookup'!$D$1:$D$37),IF(OR(F32="Individual",F32="HUF"),SUMPRODUCT(('Rate Lookup'!$A$1:$A$37=G32)*'Rate Lookup'!$B$1:$B$37),SUMPRODUCT(('Rate Lookup'!$A$1:$A$37=G32)*'Rate Lookup'!$C$1:$C$37)))))))</f>
      </c>
      <c r="I32" s="8"/>
      <c r="J32" s="8"/>
      <c r="K32" s="7">
        <f>IF($C32="","",IF(OR(P32="B",P32="D",P32="E",P32="N",P32="O",P32="P",P32="Q",P32="S",P32="Y",P32="Z"),0,ROUND(J32*H32/100,0)))</f>
      </c>
      <c r="L32" s="7">
        <f>IF($C32="","",0)</f>
      </c>
      <c r="M32" s="7">
        <f>IF($C32="","",0)</f>
      </c>
      <c r="N32" s="7">
        <f>IF($C32="","",IF(OR(K32=0,I32="",IFERROR(INDEX('Challan Master'!$D$4:$D$207,MATCH($B32,'Challan Master'!$S$4:$S$207,0)),"")="",IFERROR(INDEX('Challan Master'!$D$4:$D$207,MATCH($B32,'Challan Master'!$S$4:$S$207,0)),"")&lt;=0),0,IF(IFERROR(INDEX('Challan Master'!$D$4:$D$207,MATCH($B32,'Challan Master'!$S$4:$S$207,0)),"")&lt;=DATE(YEAR(I32),MONTH(I32)+1,7),0,ROUND(K32*0.015*((YEAR(IFERROR(INDEX('Challan Master'!$D$4:$D$207,MATCH($B32,'Challan Master'!$S$4:$S$207,0)),""))-YEAR(I32))*12+(MONTH(IFERROR(INDEX('Challan Master'!$D$4:$D$207,MATCH($B32,'Challan Master'!$S$4:$S$207,0)),""))-MONTH(I32))+1),0))))</f>
      </c>
      <c r="O32" s="7">
        <f>IF($C32="","",0)</f>
      </c>
      <c r="P32" s="8"/>
      <c r="Q32" s="8"/>
      <c r="R32" s="8"/>
      <c r="S32" s="8"/>
      <c r="T32" s="8"/>
      <c r="U32" s="7">
        <f>IF($B32="","",IFERROR(INDEX('Challan Master'!$AA$4:$AA$207,MATCH($B32,'Challan Master'!$S$4:$S$207,0)),""))</f>
      </c>
    </row>
    <row r="33" spans="1:22" x14ac:dyDescent="0.25">
      <c r="A33" s="7">
        <f>IF($C33="","",COUNTIF($C$4:$C33,"&lt;&gt;"))</f>
      </c>
      <c r="B33" s="8"/>
      <c r="C33" s="8"/>
      <c r="D33" s="8"/>
      <c r="E33" s="7">
        <f>IF($C33="","",IF(AND(LEN(TRIM(UPPER(D33)))=10,CODE(MID(TRIM(UPPER(D33)),1,1))&gt;=65,CODE(MID(TRIM(UPPER(D33)),1,1))&lt;=90,CODE(MID(TRIM(UPPER(D33)),2,1))&gt;=65,CODE(MID(TRIM(UPPER(D33)),2,1))&lt;=90,CODE(MID(TRIM(UPPER(D33)),3,1))&gt;=65,CODE(MID(TRIM(UPPER(D33)),3,1))&lt;=90,CODE(MID(TRIM(UPPER(D33)),4,1))&gt;=65,CODE(MID(TRIM(UPPER(D33)),4,1))&lt;=90,CODE(MID(TRIM(UPPER(D33)),5,1))&gt;=65,CODE(MID(TRIM(UPPER(D33)),5,1))&lt;=90,CODE(MID(TRIM(UPPER(D33)),10,1))&gt;=65,CODE(MID(TRIM(UPPER(D33)),10,1))&lt;=90,CODE(MID(TRIM(UPPER(D33)),6,1))&gt;=48,CODE(MID(TRIM(UPPER(D33)),6,1))&lt;=57,CODE(MID(TRIM(UPPER(D33)),7,1))&gt;=48,CODE(MID(TRIM(UPPER(D33)),7,1))&lt;=57,CODE(MID(TRIM(UPPER(D33)),8,1))&gt;=48,CODE(MID(TRIM(UPPER(D33)),8,1))&lt;=57,CODE(MID(TRIM(UPPER(D33)),9,1))&gt;=48,CODE(MID(TRIM(UPPER(D33)),9,1))&lt;=57),"N","Y"))</f>
      </c>
      <c r="F33" s="7">
        <f>IF($C33="","",IF(LEN(D33)&lt;4,"",IF(UPPER(MID(D33,4,1))="P","Individual",IF(UPPER(MID(D33,4,1))="H","HUF",IF(UPPER(MID(D33,4,1))="C","Company",IF(UPPER(MID(D33,4,1))="F","Firm",IF(UPPER(MID(D33,4,1))="L","LLP",IF(UPPER(MID(D33,4,1))="T","Trust",IF(UPPER(MID(D33,4,1))="A","AOP","")))))))))</f>
      </c>
      <c r="G33" s="8"/>
      <c r="H33" s="7">
        <f>IF($C33="","",IF(R33&lt;&gt;"",R33,IF(G33="","",IF(E33="Y",SUMPRODUCT(('Rate Lookup'!$A$1:$A$37=G33)*'Rate Lookup'!$D$1:$D$37),IF(OR(F33="Individual",F33="HUF"),SUMPRODUCT(('Rate Lookup'!$A$1:$A$37=G33)*'Rate Lookup'!$B$1:$B$37),SUMPRODUCT(('Rate Lookup'!$A$1:$A$37=G33)*'Rate Lookup'!$C$1:$C$37)))))))</f>
      </c>
      <c r="I33" s="8"/>
      <c r="J33" s="8"/>
      <c r="K33" s="7">
        <f>IF($C33="","",IF(OR(P33="B",P33="D",P33="E",P33="N",P33="O",P33="P",P33="Q",P33="S",P33="Y",P33="Z"),0,ROUND(J33*H33/100,0)))</f>
      </c>
      <c r="L33" s="7">
        <f>IF($C33="","",0)</f>
      </c>
      <c r="M33" s="7">
        <f>IF($C33="","",0)</f>
      </c>
      <c r="N33" s="7">
        <f>IF($C33="","",IF(OR(K33=0,I33="",IFERROR(INDEX('Challan Master'!$D$4:$D$207,MATCH($B33,'Challan Master'!$S$4:$S$207,0)),"")="",IFERROR(INDEX('Challan Master'!$D$4:$D$207,MATCH($B33,'Challan Master'!$S$4:$S$207,0)),"")&lt;=0),0,IF(IFERROR(INDEX('Challan Master'!$D$4:$D$207,MATCH($B33,'Challan Master'!$S$4:$S$207,0)),"")&lt;=DATE(YEAR(I33),MONTH(I33)+1,7),0,ROUND(K33*0.015*((YEAR(IFERROR(INDEX('Challan Master'!$D$4:$D$207,MATCH($B33,'Challan Master'!$S$4:$S$207,0)),""))-YEAR(I33))*12+(MONTH(IFERROR(INDEX('Challan Master'!$D$4:$D$207,MATCH($B33,'Challan Master'!$S$4:$S$207,0)),""))-MONTH(I33))+1),0))))</f>
      </c>
      <c r="O33" s="7">
        <f>IF($C33="","",0)</f>
      </c>
      <c r="P33" s="8"/>
      <c r="Q33" s="8"/>
      <c r="R33" s="8"/>
      <c r="S33" s="8"/>
      <c r="T33" s="8"/>
      <c r="U33" s="7">
        <f>IF($B33="","",IFERROR(INDEX('Challan Master'!$AA$4:$AA$207,MATCH($B33,'Challan Master'!$S$4:$S$207,0)),""))</f>
      </c>
    </row>
    <row r="34" spans="1:22" x14ac:dyDescent="0.25">
      <c r="A34" s="7">
        <f>IF($C34="","",COUNTIF($C$4:$C34,"&lt;&gt;"))</f>
      </c>
      <c r="B34" s="8"/>
      <c r="C34" s="8"/>
      <c r="D34" s="8"/>
      <c r="E34" s="7">
        <f>IF($C34="","",IF(AND(LEN(TRIM(UPPER(D34)))=10,CODE(MID(TRIM(UPPER(D34)),1,1))&gt;=65,CODE(MID(TRIM(UPPER(D34)),1,1))&lt;=90,CODE(MID(TRIM(UPPER(D34)),2,1))&gt;=65,CODE(MID(TRIM(UPPER(D34)),2,1))&lt;=90,CODE(MID(TRIM(UPPER(D34)),3,1))&gt;=65,CODE(MID(TRIM(UPPER(D34)),3,1))&lt;=90,CODE(MID(TRIM(UPPER(D34)),4,1))&gt;=65,CODE(MID(TRIM(UPPER(D34)),4,1))&lt;=90,CODE(MID(TRIM(UPPER(D34)),5,1))&gt;=65,CODE(MID(TRIM(UPPER(D34)),5,1))&lt;=90,CODE(MID(TRIM(UPPER(D34)),10,1))&gt;=65,CODE(MID(TRIM(UPPER(D34)),10,1))&lt;=90,CODE(MID(TRIM(UPPER(D34)),6,1))&gt;=48,CODE(MID(TRIM(UPPER(D34)),6,1))&lt;=57,CODE(MID(TRIM(UPPER(D34)),7,1))&gt;=48,CODE(MID(TRIM(UPPER(D34)),7,1))&lt;=57,CODE(MID(TRIM(UPPER(D34)),8,1))&gt;=48,CODE(MID(TRIM(UPPER(D34)),8,1))&lt;=57,CODE(MID(TRIM(UPPER(D34)),9,1))&gt;=48,CODE(MID(TRIM(UPPER(D34)),9,1))&lt;=57),"N","Y"))</f>
      </c>
      <c r="F34" s="7">
        <f>IF($C34="","",IF(LEN(D34)&lt;4,"",IF(UPPER(MID(D34,4,1))="P","Individual",IF(UPPER(MID(D34,4,1))="H","HUF",IF(UPPER(MID(D34,4,1))="C","Company",IF(UPPER(MID(D34,4,1))="F","Firm",IF(UPPER(MID(D34,4,1))="L","LLP",IF(UPPER(MID(D34,4,1))="T","Trust",IF(UPPER(MID(D34,4,1))="A","AOP","")))))))))</f>
      </c>
      <c r="G34" s="8"/>
      <c r="H34" s="7">
        <f>IF($C34="","",IF(R34&lt;&gt;"",R34,IF(G34="","",IF(E34="Y",SUMPRODUCT(('Rate Lookup'!$A$1:$A$37=G34)*'Rate Lookup'!$D$1:$D$37),IF(OR(F34="Individual",F34="HUF"),SUMPRODUCT(('Rate Lookup'!$A$1:$A$37=G34)*'Rate Lookup'!$B$1:$B$37),SUMPRODUCT(('Rate Lookup'!$A$1:$A$37=G34)*'Rate Lookup'!$C$1:$C$37)))))))</f>
      </c>
      <c r="I34" s="8"/>
      <c r="J34" s="8"/>
      <c r="K34" s="7">
        <f>IF($C34="","",IF(OR(P34="B",P34="D",P34="E",P34="N",P34="O",P34="P",P34="Q",P34="S",P34="Y",P34="Z"),0,ROUND(J34*H34/100,0)))</f>
      </c>
      <c r="L34" s="7">
        <f>IF($C34="","",0)</f>
      </c>
      <c r="M34" s="7">
        <f>IF($C34="","",0)</f>
      </c>
      <c r="N34" s="7">
        <f>IF($C34="","",IF(OR(K34=0,I34="",IFERROR(INDEX('Challan Master'!$D$4:$D$207,MATCH($B34,'Challan Master'!$S$4:$S$207,0)),"")="",IFERROR(INDEX('Challan Master'!$D$4:$D$207,MATCH($B34,'Challan Master'!$S$4:$S$207,0)),"")&lt;=0),0,IF(IFERROR(INDEX('Challan Master'!$D$4:$D$207,MATCH($B34,'Challan Master'!$S$4:$S$207,0)),"")&lt;=DATE(YEAR(I34),MONTH(I34)+1,7),0,ROUND(K34*0.015*((YEAR(IFERROR(INDEX('Challan Master'!$D$4:$D$207,MATCH($B34,'Challan Master'!$S$4:$S$207,0)),""))-YEAR(I34))*12+(MONTH(IFERROR(INDEX('Challan Master'!$D$4:$D$207,MATCH($B34,'Challan Master'!$S$4:$S$207,0)),""))-MONTH(I34))+1),0))))</f>
      </c>
      <c r="O34" s="7">
        <f>IF($C34="","",0)</f>
      </c>
      <c r="P34" s="8"/>
      <c r="Q34" s="8"/>
      <c r="R34" s="8"/>
      <c r="S34" s="8"/>
      <c r="T34" s="8"/>
      <c r="U34" s="7">
        <f>IF($B34="","",IFERROR(INDEX('Challan Master'!$AA$4:$AA$207,MATCH($B34,'Challan Master'!$S$4:$S$207,0)),""))</f>
      </c>
    </row>
    <row r="35" spans="1:22" x14ac:dyDescent="0.25">
      <c r="A35" s="7">
        <f>IF($C35="","",COUNTIF($C$4:$C35,"&lt;&gt;"))</f>
      </c>
      <c r="B35" s="8"/>
      <c r="C35" s="8"/>
      <c r="D35" s="8"/>
      <c r="E35" s="7">
        <f>IF($C35="","",IF(AND(LEN(TRIM(UPPER(D35)))=10,CODE(MID(TRIM(UPPER(D35)),1,1))&gt;=65,CODE(MID(TRIM(UPPER(D35)),1,1))&lt;=90,CODE(MID(TRIM(UPPER(D35)),2,1))&gt;=65,CODE(MID(TRIM(UPPER(D35)),2,1))&lt;=90,CODE(MID(TRIM(UPPER(D35)),3,1))&gt;=65,CODE(MID(TRIM(UPPER(D35)),3,1))&lt;=90,CODE(MID(TRIM(UPPER(D35)),4,1))&gt;=65,CODE(MID(TRIM(UPPER(D35)),4,1))&lt;=90,CODE(MID(TRIM(UPPER(D35)),5,1))&gt;=65,CODE(MID(TRIM(UPPER(D35)),5,1))&lt;=90,CODE(MID(TRIM(UPPER(D35)),10,1))&gt;=65,CODE(MID(TRIM(UPPER(D35)),10,1))&lt;=90,CODE(MID(TRIM(UPPER(D35)),6,1))&gt;=48,CODE(MID(TRIM(UPPER(D35)),6,1))&lt;=57,CODE(MID(TRIM(UPPER(D35)),7,1))&gt;=48,CODE(MID(TRIM(UPPER(D35)),7,1))&lt;=57,CODE(MID(TRIM(UPPER(D35)),8,1))&gt;=48,CODE(MID(TRIM(UPPER(D35)),8,1))&lt;=57,CODE(MID(TRIM(UPPER(D35)),9,1))&gt;=48,CODE(MID(TRIM(UPPER(D35)),9,1))&lt;=57),"N","Y"))</f>
      </c>
      <c r="F35" s="7">
        <f>IF($C35="","",IF(LEN(D35)&lt;4,"",IF(UPPER(MID(D35,4,1))="P","Individual",IF(UPPER(MID(D35,4,1))="H","HUF",IF(UPPER(MID(D35,4,1))="C","Company",IF(UPPER(MID(D35,4,1))="F","Firm",IF(UPPER(MID(D35,4,1))="L","LLP",IF(UPPER(MID(D35,4,1))="T","Trust",IF(UPPER(MID(D35,4,1))="A","AOP","")))))))))</f>
      </c>
      <c r="G35" s="8"/>
      <c r="H35" s="7">
        <f>IF($C35="","",IF(R35&lt;&gt;"",R35,IF(G35="","",IF(E35="Y",SUMPRODUCT(('Rate Lookup'!$A$1:$A$37=G35)*'Rate Lookup'!$D$1:$D$37),IF(OR(F35="Individual",F35="HUF"),SUMPRODUCT(('Rate Lookup'!$A$1:$A$37=G35)*'Rate Lookup'!$B$1:$B$37),SUMPRODUCT(('Rate Lookup'!$A$1:$A$37=G35)*'Rate Lookup'!$C$1:$C$37)))))))</f>
      </c>
      <c r="I35" s="8"/>
      <c r="J35" s="8"/>
      <c r="K35" s="7">
        <f>IF($C35="","",IF(OR(P35="B",P35="D",P35="E",P35="N",P35="O",P35="P",P35="Q",P35="S",P35="Y",P35="Z"),0,ROUND(J35*H35/100,0)))</f>
      </c>
      <c r="L35" s="7">
        <f>IF($C35="","",0)</f>
      </c>
      <c r="M35" s="7">
        <f>IF($C35="","",0)</f>
      </c>
      <c r="N35" s="7">
        <f>IF($C35="","",IF(OR(K35=0,I35="",IFERROR(INDEX('Challan Master'!$D$4:$D$207,MATCH($B35,'Challan Master'!$S$4:$S$207,0)),"")="",IFERROR(INDEX('Challan Master'!$D$4:$D$207,MATCH($B35,'Challan Master'!$S$4:$S$207,0)),"")&lt;=0),0,IF(IFERROR(INDEX('Challan Master'!$D$4:$D$207,MATCH($B35,'Challan Master'!$S$4:$S$207,0)),"")&lt;=DATE(YEAR(I35),MONTH(I35)+1,7),0,ROUND(K35*0.015*((YEAR(IFERROR(INDEX('Challan Master'!$D$4:$D$207,MATCH($B35,'Challan Master'!$S$4:$S$207,0)),""))-YEAR(I35))*12+(MONTH(IFERROR(INDEX('Challan Master'!$D$4:$D$207,MATCH($B35,'Challan Master'!$S$4:$S$207,0)),""))-MONTH(I35))+1),0))))</f>
      </c>
      <c r="O35" s="7">
        <f>IF($C35="","",0)</f>
      </c>
      <c r="P35" s="8"/>
      <c r="Q35" s="8"/>
      <c r="R35" s="8"/>
      <c r="S35" s="8"/>
      <c r="T35" s="8"/>
      <c r="U35" s="7">
        <f>IF($B35="","",IFERROR(INDEX('Challan Master'!$AA$4:$AA$207,MATCH($B35,'Challan Master'!$S$4:$S$207,0)),""))</f>
      </c>
    </row>
    <row r="36" spans="1:22" x14ac:dyDescent="0.25">
      <c r="A36" s="7">
        <f>IF($C36="","",COUNTIF($C$4:$C36,"&lt;&gt;"))</f>
      </c>
      <c r="B36" s="8"/>
      <c r="C36" s="8"/>
      <c r="D36" s="8"/>
      <c r="E36" s="7">
        <f>IF($C36="","",IF(AND(LEN(TRIM(UPPER(D36)))=10,CODE(MID(TRIM(UPPER(D36)),1,1))&gt;=65,CODE(MID(TRIM(UPPER(D36)),1,1))&lt;=90,CODE(MID(TRIM(UPPER(D36)),2,1))&gt;=65,CODE(MID(TRIM(UPPER(D36)),2,1))&lt;=90,CODE(MID(TRIM(UPPER(D36)),3,1))&gt;=65,CODE(MID(TRIM(UPPER(D36)),3,1))&lt;=90,CODE(MID(TRIM(UPPER(D36)),4,1))&gt;=65,CODE(MID(TRIM(UPPER(D36)),4,1))&lt;=90,CODE(MID(TRIM(UPPER(D36)),5,1))&gt;=65,CODE(MID(TRIM(UPPER(D36)),5,1))&lt;=90,CODE(MID(TRIM(UPPER(D36)),10,1))&gt;=65,CODE(MID(TRIM(UPPER(D36)),10,1))&lt;=90,CODE(MID(TRIM(UPPER(D36)),6,1))&gt;=48,CODE(MID(TRIM(UPPER(D36)),6,1))&lt;=57,CODE(MID(TRIM(UPPER(D36)),7,1))&gt;=48,CODE(MID(TRIM(UPPER(D36)),7,1))&lt;=57,CODE(MID(TRIM(UPPER(D36)),8,1))&gt;=48,CODE(MID(TRIM(UPPER(D36)),8,1))&lt;=57,CODE(MID(TRIM(UPPER(D36)),9,1))&gt;=48,CODE(MID(TRIM(UPPER(D36)),9,1))&lt;=57),"N","Y"))</f>
      </c>
      <c r="F36" s="7">
        <f>IF($C36="","",IF(LEN(D36)&lt;4,"",IF(UPPER(MID(D36,4,1))="P","Individual",IF(UPPER(MID(D36,4,1))="H","HUF",IF(UPPER(MID(D36,4,1))="C","Company",IF(UPPER(MID(D36,4,1))="F","Firm",IF(UPPER(MID(D36,4,1))="L","LLP",IF(UPPER(MID(D36,4,1))="T","Trust",IF(UPPER(MID(D36,4,1))="A","AOP","")))))))))</f>
      </c>
      <c r="G36" s="8"/>
      <c r="H36" s="7">
        <f>IF($C36="","",IF(R36&lt;&gt;"",R36,IF(G36="","",IF(E36="Y",SUMPRODUCT(('Rate Lookup'!$A$1:$A$37=G36)*'Rate Lookup'!$D$1:$D$37),IF(OR(F36="Individual",F36="HUF"),SUMPRODUCT(('Rate Lookup'!$A$1:$A$37=G36)*'Rate Lookup'!$B$1:$B$37),SUMPRODUCT(('Rate Lookup'!$A$1:$A$37=G36)*'Rate Lookup'!$C$1:$C$37)))))))</f>
      </c>
      <c r="I36" s="8"/>
      <c r="J36" s="8"/>
      <c r="K36" s="7">
        <f>IF($C36="","",IF(OR(P36="B",P36="D",P36="E",P36="N",P36="O",P36="P",P36="Q",P36="S",P36="Y",P36="Z"),0,ROUND(J36*H36/100,0)))</f>
      </c>
      <c r="L36" s="7">
        <f>IF($C36="","",0)</f>
      </c>
      <c r="M36" s="7">
        <f>IF($C36="","",0)</f>
      </c>
      <c r="N36" s="7">
        <f>IF($C36="","",IF(OR(K36=0,I36="",IFERROR(INDEX('Challan Master'!$D$4:$D$207,MATCH($B36,'Challan Master'!$S$4:$S$207,0)),"")="",IFERROR(INDEX('Challan Master'!$D$4:$D$207,MATCH($B36,'Challan Master'!$S$4:$S$207,0)),"")&lt;=0),0,IF(IFERROR(INDEX('Challan Master'!$D$4:$D$207,MATCH($B36,'Challan Master'!$S$4:$S$207,0)),"")&lt;=DATE(YEAR(I36),MONTH(I36)+1,7),0,ROUND(K36*0.015*((YEAR(IFERROR(INDEX('Challan Master'!$D$4:$D$207,MATCH($B36,'Challan Master'!$S$4:$S$207,0)),""))-YEAR(I36))*12+(MONTH(IFERROR(INDEX('Challan Master'!$D$4:$D$207,MATCH($B36,'Challan Master'!$S$4:$S$207,0)),""))-MONTH(I36))+1),0))))</f>
      </c>
      <c r="O36" s="7">
        <f>IF($C36="","",0)</f>
      </c>
      <c r="P36" s="8"/>
      <c r="Q36" s="8"/>
      <c r="R36" s="8"/>
      <c r="S36" s="8"/>
      <c r="T36" s="8"/>
      <c r="U36" s="7">
        <f>IF($B36="","",IFERROR(INDEX('Challan Master'!$AA$4:$AA$207,MATCH($B36,'Challan Master'!$S$4:$S$207,0)),""))</f>
      </c>
    </row>
    <row r="37" spans="1:22" x14ac:dyDescent="0.25">
      <c r="A37" s="7">
        <f>IF($C37="","",COUNTIF($C$4:$C37,"&lt;&gt;"))</f>
      </c>
      <c r="B37" s="8"/>
      <c r="C37" s="8"/>
      <c r="D37" s="8"/>
      <c r="E37" s="7">
        <f>IF($C37="","",IF(AND(LEN(TRIM(UPPER(D37)))=10,CODE(MID(TRIM(UPPER(D37)),1,1))&gt;=65,CODE(MID(TRIM(UPPER(D37)),1,1))&lt;=90,CODE(MID(TRIM(UPPER(D37)),2,1))&gt;=65,CODE(MID(TRIM(UPPER(D37)),2,1))&lt;=90,CODE(MID(TRIM(UPPER(D37)),3,1))&gt;=65,CODE(MID(TRIM(UPPER(D37)),3,1))&lt;=90,CODE(MID(TRIM(UPPER(D37)),4,1))&gt;=65,CODE(MID(TRIM(UPPER(D37)),4,1))&lt;=90,CODE(MID(TRIM(UPPER(D37)),5,1))&gt;=65,CODE(MID(TRIM(UPPER(D37)),5,1))&lt;=90,CODE(MID(TRIM(UPPER(D37)),10,1))&gt;=65,CODE(MID(TRIM(UPPER(D37)),10,1))&lt;=90,CODE(MID(TRIM(UPPER(D37)),6,1))&gt;=48,CODE(MID(TRIM(UPPER(D37)),6,1))&lt;=57,CODE(MID(TRIM(UPPER(D37)),7,1))&gt;=48,CODE(MID(TRIM(UPPER(D37)),7,1))&lt;=57,CODE(MID(TRIM(UPPER(D37)),8,1))&gt;=48,CODE(MID(TRIM(UPPER(D37)),8,1))&lt;=57,CODE(MID(TRIM(UPPER(D37)),9,1))&gt;=48,CODE(MID(TRIM(UPPER(D37)),9,1))&lt;=57),"N","Y"))</f>
      </c>
      <c r="F37" s="7">
        <f>IF($C37="","",IF(LEN(D37)&lt;4,"",IF(UPPER(MID(D37,4,1))="P","Individual",IF(UPPER(MID(D37,4,1))="H","HUF",IF(UPPER(MID(D37,4,1))="C","Company",IF(UPPER(MID(D37,4,1))="F","Firm",IF(UPPER(MID(D37,4,1))="L","LLP",IF(UPPER(MID(D37,4,1))="T","Trust",IF(UPPER(MID(D37,4,1))="A","AOP","")))))))))</f>
      </c>
      <c r="G37" s="8"/>
      <c r="H37" s="7">
        <f>IF($C37="","",IF(R37&lt;&gt;"",R37,IF(G37="","",IF(E37="Y",SUMPRODUCT(('Rate Lookup'!$A$1:$A$37=G37)*'Rate Lookup'!$D$1:$D$37),IF(OR(F37="Individual",F37="HUF"),SUMPRODUCT(('Rate Lookup'!$A$1:$A$37=G37)*'Rate Lookup'!$B$1:$B$37),SUMPRODUCT(('Rate Lookup'!$A$1:$A$37=G37)*'Rate Lookup'!$C$1:$C$37)))))))</f>
      </c>
      <c r="I37" s="8"/>
      <c r="J37" s="8"/>
      <c r="K37" s="7">
        <f>IF($C37="","",IF(OR(P37="B",P37="D",P37="E",P37="N",P37="O",P37="P",P37="Q",P37="S",P37="Y",P37="Z"),0,ROUND(J37*H37/100,0)))</f>
      </c>
      <c r="L37" s="7">
        <f>IF($C37="","",0)</f>
      </c>
      <c r="M37" s="7">
        <f>IF($C37="","",0)</f>
      </c>
      <c r="N37" s="7">
        <f>IF($C37="","",IF(OR(K37=0,I37="",IFERROR(INDEX('Challan Master'!$D$4:$D$207,MATCH($B37,'Challan Master'!$S$4:$S$207,0)),"")="",IFERROR(INDEX('Challan Master'!$D$4:$D$207,MATCH($B37,'Challan Master'!$S$4:$S$207,0)),"")&lt;=0),0,IF(IFERROR(INDEX('Challan Master'!$D$4:$D$207,MATCH($B37,'Challan Master'!$S$4:$S$207,0)),"")&lt;=DATE(YEAR(I37),MONTH(I37)+1,7),0,ROUND(K37*0.015*((YEAR(IFERROR(INDEX('Challan Master'!$D$4:$D$207,MATCH($B37,'Challan Master'!$S$4:$S$207,0)),""))-YEAR(I37))*12+(MONTH(IFERROR(INDEX('Challan Master'!$D$4:$D$207,MATCH($B37,'Challan Master'!$S$4:$S$207,0)),""))-MONTH(I37))+1),0))))</f>
      </c>
      <c r="O37" s="7">
        <f>IF($C37="","",0)</f>
      </c>
      <c r="P37" s="8"/>
      <c r="Q37" s="8"/>
      <c r="R37" s="8"/>
      <c r="S37" s="8"/>
      <c r="T37" s="8"/>
      <c r="U37" s="7">
        <f>IF($B37="","",IFERROR(INDEX('Challan Master'!$AA$4:$AA$207,MATCH($B37,'Challan Master'!$S$4:$S$207,0)),""))</f>
      </c>
    </row>
    <row r="38" spans="1:22" x14ac:dyDescent="0.25">
      <c r="A38" s="7">
        <f>IF($C38="","",COUNTIF($C$4:$C38,"&lt;&gt;"))</f>
      </c>
      <c r="B38" s="8"/>
      <c r="C38" s="8"/>
      <c r="D38" s="8"/>
      <c r="E38" s="7">
        <f>IF($C38="","",IF(AND(LEN(TRIM(UPPER(D38)))=10,CODE(MID(TRIM(UPPER(D38)),1,1))&gt;=65,CODE(MID(TRIM(UPPER(D38)),1,1))&lt;=90,CODE(MID(TRIM(UPPER(D38)),2,1))&gt;=65,CODE(MID(TRIM(UPPER(D38)),2,1))&lt;=90,CODE(MID(TRIM(UPPER(D38)),3,1))&gt;=65,CODE(MID(TRIM(UPPER(D38)),3,1))&lt;=90,CODE(MID(TRIM(UPPER(D38)),4,1))&gt;=65,CODE(MID(TRIM(UPPER(D38)),4,1))&lt;=90,CODE(MID(TRIM(UPPER(D38)),5,1))&gt;=65,CODE(MID(TRIM(UPPER(D38)),5,1))&lt;=90,CODE(MID(TRIM(UPPER(D38)),10,1))&gt;=65,CODE(MID(TRIM(UPPER(D38)),10,1))&lt;=90,CODE(MID(TRIM(UPPER(D38)),6,1))&gt;=48,CODE(MID(TRIM(UPPER(D38)),6,1))&lt;=57,CODE(MID(TRIM(UPPER(D38)),7,1))&gt;=48,CODE(MID(TRIM(UPPER(D38)),7,1))&lt;=57,CODE(MID(TRIM(UPPER(D38)),8,1))&gt;=48,CODE(MID(TRIM(UPPER(D38)),8,1))&lt;=57,CODE(MID(TRIM(UPPER(D38)),9,1))&gt;=48,CODE(MID(TRIM(UPPER(D38)),9,1))&lt;=57),"N","Y"))</f>
      </c>
      <c r="F38" s="7">
        <f>IF($C38="","",IF(LEN(D38)&lt;4,"",IF(UPPER(MID(D38,4,1))="P","Individual",IF(UPPER(MID(D38,4,1))="H","HUF",IF(UPPER(MID(D38,4,1))="C","Company",IF(UPPER(MID(D38,4,1))="F","Firm",IF(UPPER(MID(D38,4,1))="L","LLP",IF(UPPER(MID(D38,4,1))="T","Trust",IF(UPPER(MID(D38,4,1))="A","AOP","")))))))))</f>
      </c>
      <c r="G38" s="8"/>
      <c r="H38" s="7">
        <f>IF($C38="","",IF(R38&lt;&gt;"",R38,IF(G38="","",IF(E38="Y",SUMPRODUCT(('Rate Lookup'!$A$1:$A$37=G38)*'Rate Lookup'!$D$1:$D$37),IF(OR(F38="Individual",F38="HUF"),SUMPRODUCT(('Rate Lookup'!$A$1:$A$37=G38)*'Rate Lookup'!$B$1:$B$37),SUMPRODUCT(('Rate Lookup'!$A$1:$A$37=G38)*'Rate Lookup'!$C$1:$C$37)))))))</f>
      </c>
      <c r="I38" s="8"/>
      <c r="J38" s="8"/>
      <c r="K38" s="7">
        <f>IF($C38="","",IF(OR(P38="B",P38="D",P38="E",P38="N",P38="O",P38="P",P38="Q",P38="S",P38="Y",P38="Z"),0,ROUND(J38*H38/100,0)))</f>
      </c>
      <c r="L38" s="7">
        <f>IF($C38="","",0)</f>
      </c>
      <c r="M38" s="7">
        <f>IF($C38="","",0)</f>
      </c>
      <c r="N38" s="7">
        <f>IF($C38="","",IF(OR(K38=0,I38="",IFERROR(INDEX('Challan Master'!$D$4:$D$207,MATCH($B38,'Challan Master'!$S$4:$S$207,0)),"")="",IFERROR(INDEX('Challan Master'!$D$4:$D$207,MATCH($B38,'Challan Master'!$S$4:$S$207,0)),"")&lt;=0),0,IF(IFERROR(INDEX('Challan Master'!$D$4:$D$207,MATCH($B38,'Challan Master'!$S$4:$S$207,0)),"")&lt;=DATE(YEAR(I38),MONTH(I38)+1,7),0,ROUND(K38*0.015*((YEAR(IFERROR(INDEX('Challan Master'!$D$4:$D$207,MATCH($B38,'Challan Master'!$S$4:$S$207,0)),""))-YEAR(I38))*12+(MONTH(IFERROR(INDEX('Challan Master'!$D$4:$D$207,MATCH($B38,'Challan Master'!$S$4:$S$207,0)),""))-MONTH(I38))+1),0))))</f>
      </c>
      <c r="O38" s="7">
        <f>IF($C38="","",0)</f>
      </c>
      <c r="P38" s="8"/>
      <c r="Q38" s="8"/>
      <c r="R38" s="8"/>
      <c r="S38" s="8"/>
      <c r="T38" s="8"/>
      <c r="U38" s="7">
        <f>IF($B38="","",IFERROR(INDEX('Challan Master'!$AA$4:$AA$207,MATCH($B38,'Challan Master'!$S$4:$S$207,0)),""))</f>
      </c>
    </row>
    <row r="39" spans="1:22" x14ac:dyDescent="0.25">
      <c r="A39" s="7">
        <f>IF($C39="","",COUNTIF($C$4:$C39,"&lt;&gt;"))</f>
      </c>
      <c r="B39" s="8"/>
      <c r="C39" s="8"/>
      <c r="D39" s="8"/>
      <c r="E39" s="7">
        <f>IF($C39="","",IF(AND(LEN(TRIM(UPPER(D39)))=10,CODE(MID(TRIM(UPPER(D39)),1,1))&gt;=65,CODE(MID(TRIM(UPPER(D39)),1,1))&lt;=90,CODE(MID(TRIM(UPPER(D39)),2,1))&gt;=65,CODE(MID(TRIM(UPPER(D39)),2,1))&lt;=90,CODE(MID(TRIM(UPPER(D39)),3,1))&gt;=65,CODE(MID(TRIM(UPPER(D39)),3,1))&lt;=90,CODE(MID(TRIM(UPPER(D39)),4,1))&gt;=65,CODE(MID(TRIM(UPPER(D39)),4,1))&lt;=90,CODE(MID(TRIM(UPPER(D39)),5,1))&gt;=65,CODE(MID(TRIM(UPPER(D39)),5,1))&lt;=90,CODE(MID(TRIM(UPPER(D39)),10,1))&gt;=65,CODE(MID(TRIM(UPPER(D39)),10,1))&lt;=90,CODE(MID(TRIM(UPPER(D39)),6,1))&gt;=48,CODE(MID(TRIM(UPPER(D39)),6,1))&lt;=57,CODE(MID(TRIM(UPPER(D39)),7,1))&gt;=48,CODE(MID(TRIM(UPPER(D39)),7,1))&lt;=57,CODE(MID(TRIM(UPPER(D39)),8,1))&gt;=48,CODE(MID(TRIM(UPPER(D39)),8,1))&lt;=57,CODE(MID(TRIM(UPPER(D39)),9,1))&gt;=48,CODE(MID(TRIM(UPPER(D39)),9,1))&lt;=57),"N","Y"))</f>
      </c>
      <c r="F39" s="7">
        <f>IF($C39="","",IF(LEN(D39)&lt;4,"",IF(UPPER(MID(D39,4,1))="P","Individual",IF(UPPER(MID(D39,4,1))="H","HUF",IF(UPPER(MID(D39,4,1))="C","Company",IF(UPPER(MID(D39,4,1))="F","Firm",IF(UPPER(MID(D39,4,1))="L","LLP",IF(UPPER(MID(D39,4,1))="T","Trust",IF(UPPER(MID(D39,4,1))="A","AOP","")))))))))</f>
      </c>
      <c r="G39" s="8"/>
      <c r="H39" s="7">
        <f>IF($C39="","",IF(R39&lt;&gt;"",R39,IF(G39="","",IF(E39="Y",SUMPRODUCT(('Rate Lookup'!$A$1:$A$37=G39)*'Rate Lookup'!$D$1:$D$37),IF(OR(F39="Individual",F39="HUF"),SUMPRODUCT(('Rate Lookup'!$A$1:$A$37=G39)*'Rate Lookup'!$B$1:$B$37),SUMPRODUCT(('Rate Lookup'!$A$1:$A$37=G39)*'Rate Lookup'!$C$1:$C$37)))))))</f>
      </c>
      <c r="I39" s="8"/>
      <c r="J39" s="8"/>
      <c r="K39" s="7">
        <f>IF($C39="","",IF(OR(P39="B",P39="D",P39="E",P39="N",P39="O",P39="P",P39="Q",P39="S",P39="Y",P39="Z"),0,ROUND(J39*H39/100,0)))</f>
      </c>
      <c r="L39" s="7">
        <f>IF($C39="","",0)</f>
      </c>
      <c r="M39" s="7">
        <f>IF($C39="","",0)</f>
      </c>
      <c r="N39" s="7">
        <f>IF($C39="","",IF(OR(K39=0,I39="",IFERROR(INDEX('Challan Master'!$D$4:$D$207,MATCH($B39,'Challan Master'!$S$4:$S$207,0)),"")="",IFERROR(INDEX('Challan Master'!$D$4:$D$207,MATCH($B39,'Challan Master'!$S$4:$S$207,0)),"")&lt;=0),0,IF(IFERROR(INDEX('Challan Master'!$D$4:$D$207,MATCH($B39,'Challan Master'!$S$4:$S$207,0)),"")&lt;=DATE(YEAR(I39),MONTH(I39)+1,7),0,ROUND(K39*0.015*((YEAR(IFERROR(INDEX('Challan Master'!$D$4:$D$207,MATCH($B39,'Challan Master'!$S$4:$S$207,0)),""))-YEAR(I39))*12+(MONTH(IFERROR(INDEX('Challan Master'!$D$4:$D$207,MATCH($B39,'Challan Master'!$S$4:$S$207,0)),""))-MONTH(I39))+1),0))))</f>
      </c>
      <c r="O39" s="7">
        <f>IF($C39="","",0)</f>
      </c>
      <c r="P39" s="8"/>
      <c r="Q39" s="8"/>
      <c r="R39" s="8"/>
      <c r="S39" s="8"/>
      <c r="T39" s="8"/>
      <c r="U39" s="7">
        <f>IF($B39="","",IFERROR(INDEX('Challan Master'!$AA$4:$AA$207,MATCH($B39,'Challan Master'!$S$4:$S$207,0)),""))</f>
      </c>
    </row>
    <row r="40" spans="1:22" x14ac:dyDescent="0.25">
      <c r="A40" s="7">
        <f>IF($C40="","",COUNTIF($C$4:$C40,"&lt;&gt;"))</f>
      </c>
      <c r="B40" s="8"/>
      <c r="C40" s="8"/>
      <c r="D40" s="8"/>
      <c r="E40" s="7">
        <f>IF($C40="","",IF(AND(LEN(TRIM(UPPER(D40)))=10,CODE(MID(TRIM(UPPER(D40)),1,1))&gt;=65,CODE(MID(TRIM(UPPER(D40)),1,1))&lt;=90,CODE(MID(TRIM(UPPER(D40)),2,1))&gt;=65,CODE(MID(TRIM(UPPER(D40)),2,1))&lt;=90,CODE(MID(TRIM(UPPER(D40)),3,1))&gt;=65,CODE(MID(TRIM(UPPER(D40)),3,1))&lt;=90,CODE(MID(TRIM(UPPER(D40)),4,1))&gt;=65,CODE(MID(TRIM(UPPER(D40)),4,1))&lt;=90,CODE(MID(TRIM(UPPER(D40)),5,1))&gt;=65,CODE(MID(TRIM(UPPER(D40)),5,1))&lt;=90,CODE(MID(TRIM(UPPER(D40)),10,1))&gt;=65,CODE(MID(TRIM(UPPER(D40)),10,1))&lt;=90,CODE(MID(TRIM(UPPER(D40)),6,1))&gt;=48,CODE(MID(TRIM(UPPER(D40)),6,1))&lt;=57,CODE(MID(TRIM(UPPER(D40)),7,1))&gt;=48,CODE(MID(TRIM(UPPER(D40)),7,1))&lt;=57,CODE(MID(TRIM(UPPER(D40)),8,1))&gt;=48,CODE(MID(TRIM(UPPER(D40)),8,1))&lt;=57,CODE(MID(TRIM(UPPER(D40)),9,1))&gt;=48,CODE(MID(TRIM(UPPER(D40)),9,1))&lt;=57),"N","Y"))</f>
      </c>
      <c r="F40" s="7">
        <f>IF($C40="","",IF(LEN(D40)&lt;4,"",IF(UPPER(MID(D40,4,1))="P","Individual",IF(UPPER(MID(D40,4,1))="H","HUF",IF(UPPER(MID(D40,4,1))="C","Company",IF(UPPER(MID(D40,4,1))="F","Firm",IF(UPPER(MID(D40,4,1))="L","LLP",IF(UPPER(MID(D40,4,1))="T","Trust",IF(UPPER(MID(D40,4,1))="A","AOP","")))))))))</f>
      </c>
      <c r="G40" s="8"/>
      <c r="H40" s="7">
        <f>IF($C40="","",IF(R40&lt;&gt;"",R40,IF(G40="","",IF(E40="Y",SUMPRODUCT(('Rate Lookup'!$A$1:$A$37=G40)*'Rate Lookup'!$D$1:$D$37),IF(OR(F40="Individual",F40="HUF"),SUMPRODUCT(('Rate Lookup'!$A$1:$A$37=G40)*'Rate Lookup'!$B$1:$B$37),SUMPRODUCT(('Rate Lookup'!$A$1:$A$37=G40)*'Rate Lookup'!$C$1:$C$37)))))))</f>
      </c>
      <c r="I40" s="8"/>
      <c r="J40" s="8"/>
      <c r="K40" s="7">
        <f>IF($C40="","",IF(OR(P40="B",P40="D",P40="E",P40="N",P40="O",P40="P",P40="Q",P40="S",P40="Y",P40="Z"),0,ROUND(J40*H40/100,0)))</f>
      </c>
      <c r="L40" s="7">
        <f>IF($C40="","",0)</f>
      </c>
      <c r="M40" s="7">
        <f>IF($C40="","",0)</f>
      </c>
      <c r="N40" s="7">
        <f>IF($C40="","",IF(OR(K40=0,I40="",IFERROR(INDEX('Challan Master'!$D$4:$D$207,MATCH($B40,'Challan Master'!$S$4:$S$207,0)),"")="",IFERROR(INDEX('Challan Master'!$D$4:$D$207,MATCH($B40,'Challan Master'!$S$4:$S$207,0)),"")&lt;=0),0,IF(IFERROR(INDEX('Challan Master'!$D$4:$D$207,MATCH($B40,'Challan Master'!$S$4:$S$207,0)),"")&lt;=DATE(YEAR(I40),MONTH(I40)+1,7),0,ROUND(K40*0.015*((YEAR(IFERROR(INDEX('Challan Master'!$D$4:$D$207,MATCH($B40,'Challan Master'!$S$4:$S$207,0)),""))-YEAR(I40))*12+(MONTH(IFERROR(INDEX('Challan Master'!$D$4:$D$207,MATCH($B40,'Challan Master'!$S$4:$S$207,0)),""))-MONTH(I40))+1),0))))</f>
      </c>
      <c r="O40" s="7">
        <f>IF($C40="","",0)</f>
      </c>
      <c r="P40" s="8"/>
      <c r="Q40" s="8"/>
      <c r="R40" s="8"/>
      <c r="S40" s="8"/>
      <c r="T40" s="8"/>
      <c r="U40" s="7">
        <f>IF($B40="","",IFERROR(INDEX('Challan Master'!$AA$4:$AA$207,MATCH($B40,'Challan Master'!$S$4:$S$207,0)),""))</f>
      </c>
    </row>
    <row r="41" spans="1:22" x14ac:dyDescent="0.25">
      <c r="A41" s="7">
        <f>IF($C41="","",COUNTIF($C$4:$C41,"&lt;&gt;"))</f>
      </c>
      <c r="B41" s="8"/>
      <c r="C41" s="8"/>
      <c r="D41" s="8"/>
      <c r="E41" s="7">
        <f>IF($C41="","",IF(AND(LEN(TRIM(UPPER(D41)))=10,CODE(MID(TRIM(UPPER(D41)),1,1))&gt;=65,CODE(MID(TRIM(UPPER(D41)),1,1))&lt;=90,CODE(MID(TRIM(UPPER(D41)),2,1))&gt;=65,CODE(MID(TRIM(UPPER(D41)),2,1))&lt;=90,CODE(MID(TRIM(UPPER(D41)),3,1))&gt;=65,CODE(MID(TRIM(UPPER(D41)),3,1))&lt;=90,CODE(MID(TRIM(UPPER(D41)),4,1))&gt;=65,CODE(MID(TRIM(UPPER(D41)),4,1))&lt;=90,CODE(MID(TRIM(UPPER(D41)),5,1))&gt;=65,CODE(MID(TRIM(UPPER(D41)),5,1))&lt;=90,CODE(MID(TRIM(UPPER(D41)),10,1))&gt;=65,CODE(MID(TRIM(UPPER(D41)),10,1))&lt;=90,CODE(MID(TRIM(UPPER(D41)),6,1))&gt;=48,CODE(MID(TRIM(UPPER(D41)),6,1))&lt;=57,CODE(MID(TRIM(UPPER(D41)),7,1))&gt;=48,CODE(MID(TRIM(UPPER(D41)),7,1))&lt;=57,CODE(MID(TRIM(UPPER(D41)),8,1))&gt;=48,CODE(MID(TRIM(UPPER(D41)),8,1))&lt;=57,CODE(MID(TRIM(UPPER(D41)),9,1))&gt;=48,CODE(MID(TRIM(UPPER(D41)),9,1))&lt;=57),"N","Y"))</f>
      </c>
      <c r="F41" s="7">
        <f>IF($C41="","",IF(LEN(D41)&lt;4,"",IF(UPPER(MID(D41,4,1))="P","Individual",IF(UPPER(MID(D41,4,1))="H","HUF",IF(UPPER(MID(D41,4,1))="C","Company",IF(UPPER(MID(D41,4,1))="F","Firm",IF(UPPER(MID(D41,4,1))="L","LLP",IF(UPPER(MID(D41,4,1))="T","Trust",IF(UPPER(MID(D41,4,1))="A","AOP","")))))))))</f>
      </c>
      <c r="G41" s="8"/>
      <c r="H41" s="7">
        <f>IF($C41="","",IF(R41&lt;&gt;"",R41,IF(G41="","",IF(E41="Y",SUMPRODUCT(('Rate Lookup'!$A$1:$A$37=G41)*'Rate Lookup'!$D$1:$D$37),IF(OR(F41="Individual",F41="HUF"),SUMPRODUCT(('Rate Lookup'!$A$1:$A$37=G41)*'Rate Lookup'!$B$1:$B$37),SUMPRODUCT(('Rate Lookup'!$A$1:$A$37=G41)*'Rate Lookup'!$C$1:$C$37)))))))</f>
      </c>
      <c r="I41" s="8"/>
      <c r="J41" s="8"/>
      <c r="K41" s="7">
        <f>IF($C41="","",IF(OR(P41="B",P41="D",P41="E",P41="N",P41="O",P41="P",P41="Q",P41="S",P41="Y",P41="Z"),0,ROUND(J41*H41/100,0)))</f>
      </c>
      <c r="L41" s="7">
        <f>IF($C41="","",0)</f>
      </c>
      <c r="M41" s="7">
        <f>IF($C41="","",0)</f>
      </c>
      <c r="N41" s="7">
        <f>IF($C41="","",IF(OR(K41=0,I41="",IFERROR(INDEX('Challan Master'!$D$4:$D$207,MATCH($B41,'Challan Master'!$S$4:$S$207,0)),"")="",IFERROR(INDEX('Challan Master'!$D$4:$D$207,MATCH($B41,'Challan Master'!$S$4:$S$207,0)),"")&lt;=0),0,IF(IFERROR(INDEX('Challan Master'!$D$4:$D$207,MATCH($B41,'Challan Master'!$S$4:$S$207,0)),"")&lt;=DATE(YEAR(I41),MONTH(I41)+1,7),0,ROUND(K41*0.015*((YEAR(IFERROR(INDEX('Challan Master'!$D$4:$D$207,MATCH($B41,'Challan Master'!$S$4:$S$207,0)),""))-YEAR(I41))*12+(MONTH(IFERROR(INDEX('Challan Master'!$D$4:$D$207,MATCH($B41,'Challan Master'!$S$4:$S$207,0)),""))-MONTH(I41))+1),0))))</f>
      </c>
      <c r="O41" s="7">
        <f>IF($C41="","",0)</f>
      </c>
      <c r="P41" s="8"/>
      <c r="Q41" s="8"/>
      <c r="R41" s="8"/>
      <c r="S41" s="8"/>
      <c r="T41" s="8"/>
      <c r="U41" s="7">
        <f>IF($B41="","",IFERROR(INDEX('Challan Master'!$AA$4:$AA$207,MATCH($B41,'Challan Master'!$S$4:$S$207,0)),""))</f>
      </c>
    </row>
    <row r="42" spans="1:22" x14ac:dyDescent="0.25">
      <c r="A42" s="7">
        <f>IF($C42="","",COUNTIF($C$4:$C42,"&lt;&gt;"))</f>
      </c>
      <c r="B42" s="8"/>
      <c r="C42" s="8"/>
      <c r="D42" s="8"/>
      <c r="E42" s="7">
        <f>IF($C42="","",IF(AND(LEN(TRIM(UPPER(D42)))=10,CODE(MID(TRIM(UPPER(D42)),1,1))&gt;=65,CODE(MID(TRIM(UPPER(D42)),1,1))&lt;=90,CODE(MID(TRIM(UPPER(D42)),2,1))&gt;=65,CODE(MID(TRIM(UPPER(D42)),2,1))&lt;=90,CODE(MID(TRIM(UPPER(D42)),3,1))&gt;=65,CODE(MID(TRIM(UPPER(D42)),3,1))&lt;=90,CODE(MID(TRIM(UPPER(D42)),4,1))&gt;=65,CODE(MID(TRIM(UPPER(D42)),4,1))&lt;=90,CODE(MID(TRIM(UPPER(D42)),5,1))&gt;=65,CODE(MID(TRIM(UPPER(D42)),5,1))&lt;=90,CODE(MID(TRIM(UPPER(D42)),10,1))&gt;=65,CODE(MID(TRIM(UPPER(D42)),10,1))&lt;=90,CODE(MID(TRIM(UPPER(D42)),6,1))&gt;=48,CODE(MID(TRIM(UPPER(D42)),6,1))&lt;=57,CODE(MID(TRIM(UPPER(D42)),7,1))&gt;=48,CODE(MID(TRIM(UPPER(D42)),7,1))&lt;=57,CODE(MID(TRIM(UPPER(D42)),8,1))&gt;=48,CODE(MID(TRIM(UPPER(D42)),8,1))&lt;=57,CODE(MID(TRIM(UPPER(D42)),9,1))&gt;=48,CODE(MID(TRIM(UPPER(D42)),9,1))&lt;=57),"N","Y"))</f>
      </c>
      <c r="F42" s="7">
        <f>IF($C42="","",IF(LEN(D42)&lt;4,"",IF(UPPER(MID(D42,4,1))="P","Individual",IF(UPPER(MID(D42,4,1))="H","HUF",IF(UPPER(MID(D42,4,1))="C","Company",IF(UPPER(MID(D42,4,1))="F","Firm",IF(UPPER(MID(D42,4,1))="L","LLP",IF(UPPER(MID(D42,4,1))="T","Trust",IF(UPPER(MID(D42,4,1))="A","AOP","")))))))))</f>
      </c>
      <c r="G42" s="8"/>
      <c r="H42" s="7">
        <f>IF($C42="","",IF(R42&lt;&gt;"",R42,IF(G42="","",IF(E42="Y",SUMPRODUCT(('Rate Lookup'!$A$1:$A$37=G42)*'Rate Lookup'!$D$1:$D$37),IF(OR(F42="Individual",F42="HUF"),SUMPRODUCT(('Rate Lookup'!$A$1:$A$37=G42)*'Rate Lookup'!$B$1:$B$37),SUMPRODUCT(('Rate Lookup'!$A$1:$A$37=G42)*'Rate Lookup'!$C$1:$C$37)))))))</f>
      </c>
      <c r="I42" s="8"/>
      <c r="J42" s="8"/>
      <c r="K42" s="7">
        <f>IF($C42="","",IF(OR(P42="B",P42="D",P42="E",P42="N",P42="O",P42="P",P42="Q",P42="S",P42="Y",P42="Z"),0,ROUND(J42*H42/100,0)))</f>
      </c>
      <c r="L42" s="7">
        <f>IF($C42="","",0)</f>
      </c>
      <c r="M42" s="7">
        <f>IF($C42="","",0)</f>
      </c>
      <c r="N42" s="7">
        <f>IF($C42="","",IF(OR(K42=0,I42="",IFERROR(INDEX('Challan Master'!$D$4:$D$207,MATCH($B42,'Challan Master'!$S$4:$S$207,0)),"")="",IFERROR(INDEX('Challan Master'!$D$4:$D$207,MATCH($B42,'Challan Master'!$S$4:$S$207,0)),"")&lt;=0),0,IF(IFERROR(INDEX('Challan Master'!$D$4:$D$207,MATCH($B42,'Challan Master'!$S$4:$S$207,0)),"")&lt;=DATE(YEAR(I42),MONTH(I42)+1,7),0,ROUND(K42*0.015*((YEAR(IFERROR(INDEX('Challan Master'!$D$4:$D$207,MATCH($B42,'Challan Master'!$S$4:$S$207,0)),""))-YEAR(I42))*12+(MONTH(IFERROR(INDEX('Challan Master'!$D$4:$D$207,MATCH($B42,'Challan Master'!$S$4:$S$207,0)),""))-MONTH(I42))+1),0))))</f>
      </c>
      <c r="O42" s="7">
        <f>IF($C42="","",0)</f>
      </c>
      <c r="P42" s="8"/>
      <c r="Q42" s="8"/>
      <c r="R42" s="8"/>
      <c r="S42" s="8"/>
      <c r="T42" s="8"/>
      <c r="U42" s="7">
        <f>IF($B42="","",IFERROR(INDEX('Challan Master'!$AA$4:$AA$207,MATCH($B42,'Challan Master'!$S$4:$S$207,0)),""))</f>
      </c>
    </row>
    <row r="43" spans="1:22" x14ac:dyDescent="0.25">
      <c r="A43" s="7">
        <f>IF($C43="","",COUNTIF($C$4:$C43,"&lt;&gt;"))</f>
      </c>
      <c r="B43" s="8"/>
      <c r="C43" s="8"/>
      <c r="D43" s="8"/>
      <c r="E43" s="7">
        <f>IF($C43="","",IF(AND(LEN(TRIM(UPPER(D43)))=10,CODE(MID(TRIM(UPPER(D43)),1,1))&gt;=65,CODE(MID(TRIM(UPPER(D43)),1,1))&lt;=90,CODE(MID(TRIM(UPPER(D43)),2,1))&gt;=65,CODE(MID(TRIM(UPPER(D43)),2,1))&lt;=90,CODE(MID(TRIM(UPPER(D43)),3,1))&gt;=65,CODE(MID(TRIM(UPPER(D43)),3,1))&lt;=90,CODE(MID(TRIM(UPPER(D43)),4,1))&gt;=65,CODE(MID(TRIM(UPPER(D43)),4,1))&lt;=90,CODE(MID(TRIM(UPPER(D43)),5,1))&gt;=65,CODE(MID(TRIM(UPPER(D43)),5,1))&lt;=90,CODE(MID(TRIM(UPPER(D43)),10,1))&gt;=65,CODE(MID(TRIM(UPPER(D43)),10,1))&lt;=90,CODE(MID(TRIM(UPPER(D43)),6,1))&gt;=48,CODE(MID(TRIM(UPPER(D43)),6,1))&lt;=57,CODE(MID(TRIM(UPPER(D43)),7,1))&gt;=48,CODE(MID(TRIM(UPPER(D43)),7,1))&lt;=57,CODE(MID(TRIM(UPPER(D43)),8,1))&gt;=48,CODE(MID(TRIM(UPPER(D43)),8,1))&lt;=57,CODE(MID(TRIM(UPPER(D43)),9,1))&gt;=48,CODE(MID(TRIM(UPPER(D43)),9,1))&lt;=57),"N","Y"))</f>
      </c>
      <c r="F43" s="7">
        <f>IF($C43="","",IF(LEN(D43)&lt;4,"",IF(UPPER(MID(D43,4,1))="P","Individual",IF(UPPER(MID(D43,4,1))="H","HUF",IF(UPPER(MID(D43,4,1))="C","Company",IF(UPPER(MID(D43,4,1))="F","Firm",IF(UPPER(MID(D43,4,1))="L","LLP",IF(UPPER(MID(D43,4,1))="T","Trust",IF(UPPER(MID(D43,4,1))="A","AOP","")))))))))</f>
      </c>
      <c r="G43" s="8"/>
      <c r="H43" s="7">
        <f>IF($C43="","",IF(R43&lt;&gt;"",R43,IF(G43="","",IF(E43="Y",SUMPRODUCT(('Rate Lookup'!$A$1:$A$37=G43)*'Rate Lookup'!$D$1:$D$37),IF(OR(F43="Individual",F43="HUF"),SUMPRODUCT(('Rate Lookup'!$A$1:$A$37=G43)*'Rate Lookup'!$B$1:$B$37),SUMPRODUCT(('Rate Lookup'!$A$1:$A$37=G43)*'Rate Lookup'!$C$1:$C$37)))))))</f>
      </c>
      <c r="I43" s="8"/>
      <c r="J43" s="8"/>
      <c r="K43" s="7">
        <f>IF($C43="","",IF(OR(P43="B",P43="D",P43="E",P43="N",P43="O",P43="P",P43="Q",P43="S",P43="Y",P43="Z"),0,ROUND(J43*H43/100,0)))</f>
      </c>
      <c r="L43" s="7">
        <f>IF($C43="","",0)</f>
      </c>
      <c r="M43" s="7">
        <f>IF($C43="","",0)</f>
      </c>
      <c r="N43" s="7">
        <f>IF($C43="","",IF(OR(K43=0,I43="",IFERROR(INDEX('Challan Master'!$D$4:$D$207,MATCH($B43,'Challan Master'!$S$4:$S$207,0)),"")="",IFERROR(INDEX('Challan Master'!$D$4:$D$207,MATCH($B43,'Challan Master'!$S$4:$S$207,0)),"")&lt;=0),0,IF(IFERROR(INDEX('Challan Master'!$D$4:$D$207,MATCH($B43,'Challan Master'!$S$4:$S$207,0)),"")&lt;=DATE(YEAR(I43),MONTH(I43)+1,7),0,ROUND(K43*0.015*((YEAR(IFERROR(INDEX('Challan Master'!$D$4:$D$207,MATCH($B43,'Challan Master'!$S$4:$S$207,0)),""))-YEAR(I43))*12+(MONTH(IFERROR(INDEX('Challan Master'!$D$4:$D$207,MATCH($B43,'Challan Master'!$S$4:$S$207,0)),""))-MONTH(I43))+1),0))))</f>
      </c>
      <c r="O43" s="7">
        <f>IF($C43="","",0)</f>
      </c>
      <c r="P43" s="8"/>
      <c r="Q43" s="8"/>
      <c r="R43" s="8"/>
      <c r="S43" s="8"/>
      <c r="T43" s="8"/>
      <c r="U43" s="7">
        <f>IF($B43="","",IFERROR(INDEX('Challan Master'!$AA$4:$AA$207,MATCH($B43,'Challan Master'!$S$4:$S$207,0)),""))</f>
      </c>
    </row>
    <row r="44" spans="1:22" x14ac:dyDescent="0.25">
      <c r="A44" s="7">
        <f>IF($C44="","",COUNTIF($C$4:$C44,"&lt;&gt;"))</f>
      </c>
      <c r="B44" s="8"/>
      <c r="C44" s="8"/>
      <c r="D44" s="8"/>
      <c r="E44" s="7">
        <f>IF($C44="","",IF(AND(LEN(TRIM(UPPER(D44)))=10,CODE(MID(TRIM(UPPER(D44)),1,1))&gt;=65,CODE(MID(TRIM(UPPER(D44)),1,1))&lt;=90,CODE(MID(TRIM(UPPER(D44)),2,1))&gt;=65,CODE(MID(TRIM(UPPER(D44)),2,1))&lt;=90,CODE(MID(TRIM(UPPER(D44)),3,1))&gt;=65,CODE(MID(TRIM(UPPER(D44)),3,1))&lt;=90,CODE(MID(TRIM(UPPER(D44)),4,1))&gt;=65,CODE(MID(TRIM(UPPER(D44)),4,1))&lt;=90,CODE(MID(TRIM(UPPER(D44)),5,1))&gt;=65,CODE(MID(TRIM(UPPER(D44)),5,1))&lt;=90,CODE(MID(TRIM(UPPER(D44)),10,1))&gt;=65,CODE(MID(TRIM(UPPER(D44)),10,1))&lt;=90,CODE(MID(TRIM(UPPER(D44)),6,1))&gt;=48,CODE(MID(TRIM(UPPER(D44)),6,1))&lt;=57,CODE(MID(TRIM(UPPER(D44)),7,1))&gt;=48,CODE(MID(TRIM(UPPER(D44)),7,1))&lt;=57,CODE(MID(TRIM(UPPER(D44)),8,1))&gt;=48,CODE(MID(TRIM(UPPER(D44)),8,1))&lt;=57,CODE(MID(TRIM(UPPER(D44)),9,1))&gt;=48,CODE(MID(TRIM(UPPER(D44)),9,1))&lt;=57),"N","Y"))</f>
      </c>
      <c r="F44" s="7">
        <f>IF($C44="","",IF(LEN(D44)&lt;4,"",IF(UPPER(MID(D44,4,1))="P","Individual",IF(UPPER(MID(D44,4,1))="H","HUF",IF(UPPER(MID(D44,4,1))="C","Company",IF(UPPER(MID(D44,4,1))="F","Firm",IF(UPPER(MID(D44,4,1))="L","LLP",IF(UPPER(MID(D44,4,1))="T","Trust",IF(UPPER(MID(D44,4,1))="A","AOP","")))))))))</f>
      </c>
      <c r="G44" s="8"/>
      <c r="H44" s="7">
        <f>IF($C44="","",IF(R44&lt;&gt;"",R44,IF(G44="","",IF(E44="Y",SUMPRODUCT(('Rate Lookup'!$A$1:$A$37=G44)*'Rate Lookup'!$D$1:$D$37),IF(OR(F44="Individual",F44="HUF"),SUMPRODUCT(('Rate Lookup'!$A$1:$A$37=G44)*'Rate Lookup'!$B$1:$B$37),SUMPRODUCT(('Rate Lookup'!$A$1:$A$37=G44)*'Rate Lookup'!$C$1:$C$37)))))))</f>
      </c>
      <c r="I44" s="8"/>
      <c r="J44" s="8"/>
      <c r="K44" s="7">
        <f>IF($C44="","",IF(OR(P44="B",P44="D",P44="E",P44="N",P44="O",P44="P",P44="Q",P44="S",P44="Y",P44="Z"),0,ROUND(J44*H44/100,0)))</f>
      </c>
      <c r="L44" s="7">
        <f>IF($C44="","",0)</f>
      </c>
      <c r="M44" s="7">
        <f>IF($C44="","",0)</f>
      </c>
      <c r="N44" s="7">
        <f>IF($C44="","",IF(OR(K44=0,I44="",IFERROR(INDEX('Challan Master'!$D$4:$D$207,MATCH($B44,'Challan Master'!$S$4:$S$207,0)),"")="",IFERROR(INDEX('Challan Master'!$D$4:$D$207,MATCH($B44,'Challan Master'!$S$4:$S$207,0)),"")&lt;=0),0,IF(IFERROR(INDEX('Challan Master'!$D$4:$D$207,MATCH($B44,'Challan Master'!$S$4:$S$207,0)),"")&lt;=DATE(YEAR(I44),MONTH(I44)+1,7),0,ROUND(K44*0.015*((YEAR(IFERROR(INDEX('Challan Master'!$D$4:$D$207,MATCH($B44,'Challan Master'!$S$4:$S$207,0)),""))-YEAR(I44))*12+(MONTH(IFERROR(INDEX('Challan Master'!$D$4:$D$207,MATCH($B44,'Challan Master'!$S$4:$S$207,0)),""))-MONTH(I44))+1),0))))</f>
      </c>
      <c r="O44" s="7">
        <f>IF($C44="","",0)</f>
      </c>
      <c r="P44" s="8"/>
      <c r="Q44" s="8"/>
      <c r="R44" s="8"/>
      <c r="S44" s="8"/>
      <c r="T44" s="8"/>
      <c r="U44" s="7">
        <f>IF($B44="","",IFERROR(INDEX('Challan Master'!$AA$4:$AA$207,MATCH($B44,'Challan Master'!$S$4:$S$207,0)),""))</f>
      </c>
    </row>
    <row r="45" spans="1:22" x14ac:dyDescent="0.25">
      <c r="A45" s="7">
        <f>IF($C45="","",COUNTIF($C$4:$C45,"&lt;&gt;"))</f>
      </c>
      <c r="B45" s="8"/>
      <c r="C45" s="8"/>
      <c r="D45" s="8"/>
      <c r="E45" s="7">
        <f>IF($C45="","",IF(AND(LEN(TRIM(UPPER(D45)))=10,CODE(MID(TRIM(UPPER(D45)),1,1))&gt;=65,CODE(MID(TRIM(UPPER(D45)),1,1))&lt;=90,CODE(MID(TRIM(UPPER(D45)),2,1))&gt;=65,CODE(MID(TRIM(UPPER(D45)),2,1))&lt;=90,CODE(MID(TRIM(UPPER(D45)),3,1))&gt;=65,CODE(MID(TRIM(UPPER(D45)),3,1))&lt;=90,CODE(MID(TRIM(UPPER(D45)),4,1))&gt;=65,CODE(MID(TRIM(UPPER(D45)),4,1))&lt;=90,CODE(MID(TRIM(UPPER(D45)),5,1))&gt;=65,CODE(MID(TRIM(UPPER(D45)),5,1))&lt;=90,CODE(MID(TRIM(UPPER(D45)),10,1))&gt;=65,CODE(MID(TRIM(UPPER(D45)),10,1))&lt;=90,CODE(MID(TRIM(UPPER(D45)),6,1))&gt;=48,CODE(MID(TRIM(UPPER(D45)),6,1))&lt;=57,CODE(MID(TRIM(UPPER(D45)),7,1))&gt;=48,CODE(MID(TRIM(UPPER(D45)),7,1))&lt;=57,CODE(MID(TRIM(UPPER(D45)),8,1))&gt;=48,CODE(MID(TRIM(UPPER(D45)),8,1))&lt;=57,CODE(MID(TRIM(UPPER(D45)),9,1))&gt;=48,CODE(MID(TRIM(UPPER(D45)),9,1))&lt;=57),"N","Y"))</f>
      </c>
      <c r="F45" s="7">
        <f>IF($C45="","",IF(LEN(D45)&lt;4,"",IF(UPPER(MID(D45,4,1))="P","Individual",IF(UPPER(MID(D45,4,1))="H","HUF",IF(UPPER(MID(D45,4,1))="C","Company",IF(UPPER(MID(D45,4,1))="F","Firm",IF(UPPER(MID(D45,4,1))="L","LLP",IF(UPPER(MID(D45,4,1))="T","Trust",IF(UPPER(MID(D45,4,1))="A","AOP","")))))))))</f>
      </c>
      <c r="G45" s="8"/>
      <c r="H45" s="7">
        <f>IF($C45="","",IF(R45&lt;&gt;"",R45,IF(G45="","",IF(E45="Y",SUMPRODUCT(('Rate Lookup'!$A$1:$A$37=G45)*'Rate Lookup'!$D$1:$D$37),IF(OR(F45="Individual",F45="HUF"),SUMPRODUCT(('Rate Lookup'!$A$1:$A$37=G45)*'Rate Lookup'!$B$1:$B$37),SUMPRODUCT(('Rate Lookup'!$A$1:$A$37=G45)*'Rate Lookup'!$C$1:$C$37)))))))</f>
      </c>
      <c r="I45" s="8"/>
      <c r="J45" s="8"/>
      <c r="K45" s="7">
        <f>IF($C45="","",IF(OR(P45="B",P45="D",P45="E",P45="N",P45="O",P45="P",P45="Q",P45="S",P45="Y",P45="Z"),0,ROUND(J45*H45/100,0)))</f>
      </c>
      <c r="L45" s="7">
        <f>IF($C45="","",0)</f>
      </c>
      <c r="M45" s="7">
        <f>IF($C45="","",0)</f>
      </c>
      <c r="N45" s="7">
        <f>IF($C45="","",IF(OR(K45=0,I45="",IFERROR(INDEX('Challan Master'!$D$4:$D$207,MATCH($B45,'Challan Master'!$S$4:$S$207,0)),"")="",IFERROR(INDEX('Challan Master'!$D$4:$D$207,MATCH($B45,'Challan Master'!$S$4:$S$207,0)),"")&lt;=0),0,IF(IFERROR(INDEX('Challan Master'!$D$4:$D$207,MATCH($B45,'Challan Master'!$S$4:$S$207,0)),"")&lt;=DATE(YEAR(I45),MONTH(I45)+1,7),0,ROUND(K45*0.015*((YEAR(IFERROR(INDEX('Challan Master'!$D$4:$D$207,MATCH($B45,'Challan Master'!$S$4:$S$207,0)),""))-YEAR(I45))*12+(MONTH(IFERROR(INDEX('Challan Master'!$D$4:$D$207,MATCH($B45,'Challan Master'!$S$4:$S$207,0)),""))-MONTH(I45))+1),0))))</f>
      </c>
      <c r="O45" s="7">
        <f>IF($C45="","",0)</f>
      </c>
      <c r="P45" s="8"/>
      <c r="Q45" s="8"/>
      <c r="R45" s="8"/>
      <c r="S45" s="8"/>
      <c r="T45" s="8"/>
      <c r="U45" s="7">
        <f>IF($B45="","",IFERROR(INDEX('Challan Master'!$AA$4:$AA$207,MATCH($B45,'Challan Master'!$S$4:$S$207,0)),""))</f>
      </c>
    </row>
    <row r="46" spans="1:22" x14ac:dyDescent="0.25">
      <c r="A46" s="7">
        <f>IF($C46="","",COUNTIF($C$4:$C46,"&lt;&gt;"))</f>
      </c>
      <c r="B46" s="8"/>
      <c r="C46" s="8"/>
      <c r="D46" s="8"/>
      <c r="E46" s="7">
        <f>IF($C46="","",IF(AND(LEN(TRIM(UPPER(D46)))=10,CODE(MID(TRIM(UPPER(D46)),1,1))&gt;=65,CODE(MID(TRIM(UPPER(D46)),1,1))&lt;=90,CODE(MID(TRIM(UPPER(D46)),2,1))&gt;=65,CODE(MID(TRIM(UPPER(D46)),2,1))&lt;=90,CODE(MID(TRIM(UPPER(D46)),3,1))&gt;=65,CODE(MID(TRIM(UPPER(D46)),3,1))&lt;=90,CODE(MID(TRIM(UPPER(D46)),4,1))&gt;=65,CODE(MID(TRIM(UPPER(D46)),4,1))&lt;=90,CODE(MID(TRIM(UPPER(D46)),5,1))&gt;=65,CODE(MID(TRIM(UPPER(D46)),5,1))&lt;=90,CODE(MID(TRIM(UPPER(D46)),10,1))&gt;=65,CODE(MID(TRIM(UPPER(D46)),10,1))&lt;=90,CODE(MID(TRIM(UPPER(D46)),6,1))&gt;=48,CODE(MID(TRIM(UPPER(D46)),6,1))&lt;=57,CODE(MID(TRIM(UPPER(D46)),7,1))&gt;=48,CODE(MID(TRIM(UPPER(D46)),7,1))&lt;=57,CODE(MID(TRIM(UPPER(D46)),8,1))&gt;=48,CODE(MID(TRIM(UPPER(D46)),8,1))&lt;=57,CODE(MID(TRIM(UPPER(D46)),9,1))&gt;=48,CODE(MID(TRIM(UPPER(D46)),9,1))&lt;=57),"N","Y"))</f>
      </c>
      <c r="F46" s="7">
        <f>IF($C46="","",IF(LEN(D46)&lt;4,"",IF(UPPER(MID(D46,4,1))="P","Individual",IF(UPPER(MID(D46,4,1))="H","HUF",IF(UPPER(MID(D46,4,1))="C","Company",IF(UPPER(MID(D46,4,1))="F","Firm",IF(UPPER(MID(D46,4,1))="L","LLP",IF(UPPER(MID(D46,4,1))="T","Trust",IF(UPPER(MID(D46,4,1))="A","AOP","")))))))))</f>
      </c>
      <c r="G46" s="8"/>
      <c r="H46" s="7">
        <f>IF($C46="","",IF(R46&lt;&gt;"",R46,IF(G46="","",IF(E46="Y",SUMPRODUCT(('Rate Lookup'!$A$1:$A$37=G46)*'Rate Lookup'!$D$1:$D$37),IF(OR(F46="Individual",F46="HUF"),SUMPRODUCT(('Rate Lookup'!$A$1:$A$37=G46)*'Rate Lookup'!$B$1:$B$37),SUMPRODUCT(('Rate Lookup'!$A$1:$A$37=G46)*'Rate Lookup'!$C$1:$C$37)))))))</f>
      </c>
      <c r="I46" s="8"/>
      <c r="J46" s="8"/>
      <c r="K46" s="7">
        <f>IF($C46="","",IF(OR(P46="B",P46="D",P46="E",P46="N",P46="O",P46="P",P46="Q",P46="S",P46="Y",P46="Z"),0,ROUND(J46*H46/100,0)))</f>
      </c>
      <c r="L46" s="7">
        <f>IF($C46="","",0)</f>
      </c>
      <c r="M46" s="7">
        <f>IF($C46="","",0)</f>
      </c>
      <c r="N46" s="7">
        <f>IF($C46="","",IF(OR(K46=0,I46="",IFERROR(INDEX('Challan Master'!$D$4:$D$207,MATCH($B46,'Challan Master'!$S$4:$S$207,0)),"")="",IFERROR(INDEX('Challan Master'!$D$4:$D$207,MATCH($B46,'Challan Master'!$S$4:$S$207,0)),"")&lt;=0),0,IF(IFERROR(INDEX('Challan Master'!$D$4:$D$207,MATCH($B46,'Challan Master'!$S$4:$S$207,0)),"")&lt;=DATE(YEAR(I46),MONTH(I46)+1,7),0,ROUND(K46*0.015*((YEAR(IFERROR(INDEX('Challan Master'!$D$4:$D$207,MATCH($B46,'Challan Master'!$S$4:$S$207,0)),""))-YEAR(I46))*12+(MONTH(IFERROR(INDEX('Challan Master'!$D$4:$D$207,MATCH($B46,'Challan Master'!$S$4:$S$207,0)),""))-MONTH(I46))+1),0))))</f>
      </c>
      <c r="O46" s="7">
        <f>IF($C46="","",0)</f>
      </c>
      <c r="P46" s="8"/>
      <c r="Q46" s="8"/>
      <c r="R46" s="8"/>
      <c r="S46" s="8"/>
      <c r="T46" s="8"/>
      <c r="U46" s="7">
        <f>IF($B46="","",IFERROR(INDEX('Challan Master'!$AA$4:$AA$207,MATCH($B46,'Challan Master'!$S$4:$S$207,0)),""))</f>
      </c>
    </row>
    <row r="47" spans="1:22" x14ac:dyDescent="0.25">
      <c r="A47" s="7">
        <f>IF($C47="","",COUNTIF($C$4:$C47,"&lt;&gt;"))</f>
      </c>
      <c r="B47" s="8"/>
      <c r="C47" s="8"/>
      <c r="D47" s="8"/>
      <c r="E47" s="7">
        <f>IF($C47="","",IF(AND(LEN(TRIM(UPPER(D47)))=10,CODE(MID(TRIM(UPPER(D47)),1,1))&gt;=65,CODE(MID(TRIM(UPPER(D47)),1,1))&lt;=90,CODE(MID(TRIM(UPPER(D47)),2,1))&gt;=65,CODE(MID(TRIM(UPPER(D47)),2,1))&lt;=90,CODE(MID(TRIM(UPPER(D47)),3,1))&gt;=65,CODE(MID(TRIM(UPPER(D47)),3,1))&lt;=90,CODE(MID(TRIM(UPPER(D47)),4,1))&gt;=65,CODE(MID(TRIM(UPPER(D47)),4,1))&lt;=90,CODE(MID(TRIM(UPPER(D47)),5,1))&gt;=65,CODE(MID(TRIM(UPPER(D47)),5,1))&lt;=90,CODE(MID(TRIM(UPPER(D47)),10,1))&gt;=65,CODE(MID(TRIM(UPPER(D47)),10,1))&lt;=90,CODE(MID(TRIM(UPPER(D47)),6,1))&gt;=48,CODE(MID(TRIM(UPPER(D47)),6,1))&lt;=57,CODE(MID(TRIM(UPPER(D47)),7,1))&gt;=48,CODE(MID(TRIM(UPPER(D47)),7,1))&lt;=57,CODE(MID(TRIM(UPPER(D47)),8,1))&gt;=48,CODE(MID(TRIM(UPPER(D47)),8,1))&lt;=57,CODE(MID(TRIM(UPPER(D47)),9,1))&gt;=48,CODE(MID(TRIM(UPPER(D47)),9,1))&lt;=57),"N","Y"))</f>
      </c>
      <c r="F47" s="7">
        <f>IF($C47="","",IF(LEN(D47)&lt;4,"",IF(UPPER(MID(D47,4,1))="P","Individual",IF(UPPER(MID(D47,4,1))="H","HUF",IF(UPPER(MID(D47,4,1))="C","Company",IF(UPPER(MID(D47,4,1))="F","Firm",IF(UPPER(MID(D47,4,1))="L","LLP",IF(UPPER(MID(D47,4,1))="T","Trust",IF(UPPER(MID(D47,4,1))="A","AOP","")))))))))</f>
      </c>
      <c r="G47" s="8"/>
      <c r="H47" s="7">
        <f>IF($C47="","",IF(R47&lt;&gt;"",R47,IF(G47="","",IF(E47="Y",SUMPRODUCT(('Rate Lookup'!$A$1:$A$37=G47)*'Rate Lookup'!$D$1:$D$37),IF(OR(F47="Individual",F47="HUF"),SUMPRODUCT(('Rate Lookup'!$A$1:$A$37=G47)*'Rate Lookup'!$B$1:$B$37),SUMPRODUCT(('Rate Lookup'!$A$1:$A$37=G47)*'Rate Lookup'!$C$1:$C$37)))))))</f>
      </c>
      <c r="I47" s="8"/>
      <c r="J47" s="8"/>
      <c r="K47" s="7">
        <f>IF($C47="","",IF(OR(P47="B",P47="D",P47="E",P47="N",P47="O",P47="P",P47="Q",P47="S",P47="Y",P47="Z"),0,ROUND(J47*H47/100,0)))</f>
      </c>
      <c r="L47" s="7">
        <f>IF($C47="","",0)</f>
      </c>
      <c r="M47" s="7">
        <f>IF($C47="","",0)</f>
      </c>
      <c r="N47" s="7">
        <f>IF($C47="","",IF(OR(K47=0,I47="",IFERROR(INDEX('Challan Master'!$D$4:$D$207,MATCH($B47,'Challan Master'!$S$4:$S$207,0)),"")="",IFERROR(INDEX('Challan Master'!$D$4:$D$207,MATCH($B47,'Challan Master'!$S$4:$S$207,0)),"")&lt;=0),0,IF(IFERROR(INDEX('Challan Master'!$D$4:$D$207,MATCH($B47,'Challan Master'!$S$4:$S$207,0)),"")&lt;=DATE(YEAR(I47),MONTH(I47)+1,7),0,ROUND(K47*0.015*((YEAR(IFERROR(INDEX('Challan Master'!$D$4:$D$207,MATCH($B47,'Challan Master'!$S$4:$S$207,0)),""))-YEAR(I47))*12+(MONTH(IFERROR(INDEX('Challan Master'!$D$4:$D$207,MATCH($B47,'Challan Master'!$S$4:$S$207,0)),""))-MONTH(I47))+1),0))))</f>
      </c>
      <c r="O47" s="7">
        <f>IF($C47="","",0)</f>
      </c>
      <c r="P47" s="8"/>
      <c r="Q47" s="8"/>
      <c r="R47" s="8"/>
      <c r="S47" s="8"/>
      <c r="T47" s="8"/>
      <c r="U47" s="7">
        <f>IF($B47="","",IFERROR(INDEX('Challan Master'!$AA$4:$AA$207,MATCH($B47,'Challan Master'!$S$4:$S$207,0)),""))</f>
      </c>
    </row>
    <row r="48" spans="1:22" x14ac:dyDescent="0.25">
      <c r="A48" s="7">
        <f>IF($C48="","",COUNTIF($C$4:$C48,"&lt;&gt;"))</f>
      </c>
      <c r="B48" s="8"/>
      <c r="C48" s="8"/>
      <c r="D48" s="8"/>
      <c r="E48" s="7">
        <f>IF($C48="","",IF(AND(LEN(TRIM(UPPER(D48)))=10,CODE(MID(TRIM(UPPER(D48)),1,1))&gt;=65,CODE(MID(TRIM(UPPER(D48)),1,1))&lt;=90,CODE(MID(TRIM(UPPER(D48)),2,1))&gt;=65,CODE(MID(TRIM(UPPER(D48)),2,1))&lt;=90,CODE(MID(TRIM(UPPER(D48)),3,1))&gt;=65,CODE(MID(TRIM(UPPER(D48)),3,1))&lt;=90,CODE(MID(TRIM(UPPER(D48)),4,1))&gt;=65,CODE(MID(TRIM(UPPER(D48)),4,1))&lt;=90,CODE(MID(TRIM(UPPER(D48)),5,1))&gt;=65,CODE(MID(TRIM(UPPER(D48)),5,1))&lt;=90,CODE(MID(TRIM(UPPER(D48)),10,1))&gt;=65,CODE(MID(TRIM(UPPER(D48)),10,1))&lt;=90,CODE(MID(TRIM(UPPER(D48)),6,1))&gt;=48,CODE(MID(TRIM(UPPER(D48)),6,1))&lt;=57,CODE(MID(TRIM(UPPER(D48)),7,1))&gt;=48,CODE(MID(TRIM(UPPER(D48)),7,1))&lt;=57,CODE(MID(TRIM(UPPER(D48)),8,1))&gt;=48,CODE(MID(TRIM(UPPER(D48)),8,1))&lt;=57,CODE(MID(TRIM(UPPER(D48)),9,1))&gt;=48,CODE(MID(TRIM(UPPER(D48)),9,1))&lt;=57),"N","Y"))</f>
      </c>
      <c r="F48" s="7">
        <f>IF($C48="","",IF(LEN(D48)&lt;4,"",IF(UPPER(MID(D48,4,1))="P","Individual",IF(UPPER(MID(D48,4,1))="H","HUF",IF(UPPER(MID(D48,4,1))="C","Company",IF(UPPER(MID(D48,4,1))="F","Firm",IF(UPPER(MID(D48,4,1))="L","LLP",IF(UPPER(MID(D48,4,1))="T","Trust",IF(UPPER(MID(D48,4,1))="A","AOP","")))))))))</f>
      </c>
      <c r="G48" s="8"/>
      <c r="H48" s="7">
        <f>IF($C48="","",IF(R48&lt;&gt;"",R48,IF(G48="","",IF(E48="Y",SUMPRODUCT(('Rate Lookup'!$A$1:$A$37=G48)*'Rate Lookup'!$D$1:$D$37),IF(OR(F48="Individual",F48="HUF"),SUMPRODUCT(('Rate Lookup'!$A$1:$A$37=G48)*'Rate Lookup'!$B$1:$B$37),SUMPRODUCT(('Rate Lookup'!$A$1:$A$37=G48)*'Rate Lookup'!$C$1:$C$37)))))))</f>
      </c>
      <c r="I48" s="8"/>
      <c r="J48" s="8"/>
      <c r="K48" s="7">
        <f>IF($C48="","",IF(OR(P48="B",P48="D",P48="E",P48="N",P48="O",P48="P",P48="Q",P48="S",P48="Y",P48="Z"),0,ROUND(J48*H48/100,0)))</f>
      </c>
      <c r="L48" s="7">
        <f>IF($C48="","",0)</f>
      </c>
      <c r="M48" s="7">
        <f>IF($C48="","",0)</f>
      </c>
      <c r="N48" s="7">
        <f>IF($C48="","",IF(OR(K48=0,I48="",IFERROR(INDEX('Challan Master'!$D$4:$D$207,MATCH($B48,'Challan Master'!$S$4:$S$207,0)),"")="",IFERROR(INDEX('Challan Master'!$D$4:$D$207,MATCH($B48,'Challan Master'!$S$4:$S$207,0)),"")&lt;=0),0,IF(IFERROR(INDEX('Challan Master'!$D$4:$D$207,MATCH($B48,'Challan Master'!$S$4:$S$207,0)),"")&lt;=DATE(YEAR(I48),MONTH(I48)+1,7),0,ROUND(K48*0.015*((YEAR(IFERROR(INDEX('Challan Master'!$D$4:$D$207,MATCH($B48,'Challan Master'!$S$4:$S$207,0)),""))-YEAR(I48))*12+(MONTH(IFERROR(INDEX('Challan Master'!$D$4:$D$207,MATCH($B48,'Challan Master'!$S$4:$S$207,0)),""))-MONTH(I48))+1),0))))</f>
      </c>
      <c r="O48" s="7">
        <f>IF($C48="","",0)</f>
      </c>
      <c r="P48" s="8"/>
      <c r="Q48" s="8"/>
      <c r="R48" s="8"/>
      <c r="S48" s="8"/>
      <c r="T48" s="8"/>
      <c r="U48" s="7">
        <f>IF($B48="","",IFERROR(INDEX('Challan Master'!$AA$4:$AA$207,MATCH($B48,'Challan Master'!$S$4:$S$207,0)),""))</f>
      </c>
    </row>
    <row r="49" spans="1:22" x14ac:dyDescent="0.25">
      <c r="A49" s="7">
        <f>IF($C49="","",COUNTIF($C$4:$C49,"&lt;&gt;"))</f>
      </c>
      <c r="B49" s="8"/>
      <c r="C49" s="8"/>
      <c r="D49" s="8"/>
      <c r="E49" s="7">
        <f>IF($C49="","",IF(AND(LEN(TRIM(UPPER(D49)))=10,CODE(MID(TRIM(UPPER(D49)),1,1))&gt;=65,CODE(MID(TRIM(UPPER(D49)),1,1))&lt;=90,CODE(MID(TRIM(UPPER(D49)),2,1))&gt;=65,CODE(MID(TRIM(UPPER(D49)),2,1))&lt;=90,CODE(MID(TRIM(UPPER(D49)),3,1))&gt;=65,CODE(MID(TRIM(UPPER(D49)),3,1))&lt;=90,CODE(MID(TRIM(UPPER(D49)),4,1))&gt;=65,CODE(MID(TRIM(UPPER(D49)),4,1))&lt;=90,CODE(MID(TRIM(UPPER(D49)),5,1))&gt;=65,CODE(MID(TRIM(UPPER(D49)),5,1))&lt;=90,CODE(MID(TRIM(UPPER(D49)),10,1))&gt;=65,CODE(MID(TRIM(UPPER(D49)),10,1))&lt;=90,CODE(MID(TRIM(UPPER(D49)),6,1))&gt;=48,CODE(MID(TRIM(UPPER(D49)),6,1))&lt;=57,CODE(MID(TRIM(UPPER(D49)),7,1))&gt;=48,CODE(MID(TRIM(UPPER(D49)),7,1))&lt;=57,CODE(MID(TRIM(UPPER(D49)),8,1))&gt;=48,CODE(MID(TRIM(UPPER(D49)),8,1))&lt;=57,CODE(MID(TRIM(UPPER(D49)),9,1))&gt;=48,CODE(MID(TRIM(UPPER(D49)),9,1))&lt;=57),"N","Y"))</f>
      </c>
      <c r="F49" s="7">
        <f>IF($C49="","",IF(LEN(D49)&lt;4,"",IF(UPPER(MID(D49,4,1))="P","Individual",IF(UPPER(MID(D49,4,1))="H","HUF",IF(UPPER(MID(D49,4,1))="C","Company",IF(UPPER(MID(D49,4,1))="F","Firm",IF(UPPER(MID(D49,4,1))="L","LLP",IF(UPPER(MID(D49,4,1))="T","Trust",IF(UPPER(MID(D49,4,1))="A","AOP","")))))))))</f>
      </c>
      <c r="G49" s="8"/>
      <c r="H49" s="7">
        <f>IF($C49="","",IF(R49&lt;&gt;"",R49,IF(G49="","",IF(E49="Y",SUMPRODUCT(('Rate Lookup'!$A$1:$A$37=G49)*'Rate Lookup'!$D$1:$D$37),IF(OR(F49="Individual",F49="HUF"),SUMPRODUCT(('Rate Lookup'!$A$1:$A$37=G49)*'Rate Lookup'!$B$1:$B$37),SUMPRODUCT(('Rate Lookup'!$A$1:$A$37=G49)*'Rate Lookup'!$C$1:$C$37)))))))</f>
      </c>
      <c r="I49" s="8"/>
      <c r="J49" s="8"/>
      <c r="K49" s="7">
        <f>IF($C49="","",IF(OR(P49="B",P49="D",P49="E",P49="N",P49="O",P49="P",P49="Q",P49="S",P49="Y",P49="Z"),0,ROUND(J49*H49/100,0)))</f>
      </c>
      <c r="L49" s="7">
        <f>IF($C49="","",0)</f>
      </c>
      <c r="M49" s="7">
        <f>IF($C49="","",0)</f>
      </c>
      <c r="N49" s="7">
        <f>IF($C49="","",IF(OR(K49=0,I49="",IFERROR(INDEX('Challan Master'!$D$4:$D$207,MATCH($B49,'Challan Master'!$S$4:$S$207,0)),"")="",IFERROR(INDEX('Challan Master'!$D$4:$D$207,MATCH($B49,'Challan Master'!$S$4:$S$207,0)),"")&lt;=0),0,IF(IFERROR(INDEX('Challan Master'!$D$4:$D$207,MATCH($B49,'Challan Master'!$S$4:$S$207,0)),"")&lt;=DATE(YEAR(I49),MONTH(I49)+1,7),0,ROUND(K49*0.015*((YEAR(IFERROR(INDEX('Challan Master'!$D$4:$D$207,MATCH($B49,'Challan Master'!$S$4:$S$207,0)),""))-YEAR(I49))*12+(MONTH(IFERROR(INDEX('Challan Master'!$D$4:$D$207,MATCH($B49,'Challan Master'!$S$4:$S$207,0)),""))-MONTH(I49))+1),0))))</f>
      </c>
      <c r="O49" s="7">
        <f>IF($C49="","",0)</f>
      </c>
      <c r="P49" s="8"/>
      <c r="Q49" s="8"/>
      <c r="R49" s="8"/>
      <c r="S49" s="8"/>
      <c r="T49" s="8"/>
      <c r="U49" s="7">
        <f>IF($B49="","",IFERROR(INDEX('Challan Master'!$AA$4:$AA$207,MATCH($B49,'Challan Master'!$S$4:$S$207,0)),""))</f>
      </c>
    </row>
    <row r="50" spans="1:22" x14ac:dyDescent="0.25">
      <c r="A50" s="7">
        <f>IF($C50="","",COUNTIF($C$4:$C50,"&lt;&gt;"))</f>
      </c>
      <c r="B50" s="8"/>
      <c r="C50" s="8"/>
      <c r="D50" s="8"/>
      <c r="E50" s="7">
        <f>IF($C50="","",IF(AND(LEN(TRIM(UPPER(D50)))=10,CODE(MID(TRIM(UPPER(D50)),1,1))&gt;=65,CODE(MID(TRIM(UPPER(D50)),1,1))&lt;=90,CODE(MID(TRIM(UPPER(D50)),2,1))&gt;=65,CODE(MID(TRIM(UPPER(D50)),2,1))&lt;=90,CODE(MID(TRIM(UPPER(D50)),3,1))&gt;=65,CODE(MID(TRIM(UPPER(D50)),3,1))&lt;=90,CODE(MID(TRIM(UPPER(D50)),4,1))&gt;=65,CODE(MID(TRIM(UPPER(D50)),4,1))&lt;=90,CODE(MID(TRIM(UPPER(D50)),5,1))&gt;=65,CODE(MID(TRIM(UPPER(D50)),5,1))&lt;=90,CODE(MID(TRIM(UPPER(D50)),10,1))&gt;=65,CODE(MID(TRIM(UPPER(D50)),10,1))&lt;=90,CODE(MID(TRIM(UPPER(D50)),6,1))&gt;=48,CODE(MID(TRIM(UPPER(D50)),6,1))&lt;=57,CODE(MID(TRIM(UPPER(D50)),7,1))&gt;=48,CODE(MID(TRIM(UPPER(D50)),7,1))&lt;=57,CODE(MID(TRIM(UPPER(D50)),8,1))&gt;=48,CODE(MID(TRIM(UPPER(D50)),8,1))&lt;=57,CODE(MID(TRIM(UPPER(D50)),9,1))&gt;=48,CODE(MID(TRIM(UPPER(D50)),9,1))&lt;=57),"N","Y"))</f>
      </c>
      <c r="F50" s="7">
        <f>IF($C50="","",IF(LEN(D50)&lt;4,"",IF(UPPER(MID(D50,4,1))="P","Individual",IF(UPPER(MID(D50,4,1))="H","HUF",IF(UPPER(MID(D50,4,1))="C","Company",IF(UPPER(MID(D50,4,1))="F","Firm",IF(UPPER(MID(D50,4,1))="L","LLP",IF(UPPER(MID(D50,4,1))="T","Trust",IF(UPPER(MID(D50,4,1))="A","AOP","")))))))))</f>
      </c>
      <c r="G50" s="8"/>
      <c r="H50" s="7">
        <f>IF($C50="","",IF(R50&lt;&gt;"",R50,IF(G50="","",IF(E50="Y",SUMPRODUCT(('Rate Lookup'!$A$1:$A$37=G50)*'Rate Lookup'!$D$1:$D$37),IF(OR(F50="Individual",F50="HUF"),SUMPRODUCT(('Rate Lookup'!$A$1:$A$37=G50)*'Rate Lookup'!$B$1:$B$37),SUMPRODUCT(('Rate Lookup'!$A$1:$A$37=G50)*'Rate Lookup'!$C$1:$C$37)))))))</f>
      </c>
      <c r="I50" s="8"/>
      <c r="J50" s="8"/>
      <c r="K50" s="7">
        <f>IF($C50="","",IF(OR(P50="B",P50="D",P50="E",P50="N",P50="O",P50="P",P50="Q",P50="S",P50="Y",P50="Z"),0,ROUND(J50*H50/100,0)))</f>
      </c>
      <c r="L50" s="7">
        <f>IF($C50="","",0)</f>
      </c>
      <c r="M50" s="7">
        <f>IF($C50="","",0)</f>
      </c>
      <c r="N50" s="7">
        <f>IF($C50="","",IF(OR(K50=0,I50="",IFERROR(INDEX('Challan Master'!$D$4:$D$207,MATCH($B50,'Challan Master'!$S$4:$S$207,0)),"")="",IFERROR(INDEX('Challan Master'!$D$4:$D$207,MATCH($B50,'Challan Master'!$S$4:$S$207,0)),"")&lt;=0),0,IF(IFERROR(INDEX('Challan Master'!$D$4:$D$207,MATCH($B50,'Challan Master'!$S$4:$S$207,0)),"")&lt;=DATE(YEAR(I50),MONTH(I50)+1,7),0,ROUND(K50*0.015*((YEAR(IFERROR(INDEX('Challan Master'!$D$4:$D$207,MATCH($B50,'Challan Master'!$S$4:$S$207,0)),""))-YEAR(I50))*12+(MONTH(IFERROR(INDEX('Challan Master'!$D$4:$D$207,MATCH($B50,'Challan Master'!$S$4:$S$207,0)),""))-MONTH(I50))+1),0))))</f>
      </c>
      <c r="O50" s="7">
        <f>IF($C50="","",0)</f>
      </c>
      <c r="P50" s="8"/>
      <c r="Q50" s="8"/>
      <c r="R50" s="8"/>
      <c r="S50" s="8"/>
      <c r="T50" s="8"/>
      <c r="U50" s="7">
        <f>IF($B50="","",IFERROR(INDEX('Challan Master'!$AA$4:$AA$207,MATCH($B50,'Challan Master'!$S$4:$S$207,0)),""))</f>
      </c>
    </row>
    <row r="51" spans="1:22" x14ac:dyDescent="0.25">
      <c r="A51" s="7">
        <f>IF($C51="","",COUNTIF($C$4:$C51,"&lt;&gt;"))</f>
      </c>
      <c r="B51" s="8"/>
      <c r="C51" s="8"/>
      <c r="D51" s="8"/>
      <c r="E51" s="7">
        <f>IF($C51="","",IF(AND(LEN(TRIM(UPPER(D51)))=10,CODE(MID(TRIM(UPPER(D51)),1,1))&gt;=65,CODE(MID(TRIM(UPPER(D51)),1,1))&lt;=90,CODE(MID(TRIM(UPPER(D51)),2,1))&gt;=65,CODE(MID(TRIM(UPPER(D51)),2,1))&lt;=90,CODE(MID(TRIM(UPPER(D51)),3,1))&gt;=65,CODE(MID(TRIM(UPPER(D51)),3,1))&lt;=90,CODE(MID(TRIM(UPPER(D51)),4,1))&gt;=65,CODE(MID(TRIM(UPPER(D51)),4,1))&lt;=90,CODE(MID(TRIM(UPPER(D51)),5,1))&gt;=65,CODE(MID(TRIM(UPPER(D51)),5,1))&lt;=90,CODE(MID(TRIM(UPPER(D51)),10,1))&gt;=65,CODE(MID(TRIM(UPPER(D51)),10,1))&lt;=90,CODE(MID(TRIM(UPPER(D51)),6,1))&gt;=48,CODE(MID(TRIM(UPPER(D51)),6,1))&lt;=57,CODE(MID(TRIM(UPPER(D51)),7,1))&gt;=48,CODE(MID(TRIM(UPPER(D51)),7,1))&lt;=57,CODE(MID(TRIM(UPPER(D51)),8,1))&gt;=48,CODE(MID(TRIM(UPPER(D51)),8,1))&lt;=57,CODE(MID(TRIM(UPPER(D51)),9,1))&gt;=48,CODE(MID(TRIM(UPPER(D51)),9,1))&lt;=57),"N","Y"))</f>
      </c>
      <c r="F51" s="7">
        <f>IF($C51="","",IF(LEN(D51)&lt;4,"",IF(UPPER(MID(D51,4,1))="P","Individual",IF(UPPER(MID(D51,4,1))="H","HUF",IF(UPPER(MID(D51,4,1))="C","Company",IF(UPPER(MID(D51,4,1))="F","Firm",IF(UPPER(MID(D51,4,1))="L","LLP",IF(UPPER(MID(D51,4,1))="T","Trust",IF(UPPER(MID(D51,4,1))="A","AOP","")))))))))</f>
      </c>
      <c r="G51" s="8"/>
      <c r="H51" s="7">
        <f>IF($C51="","",IF(R51&lt;&gt;"",R51,IF(G51="","",IF(E51="Y",SUMPRODUCT(('Rate Lookup'!$A$1:$A$37=G51)*'Rate Lookup'!$D$1:$D$37),IF(OR(F51="Individual",F51="HUF"),SUMPRODUCT(('Rate Lookup'!$A$1:$A$37=G51)*'Rate Lookup'!$B$1:$B$37),SUMPRODUCT(('Rate Lookup'!$A$1:$A$37=G51)*'Rate Lookup'!$C$1:$C$37)))))))</f>
      </c>
      <c r="I51" s="8"/>
      <c r="J51" s="8"/>
      <c r="K51" s="7">
        <f>IF($C51="","",IF(OR(P51="B",P51="D",P51="E",P51="N",P51="O",P51="P",P51="Q",P51="S",P51="Y",P51="Z"),0,ROUND(J51*H51/100,0)))</f>
      </c>
      <c r="L51" s="7">
        <f>IF($C51="","",0)</f>
      </c>
      <c r="M51" s="7">
        <f>IF($C51="","",0)</f>
      </c>
      <c r="N51" s="7">
        <f>IF($C51="","",IF(OR(K51=0,I51="",IFERROR(INDEX('Challan Master'!$D$4:$D$207,MATCH($B51,'Challan Master'!$S$4:$S$207,0)),"")="",IFERROR(INDEX('Challan Master'!$D$4:$D$207,MATCH($B51,'Challan Master'!$S$4:$S$207,0)),"")&lt;=0),0,IF(IFERROR(INDEX('Challan Master'!$D$4:$D$207,MATCH($B51,'Challan Master'!$S$4:$S$207,0)),"")&lt;=DATE(YEAR(I51),MONTH(I51)+1,7),0,ROUND(K51*0.015*((YEAR(IFERROR(INDEX('Challan Master'!$D$4:$D$207,MATCH($B51,'Challan Master'!$S$4:$S$207,0)),""))-YEAR(I51))*12+(MONTH(IFERROR(INDEX('Challan Master'!$D$4:$D$207,MATCH($B51,'Challan Master'!$S$4:$S$207,0)),""))-MONTH(I51))+1),0))))</f>
      </c>
      <c r="O51" s="7">
        <f>IF($C51="","",0)</f>
      </c>
      <c r="P51" s="8"/>
      <c r="Q51" s="8"/>
      <c r="R51" s="8"/>
      <c r="S51" s="8"/>
      <c r="T51" s="8"/>
      <c r="U51" s="7">
        <f>IF($B51="","",IFERROR(INDEX('Challan Master'!$AA$4:$AA$207,MATCH($B51,'Challan Master'!$S$4:$S$207,0)),""))</f>
      </c>
    </row>
    <row r="52" spans="1:22" x14ac:dyDescent="0.25">
      <c r="A52" s="7">
        <f>IF($C52="","",COUNTIF($C$4:$C52,"&lt;&gt;"))</f>
      </c>
      <c r="B52" s="8"/>
      <c r="C52" s="8"/>
      <c r="D52" s="8"/>
      <c r="E52" s="7">
        <f>IF($C52="","",IF(AND(LEN(TRIM(UPPER(D52)))=10,CODE(MID(TRIM(UPPER(D52)),1,1))&gt;=65,CODE(MID(TRIM(UPPER(D52)),1,1))&lt;=90,CODE(MID(TRIM(UPPER(D52)),2,1))&gt;=65,CODE(MID(TRIM(UPPER(D52)),2,1))&lt;=90,CODE(MID(TRIM(UPPER(D52)),3,1))&gt;=65,CODE(MID(TRIM(UPPER(D52)),3,1))&lt;=90,CODE(MID(TRIM(UPPER(D52)),4,1))&gt;=65,CODE(MID(TRIM(UPPER(D52)),4,1))&lt;=90,CODE(MID(TRIM(UPPER(D52)),5,1))&gt;=65,CODE(MID(TRIM(UPPER(D52)),5,1))&lt;=90,CODE(MID(TRIM(UPPER(D52)),10,1))&gt;=65,CODE(MID(TRIM(UPPER(D52)),10,1))&lt;=90,CODE(MID(TRIM(UPPER(D52)),6,1))&gt;=48,CODE(MID(TRIM(UPPER(D52)),6,1))&lt;=57,CODE(MID(TRIM(UPPER(D52)),7,1))&gt;=48,CODE(MID(TRIM(UPPER(D52)),7,1))&lt;=57,CODE(MID(TRIM(UPPER(D52)),8,1))&gt;=48,CODE(MID(TRIM(UPPER(D52)),8,1))&lt;=57,CODE(MID(TRIM(UPPER(D52)),9,1))&gt;=48,CODE(MID(TRIM(UPPER(D52)),9,1))&lt;=57),"N","Y"))</f>
      </c>
      <c r="F52" s="7">
        <f>IF($C52="","",IF(LEN(D52)&lt;4,"",IF(UPPER(MID(D52,4,1))="P","Individual",IF(UPPER(MID(D52,4,1))="H","HUF",IF(UPPER(MID(D52,4,1))="C","Company",IF(UPPER(MID(D52,4,1))="F","Firm",IF(UPPER(MID(D52,4,1))="L","LLP",IF(UPPER(MID(D52,4,1))="T","Trust",IF(UPPER(MID(D52,4,1))="A","AOP","")))))))))</f>
      </c>
      <c r="G52" s="8"/>
      <c r="H52" s="7">
        <f>IF($C52="","",IF(R52&lt;&gt;"",R52,IF(G52="","",IF(E52="Y",SUMPRODUCT(('Rate Lookup'!$A$1:$A$37=G52)*'Rate Lookup'!$D$1:$D$37),IF(OR(F52="Individual",F52="HUF"),SUMPRODUCT(('Rate Lookup'!$A$1:$A$37=G52)*'Rate Lookup'!$B$1:$B$37),SUMPRODUCT(('Rate Lookup'!$A$1:$A$37=G52)*'Rate Lookup'!$C$1:$C$37)))))))</f>
      </c>
      <c r="I52" s="8"/>
      <c r="J52" s="8"/>
      <c r="K52" s="7">
        <f>IF($C52="","",IF(OR(P52="B",P52="D",P52="E",P52="N",P52="O",P52="P",P52="Q",P52="S",P52="Y",P52="Z"),0,ROUND(J52*H52/100,0)))</f>
      </c>
      <c r="L52" s="7">
        <f>IF($C52="","",0)</f>
      </c>
      <c r="M52" s="7">
        <f>IF($C52="","",0)</f>
      </c>
      <c r="N52" s="7">
        <f>IF($C52="","",IF(OR(K52=0,I52="",IFERROR(INDEX('Challan Master'!$D$4:$D$207,MATCH($B52,'Challan Master'!$S$4:$S$207,0)),"")="",IFERROR(INDEX('Challan Master'!$D$4:$D$207,MATCH($B52,'Challan Master'!$S$4:$S$207,0)),"")&lt;=0),0,IF(IFERROR(INDEX('Challan Master'!$D$4:$D$207,MATCH($B52,'Challan Master'!$S$4:$S$207,0)),"")&lt;=DATE(YEAR(I52),MONTH(I52)+1,7),0,ROUND(K52*0.015*((YEAR(IFERROR(INDEX('Challan Master'!$D$4:$D$207,MATCH($B52,'Challan Master'!$S$4:$S$207,0)),""))-YEAR(I52))*12+(MONTH(IFERROR(INDEX('Challan Master'!$D$4:$D$207,MATCH($B52,'Challan Master'!$S$4:$S$207,0)),""))-MONTH(I52))+1),0))))</f>
      </c>
      <c r="O52" s="7">
        <f>IF($C52="","",0)</f>
      </c>
      <c r="P52" s="8"/>
      <c r="Q52" s="8"/>
      <c r="R52" s="8"/>
      <c r="S52" s="8"/>
      <c r="T52" s="8"/>
      <c r="U52" s="7">
        <f>IF($B52="","",IFERROR(INDEX('Challan Master'!$AA$4:$AA$207,MATCH($B52,'Challan Master'!$S$4:$S$207,0)),""))</f>
      </c>
    </row>
    <row r="53" spans="1:22" x14ac:dyDescent="0.25">
      <c r="A53" s="7">
        <f>IF($C53="","",COUNTIF($C$4:$C53,"&lt;&gt;"))</f>
      </c>
      <c r="B53" s="8"/>
      <c r="C53" s="8"/>
      <c r="D53" s="8"/>
      <c r="E53" s="7">
        <f>IF($C53="","",IF(AND(LEN(TRIM(UPPER(D53)))=10,CODE(MID(TRIM(UPPER(D53)),1,1))&gt;=65,CODE(MID(TRIM(UPPER(D53)),1,1))&lt;=90,CODE(MID(TRIM(UPPER(D53)),2,1))&gt;=65,CODE(MID(TRIM(UPPER(D53)),2,1))&lt;=90,CODE(MID(TRIM(UPPER(D53)),3,1))&gt;=65,CODE(MID(TRIM(UPPER(D53)),3,1))&lt;=90,CODE(MID(TRIM(UPPER(D53)),4,1))&gt;=65,CODE(MID(TRIM(UPPER(D53)),4,1))&lt;=90,CODE(MID(TRIM(UPPER(D53)),5,1))&gt;=65,CODE(MID(TRIM(UPPER(D53)),5,1))&lt;=90,CODE(MID(TRIM(UPPER(D53)),10,1))&gt;=65,CODE(MID(TRIM(UPPER(D53)),10,1))&lt;=90,CODE(MID(TRIM(UPPER(D53)),6,1))&gt;=48,CODE(MID(TRIM(UPPER(D53)),6,1))&lt;=57,CODE(MID(TRIM(UPPER(D53)),7,1))&gt;=48,CODE(MID(TRIM(UPPER(D53)),7,1))&lt;=57,CODE(MID(TRIM(UPPER(D53)),8,1))&gt;=48,CODE(MID(TRIM(UPPER(D53)),8,1))&lt;=57,CODE(MID(TRIM(UPPER(D53)),9,1))&gt;=48,CODE(MID(TRIM(UPPER(D53)),9,1))&lt;=57),"N","Y"))</f>
      </c>
      <c r="F53" s="7">
        <f>IF($C53="","",IF(LEN(D53)&lt;4,"",IF(UPPER(MID(D53,4,1))="P","Individual",IF(UPPER(MID(D53,4,1))="H","HUF",IF(UPPER(MID(D53,4,1))="C","Company",IF(UPPER(MID(D53,4,1))="F","Firm",IF(UPPER(MID(D53,4,1))="L","LLP",IF(UPPER(MID(D53,4,1))="T","Trust",IF(UPPER(MID(D53,4,1))="A","AOP","")))))))))</f>
      </c>
      <c r="G53" s="8"/>
      <c r="H53" s="7">
        <f>IF($C53="","",IF(R53&lt;&gt;"",R53,IF(G53="","",IF(E53="Y",SUMPRODUCT(('Rate Lookup'!$A$1:$A$37=G53)*'Rate Lookup'!$D$1:$D$37),IF(OR(F53="Individual",F53="HUF"),SUMPRODUCT(('Rate Lookup'!$A$1:$A$37=G53)*'Rate Lookup'!$B$1:$B$37),SUMPRODUCT(('Rate Lookup'!$A$1:$A$37=G53)*'Rate Lookup'!$C$1:$C$37)))))))</f>
      </c>
      <c r="I53" s="8"/>
      <c r="J53" s="8"/>
      <c r="K53" s="7">
        <f>IF($C53="","",IF(OR(P53="B",P53="D",P53="E",P53="N",P53="O",P53="P",P53="Q",P53="S",P53="Y",P53="Z"),0,ROUND(J53*H53/100,0)))</f>
      </c>
      <c r="L53" s="7">
        <f>IF($C53="","",0)</f>
      </c>
      <c r="M53" s="7">
        <f>IF($C53="","",0)</f>
      </c>
      <c r="N53" s="7">
        <f>IF($C53="","",IF(OR(K53=0,I53="",IFERROR(INDEX('Challan Master'!$D$4:$D$207,MATCH($B53,'Challan Master'!$S$4:$S$207,0)),"")="",IFERROR(INDEX('Challan Master'!$D$4:$D$207,MATCH($B53,'Challan Master'!$S$4:$S$207,0)),"")&lt;=0),0,IF(IFERROR(INDEX('Challan Master'!$D$4:$D$207,MATCH($B53,'Challan Master'!$S$4:$S$207,0)),"")&lt;=DATE(YEAR(I53),MONTH(I53)+1,7),0,ROUND(K53*0.015*((YEAR(IFERROR(INDEX('Challan Master'!$D$4:$D$207,MATCH($B53,'Challan Master'!$S$4:$S$207,0)),""))-YEAR(I53))*12+(MONTH(IFERROR(INDEX('Challan Master'!$D$4:$D$207,MATCH($B53,'Challan Master'!$S$4:$S$207,0)),""))-MONTH(I53))+1),0))))</f>
      </c>
      <c r="O53" s="7">
        <f>IF($C53="","",0)</f>
      </c>
      <c r="P53" s="8"/>
      <c r="Q53" s="8"/>
      <c r="R53" s="8"/>
      <c r="S53" s="8"/>
      <c r="T53" s="8"/>
      <c r="U53" s="7">
        <f>IF($B53="","",IFERROR(INDEX('Challan Master'!$AA$4:$AA$207,MATCH($B53,'Challan Master'!$S$4:$S$207,0)),""))</f>
      </c>
    </row>
    <row r="54" spans="1:22" x14ac:dyDescent="0.25">
      <c r="A54" s="7">
        <f>IF($C54="","",COUNTIF($C$4:$C54,"&lt;&gt;"))</f>
      </c>
      <c r="B54" s="8"/>
      <c r="C54" s="8"/>
      <c r="D54" s="8"/>
      <c r="E54" s="7">
        <f>IF($C54="","",IF(AND(LEN(TRIM(UPPER(D54)))=10,CODE(MID(TRIM(UPPER(D54)),1,1))&gt;=65,CODE(MID(TRIM(UPPER(D54)),1,1))&lt;=90,CODE(MID(TRIM(UPPER(D54)),2,1))&gt;=65,CODE(MID(TRIM(UPPER(D54)),2,1))&lt;=90,CODE(MID(TRIM(UPPER(D54)),3,1))&gt;=65,CODE(MID(TRIM(UPPER(D54)),3,1))&lt;=90,CODE(MID(TRIM(UPPER(D54)),4,1))&gt;=65,CODE(MID(TRIM(UPPER(D54)),4,1))&lt;=90,CODE(MID(TRIM(UPPER(D54)),5,1))&gt;=65,CODE(MID(TRIM(UPPER(D54)),5,1))&lt;=90,CODE(MID(TRIM(UPPER(D54)),10,1))&gt;=65,CODE(MID(TRIM(UPPER(D54)),10,1))&lt;=90,CODE(MID(TRIM(UPPER(D54)),6,1))&gt;=48,CODE(MID(TRIM(UPPER(D54)),6,1))&lt;=57,CODE(MID(TRIM(UPPER(D54)),7,1))&gt;=48,CODE(MID(TRIM(UPPER(D54)),7,1))&lt;=57,CODE(MID(TRIM(UPPER(D54)),8,1))&gt;=48,CODE(MID(TRIM(UPPER(D54)),8,1))&lt;=57,CODE(MID(TRIM(UPPER(D54)),9,1))&gt;=48,CODE(MID(TRIM(UPPER(D54)),9,1))&lt;=57),"N","Y"))</f>
      </c>
      <c r="F54" s="7">
        <f>IF($C54="","",IF(LEN(D54)&lt;4,"",IF(UPPER(MID(D54,4,1))="P","Individual",IF(UPPER(MID(D54,4,1))="H","HUF",IF(UPPER(MID(D54,4,1))="C","Company",IF(UPPER(MID(D54,4,1))="F","Firm",IF(UPPER(MID(D54,4,1))="L","LLP",IF(UPPER(MID(D54,4,1))="T","Trust",IF(UPPER(MID(D54,4,1))="A","AOP","")))))))))</f>
      </c>
      <c r="G54" s="8"/>
      <c r="H54" s="7">
        <f>IF($C54="","",IF(R54&lt;&gt;"",R54,IF(G54="","",IF(E54="Y",SUMPRODUCT(('Rate Lookup'!$A$1:$A$37=G54)*'Rate Lookup'!$D$1:$D$37),IF(OR(F54="Individual",F54="HUF"),SUMPRODUCT(('Rate Lookup'!$A$1:$A$37=G54)*'Rate Lookup'!$B$1:$B$37),SUMPRODUCT(('Rate Lookup'!$A$1:$A$37=G54)*'Rate Lookup'!$C$1:$C$37)))))))</f>
      </c>
      <c r="I54" s="8"/>
      <c r="J54" s="8"/>
      <c r="K54" s="7">
        <f>IF($C54="","",IF(OR(P54="B",P54="D",P54="E",P54="N",P54="O",P54="P",P54="Q",P54="S",P54="Y",P54="Z"),0,ROUND(J54*H54/100,0)))</f>
      </c>
      <c r="L54" s="7">
        <f>IF($C54="","",0)</f>
      </c>
      <c r="M54" s="7">
        <f>IF($C54="","",0)</f>
      </c>
      <c r="N54" s="7">
        <f>IF($C54="","",IF(OR(K54=0,I54="",IFERROR(INDEX('Challan Master'!$D$4:$D$207,MATCH($B54,'Challan Master'!$S$4:$S$207,0)),"")="",IFERROR(INDEX('Challan Master'!$D$4:$D$207,MATCH($B54,'Challan Master'!$S$4:$S$207,0)),"")&lt;=0),0,IF(IFERROR(INDEX('Challan Master'!$D$4:$D$207,MATCH($B54,'Challan Master'!$S$4:$S$207,0)),"")&lt;=DATE(YEAR(I54),MONTH(I54)+1,7),0,ROUND(K54*0.015*((YEAR(IFERROR(INDEX('Challan Master'!$D$4:$D$207,MATCH($B54,'Challan Master'!$S$4:$S$207,0)),""))-YEAR(I54))*12+(MONTH(IFERROR(INDEX('Challan Master'!$D$4:$D$207,MATCH($B54,'Challan Master'!$S$4:$S$207,0)),""))-MONTH(I54))+1),0))))</f>
      </c>
      <c r="O54" s="7">
        <f>IF($C54="","",0)</f>
      </c>
      <c r="P54" s="8"/>
      <c r="Q54" s="8"/>
      <c r="R54" s="8"/>
      <c r="S54" s="8"/>
      <c r="T54" s="8"/>
      <c r="U54" s="7">
        <f>IF($B54="","",IFERROR(INDEX('Challan Master'!$AA$4:$AA$207,MATCH($B54,'Challan Master'!$S$4:$S$207,0)),""))</f>
      </c>
    </row>
    <row r="55" spans="1:22" x14ac:dyDescent="0.25">
      <c r="A55" s="7">
        <f>IF($C55="","",COUNTIF($C$4:$C55,"&lt;&gt;"))</f>
      </c>
      <c r="B55" s="8"/>
      <c r="C55" s="8"/>
      <c r="D55" s="8"/>
      <c r="E55" s="7">
        <f>IF($C55="","",IF(AND(LEN(TRIM(UPPER(D55)))=10,CODE(MID(TRIM(UPPER(D55)),1,1))&gt;=65,CODE(MID(TRIM(UPPER(D55)),1,1))&lt;=90,CODE(MID(TRIM(UPPER(D55)),2,1))&gt;=65,CODE(MID(TRIM(UPPER(D55)),2,1))&lt;=90,CODE(MID(TRIM(UPPER(D55)),3,1))&gt;=65,CODE(MID(TRIM(UPPER(D55)),3,1))&lt;=90,CODE(MID(TRIM(UPPER(D55)),4,1))&gt;=65,CODE(MID(TRIM(UPPER(D55)),4,1))&lt;=90,CODE(MID(TRIM(UPPER(D55)),5,1))&gt;=65,CODE(MID(TRIM(UPPER(D55)),5,1))&lt;=90,CODE(MID(TRIM(UPPER(D55)),10,1))&gt;=65,CODE(MID(TRIM(UPPER(D55)),10,1))&lt;=90,CODE(MID(TRIM(UPPER(D55)),6,1))&gt;=48,CODE(MID(TRIM(UPPER(D55)),6,1))&lt;=57,CODE(MID(TRIM(UPPER(D55)),7,1))&gt;=48,CODE(MID(TRIM(UPPER(D55)),7,1))&lt;=57,CODE(MID(TRIM(UPPER(D55)),8,1))&gt;=48,CODE(MID(TRIM(UPPER(D55)),8,1))&lt;=57,CODE(MID(TRIM(UPPER(D55)),9,1))&gt;=48,CODE(MID(TRIM(UPPER(D55)),9,1))&lt;=57),"N","Y"))</f>
      </c>
      <c r="F55" s="7">
        <f>IF($C55="","",IF(LEN(D55)&lt;4,"",IF(UPPER(MID(D55,4,1))="P","Individual",IF(UPPER(MID(D55,4,1))="H","HUF",IF(UPPER(MID(D55,4,1))="C","Company",IF(UPPER(MID(D55,4,1))="F","Firm",IF(UPPER(MID(D55,4,1))="L","LLP",IF(UPPER(MID(D55,4,1))="T","Trust",IF(UPPER(MID(D55,4,1))="A","AOP","")))))))))</f>
      </c>
      <c r="G55" s="8"/>
      <c r="H55" s="7">
        <f>IF($C55="","",IF(R55&lt;&gt;"",R55,IF(G55="","",IF(E55="Y",SUMPRODUCT(('Rate Lookup'!$A$1:$A$37=G55)*'Rate Lookup'!$D$1:$D$37),IF(OR(F55="Individual",F55="HUF"),SUMPRODUCT(('Rate Lookup'!$A$1:$A$37=G55)*'Rate Lookup'!$B$1:$B$37),SUMPRODUCT(('Rate Lookup'!$A$1:$A$37=G55)*'Rate Lookup'!$C$1:$C$37)))))))</f>
      </c>
      <c r="I55" s="8"/>
      <c r="J55" s="8"/>
      <c r="K55" s="7">
        <f>IF($C55="","",IF(OR(P55="B",P55="D",P55="E",P55="N",P55="O",P55="P",P55="Q",P55="S",P55="Y",P55="Z"),0,ROUND(J55*H55/100,0)))</f>
      </c>
      <c r="L55" s="7">
        <f>IF($C55="","",0)</f>
      </c>
      <c r="M55" s="7">
        <f>IF($C55="","",0)</f>
      </c>
      <c r="N55" s="7">
        <f>IF($C55="","",IF(OR(K55=0,I55="",IFERROR(INDEX('Challan Master'!$D$4:$D$207,MATCH($B55,'Challan Master'!$S$4:$S$207,0)),"")="",IFERROR(INDEX('Challan Master'!$D$4:$D$207,MATCH($B55,'Challan Master'!$S$4:$S$207,0)),"")&lt;=0),0,IF(IFERROR(INDEX('Challan Master'!$D$4:$D$207,MATCH($B55,'Challan Master'!$S$4:$S$207,0)),"")&lt;=DATE(YEAR(I55),MONTH(I55)+1,7),0,ROUND(K55*0.015*((YEAR(IFERROR(INDEX('Challan Master'!$D$4:$D$207,MATCH($B55,'Challan Master'!$S$4:$S$207,0)),""))-YEAR(I55))*12+(MONTH(IFERROR(INDEX('Challan Master'!$D$4:$D$207,MATCH($B55,'Challan Master'!$S$4:$S$207,0)),""))-MONTH(I55))+1),0))))</f>
      </c>
      <c r="O55" s="7">
        <f>IF($C55="","",0)</f>
      </c>
      <c r="P55" s="8"/>
      <c r="Q55" s="8"/>
      <c r="R55" s="8"/>
      <c r="S55" s="8"/>
      <c r="T55" s="8"/>
      <c r="U55" s="7">
        <f>IF($B55="","",IFERROR(INDEX('Challan Master'!$AA$4:$AA$207,MATCH($B55,'Challan Master'!$S$4:$S$207,0)),""))</f>
      </c>
    </row>
    <row r="56" spans="1:22" x14ac:dyDescent="0.25">
      <c r="A56" s="7">
        <f>IF($C56="","",COUNTIF($C$4:$C56,"&lt;&gt;"))</f>
      </c>
      <c r="B56" s="8"/>
      <c r="C56" s="8"/>
      <c r="D56" s="8"/>
      <c r="E56" s="7">
        <f>IF($C56="","",IF(AND(LEN(TRIM(UPPER(D56)))=10,CODE(MID(TRIM(UPPER(D56)),1,1))&gt;=65,CODE(MID(TRIM(UPPER(D56)),1,1))&lt;=90,CODE(MID(TRIM(UPPER(D56)),2,1))&gt;=65,CODE(MID(TRIM(UPPER(D56)),2,1))&lt;=90,CODE(MID(TRIM(UPPER(D56)),3,1))&gt;=65,CODE(MID(TRIM(UPPER(D56)),3,1))&lt;=90,CODE(MID(TRIM(UPPER(D56)),4,1))&gt;=65,CODE(MID(TRIM(UPPER(D56)),4,1))&lt;=90,CODE(MID(TRIM(UPPER(D56)),5,1))&gt;=65,CODE(MID(TRIM(UPPER(D56)),5,1))&lt;=90,CODE(MID(TRIM(UPPER(D56)),10,1))&gt;=65,CODE(MID(TRIM(UPPER(D56)),10,1))&lt;=90,CODE(MID(TRIM(UPPER(D56)),6,1))&gt;=48,CODE(MID(TRIM(UPPER(D56)),6,1))&lt;=57,CODE(MID(TRIM(UPPER(D56)),7,1))&gt;=48,CODE(MID(TRIM(UPPER(D56)),7,1))&lt;=57,CODE(MID(TRIM(UPPER(D56)),8,1))&gt;=48,CODE(MID(TRIM(UPPER(D56)),8,1))&lt;=57,CODE(MID(TRIM(UPPER(D56)),9,1))&gt;=48,CODE(MID(TRIM(UPPER(D56)),9,1))&lt;=57),"N","Y"))</f>
      </c>
      <c r="F56" s="7">
        <f>IF($C56="","",IF(LEN(D56)&lt;4,"",IF(UPPER(MID(D56,4,1))="P","Individual",IF(UPPER(MID(D56,4,1))="H","HUF",IF(UPPER(MID(D56,4,1))="C","Company",IF(UPPER(MID(D56,4,1))="F","Firm",IF(UPPER(MID(D56,4,1))="L","LLP",IF(UPPER(MID(D56,4,1))="T","Trust",IF(UPPER(MID(D56,4,1))="A","AOP","")))))))))</f>
      </c>
      <c r="G56" s="8"/>
      <c r="H56" s="7">
        <f>IF($C56="","",IF(R56&lt;&gt;"",R56,IF(G56="","",IF(E56="Y",SUMPRODUCT(('Rate Lookup'!$A$1:$A$37=G56)*'Rate Lookup'!$D$1:$D$37),IF(OR(F56="Individual",F56="HUF"),SUMPRODUCT(('Rate Lookup'!$A$1:$A$37=G56)*'Rate Lookup'!$B$1:$B$37),SUMPRODUCT(('Rate Lookup'!$A$1:$A$37=G56)*'Rate Lookup'!$C$1:$C$37)))))))</f>
      </c>
      <c r="I56" s="8"/>
      <c r="J56" s="8"/>
      <c r="K56" s="7">
        <f>IF($C56="","",IF(OR(P56="B",P56="D",P56="E",P56="N",P56="O",P56="P",P56="Q",P56="S",P56="Y",P56="Z"),0,ROUND(J56*H56/100,0)))</f>
      </c>
      <c r="L56" s="7">
        <f>IF($C56="","",0)</f>
      </c>
      <c r="M56" s="7">
        <f>IF($C56="","",0)</f>
      </c>
      <c r="N56" s="7">
        <f>IF($C56="","",IF(OR(K56=0,I56="",IFERROR(INDEX('Challan Master'!$D$4:$D$207,MATCH($B56,'Challan Master'!$S$4:$S$207,0)),"")="",IFERROR(INDEX('Challan Master'!$D$4:$D$207,MATCH($B56,'Challan Master'!$S$4:$S$207,0)),"")&lt;=0),0,IF(IFERROR(INDEX('Challan Master'!$D$4:$D$207,MATCH($B56,'Challan Master'!$S$4:$S$207,0)),"")&lt;=DATE(YEAR(I56),MONTH(I56)+1,7),0,ROUND(K56*0.015*((YEAR(IFERROR(INDEX('Challan Master'!$D$4:$D$207,MATCH($B56,'Challan Master'!$S$4:$S$207,0)),""))-YEAR(I56))*12+(MONTH(IFERROR(INDEX('Challan Master'!$D$4:$D$207,MATCH($B56,'Challan Master'!$S$4:$S$207,0)),""))-MONTH(I56))+1),0))))</f>
      </c>
      <c r="O56" s="7">
        <f>IF($C56="","",0)</f>
      </c>
      <c r="P56" s="8"/>
      <c r="Q56" s="8"/>
      <c r="R56" s="8"/>
      <c r="S56" s="8"/>
      <c r="T56" s="8"/>
      <c r="U56" s="7">
        <f>IF($B56="","",IFERROR(INDEX('Challan Master'!$AA$4:$AA$207,MATCH($B56,'Challan Master'!$S$4:$S$207,0)),""))</f>
      </c>
    </row>
    <row r="57" spans="1:22" x14ac:dyDescent="0.25">
      <c r="A57" s="7">
        <f>IF($C57="","",COUNTIF($C$4:$C57,"&lt;&gt;"))</f>
      </c>
      <c r="B57" s="8"/>
      <c r="C57" s="8"/>
      <c r="D57" s="8"/>
      <c r="E57" s="7">
        <f>IF($C57="","",IF(AND(LEN(TRIM(UPPER(D57)))=10,CODE(MID(TRIM(UPPER(D57)),1,1))&gt;=65,CODE(MID(TRIM(UPPER(D57)),1,1))&lt;=90,CODE(MID(TRIM(UPPER(D57)),2,1))&gt;=65,CODE(MID(TRIM(UPPER(D57)),2,1))&lt;=90,CODE(MID(TRIM(UPPER(D57)),3,1))&gt;=65,CODE(MID(TRIM(UPPER(D57)),3,1))&lt;=90,CODE(MID(TRIM(UPPER(D57)),4,1))&gt;=65,CODE(MID(TRIM(UPPER(D57)),4,1))&lt;=90,CODE(MID(TRIM(UPPER(D57)),5,1))&gt;=65,CODE(MID(TRIM(UPPER(D57)),5,1))&lt;=90,CODE(MID(TRIM(UPPER(D57)),10,1))&gt;=65,CODE(MID(TRIM(UPPER(D57)),10,1))&lt;=90,CODE(MID(TRIM(UPPER(D57)),6,1))&gt;=48,CODE(MID(TRIM(UPPER(D57)),6,1))&lt;=57,CODE(MID(TRIM(UPPER(D57)),7,1))&gt;=48,CODE(MID(TRIM(UPPER(D57)),7,1))&lt;=57,CODE(MID(TRIM(UPPER(D57)),8,1))&gt;=48,CODE(MID(TRIM(UPPER(D57)),8,1))&lt;=57,CODE(MID(TRIM(UPPER(D57)),9,1))&gt;=48,CODE(MID(TRIM(UPPER(D57)),9,1))&lt;=57),"N","Y"))</f>
      </c>
      <c r="F57" s="7">
        <f>IF($C57="","",IF(LEN(D57)&lt;4,"",IF(UPPER(MID(D57,4,1))="P","Individual",IF(UPPER(MID(D57,4,1))="H","HUF",IF(UPPER(MID(D57,4,1))="C","Company",IF(UPPER(MID(D57,4,1))="F","Firm",IF(UPPER(MID(D57,4,1))="L","LLP",IF(UPPER(MID(D57,4,1))="T","Trust",IF(UPPER(MID(D57,4,1))="A","AOP","")))))))))</f>
      </c>
      <c r="G57" s="8"/>
      <c r="H57" s="7">
        <f>IF($C57="","",IF(R57&lt;&gt;"",R57,IF(G57="","",IF(E57="Y",SUMPRODUCT(('Rate Lookup'!$A$1:$A$37=G57)*'Rate Lookup'!$D$1:$D$37),IF(OR(F57="Individual",F57="HUF"),SUMPRODUCT(('Rate Lookup'!$A$1:$A$37=G57)*'Rate Lookup'!$B$1:$B$37),SUMPRODUCT(('Rate Lookup'!$A$1:$A$37=G57)*'Rate Lookup'!$C$1:$C$37)))))))</f>
      </c>
      <c r="I57" s="8"/>
      <c r="J57" s="8"/>
      <c r="K57" s="7">
        <f>IF($C57="","",IF(OR(P57="B",P57="D",P57="E",P57="N",P57="O",P57="P",P57="Q",P57="S",P57="Y",P57="Z"),0,ROUND(J57*H57/100,0)))</f>
      </c>
      <c r="L57" s="7">
        <f>IF($C57="","",0)</f>
      </c>
      <c r="M57" s="7">
        <f>IF($C57="","",0)</f>
      </c>
      <c r="N57" s="7">
        <f>IF($C57="","",IF(OR(K57=0,I57="",IFERROR(INDEX('Challan Master'!$D$4:$D$207,MATCH($B57,'Challan Master'!$S$4:$S$207,0)),"")="",IFERROR(INDEX('Challan Master'!$D$4:$D$207,MATCH($B57,'Challan Master'!$S$4:$S$207,0)),"")&lt;=0),0,IF(IFERROR(INDEX('Challan Master'!$D$4:$D$207,MATCH($B57,'Challan Master'!$S$4:$S$207,0)),"")&lt;=DATE(YEAR(I57),MONTH(I57)+1,7),0,ROUND(K57*0.015*((YEAR(IFERROR(INDEX('Challan Master'!$D$4:$D$207,MATCH($B57,'Challan Master'!$S$4:$S$207,0)),""))-YEAR(I57))*12+(MONTH(IFERROR(INDEX('Challan Master'!$D$4:$D$207,MATCH($B57,'Challan Master'!$S$4:$S$207,0)),""))-MONTH(I57))+1),0))))</f>
      </c>
      <c r="O57" s="7">
        <f>IF($C57="","",0)</f>
      </c>
      <c r="P57" s="8"/>
      <c r="Q57" s="8"/>
      <c r="R57" s="8"/>
      <c r="S57" s="8"/>
      <c r="T57" s="8"/>
      <c r="U57" s="7">
        <f>IF($B57="","",IFERROR(INDEX('Challan Master'!$AA$4:$AA$207,MATCH($B57,'Challan Master'!$S$4:$S$207,0)),""))</f>
      </c>
    </row>
    <row r="58" spans="1:22" x14ac:dyDescent="0.25">
      <c r="A58" s="7">
        <f>IF($C58="","",COUNTIF($C$4:$C58,"&lt;&gt;"))</f>
      </c>
      <c r="B58" s="8"/>
      <c r="C58" s="8"/>
      <c r="D58" s="8"/>
      <c r="E58" s="7">
        <f>IF($C58="","",IF(AND(LEN(TRIM(UPPER(D58)))=10,CODE(MID(TRIM(UPPER(D58)),1,1))&gt;=65,CODE(MID(TRIM(UPPER(D58)),1,1))&lt;=90,CODE(MID(TRIM(UPPER(D58)),2,1))&gt;=65,CODE(MID(TRIM(UPPER(D58)),2,1))&lt;=90,CODE(MID(TRIM(UPPER(D58)),3,1))&gt;=65,CODE(MID(TRIM(UPPER(D58)),3,1))&lt;=90,CODE(MID(TRIM(UPPER(D58)),4,1))&gt;=65,CODE(MID(TRIM(UPPER(D58)),4,1))&lt;=90,CODE(MID(TRIM(UPPER(D58)),5,1))&gt;=65,CODE(MID(TRIM(UPPER(D58)),5,1))&lt;=90,CODE(MID(TRIM(UPPER(D58)),10,1))&gt;=65,CODE(MID(TRIM(UPPER(D58)),10,1))&lt;=90,CODE(MID(TRIM(UPPER(D58)),6,1))&gt;=48,CODE(MID(TRIM(UPPER(D58)),6,1))&lt;=57,CODE(MID(TRIM(UPPER(D58)),7,1))&gt;=48,CODE(MID(TRIM(UPPER(D58)),7,1))&lt;=57,CODE(MID(TRIM(UPPER(D58)),8,1))&gt;=48,CODE(MID(TRIM(UPPER(D58)),8,1))&lt;=57,CODE(MID(TRIM(UPPER(D58)),9,1))&gt;=48,CODE(MID(TRIM(UPPER(D58)),9,1))&lt;=57),"N","Y"))</f>
      </c>
      <c r="F58" s="7">
        <f>IF($C58="","",IF(LEN(D58)&lt;4,"",IF(UPPER(MID(D58,4,1))="P","Individual",IF(UPPER(MID(D58,4,1))="H","HUF",IF(UPPER(MID(D58,4,1))="C","Company",IF(UPPER(MID(D58,4,1))="F","Firm",IF(UPPER(MID(D58,4,1))="L","LLP",IF(UPPER(MID(D58,4,1))="T","Trust",IF(UPPER(MID(D58,4,1))="A","AOP","")))))))))</f>
      </c>
      <c r="G58" s="8"/>
      <c r="H58" s="7">
        <f>IF($C58="","",IF(R58&lt;&gt;"",R58,IF(G58="","",IF(E58="Y",SUMPRODUCT(('Rate Lookup'!$A$1:$A$37=G58)*'Rate Lookup'!$D$1:$D$37),IF(OR(F58="Individual",F58="HUF"),SUMPRODUCT(('Rate Lookup'!$A$1:$A$37=G58)*'Rate Lookup'!$B$1:$B$37),SUMPRODUCT(('Rate Lookup'!$A$1:$A$37=G58)*'Rate Lookup'!$C$1:$C$37)))))))</f>
      </c>
      <c r="I58" s="8"/>
      <c r="J58" s="8"/>
      <c r="K58" s="7">
        <f>IF($C58="","",IF(OR(P58="B",P58="D",P58="E",P58="N",P58="O",P58="P",P58="Q",P58="S",P58="Y",P58="Z"),0,ROUND(J58*H58/100,0)))</f>
      </c>
      <c r="L58" s="7">
        <f>IF($C58="","",0)</f>
      </c>
      <c r="M58" s="7">
        <f>IF($C58="","",0)</f>
      </c>
      <c r="N58" s="7">
        <f>IF($C58="","",IF(OR(K58=0,I58="",IFERROR(INDEX('Challan Master'!$D$4:$D$207,MATCH($B58,'Challan Master'!$S$4:$S$207,0)),"")="",IFERROR(INDEX('Challan Master'!$D$4:$D$207,MATCH($B58,'Challan Master'!$S$4:$S$207,0)),"")&lt;=0),0,IF(IFERROR(INDEX('Challan Master'!$D$4:$D$207,MATCH($B58,'Challan Master'!$S$4:$S$207,0)),"")&lt;=DATE(YEAR(I58),MONTH(I58)+1,7),0,ROUND(K58*0.015*((YEAR(IFERROR(INDEX('Challan Master'!$D$4:$D$207,MATCH($B58,'Challan Master'!$S$4:$S$207,0)),""))-YEAR(I58))*12+(MONTH(IFERROR(INDEX('Challan Master'!$D$4:$D$207,MATCH($B58,'Challan Master'!$S$4:$S$207,0)),""))-MONTH(I58))+1),0))))</f>
      </c>
      <c r="O58" s="7">
        <f>IF($C58="","",0)</f>
      </c>
      <c r="P58" s="8"/>
      <c r="Q58" s="8"/>
      <c r="R58" s="8"/>
      <c r="S58" s="8"/>
      <c r="T58" s="8"/>
      <c r="U58" s="7">
        <f>IF($B58="","",IFERROR(INDEX('Challan Master'!$AA$4:$AA$207,MATCH($B58,'Challan Master'!$S$4:$S$207,0)),""))</f>
      </c>
    </row>
    <row r="59" spans="1:22" x14ac:dyDescent="0.25">
      <c r="A59" s="7">
        <f>IF($C59="","",COUNTIF($C$4:$C59,"&lt;&gt;"))</f>
      </c>
      <c r="B59" s="8"/>
      <c r="C59" s="8"/>
      <c r="D59" s="8"/>
      <c r="E59" s="7">
        <f>IF($C59="","",IF(AND(LEN(TRIM(UPPER(D59)))=10,CODE(MID(TRIM(UPPER(D59)),1,1))&gt;=65,CODE(MID(TRIM(UPPER(D59)),1,1))&lt;=90,CODE(MID(TRIM(UPPER(D59)),2,1))&gt;=65,CODE(MID(TRIM(UPPER(D59)),2,1))&lt;=90,CODE(MID(TRIM(UPPER(D59)),3,1))&gt;=65,CODE(MID(TRIM(UPPER(D59)),3,1))&lt;=90,CODE(MID(TRIM(UPPER(D59)),4,1))&gt;=65,CODE(MID(TRIM(UPPER(D59)),4,1))&lt;=90,CODE(MID(TRIM(UPPER(D59)),5,1))&gt;=65,CODE(MID(TRIM(UPPER(D59)),5,1))&lt;=90,CODE(MID(TRIM(UPPER(D59)),10,1))&gt;=65,CODE(MID(TRIM(UPPER(D59)),10,1))&lt;=90,CODE(MID(TRIM(UPPER(D59)),6,1))&gt;=48,CODE(MID(TRIM(UPPER(D59)),6,1))&lt;=57,CODE(MID(TRIM(UPPER(D59)),7,1))&gt;=48,CODE(MID(TRIM(UPPER(D59)),7,1))&lt;=57,CODE(MID(TRIM(UPPER(D59)),8,1))&gt;=48,CODE(MID(TRIM(UPPER(D59)),8,1))&lt;=57,CODE(MID(TRIM(UPPER(D59)),9,1))&gt;=48,CODE(MID(TRIM(UPPER(D59)),9,1))&lt;=57),"N","Y"))</f>
      </c>
      <c r="F59" s="7">
        <f>IF($C59="","",IF(LEN(D59)&lt;4,"",IF(UPPER(MID(D59,4,1))="P","Individual",IF(UPPER(MID(D59,4,1))="H","HUF",IF(UPPER(MID(D59,4,1))="C","Company",IF(UPPER(MID(D59,4,1))="F","Firm",IF(UPPER(MID(D59,4,1))="L","LLP",IF(UPPER(MID(D59,4,1))="T","Trust",IF(UPPER(MID(D59,4,1))="A","AOP","")))))))))</f>
      </c>
      <c r="G59" s="8"/>
      <c r="H59" s="7">
        <f>IF($C59="","",IF(R59&lt;&gt;"",R59,IF(G59="","",IF(E59="Y",SUMPRODUCT(('Rate Lookup'!$A$1:$A$37=G59)*'Rate Lookup'!$D$1:$D$37),IF(OR(F59="Individual",F59="HUF"),SUMPRODUCT(('Rate Lookup'!$A$1:$A$37=G59)*'Rate Lookup'!$B$1:$B$37),SUMPRODUCT(('Rate Lookup'!$A$1:$A$37=G59)*'Rate Lookup'!$C$1:$C$37)))))))</f>
      </c>
      <c r="I59" s="8"/>
      <c r="J59" s="8"/>
      <c r="K59" s="7">
        <f>IF($C59="","",IF(OR(P59="B",P59="D",P59="E",P59="N",P59="O",P59="P",P59="Q",P59="S",P59="Y",P59="Z"),0,ROUND(J59*H59/100,0)))</f>
      </c>
      <c r="L59" s="7">
        <f>IF($C59="","",0)</f>
      </c>
      <c r="M59" s="7">
        <f>IF($C59="","",0)</f>
      </c>
      <c r="N59" s="7">
        <f>IF($C59="","",IF(OR(K59=0,I59="",IFERROR(INDEX('Challan Master'!$D$4:$D$207,MATCH($B59,'Challan Master'!$S$4:$S$207,0)),"")="",IFERROR(INDEX('Challan Master'!$D$4:$D$207,MATCH($B59,'Challan Master'!$S$4:$S$207,0)),"")&lt;=0),0,IF(IFERROR(INDEX('Challan Master'!$D$4:$D$207,MATCH($B59,'Challan Master'!$S$4:$S$207,0)),"")&lt;=DATE(YEAR(I59),MONTH(I59)+1,7),0,ROUND(K59*0.015*((YEAR(IFERROR(INDEX('Challan Master'!$D$4:$D$207,MATCH($B59,'Challan Master'!$S$4:$S$207,0)),""))-YEAR(I59))*12+(MONTH(IFERROR(INDEX('Challan Master'!$D$4:$D$207,MATCH($B59,'Challan Master'!$S$4:$S$207,0)),""))-MONTH(I59))+1),0))))</f>
      </c>
      <c r="O59" s="7">
        <f>IF($C59="","",0)</f>
      </c>
      <c r="P59" s="8"/>
      <c r="Q59" s="8"/>
      <c r="R59" s="8"/>
      <c r="S59" s="8"/>
      <c r="T59" s="8"/>
      <c r="U59" s="7">
        <f>IF($B59="","",IFERROR(INDEX('Challan Master'!$AA$4:$AA$207,MATCH($B59,'Challan Master'!$S$4:$S$207,0)),""))</f>
      </c>
    </row>
    <row r="60" spans="1:22" x14ac:dyDescent="0.25">
      <c r="A60" s="7">
        <f>IF($C60="","",COUNTIF($C$4:$C60,"&lt;&gt;"))</f>
      </c>
      <c r="B60" s="8"/>
      <c r="C60" s="8"/>
      <c r="D60" s="8"/>
      <c r="E60" s="7">
        <f>IF($C60="","",IF(AND(LEN(TRIM(UPPER(D60)))=10,CODE(MID(TRIM(UPPER(D60)),1,1))&gt;=65,CODE(MID(TRIM(UPPER(D60)),1,1))&lt;=90,CODE(MID(TRIM(UPPER(D60)),2,1))&gt;=65,CODE(MID(TRIM(UPPER(D60)),2,1))&lt;=90,CODE(MID(TRIM(UPPER(D60)),3,1))&gt;=65,CODE(MID(TRIM(UPPER(D60)),3,1))&lt;=90,CODE(MID(TRIM(UPPER(D60)),4,1))&gt;=65,CODE(MID(TRIM(UPPER(D60)),4,1))&lt;=90,CODE(MID(TRIM(UPPER(D60)),5,1))&gt;=65,CODE(MID(TRIM(UPPER(D60)),5,1))&lt;=90,CODE(MID(TRIM(UPPER(D60)),10,1))&gt;=65,CODE(MID(TRIM(UPPER(D60)),10,1))&lt;=90,CODE(MID(TRIM(UPPER(D60)),6,1))&gt;=48,CODE(MID(TRIM(UPPER(D60)),6,1))&lt;=57,CODE(MID(TRIM(UPPER(D60)),7,1))&gt;=48,CODE(MID(TRIM(UPPER(D60)),7,1))&lt;=57,CODE(MID(TRIM(UPPER(D60)),8,1))&gt;=48,CODE(MID(TRIM(UPPER(D60)),8,1))&lt;=57,CODE(MID(TRIM(UPPER(D60)),9,1))&gt;=48,CODE(MID(TRIM(UPPER(D60)),9,1))&lt;=57),"N","Y"))</f>
      </c>
      <c r="F60" s="7">
        <f>IF($C60="","",IF(LEN(D60)&lt;4,"",IF(UPPER(MID(D60,4,1))="P","Individual",IF(UPPER(MID(D60,4,1))="H","HUF",IF(UPPER(MID(D60,4,1))="C","Company",IF(UPPER(MID(D60,4,1))="F","Firm",IF(UPPER(MID(D60,4,1))="L","LLP",IF(UPPER(MID(D60,4,1))="T","Trust",IF(UPPER(MID(D60,4,1))="A","AOP","")))))))))</f>
      </c>
      <c r="G60" s="8"/>
      <c r="H60" s="7">
        <f>IF($C60="","",IF(R60&lt;&gt;"",R60,IF(G60="","",IF(E60="Y",SUMPRODUCT(('Rate Lookup'!$A$1:$A$37=G60)*'Rate Lookup'!$D$1:$D$37),IF(OR(F60="Individual",F60="HUF"),SUMPRODUCT(('Rate Lookup'!$A$1:$A$37=G60)*'Rate Lookup'!$B$1:$B$37),SUMPRODUCT(('Rate Lookup'!$A$1:$A$37=G60)*'Rate Lookup'!$C$1:$C$37)))))))</f>
      </c>
      <c r="I60" s="8"/>
      <c r="J60" s="8"/>
      <c r="K60" s="7">
        <f>IF($C60="","",IF(OR(P60="B",P60="D",P60="E",P60="N",P60="O",P60="P",P60="Q",P60="S",P60="Y",P60="Z"),0,ROUND(J60*H60/100,0)))</f>
      </c>
      <c r="L60" s="7">
        <f>IF($C60="","",0)</f>
      </c>
      <c r="M60" s="7">
        <f>IF($C60="","",0)</f>
      </c>
      <c r="N60" s="7">
        <f>IF($C60="","",IF(OR(K60=0,I60="",IFERROR(INDEX('Challan Master'!$D$4:$D$207,MATCH($B60,'Challan Master'!$S$4:$S$207,0)),"")="",IFERROR(INDEX('Challan Master'!$D$4:$D$207,MATCH($B60,'Challan Master'!$S$4:$S$207,0)),"")&lt;=0),0,IF(IFERROR(INDEX('Challan Master'!$D$4:$D$207,MATCH($B60,'Challan Master'!$S$4:$S$207,0)),"")&lt;=DATE(YEAR(I60),MONTH(I60)+1,7),0,ROUND(K60*0.015*((YEAR(IFERROR(INDEX('Challan Master'!$D$4:$D$207,MATCH($B60,'Challan Master'!$S$4:$S$207,0)),""))-YEAR(I60))*12+(MONTH(IFERROR(INDEX('Challan Master'!$D$4:$D$207,MATCH($B60,'Challan Master'!$S$4:$S$207,0)),""))-MONTH(I60))+1),0))))</f>
      </c>
      <c r="O60" s="7">
        <f>IF($C60="","",0)</f>
      </c>
      <c r="P60" s="8"/>
      <c r="Q60" s="8"/>
      <c r="R60" s="8"/>
      <c r="S60" s="8"/>
      <c r="T60" s="8"/>
      <c r="U60" s="7">
        <f>IF($B60="","",IFERROR(INDEX('Challan Master'!$AA$4:$AA$207,MATCH($B60,'Challan Master'!$S$4:$S$207,0)),""))</f>
      </c>
    </row>
    <row r="61" spans="1:22" x14ac:dyDescent="0.25">
      <c r="A61" s="7">
        <f>IF($C61="","",COUNTIF($C$4:$C61,"&lt;&gt;"))</f>
      </c>
      <c r="B61" s="8"/>
      <c r="C61" s="8"/>
      <c r="D61" s="8"/>
      <c r="E61" s="7">
        <f>IF($C61="","",IF(AND(LEN(TRIM(UPPER(D61)))=10,CODE(MID(TRIM(UPPER(D61)),1,1))&gt;=65,CODE(MID(TRIM(UPPER(D61)),1,1))&lt;=90,CODE(MID(TRIM(UPPER(D61)),2,1))&gt;=65,CODE(MID(TRIM(UPPER(D61)),2,1))&lt;=90,CODE(MID(TRIM(UPPER(D61)),3,1))&gt;=65,CODE(MID(TRIM(UPPER(D61)),3,1))&lt;=90,CODE(MID(TRIM(UPPER(D61)),4,1))&gt;=65,CODE(MID(TRIM(UPPER(D61)),4,1))&lt;=90,CODE(MID(TRIM(UPPER(D61)),5,1))&gt;=65,CODE(MID(TRIM(UPPER(D61)),5,1))&lt;=90,CODE(MID(TRIM(UPPER(D61)),10,1))&gt;=65,CODE(MID(TRIM(UPPER(D61)),10,1))&lt;=90,CODE(MID(TRIM(UPPER(D61)),6,1))&gt;=48,CODE(MID(TRIM(UPPER(D61)),6,1))&lt;=57,CODE(MID(TRIM(UPPER(D61)),7,1))&gt;=48,CODE(MID(TRIM(UPPER(D61)),7,1))&lt;=57,CODE(MID(TRIM(UPPER(D61)),8,1))&gt;=48,CODE(MID(TRIM(UPPER(D61)),8,1))&lt;=57,CODE(MID(TRIM(UPPER(D61)),9,1))&gt;=48,CODE(MID(TRIM(UPPER(D61)),9,1))&lt;=57),"N","Y"))</f>
      </c>
      <c r="F61" s="7">
        <f>IF($C61="","",IF(LEN(D61)&lt;4,"",IF(UPPER(MID(D61,4,1))="P","Individual",IF(UPPER(MID(D61,4,1))="H","HUF",IF(UPPER(MID(D61,4,1))="C","Company",IF(UPPER(MID(D61,4,1))="F","Firm",IF(UPPER(MID(D61,4,1))="L","LLP",IF(UPPER(MID(D61,4,1))="T","Trust",IF(UPPER(MID(D61,4,1))="A","AOP","")))))))))</f>
      </c>
      <c r="G61" s="8"/>
      <c r="H61" s="7">
        <f>IF($C61="","",IF(R61&lt;&gt;"",R61,IF(G61="","",IF(E61="Y",SUMPRODUCT(('Rate Lookup'!$A$1:$A$37=G61)*'Rate Lookup'!$D$1:$D$37),IF(OR(F61="Individual",F61="HUF"),SUMPRODUCT(('Rate Lookup'!$A$1:$A$37=G61)*'Rate Lookup'!$B$1:$B$37),SUMPRODUCT(('Rate Lookup'!$A$1:$A$37=G61)*'Rate Lookup'!$C$1:$C$37)))))))</f>
      </c>
      <c r="I61" s="8"/>
      <c r="J61" s="8"/>
      <c r="K61" s="7">
        <f>IF($C61="","",IF(OR(P61="B",P61="D",P61="E",P61="N",P61="O",P61="P",P61="Q",P61="S",P61="Y",P61="Z"),0,ROUND(J61*H61/100,0)))</f>
      </c>
      <c r="L61" s="7">
        <f>IF($C61="","",0)</f>
      </c>
      <c r="M61" s="7">
        <f>IF($C61="","",0)</f>
      </c>
      <c r="N61" s="7">
        <f>IF($C61="","",IF(OR(K61=0,I61="",IFERROR(INDEX('Challan Master'!$D$4:$D$207,MATCH($B61,'Challan Master'!$S$4:$S$207,0)),"")="",IFERROR(INDEX('Challan Master'!$D$4:$D$207,MATCH($B61,'Challan Master'!$S$4:$S$207,0)),"")&lt;=0),0,IF(IFERROR(INDEX('Challan Master'!$D$4:$D$207,MATCH($B61,'Challan Master'!$S$4:$S$207,0)),"")&lt;=DATE(YEAR(I61),MONTH(I61)+1,7),0,ROUND(K61*0.015*((YEAR(IFERROR(INDEX('Challan Master'!$D$4:$D$207,MATCH($B61,'Challan Master'!$S$4:$S$207,0)),""))-YEAR(I61))*12+(MONTH(IFERROR(INDEX('Challan Master'!$D$4:$D$207,MATCH($B61,'Challan Master'!$S$4:$S$207,0)),""))-MONTH(I61))+1),0))))</f>
      </c>
      <c r="O61" s="7">
        <f>IF($C61="","",0)</f>
      </c>
      <c r="P61" s="8"/>
      <c r="Q61" s="8"/>
      <c r="R61" s="8"/>
      <c r="S61" s="8"/>
      <c r="T61" s="8"/>
      <c r="U61" s="7">
        <f>IF($B61="","",IFERROR(INDEX('Challan Master'!$AA$4:$AA$207,MATCH($B61,'Challan Master'!$S$4:$S$207,0)),""))</f>
      </c>
    </row>
    <row r="62" spans="1:22" x14ac:dyDescent="0.25">
      <c r="A62" s="7">
        <f>IF($C62="","",COUNTIF($C$4:$C62,"&lt;&gt;"))</f>
      </c>
      <c r="B62" s="8"/>
      <c r="C62" s="8"/>
      <c r="D62" s="8"/>
      <c r="E62" s="7">
        <f>IF($C62="","",IF(AND(LEN(TRIM(UPPER(D62)))=10,CODE(MID(TRIM(UPPER(D62)),1,1))&gt;=65,CODE(MID(TRIM(UPPER(D62)),1,1))&lt;=90,CODE(MID(TRIM(UPPER(D62)),2,1))&gt;=65,CODE(MID(TRIM(UPPER(D62)),2,1))&lt;=90,CODE(MID(TRIM(UPPER(D62)),3,1))&gt;=65,CODE(MID(TRIM(UPPER(D62)),3,1))&lt;=90,CODE(MID(TRIM(UPPER(D62)),4,1))&gt;=65,CODE(MID(TRIM(UPPER(D62)),4,1))&lt;=90,CODE(MID(TRIM(UPPER(D62)),5,1))&gt;=65,CODE(MID(TRIM(UPPER(D62)),5,1))&lt;=90,CODE(MID(TRIM(UPPER(D62)),10,1))&gt;=65,CODE(MID(TRIM(UPPER(D62)),10,1))&lt;=90,CODE(MID(TRIM(UPPER(D62)),6,1))&gt;=48,CODE(MID(TRIM(UPPER(D62)),6,1))&lt;=57,CODE(MID(TRIM(UPPER(D62)),7,1))&gt;=48,CODE(MID(TRIM(UPPER(D62)),7,1))&lt;=57,CODE(MID(TRIM(UPPER(D62)),8,1))&gt;=48,CODE(MID(TRIM(UPPER(D62)),8,1))&lt;=57,CODE(MID(TRIM(UPPER(D62)),9,1))&gt;=48,CODE(MID(TRIM(UPPER(D62)),9,1))&lt;=57),"N","Y"))</f>
      </c>
      <c r="F62" s="7">
        <f>IF($C62="","",IF(LEN(D62)&lt;4,"",IF(UPPER(MID(D62,4,1))="P","Individual",IF(UPPER(MID(D62,4,1))="H","HUF",IF(UPPER(MID(D62,4,1))="C","Company",IF(UPPER(MID(D62,4,1))="F","Firm",IF(UPPER(MID(D62,4,1))="L","LLP",IF(UPPER(MID(D62,4,1))="T","Trust",IF(UPPER(MID(D62,4,1))="A","AOP","")))))))))</f>
      </c>
      <c r="G62" s="8"/>
      <c r="H62" s="7">
        <f>IF($C62="","",IF(R62&lt;&gt;"",R62,IF(G62="","",IF(E62="Y",SUMPRODUCT(('Rate Lookup'!$A$1:$A$37=G62)*'Rate Lookup'!$D$1:$D$37),IF(OR(F62="Individual",F62="HUF"),SUMPRODUCT(('Rate Lookup'!$A$1:$A$37=G62)*'Rate Lookup'!$B$1:$B$37),SUMPRODUCT(('Rate Lookup'!$A$1:$A$37=G62)*'Rate Lookup'!$C$1:$C$37)))))))</f>
      </c>
      <c r="I62" s="8"/>
      <c r="J62" s="8"/>
      <c r="K62" s="7">
        <f>IF($C62="","",IF(OR(P62="B",P62="D",P62="E",P62="N",P62="O",P62="P",P62="Q",P62="S",P62="Y",P62="Z"),0,ROUND(J62*H62/100,0)))</f>
      </c>
      <c r="L62" s="7">
        <f>IF($C62="","",0)</f>
      </c>
      <c r="M62" s="7">
        <f>IF($C62="","",0)</f>
      </c>
      <c r="N62" s="7">
        <f>IF($C62="","",IF(OR(K62=0,I62="",IFERROR(INDEX('Challan Master'!$D$4:$D$207,MATCH($B62,'Challan Master'!$S$4:$S$207,0)),"")="",IFERROR(INDEX('Challan Master'!$D$4:$D$207,MATCH($B62,'Challan Master'!$S$4:$S$207,0)),"")&lt;=0),0,IF(IFERROR(INDEX('Challan Master'!$D$4:$D$207,MATCH($B62,'Challan Master'!$S$4:$S$207,0)),"")&lt;=DATE(YEAR(I62),MONTH(I62)+1,7),0,ROUND(K62*0.015*((YEAR(IFERROR(INDEX('Challan Master'!$D$4:$D$207,MATCH($B62,'Challan Master'!$S$4:$S$207,0)),""))-YEAR(I62))*12+(MONTH(IFERROR(INDEX('Challan Master'!$D$4:$D$207,MATCH($B62,'Challan Master'!$S$4:$S$207,0)),""))-MONTH(I62))+1),0))))</f>
      </c>
      <c r="O62" s="7">
        <f>IF($C62="","",0)</f>
      </c>
      <c r="P62" s="8"/>
      <c r="Q62" s="8"/>
      <c r="R62" s="8"/>
      <c r="S62" s="8"/>
      <c r="T62" s="8"/>
      <c r="U62" s="7">
        <f>IF($B62="","",IFERROR(INDEX('Challan Master'!$AA$4:$AA$207,MATCH($B62,'Challan Master'!$S$4:$S$207,0)),""))</f>
      </c>
    </row>
    <row r="63" spans="1:22" x14ac:dyDescent="0.25">
      <c r="A63" s="7">
        <f>IF($C63="","",COUNTIF($C$4:$C63,"&lt;&gt;"))</f>
      </c>
      <c r="B63" s="8"/>
      <c r="C63" s="8"/>
      <c r="D63" s="8"/>
      <c r="E63" s="7">
        <f>IF($C63="","",IF(AND(LEN(TRIM(UPPER(D63)))=10,CODE(MID(TRIM(UPPER(D63)),1,1))&gt;=65,CODE(MID(TRIM(UPPER(D63)),1,1))&lt;=90,CODE(MID(TRIM(UPPER(D63)),2,1))&gt;=65,CODE(MID(TRIM(UPPER(D63)),2,1))&lt;=90,CODE(MID(TRIM(UPPER(D63)),3,1))&gt;=65,CODE(MID(TRIM(UPPER(D63)),3,1))&lt;=90,CODE(MID(TRIM(UPPER(D63)),4,1))&gt;=65,CODE(MID(TRIM(UPPER(D63)),4,1))&lt;=90,CODE(MID(TRIM(UPPER(D63)),5,1))&gt;=65,CODE(MID(TRIM(UPPER(D63)),5,1))&lt;=90,CODE(MID(TRIM(UPPER(D63)),10,1))&gt;=65,CODE(MID(TRIM(UPPER(D63)),10,1))&lt;=90,CODE(MID(TRIM(UPPER(D63)),6,1))&gt;=48,CODE(MID(TRIM(UPPER(D63)),6,1))&lt;=57,CODE(MID(TRIM(UPPER(D63)),7,1))&gt;=48,CODE(MID(TRIM(UPPER(D63)),7,1))&lt;=57,CODE(MID(TRIM(UPPER(D63)),8,1))&gt;=48,CODE(MID(TRIM(UPPER(D63)),8,1))&lt;=57,CODE(MID(TRIM(UPPER(D63)),9,1))&gt;=48,CODE(MID(TRIM(UPPER(D63)),9,1))&lt;=57),"N","Y"))</f>
      </c>
      <c r="F63" s="7">
        <f>IF($C63="","",IF(LEN(D63)&lt;4,"",IF(UPPER(MID(D63,4,1))="P","Individual",IF(UPPER(MID(D63,4,1))="H","HUF",IF(UPPER(MID(D63,4,1))="C","Company",IF(UPPER(MID(D63,4,1))="F","Firm",IF(UPPER(MID(D63,4,1))="L","LLP",IF(UPPER(MID(D63,4,1))="T","Trust",IF(UPPER(MID(D63,4,1))="A","AOP","")))))))))</f>
      </c>
      <c r="G63" s="8"/>
      <c r="H63" s="7">
        <f>IF($C63="","",IF(R63&lt;&gt;"",R63,IF(G63="","",IF(E63="Y",SUMPRODUCT(('Rate Lookup'!$A$1:$A$37=G63)*'Rate Lookup'!$D$1:$D$37),IF(OR(F63="Individual",F63="HUF"),SUMPRODUCT(('Rate Lookup'!$A$1:$A$37=G63)*'Rate Lookup'!$B$1:$B$37),SUMPRODUCT(('Rate Lookup'!$A$1:$A$37=G63)*'Rate Lookup'!$C$1:$C$37)))))))</f>
      </c>
      <c r="I63" s="8"/>
      <c r="J63" s="8"/>
      <c r="K63" s="7">
        <f>IF($C63="","",IF(OR(P63="B",P63="D",P63="E",P63="N",P63="O",P63="P",P63="Q",P63="S",P63="Y",P63="Z"),0,ROUND(J63*H63/100,0)))</f>
      </c>
      <c r="L63" s="7">
        <f>IF($C63="","",0)</f>
      </c>
      <c r="M63" s="7">
        <f>IF($C63="","",0)</f>
      </c>
      <c r="N63" s="7">
        <f>IF($C63="","",IF(OR(K63=0,I63="",IFERROR(INDEX('Challan Master'!$D$4:$D$207,MATCH($B63,'Challan Master'!$S$4:$S$207,0)),"")="",IFERROR(INDEX('Challan Master'!$D$4:$D$207,MATCH($B63,'Challan Master'!$S$4:$S$207,0)),"")&lt;=0),0,IF(IFERROR(INDEX('Challan Master'!$D$4:$D$207,MATCH($B63,'Challan Master'!$S$4:$S$207,0)),"")&lt;=DATE(YEAR(I63),MONTH(I63)+1,7),0,ROUND(K63*0.015*((YEAR(IFERROR(INDEX('Challan Master'!$D$4:$D$207,MATCH($B63,'Challan Master'!$S$4:$S$207,0)),""))-YEAR(I63))*12+(MONTH(IFERROR(INDEX('Challan Master'!$D$4:$D$207,MATCH($B63,'Challan Master'!$S$4:$S$207,0)),""))-MONTH(I63))+1),0))))</f>
      </c>
      <c r="O63" s="7">
        <f>IF($C63="","",0)</f>
      </c>
      <c r="P63" s="8"/>
      <c r="Q63" s="8"/>
      <c r="R63" s="8"/>
      <c r="S63" s="8"/>
      <c r="T63" s="8"/>
      <c r="U63" s="7">
        <f>IF($B63="","",IFERROR(INDEX('Challan Master'!$AA$4:$AA$207,MATCH($B63,'Challan Master'!$S$4:$S$207,0)),""))</f>
      </c>
    </row>
    <row r="64" spans="1:22" x14ac:dyDescent="0.25">
      <c r="A64" s="7">
        <f>IF($C64="","",COUNTIF($C$4:$C64,"&lt;&gt;"))</f>
      </c>
      <c r="B64" s="8"/>
      <c r="C64" s="8"/>
      <c r="D64" s="8"/>
      <c r="E64" s="7">
        <f>IF($C64="","",IF(AND(LEN(TRIM(UPPER(D64)))=10,CODE(MID(TRIM(UPPER(D64)),1,1))&gt;=65,CODE(MID(TRIM(UPPER(D64)),1,1))&lt;=90,CODE(MID(TRIM(UPPER(D64)),2,1))&gt;=65,CODE(MID(TRIM(UPPER(D64)),2,1))&lt;=90,CODE(MID(TRIM(UPPER(D64)),3,1))&gt;=65,CODE(MID(TRIM(UPPER(D64)),3,1))&lt;=90,CODE(MID(TRIM(UPPER(D64)),4,1))&gt;=65,CODE(MID(TRIM(UPPER(D64)),4,1))&lt;=90,CODE(MID(TRIM(UPPER(D64)),5,1))&gt;=65,CODE(MID(TRIM(UPPER(D64)),5,1))&lt;=90,CODE(MID(TRIM(UPPER(D64)),10,1))&gt;=65,CODE(MID(TRIM(UPPER(D64)),10,1))&lt;=90,CODE(MID(TRIM(UPPER(D64)),6,1))&gt;=48,CODE(MID(TRIM(UPPER(D64)),6,1))&lt;=57,CODE(MID(TRIM(UPPER(D64)),7,1))&gt;=48,CODE(MID(TRIM(UPPER(D64)),7,1))&lt;=57,CODE(MID(TRIM(UPPER(D64)),8,1))&gt;=48,CODE(MID(TRIM(UPPER(D64)),8,1))&lt;=57,CODE(MID(TRIM(UPPER(D64)),9,1))&gt;=48,CODE(MID(TRIM(UPPER(D64)),9,1))&lt;=57),"N","Y"))</f>
      </c>
      <c r="F64" s="7">
        <f>IF($C64="","",IF(LEN(D64)&lt;4,"",IF(UPPER(MID(D64,4,1))="P","Individual",IF(UPPER(MID(D64,4,1))="H","HUF",IF(UPPER(MID(D64,4,1))="C","Company",IF(UPPER(MID(D64,4,1))="F","Firm",IF(UPPER(MID(D64,4,1))="L","LLP",IF(UPPER(MID(D64,4,1))="T","Trust",IF(UPPER(MID(D64,4,1))="A","AOP","")))))))))</f>
      </c>
      <c r="G64" s="8"/>
      <c r="H64" s="7">
        <f>IF($C64="","",IF(R64&lt;&gt;"",R64,IF(G64="","",IF(E64="Y",SUMPRODUCT(('Rate Lookup'!$A$1:$A$37=G64)*'Rate Lookup'!$D$1:$D$37),IF(OR(F64="Individual",F64="HUF"),SUMPRODUCT(('Rate Lookup'!$A$1:$A$37=G64)*'Rate Lookup'!$B$1:$B$37),SUMPRODUCT(('Rate Lookup'!$A$1:$A$37=G64)*'Rate Lookup'!$C$1:$C$37)))))))</f>
      </c>
      <c r="I64" s="8"/>
      <c r="J64" s="8"/>
      <c r="K64" s="7">
        <f>IF($C64="","",IF(OR(P64="B",P64="D",P64="E",P64="N",P64="O",P64="P",P64="Q",P64="S",P64="Y",P64="Z"),0,ROUND(J64*H64/100,0)))</f>
      </c>
      <c r="L64" s="7">
        <f>IF($C64="","",0)</f>
      </c>
      <c r="M64" s="7">
        <f>IF($C64="","",0)</f>
      </c>
      <c r="N64" s="7">
        <f>IF($C64="","",IF(OR(K64=0,I64="",IFERROR(INDEX('Challan Master'!$D$4:$D$207,MATCH($B64,'Challan Master'!$S$4:$S$207,0)),"")="",IFERROR(INDEX('Challan Master'!$D$4:$D$207,MATCH($B64,'Challan Master'!$S$4:$S$207,0)),"")&lt;=0),0,IF(IFERROR(INDEX('Challan Master'!$D$4:$D$207,MATCH($B64,'Challan Master'!$S$4:$S$207,0)),"")&lt;=DATE(YEAR(I64),MONTH(I64)+1,7),0,ROUND(K64*0.015*((YEAR(IFERROR(INDEX('Challan Master'!$D$4:$D$207,MATCH($B64,'Challan Master'!$S$4:$S$207,0)),""))-YEAR(I64))*12+(MONTH(IFERROR(INDEX('Challan Master'!$D$4:$D$207,MATCH($B64,'Challan Master'!$S$4:$S$207,0)),""))-MONTH(I64))+1),0))))</f>
      </c>
      <c r="O64" s="7">
        <f>IF($C64="","",0)</f>
      </c>
      <c r="P64" s="8"/>
      <c r="Q64" s="8"/>
      <c r="R64" s="8"/>
      <c r="S64" s="8"/>
      <c r="T64" s="8"/>
      <c r="U64" s="7">
        <f>IF($B64="","",IFERROR(INDEX('Challan Master'!$AA$4:$AA$207,MATCH($B64,'Challan Master'!$S$4:$S$207,0)),""))</f>
      </c>
    </row>
    <row r="65" spans="1:22" x14ac:dyDescent="0.25">
      <c r="A65" s="7">
        <f>IF($C65="","",COUNTIF($C$4:$C65,"&lt;&gt;"))</f>
      </c>
      <c r="B65" s="8"/>
      <c r="C65" s="8"/>
      <c r="D65" s="8"/>
      <c r="E65" s="7">
        <f>IF($C65="","",IF(AND(LEN(TRIM(UPPER(D65)))=10,CODE(MID(TRIM(UPPER(D65)),1,1))&gt;=65,CODE(MID(TRIM(UPPER(D65)),1,1))&lt;=90,CODE(MID(TRIM(UPPER(D65)),2,1))&gt;=65,CODE(MID(TRIM(UPPER(D65)),2,1))&lt;=90,CODE(MID(TRIM(UPPER(D65)),3,1))&gt;=65,CODE(MID(TRIM(UPPER(D65)),3,1))&lt;=90,CODE(MID(TRIM(UPPER(D65)),4,1))&gt;=65,CODE(MID(TRIM(UPPER(D65)),4,1))&lt;=90,CODE(MID(TRIM(UPPER(D65)),5,1))&gt;=65,CODE(MID(TRIM(UPPER(D65)),5,1))&lt;=90,CODE(MID(TRIM(UPPER(D65)),10,1))&gt;=65,CODE(MID(TRIM(UPPER(D65)),10,1))&lt;=90,CODE(MID(TRIM(UPPER(D65)),6,1))&gt;=48,CODE(MID(TRIM(UPPER(D65)),6,1))&lt;=57,CODE(MID(TRIM(UPPER(D65)),7,1))&gt;=48,CODE(MID(TRIM(UPPER(D65)),7,1))&lt;=57,CODE(MID(TRIM(UPPER(D65)),8,1))&gt;=48,CODE(MID(TRIM(UPPER(D65)),8,1))&lt;=57,CODE(MID(TRIM(UPPER(D65)),9,1))&gt;=48,CODE(MID(TRIM(UPPER(D65)),9,1))&lt;=57),"N","Y"))</f>
      </c>
      <c r="F65" s="7">
        <f>IF($C65="","",IF(LEN(D65)&lt;4,"",IF(UPPER(MID(D65,4,1))="P","Individual",IF(UPPER(MID(D65,4,1))="H","HUF",IF(UPPER(MID(D65,4,1))="C","Company",IF(UPPER(MID(D65,4,1))="F","Firm",IF(UPPER(MID(D65,4,1))="L","LLP",IF(UPPER(MID(D65,4,1))="T","Trust",IF(UPPER(MID(D65,4,1))="A","AOP","")))))))))</f>
      </c>
      <c r="G65" s="8"/>
      <c r="H65" s="7">
        <f>IF($C65="","",IF(R65&lt;&gt;"",R65,IF(G65="","",IF(E65="Y",SUMPRODUCT(('Rate Lookup'!$A$1:$A$37=G65)*'Rate Lookup'!$D$1:$D$37),IF(OR(F65="Individual",F65="HUF"),SUMPRODUCT(('Rate Lookup'!$A$1:$A$37=G65)*'Rate Lookup'!$B$1:$B$37),SUMPRODUCT(('Rate Lookup'!$A$1:$A$37=G65)*'Rate Lookup'!$C$1:$C$37)))))))</f>
      </c>
      <c r="I65" s="8"/>
      <c r="J65" s="8"/>
      <c r="K65" s="7">
        <f>IF($C65="","",IF(OR(P65="B",P65="D",P65="E",P65="N",P65="O",P65="P",P65="Q",P65="S",P65="Y",P65="Z"),0,ROUND(J65*H65/100,0)))</f>
      </c>
      <c r="L65" s="7">
        <f>IF($C65="","",0)</f>
      </c>
      <c r="M65" s="7">
        <f>IF($C65="","",0)</f>
      </c>
      <c r="N65" s="7">
        <f>IF($C65="","",IF(OR(K65=0,I65="",IFERROR(INDEX('Challan Master'!$D$4:$D$207,MATCH($B65,'Challan Master'!$S$4:$S$207,0)),"")="",IFERROR(INDEX('Challan Master'!$D$4:$D$207,MATCH($B65,'Challan Master'!$S$4:$S$207,0)),"")&lt;=0),0,IF(IFERROR(INDEX('Challan Master'!$D$4:$D$207,MATCH($B65,'Challan Master'!$S$4:$S$207,0)),"")&lt;=DATE(YEAR(I65),MONTH(I65)+1,7),0,ROUND(K65*0.015*((YEAR(IFERROR(INDEX('Challan Master'!$D$4:$D$207,MATCH($B65,'Challan Master'!$S$4:$S$207,0)),""))-YEAR(I65))*12+(MONTH(IFERROR(INDEX('Challan Master'!$D$4:$D$207,MATCH($B65,'Challan Master'!$S$4:$S$207,0)),""))-MONTH(I65))+1),0))))</f>
      </c>
      <c r="O65" s="7">
        <f>IF($C65="","",0)</f>
      </c>
      <c r="P65" s="8"/>
      <c r="Q65" s="8"/>
      <c r="R65" s="8"/>
      <c r="S65" s="8"/>
      <c r="T65" s="8"/>
      <c r="U65" s="7">
        <f>IF($B65="","",IFERROR(INDEX('Challan Master'!$AA$4:$AA$207,MATCH($B65,'Challan Master'!$S$4:$S$207,0)),""))</f>
      </c>
    </row>
    <row r="66" spans="1:22" x14ac:dyDescent="0.25">
      <c r="A66" s="7">
        <f>IF($C66="","",COUNTIF($C$4:$C66,"&lt;&gt;"))</f>
      </c>
      <c r="B66" s="8"/>
      <c r="C66" s="8"/>
      <c r="D66" s="8"/>
      <c r="E66" s="7">
        <f>IF($C66="","",IF(AND(LEN(TRIM(UPPER(D66)))=10,CODE(MID(TRIM(UPPER(D66)),1,1))&gt;=65,CODE(MID(TRIM(UPPER(D66)),1,1))&lt;=90,CODE(MID(TRIM(UPPER(D66)),2,1))&gt;=65,CODE(MID(TRIM(UPPER(D66)),2,1))&lt;=90,CODE(MID(TRIM(UPPER(D66)),3,1))&gt;=65,CODE(MID(TRIM(UPPER(D66)),3,1))&lt;=90,CODE(MID(TRIM(UPPER(D66)),4,1))&gt;=65,CODE(MID(TRIM(UPPER(D66)),4,1))&lt;=90,CODE(MID(TRIM(UPPER(D66)),5,1))&gt;=65,CODE(MID(TRIM(UPPER(D66)),5,1))&lt;=90,CODE(MID(TRIM(UPPER(D66)),10,1))&gt;=65,CODE(MID(TRIM(UPPER(D66)),10,1))&lt;=90,CODE(MID(TRIM(UPPER(D66)),6,1))&gt;=48,CODE(MID(TRIM(UPPER(D66)),6,1))&lt;=57,CODE(MID(TRIM(UPPER(D66)),7,1))&gt;=48,CODE(MID(TRIM(UPPER(D66)),7,1))&lt;=57,CODE(MID(TRIM(UPPER(D66)),8,1))&gt;=48,CODE(MID(TRIM(UPPER(D66)),8,1))&lt;=57,CODE(MID(TRIM(UPPER(D66)),9,1))&gt;=48,CODE(MID(TRIM(UPPER(D66)),9,1))&lt;=57),"N","Y"))</f>
      </c>
      <c r="F66" s="7">
        <f>IF($C66="","",IF(LEN(D66)&lt;4,"",IF(UPPER(MID(D66,4,1))="P","Individual",IF(UPPER(MID(D66,4,1))="H","HUF",IF(UPPER(MID(D66,4,1))="C","Company",IF(UPPER(MID(D66,4,1))="F","Firm",IF(UPPER(MID(D66,4,1))="L","LLP",IF(UPPER(MID(D66,4,1))="T","Trust",IF(UPPER(MID(D66,4,1))="A","AOP","")))))))))</f>
      </c>
      <c r="G66" s="8"/>
      <c r="H66" s="7">
        <f>IF($C66="","",IF(R66&lt;&gt;"",R66,IF(G66="","",IF(E66="Y",SUMPRODUCT(('Rate Lookup'!$A$1:$A$37=G66)*'Rate Lookup'!$D$1:$D$37),IF(OR(F66="Individual",F66="HUF"),SUMPRODUCT(('Rate Lookup'!$A$1:$A$37=G66)*'Rate Lookup'!$B$1:$B$37),SUMPRODUCT(('Rate Lookup'!$A$1:$A$37=G66)*'Rate Lookup'!$C$1:$C$37)))))))</f>
      </c>
      <c r="I66" s="8"/>
      <c r="J66" s="8"/>
      <c r="K66" s="7">
        <f>IF($C66="","",IF(OR(P66="B",P66="D",P66="E",P66="N",P66="O",P66="P",P66="Q",P66="S",P66="Y",P66="Z"),0,ROUND(J66*H66/100,0)))</f>
      </c>
      <c r="L66" s="7">
        <f>IF($C66="","",0)</f>
      </c>
      <c r="M66" s="7">
        <f>IF($C66="","",0)</f>
      </c>
      <c r="N66" s="7">
        <f>IF($C66="","",IF(OR(K66=0,I66="",IFERROR(INDEX('Challan Master'!$D$4:$D$207,MATCH($B66,'Challan Master'!$S$4:$S$207,0)),"")="",IFERROR(INDEX('Challan Master'!$D$4:$D$207,MATCH($B66,'Challan Master'!$S$4:$S$207,0)),"")&lt;=0),0,IF(IFERROR(INDEX('Challan Master'!$D$4:$D$207,MATCH($B66,'Challan Master'!$S$4:$S$207,0)),"")&lt;=DATE(YEAR(I66),MONTH(I66)+1,7),0,ROUND(K66*0.015*((YEAR(IFERROR(INDEX('Challan Master'!$D$4:$D$207,MATCH($B66,'Challan Master'!$S$4:$S$207,0)),""))-YEAR(I66))*12+(MONTH(IFERROR(INDEX('Challan Master'!$D$4:$D$207,MATCH($B66,'Challan Master'!$S$4:$S$207,0)),""))-MONTH(I66))+1),0))))</f>
      </c>
      <c r="O66" s="7">
        <f>IF($C66="","",0)</f>
      </c>
      <c r="P66" s="8"/>
      <c r="Q66" s="8"/>
      <c r="R66" s="8"/>
      <c r="S66" s="8"/>
      <c r="T66" s="8"/>
      <c r="U66" s="7">
        <f>IF($B66="","",IFERROR(INDEX('Challan Master'!$AA$4:$AA$207,MATCH($B66,'Challan Master'!$S$4:$S$207,0)),""))</f>
      </c>
    </row>
    <row r="67" spans="1:22" x14ac:dyDescent="0.25">
      <c r="A67" s="7">
        <f>IF($C67="","",COUNTIF($C$4:$C67,"&lt;&gt;"))</f>
      </c>
      <c r="B67" s="8"/>
      <c r="C67" s="8"/>
      <c r="D67" s="8"/>
      <c r="E67" s="7">
        <f>IF($C67="","",IF(AND(LEN(TRIM(UPPER(D67)))=10,CODE(MID(TRIM(UPPER(D67)),1,1))&gt;=65,CODE(MID(TRIM(UPPER(D67)),1,1))&lt;=90,CODE(MID(TRIM(UPPER(D67)),2,1))&gt;=65,CODE(MID(TRIM(UPPER(D67)),2,1))&lt;=90,CODE(MID(TRIM(UPPER(D67)),3,1))&gt;=65,CODE(MID(TRIM(UPPER(D67)),3,1))&lt;=90,CODE(MID(TRIM(UPPER(D67)),4,1))&gt;=65,CODE(MID(TRIM(UPPER(D67)),4,1))&lt;=90,CODE(MID(TRIM(UPPER(D67)),5,1))&gt;=65,CODE(MID(TRIM(UPPER(D67)),5,1))&lt;=90,CODE(MID(TRIM(UPPER(D67)),10,1))&gt;=65,CODE(MID(TRIM(UPPER(D67)),10,1))&lt;=90,CODE(MID(TRIM(UPPER(D67)),6,1))&gt;=48,CODE(MID(TRIM(UPPER(D67)),6,1))&lt;=57,CODE(MID(TRIM(UPPER(D67)),7,1))&gt;=48,CODE(MID(TRIM(UPPER(D67)),7,1))&lt;=57,CODE(MID(TRIM(UPPER(D67)),8,1))&gt;=48,CODE(MID(TRIM(UPPER(D67)),8,1))&lt;=57,CODE(MID(TRIM(UPPER(D67)),9,1))&gt;=48,CODE(MID(TRIM(UPPER(D67)),9,1))&lt;=57),"N","Y"))</f>
      </c>
      <c r="F67" s="7">
        <f>IF($C67="","",IF(LEN(D67)&lt;4,"",IF(UPPER(MID(D67,4,1))="P","Individual",IF(UPPER(MID(D67,4,1))="H","HUF",IF(UPPER(MID(D67,4,1))="C","Company",IF(UPPER(MID(D67,4,1))="F","Firm",IF(UPPER(MID(D67,4,1))="L","LLP",IF(UPPER(MID(D67,4,1))="T","Trust",IF(UPPER(MID(D67,4,1))="A","AOP","")))))))))</f>
      </c>
      <c r="G67" s="8"/>
      <c r="H67" s="7">
        <f>IF($C67="","",IF(R67&lt;&gt;"",R67,IF(G67="","",IF(E67="Y",SUMPRODUCT(('Rate Lookup'!$A$1:$A$37=G67)*'Rate Lookup'!$D$1:$D$37),IF(OR(F67="Individual",F67="HUF"),SUMPRODUCT(('Rate Lookup'!$A$1:$A$37=G67)*'Rate Lookup'!$B$1:$B$37),SUMPRODUCT(('Rate Lookup'!$A$1:$A$37=G67)*'Rate Lookup'!$C$1:$C$37)))))))</f>
      </c>
      <c r="I67" s="8"/>
      <c r="J67" s="8"/>
      <c r="K67" s="7">
        <f>IF($C67="","",IF(OR(P67="B",P67="D",P67="E",P67="N",P67="O",P67="P",P67="Q",P67="S",P67="Y",P67="Z"),0,ROUND(J67*H67/100,0)))</f>
      </c>
      <c r="L67" s="7">
        <f>IF($C67="","",0)</f>
      </c>
      <c r="M67" s="7">
        <f>IF($C67="","",0)</f>
      </c>
      <c r="N67" s="7">
        <f>IF($C67="","",IF(OR(K67=0,I67="",IFERROR(INDEX('Challan Master'!$D$4:$D$207,MATCH($B67,'Challan Master'!$S$4:$S$207,0)),"")="",IFERROR(INDEX('Challan Master'!$D$4:$D$207,MATCH($B67,'Challan Master'!$S$4:$S$207,0)),"")&lt;=0),0,IF(IFERROR(INDEX('Challan Master'!$D$4:$D$207,MATCH($B67,'Challan Master'!$S$4:$S$207,0)),"")&lt;=DATE(YEAR(I67),MONTH(I67)+1,7),0,ROUND(K67*0.015*((YEAR(IFERROR(INDEX('Challan Master'!$D$4:$D$207,MATCH($B67,'Challan Master'!$S$4:$S$207,0)),""))-YEAR(I67))*12+(MONTH(IFERROR(INDEX('Challan Master'!$D$4:$D$207,MATCH($B67,'Challan Master'!$S$4:$S$207,0)),""))-MONTH(I67))+1),0))))</f>
      </c>
      <c r="O67" s="7">
        <f>IF($C67="","",0)</f>
      </c>
      <c r="P67" s="8"/>
      <c r="Q67" s="8"/>
      <c r="R67" s="8"/>
      <c r="S67" s="8"/>
      <c r="T67" s="8"/>
      <c r="U67" s="7">
        <f>IF($B67="","",IFERROR(INDEX('Challan Master'!$AA$4:$AA$207,MATCH($B67,'Challan Master'!$S$4:$S$207,0)),""))</f>
      </c>
    </row>
    <row r="68" spans="1:22" x14ac:dyDescent="0.25">
      <c r="A68" s="7">
        <f>IF($C68="","",COUNTIF($C$4:$C68,"&lt;&gt;"))</f>
      </c>
      <c r="B68" s="8"/>
      <c r="C68" s="8"/>
      <c r="D68" s="8"/>
      <c r="E68" s="7">
        <f>IF($C68="","",IF(AND(LEN(TRIM(UPPER(D68)))=10,CODE(MID(TRIM(UPPER(D68)),1,1))&gt;=65,CODE(MID(TRIM(UPPER(D68)),1,1))&lt;=90,CODE(MID(TRIM(UPPER(D68)),2,1))&gt;=65,CODE(MID(TRIM(UPPER(D68)),2,1))&lt;=90,CODE(MID(TRIM(UPPER(D68)),3,1))&gt;=65,CODE(MID(TRIM(UPPER(D68)),3,1))&lt;=90,CODE(MID(TRIM(UPPER(D68)),4,1))&gt;=65,CODE(MID(TRIM(UPPER(D68)),4,1))&lt;=90,CODE(MID(TRIM(UPPER(D68)),5,1))&gt;=65,CODE(MID(TRIM(UPPER(D68)),5,1))&lt;=90,CODE(MID(TRIM(UPPER(D68)),10,1))&gt;=65,CODE(MID(TRIM(UPPER(D68)),10,1))&lt;=90,CODE(MID(TRIM(UPPER(D68)),6,1))&gt;=48,CODE(MID(TRIM(UPPER(D68)),6,1))&lt;=57,CODE(MID(TRIM(UPPER(D68)),7,1))&gt;=48,CODE(MID(TRIM(UPPER(D68)),7,1))&lt;=57,CODE(MID(TRIM(UPPER(D68)),8,1))&gt;=48,CODE(MID(TRIM(UPPER(D68)),8,1))&lt;=57,CODE(MID(TRIM(UPPER(D68)),9,1))&gt;=48,CODE(MID(TRIM(UPPER(D68)),9,1))&lt;=57),"N","Y"))</f>
      </c>
      <c r="F68" s="7">
        <f>IF($C68="","",IF(LEN(D68)&lt;4,"",IF(UPPER(MID(D68,4,1))="P","Individual",IF(UPPER(MID(D68,4,1))="H","HUF",IF(UPPER(MID(D68,4,1))="C","Company",IF(UPPER(MID(D68,4,1))="F","Firm",IF(UPPER(MID(D68,4,1))="L","LLP",IF(UPPER(MID(D68,4,1))="T","Trust",IF(UPPER(MID(D68,4,1))="A","AOP","")))))))))</f>
      </c>
      <c r="G68" s="8"/>
      <c r="H68" s="7">
        <f>IF($C68="","",IF(R68&lt;&gt;"",R68,IF(G68="","",IF(E68="Y",SUMPRODUCT(('Rate Lookup'!$A$1:$A$37=G68)*'Rate Lookup'!$D$1:$D$37),IF(OR(F68="Individual",F68="HUF"),SUMPRODUCT(('Rate Lookup'!$A$1:$A$37=G68)*'Rate Lookup'!$B$1:$B$37),SUMPRODUCT(('Rate Lookup'!$A$1:$A$37=G68)*'Rate Lookup'!$C$1:$C$37)))))))</f>
      </c>
      <c r="I68" s="8"/>
      <c r="J68" s="8"/>
      <c r="K68" s="7">
        <f>IF($C68="","",IF(OR(P68="B",P68="D",P68="E",P68="N",P68="O",P68="P",P68="Q",P68="S",P68="Y",P68="Z"),0,ROUND(J68*H68/100,0)))</f>
      </c>
      <c r="L68" s="7">
        <f>IF($C68="","",0)</f>
      </c>
      <c r="M68" s="7">
        <f>IF($C68="","",0)</f>
      </c>
      <c r="N68" s="7">
        <f>IF($C68="","",IF(OR(K68=0,I68="",IFERROR(INDEX('Challan Master'!$D$4:$D$207,MATCH($B68,'Challan Master'!$S$4:$S$207,0)),"")="",IFERROR(INDEX('Challan Master'!$D$4:$D$207,MATCH($B68,'Challan Master'!$S$4:$S$207,0)),"")&lt;=0),0,IF(IFERROR(INDEX('Challan Master'!$D$4:$D$207,MATCH($B68,'Challan Master'!$S$4:$S$207,0)),"")&lt;=DATE(YEAR(I68),MONTH(I68)+1,7),0,ROUND(K68*0.015*((YEAR(IFERROR(INDEX('Challan Master'!$D$4:$D$207,MATCH($B68,'Challan Master'!$S$4:$S$207,0)),""))-YEAR(I68))*12+(MONTH(IFERROR(INDEX('Challan Master'!$D$4:$D$207,MATCH($B68,'Challan Master'!$S$4:$S$207,0)),""))-MONTH(I68))+1),0))))</f>
      </c>
      <c r="O68" s="7">
        <f>IF($C68="","",0)</f>
      </c>
      <c r="P68" s="8"/>
      <c r="Q68" s="8"/>
      <c r="R68" s="8"/>
      <c r="S68" s="8"/>
      <c r="T68" s="8"/>
      <c r="U68" s="7">
        <f>IF($B68="","",IFERROR(INDEX('Challan Master'!$AA$4:$AA$207,MATCH($B68,'Challan Master'!$S$4:$S$207,0)),""))</f>
      </c>
    </row>
    <row r="69" spans="1:22" x14ac:dyDescent="0.25">
      <c r="A69" s="7">
        <f>IF($C69="","",COUNTIF($C$4:$C69,"&lt;&gt;"))</f>
      </c>
      <c r="B69" s="8"/>
      <c r="C69" s="8"/>
      <c r="D69" s="8"/>
      <c r="E69" s="7">
        <f>IF($C69="","",IF(AND(LEN(TRIM(UPPER(D69)))=10,CODE(MID(TRIM(UPPER(D69)),1,1))&gt;=65,CODE(MID(TRIM(UPPER(D69)),1,1))&lt;=90,CODE(MID(TRIM(UPPER(D69)),2,1))&gt;=65,CODE(MID(TRIM(UPPER(D69)),2,1))&lt;=90,CODE(MID(TRIM(UPPER(D69)),3,1))&gt;=65,CODE(MID(TRIM(UPPER(D69)),3,1))&lt;=90,CODE(MID(TRIM(UPPER(D69)),4,1))&gt;=65,CODE(MID(TRIM(UPPER(D69)),4,1))&lt;=90,CODE(MID(TRIM(UPPER(D69)),5,1))&gt;=65,CODE(MID(TRIM(UPPER(D69)),5,1))&lt;=90,CODE(MID(TRIM(UPPER(D69)),10,1))&gt;=65,CODE(MID(TRIM(UPPER(D69)),10,1))&lt;=90,CODE(MID(TRIM(UPPER(D69)),6,1))&gt;=48,CODE(MID(TRIM(UPPER(D69)),6,1))&lt;=57,CODE(MID(TRIM(UPPER(D69)),7,1))&gt;=48,CODE(MID(TRIM(UPPER(D69)),7,1))&lt;=57,CODE(MID(TRIM(UPPER(D69)),8,1))&gt;=48,CODE(MID(TRIM(UPPER(D69)),8,1))&lt;=57,CODE(MID(TRIM(UPPER(D69)),9,1))&gt;=48,CODE(MID(TRIM(UPPER(D69)),9,1))&lt;=57),"N","Y"))</f>
      </c>
      <c r="F69" s="7">
        <f>IF($C69="","",IF(LEN(D69)&lt;4,"",IF(UPPER(MID(D69,4,1))="P","Individual",IF(UPPER(MID(D69,4,1))="H","HUF",IF(UPPER(MID(D69,4,1))="C","Company",IF(UPPER(MID(D69,4,1))="F","Firm",IF(UPPER(MID(D69,4,1))="L","LLP",IF(UPPER(MID(D69,4,1))="T","Trust",IF(UPPER(MID(D69,4,1))="A","AOP","")))))))))</f>
      </c>
      <c r="G69" s="8"/>
      <c r="H69" s="7">
        <f>IF($C69="","",IF(R69&lt;&gt;"",R69,IF(G69="","",IF(E69="Y",SUMPRODUCT(('Rate Lookup'!$A$1:$A$37=G69)*'Rate Lookup'!$D$1:$D$37),IF(OR(F69="Individual",F69="HUF"),SUMPRODUCT(('Rate Lookup'!$A$1:$A$37=G69)*'Rate Lookup'!$B$1:$B$37),SUMPRODUCT(('Rate Lookup'!$A$1:$A$37=G69)*'Rate Lookup'!$C$1:$C$37)))))))</f>
      </c>
      <c r="I69" s="8"/>
      <c r="J69" s="8"/>
      <c r="K69" s="7">
        <f>IF($C69="","",IF(OR(P69="B",P69="D",P69="E",P69="N",P69="O",P69="P",P69="Q",P69="S",P69="Y",P69="Z"),0,ROUND(J69*H69/100,0)))</f>
      </c>
      <c r="L69" s="7">
        <f>IF($C69="","",0)</f>
      </c>
      <c r="M69" s="7">
        <f>IF($C69="","",0)</f>
      </c>
      <c r="N69" s="7">
        <f>IF($C69="","",IF(OR(K69=0,I69="",IFERROR(INDEX('Challan Master'!$D$4:$D$207,MATCH($B69,'Challan Master'!$S$4:$S$207,0)),"")="",IFERROR(INDEX('Challan Master'!$D$4:$D$207,MATCH($B69,'Challan Master'!$S$4:$S$207,0)),"")&lt;=0),0,IF(IFERROR(INDEX('Challan Master'!$D$4:$D$207,MATCH($B69,'Challan Master'!$S$4:$S$207,0)),"")&lt;=DATE(YEAR(I69),MONTH(I69)+1,7),0,ROUND(K69*0.015*((YEAR(IFERROR(INDEX('Challan Master'!$D$4:$D$207,MATCH($B69,'Challan Master'!$S$4:$S$207,0)),""))-YEAR(I69))*12+(MONTH(IFERROR(INDEX('Challan Master'!$D$4:$D$207,MATCH($B69,'Challan Master'!$S$4:$S$207,0)),""))-MONTH(I69))+1),0))))</f>
      </c>
      <c r="O69" s="7">
        <f>IF($C69="","",0)</f>
      </c>
      <c r="P69" s="8"/>
      <c r="Q69" s="8"/>
      <c r="R69" s="8"/>
      <c r="S69" s="8"/>
      <c r="T69" s="8"/>
      <c r="U69" s="7">
        <f>IF($B69="","",IFERROR(INDEX('Challan Master'!$AA$4:$AA$207,MATCH($B69,'Challan Master'!$S$4:$S$207,0)),""))</f>
      </c>
    </row>
    <row r="70" spans="1:22" x14ac:dyDescent="0.25">
      <c r="A70" s="7">
        <f>IF($C70="","",COUNTIF($C$4:$C70,"&lt;&gt;"))</f>
      </c>
      <c r="B70" s="8"/>
      <c r="C70" s="8"/>
      <c r="D70" s="8"/>
      <c r="E70" s="7">
        <f>IF($C70="","",IF(AND(LEN(TRIM(UPPER(D70)))=10,CODE(MID(TRIM(UPPER(D70)),1,1))&gt;=65,CODE(MID(TRIM(UPPER(D70)),1,1))&lt;=90,CODE(MID(TRIM(UPPER(D70)),2,1))&gt;=65,CODE(MID(TRIM(UPPER(D70)),2,1))&lt;=90,CODE(MID(TRIM(UPPER(D70)),3,1))&gt;=65,CODE(MID(TRIM(UPPER(D70)),3,1))&lt;=90,CODE(MID(TRIM(UPPER(D70)),4,1))&gt;=65,CODE(MID(TRIM(UPPER(D70)),4,1))&lt;=90,CODE(MID(TRIM(UPPER(D70)),5,1))&gt;=65,CODE(MID(TRIM(UPPER(D70)),5,1))&lt;=90,CODE(MID(TRIM(UPPER(D70)),10,1))&gt;=65,CODE(MID(TRIM(UPPER(D70)),10,1))&lt;=90,CODE(MID(TRIM(UPPER(D70)),6,1))&gt;=48,CODE(MID(TRIM(UPPER(D70)),6,1))&lt;=57,CODE(MID(TRIM(UPPER(D70)),7,1))&gt;=48,CODE(MID(TRIM(UPPER(D70)),7,1))&lt;=57,CODE(MID(TRIM(UPPER(D70)),8,1))&gt;=48,CODE(MID(TRIM(UPPER(D70)),8,1))&lt;=57,CODE(MID(TRIM(UPPER(D70)),9,1))&gt;=48,CODE(MID(TRIM(UPPER(D70)),9,1))&lt;=57),"N","Y"))</f>
      </c>
      <c r="F70" s="7">
        <f>IF($C70="","",IF(LEN(D70)&lt;4,"",IF(UPPER(MID(D70,4,1))="P","Individual",IF(UPPER(MID(D70,4,1))="H","HUF",IF(UPPER(MID(D70,4,1))="C","Company",IF(UPPER(MID(D70,4,1))="F","Firm",IF(UPPER(MID(D70,4,1))="L","LLP",IF(UPPER(MID(D70,4,1))="T","Trust",IF(UPPER(MID(D70,4,1))="A","AOP","")))))))))</f>
      </c>
      <c r="G70" s="8"/>
      <c r="H70" s="7">
        <f>IF($C70="","",IF(R70&lt;&gt;"",R70,IF(G70="","",IF(E70="Y",SUMPRODUCT(('Rate Lookup'!$A$1:$A$37=G70)*'Rate Lookup'!$D$1:$D$37),IF(OR(F70="Individual",F70="HUF"),SUMPRODUCT(('Rate Lookup'!$A$1:$A$37=G70)*'Rate Lookup'!$B$1:$B$37),SUMPRODUCT(('Rate Lookup'!$A$1:$A$37=G70)*'Rate Lookup'!$C$1:$C$37)))))))</f>
      </c>
      <c r="I70" s="8"/>
      <c r="J70" s="8"/>
      <c r="K70" s="7">
        <f>IF($C70="","",IF(OR(P70="B",P70="D",P70="E",P70="N",P70="O",P70="P",P70="Q",P70="S",P70="Y",P70="Z"),0,ROUND(J70*H70/100,0)))</f>
      </c>
      <c r="L70" s="7">
        <f>IF($C70="","",0)</f>
      </c>
      <c r="M70" s="7">
        <f>IF($C70="","",0)</f>
      </c>
      <c r="N70" s="7">
        <f>IF($C70="","",IF(OR(K70=0,I70="",IFERROR(INDEX('Challan Master'!$D$4:$D$207,MATCH($B70,'Challan Master'!$S$4:$S$207,0)),"")="",IFERROR(INDEX('Challan Master'!$D$4:$D$207,MATCH($B70,'Challan Master'!$S$4:$S$207,0)),"")&lt;=0),0,IF(IFERROR(INDEX('Challan Master'!$D$4:$D$207,MATCH($B70,'Challan Master'!$S$4:$S$207,0)),"")&lt;=DATE(YEAR(I70),MONTH(I70)+1,7),0,ROUND(K70*0.015*((YEAR(IFERROR(INDEX('Challan Master'!$D$4:$D$207,MATCH($B70,'Challan Master'!$S$4:$S$207,0)),""))-YEAR(I70))*12+(MONTH(IFERROR(INDEX('Challan Master'!$D$4:$D$207,MATCH($B70,'Challan Master'!$S$4:$S$207,0)),""))-MONTH(I70))+1),0))))</f>
      </c>
      <c r="O70" s="7">
        <f>IF($C70="","",0)</f>
      </c>
      <c r="P70" s="8"/>
      <c r="Q70" s="8"/>
      <c r="R70" s="8"/>
      <c r="S70" s="8"/>
      <c r="T70" s="8"/>
      <c r="U70" s="7">
        <f>IF($B70="","",IFERROR(INDEX('Challan Master'!$AA$4:$AA$207,MATCH($B70,'Challan Master'!$S$4:$S$207,0)),""))</f>
      </c>
    </row>
    <row r="71" spans="1:22" x14ac:dyDescent="0.25">
      <c r="A71" s="7">
        <f>IF($C71="","",COUNTIF($C$4:$C71,"&lt;&gt;"))</f>
      </c>
      <c r="B71" s="8"/>
      <c r="C71" s="8"/>
      <c r="D71" s="8"/>
      <c r="E71" s="7">
        <f>IF($C71="","",IF(AND(LEN(TRIM(UPPER(D71)))=10,CODE(MID(TRIM(UPPER(D71)),1,1))&gt;=65,CODE(MID(TRIM(UPPER(D71)),1,1))&lt;=90,CODE(MID(TRIM(UPPER(D71)),2,1))&gt;=65,CODE(MID(TRIM(UPPER(D71)),2,1))&lt;=90,CODE(MID(TRIM(UPPER(D71)),3,1))&gt;=65,CODE(MID(TRIM(UPPER(D71)),3,1))&lt;=90,CODE(MID(TRIM(UPPER(D71)),4,1))&gt;=65,CODE(MID(TRIM(UPPER(D71)),4,1))&lt;=90,CODE(MID(TRIM(UPPER(D71)),5,1))&gt;=65,CODE(MID(TRIM(UPPER(D71)),5,1))&lt;=90,CODE(MID(TRIM(UPPER(D71)),10,1))&gt;=65,CODE(MID(TRIM(UPPER(D71)),10,1))&lt;=90,CODE(MID(TRIM(UPPER(D71)),6,1))&gt;=48,CODE(MID(TRIM(UPPER(D71)),6,1))&lt;=57,CODE(MID(TRIM(UPPER(D71)),7,1))&gt;=48,CODE(MID(TRIM(UPPER(D71)),7,1))&lt;=57,CODE(MID(TRIM(UPPER(D71)),8,1))&gt;=48,CODE(MID(TRIM(UPPER(D71)),8,1))&lt;=57,CODE(MID(TRIM(UPPER(D71)),9,1))&gt;=48,CODE(MID(TRIM(UPPER(D71)),9,1))&lt;=57),"N","Y"))</f>
      </c>
      <c r="F71" s="7">
        <f>IF($C71="","",IF(LEN(D71)&lt;4,"",IF(UPPER(MID(D71,4,1))="P","Individual",IF(UPPER(MID(D71,4,1))="H","HUF",IF(UPPER(MID(D71,4,1))="C","Company",IF(UPPER(MID(D71,4,1))="F","Firm",IF(UPPER(MID(D71,4,1))="L","LLP",IF(UPPER(MID(D71,4,1))="T","Trust",IF(UPPER(MID(D71,4,1))="A","AOP","")))))))))</f>
      </c>
      <c r="G71" s="8"/>
      <c r="H71" s="7">
        <f>IF($C71="","",IF(R71&lt;&gt;"",R71,IF(G71="","",IF(E71="Y",SUMPRODUCT(('Rate Lookup'!$A$1:$A$37=G71)*'Rate Lookup'!$D$1:$D$37),IF(OR(F71="Individual",F71="HUF"),SUMPRODUCT(('Rate Lookup'!$A$1:$A$37=G71)*'Rate Lookup'!$B$1:$B$37),SUMPRODUCT(('Rate Lookup'!$A$1:$A$37=G71)*'Rate Lookup'!$C$1:$C$37)))))))</f>
      </c>
      <c r="I71" s="8"/>
      <c r="J71" s="8"/>
      <c r="K71" s="7">
        <f>IF($C71="","",IF(OR(P71="B",P71="D",P71="E",P71="N",P71="O",P71="P",P71="Q",P71="S",P71="Y",P71="Z"),0,ROUND(J71*H71/100,0)))</f>
      </c>
      <c r="L71" s="7">
        <f>IF($C71="","",0)</f>
      </c>
      <c r="M71" s="7">
        <f>IF($C71="","",0)</f>
      </c>
      <c r="N71" s="7">
        <f>IF($C71="","",IF(OR(K71=0,I71="",IFERROR(INDEX('Challan Master'!$D$4:$D$207,MATCH($B71,'Challan Master'!$S$4:$S$207,0)),"")="",IFERROR(INDEX('Challan Master'!$D$4:$D$207,MATCH($B71,'Challan Master'!$S$4:$S$207,0)),"")&lt;=0),0,IF(IFERROR(INDEX('Challan Master'!$D$4:$D$207,MATCH($B71,'Challan Master'!$S$4:$S$207,0)),"")&lt;=DATE(YEAR(I71),MONTH(I71)+1,7),0,ROUND(K71*0.015*((YEAR(IFERROR(INDEX('Challan Master'!$D$4:$D$207,MATCH($B71,'Challan Master'!$S$4:$S$207,0)),""))-YEAR(I71))*12+(MONTH(IFERROR(INDEX('Challan Master'!$D$4:$D$207,MATCH($B71,'Challan Master'!$S$4:$S$207,0)),""))-MONTH(I71))+1),0))))</f>
      </c>
      <c r="O71" s="7">
        <f>IF($C71="","",0)</f>
      </c>
      <c r="P71" s="8"/>
      <c r="Q71" s="8"/>
      <c r="R71" s="8"/>
      <c r="S71" s="8"/>
      <c r="T71" s="8"/>
      <c r="U71" s="7">
        <f>IF($B71="","",IFERROR(INDEX('Challan Master'!$AA$4:$AA$207,MATCH($B71,'Challan Master'!$S$4:$S$207,0)),""))</f>
      </c>
    </row>
    <row r="72" spans="1:22" x14ac:dyDescent="0.25">
      <c r="A72" s="7">
        <f>IF($C72="","",COUNTIF($C$4:$C72,"&lt;&gt;"))</f>
      </c>
      <c r="B72" s="8"/>
      <c r="C72" s="8"/>
      <c r="D72" s="8"/>
      <c r="E72" s="7">
        <f>IF($C72="","",IF(AND(LEN(TRIM(UPPER(D72)))=10,CODE(MID(TRIM(UPPER(D72)),1,1))&gt;=65,CODE(MID(TRIM(UPPER(D72)),1,1))&lt;=90,CODE(MID(TRIM(UPPER(D72)),2,1))&gt;=65,CODE(MID(TRIM(UPPER(D72)),2,1))&lt;=90,CODE(MID(TRIM(UPPER(D72)),3,1))&gt;=65,CODE(MID(TRIM(UPPER(D72)),3,1))&lt;=90,CODE(MID(TRIM(UPPER(D72)),4,1))&gt;=65,CODE(MID(TRIM(UPPER(D72)),4,1))&lt;=90,CODE(MID(TRIM(UPPER(D72)),5,1))&gt;=65,CODE(MID(TRIM(UPPER(D72)),5,1))&lt;=90,CODE(MID(TRIM(UPPER(D72)),10,1))&gt;=65,CODE(MID(TRIM(UPPER(D72)),10,1))&lt;=90,CODE(MID(TRIM(UPPER(D72)),6,1))&gt;=48,CODE(MID(TRIM(UPPER(D72)),6,1))&lt;=57,CODE(MID(TRIM(UPPER(D72)),7,1))&gt;=48,CODE(MID(TRIM(UPPER(D72)),7,1))&lt;=57,CODE(MID(TRIM(UPPER(D72)),8,1))&gt;=48,CODE(MID(TRIM(UPPER(D72)),8,1))&lt;=57,CODE(MID(TRIM(UPPER(D72)),9,1))&gt;=48,CODE(MID(TRIM(UPPER(D72)),9,1))&lt;=57),"N","Y"))</f>
      </c>
      <c r="F72" s="7">
        <f>IF($C72="","",IF(LEN(D72)&lt;4,"",IF(UPPER(MID(D72,4,1))="P","Individual",IF(UPPER(MID(D72,4,1))="H","HUF",IF(UPPER(MID(D72,4,1))="C","Company",IF(UPPER(MID(D72,4,1))="F","Firm",IF(UPPER(MID(D72,4,1))="L","LLP",IF(UPPER(MID(D72,4,1))="T","Trust",IF(UPPER(MID(D72,4,1))="A","AOP","")))))))))</f>
      </c>
      <c r="G72" s="8"/>
      <c r="H72" s="7">
        <f>IF($C72="","",IF(R72&lt;&gt;"",R72,IF(G72="","",IF(E72="Y",SUMPRODUCT(('Rate Lookup'!$A$1:$A$37=G72)*'Rate Lookup'!$D$1:$D$37),IF(OR(F72="Individual",F72="HUF"),SUMPRODUCT(('Rate Lookup'!$A$1:$A$37=G72)*'Rate Lookup'!$B$1:$B$37),SUMPRODUCT(('Rate Lookup'!$A$1:$A$37=G72)*'Rate Lookup'!$C$1:$C$37)))))))</f>
      </c>
      <c r="I72" s="8"/>
      <c r="J72" s="8"/>
      <c r="K72" s="7">
        <f>IF($C72="","",IF(OR(P72="B",P72="D",P72="E",P72="N",P72="O",P72="P",P72="Q",P72="S",P72="Y",P72="Z"),0,ROUND(J72*H72/100,0)))</f>
      </c>
      <c r="L72" s="7">
        <f>IF($C72="","",0)</f>
      </c>
      <c r="M72" s="7">
        <f>IF($C72="","",0)</f>
      </c>
      <c r="N72" s="7">
        <f>IF($C72="","",IF(OR(K72=0,I72="",IFERROR(INDEX('Challan Master'!$D$4:$D$207,MATCH($B72,'Challan Master'!$S$4:$S$207,0)),"")="",IFERROR(INDEX('Challan Master'!$D$4:$D$207,MATCH($B72,'Challan Master'!$S$4:$S$207,0)),"")&lt;=0),0,IF(IFERROR(INDEX('Challan Master'!$D$4:$D$207,MATCH($B72,'Challan Master'!$S$4:$S$207,0)),"")&lt;=DATE(YEAR(I72),MONTH(I72)+1,7),0,ROUND(K72*0.015*((YEAR(IFERROR(INDEX('Challan Master'!$D$4:$D$207,MATCH($B72,'Challan Master'!$S$4:$S$207,0)),""))-YEAR(I72))*12+(MONTH(IFERROR(INDEX('Challan Master'!$D$4:$D$207,MATCH($B72,'Challan Master'!$S$4:$S$207,0)),""))-MONTH(I72))+1),0))))</f>
      </c>
      <c r="O72" s="7">
        <f>IF($C72="","",0)</f>
      </c>
      <c r="P72" s="8"/>
      <c r="Q72" s="8"/>
      <c r="R72" s="8"/>
      <c r="S72" s="8"/>
      <c r="T72" s="8"/>
      <c r="U72" s="7">
        <f>IF($B72="","",IFERROR(INDEX('Challan Master'!$AA$4:$AA$207,MATCH($B72,'Challan Master'!$S$4:$S$207,0)),""))</f>
      </c>
    </row>
    <row r="73" spans="1:22" x14ac:dyDescent="0.25">
      <c r="A73" s="7">
        <f>IF($C73="","",COUNTIF($C$4:$C73,"&lt;&gt;"))</f>
      </c>
      <c r="B73" s="8"/>
      <c r="C73" s="8"/>
      <c r="D73" s="8"/>
      <c r="E73" s="7">
        <f>IF($C73="","",IF(AND(LEN(TRIM(UPPER(D73)))=10,CODE(MID(TRIM(UPPER(D73)),1,1))&gt;=65,CODE(MID(TRIM(UPPER(D73)),1,1))&lt;=90,CODE(MID(TRIM(UPPER(D73)),2,1))&gt;=65,CODE(MID(TRIM(UPPER(D73)),2,1))&lt;=90,CODE(MID(TRIM(UPPER(D73)),3,1))&gt;=65,CODE(MID(TRIM(UPPER(D73)),3,1))&lt;=90,CODE(MID(TRIM(UPPER(D73)),4,1))&gt;=65,CODE(MID(TRIM(UPPER(D73)),4,1))&lt;=90,CODE(MID(TRIM(UPPER(D73)),5,1))&gt;=65,CODE(MID(TRIM(UPPER(D73)),5,1))&lt;=90,CODE(MID(TRIM(UPPER(D73)),10,1))&gt;=65,CODE(MID(TRIM(UPPER(D73)),10,1))&lt;=90,CODE(MID(TRIM(UPPER(D73)),6,1))&gt;=48,CODE(MID(TRIM(UPPER(D73)),6,1))&lt;=57,CODE(MID(TRIM(UPPER(D73)),7,1))&gt;=48,CODE(MID(TRIM(UPPER(D73)),7,1))&lt;=57,CODE(MID(TRIM(UPPER(D73)),8,1))&gt;=48,CODE(MID(TRIM(UPPER(D73)),8,1))&lt;=57,CODE(MID(TRIM(UPPER(D73)),9,1))&gt;=48,CODE(MID(TRIM(UPPER(D73)),9,1))&lt;=57),"N","Y"))</f>
      </c>
      <c r="F73" s="7">
        <f>IF($C73="","",IF(LEN(D73)&lt;4,"",IF(UPPER(MID(D73,4,1))="P","Individual",IF(UPPER(MID(D73,4,1))="H","HUF",IF(UPPER(MID(D73,4,1))="C","Company",IF(UPPER(MID(D73,4,1))="F","Firm",IF(UPPER(MID(D73,4,1))="L","LLP",IF(UPPER(MID(D73,4,1))="T","Trust",IF(UPPER(MID(D73,4,1))="A","AOP","")))))))))</f>
      </c>
      <c r="G73" s="8"/>
      <c r="H73" s="7">
        <f>IF($C73="","",IF(R73&lt;&gt;"",R73,IF(G73="","",IF(E73="Y",SUMPRODUCT(('Rate Lookup'!$A$1:$A$37=G73)*'Rate Lookup'!$D$1:$D$37),IF(OR(F73="Individual",F73="HUF"),SUMPRODUCT(('Rate Lookup'!$A$1:$A$37=G73)*'Rate Lookup'!$B$1:$B$37),SUMPRODUCT(('Rate Lookup'!$A$1:$A$37=G73)*'Rate Lookup'!$C$1:$C$37)))))))</f>
      </c>
      <c r="I73" s="8"/>
      <c r="J73" s="8"/>
      <c r="K73" s="7">
        <f>IF($C73="","",IF(OR(P73="B",P73="D",P73="E",P73="N",P73="O",P73="P",P73="Q",P73="S",P73="Y",P73="Z"),0,ROUND(J73*H73/100,0)))</f>
      </c>
      <c r="L73" s="7">
        <f>IF($C73="","",0)</f>
      </c>
      <c r="M73" s="7">
        <f>IF($C73="","",0)</f>
      </c>
      <c r="N73" s="7">
        <f>IF($C73="","",IF(OR(K73=0,I73="",IFERROR(INDEX('Challan Master'!$D$4:$D$207,MATCH($B73,'Challan Master'!$S$4:$S$207,0)),"")="",IFERROR(INDEX('Challan Master'!$D$4:$D$207,MATCH($B73,'Challan Master'!$S$4:$S$207,0)),"")&lt;=0),0,IF(IFERROR(INDEX('Challan Master'!$D$4:$D$207,MATCH($B73,'Challan Master'!$S$4:$S$207,0)),"")&lt;=DATE(YEAR(I73),MONTH(I73)+1,7),0,ROUND(K73*0.015*((YEAR(IFERROR(INDEX('Challan Master'!$D$4:$D$207,MATCH($B73,'Challan Master'!$S$4:$S$207,0)),""))-YEAR(I73))*12+(MONTH(IFERROR(INDEX('Challan Master'!$D$4:$D$207,MATCH($B73,'Challan Master'!$S$4:$S$207,0)),""))-MONTH(I73))+1),0))))</f>
      </c>
      <c r="O73" s="7">
        <f>IF($C73="","",0)</f>
      </c>
      <c r="P73" s="8"/>
      <c r="Q73" s="8"/>
      <c r="R73" s="8"/>
      <c r="S73" s="8"/>
      <c r="T73" s="8"/>
      <c r="U73" s="7">
        <f>IF($B73="","",IFERROR(INDEX('Challan Master'!$AA$4:$AA$207,MATCH($B73,'Challan Master'!$S$4:$S$207,0)),""))</f>
      </c>
    </row>
    <row r="74" spans="1:22" x14ac:dyDescent="0.25">
      <c r="A74" s="7">
        <f>IF($C74="","",COUNTIF($C$4:$C74,"&lt;&gt;"))</f>
      </c>
      <c r="B74" s="8"/>
      <c r="C74" s="8"/>
      <c r="D74" s="8"/>
      <c r="E74" s="7">
        <f>IF($C74="","",IF(AND(LEN(TRIM(UPPER(D74)))=10,CODE(MID(TRIM(UPPER(D74)),1,1))&gt;=65,CODE(MID(TRIM(UPPER(D74)),1,1))&lt;=90,CODE(MID(TRIM(UPPER(D74)),2,1))&gt;=65,CODE(MID(TRIM(UPPER(D74)),2,1))&lt;=90,CODE(MID(TRIM(UPPER(D74)),3,1))&gt;=65,CODE(MID(TRIM(UPPER(D74)),3,1))&lt;=90,CODE(MID(TRIM(UPPER(D74)),4,1))&gt;=65,CODE(MID(TRIM(UPPER(D74)),4,1))&lt;=90,CODE(MID(TRIM(UPPER(D74)),5,1))&gt;=65,CODE(MID(TRIM(UPPER(D74)),5,1))&lt;=90,CODE(MID(TRIM(UPPER(D74)),10,1))&gt;=65,CODE(MID(TRIM(UPPER(D74)),10,1))&lt;=90,CODE(MID(TRIM(UPPER(D74)),6,1))&gt;=48,CODE(MID(TRIM(UPPER(D74)),6,1))&lt;=57,CODE(MID(TRIM(UPPER(D74)),7,1))&gt;=48,CODE(MID(TRIM(UPPER(D74)),7,1))&lt;=57,CODE(MID(TRIM(UPPER(D74)),8,1))&gt;=48,CODE(MID(TRIM(UPPER(D74)),8,1))&lt;=57,CODE(MID(TRIM(UPPER(D74)),9,1))&gt;=48,CODE(MID(TRIM(UPPER(D74)),9,1))&lt;=57),"N","Y"))</f>
      </c>
      <c r="F74" s="7">
        <f>IF($C74="","",IF(LEN(D74)&lt;4,"",IF(UPPER(MID(D74,4,1))="P","Individual",IF(UPPER(MID(D74,4,1))="H","HUF",IF(UPPER(MID(D74,4,1))="C","Company",IF(UPPER(MID(D74,4,1))="F","Firm",IF(UPPER(MID(D74,4,1))="L","LLP",IF(UPPER(MID(D74,4,1))="T","Trust",IF(UPPER(MID(D74,4,1))="A","AOP","")))))))))</f>
      </c>
      <c r="G74" s="8"/>
      <c r="H74" s="7">
        <f>IF($C74="","",IF(R74&lt;&gt;"",R74,IF(G74="","",IF(E74="Y",SUMPRODUCT(('Rate Lookup'!$A$1:$A$37=G74)*'Rate Lookup'!$D$1:$D$37),IF(OR(F74="Individual",F74="HUF"),SUMPRODUCT(('Rate Lookup'!$A$1:$A$37=G74)*'Rate Lookup'!$B$1:$B$37),SUMPRODUCT(('Rate Lookup'!$A$1:$A$37=G74)*'Rate Lookup'!$C$1:$C$37)))))))</f>
      </c>
      <c r="I74" s="8"/>
      <c r="J74" s="8"/>
      <c r="K74" s="7">
        <f>IF($C74="","",IF(OR(P74="B",P74="D",P74="E",P74="N",P74="O",P74="P",P74="Q",P74="S",P74="Y",P74="Z"),0,ROUND(J74*H74/100,0)))</f>
      </c>
      <c r="L74" s="7">
        <f>IF($C74="","",0)</f>
      </c>
      <c r="M74" s="7">
        <f>IF($C74="","",0)</f>
      </c>
      <c r="N74" s="7">
        <f>IF($C74="","",IF(OR(K74=0,I74="",IFERROR(INDEX('Challan Master'!$D$4:$D$207,MATCH($B74,'Challan Master'!$S$4:$S$207,0)),"")="",IFERROR(INDEX('Challan Master'!$D$4:$D$207,MATCH($B74,'Challan Master'!$S$4:$S$207,0)),"")&lt;=0),0,IF(IFERROR(INDEX('Challan Master'!$D$4:$D$207,MATCH($B74,'Challan Master'!$S$4:$S$207,0)),"")&lt;=DATE(YEAR(I74),MONTH(I74)+1,7),0,ROUND(K74*0.015*((YEAR(IFERROR(INDEX('Challan Master'!$D$4:$D$207,MATCH($B74,'Challan Master'!$S$4:$S$207,0)),""))-YEAR(I74))*12+(MONTH(IFERROR(INDEX('Challan Master'!$D$4:$D$207,MATCH($B74,'Challan Master'!$S$4:$S$207,0)),""))-MONTH(I74))+1),0))))</f>
      </c>
      <c r="O74" s="7">
        <f>IF($C74="","",0)</f>
      </c>
      <c r="P74" s="8"/>
      <c r="Q74" s="8"/>
      <c r="R74" s="8"/>
      <c r="S74" s="8"/>
      <c r="T74" s="8"/>
      <c r="U74" s="7">
        <f>IF($B74="","",IFERROR(INDEX('Challan Master'!$AA$4:$AA$207,MATCH($B74,'Challan Master'!$S$4:$S$207,0)),""))</f>
      </c>
    </row>
    <row r="75" spans="1:22" x14ac:dyDescent="0.25">
      <c r="A75" s="7">
        <f>IF($C75="","",COUNTIF($C$4:$C75,"&lt;&gt;"))</f>
      </c>
      <c r="B75" s="8"/>
      <c r="C75" s="8"/>
      <c r="D75" s="8"/>
      <c r="E75" s="7">
        <f>IF($C75="","",IF(AND(LEN(TRIM(UPPER(D75)))=10,CODE(MID(TRIM(UPPER(D75)),1,1))&gt;=65,CODE(MID(TRIM(UPPER(D75)),1,1))&lt;=90,CODE(MID(TRIM(UPPER(D75)),2,1))&gt;=65,CODE(MID(TRIM(UPPER(D75)),2,1))&lt;=90,CODE(MID(TRIM(UPPER(D75)),3,1))&gt;=65,CODE(MID(TRIM(UPPER(D75)),3,1))&lt;=90,CODE(MID(TRIM(UPPER(D75)),4,1))&gt;=65,CODE(MID(TRIM(UPPER(D75)),4,1))&lt;=90,CODE(MID(TRIM(UPPER(D75)),5,1))&gt;=65,CODE(MID(TRIM(UPPER(D75)),5,1))&lt;=90,CODE(MID(TRIM(UPPER(D75)),10,1))&gt;=65,CODE(MID(TRIM(UPPER(D75)),10,1))&lt;=90,CODE(MID(TRIM(UPPER(D75)),6,1))&gt;=48,CODE(MID(TRIM(UPPER(D75)),6,1))&lt;=57,CODE(MID(TRIM(UPPER(D75)),7,1))&gt;=48,CODE(MID(TRIM(UPPER(D75)),7,1))&lt;=57,CODE(MID(TRIM(UPPER(D75)),8,1))&gt;=48,CODE(MID(TRIM(UPPER(D75)),8,1))&lt;=57,CODE(MID(TRIM(UPPER(D75)),9,1))&gt;=48,CODE(MID(TRIM(UPPER(D75)),9,1))&lt;=57),"N","Y"))</f>
      </c>
      <c r="F75" s="7">
        <f>IF($C75="","",IF(LEN(D75)&lt;4,"",IF(UPPER(MID(D75,4,1))="P","Individual",IF(UPPER(MID(D75,4,1))="H","HUF",IF(UPPER(MID(D75,4,1))="C","Company",IF(UPPER(MID(D75,4,1))="F","Firm",IF(UPPER(MID(D75,4,1))="L","LLP",IF(UPPER(MID(D75,4,1))="T","Trust",IF(UPPER(MID(D75,4,1))="A","AOP","")))))))))</f>
      </c>
      <c r="G75" s="8"/>
      <c r="H75" s="7">
        <f>IF($C75="","",IF(R75&lt;&gt;"",R75,IF(G75="","",IF(E75="Y",SUMPRODUCT(('Rate Lookup'!$A$1:$A$37=G75)*'Rate Lookup'!$D$1:$D$37),IF(OR(F75="Individual",F75="HUF"),SUMPRODUCT(('Rate Lookup'!$A$1:$A$37=G75)*'Rate Lookup'!$B$1:$B$37),SUMPRODUCT(('Rate Lookup'!$A$1:$A$37=G75)*'Rate Lookup'!$C$1:$C$37)))))))</f>
      </c>
      <c r="I75" s="8"/>
      <c r="J75" s="8"/>
      <c r="K75" s="7">
        <f>IF($C75="","",IF(OR(P75="B",P75="D",P75="E",P75="N",P75="O",P75="P",P75="Q",P75="S",P75="Y",P75="Z"),0,ROUND(J75*H75/100,0)))</f>
      </c>
      <c r="L75" s="7">
        <f>IF($C75="","",0)</f>
      </c>
      <c r="M75" s="7">
        <f>IF($C75="","",0)</f>
      </c>
      <c r="N75" s="7">
        <f>IF($C75="","",IF(OR(K75=0,I75="",IFERROR(INDEX('Challan Master'!$D$4:$D$207,MATCH($B75,'Challan Master'!$S$4:$S$207,0)),"")="",IFERROR(INDEX('Challan Master'!$D$4:$D$207,MATCH($B75,'Challan Master'!$S$4:$S$207,0)),"")&lt;=0),0,IF(IFERROR(INDEX('Challan Master'!$D$4:$D$207,MATCH($B75,'Challan Master'!$S$4:$S$207,0)),"")&lt;=DATE(YEAR(I75),MONTH(I75)+1,7),0,ROUND(K75*0.015*((YEAR(IFERROR(INDEX('Challan Master'!$D$4:$D$207,MATCH($B75,'Challan Master'!$S$4:$S$207,0)),""))-YEAR(I75))*12+(MONTH(IFERROR(INDEX('Challan Master'!$D$4:$D$207,MATCH($B75,'Challan Master'!$S$4:$S$207,0)),""))-MONTH(I75))+1),0))))</f>
      </c>
      <c r="O75" s="7">
        <f>IF($C75="","",0)</f>
      </c>
      <c r="P75" s="8"/>
      <c r="Q75" s="8"/>
      <c r="R75" s="8"/>
      <c r="S75" s="8"/>
      <c r="T75" s="8"/>
      <c r="U75" s="7">
        <f>IF($B75="","",IFERROR(INDEX('Challan Master'!$AA$4:$AA$207,MATCH($B75,'Challan Master'!$S$4:$S$207,0)),""))</f>
      </c>
    </row>
    <row r="76" spans="1:22" x14ac:dyDescent="0.25">
      <c r="A76" s="7">
        <f>IF($C76="","",COUNTIF($C$4:$C76,"&lt;&gt;"))</f>
      </c>
      <c r="B76" s="8"/>
      <c r="C76" s="8"/>
      <c r="D76" s="8"/>
      <c r="E76" s="7">
        <f>IF($C76="","",IF(AND(LEN(TRIM(UPPER(D76)))=10,CODE(MID(TRIM(UPPER(D76)),1,1))&gt;=65,CODE(MID(TRIM(UPPER(D76)),1,1))&lt;=90,CODE(MID(TRIM(UPPER(D76)),2,1))&gt;=65,CODE(MID(TRIM(UPPER(D76)),2,1))&lt;=90,CODE(MID(TRIM(UPPER(D76)),3,1))&gt;=65,CODE(MID(TRIM(UPPER(D76)),3,1))&lt;=90,CODE(MID(TRIM(UPPER(D76)),4,1))&gt;=65,CODE(MID(TRIM(UPPER(D76)),4,1))&lt;=90,CODE(MID(TRIM(UPPER(D76)),5,1))&gt;=65,CODE(MID(TRIM(UPPER(D76)),5,1))&lt;=90,CODE(MID(TRIM(UPPER(D76)),10,1))&gt;=65,CODE(MID(TRIM(UPPER(D76)),10,1))&lt;=90,CODE(MID(TRIM(UPPER(D76)),6,1))&gt;=48,CODE(MID(TRIM(UPPER(D76)),6,1))&lt;=57,CODE(MID(TRIM(UPPER(D76)),7,1))&gt;=48,CODE(MID(TRIM(UPPER(D76)),7,1))&lt;=57,CODE(MID(TRIM(UPPER(D76)),8,1))&gt;=48,CODE(MID(TRIM(UPPER(D76)),8,1))&lt;=57,CODE(MID(TRIM(UPPER(D76)),9,1))&gt;=48,CODE(MID(TRIM(UPPER(D76)),9,1))&lt;=57),"N","Y"))</f>
      </c>
      <c r="F76" s="7">
        <f>IF($C76="","",IF(LEN(D76)&lt;4,"",IF(UPPER(MID(D76,4,1))="P","Individual",IF(UPPER(MID(D76,4,1))="H","HUF",IF(UPPER(MID(D76,4,1))="C","Company",IF(UPPER(MID(D76,4,1))="F","Firm",IF(UPPER(MID(D76,4,1))="L","LLP",IF(UPPER(MID(D76,4,1))="T","Trust",IF(UPPER(MID(D76,4,1))="A","AOP","")))))))))</f>
      </c>
      <c r="G76" s="8"/>
      <c r="H76" s="7">
        <f>IF($C76="","",IF(R76&lt;&gt;"",R76,IF(G76="","",IF(E76="Y",SUMPRODUCT(('Rate Lookup'!$A$1:$A$37=G76)*'Rate Lookup'!$D$1:$D$37),IF(OR(F76="Individual",F76="HUF"),SUMPRODUCT(('Rate Lookup'!$A$1:$A$37=G76)*'Rate Lookup'!$B$1:$B$37),SUMPRODUCT(('Rate Lookup'!$A$1:$A$37=G76)*'Rate Lookup'!$C$1:$C$37)))))))</f>
      </c>
      <c r="I76" s="8"/>
      <c r="J76" s="8"/>
      <c r="K76" s="7">
        <f>IF($C76="","",IF(OR(P76="B",P76="D",P76="E",P76="N",P76="O",P76="P",P76="Q",P76="S",P76="Y",P76="Z"),0,ROUND(J76*H76/100,0)))</f>
      </c>
      <c r="L76" s="7">
        <f>IF($C76="","",0)</f>
      </c>
      <c r="M76" s="7">
        <f>IF($C76="","",0)</f>
      </c>
      <c r="N76" s="7">
        <f>IF($C76="","",IF(OR(K76=0,I76="",IFERROR(INDEX('Challan Master'!$D$4:$D$207,MATCH($B76,'Challan Master'!$S$4:$S$207,0)),"")="",IFERROR(INDEX('Challan Master'!$D$4:$D$207,MATCH($B76,'Challan Master'!$S$4:$S$207,0)),"")&lt;=0),0,IF(IFERROR(INDEX('Challan Master'!$D$4:$D$207,MATCH($B76,'Challan Master'!$S$4:$S$207,0)),"")&lt;=DATE(YEAR(I76),MONTH(I76)+1,7),0,ROUND(K76*0.015*((YEAR(IFERROR(INDEX('Challan Master'!$D$4:$D$207,MATCH($B76,'Challan Master'!$S$4:$S$207,0)),""))-YEAR(I76))*12+(MONTH(IFERROR(INDEX('Challan Master'!$D$4:$D$207,MATCH($B76,'Challan Master'!$S$4:$S$207,0)),""))-MONTH(I76))+1),0))))</f>
      </c>
      <c r="O76" s="7">
        <f>IF($C76="","",0)</f>
      </c>
      <c r="P76" s="8"/>
      <c r="Q76" s="8"/>
      <c r="R76" s="8"/>
      <c r="S76" s="8"/>
      <c r="T76" s="8"/>
      <c r="U76" s="7">
        <f>IF($B76="","",IFERROR(INDEX('Challan Master'!$AA$4:$AA$207,MATCH($B76,'Challan Master'!$S$4:$S$207,0)),""))</f>
      </c>
    </row>
    <row r="77" spans="1:22" x14ac:dyDescent="0.25">
      <c r="A77" s="7">
        <f>IF($C77="","",COUNTIF($C$4:$C77,"&lt;&gt;"))</f>
      </c>
      <c r="B77" s="8"/>
      <c r="C77" s="8"/>
      <c r="D77" s="8"/>
      <c r="E77" s="7">
        <f>IF($C77="","",IF(AND(LEN(TRIM(UPPER(D77)))=10,CODE(MID(TRIM(UPPER(D77)),1,1))&gt;=65,CODE(MID(TRIM(UPPER(D77)),1,1))&lt;=90,CODE(MID(TRIM(UPPER(D77)),2,1))&gt;=65,CODE(MID(TRIM(UPPER(D77)),2,1))&lt;=90,CODE(MID(TRIM(UPPER(D77)),3,1))&gt;=65,CODE(MID(TRIM(UPPER(D77)),3,1))&lt;=90,CODE(MID(TRIM(UPPER(D77)),4,1))&gt;=65,CODE(MID(TRIM(UPPER(D77)),4,1))&lt;=90,CODE(MID(TRIM(UPPER(D77)),5,1))&gt;=65,CODE(MID(TRIM(UPPER(D77)),5,1))&lt;=90,CODE(MID(TRIM(UPPER(D77)),10,1))&gt;=65,CODE(MID(TRIM(UPPER(D77)),10,1))&lt;=90,CODE(MID(TRIM(UPPER(D77)),6,1))&gt;=48,CODE(MID(TRIM(UPPER(D77)),6,1))&lt;=57,CODE(MID(TRIM(UPPER(D77)),7,1))&gt;=48,CODE(MID(TRIM(UPPER(D77)),7,1))&lt;=57,CODE(MID(TRIM(UPPER(D77)),8,1))&gt;=48,CODE(MID(TRIM(UPPER(D77)),8,1))&lt;=57,CODE(MID(TRIM(UPPER(D77)),9,1))&gt;=48,CODE(MID(TRIM(UPPER(D77)),9,1))&lt;=57),"N","Y"))</f>
      </c>
      <c r="F77" s="7">
        <f>IF($C77="","",IF(LEN(D77)&lt;4,"",IF(UPPER(MID(D77,4,1))="P","Individual",IF(UPPER(MID(D77,4,1))="H","HUF",IF(UPPER(MID(D77,4,1))="C","Company",IF(UPPER(MID(D77,4,1))="F","Firm",IF(UPPER(MID(D77,4,1))="L","LLP",IF(UPPER(MID(D77,4,1))="T","Trust",IF(UPPER(MID(D77,4,1))="A","AOP","")))))))))</f>
      </c>
      <c r="G77" s="8"/>
      <c r="H77" s="7">
        <f>IF($C77="","",IF(R77&lt;&gt;"",R77,IF(G77="","",IF(E77="Y",SUMPRODUCT(('Rate Lookup'!$A$1:$A$37=G77)*'Rate Lookup'!$D$1:$D$37),IF(OR(F77="Individual",F77="HUF"),SUMPRODUCT(('Rate Lookup'!$A$1:$A$37=G77)*'Rate Lookup'!$B$1:$B$37),SUMPRODUCT(('Rate Lookup'!$A$1:$A$37=G77)*'Rate Lookup'!$C$1:$C$37)))))))</f>
      </c>
      <c r="I77" s="8"/>
      <c r="J77" s="8"/>
      <c r="K77" s="7">
        <f>IF($C77="","",IF(OR(P77="B",P77="D",P77="E",P77="N",P77="O",P77="P",P77="Q",P77="S",P77="Y",P77="Z"),0,ROUND(J77*H77/100,0)))</f>
      </c>
      <c r="L77" s="7">
        <f>IF($C77="","",0)</f>
      </c>
      <c r="M77" s="7">
        <f>IF($C77="","",0)</f>
      </c>
      <c r="N77" s="7">
        <f>IF($C77="","",IF(OR(K77=0,I77="",IFERROR(INDEX('Challan Master'!$D$4:$D$207,MATCH($B77,'Challan Master'!$S$4:$S$207,0)),"")="",IFERROR(INDEX('Challan Master'!$D$4:$D$207,MATCH($B77,'Challan Master'!$S$4:$S$207,0)),"")&lt;=0),0,IF(IFERROR(INDEX('Challan Master'!$D$4:$D$207,MATCH($B77,'Challan Master'!$S$4:$S$207,0)),"")&lt;=DATE(YEAR(I77),MONTH(I77)+1,7),0,ROUND(K77*0.015*((YEAR(IFERROR(INDEX('Challan Master'!$D$4:$D$207,MATCH($B77,'Challan Master'!$S$4:$S$207,0)),""))-YEAR(I77))*12+(MONTH(IFERROR(INDEX('Challan Master'!$D$4:$D$207,MATCH($B77,'Challan Master'!$S$4:$S$207,0)),""))-MONTH(I77))+1),0))))</f>
      </c>
      <c r="O77" s="7">
        <f>IF($C77="","",0)</f>
      </c>
      <c r="P77" s="8"/>
      <c r="Q77" s="8"/>
      <c r="R77" s="8"/>
      <c r="S77" s="8"/>
      <c r="T77" s="8"/>
      <c r="U77" s="7">
        <f>IF($B77="","",IFERROR(INDEX('Challan Master'!$AA$4:$AA$207,MATCH($B77,'Challan Master'!$S$4:$S$207,0)),""))</f>
      </c>
    </row>
    <row r="78" spans="1:22" x14ac:dyDescent="0.25">
      <c r="A78" s="7">
        <f>IF($C78="","",COUNTIF($C$4:$C78,"&lt;&gt;"))</f>
      </c>
      <c r="B78" s="8"/>
      <c r="C78" s="8"/>
      <c r="D78" s="8"/>
      <c r="E78" s="7">
        <f>IF($C78="","",IF(AND(LEN(TRIM(UPPER(D78)))=10,CODE(MID(TRIM(UPPER(D78)),1,1))&gt;=65,CODE(MID(TRIM(UPPER(D78)),1,1))&lt;=90,CODE(MID(TRIM(UPPER(D78)),2,1))&gt;=65,CODE(MID(TRIM(UPPER(D78)),2,1))&lt;=90,CODE(MID(TRIM(UPPER(D78)),3,1))&gt;=65,CODE(MID(TRIM(UPPER(D78)),3,1))&lt;=90,CODE(MID(TRIM(UPPER(D78)),4,1))&gt;=65,CODE(MID(TRIM(UPPER(D78)),4,1))&lt;=90,CODE(MID(TRIM(UPPER(D78)),5,1))&gt;=65,CODE(MID(TRIM(UPPER(D78)),5,1))&lt;=90,CODE(MID(TRIM(UPPER(D78)),10,1))&gt;=65,CODE(MID(TRIM(UPPER(D78)),10,1))&lt;=90,CODE(MID(TRIM(UPPER(D78)),6,1))&gt;=48,CODE(MID(TRIM(UPPER(D78)),6,1))&lt;=57,CODE(MID(TRIM(UPPER(D78)),7,1))&gt;=48,CODE(MID(TRIM(UPPER(D78)),7,1))&lt;=57,CODE(MID(TRIM(UPPER(D78)),8,1))&gt;=48,CODE(MID(TRIM(UPPER(D78)),8,1))&lt;=57,CODE(MID(TRIM(UPPER(D78)),9,1))&gt;=48,CODE(MID(TRIM(UPPER(D78)),9,1))&lt;=57),"N","Y"))</f>
      </c>
      <c r="F78" s="7">
        <f>IF($C78="","",IF(LEN(D78)&lt;4,"",IF(UPPER(MID(D78,4,1))="P","Individual",IF(UPPER(MID(D78,4,1))="H","HUF",IF(UPPER(MID(D78,4,1))="C","Company",IF(UPPER(MID(D78,4,1))="F","Firm",IF(UPPER(MID(D78,4,1))="L","LLP",IF(UPPER(MID(D78,4,1))="T","Trust",IF(UPPER(MID(D78,4,1))="A","AOP","")))))))))</f>
      </c>
      <c r="G78" s="8"/>
      <c r="H78" s="7">
        <f>IF($C78="","",IF(R78&lt;&gt;"",R78,IF(G78="","",IF(E78="Y",SUMPRODUCT(('Rate Lookup'!$A$1:$A$37=G78)*'Rate Lookup'!$D$1:$D$37),IF(OR(F78="Individual",F78="HUF"),SUMPRODUCT(('Rate Lookup'!$A$1:$A$37=G78)*'Rate Lookup'!$B$1:$B$37),SUMPRODUCT(('Rate Lookup'!$A$1:$A$37=G78)*'Rate Lookup'!$C$1:$C$37)))))))</f>
      </c>
      <c r="I78" s="8"/>
      <c r="J78" s="8"/>
      <c r="K78" s="7">
        <f>IF($C78="","",IF(OR(P78="B",P78="D",P78="E",P78="N",P78="O",P78="P",P78="Q",P78="S",P78="Y",P78="Z"),0,ROUND(J78*H78/100,0)))</f>
      </c>
      <c r="L78" s="7">
        <f>IF($C78="","",0)</f>
      </c>
      <c r="M78" s="7">
        <f>IF($C78="","",0)</f>
      </c>
      <c r="N78" s="7">
        <f>IF($C78="","",IF(OR(K78=0,I78="",IFERROR(INDEX('Challan Master'!$D$4:$D$207,MATCH($B78,'Challan Master'!$S$4:$S$207,0)),"")="",IFERROR(INDEX('Challan Master'!$D$4:$D$207,MATCH($B78,'Challan Master'!$S$4:$S$207,0)),"")&lt;=0),0,IF(IFERROR(INDEX('Challan Master'!$D$4:$D$207,MATCH($B78,'Challan Master'!$S$4:$S$207,0)),"")&lt;=DATE(YEAR(I78),MONTH(I78)+1,7),0,ROUND(K78*0.015*((YEAR(IFERROR(INDEX('Challan Master'!$D$4:$D$207,MATCH($B78,'Challan Master'!$S$4:$S$207,0)),""))-YEAR(I78))*12+(MONTH(IFERROR(INDEX('Challan Master'!$D$4:$D$207,MATCH($B78,'Challan Master'!$S$4:$S$207,0)),""))-MONTH(I78))+1),0))))</f>
      </c>
      <c r="O78" s="7">
        <f>IF($C78="","",0)</f>
      </c>
      <c r="P78" s="8"/>
      <c r="Q78" s="8"/>
      <c r="R78" s="8"/>
      <c r="S78" s="8"/>
      <c r="T78" s="8"/>
      <c r="U78" s="7">
        <f>IF($B78="","",IFERROR(INDEX('Challan Master'!$AA$4:$AA$207,MATCH($B78,'Challan Master'!$S$4:$S$207,0)),""))</f>
      </c>
    </row>
    <row r="79" spans="1:22" x14ac:dyDescent="0.25">
      <c r="A79" s="7">
        <f>IF($C79="","",COUNTIF($C$4:$C79,"&lt;&gt;"))</f>
      </c>
      <c r="B79" s="8"/>
      <c r="C79" s="8"/>
      <c r="D79" s="8"/>
      <c r="E79" s="7">
        <f>IF($C79="","",IF(AND(LEN(TRIM(UPPER(D79)))=10,CODE(MID(TRIM(UPPER(D79)),1,1))&gt;=65,CODE(MID(TRIM(UPPER(D79)),1,1))&lt;=90,CODE(MID(TRIM(UPPER(D79)),2,1))&gt;=65,CODE(MID(TRIM(UPPER(D79)),2,1))&lt;=90,CODE(MID(TRIM(UPPER(D79)),3,1))&gt;=65,CODE(MID(TRIM(UPPER(D79)),3,1))&lt;=90,CODE(MID(TRIM(UPPER(D79)),4,1))&gt;=65,CODE(MID(TRIM(UPPER(D79)),4,1))&lt;=90,CODE(MID(TRIM(UPPER(D79)),5,1))&gt;=65,CODE(MID(TRIM(UPPER(D79)),5,1))&lt;=90,CODE(MID(TRIM(UPPER(D79)),10,1))&gt;=65,CODE(MID(TRIM(UPPER(D79)),10,1))&lt;=90,CODE(MID(TRIM(UPPER(D79)),6,1))&gt;=48,CODE(MID(TRIM(UPPER(D79)),6,1))&lt;=57,CODE(MID(TRIM(UPPER(D79)),7,1))&gt;=48,CODE(MID(TRIM(UPPER(D79)),7,1))&lt;=57,CODE(MID(TRIM(UPPER(D79)),8,1))&gt;=48,CODE(MID(TRIM(UPPER(D79)),8,1))&lt;=57,CODE(MID(TRIM(UPPER(D79)),9,1))&gt;=48,CODE(MID(TRIM(UPPER(D79)),9,1))&lt;=57),"N","Y"))</f>
      </c>
      <c r="F79" s="7">
        <f>IF($C79="","",IF(LEN(D79)&lt;4,"",IF(UPPER(MID(D79,4,1))="P","Individual",IF(UPPER(MID(D79,4,1))="H","HUF",IF(UPPER(MID(D79,4,1))="C","Company",IF(UPPER(MID(D79,4,1))="F","Firm",IF(UPPER(MID(D79,4,1))="L","LLP",IF(UPPER(MID(D79,4,1))="T","Trust",IF(UPPER(MID(D79,4,1))="A","AOP","")))))))))</f>
      </c>
      <c r="G79" s="8"/>
      <c r="H79" s="7">
        <f>IF($C79="","",IF(R79&lt;&gt;"",R79,IF(G79="","",IF(E79="Y",SUMPRODUCT(('Rate Lookup'!$A$1:$A$37=G79)*'Rate Lookup'!$D$1:$D$37),IF(OR(F79="Individual",F79="HUF"),SUMPRODUCT(('Rate Lookup'!$A$1:$A$37=G79)*'Rate Lookup'!$B$1:$B$37),SUMPRODUCT(('Rate Lookup'!$A$1:$A$37=G79)*'Rate Lookup'!$C$1:$C$37)))))))</f>
      </c>
      <c r="I79" s="8"/>
      <c r="J79" s="8"/>
      <c r="K79" s="7">
        <f>IF($C79="","",IF(OR(P79="B",P79="D",P79="E",P79="N",P79="O",P79="P",P79="Q",P79="S",P79="Y",P79="Z"),0,ROUND(J79*H79/100,0)))</f>
      </c>
      <c r="L79" s="7">
        <f>IF($C79="","",0)</f>
      </c>
      <c r="M79" s="7">
        <f>IF($C79="","",0)</f>
      </c>
      <c r="N79" s="7">
        <f>IF($C79="","",IF(OR(K79=0,I79="",IFERROR(INDEX('Challan Master'!$D$4:$D$207,MATCH($B79,'Challan Master'!$S$4:$S$207,0)),"")="",IFERROR(INDEX('Challan Master'!$D$4:$D$207,MATCH($B79,'Challan Master'!$S$4:$S$207,0)),"")&lt;=0),0,IF(IFERROR(INDEX('Challan Master'!$D$4:$D$207,MATCH($B79,'Challan Master'!$S$4:$S$207,0)),"")&lt;=DATE(YEAR(I79),MONTH(I79)+1,7),0,ROUND(K79*0.015*((YEAR(IFERROR(INDEX('Challan Master'!$D$4:$D$207,MATCH($B79,'Challan Master'!$S$4:$S$207,0)),""))-YEAR(I79))*12+(MONTH(IFERROR(INDEX('Challan Master'!$D$4:$D$207,MATCH($B79,'Challan Master'!$S$4:$S$207,0)),""))-MONTH(I79))+1),0))))</f>
      </c>
      <c r="O79" s="7">
        <f>IF($C79="","",0)</f>
      </c>
      <c r="P79" s="8"/>
      <c r="Q79" s="8"/>
      <c r="R79" s="8"/>
      <c r="S79" s="8"/>
      <c r="T79" s="8"/>
      <c r="U79" s="7">
        <f>IF($B79="","",IFERROR(INDEX('Challan Master'!$AA$4:$AA$207,MATCH($B79,'Challan Master'!$S$4:$S$207,0)),""))</f>
      </c>
    </row>
    <row r="80" spans="1:22" x14ac:dyDescent="0.25">
      <c r="A80" s="7">
        <f>IF($C80="","",COUNTIF($C$4:$C80,"&lt;&gt;"))</f>
      </c>
      <c r="B80" s="8"/>
      <c r="C80" s="8"/>
      <c r="D80" s="8"/>
      <c r="E80" s="7">
        <f>IF($C80="","",IF(AND(LEN(TRIM(UPPER(D80)))=10,CODE(MID(TRIM(UPPER(D80)),1,1))&gt;=65,CODE(MID(TRIM(UPPER(D80)),1,1))&lt;=90,CODE(MID(TRIM(UPPER(D80)),2,1))&gt;=65,CODE(MID(TRIM(UPPER(D80)),2,1))&lt;=90,CODE(MID(TRIM(UPPER(D80)),3,1))&gt;=65,CODE(MID(TRIM(UPPER(D80)),3,1))&lt;=90,CODE(MID(TRIM(UPPER(D80)),4,1))&gt;=65,CODE(MID(TRIM(UPPER(D80)),4,1))&lt;=90,CODE(MID(TRIM(UPPER(D80)),5,1))&gt;=65,CODE(MID(TRIM(UPPER(D80)),5,1))&lt;=90,CODE(MID(TRIM(UPPER(D80)),10,1))&gt;=65,CODE(MID(TRIM(UPPER(D80)),10,1))&lt;=90,CODE(MID(TRIM(UPPER(D80)),6,1))&gt;=48,CODE(MID(TRIM(UPPER(D80)),6,1))&lt;=57,CODE(MID(TRIM(UPPER(D80)),7,1))&gt;=48,CODE(MID(TRIM(UPPER(D80)),7,1))&lt;=57,CODE(MID(TRIM(UPPER(D80)),8,1))&gt;=48,CODE(MID(TRIM(UPPER(D80)),8,1))&lt;=57,CODE(MID(TRIM(UPPER(D80)),9,1))&gt;=48,CODE(MID(TRIM(UPPER(D80)),9,1))&lt;=57),"N","Y"))</f>
      </c>
      <c r="F80" s="7">
        <f>IF($C80="","",IF(LEN(D80)&lt;4,"",IF(UPPER(MID(D80,4,1))="P","Individual",IF(UPPER(MID(D80,4,1))="H","HUF",IF(UPPER(MID(D80,4,1))="C","Company",IF(UPPER(MID(D80,4,1))="F","Firm",IF(UPPER(MID(D80,4,1))="L","LLP",IF(UPPER(MID(D80,4,1))="T","Trust",IF(UPPER(MID(D80,4,1))="A","AOP","")))))))))</f>
      </c>
      <c r="G80" s="8"/>
      <c r="H80" s="7">
        <f>IF($C80="","",IF(R80&lt;&gt;"",R80,IF(G80="","",IF(E80="Y",SUMPRODUCT(('Rate Lookup'!$A$1:$A$37=G80)*'Rate Lookup'!$D$1:$D$37),IF(OR(F80="Individual",F80="HUF"),SUMPRODUCT(('Rate Lookup'!$A$1:$A$37=G80)*'Rate Lookup'!$B$1:$B$37),SUMPRODUCT(('Rate Lookup'!$A$1:$A$37=G80)*'Rate Lookup'!$C$1:$C$37)))))))</f>
      </c>
      <c r="I80" s="8"/>
      <c r="J80" s="8"/>
      <c r="K80" s="7">
        <f>IF($C80="","",IF(OR(P80="B",P80="D",P80="E",P80="N",P80="O",P80="P",P80="Q",P80="S",P80="Y",P80="Z"),0,ROUND(J80*H80/100,0)))</f>
      </c>
      <c r="L80" s="7">
        <f>IF($C80="","",0)</f>
      </c>
      <c r="M80" s="7">
        <f>IF($C80="","",0)</f>
      </c>
      <c r="N80" s="7">
        <f>IF($C80="","",IF(OR(K80=0,I80="",IFERROR(INDEX('Challan Master'!$D$4:$D$207,MATCH($B80,'Challan Master'!$S$4:$S$207,0)),"")="",IFERROR(INDEX('Challan Master'!$D$4:$D$207,MATCH($B80,'Challan Master'!$S$4:$S$207,0)),"")&lt;=0),0,IF(IFERROR(INDEX('Challan Master'!$D$4:$D$207,MATCH($B80,'Challan Master'!$S$4:$S$207,0)),"")&lt;=DATE(YEAR(I80),MONTH(I80)+1,7),0,ROUND(K80*0.015*((YEAR(IFERROR(INDEX('Challan Master'!$D$4:$D$207,MATCH($B80,'Challan Master'!$S$4:$S$207,0)),""))-YEAR(I80))*12+(MONTH(IFERROR(INDEX('Challan Master'!$D$4:$D$207,MATCH($B80,'Challan Master'!$S$4:$S$207,0)),""))-MONTH(I80))+1),0))))</f>
      </c>
      <c r="O80" s="7">
        <f>IF($C80="","",0)</f>
      </c>
      <c r="P80" s="8"/>
      <c r="Q80" s="8"/>
      <c r="R80" s="8"/>
      <c r="S80" s="8"/>
      <c r="T80" s="8"/>
      <c r="U80" s="7">
        <f>IF($B80="","",IFERROR(INDEX('Challan Master'!$AA$4:$AA$207,MATCH($B80,'Challan Master'!$S$4:$S$207,0)),""))</f>
      </c>
    </row>
    <row r="81" spans="1:22" x14ac:dyDescent="0.25">
      <c r="A81" s="7">
        <f>IF($C81="","",COUNTIF($C$4:$C81,"&lt;&gt;"))</f>
      </c>
      <c r="B81" s="8"/>
      <c r="C81" s="8"/>
      <c r="D81" s="8"/>
      <c r="E81" s="7">
        <f>IF($C81="","",IF(AND(LEN(TRIM(UPPER(D81)))=10,CODE(MID(TRIM(UPPER(D81)),1,1))&gt;=65,CODE(MID(TRIM(UPPER(D81)),1,1))&lt;=90,CODE(MID(TRIM(UPPER(D81)),2,1))&gt;=65,CODE(MID(TRIM(UPPER(D81)),2,1))&lt;=90,CODE(MID(TRIM(UPPER(D81)),3,1))&gt;=65,CODE(MID(TRIM(UPPER(D81)),3,1))&lt;=90,CODE(MID(TRIM(UPPER(D81)),4,1))&gt;=65,CODE(MID(TRIM(UPPER(D81)),4,1))&lt;=90,CODE(MID(TRIM(UPPER(D81)),5,1))&gt;=65,CODE(MID(TRIM(UPPER(D81)),5,1))&lt;=90,CODE(MID(TRIM(UPPER(D81)),10,1))&gt;=65,CODE(MID(TRIM(UPPER(D81)),10,1))&lt;=90,CODE(MID(TRIM(UPPER(D81)),6,1))&gt;=48,CODE(MID(TRIM(UPPER(D81)),6,1))&lt;=57,CODE(MID(TRIM(UPPER(D81)),7,1))&gt;=48,CODE(MID(TRIM(UPPER(D81)),7,1))&lt;=57,CODE(MID(TRIM(UPPER(D81)),8,1))&gt;=48,CODE(MID(TRIM(UPPER(D81)),8,1))&lt;=57,CODE(MID(TRIM(UPPER(D81)),9,1))&gt;=48,CODE(MID(TRIM(UPPER(D81)),9,1))&lt;=57),"N","Y"))</f>
      </c>
      <c r="F81" s="7">
        <f>IF($C81="","",IF(LEN(D81)&lt;4,"",IF(UPPER(MID(D81,4,1))="P","Individual",IF(UPPER(MID(D81,4,1))="H","HUF",IF(UPPER(MID(D81,4,1))="C","Company",IF(UPPER(MID(D81,4,1))="F","Firm",IF(UPPER(MID(D81,4,1))="L","LLP",IF(UPPER(MID(D81,4,1))="T","Trust",IF(UPPER(MID(D81,4,1))="A","AOP","")))))))))</f>
      </c>
      <c r="G81" s="8"/>
      <c r="H81" s="7">
        <f>IF($C81="","",IF(R81&lt;&gt;"",R81,IF(G81="","",IF(E81="Y",SUMPRODUCT(('Rate Lookup'!$A$1:$A$37=G81)*'Rate Lookup'!$D$1:$D$37),IF(OR(F81="Individual",F81="HUF"),SUMPRODUCT(('Rate Lookup'!$A$1:$A$37=G81)*'Rate Lookup'!$B$1:$B$37),SUMPRODUCT(('Rate Lookup'!$A$1:$A$37=G81)*'Rate Lookup'!$C$1:$C$37)))))))</f>
      </c>
      <c r="I81" s="8"/>
      <c r="J81" s="8"/>
      <c r="K81" s="7">
        <f>IF($C81="","",IF(OR(P81="B",P81="D",P81="E",P81="N",P81="O",P81="P",P81="Q",P81="S",P81="Y",P81="Z"),0,ROUND(J81*H81/100,0)))</f>
      </c>
      <c r="L81" s="7">
        <f>IF($C81="","",0)</f>
      </c>
      <c r="M81" s="7">
        <f>IF($C81="","",0)</f>
      </c>
      <c r="N81" s="7">
        <f>IF($C81="","",IF(OR(K81=0,I81="",IFERROR(INDEX('Challan Master'!$D$4:$D$207,MATCH($B81,'Challan Master'!$S$4:$S$207,0)),"")="",IFERROR(INDEX('Challan Master'!$D$4:$D$207,MATCH($B81,'Challan Master'!$S$4:$S$207,0)),"")&lt;=0),0,IF(IFERROR(INDEX('Challan Master'!$D$4:$D$207,MATCH($B81,'Challan Master'!$S$4:$S$207,0)),"")&lt;=DATE(YEAR(I81),MONTH(I81)+1,7),0,ROUND(K81*0.015*((YEAR(IFERROR(INDEX('Challan Master'!$D$4:$D$207,MATCH($B81,'Challan Master'!$S$4:$S$207,0)),""))-YEAR(I81))*12+(MONTH(IFERROR(INDEX('Challan Master'!$D$4:$D$207,MATCH($B81,'Challan Master'!$S$4:$S$207,0)),""))-MONTH(I81))+1),0))))</f>
      </c>
      <c r="O81" s="7">
        <f>IF($C81="","",0)</f>
      </c>
      <c r="P81" s="8"/>
      <c r="Q81" s="8"/>
      <c r="R81" s="8"/>
      <c r="S81" s="8"/>
      <c r="T81" s="8"/>
      <c r="U81" s="7">
        <f>IF($B81="","",IFERROR(INDEX('Challan Master'!$AA$4:$AA$207,MATCH($B81,'Challan Master'!$S$4:$S$207,0)),""))</f>
      </c>
    </row>
    <row r="82" spans="1:22" x14ac:dyDescent="0.25">
      <c r="A82" s="7">
        <f>IF($C82="","",COUNTIF($C$4:$C82,"&lt;&gt;"))</f>
      </c>
      <c r="B82" s="8"/>
      <c r="C82" s="8"/>
      <c r="D82" s="8"/>
      <c r="E82" s="7">
        <f>IF($C82="","",IF(AND(LEN(TRIM(UPPER(D82)))=10,CODE(MID(TRIM(UPPER(D82)),1,1))&gt;=65,CODE(MID(TRIM(UPPER(D82)),1,1))&lt;=90,CODE(MID(TRIM(UPPER(D82)),2,1))&gt;=65,CODE(MID(TRIM(UPPER(D82)),2,1))&lt;=90,CODE(MID(TRIM(UPPER(D82)),3,1))&gt;=65,CODE(MID(TRIM(UPPER(D82)),3,1))&lt;=90,CODE(MID(TRIM(UPPER(D82)),4,1))&gt;=65,CODE(MID(TRIM(UPPER(D82)),4,1))&lt;=90,CODE(MID(TRIM(UPPER(D82)),5,1))&gt;=65,CODE(MID(TRIM(UPPER(D82)),5,1))&lt;=90,CODE(MID(TRIM(UPPER(D82)),10,1))&gt;=65,CODE(MID(TRIM(UPPER(D82)),10,1))&lt;=90,CODE(MID(TRIM(UPPER(D82)),6,1))&gt;=48,CODE(MID(TRIM(UPPER(D82)),6,1))&lt;=57,CODE(MID(TRIM(UPPER(D82)),7,1))&gt;=48,CODE(MID(TRIM(UPPER(D82)),7,1))&lt;=57,CODE(MID(TRIM(UPPER(D82)),8,1))&gt;=48,CODE(MID(TRIM(UPPER(D82)),8,1))&lt;=57,CODE(MID(TRIM(UPPER(D82)),9,1))&gt;=48,CODE(MID(TRIM(UPPER(D82)),9,1))&lt;=57),"N","Y"))</f>
      </c>
      <c r="F82" s="7">
        <f>IF($C82="","",IF(LEN(D82)&lt;4,"",IF(UPPER(MID(D82,4,1))="P","Individual",IF(UPPER(MID(D82,4,1))="H","HUF",IF(UPPER(MID(D82,4,1))="C","Company",IF(UPPER(MID(D82,4,1))="F","Firm",IF(UPPER(MID(D82,4,1))="L","LLP",IF(UPPER(MID(D82,4,1))="T","Trust",IF(UPPER(MID(D82,4,1))="A","AOP","")))))))))</f>
      </c>
      <c r="G82" s="8"/>
      <c r="H82" s="7">
        <f>IF($C82="","",IF(R82&lt;&gt;"",R82,IF(G82="","",IF(E82="Y",SUMPRODUCT(('Rate Lookup'!$A$1:$A$37=G82)*'Rate Lookup'!$D$1:$D$37),IF(OR(F82="Individual",F82="HUF"),SUMPRODUCT(('Rate Lookup'!$A$1:$A$37=G82)*'Rate Lookup'!$B$1:$B$37),SUMPRODUCT(('Rate Lookup'!$A$1:$A$37=G82)*'Rate Lookup'!$C$1:$C$37)))))))</f>
      </c>
      <c r="I82" s="8"/>
      <c r="J82" s="8"/>
      <c r="K82" s="7">
        <f>IF($C82="","",IF(OR(P82="B",P82="D",P82="E",P82="N",P82="O",P82="P",P82="Q",P82="S",P82="Y",P82="Z"),0,ROUND(J82*H82/100,0)))</f>
      </c>
      <c r="L82" s="7">
        <f>IF($C82="","",0)</f>
      </c>
      <c r="M82" s="7">
        <f>IF($C82="","",0)</f>
      </c>
      <c r="N82" s="7">
        <f>IF($C82="","",IF(OR(K82=0,I82="",IFERROR(INDEX('Challan Master'!$D$4:$D$207,MATCH($B82,'Challan Master'!$S$4:$S$207,0)),"")="",IFERROR(INDEX('Challan Master'!$D$4:$D$207,MATCH($B82,'Challan Master'!$S$4:$S$207,0)),"")&lt;=0),0,IF(IFERROR(INDEX('Challan Master'!$D$4:$D$207,MATCH($B82,'Challan Master'!$S$4:$S$207,0)),"")&lt;=DATE(YEAR(I82),MONTH(I82)+1,7),0,ROUND(K82*0.015*((YEAR(IFERROR(INDEX('Challan Master'!$D$4:$D$207,MATCH($B82,'Challan Master'!$S$4:$S$207,0)),""))-YEAR(I82))*12+(MONTH(IFERROR(INDEX('Challan Master'!$D$4:$D$207,MATCH($B82,'Challan Master'!$S$4:$S$207,0)),""))-MONTH(I82))+1),0))))</f>
      </c>
      <c r="O82" s="7">
        <f>IF($C82="","",0)</f>
      </c>
      <c r="P82" s="8"/>
      <c r="Q82" s="8"/>
      <c r="R82" s="8"/>
      <c r="S82" s="8"/>
      <c r="T82" s="8"/>
      <c r="U82" s="7">
        <f>IF($B82="","",IFERROR(INDEX('Challan Master'!$AA$4:$AA$207,MATCH($B82,'Challan Master'!$S$4:$S$207,0)),""))</f>
      </c>
    </row>
    <row r="83" spans="1:22" x14ac:dyDescent="0.25">
      <c r="A83" s="7">
        <f>IF($C83="","",COUNTIF($C$4:$C83,"&lt;&gt;"))</f>
      </c>
      <c r="B83" s="8"/>
      <c r="C83" s="8"/>
      <c r="D83" s="8"/>
      <c r="E83" s="7">
        <f>IF($C83="","",IF(AND(LEN(TRIM(UPPER(D83)))=10,CODE(MID(TRIM(UPPER(D83)),1,1))&gt;=65,CODE(MID(TRIM(UPPER(D83)),1,1))&lt;=90,CODE(MID(TRIM(UPPER(D83)),2,1))&gt;=65,CODE(MID(TRIM(UPPER(D83)),2,1))&lt;=90,CODE(MID(TRIM(UPPER(D83)),3,1))&gt;=65,CODE(MID(TRIM(UPPER(D83)),3,1))&lt;=90,CODE(MID(TRIM(UPPER(D83)),4,1))&gt;=65,CODE(MID(TRIM(UPPER(D83)),4,1))&lt;=90,CODE(MID(TRIM(UPPER(D83)),5,1))&gt;=65,CODE(MID(TRIM(UPPER(D83)),5,1))&lt;=90,CODE(MID(TRIM(UPPER(D83)),10,1))&gt;=65,CODE(MID(TRIM(UPPER(D83)),10,1))&lt;=90,CODE(MID(TRIM(UPPER(D83)),6,1))&gt;=48,CODE(MID(TRIM(UPPER(D83)),6,1))&lt;=57,CODE(MID(TRIM(UPPER(D83)),7,1))&gt;=48,CODE(MID(TRIM(UPPER(D83)),7,1))&lt;=57,CODE(MID(TRIM(UPPER(D83)),8,1))&gt;=48,CODE(MID(TRIM(UPPER(D83)),8,1))&lt;=57,CODE(MID(TRIM(UPPER(D83)),9,1))&gt;=48,CODE(MID(TRIM(UPPER(D83)),9,1))&lt;=57),"N","Y"))</f>
      </c>
      <c r="F83" s="7">
        <f>IF($C83="","",IF(LEN(D83)&lt;4,"",IF(UPPER(MID(D83,4,1))="P","Individual",IF(UPPER(MID(D83,4,1))="H","HUF",IF(UPPER(MID(D83,4,1))="C","Company",IF(UPPER(MID(D83,4,1))="F","Firm",IF(UPPER(MID(D83,4,1))="L","LLP",IF(UPPER(MID(D83,4,1))="T","Trust",IF(UPPER(MID(D83,4,1))="A","AOP","")))))))))</f>
      </c>
      <c r="G83" s="8"/>
      <c r="H83" s="7">
        <f>IF($C83="","",IF(R83&lt;&gt;"",R83,IF(G83="","",IF(E83="Y",SUMPRODUCT(('Rate Lookup'!$A$1:$A$37=G83)*'Rate Lookup'!$D$1:$D$37),IF(OR(F83="Individual",F83="HUF"),SUMPRODUCT(('Rate Lookup'!$A$1:$A$37=G83)*'Rate Lookup'!$B$1:$B$37),SUMPRODUCT(('Rate Lookup'!$A$1:$A$37=G83)*'Rate Lookup'!$C$1:$C$37)))))))</f>
      </c>
      <c r="I83" s="8"/>
      <c r="J83" s="8"/>
      <c r="K83" s="7">
        <f>IF($C83="","",IF(OR(P83="B",P83="D",P83="E",P83="N",P83="O",P83="P",P83="Q",P83="S",P83="Y",P83="Z"),0,ROUND(J83*H83/100,0)))</f>
      </c>
      <c r="L83" s="7">
        <f>IF($C83="","",0)</f>
      </c>
      <c r="M83" s="7">
        <f>IF($C83="","",0)</f>
      </c>
      <c r="N83" s="7">
        <f>IF($C83="","",IF(OR(K83=0,I83="",IFERROR(INDEX('Challan Master'!$D$4:$D$207,MATCH($B83,'Challan Master'!$S$4:$S$207,0)),"")="",IFERROR(INDEX('Challan Master'!$D$4:$D$207,MATCH($B83,'Challan Master'!$S$4:$S$207,0)),"")&lt;=0),0,IF(IFERROR(INDEX('Challan Master'!$D$4:$D$207,MATCH($B83,'Challan Master'!$S$4:$S$207,0)),"")&lt;=DATE(YEAR(I83),MONTH(I83)+1,7),0,ROUND(K83*0.015*((YEAR(IFERROR(INDEX('Challan Master'!$D$4:$D$207,MATCH($B83,'Challan Master'!$S$4:$S$207,0)),""))-YEAR(I83))*12+(MONTH(IFERROR(INDEX('Challan Master'!$D$4:$D$207,MATCH($B83,'Challan Master'!$S$4:$S$207,0)),""))-MONTH(I83))+1),0))))</f>
      </c>
      <c r="O83" s="7">
        <f>IF($C83="","",0)</f>
      </c>
      <c r="P83" s="8"/>
      <c r="Q83" s="8"/>
      <c r="R83" s="8"/>
      <c r="S83" s="8"/>
      <c r="T83" s="8"/>
      <c r="U83" s="7">
        <f>IF($B83="","",IFERROR(INDEX('Challan Master'!$AA$4:$AA$207,MATCH($B83,'Challan Master'!$S$4:$S$207,0)),""))</f>
      </c>
    </row>
    <row r="84" spans="1:22" x14ac:dyDescent="0.25">
      <c r="A84" s="7">
        <f>IF($C84="","",COUNTIF($C$4:$C84,"&lt;&gt;"))</f>
      </c>
      <c r="B84" s="8"/>
      <c r="C84" s="8"/>
      <c r="D84" s="8"/>
      <c r="E84" s="7">
        <f>IF($C84="","",IF(AND(LEN(TRIM(UPPER(D84)))=10,CODE(MID(TRIM(UPPER(D84)),1,1))&gt;=65,CODE(MID(TRIM(UPPER(D84)),1,1))&lt;=90,CODE(MID(TRIM(UPPER(D84)),2,1))&gt;=65,CODE(MID(TRIM(UPPER(D84)),2,1))&lt;=90,CODE(MID(TRIM(UPPER(D84)),3,1))&gt;=65,CODE(MID(TRIM(UPPER(D84)),3,1))&lt;=90,CODE(MID(TRIM(UPPER(D84)),4,1))&gt;=65,CODE(MID(TRIM(UPPER(D84)),4,1))&lt;=90,CODE(MID(TRIM(UPPER(D84)),5,1))&gt;=65,CODE(MID(TRIM(UPPER(D84)),5,1))&lt;=90,CODE(MID(TRIM(UPPER(D84)),10,1))&gt;=65,CODE(MID(TRIM(UPPER(D84)),10,1))&lt;=90,CODE(MID(TRIM(UPPER(D84)),6,1))&gt;=48,CODE(MID(TRIM(UPPER(D84)),6,1))&lt;=57,CODE(MID(TRIM(UPPER(D84)),7,1))&gt;=48,CODE(MID(TRIM(UPPER(D84)),7,1))&lt;=57,CODE(MID(TRIM(UPPER(D84)),8,1))&gt;=48,CODE(MID(TRIM(UPPER(D84)),8,1))&lt;=57,CODE(MID(TRIM(UPPER(D84)),9,1))&gt;=48,CODE(MID(TRIM(UPPER(D84)),9,1))&lt;=57),"N","Y"))</f>
      </c>
      <c r="F84" s="7">
        <f>IF($C84="","",IF(LEN(D84)&lt;4,"",IF(UPPER(MID(D84,4,1))="P","Individual",IF(UPPER(MID(D84,4,1))="H","HUF",IF(UPPER(MID(D84,4,1))="C","Company",IF(UPPER(MID(D84,4,1))="F","Firm",IF(UPPER(MID(D84,4,1))="L","LLP",IF(UPPER(MID(D84,4,1))="T","Trust",IF(UPPER(MID(D84,4,1))="A","AOP","")))))))))</f>
      </c>
      <c r="G84" s="8"/>
      <c r="H84" s="7">
        <f>IF($C84="","",IF(R84&lt;&gt;"",R84,IF(G84="","",IF(E84="Y",SUMPRODUCT(('Rate Lookup'!$A$1:$A$37=G84)*'Rate Lookup'!$D$1:$D$37),IF(OR(F84="Individual",F84="HUF"),SUMPRODUCT(('Rate Lookup'!$A$1:$A$37=G84)*'Rate Lookup'!$B$1:$B$37),SUMPRODUCT(('Rate Lookup'!$A$1:$A$37=G84)*'Rate Lookup'!$C$1:$C$37)))))))</f>
      </c>
      <c r="I84" s="8"/>
      <c r="J84" s="8"/>
      <c r="K84" s="7">
        <f>IF($C84="","",IF(OR(P84="B",P84="D",P84="E",P84="N",P84="O",P84="P",P84="Q",P84="S",P84="Y",P84="Z"),0,ROUND(J84*H84/100,0)))</f>
      </c>
      <c r="L84" s="7">
        <f>IF($C84="","",0)</f>
      </c>
      <c r="M84" s="7">
        <f>IF($C84="","",0)</f>
      </c>
      <c r="N84" s="7">
        <f>IF($C84="","",IF(OR(K84=0,I84="",IFERROR(INDEX('Challan Master'!$D$4:$D$207,MATCH($B84,'Challan Master'!$S$4:$S$207,0)),"")="",IFERROR(INDEX('Challan Master'!$D$4:$D$207,MATCH($B84,'Challan Master'!$S$4:$S$207,0)),"")&lt;=0),0,IF(IFERROR(INDEX('Challan Master'!$D$4:$D$207,MATCH($B84,'Challan Master'!$S$4:$S$207,0)),"")&lt;=DATE(YEAR(I84),MONTH(I84)+1,7),0,ROUND(K84*0.015*((YEAR(IFERROR(INDEX('Challan Master'!$D$4:$D$207,MATCH($B84,'Challan Master'!$S$4:$S$207,0)),""))-YEAR(I84))*12+(MONTH(IFERROR(INDEX('Challan Master'!$D$4:$D$207,MATCH($B84,'Challan Master'!$S$4:$S$207,0)),""))-MONTH(I84))+1),0))))</f>
      </c>
      <c r="O84" s="7">
        <f>IF($C84="","",0)</f>
      </c>
      <c r="P84" s="8"/>
      <c r="Q84" s="8"/>
      <c r="R84" s="8"/>
      <c r="S84" s="8"/>
      <c r="T84" s="8"/>
      <c r="U84" s="7">
        <f>IF($B84="","",IFERROR(INDEX('Challan Master'!$AA$4:$AA$207,MATCH($B84,'Challan Master'!$S$4:$S$207,0)),""))</f>
      </c>
    </row>
    <row r="85" spans="1:22" x14ac:dyDescent="0.25">
      <c r="A85" s="7">
        <f>IF($C85="","",COUNTIF($C$4:$C85,"&lt;&gt;"))</f>
      </c>
      <c r="B85" s="8"/>
      <c r="C85" s="8"/>
      <c r="D85" s="8"/>
      <c r="E85" s="7">
        <f>IF($C85="","",IF(AND(LEN(TRIM(UPPER(D85)))=10,CODE(MID(TRIM(UPPER(D85)),1,1))&gt;=65,CODE(MID(TRIM(UPPER(D85)),1,1))&lt;=90,CODE(MID(TRIM(UPPER(D85)),2,1))&gt;=65,CODE(MID(TRIM(UPPER(D85)),2,1))&lt;=90,CODE(MID(TRIM(UPPER(D85)),3,1))&gt;=65,CODE(MID(TRIM(UPPER(D85)),3,1))&lt;=90,CODE(MID(TRIM(UPPER(D85)),4,1))&gt;=65,CODE(MID(TRIM(UPPER(D85)),4,1))&lt;=90,CODE(MID(TRIM(UPPER(D85)),5,1))&gt;=65,CODE(MID(TRIM(UPPER(D85)),5,1))&lt;=90,CODE(MID(TRIM(UPPER(D85)),10,1))&gt;=65,CODE(MID(TRIM(UPPER(D85)),10,1))&lt;=90,CODE(MID(TRIM(UPPER(D85)),6,1))&gt;=48,CODE(MID(TRIM(UPPER(D85)),6,1))&lt;=57,CODE(MID(TRIM(UPPER(D85)),7,1))&gt;=48,CODE(MID(TRIM(UPPER(D85)),7,1))&lt;=57,CODE(MID(TRIM(UPPER(D85)),8,1))&gt;=48,CODE(MID(TRIM(UPPER(D85)),8,1))&lt;=57,CODE(MID(TRIM(UPPER(D85)),9,1))&gt;=48,CODE(MID(TRIM(UPPER(D85)),9,1))&lt;=57),"N","Y"))</f>
      </c>
      <c r="F85" s="7">
        <f>IF($C85="","",IF(LEN(D85)&lt;4,"",IF(UPPER(MID(D85,4,1))="P","Individual",IF(UPPER(MID(D85,4,1))="H","HUF",IF(UPPER(MID(D85,4,1))="C","Company",IF(UPPER(MID(D85,4,1))="F","Firm",IF(UPPER(MID(D85,4,1))="L","LLP",IF(UPPER(MID(D85,4,1))="T","Trust",IF(UPPER(MID(D85,4,1))="A","AOP","")))))))))</f>
      </c>
      <c r="G85" s="8"/>
      <c r="H85" s="7">
        <f>IF($C85="","",IF(R85&lt;&gt;"",R85,IF(G85="","",IF(E85="Y",SUMPRODUCT(('Rate Lookup'!$A$1:$A$37=G85)*'Rate Lookup'!$D$1:$D$37),IF(OR(F85="Individual",F85="HUF"),SUMPRODUCT(('Rate Lookup'!$A$1:$A$37=G85)*'Rate Lookup'!$B$1:$B$37),SUMPRODUCT(('Rate Lookup'!$A$1:$A$37=G85)*'Rate Lookup'!$C$1:$C$37)))))))</f>
      </c>
      <c r="I85" s="8"/>
      <c r="J85" s="8"/>
      <c r="K85" s="7">
        <f>IF($C85="","",IF(OR(P85="B",P85="D",P85="E",P85="N",P85="O",P85="P",P85="Q",P85="S",P85="Y",P85="Z"),0,ROUND(J85*H85/100,0)))</f>
      </c>
      <c r="L85" s="7">
        <f>IF($C85="","",0)</f>
      </c>
      <c r="M85" s="7">
        <f>IF($C85="","",0)</f>
      </c>
      <c r="N85" s="7">
        <f>IF($C85="","",IF(OR(K85=0,I85="",IFERROR(INDEX('Challan Master'!$D$4:$D$207,MATCH($B85,'Challan Master'!$S$4:$S$207,0)),"")="",IFERROR(INDEX('Challan Master'!$D$4:$D$207,MATCH($B85,'Challan Master'!$S$4:$S$207,0)),"")&lt;=0),0,IF(IFERROR(INDEX('Challan Master'!$D$4:$D$207,MATCH($B85,'Challan Master'!$S$4:$S$207,0)),"")&lt;=DATE(YEAR(I85),MONTH(I85)+1,7),0,ROUND(K85*0.015*((YEAR(IFERROR(INDEX('Challan Master'!$D$4:$D$207,MATCH($B85,'Challan Master'!$S$4:$S$207,0)),""))-YEAR(I85))*12+(MONTH(IFERROR(INDEX('Challan Master'!$D$4:$D$207,MATCH($B85,'Challan Master'!$S$4:$S$207,0)),""))-MONTH(I85))+1),0))))</f>
      </c>
      <c r="O85" s="7">
        <f>IF($C85="","",0)</f>
      </c>
      <c r="P85" s="8"/>
      <c r="Q85" s="8"/>
      <c r="R85" s="8"/>
      <c r="S85" s="8"/>
      <c r="T85" s="8"/>
      <c r="U85" s="7">
        <f>IF($B85="","",IFERROR(INDEX('Challan Master'!$AA$4:$AA$207,MATCH($B85,'Challan Master'!$S$4:$S$207,0)),""))</f>
      </c>
    </row>
    <row r="86" spans="1:22" x14ac:dyDescent="0.25">
      <c r="A86" s="7">
        <f>IF($C86="","",COUNTIF($C$4:$C86,"&lt;&gt;"))</f>
      </c>
      <c r="B86" s="8"/>
      <c r="C86" s="8"/>
      <c r="D86" s="8"/>
      <c r="E86" s="7">
        <f>IF($C86="","",IF(AND(LEN(TRIM(UPPER(D86)))=10,CODE(MID(TRIM(UPPER(D86)),1,1))&gt;=65,CODE(MID(TRIM(UPPER(D86)),1,1))&lt;=90,CODE(MID(TRIM(UPPER(D86)),2,1))&gt;=65,CODE(MID(TRIM(UPPER(D86)),2,1))&lt;=90,CODE(MID(TRIM(UPPER(D86)),3,1))&gt;=65,CODE(MID(TRIM(UPPER(D86)),3,1))&lt;=90,CODE(MID(TRIM(UPPER(D86)),4,1))&gt;=65,CODE(MID(TRIM(UPPER(D86)),4,1))&lt;=90,CODE(MID(TRIM(UPPER(D86)),5,1))&gt;=65,CODE(MID(TRIM(UPPER(D86)),5,1))&lt;=90,CODE(MID(TRIM(UPPER(D86)),10,1))&gt;=65,CODE(MID(TRIM(UPPER(D86)),10,1))&lt;=90,CODE(MID(TRIM(UPPER(D86)),6,1))&gt;=48,CODE(MID(TRIM(UPPER(D86)),6,1))&lt;=57,CODE(MID(TRIM(UPPER(D86)),7,1))&gt;=48,CODE(MID(TRIM(UPPER(D86)),7,1))&lt;=57,CODE(MID(TRIM(UPPER(D86)),8,1))&gt;=48,CODE(MID(TRIM(UPPER(D86)),8,1))&lt;=57,CODE(MID(TRIM(UPPER(D86)),9,1))&gt;=48,CODE(MID(TRIM(UPPER(D86)),9,1))&lt;=57),"N","Y"))</f>
      </c>
      <c r="F86" s="7">
        <f>IF($C86="","",IF(LEN(D86)&lt;4,"",IF(UPPER(MID(D86,4,1))="P","Individual",IF(UPPER(MID(D86,4,1))="H","HUF",IF(UPPER(MID(D86,4,1))="C","Company",IF(UPPER(MID(D86,4,1))="F","Firm",IF(UPPER(MID(D86,4,1))="L","LLP",IF(UPPER(MID(D86,4,1))="T","Trust",IF(UPPER(MID(D86,4,1))="A","AOP","")))))))))</f>
      </c>
      <c r="G86" s="8"/>
      <c r="H86" s="7">
        <f>IF($C86="","",IF(R86&lt;&gt;"",R86,IF(G86="","",IF(E86="Y",SUMPRODUCT(('Rate Lookup'!$A$1:$A$37=G86)*'Rate Lookup'!$D$1:$D$37),IF(OR(F86="Individual",F86="HUF"),SUMPRODUCT(('Rate Lookup'!$A$1:$A$37=G86)*'Rate Lookup'!$B$1:$B$37),SUMPRODUCT(('Rate Lookup'!$A$1:$A$37=G86)*'Rate Lookup'!$C$1:$C$37)))))))</f>
      </c>
      <c r="I86" s="8"/>
      <c r="J86" s="8"/>
      <c r="K86" s="7">
        <f>IF($C86="","",IF(OR(P86="B",P86="D",P86="E",P86="N",P86="O",P86="P",P86="Q",P86="S",P86="Y",P86="Z"),0,ROUND(J86*H86/100,0)))</f>
      </c>
      <c r="L86" s="7">
        <f>IF($C86="","",0)</f>
      </c>
      <c r="M86" s="7">
        <f>IF($C86="","",0)</f>
      </c>
      <c r="N86" s="7">
        <f>IF($C86="","",IF(OR(K86=0,I86="",IFERROR(INDEX('Challan Master'!$D$4:$D$207,MATCH($B86,'Challan Master'!$S$4:$S$207,0)),"")="",IFERROR(INDEX('Challan Master'!$D$4:$D$207,MATCH($B86,'Challan Master'!$S$4:$S$207,0)),"")&lt;=0),0,IF(IFERROR(INDEX('Challan Master'!$D$4:$D$207,MATCH($B86,'Challan Master'!$S$4:$S$207,0)),"")&lt;=DATE(YEAR(I86),MONTH(I86)+1,7),0,ROUND(K86*0.015*((YEAR(IFERROR(INDEX('Challan Master'!$D$4:$D$207,MATCH($B86,'Challan Master'!$S$4:$S$207,0)),""))-YEAR(I86))*12+(MONTH(IFERROR(INDEX('Challan Master'!$D$4:$D$207,MATCH($B86,'Challan Master'!$S$4:$S$207,0)),""))-MONTH(I86))+1),0))))</f>
      </c>
      <c r="O86" s="7">
        <f>IF($C86="","",0)</f>
      </c>
      <c r="P86" s="8"/>
      <c r="Q86" s="8"/>
      <c r="R86" s="8"/>
      <c r="S86" s="8"/>
      <c r="T86" s="8"/>
      <c r="U86" s="7">
        <f>IF($B86="","",IFERROR(INDEX('Challan Master'!$AA$4:$AA$207,MATCH($B86,'Challan Master'!$S$4:$S$207,0)),""))</f>
      </c>
    </row>
    <row r="87" spans="1:22" x14ac:dyDescent="0.25">
      <c r="A87" s="7">
        <f>IF($C87="","",COUNTIF($C$4:$C87,"&lt;&gt;"))</f>
      </c>
      <c r="B87" s="8"/>
      <c r="C87" s="8"/>
      <c r="D87" s="8"/>
      <c r="E87" s="7">
        <f>IF($C87="","",IF(AND(LEN(TRIM(UPPER(D87)))=10,CODE(MID(TRIM(UPPER(D87)),1,1))&gt;=65,CODE(MID(TRIM(UPPER(D87)),1,1))&lt;=90,CODE(MID(TRIM(UPPER(D87)),2,1))&gt;=65,CODE(MID(TRIM(UPPER(D87)),2,1))&lt;=90,CODE(MID(TRIM(UPPER(D87)),3,1))&gt;=65,CODE(MID(TRIM(UPPER(D87)),3,1))&lt;=90,CODE(MID(TRIM(UPPER(D87)),4,1))&gt;=65,CODE(MID(TRIM(UPPER(D87)),4,1))&lt;=90,CODE(MID(TRIM(UPPER(D87)),5,1))&gt;=65,CODE(MID(TRIM(UPPER(D87)),5,1))&lt;=90,CODE(MID(TRIM(UPPER(D87)),10,1))&gt;=65,CODE(MID(TRIM(UPPER(D87)),10,1))&lt;=90,CODE(MID(TRIM(UPPER(D87)),6,1))&gt;=48,CODE(MID(TRIM(UPPER(D87)),6,1))&lt;=57,CODE(MID(TRIM(UPPER(D87)),7,1))&gt;=48,CODE(MID(TRIM(UPPER(D87)),7,1))&lt;=57,CODE(MID(TRIM(UPPER(D87)),8,1))&gt;=48,CODE(MID(TRIM(UPPER(D87)),8,1))&lt;=57,CODE(MID(TRIM(UPPER(D87)),9,1))&gt;=48,CODE(MID(TRIM(UPPER(D87)),9,1))&lt;=57),"N","Y"))</f>
      </c>
      <c r="F87" s="7">
        <f>IF($C87="","",IF(LEN(D87)&lt;4,"",IF(UPPER(MID(D87,4,1))="P","Individual",IF(UPPER(MID(D87,4,1))="H","HUF",IF(UPPER(MID(D87,4,1))="C","Company",IF(UPPER(MID(D87,4,1))="F","Firm",IF(UPPER(MID(D87,4,1))="L","LLP",IF(UPPER(MID(D87,4,1))="T","Trust",IF(UPPER(MID(D87,4,1))="A","AOP","")))))))))</f>
      </c>
      <c r="G87" s="8"/>
      <c r="H87" s="7">
        <f>IF($C87="","",IF(R87&lt;&gt;"",R87,IF(G87="","",IF(E87="Y",SUMPRODUCT(('Rate Lookup'!$A$1:$A$37=G87)*'Rate Lookup'!$D$1:$D$37),IF(OR(F87="Individual",F87="HUF"),SUMPRODUCT(('Rate Lookup'!$A$1:$A$37=G87)*'Rate Lookup'!$B$1:$B$37),SUMPRODUCT(('Rate Lookup'!$A$1:$A$37=G87)*'Rate Lookup'!$C$1:$C$37)))))))</f>
      </c>
      <c r="I87" s="8"/>
      <c r="J87" s="8"/>
      <c r="K87" s="7">
        <f>IF($C87="","",IF(OR(P87="B",P87="D",P87="E",P87="N",P87="O",P87="P",P87="Q",P87="S",P87="Y",P87="Z"),0,ROUND(J87*H87/100,0)))</f>
      </c>
      <c r="L87" s="7">
        <f>IF($C87="","",0)</f>
      </c>
      <c r="M87" s="7">
        <f>IF($C87="","",0)</f>
      </c>
      <c r="N87" s="7">
        <f>IF($C87="","",IF(OR(K87=0,I87="",IFERROR(INDEX('Challan Master'!$D$4:$D$207,MATCH($B87,'Challan Master'!$S$4:$S$207,0)),"")="",IFERROR(INDEX('Challan Master'!$D$4:$D$207,MATCH($B87,'Challan Master'!$S$4:$S$207,0)),"")&lt;=0),0,IF(IFERROR(INDEX('Challan Master'!$D$4:$D$207,MATCH($B87,'Challan Master'!$S$4:$S$207,0)),"")&lt;=DATE(YEAR(I87),MONTH(I87)+1,7),0,ROUND(K87*0.015*((YEAR(IFERROR(INDEX('Challan Master'!$D$4:$D$207,MATCH($B87,'Challan Master'!$S$4:$S$207,0)),""))-YEAR(I87))*12+(MONTH(IFERROR(INDEX('Challan Master'!$D$4:$D$207,MATCH($B87,'Challan Master'!$S$4:$S$207,0)),""))-MONTH(I87))+1),0))))</f>
      </c>
      <c r="O87" s="7">
        <f>IF($C87="","",0)</f>
      </c>
      <c r="P87" s="8"/>
      <c r="Q87" s="8"/>
      <c r="R87" s="8"/>
      <c r="S87" s="8"/>
      <c r="T87" s="8"/>
      <c r="U87" s="7">
        <f>IF($B87="","",IFERROR(INDEX('Challan Master'!$AA$4:$AA$207,MATCH($B87,'Challan Master'!$S$4:$S$207,0)),""))</f>
      </c>
    </row>
    <row r="88" spans="1:22" x14ac:dyDescent="0.25">
      <c r="A88" s="7">
        <f>IF($C88="","",COUNTIF($C$4:$C88,"&lt;&gt;"))</f>
      </c>
      <c r="B88" s="8"/>
      <c r="C88" s="8"/>
      <c r="D88" s="8"/>
      <c r="E88" s="7">
        <f>IF($C88="","",IF(AND(LEN(TRIM(UPPER(D88)))=10,CODE(MID(TRIM(UPPER(D88)),1,1))&gt;=65,CODE(MID(TRIM(UPPER(D88)),1,1))&lt;=90,CODE(MID(TRIM(UPPER(D88)),2,1))&gt;=65,CODE(MID(TRIM(UPPER(D88)),2,1))&lt;=90,CODE(MID(TRIM(UPPER(D88)),3,1))&gt;=65,CODE(MID(TRIM(UPPER(D88)),3,1))&lt;=90,CODE(MID(TRIM(UPPER(D88)),4,1))&gt;=65,CODE(MID(TRIM(UPPER(D88)),4,1))&lt;=90,CODE(MID(TRIM(UPPER(D88)),5,1))&gt;=65,CODE(MID(TRIM(UPPER(D88)),5,1))&lt;=90,CODE(MID(TRIM(UPPER(D88)),10,1))&gt;=65,CODE(MID(TRIM(UPPER(D88)),10,1))&lt;=90,CODE(MID(TRIM(UPPER(D88)),6,1))&gt;=48,CODE(MID(TRIM(UPPER(D88)),6,1))&lt;=57,CODE(MID(TRIM(UPPER(D88)),7,1))&gt;=48,CODE(MID(TRIM(UPPER(D88)),7,1))&lt;=57,CODE(MID(TRIM(UPPER(D88)),8,1))&gt;=48,CODE(MID(TRIM(UPPER(D88)),8,1))&lt;=57,CODE(MID(TRIM(UPPER(D88)),9,1))&gt;=48,CODE(MID(TRIM(UPPER(D88)),9,1))&lt;=57),"N","Y"))</f>
      </c>
      <c r="F88" s="7">
        <f>IF($C88="","",IF(LEN(D88)&lt;4,"",IF(UPPER(MID(D88,4,1))="P","Individual",IF(UPPER(MID(D88,4,1))="H","HUF",IF(UPPER(MID(D88,4,1))="C","Company",IF(UPPER(MID(D88,4,1))="F","Firm",IF(UPPER(MID(D88,4,1))="L","LLP",IF(UPPER(MID(D88,4,1))="T","Trust",IF(UPPER(MID(D88,4,1))="A","AOP","")))))))))</f>
      </c>
      <c r="G88" s="8"/>
      <c r="H88" s="7">
        <f>IF($C88="","",IF(R88&lt;&gt;"",R88,IF(G88="","",IF(E88="Y",SUMPRODUCT(('Rate Lookup'!$A$1:$A$37=G88)*'Rate Lookup'!$D$1:$D$37),IF(OR(F88="Individual",F88="HUF"),SUMPRODUCT(('Rate Lookup'!$A$1:$A$37=G88)*'Rate Lookup'!$B$1:$B$37),SUMPRODUCT(('Rate Lookup'!$A$1:$A$37=G88)*'Rate Lookup'!$C$1:$C$37)))))))</f>
      </c>
      <c r="I88" s="8"/>
      <c r="J88" s="8"/>
      <c r="K88" s="7">
        <f>IF($C88="","",IF(OR(P88="B",P88="D",P88="E",P88="N",P88="O",P88="P",P88="Q",P88="S",P88="Y",P88="Z"),0,ROUND(J88*H88/100,0)))</f>
      </c>
      <c r="L88" s="7">
        <f>IF($C88="","",0)</f>
      </c>
      <c r="M88" s="7">
        <f>IF($C88="","",0)</f>
      </c>
      <c r="N88" s="7">
        <f>IF($C88="","",IF(OR(K88=0,I88="",IFERROR(INDEX('Challan Master'!$D$4:$D$207,MATCH($B88,'Challan Master'!$S$4:$S$207,0)),"")="",IFERROR(INDEX('Challan Master'!$D$4:$D$207,MATCH($B88,'Challan Master'!$S$4:$S$207,0)),"")&lt;=0),0,IF(IFERROR(INDEX('Challan Master'!$D$4:$D$207,MATCH($B88,'Challan Master'!$S$4:$S$207,0)),"")&lt;=DATE(YEAR(I88),MONTH(I88)+1,7),0,ROUND(K88*0.015*((YEAR(IFERROR(INDEX('Challan Master'!$D$4:$D$207,MATCH($B88,'Challan Master'!$S$4:$S$207,0)),""))-YEAR(I88))*12+(MONTH(IFERROR(INDEX('Challan Master'!$D$4:$D$207,MATCH($B88,'Challan Master'!$S$4:$S$207,0)),""))-MONTH(I88))+1),0))))</f>
      </c>
      <c r="O88" s="7">
        <f>IF($C88="","",0)</f>
      </c>
      <c r="P88" s="8"/>
      <c r="Q88" s="8"/>
      <c r="R88" s="8"/>
      <c r="S88" s="8"/>
      <c r="T88" s="8"/>
      <c r="U88" s="7">
        <f>IF($B88="","",IFERROR(INDEX('Challan Master'!$AA$4:$AA$207,MATCH($B88,'Challan Master'!$S$4:$S$207,0)),""))</f>
      </c>
    </row>
    <row r="89" spans="1:22" x14ac:dyDescent="0.25">
      <c r="A89" s="7">
        <f>IF($C89="","",COUNTIF($C$4:$C89,"&lt;&gt;"))</f>
      </c>
      <c r="B89" s="8"/>
      <c r="C89" s="8"/>
      <c r="D89" s="8"/>
      <c r="E89" s="7">
        <f>IF($C89="","",IF(AND(LEN(TRIM(UPPER(D89)))=10,CODE(MID(TRIM(UPPER(D89)),1,1))&gt;=65,CODE(MID(TRIM(UPPER(D89)),1,1))&lt;=90,CODE(MID(TRIM(UPPER(D89)),2,1))&gt;=65,CODE(MID(TRIM(UPPER(D89)),2,1))&lt;=90,CODE(MID(TRIM(UPPER(D89)),3,1))&gt;=65,CODE(MID(TRIM(UPPER(D89)),3,1))&lt;=90,CODE(MID(TRIM(UPPER(D89)),4,1))&gt;=65,CODE(MID(TRIM(UPPER(D89)),4,1))&lt;=90,CODE(MID(TRIM(UPPER(D89)),5,1))&gt;=65,CODE(MID(TRIM(UPPER(D89)),5,1))&lt;=90,CODE(MID(TRIM(UPPER(D89)),10,1))&gt;=65,CODE(MID(TRIM(UPPER(D89)),10,1))&lt;=90,CODE(MID(TRIM(UPPER(D89)),6,1))&gt;=48,CODE(MID(TRIM(UPPER(D89)),6,1))&lt;=57,CODE(MID(TRIM(UPPER(D89)),7,1))&gt;=48,CODE(MID(TRIM(UPPER(D89)),7,1))&lt;=57,CODE(MID(TRIM(UPPER(D89)),8,1))&gt;=48,CODE(MID(TRIM(UPPER(D89)),8,1))&lt;=57,CODE(MID(TRIM(UPPER(D89)),9,1))&gt;=48,CODE(MID(TRIM(UPPER(D89)),9,1))&lt;=57),"N","Y"))</f>
      </c>
      <c r="F89" s="7">
        <f>IF($C89="","",IF(LEN(D89)&lt;4,"",IF(UPPER(MID(D89,4,1))="P","Individual",IF(UPPER(MID(D89,4,1))="H","HUF",IF(UPPER(MID(D89,4,1))="C","Company",IF(UPPER(MID(D89,4,1))="F","Firm",IF(UPPER(MID(D89,4,1))="L","LLP",IF(UPPER(MID(D89,4,1))="T","Trust",IF(UPPER(MID(D89,4,1))="A","AOP","")))))))))</f>
      </c>
      <c r="G89" s="8"/>
      <c r="H89" s="7">
        <f>IF($C89="","",IF(R89&lt;&gt;"",R89,IF(G89="","",IF(E89="Y",SUMPRODUCT(('Rate Lookup'!$A$1:$A$37=G89)*'Rate Lookup'!$D$1:$D$37),IF(OR(F89="Individual",F89="HUF"),SUMPRODUCT(('Rate Lookup'!$A$1:$A$37=G89)*'Rate Lookup'!$B$1:$B$37),SUMPRODUCT(('Rate Lookup'!$A$1:$A$37=G89)*'Rate Lookup'!$C$1:$C$37)))))))</f>
      </c>
      <c r="I89" s="8"/>
      <c r="J89" s="8"/>
      <c r="K89" s="7">
        <f>IF($C89="","",IF(OR(P89="B",P89="D",P89="E",P89="N",P89="O",P89="P",P89="Q",P89="S",P89="Y",P89="Z"),0,ROUND(J89*H89/100,0)))</f>
      </c>
      <c r="L89" s="7">
        <f>IF($C89="","",0)</f>
      </c>
      <c r="M89" s="7">
        <f>IF($C89="","",0)</f>
      </c>
      <c r="N89" s="7">
        <f>IF($C89="","",IF(OR(K89=0,I89="",IFERROR(INDEX('Challan Master'!$D$4:$D$207,MATCH($B89,'Challan Master'!$S$4:$S$207,0)),"")="",IFERROR(INDEX('Challan Master'!$D$4:$D$207,MATCH($B89,'Challan Master'!$S$4:$S$207,0)),"")&lt;=0),0,IF(IFERROR(INDEX('Challan Master'!$D$4:$D$207,MATCH($B89,'Challan Master'!$S$4:$S$207,0)),"")&lt;=DATE(YEAR(I89),MONTH(I89)+1,7),0,ROUND(K89*0.015*((YEAR(IFERROR(INDEX('Challan Master'!$D$4:$D$207,MATCH($B89,'Challan Master'!$S$4:$S$207,0)),""))-YEAR(I89))*12+(MONTH(IFERROR(INDEX('Challan Master'!$D$4:$D$207,MATCH($B89,'Challan Master'!$S$4:$S$207,0)),""))-MONTH(I89))+1),0))))</f>
      </c>
      <c r="O89" s="7">
        <f>IF($C89="","",0)</f>
      </c>
      <c r="P89" s="8"/>
      <c r="Q89" s="8"/>
      <c r="R89" s="8"/>
      <c r="S89" s="8"/>
      <c r="T89" s="8"/>
      <c r="U89" s="7">
        <f>IF($B89="","",IFERROR(INDEX('Challan Master'!$AA$4:$AA$207,MATCH($B89,'Challan Master'!$S$4:$S$207,0)),""))</f>
      </c>
    </row>
    <row r="90" spans="1:22" x14ac:dyDescent="0.25">
      <c r="A90" s="7">
        <f>IF($C90="","",COUNTIF($C$4:$C90,"&lt;&gt;"))</f>
      </c>
      <c r="B90" s="8"/>
      <c r="C90" s="8"/>
      <c r="D90" s="8"/>
      <c r="E90" s="7">
        <f>IF($C90="","",IF(AND(LEN(TRIM(UPPER(D90)))=10,CODE(MID(TRIM(UPPER(D90)),1,1))&gt;=65,CODE(MID(TRIM(UPPER(D90)),1,1))&lt;=90,CODE(MID(TRIM(UPPER(D90)),2,1))&gt;=65,CODE(MID(TRIM(UPPER(D90)),2,1))&lt;=90,CODE(MID(TRIM(UPPER(D90)),3,1))&gt;=65,CODE(MID(TRIM(UPPER(D90)),3,1))&lt;=90,CODE(MID(TRIM(UPPER(D90)),4,1))&gt;=65,CODE(MID(TRIM(UPPER(D90)),4,1))&lt;=90,CODE(MID(TRIM(UPPER(D90)),5,1))&gt;=65,CODE(MID(TRIM(UPPER(D90)),5,1))&lt;=90,CODE(MID(TRIM(UPPER(D90)),10,1))&gt;=65,CODE(MID(TRIM(UPPER(D90)),10,1))&lt;=90,CODE(MID(TRIM(UPPER(D90)),6,1))&gt;=48,CODE(MID(TRIM(UPPER(D90)),6,1))&lt;=57,CODE(MID(TRIM(UPPER(D90)),7,1))&gt;=48,CODE(MID(TRIM(UPPER(D90)),7,1))&lt;=57,CODE(MID(TRIM(UPPER(D90)),8,1))&gt;=48,CODE(MID(TRIM(UPPER(D90)),8,1))&lt;=57,CODE(MID(TRIM(UPPER(D90)),9,1))&gt;=48,CODE(MID(TRIM(UPPER(D90)),9,1))&lt;=57),"N","Y"))</f>
      </c>
      <c r="F90" s="7">
        <f>IF($C90="","",IF(LEN(D90)&lt;4,"",IF(UPPER(MID(D90,4,1))="P","Individual",IF(UPPER(MID(D90,4,1))="H","HUF",IF(UPPER(MID(D90,4,1))="C","Company",IF(UPPER(MID(D90,4,1))="F","Firm",IF(UPPER(MID(D90,4,1))="L","LLP",IF(UPPER(MID(D90,4,1))="T","Trust",IF(UPPER(MID(D90,4,1))="A","AOP","")))))))))</f>
      </c>
      <c r="G90" s="8"/>
      <c r="H90" s="7">
        <f>IF($C90="","",IF(R90&lt;&gt;"",R90,IF(G90="","",IF(E90="Y",SUMPRODUCT(('Rate Lookup'!$A$1:$A$37=G90)*'Rate Lookup'!$D$1:$D$37),IF(OR(F90="Individual",F90="HUF"),SUMPRODUCT(('Rate Lookup'!$A$1:$A$37=G90)*'Rate Lookup'!$B$1:$B$37),SUMPRODUCT(('Rate Lookup'!$A$1:$A$37=G90)*'Rate Lookup'!$C$1:$C$37)))))))</f>
      </c>
      <c r="I90" s="8"/>
      <c r="J90" s="8"/>
      <c r="K90" s="7">
        <f>IF($C90="","",IF(OR(P90="B",P90="D",P90="E",P90="N",P90="O",P90="P",P90="Q",P90="S",P90="Y",P90="Z"),0,ROUND(J90*H90/100,0)))</f>
      </c>
      <c r="L90" s="7">
        <f>IF($C90="","",0)</f>
      </c>
      <c r="M90" s="7">
        <f>IF($C90="","",0)</f>
      </c>
      <c r="N90" s="7">
        <f>IF($C90="","",IF(OR(K90=0,I90="",IFERROR(INDEX('Challan Master'!$D$4:$D$207,MATCH($B90,'Challan Master'!$S$4:$S$207,0)),"")="",IFERROR(INDEX('Challan Master'!$D$4:$D$207,MATCH($B90,'Challan Master'!$S$4:$S$207,0)),"")&lt;=0),0,IF(IFERROR(INDEX('Challan Master'!$D$4:$D$207,MATCH($B90,'Challan Master'!$S$4:$S$207,0)),"")&lt;=DATE(YEAR(I90),MONTH(I90)+1,7),0,ROUND(K90*0.015*((YEAR(IFERROR(INDEX('Challan Master'!$D$4:$D$207,MATCH($B90,'Challan Master'!$S$4:$S$207,0)),""))-YEAR(I90))*12+(MONTH(IFERROR(INDEX('Challan Master'!$D$4:$D$207,MATCH($B90,'Challan Master'!$S$4:$S$207,0)),""))-MONTH(I90))+1),0))))</f>
      </c>
      <c r="O90" s="7">
        <f>IF($C90="","",0)</f>
      </c>
      <c r="P90" s="8"/>
      <c r="Q90" s="8"/>
      <c r="R90" s="8"/>
      <c r="S90" s="8"/>
      <c r="T90" s="8"/>
      <c r="U90" s="7">
        <f>IF($B90="","",IFERROR(INDEX('Challan Master'!$AA$4:$AA$207,MATCH($B90,'Challan Master'!$S$4:$S$207,0)),""))</f>
      </c>
    </row>
    <row r="91" spans="1:22" x14ac:dyDescent="0.25">
      <c r="A91" s="7">
        <f>IF($C91="","",COUNTIF($C$4:$C91,"&lt;&gt;"))</f>
      </c>
      <c r="B91" s="8"/>
      <c r="C91" s="8"/>
      <c r="D91" s="8"/>
      <c r="E91" s="7">
        <f>IF($C91="","",IF(AND(LEN(TRIM(UPPER(D91)))=10,CODE(MID(TRIM(UPPER(D91)),1,1))&gt;=65,CODE(MID(TRIM(UPPER(D91)),1,1))&lt;=90,CODE(MID(TRIM(UPPER(D91)),2,1))&gt;=65,CODE(MID(TRIM(UPPER(D91)),2,1))&lt;=90,CODE(MID(TRIM(UPPER(D91)),3,1))&gt;=65,CODE(MID(TRIM(UPPER(D91)),3,1))&lt;=90,CODE(MID(TRIM(UPPER(D91)),4,1))&gt;=65,CODE(MID(TRIM(UPPER(D91)),4,1))&lt;=90,CODE(MID(TRIM(UPPER(D91)),5,1))&gt;=65,CODE(MID(TRIM(UPPER(D91)),5,1))&lt;=90,CODE(MID(TRIM(UPPER(D91)),10,1))&gt;=65,CODE(MID(TRIM(UPPER(D91)),10,1))&lt;=90,CODE(MID(TRIM(UPPER(D91)),6,1))&gt;=48,CODE(MID(TRIM(UPPER(D91)),6,1))&lt;=57,CODE(MID(TRIM(UPPER(D91)),7,1))&gt;=48,CODE(MID(TRIM(UPPER(D91)),7,1))&lt;=57,CODE(MID(TRIM(UPPER(D91)),8,1))&gt;=48,CODE(MID(TRIM(UPPER(D91)),8,1))&lt;=57,CODE(MID(TRIM(UPPER(D91)),9,1))&gt;=48,CODE(MID(TRIM(UPPER(D91)),9,1))&lt;=57),"N","Y"))</f>
      </c>
      <c r="F91" s="7">
        <f>IF($C91="","",IF(LEN(D91)&lt;4,"",IF(UPPER(MID(D91,4,1))="P","Individual",IF(UPPER(MID(D91,4,1))="H","HUF",IF(UPPER(MID(D91,4,1))="C","Company",IF(UPPER(MID(D91,4,1))="F","Firm",IF(UPPER(MID(D91,4,1))="L","LLP",IF(UPPER(MID(D91,4,1))="T","Trust",IF(UPPER(MID(D91,4,1))="A","AOP","")))))))))</f>
      </c>
      <c r="G91" s="8"/>
      <c r="H91" s="7">
        <f>IF($C91="","",IF(R91&lt;&gt;"",R91,IF(G91="","",IF(E91="Y",SUMPRODUCT(('Rate Lookup'!$A$1:$A$37=G91)*'Rate Lookup'!$D$1:$D$37),IF(OR(F91="Individual",F91="HUF"),SUMPRODUCT(('Rate Lookup'!$A$1:$A$37=G91)*'Rate Lookup'!$B$1:$B$37),SUMPRODUCT(('Rate Lookup'!$A$1:$A$37=G91)*'Rate Lookup'!$C$1:$C$37)))))))</f>
      </c>
      <c r="I91" s="8"/>
      <c r="J91" s="8"/>
      <c r="K91" s="7">
        <f>IF($C91="","",IF(OR(P91="B",P91="D",P91="E",P91="N",P91="O",P91="P",P91="Q",P91="S",P91="Y",P91="Z"),0,ROUND(J91*H91/100,0)))</f>
      </c>
      <c r="L91" s="7">
        <f>IF($C91="","",0)</f>
      </c>
      <c r="M91" s="7">
        <f>IF($C91="","",0)</f>
      </c>
      <c r="N91" s="7">
        <f>IF($C91="","",IF(OR(K91=0,I91="",IFERROR(INDEX('Challan Master'!$D$4:$D$207,MATCH($B91,'Challan Master'!$S$4:$S$207,0)),"")="",IFERROR(INDEX('Challan Master'!$D$4:$D$207,MATCH($B91,'Challan Master'!$S$4:$S$207,0)),"")&lt;=0),0,IF(IFERROR(INDEX('Challan Master'!$D$4:$D$207,MATCH($B91,'Challan Master'!$S$4:$S$207,0)),"")&lt;=DATE(YEAR(I91),MONTH(I91)+1,7),0,ROUND(K91*0.015*((YEAR(IFERROR(INDEX('Challan Master'!$D$4:$D$207,MATCH($B91,'Challan Master'!$S$4:$S$207,0)),""))-YEAR(I91))*12+(MONTH(IFERROR(INDEX('Challan Master'!$D$4:$D$207,MATCH($B91,'Challan Master'!$S$4:$S$207,0)),""))-MONTH(I91))+1),0))))</f>
      </c>
      <c r="O91" s="7">
        <f>IF($C91="","",0)</f>
      </c>
      <c r="P91" s="8"/>
      <c r="Q91" s="8"/>
      <c r="R91" s="8"/>
      <c r="S91" s="8"/>
      <c r="T91" s="8"/>
      <c r="U91" s="7">
        <f>IF($B91="","",IFERROR(INDEX('Challan Master'!$AA$4:$AA$207,MATCH($B91,'Challan Master'!$S$4:$S$207,0)),""))</f>
      </c>
    </row>
    <row r="92" spans="1:22" x14ac:dyDescent="0.25">
      <c r="A92" s="7">
        <f>IF($C92="","",COUNTIF($C$4:$C92,"&lt;&gt;"))</f>
      </c>
      <c r="B92" s="8"/>
      <c r="C92" s="8"/>
      <c r="D92" s="8"/>
      <c r="E92" s="7">
        <f>IF($C92="","",IF(AND(LEN(TRIM(UPPER(D92)))=10,CODE(MID(TRIM(UPPER(D92)),1,1))&gt;=65,CODE(MID(TRIM(UPPER(D92)),1,1))&lt;=90,CODE(MID(TRIM(UPPER(D92)),2,1))&gt;=65,CODE(MID(TRIM(UPPER(D92)),2,1))&lt;=90,CODE(MID(TRIM(UPPER(D92)),3,1))&gt;=65,CODE(MID(TRIM(UPPER(D92)),3,1))&lt;=90,CODE(MID(TRIM(UPPER(D92)),4,1))&gt;=65,CODE(MID(TRIM(UPPER(D92)),4,1))&lt;=90,CODE(MID(TRIM(UPPER(D92)),5,1))&gt;=65,CODE(MID(TRIM(UPPER(D92)),5,1))&lt;=90,CODE(MID(TRIM(UPPER(D92)),10,1))&gt;=65,CODE(MID(TRIM(UPPER(D92)),10,1))&lt;=90,CODE(MID(TRIM(UPPER(D92)),6,1))&gt;=48,CODE(MID(TRIM(UPPER(D92)),6,1))&lt;=57,CODE(MID(TRIM(UPPER(D92)),7,1))&gt;=48,CODE(MID(TRIM(UPPER(D92)),7,1))&lt;=57,CODE(MID(TRIM(UPPER(D92)),8,1))&gt;=48,CODE(MID(TRIM(UPPER(D92)),8,1))&lt;=57,CODE(MID(TRIM(UPPER(D92)),9,1))&gt;=48,CODE(MID(TRIM(UPPER(D92)),9,1))&lt;=57),"N","Y"))</f>
      </c>
      <c r="F92" s="7">
        <f>IF($C92="","",IF(LEN(D92)&lt;4,"",IF(UPPER(MID(D92,4,1))="P","Individual",IF(UPPER(MID(D92,4,1))="H","HUF",IF(UPPER(MID(D92,4,1))="C","Company",IF(UPPER(MID(D92,4,1))="F","Firm",IF(UPPER(MID(D92,4,1))="L","LLP",IF(UPPER(MID(D92,4,1))="T","Trust",IF(UPPER(MID(D92,4,1))="A","AOP","")))))))))</f>
      </c>
      <c r="G92" s="8"/>
      <c r="H92" s="7">
        <f>IF($C92="","",IF(R92&lt;&gt;"",R92,IF(G92="","",IF(E92="Y",SUMPRODUCT(('Rate Lookup'!$A$1:$A$37=G92)*'Rate Lookup'!$D$1:$D$37),IF(OR(F92="Individual",F92="HUF"),SUMPRODUCT(('Rate Lookup'!$A$1:$A$37=G92)*'Rate Lookup'!$B$1:$B$37),SUMPRODUCT(('Rate Lookup'!$A$1:$A$37=G92)*'Rate Lookup'!$C$1:$C$37)))))))</f>
      </c>
      <c r="I92" s="8"/>
      <c r="J92" s="8"/>
      <c r="K92" s="7">
        <f>IF($C92="","",IF(OR(P92="B",P92="D",P92="E",P92="N",P92="O",P92="P",P92="Q",P92="S",P92="Y",P92="Z"),0,ROUND(J92*H92/100,0)))</f>
      </c>
      <c r="L92" s="7">
        <f>IF($C92="","",0)</f>
      </c>
      <c r="M92" s="7">
        <f>IF($C92="","",0)</f>
      </c>
      <c r="N92" s="7">
        <f>IF($C92="","",IF(OR(K92=0,I92="",IFERROR(INDEX('Challan Master'!$D$4:$D$207,MATCH($B92,'Challan Master'!$S$4:$S$207,0)),"")="",IFERROR(INDEX('Challan Master'!$D$4:$D$207,MATCH($B92,'Challan Master'!$S$4:$S$207,0)),"")&lt;=0),0,IF(IFERROR(INDEX('Challan Master'!$D$4:$D$207,MATCH($B92,'Challan Master'!$S$4:$S$207,0)),"")&lt;=DATE(YEAR(I92),MONTH(I92)+1,7),0,ROUND(K92*0.015*((YEAR(IFERROR(INDEX('Challan Master'!$D$4:$D$207,MATCH($B92,'Challan Master'!$S$4:$S$207,0)),""))-YEAR(I92))*12+(MONTH(IFERROR(INDEX('Challan Master'!$D$4:$D$207,MATCH($B92,'Challan Master'!$S$4:$S$207,0)),""))-MONTH(I92))+1),0))))</f>
      </c>
      <c r="O92" s="7">
        <f>IF($C92="","",0)</f>
      </c>
      <c r="P92" s="8"/>
      <c r="Q92" s="8"/>
      <c r="R92" s="8"/>
      <c r="S92" s="8"/>
      <c r="T92" s="8"/>
      <c r="U92" s="7">
        <f>IF($B92="","",IFERROR(INDEX('Challan Master'!$AA$4:$AA$207,MATCH($B92,'Challan Master'!$S$4:$S$207,0)),""))</f>
      </c>
    </row>
    <row r="93" spans="1:22" x14ac:dyDescent="0.25">
      <c r="A93" s="7">
        <f>IF($C93="","",COUNTIF($C$4:$C93,"&lt;&gt;"))</f>
      </c>
      <c r="B93" s="8"/>
      <c r="C93" s="8"/>
      <c r="D93" s="8"/>
      <c r="E93" s="7">
        <f>IF($C93="","",IF(AND(LEN(TRIM(UPPER(D93)))=10,CODE(MID(TRIM(UPPER(D93)),1,1))&gt;=65,CODE(MID(TRIM(UPPER(D93)),1,1))&lt;=90,CODE(MID(TRIM(UPPER(D93)),2,1))&gt;=65,CODE(MID(TRIM(UPPER(D93)),2,1))&lt;=90,CODE(MID(TRIM(UPPER(D93)),3,1))&gt;=65,CODE(MID(TRIM(UPPER(D93)),3,1))&lt;=90,CODE(MID(TRIM(UPPER(D93)),4,1))&gt;=65,CODE(MID(TRIM(UPPER(D93)),4,1))&lt;=90,CODE(MID(TRIM(UPPER(D93)),5,1))&gt;=65,CODE(MID(TRIM(UPPER(D93)),5,1))&lt;=90,CODE(MID(TRIM(UPPER(D93)),10,1))&gt;=65,CODE(MID(TRIM(UPPER(D93)),10,1))&lt;=90,CODE(MID(TRIM(UPPER(D93)),6,1))&gt;=48,CODE(MID(TRIM(UPPER(D93)),6,1))&lt;=57,CODE(MID(TRIM(UPPER(D93)),7,1))&gt;=48,CODE(MID(TRIM(UPPER(D93)),7,1))&lt;=57,CODE(MID(TRIM(UPPER(D93)),8,1))&gt;=48,CODE(MID(TRIM(UPPER(D93)),8,1))&lt;=57,CODE(MID(TRIM(UPPER(D93)),9,1))&gt;=48,CODE(MID(TRIM(UPPER(D93)),9,1))&lt;=57),"N","Y"))</f>
      </c>
      <c r="F93" s="7">
        <f>IF($C93="","",IF(LEN(D93)&lt;4,"",IF(UPPER(MID(D93,4,1))="P","Individual",IF(UPPER(MID(D93,4,1))="H","HUF",IF(UPPER(MID(D93,4,1))="C","Company",IF(UPPER(MID(D93,4,1))="F","Firm",IF(UPPER(MID(D93,4,1))="L","LLP",IF(UPPER(MID(D93,4,1))="T","Trust",IF(UPPER(MID(D93,4,1))="A","AOP","")))))))))</f>
      </c>
      <c r="G93" s="8"/>
      <c r="H93" s="7">
        <f>IF($C93="","",IF(R93&lt;&gt;"",R93,IF(G93="","",IF(E93="Y",SUMPRODUCT(('Rate Lookup'!$A$1:$A$37=G93)*'Rate Lookup'!$D$1:$D$37),IF(OR(F93="Individual",F93="HUF"),SUMPRODUCT(('Rate Lookup'!$A$1:$A$37=G93)*'Rate Lookup'!$B$1:$B$37),SUMPRODUCT(('Rate Lookup'!$A$1:$A$37=G93)*'Rate Lookup'!$C$1:$C$37)))))))</f>
      </c>
      <c r="I93" s="8"/>
      <c r="J93" s="8"/>
      <c r="K93" s="7">
        <f>IF($C93="","",IF(OR(P93="B",P93="D",P93="E",P93="N",P93="O",P93="P",P93="Q",P93="S",P93="Y",P93="Z"),0,ROUND(J93*H93/100,0)))</f>
      </c>
      <c r="L93" s="7">
        <f>IF($C93="","",0)</f>
      </c>
      <c r="M93" s="7">
        <f>IF($C93="","",0)</f>
      </c>
      <c r="N93" s="7">
        <f>IF($C93="","",IF(OR(K93=0,I93="",IFERROR(INDEX('Challan Master'!$D$4:$D$207,MATCH($B93,'Challan Master'!$S$4:$S$207,0)),"")="",IFERROR(INDEX('Challan Master'!$D$4:$D$207,MATCH($B93,'Challan Master'!$S$4:$S$207,0)),"")&lt;=0),0,IF(IFERROR(INDEX('Challan Master'!$D$4:$D$207,MATCH($B93,'Challan Master'!$S$4:$S$207,0)),"")&lt;=DATE(YEAR(I93),MONTH(I93)+1,7),0,ROUND(K93*0.015*((YEAR(IFERROR(INDEX('Challan Master'!$D$4:$D$207,MATCH($B93,'Challan Master'!$S$4:$S$207,0)),""))-YEAR(I93))*12+(MONTH(IFERROR(INDEX('Challan Master'!$D$4:$D$207,MATCH($B93,'Challan Master'!$S$4:$S$207,0)),""))-MONTH(I93))+1),0))))</f>
      </c>
      <c r="O93" s="7">
        <f>IF($C93="","",0)</f>
      </c>
      <c r="P93" s="8"/>
      <c r="Q93" s="8"/>
      <c r="R93" s="8"/>
      <c r="S93" s="8"/>
      <c r="T93" s="8"/>
      <c r="U93" s="7">
        <f>IF($B93="","",IFERROR(INDEX('Challan Master'!$AA$4:$AA$207,MATCH($B93,'Challan Master'!$S$4:$S$207,0)),""))</f>
      </c>
    </row>
    <row r="94" spans="1:22" x14ac:dyDescent="0.25">
      <c r="A94" s="7">
        <f>IF($C94="","",COUNTIF($C$4:$C94,"&lt;&gt;"))</f>
      </c>
      <c r="B94" s="8"/>
      <c r="C94" s="8"/>
      <c r="D94" s="8"/>
      <c r="E94" s="7">
        <f>IF($C94="","",IF(AND(LEN(TRIM(UPPER(D94)))=10,CODE(MID(TRIM(UPPER(D94)),1,1))&gt;=65,CODE(MID(TRIM(UPPER(D94)),1,1))&lt;=90,CODE(MID(TRIM(UPPER(D94)),2,1))&gt;=65,CODE(MID(TRIM(UPPER(D94)),2,1))&lt;=90,CODE(MID(TRIM(UPPER(D94)),3,1))&gt;=65,CODE(MID(TRIM(UPPER(D94)),3,1))&lt;=90,CODE(MID(TRIM(UPPER(D94)),4,1))&gt;=65,CODE(MID(TRIM(UPPER(D94)),4,1))&lt;=90,CODE(MID(TRIM(UPPER(D94)),5,1))&gt;=65,CODE(MID(TRIM(UPPER(D94)),5,1))&lt;=90,CODE(MID(TRIM(UPPER(D94)),10,1))&gt;=65,CODE(MID(TRIM(UPPER(D94)),10,1))&lt;=90,CODE(MID(TRIM(UPPER(D94)),6,1))&gt;=48,CODE(MID(TRIM(UPPER(D94)),6,1))&lt;=57,CODE(MID(TRIM(UPPER(D94)),7,1))&gt;=48,CODE(MID(TRIM(UPPER(D94)),7,1))&lt;=57,CODE(MID(TRIM(UPPER(D94)),8,1))&gt;=48,CODE(MID(TRIM(UPPER(D94)),8,1))&lt;=57,CODE(MID(TRIM(UPPER(D94)),9,1))&gt;=48,CODE(MID(TRIM(UPPER(D94)),9,1))&lt;=57),"N","Y"))</f>
      </c>
      <c r="F94" s="7">
        <f>IF($C94="","",IF(LEN(D94)&lt;4,"",IF(UPPER(MID(D94,4,1))="P","Individual",IF(UPPER(MID(D94,4,1))="H","HUF",IF(UPPER(MID(D94,4,1))="C","Company",IF(UPPER(MID(D94,4,1))="F","Firm",IF(UPPER(MID(D94,4,1))="L","LLP",IF(UPPER(MID(D94,4,1))="T","Trust",IF(UPPER(MID(D94,4,1))="A","AOP","")))))))))</f>
      </c>
      <c r="G94" s="8"/>
      <c r="H94" s="7">
        <f>IF($C94="","",IF(R94&lt;&gt;"",R94,IF(G94="","",IF(E94="Y",SUMPRODUCT(('Rate Lookup'!$A$1:$A$37=G94)*'Rate Lookup'!$D$1:$D$37),IF(OR(F94="Individual",F94="HUF"),SUMPRODUCT(('Rate Lookup'!$A$1:$A$37=G94)*'Rate Lookup'!$B$1:$B$37),SUMPRODUCT(('Rate Lookup'!$A$1:$A$37=G94)*'Rate Lookup'!$C$1:$C$37)))))))</f>
      </c>
      <c r="I94" s="8"/>
      <c r="J94" s="8"/>
      <c r="K94" s="7">
        <f>IF($C94="","",IF(OR(P94="B",P94="D",P94="E",P94="N",P94="O",P94="P",P94="Q",P94="S",P94="Y",P94="Z"),0,ROUND(J94*H94/100,0)))</f>
      </c>
      <c r="L94" s="7">
        <f>IF($C94="","",0)</f>
      </c>
      <c r="M94" s="7">
        <f>IF($C94="","",0)</f>
      </c>
      <c r="N94" s="7">
        <f>IF($C94="","",IF(OR(K94=0,I94="",IFERROR(INDEX('Challan Master'!$D$4:$D$207,MATCH($B94,'Challan Master'!$S$4:$S$207,0)),"")="",IFERROR(INDEX('Challan Master'!$D$4:$D$207,MATCH($B94,'Challan Master'!$S$4:$S$207,0)),"")&lt;=0),0,IF(IFERROR(INDEX('Challan Master'!$D$4:$D$207,MATCH($B94,'Challan Master'!$S$4:$S$207,0)),"")&lt;=DATE(YEAR(I94),MONTH(I94)+1,7),0,ROUND(K94*0.015*((YEAR(IFERROR(INDEX('Challan Master'!$D$4:$D$207,MATCH($B94,'Challan Master'!$S$4:$S$207,0)),""))-YEAR(I94))*12+(MONTH(IFERROR(INDEX('Challan Master'!$D$4:$D$207,MATCH($B94,'Challan Master'!$S$4:$S$207,0)),""))-MONTH(I94))+1),0))))</f>
      </c>
      <c r="O94" s="7">
        <f>IF($C94="","",0)</f>
      </c>
      <c r="P94" s="8"/>
      <c r="Q94" s="8"/>
      <c r="R94" s="8"/>
      <c r="S94" s="8"/>
      <c r="T94" s="8"/>
      <c r="U94" s="7">
        <f>IF($B94="","",IFERROR(INDEX('Challan Master'!$AA$4:$AA$207,MATCH($B94,'Challan Master'!$S$4:$S$207,0)),""))</f>
      </c>
    </row>
    <row r="95" spans="1:22" x14ac:dyDescent="0.25">
      <c r="A95" s="7">
        <f>IF($C95="","",COUNTIF($C$4:$C95,"&lt;&gt;"))</f>
      </c>
      <c r="B95" s="8"/>
      <c r="C95" s="8"/>
      <c r="D95" s="8"/>
      <c r="E95" s="7">
        <f>IF($C95="","",IF(AND(LEN(TRIM(UPPER(D95)))=10,CODE(MID(TRIM(UPPER(D95)),1,1))&gt;=65,CODE(MID(TRIM(UPPER(D95)),1,1))&lt;=90,CODE(MID(TRIM(UPPER(D95)),2,1))&gt;=65,CODE(MID(TRIM(UPPER(D95)),2,1))&lt;=90,CODE(MID(TRIM(UPPER(D95)),3,1))&gt;=65,CODE(MID(TRIM(UPPER(D95)),3,1))&lt;=90,CODE(MID(TRIM(UPPER(D95)),4,1))&gt;=65,CODE(MID(TRIM(UPPER(D95)),4,1))&lt;=90,CODE(MID(TRIM(UPPER(D95)),5,1))&gt;=65,CODE(MID(TRIM(UPPER(D95)),5,1))&lt;=90,CODE(MID(TRIM(UPPER(D95)),10,1))&gt;=65,CODE(MID(TRIM(UPPER(D95)),10,1))&lt;=90,CODE(MID(TRIM(UPPER(D95)),6,1))&gt;=48,CODE(MID(TRIM(UPPER(D95)),6,1))&lt;=57,CODE(MID(TRIM(UPPER(D95)),7,1))&gt;=48,CODE(MID(TRIM(UPPER(D95)),7,1))&lt;=57,CODE(MID(TRIM(UPPER(D95)),8,1))&gt;=48,CODE(MID(TRIM(UPPER(D95)),8,1))&lt;=57,CODE(MID(TRIM(UPPER(D95)),9,1))&gt;=48,CODE(MID(TRIM(UPPER(D95)),9,1))&lt;=57),"N","Y"))</f>
      </c>
      <c r="F95" s="7">
        <f>IF($C95="","",IF(LEN(D95)&lt;4,"",IF(UPPER(MID(D95,4,1))="P","Individual",IF(UPPER(MID(D95,4,1))="H","HUF",IF(UPPER(MID(D95,4,1))="C","Company",IF(UPPER(MID(D95,4,1))="F","Firm",IF(UPPER(MID(D95,4,1))="L","LLP",IF(UPPER(MID(D95,4,1))="T","Trust",IF(UPPER(MID(D95,4,1))="A","AOP","")))))))))</f>
      </c>
      <c r="G95" s="8"/>
      <c r="H95" s="7">
        <f>IF($C95="","",IF(R95&lt;&gt;"",R95,IF(G95="","",IF(E95="Y",SUMPRODUCT(('Rate Lookup'!$A$1:$A$37=G95)*'Rate Lookup'!$D$1:$D$37),IF(OR(F95="Individual",F95="HUF"),SUMPRODUCT(('Rate Lookup'!$A$1:$A$37=G95)*'Rate Lookup'!$B$1:$B$37),SUMPRODUCT(('Rate Lookup'!$A$1:$A$37=G95)*'Rate Lookup'!$C$1:$C$37)))))))</f>
      </c>
      <c r="I95" s="8"/>
      <c r="J95" s="8"/>
      <c r="K95" s="7">
        <f>IF($C95="","",IF(OR(P95="B",P95="D",P95="E",P95="N",P95="O",P95="P",P95="Q",P95="S",P95="Y",P95="Z"),0,ROUND(J95*H95/100,0)))</f>
      </c>
      <c r="L95" s="7">
        <f>IF($C95="","",0)</f>
      </c>
      <c r="M95" s="7">
        <f>IF($C95="","",0)</f>
      </c>
      <c r="N95" s="7">
        <f>IF($C95="","",IF(OR(K95=0,I95="",IFERROR(INDEX('Challan Master'!$D$4:$D$207,MATCH($B95,'Challan Master'!$S$4:$S$207,0)),"")="",IFERROR(INDEX('Challan Master'!$D$4:$D$207,MATCH($B95,'Challan Master'!$S$4:$S$207,0)),"")&lt;=0),0,IF(IFERROR(INDEX('Challan Master'!$D$4:$D$207,MATCH($B95,'Challan Master'!$S$4:$S$207,0)),"")&lt;=DATE(YEAR(I95),MONTH(I95)+1,7),0,ROUND(K95*0.015*((YEAR(IFERROR(INDEX('Challan Master'!$D$4:$D$207,MATCH($B95,'Challan Master'!$S$4:$S$207,0)),""))-YEAR(I95))*12+(MONTH(IFERROR(INDEX('Challan Master'!$D$4:$D$207,MATCH($B95,'Challan Master'!$S$4:$S$207,0)),""))-MONTH(I95))+1),0))))</f>
      </c>
      <c r="O95" s="7">
        <f>IF($C95="","",0)</f>
      </c>
      <c r="P95" s="8"/>
      <c r="Q95" s="8"/>
      <c r="R95" s="8"/>
      <c r="S95" s="8"/>
      <c r="T95" s="8"/>
      <c r="U95" s="7">
        <f>IF($B95="","",IFERROR(INDEX('Challan Master'!$AA$4:$AA$207,MATCH($B95,'Challan Master'!$S$4:$S$207,0)),""))</f>
      </c>
    </row>
    <row r="96" spans="1:22" x14ac:dyDescent="0.25">
      <c r="A96" s="7">
        <f>IF($C96="","",COUNTIF($C$4:$C96,"&lt;&gt;"))</f>
      </c>
      <c r="B96" s="8"/>
      <c r="C96" s="8"/>
      <c r="D96" s="8"/>
      <c r="E96" s="7">
        <f>IF($C96="","",IF(AND(LEN(TRIM(UPPER(D96)))=10,CODE(MID(TRIM(UPPER(D96)),1,1))&gt;=65,CODE(MID(TRIM(UPPER(D96)),1,1))&lt;=90,CODE(MID(TRIM(UPPER(D96)),2,1))&gt;=65,CODE(MID(TRIM(UPPER(D96)),2,1))&lt;=90,CODE(MID(TRIM(UPPER(D96)),3,1))&gt;=65,CODE(MID(TRIM(UPPER(D96)),3,1))&lt;=90,CODE(MID(TRIM(UPPER(D96)),4,1))&gt;=65,CODE(MID(TRIM(UPPER(D96)),4,1))&lt;=90,CODE(MID(TRIM(UPPER(D96)),5,1))&gt;=65,CODE(MID(TRIM(UPPER(D96)),5,1))&lt;=90,CODE(MID(TRIM(UPPER(D96)),10,1))&gt;=65,CODE(MID(TRIM(UPPER(D96)),10,1))&lt;=90,CODE(MID(TRIM(UPPER(D96)),6,1))&gt;=48,CODE(MID(TRIM(UPPER(D96)),6,1))&lt;=57,CODE(MID(TRIM(UPPER(D96)),7,1))&gt;=48,CODE(MID(TRIM(UPPER(D96)),7,1))&lt;=57,CODE(MID(TRIM(UPPER(D96)),8,1))&gt;=48,CODE(MID(TRIM(UPPER(D96)),8,1))&lt;=57,CODE(MID(TRIM(UPPER(D96)),9,1))&gt;=48,CODE(MID(TRIM(UPPER(D96)),9,1))&lt;=57),"N","Y"))</f>
      </c>
      <c r="F96" s="7">
        <f>IF($C96="","",IF(LEN(D96)&lt;4,"",IF(UPPER(MID(D96,4,1))="P","Individual",IF(UPPER(MID(D96,4,1))="H","HUF",IF(UPPER(MID(D96,4,1))="C","Company",IF(UPPER(MID(D96,4,1))="F","Firm",IF(UPPER(MID(D96,4,1))="L","LLP",IF(UPPER(MID(D96,4,1))="T","Trust",IF(UPPER(MID(D96,4,1))="A","AOP","")))))))))</f>
      </c>
      <c r="G96" s="8"/>
      <c r="H96" s="7">
        <f>IF($C96="","",IF(R96&lt;&gt;"",R96,IF(G96="","",IF(E96="Y",SUMPRODUCT(('Rate Lookup'!$A$1:$A$37=G96)*'Rate Lookup'!$D$1:$D$37),IF(OR(F96="Individual",F96="HUF"),SUMPRODUCT(('Rate Lookup'!$A$1:$A$37=G96)*'Rate Lookup'!$B$1:$B$37),SUMPRODUCT(('Rate Lookup'!$A$1:$A$37=G96)*'Rate Lookup'!$C$1:$C$37)))))))</f>
      </c>
      <c r="I96" s="8"/>
      <c r="J96" s="8"/>
      <c r="K96" s="7">
        <f>IF($C96="","",IF(OR(P96="B",P96="D",P96="E",P96="N",P96="O",P96="P",P96="Q",P96="S",P96="Y",P96="Z"),0,ROUND(J96*H96/100,0)))</f>
      </c>
      <c r="L96" s="7">
        <f>IF($C96="","",0)</f>
      </c>
      <c r="M96" s="7">
        <f>IF($C96="","",0)</f>
      </c>
      <c r="N96" s="7">
        <f>IF($C96="","",IF(OR(K96=0,I96="",IFERROR(INDEX('Challan Master'!$D$4:$D$207,MATCH($B96,'Challan Master'!$S$4:$S$207,0)),"")="",IFERROR(INDEX('Challan Master'!$D$4:$D$207,MATCH($B96,'Challan Master'!$S$4:$S$207,0)),"")&lt;=0),0,IF(IFERROR(INDEX('Challan Master'!$D$4:$D$207,MATCH($B96,'Challan Master'!$S$4:$S$207,0)),"")&lt;=DATE(YEAR(I96),MONTH(I96)+1,7),0,ROUND(K96*0.015*((YEAR(IFERROR(INDEX('Challan Master'!$D$4:$D$207,MATCH($B96,'Challan Master'!$S$4:$S$207,0)),""))-YEAR(I96))*12+(MONTH(IFERROR(INDEX('Challan Master'!$D$4:$D$207,MATCH($B96,'Challan Master'!$S$4:$S$207,0)),""))-MONTH(I96))+1),0))))</f>
      </c>
      <c r="O96" s="7">
        <f>IF($C96="","",0)</f>
      </c>
      <c r="P96" s="8"/>
      <c r="Q96" s="8"/>
      <c r="R96" s="8"/>
      <c r="S96" s="8"/>
      <c r="T96" s="8"/>
      <c r="U96" s="7">
        <f>IF($B96="","",IFERROR(INDEX('Challan Master'!$AA$4:$AA$207,MATCH($B96,'Challan Master'!$S$4:$S$207,0)),""))</f>
      </c>
    </row>
    <row r="97" spans="1:22" x14ac:dyDescent="0.25">
      <c r="A97" s="7">
        <f>IF($C97="","",COUNTIF($C$4:$C97,"&lt;&gt;"))</f>
      </c>
      <c r="B97" s="8"/>
      <c r="C97" s="8"/>
      <c r="D97" s="8"/>
      <c r="E97" s="7">
        <f>IF($C97="","",IF(AND(LEN(TRIM(UPPER(D97)))=10,CODE(MID(TRIM(UPPER(D97)),1,1))&gt;=65,CODE(MID(TRIM(UPPER(D97)),1,1))&lt;=90,CODE(MID(TRIM(UPPER(D97)),2,1))&gt;=65,CODE(MID(TRIM(UPPER(D97)),2,1))&lt;=90,CODE(MID(TRIM(UPPER(D97)),3,1))&gt;=65,CODE(MID(TRIM(UPPER(D97)),3,1))&lt;=90,CODE(MID(TRIM(UPPER(D97)),4,1))&gt;=65,CODE(MID(TRIM(UPPER(D97)),4,1))&lt;=90,CODE(MID(TRIM(UPPER(D97)),5,1))&gt;=65,CODE(MID(TRIM(UPPER(D97)),5,1))&lt;=90,CODE(MID(TRIM(UPPER(D97)),10,1))&gt;=65,CODE(MID(TRIM(UPPER(D97)),10,1))&lt;=90,CODE(MID(TRIM(UPPER(D97)),6,1))&gt;=48,CODE(MID(TRIM(UPPER(D97)),6,1))&lt;=57,CODE(MID(TRIM(UPPER(D97)),7,1))&gt;=48,CODE(MID(TRIM(UPPER(D97)),7,1))&lt;=57,CODE(MID(TRIM(UPPER(D97)),8,1))&gt;=48,CODE(MID(TRIM(UPPER(D97)),8,1))&lt;=57,CODE(MID(TRIM(UPPER(D97)),9,1))&gt;=48,CODE(MID(TRIM(UPPER(D97)),9,1))&lt;=57),"N","Y"))</f>
      </c>
      <c r="F97" s="7">
        <f>IF($C97="","",IF(LEN(D97)&lt;4,"",IF(UPPER(MID(D97,4,1))="P","Individual",IF(UPPER(MID(D97,4,1))="H","HUF",IF(UPPER(MID(D97,4,1))="C","Company",IF(UPPER(MID(D97,4,1))="F","Firm",IF(UPPER(MID(D97,4,1))="L","LLP",IF(UPPER(MID(D97,4,1))="T","Trust",IF(UPPER(MID(D97,4,1))="A","AOP","")))))))))</f>
      </c>
      <c r="G97" s="8"/>
      <c r="H97" s="7">
        <f>IF($C97="","",IF(R97&lt;&gt;"",R97,IF(G97="","",IF(E97="Y",SUMPRODUCT(('Rate Lookup'!$A$1:$A$37=G97)*'Rate Lookup'!$D$1:$D$37),IF(OR(F97="Individual",F97="HUF"),SUMPRODUCT(('Rate Lookup'!$A$1:$A$37=G97)*'Rate Lookup'!$B$1:$B$37),SUMPRODUCT(('Rate Lookup'!$A$1:$A$37=G97)*'Rate Lookup'!$C$1:$C$37)))))))</f>
      </c>
      <c r="I97" s="8"/>
      <c r="J97" s="8"/>
      <c r="K97" s="7">
        <f>IF($C97="","",IF(OR(P97="B",P97="D",P97="E",P97="N",P97="O",P97="P",P97="Q",P97="S",P97="Y",P97="Z"),0,ROUND(J97*H97/100,0)))</f>
      </c>
      <c r="L97" s="7">
        <f>IF($C97="","",0)</f>
      </c>
      <c r="M97" s="7">
        <f>IF($C97="","",0)</f>
      </c>
      <c r="N97" s="7">
        <f>IF($C97="","",IF(OR(K97=0,I97="",IFERROR(INDEX('Challan Master'!$D$4:$D$207,MATCH($B97,'Challan Master'!$S$4:$S$207,0)),"")="",IFERROR(INDEX('Challan Master'!$D$4:$D$207,MATCH($B97,'Challan Master'!$S$4:$S$207,0)),"")&lt;=0),0,IF(IFERROR(INDEX('Challan Master'!$D$4:$D$207,MATCH($B97,'Challan Master'!$S$4:$S$207,0)),"")&lt;=DATE(YEAR(I97),MONTH(I97)+1,7),0,ROUND(K97*0.015*((YEAR(IFERROR(INDEX('Challan Master'!$D$4:$D$207,MATCH($B97,'Challan Master'!$S$4:$S$207,0)),""))-YEAR(I97))*12+(MONTH(IFERROR(INDEX('Challan Master'!$D$4:$D$207,MATCH($B97,'Challan Master'!$S$4:$S$207,0)),""))-MONTH(I97))+1),0))))</f>
      </c>
      <c r="O97" s="7">
        <f>IF($C97="","",0)</f>
      </c>
      <c r="P97" s="8"/>
      <c r="Q97" s="8"/>
      <c r="R97" s="8"/>
      <c r="S97" s="8"/>
      <c r="T97" s="8"/>
      <c r="U97" s="7">
        <f>IF($B97="","",IFERROR(INDEX('Challan Master'!$AA$4:$AA$207,MATCH($B97,'Challan Master'!$S$4:$S$207,0)),""))</f>
      </c>
    </row>
    <row r="98" spans="1:22" x14ac:dyDescent="0.25">
      <c r="A98" s="7">
        <f>IF($C98="","",COUNTIF($C$4:$C98,"&lt;&gt;"))</f>
      </c>
      <c r="B98" s="8"/>
      <c r="C98" s="8"/>
      <c r="D98" s="8"/>
      <c r="E98" s="7">
        <f>IF($C98="","",IF(AND(LEN(TRIM(UPPER(D98)))=10,CODE(MID(TRIM(UPPER(D98)),1,1))&gt;=65,CODE(MID(TRIM(UPPER(D98)),1,1))&lt;=90,CODE(MID(TRIM(UPPER(D98)),2,1))&gt;=65,CODE(MID(TRIM(UPPER(D98)),2,1))&lt;=90,CODE(MID(TRIM(UPPER(D98)),3,1))&gt;=65,CODE(MID(TRIM(UPPER(D98)),3,1))&lt;=90,CODE(MID(TRIM(UPPER(D98)),4,1))&gt;=65,CODE(MID(TRIM(UPPER(D98)),4,1))&lt;=90,CODE(MID(TRIM(UPPER(D98)),5,1))&gt;=65,CODE(MID(TRIM(UPPER(D98)),5,1))&lt;=90,CODE(MID(TRIM(UPPER(D98)),10,1))&gt;=65,CODE(MID(TRIM(UPPER(D98)),10,1))&lt;=90,CODE(MID(TRIM(UPPER(D98)),6,1))&gt;=48,CODE(MID(TRIM(UPPER(D98)),6,1))&lt;=57,CODE(MID(TRIM(UPPER(D98)),7,1))&gt;=48,CODE(MID(TRIM(UPPER(D98)),7,1))&lt;=57,CODE(MID(TRIM(UPPER(D98)),8,1))&gt;=48,CODE(MID(TRIM(UPPER(D98)),8,1))&lt;=57,CODE(MID(TRIM(UPPER(D98)),9,1))&gt;=48,CODE(MID(TRIM(UPPER(D98)),9,1))&lt;=57),"N","Y"))</f>
      </c>
      <c r="F98" s="7">
        <f>IF($C98="","",IF(LEN(D98)&lt;4,"",IF(UPPER(MID(D98,4,1))="P","Individual",IF(UPPER(MID(D98,4,1))="H","HUF",IF(UPPER(MID(D98,4,1))="C","Company",IF(UPPER(MID(D98,4,1))="F","Firm",IF(UPPER(MID(D98,4,1))="L","LLP",IF(UPPER(MID(D98,4,1))="T","Trust",IF(UPPER(MID(D98,4,1))="A","AOP","")))))))))</f>
      </c>
      <c r="G98" s="8"/>
      <c r="H98" s="7">
        <f>IF($C98="","",IF(R98&lt;&gt;"",R98,IF(G98="","",IF(E98="Y",SUMPRODUCT(('Rate Lookup'!$A$1:$A$37=G98)*'Rate Lookup'!$D$1:$D$37),IF(OR(F98="Individual",F98="HUF"),SUMPRODUCT(('Rate Lookup'!$A$1:$A$37=G98)*'Rate Lookup'!$B$1:$B$37),SUMPRODUCT(('Rate Lookup'!$A$1:$A$37=G98)*'Rate Lookup'!$C$1:$C$37)))))))</f>
      </c>
      <c r="I98" s="8"/>
      <c r="J98" s="8"/>
      <c r="K98" s="7">
        <f>IF($C98="","",IF(OR(P98="B",P98="D",P98="E",P98="N",P98="O",P98="P",P98="Q",P98="S",P98="Y",P98="Z"),0,ROUND(J98*H98/100,0)))</f>
      </c>
      <c r="L98" s="7">
        <f>IF($C98="","",0)</f>
      </c>
      <c r="M98" s="7">
        <f>IF($C98="","",0)</f>
      </c>
      <c r="N98" s="7">
        <f>IF($C98="","",IF(OR(K98=0,I98="",IFERROR(INDEX('Challan Master'!$D$4:$D$207,MATCH($B98,'Challan Master'!$S$4:$S$207,0)),"")="",IFERROR(INDEX('Challan Master'!$D$4:$D$207,MATCH($B98,'Challan Master'!$S$4:$S$207,0)),"")&lt;=0),0,IF(IFERROR(INDEX('Challan Master'!$D$4:$D$207,MATCH($B98,'Challan Master'!$S$4:$S$207,0)),"")&lt;=DATE(YEAR(I98),MONTH(I98)+1,7),0,ROUND(K98*0.015*((YEAR(IFERROR(INDEX('Challan Master'!$D$4:$D$207,MATCH($B98,'Challan Master'!$S$4:$S$207,0)),""))-YEAR(I98))*12+(MONTH(IFERROR(INDEX('Challan Master'!$D$4:$D$207,MATCH($B98,'Challan Master'!$S$4:$S$207,0)),""))-MONTH(I98))+1),0))))</f>
      </c>
      <c r="O98" s="7">
        <f>IF($C98="","",0)</f>
      </c>
      <c r="P98" s="8"/>
      <c r="Q98" s="8"/>
      <c r="R98" s="8"/>
      <c r="S98" s="8"/>
      <c r="T98" s="8"/>
      <c r="U98" s="7">
        <f>IF($B98="","",IFERROR(INDEX('Challan Master'!$AA$4:$AA$207,MATCH($B98,'Challan Master'!$S$4:$S$207,0)),""))</f>
      </c>
    </row>
    <row r="99" spans="1:22" x14ac:dyDescent="0.25">
      <c r="A99" s="7">
        <f>IF($C99="","",COUNTIF($C$4:$C99,"&lt;&gt;"))</f>
      </c>
      <c r="B99" s="8"/>
      <c r="C99" s="8"/>
      <c r="D99" s="8"/>
      <c r="E99" s="7">
        <f>IF($C99="","",IF(AND(LEN(TRIM(UPPER(D99)))=10,CODE(MID(TRIM(UPPER(D99)),1,1))&gt;=65,CODE(MID(TRIM(UPPER(D99)),1,1))&lt;=90,CODE(MID(TRIM(UPPER(D99)),2,1))&gt;=65,CODE(MID(TRIM(UPPER(D99)),2,1))&lt;=90,CODE(MID(TRIM(UPPER(D99)),3,1))&gt;=65,CODE(MID(TRIM(UPPER(D99)),3,1))&lt;=90,CODE(MID(TRIM(UPPER(D99)),4,1))&gt;=65,CODE(MID(TRIM(UPPER(D99)),4,1))&lt;=90,CODE(MID(TRIM(UPPER(D99)),5,1))&gt;=65,CODE(MID(TRIM(UPPER(D99)),5,1))&lt;=90,CODE(MID(TRIM(UPPER(D99)),10,1))&gt;=65,CODE(MID(TRIM(UPPER(D99)),10,1))&lt;=90,CODE(MID(TRIM(UPPER(D99)),6,1))&gt;=48,CODE(MID(TRIM(UPPER(D99)),6,1))&lt;=57,CODE(MID(TRIM(UPPER(D99)),7,1))&gt;=48,CODE(MID(TRIM(UPPER(D99)),7,1))&lt;=57,CODE(MID(TRIM(UPPER(D99)),8,1))&gt;=48,CODE(MID(TRIM(UPPER(D99)),8,1))&lt;=57,CODE(MID(TRIM(UPPER(D99)),9,1))&gt;=48,CODE(MID(TRIM(UPPER(D99)),9,1))&lt;=57),"N","Y"))</f>
      </c>
      <c r="F99" s="7">
        <f>IF($C99="","",IF(LEN(D99)&lt;4,"",IF(UPPER(MID(D99,4,1))="P","Individual",IF(UPPER(MID(D99,4,1))="H","HUF",IF(UPPER(MID(D99,4,1))="C","Company",IF(UPPER(MID(D99,4,1))="F","Firm",IF(UPPER(MID(D99,4,1))="L","LLP",IF(UPPER(MID(D99,4,1))="T","Trust",IF(UPPER(MID(D99,4,1))="A","AOP","")))))))))</f>
      </c>
      <c r="G99" s="8"/>
      <c r="H99" s="7">
        <f>IF($C99="","",IF(R99&lt;&gt;"",R99,IF(G99="","",IF(E99="Y",SUMPRODUCT(('Rate Lookup'!$A$1:$A$37=G99)*'Rate Lookup'!$D$1:$D$37),IF(OR(F99="Individual",F99="HUF"),SUMPRODUCT(('Rate Lookup'!$A$1:$A$37=G99)*'Rate Lookup'!$B$1:$B$37),SUMPRODUCT(('Rate Lookup'!$A$1:$A$37=G99)*'Rate Lookup'!$C$1:$C$37)))))))</f>
      </c>
      <c r="I99" s="8"/>
      <c r="J99" s="8"/>
      <c r="K99" s="7">
        <f>IF($C99="","",IF(OR(P99="B",P99="D",P99="E",P99="N",P99="O",P99="P",P99="Q",P99="S",P99="Y",P99="Z"),0,ROUND(J99*H99/100,0)))</f>
      </c>
      <c r="L99" s="7">
        <f>IF($C99="","",0)</f>
      </c>
      <c r="M99" s="7">
        <f>IF($C99="","",0)</f>
      </c>
      <c r="N99" s="7">
        <f>IF($C99="","",IF(OR(K99=0,I99="",IFERROR(INDEX('Challan Master'!$D$4:$D$207,MATCH($B99,'Challan Master'!$S$4:$S$207,0)),"")="",IFERROR(INDEX('Challan Master'!$D$4:$D$207,MATCH($B99,'Challan Master'!$S$4:$S$207,0)),"")&lt;=0),0,IF(IFERROR(INDEX('Challan Master'!$D$4:$D$207,MATCH($B99,'Challan Master'!$S$4:$S$207,0)),"")&lt;=DATE(YEAR(I99),MONTH(I99)+1,7),0,ROUND(K99*0.015*((YEAR(IFERROR(INDEX('Challan Master'!$D$4:$D$207,MATCH($B99,'Challan Master'!$S$4:$S$207,0)),""))-YEAR(I99))*12+(MONTH(IFERROR(INDEX('Challan Master'!$D$4:$D$207,MATCH($B99,'Challan Master'!$S$4:$S$207,0)),""))-MONTH(I99))+1),0))))</f>
      </c>
      <c r="O99" s="7">
        <f>IF($C99="","",0)</f>
      </c>
      <c r="P99" s="8"/>
      <c r="Q99" s="8"/>
      <c r="R99" s="8"/>
      <c r="S99" s="8"/>
      <c r="T99" s="8"/>
      <c r="U99" s="7">
        <f>IF($B99="","",IFERROR(INDEX('Challan Master'!$AA$4:$AA$207,MATCH($B99,'Challan Master'!$S$4:$S$207,0)),""))</f>
      </c>
    </row>
    <row r="100" spans="1:22" x14ac:dyDescent="0.25">
      <c r="A100" s="7">
        <f>IF($C100="","",COUNTIF($C$4:$C100,"&lt;&gt;"))</f>
      </c>
      <c r="B100" s="8"/>
      <c r="C100" s="8"/>
      <c r="D100" s="8"/>
      <c r="E100" s="7">
        <f>IF($C100="","",IF(AND(LEN(TRIM(UPPER(D100)))=10,CODE(MID(TRIM(UPPER(D100)),1,1))&gt;=65,CODE(MID(TRIM(UPPER(D100)),1,1))&lt;=90,CODE(MID(TRIM(UPPER(D100)),2,1))&gt;=65,CODE(MID(TRIM(UPPER(D100)),2,1))&lt;=90,CODE(MID(TRIM(UPPER(D100)),3,1))&gt;=65,CODE(MID(TRIM(UPPER(D100)),3,1))&lt;=90,CODE(MID(TRIM(UPPER(D100)),4,1))&gt;=65,CODE(MID(TRIM(UPPER(D100)),4,1))&lt;=90,CODE(MID(TRIM(UPPER(D100)),5,1))&gt;=65,CODE(MID(TRIM(UPPER(D100)),5,1))&lt;=90,CODE(MID(TRIM(UPPER(D100)),10,1))&gt;=65,CODE(MID(TRIM(UPPER(D100)),10,1))&lt;=90,CODE(MID(TRIM(UPPER(D100)),6,1))&gt;=48,CODE(MID(TRIM(UPPER(D100)),6,1))&lt;=57,CODE(MID(TRIM(UPPER(D100)),7,1))&gt;=48,CODE(MID(TRIM(UPPER(D100)),7,1))&lt;=57,CODE(MID(TRIM(UPPER(D100)),8,1))&gt;=48,CODE(MID(TRIM(UPPER(D100)),8,1))&lt;=57,CODE(MID(TRIM(UPPER(D100)),9,1))&gt;=48,CODE(MID(TRIM(UPPER(D100)),9,1))&lt;=57),"N","Y"))</f>
      </c>
      <c r="F100" s="7">
        <f>IF($C100="","",IF(LEN(D100)&lt;4,"",IF(UPPER(MID(D100,4,1))="P","Individual",IF(UPPER(MID(D100,4,1))="H","HUF",IF(UPPER(MID(D100,4,1))="C","Company",IF(UPPER(MID(D100,4,1))="F","Firm",IF(UPPER(MID(D100,4,1))="L","LLP",IF(UPPER(MID(D100,4,1))="T","Trust",IF(UPPER(MID(D100,4,1))="A","AOP","")))))))))</f>
      </c>
      <c r="G100" s="8"/>
      <c r="H100" s="7">
        <f>IF($C100="","",IF(R100&lt;&gt;"",R100,IF(G100="","",IF(E100="Y",SUMPRODUCT(('Rate Lookup'!$A$1:$A$37=G100)*'Rate Lookup'!$D$1:$D$37),IF(OR(F100="Individual",F100="HUF"),SUMPRODUCT(('Rate Lookup'!$A$1:$A$37=G100)*'Rate Lookup'!$B$1:$B$37),SUMPRODUCT(('Rate Lookup'!$A$1:$A$37=G100)*'Rate Lookup'!$C$1:$C$37)))))))</f>
      </c>
      <c r="I100" s="8"/>
      <c r="J100" s="8"/>
      <c r="K100" s="7">
        <f>IF($C100="","",IF(OR(P100="B",P100="D",P100="E",P100="N",P100="O",P100="P",P100="Q",P100="S",P100="Y",P100="Z"),0,ROUND(J100*H100/100,0)))</f>
      </c>
      <c r="L100" s="7">
        <f>IF($C100="","",0)</f>
      </c>
      <c r="M100" s="7">
        <f>IF($C100="","",0)</f>
      </c>
      <c r="N100" s="7">
        <f>IF($C100="","",IF(OR(K100=0,I100="",IFERROR(INDEX('Challan Master'!$D$4:$D$207,MATCH($B100,'Challan Master'!$S$4:$S$207,0)),"")="",IFERROR(INDEX('Challan Master'!$D$4:$D$207,MATCH($B100,'Challan Master'!$S$4:$S$207,0)),"")&lt;=0),0,IF(IFERROR(INDEX('Challan Master'!$D$4:$D$207,MATCH($B100,'Challan Master'!$S$4:$S$207,0)),"")&lt;=DATE(YEAR(I100),MONTH(I100)+1,7),0,ROUND(K100*0.015*((YEAR(IFERROR(INDEX('Challan Master'!$D$4:$D$207,MATCH($B100,'Challan Master'!$S$4:$S$207,0)),""))-YEAR(I100))*12+(MONTH(IFERROR(INDEX('Challan Master'!$D$4:$D$207,MATCH($B100,'Challan Master'!$S$4:$S$207,0)),""))-MONTH(I100))+1),0))))</f>
      </c>
      <c r="O100" s="7">
        <f>IF($C100="","",0)</f>
      </c>
      <c r="P100" s="8"/>
      <c r="Q100" s="8"/>
      <c r="R100" s="8"/>
      <c r="S100" s="8"/>
      <c r="T100" s="8"/>
      <c r="U100" s="7">
        <f>IF($B100="","",IFERROR(INDEX('Challan Master'!$AA$4:$AA$207,MATCH($B100,'Challan Master'!$S$4:$S$207,0)),""))</f>
      </c>
    </row>
    <row r="101" spans="1:22" x14ac:dyDescent="0.25">
      <c r="A101" s="7">
        <f>IF($C101="","",COUNTIF($C$4:$C101,"&lt;&gt;"))</f>
      </c>
      <c r="B101" s="8"/>
      <c r="C101" s="8"/>
      <c r="D101" s="8"/>
      <c r="E101" s="7">
        <f>IF($C101="","",IF(AND(LEN(TRIM(UPPER(D101)))=10,CODE(MID(TRIM(UPPER(D101)),1,1))&gt;=65,CODE(MID(TRIM(UPPER(D101)),1,1))&lt;=90,CODE(MID(TRIM(UPPER(D101)),2,1))&gt;=65,CODE(MID(TRIM(UPPER(D101)),2,1))&lt;=90,CODE(MID(TRIM(UPPER(D101)),3,1))&gt;=65,CODE(MID(TRIM(UPPER(D101)),3,1))&lt;=90,CODE(MID(TRIM(UPPER(D101)),4,1))&gt;=65,CODE(MID(TRIM(UPPER(D101)),4,1))&lt;=90,CODE(MID(TRIM(UPPER(D101)),5,1))&gt;=65,CODE(MID(TRIM(UPPER(D101)),5,1))&lt;=90,CODE(MID(TRIM(UPPER(D101)),10,1))&gt;=65,CODE(MID(TRIM(UPPER(D101)),10,1))&lt;=90,CODE(MID(TRIM(UPPER(D101)),6,1))&gt;=48,CODE(MID(TRIM(UPPER(D101)),6,1))&lt;=57,CODE(MID(TRIM(UPPER(D101)),7,1))&gt;=48,CODE(MID(TRIM(UPPER(D101)),7,1))&lt;=57,CODE(MID(TRIM(UPPER(D101)),8,1))&gt;=48,CODE(MID(TRIM(UPPER(D101)),8,1))&lt;=57,CODE(MID(TRIM(UPPER(D101)),9,1))&gt;=48,CODE(MID(TRIM(UPPER(D101)),9,1))&lt;=57),"N","Y"))</f>
      </c>
      <c r="F101" s="7">
        <f>IF($C101="","",IF(LEN(D101)&lt;4,"",IF(UPPER(MID(D101,4,1))="P","Individual",IF(UPPER(MID(D101,4,1))="H","HUF",IF(UPPER(MID(D101,4,1))="C","Company",IF(UPPER(MID(D101,4,1))="F","Firm",IF(UPPER(MID(D101,4,1))="L","LLP",IF(UPPER(MID(D101,4,1))="T","Trust",IF(UPPER(MID(D101,4,1))="A","AOP","")))))))))</f>
      </c>
      <c r="G101" s="8"/>
      <c r="H101" s="7">
        <f>IF($C101="","",IF(R101&lt;&gt;"",R101,IF(G101="","",IF(E101="Y",SUMPRODUCT(('Rate Lookup'!$A$1:$A$37=G101)*'Rate Lookup'!$D$1:$D$37),IF(OR(F101="Individual",F101="HUF"),SUMPRODUCT(('Rate Lookup'!$A$1:$A$37=G101)*'Rate Lookup'!$B$1:$B$37),SUMPRODUCT(('Rate Lookup'!$A$1:$A$37=G101)*'Rate Lookup'!$C$1:$C$37)))))))</f>
      </c>
      <c r="I101" s="8"/>
      <c r="J101" s="8"/>
      <c r="K101" s="7">
        <f>IF($C101="","",IF(OR(P101="B",P101="D",P101="E",P101="N",P101="O",P101="P",P101="Q",P101="S",P101="Y",P101="Z"),0,ROUND(J101*H101/100,0)))</f>
      </c>
      <c r="L101" s="7">
        <f>IF($C101="","",0)</f>
      </c>
      <c r="M101" s="7">
        <f>IF($C101="","",0)</f>
      </c>
      <c r="N101" s="7">
        <f>IF($C101="","",IF(OR(K101=0,I101="",IFERROR(INDEX('Challan Master'!$D$4:$D$207,MATCH($B101,'Challan Master'!$S$4:$S$207,0)),"")="",IFERROR(INDEX('Challan Master'!$D$4:$D$207,MATCH($B101,'Challan Master'!$S$4:$S$207,0)),"")&lt;=0),0,IF(IFERROR(INDEX('Challan Master'!$D$4:$D$207,MATCH($B101,'Challan Master'!$S$4:$S$207,0)),"")&lt;=DATE(YEAR(I101),MONTH(I101)+1,7),0,ROUND(K101*0.015*((YEAR(IFERROR(INDEX('Challan Master'!$D$4:$D$207,MATCH($B101,'Challan Master'!$S$4:$S$207,0)),""))-YEAR(I101))*12+(MONTH(IFERROR(INDEX('Challan Master'!$D$4:$D$207,MATCH($B101,'Challan Master'!$S$4:$S$207,0)),""))-MONTH(I101))+1),0))))</f>
      </c>
      <c r="O101" s="7">
        <f>IF($C101="","",0)</f>
      </c>
      <c r="P101" s="8"/>
      <c r="Q101" s="8"/>
      <c r="R101" s="8"/>
      <c r="S101" s="8"/>
      <c r="T101" s="8"/>
      <c r="U101" s="7">
        <f>IF($B101="","",IFERROR(INDEX('Challan Master'!$AA$4:$AA$207,MATCH($B101,'Challan Master'!$S$4:$S$207,0)),""))</f>
      </c>
    </row>
    <row r="102" spans="1:22" x14ac:dyDescent="0.25">
      <c r="A102" s="7">
        <f>IF($C102="","",COUNTIF($C$4:$C102,"&lt;&gt;"))</f>
      </c>
      <c r="B102" s="8"/>
      <c r="C102" s="8"/>
      <c r="D102" s="8"/>
      <c r="E102" s="7">
        <f>IF($C102="","",IF(AND(LEN(TRIM(UPPER(D102)))=10,CODE(MID(TRIM(UPPER(D102)),1,1))&gt;=65,CODE(MID(TRIM(UPPER(D102)),1,1))&lt;=90,CODE(MID(TRIM(UPPER(D102)),2,1))&gt;=65,CODE(MID(TRIM(UPPER(D102)),2,1))&lt;=90,CODE(MID(TRIM(UPPER(D102)),3,1))&gt;=65,CODE(MID(TRIM(UPPER(D102)),3,1))&lt;=90,CODE(MID(TRIM(UPPER(D102)),4,1))&gt;=65,CODE(MID(TRIM(UPPER(D102)),4,1))&lt;=90,CODE(MID(TRIM(UPPER(D102)),5,1))&gt;=65,CODE(MID(TRIM(UPPER(D102)),5,1))&lt;=90,CODE(MID(TRIM(UPPER(D102)),10,1))&gt;=65,CODE(MID(TRIM(UPPER(D102)),10,1))&lt;=90,CODE(MID(TRIM(UPPER(D102)),6,1))&gt;=48,CODE(MID(TRIM(UPPER(D102)),6,1))&lt;=57,CODE(MID(TRIM(UPPER(D102)),7,1))&gt;=48,CODE(MID(TRIM(UPPER(D102)),7,1))&lt;=57,CODE(MID(TRIM(UPPER(D102)),8,1))&gt;=48,CODE(MID(TRIM(UPPER(D102)),8,1))&lt;=57,CODE(MID(TRIM(UPPER(D102)),9,1))&gt;=48,CODE(MID(TRIM(UPPER(D102)),9,1))&lt;=57),"N","Y"))</f>
      </c>
      <c r="F102" s="7">
        <f>IF($C102="","",IF(LEN(D102)&lt;4,"",IF(UPPER(MID(D102,4,1))="P","Individual",IF(UPPER(MID(D102,4,1))="H","HUF",IF(UPPER(MID(D102,4,1))="C","Company",IF(UPPER(MID(D102,4,1))="F","Firm",IF(UPPER(MID(D102,4,1))="L","LLP",IF(UPPER(MID(D102,4,1))="T","Trust",IF(UPPER(MID(D102,4,1))="A","AOP","")))))))))</f>
      </c>
      <c r="G102" s="8"/>
      <c r="H102" s="7">
        <f>IF($C102="","",IF(R102&lt;&gt;"",R102,IF(G102="","",IF(E102="Y",SUMPRODUCT(('Rate Lookup'!$A$1:$A$37=G102)*'Rate Lookup'!$D$1:$D$37),IF(OR(F102="Individual",F102="HUF"),SUMPRODUCT(('Rate Lookup'!$A$1:$A$37=G102)*'Rate Lookup'!$B$1:$B$37),SUMPRODUCT(('Rate Lookup'!$A$1:$A$37=G102)*'Rate Lookup'!$C$1:$C$37)))))))</f>
      </c>
      <c r="I102" s="8"/>
      <c r="J102" s="8"/>
      <c r="K102" s="7">
        <f>IF($C102="","",IF(OR(P102="B",P102="D",P102="E",P102="N",P102="O",P102="P",P102="Q",P102="S",P102="Y",P102="Z"),0,ROUND(J102*H102/100,0)))</f>
      </c>
      <c r="L102" s="7">
        <f>IF($C102="","",0)</f>
      </c>
      <c r="M102" s="7">
        <f>IF($C102="","",0)</f>
      </c>
      <c r="N102" s="7">
        <f>IF($C102="","",IF(OR(K102=0,I102="",IFERROR(INDEX('Challan Master'!$D$4:$D$207,MATCH($B102,'Challan Master'!$S$4:$S$207,0)),"")="",IFERROR(INDEX('Challan Master'!$D$4:$D$207,MATCH($B102,'Challan Master'!$S$4:$S$207,0)),"")&lt;=0),0,IF(IFERROR(INDEX('Challan Master'!$D$4:$D$207,MATCH($B102,'Challan Master'!$S$4:$S$207,0)),"")&lt;=DATE(YEAR(I102),MONTH(I102)+1,7),0,ROUND(K102*0.015*((YEAR(IFERROR(INDEX('Challan Master'!$D$4:$D$207,MATCH($B102,'Challan Master'!$S$4:$S$207,0)),""))-YEAR(I102))*12+(MONTH(IFERROR(INDEX('Challan Master'!$D$4:$D$207,MATCH($B102,'Challan Master'!$S$4:$S$207,0)),""))-MONTH(I102))+1),0))))</f>
      </c>
      <c r="O102" s="7">
        <f>IF($C102="","",0)</f>
      </c>
      <c r="P102" s="8"/>
      <c r="Q102" s="8"/>
      <c r="R102" s="8"/>
      <c r="S102" s="8"/>
      <c r="T102" s="8"/>
      <c r="U102" s="7">
        <f>IF($B102="","",IFERROR(INDEX('Challan Master'!$AA$4:$AA$207,MATCH($B102,'Challan Master'!$S$4:$S$207,0)),""))</f>
      </c>
    </row>
    <row r="103" spans="1:22" x14ac:dyDescent="0.25">
      <c r="A103" s="7">
        <f>IF($C103="","",COUNTIF($C$4:$C103,"&lt;&gt;"))</f>
      </c>
      <c r="B103" s="8"/>
      <c r="C103" s="8"/>
      <c r="D103" s="8"/>
      <c r="E103" s="7">
        <f>IF($C103="","",IF(AND(LEN(TRIM(UPPER(D103)))=10,CODE(MID(TRIM(UPPER(D103)),1,1))&gt;=65,CODE(MID(TRIM(UPPER(D103)),1,1))&lt;=90,CODE(MID(TRIM(UPPER(D103)),2,1))&gt;=65,CODE(MID(TRIM(UPPER(D103)),2,1))&lt;=90,CODE(MID(TRIM(UPPER(D103)),3,1))&gt;=65,CODE(MID(TRIM(UPPER(D103)),3,1))&lt;=90,CODE(MID(TRIM(UPPER(D103)),4,1))&gt;=65,CODE(MID(TRIM(UPPER(D103)),4,1))&lt;=90,CODE(MID(TRIM(UPPER(D103)),5,1))&gt;=65,CODE(MID(TRIM(UPPER(D103)),5,1))&lt;=90,CODE(MID(TRIM(UPPER(D103)),10,1))&gt;=65,CODE(MID(TRIM(UPPER(D103)),10,1))&lt;=90,CODE(MID(TRIM(UPPER(D103)),6,1))&gt;=48,CODE(MID(TRIM(UPPER(D103)),6,1))&lt;=57,CODE(MID(TRIM(UPPER(D103)),7,1))&gt;=48,CODE(MID(TRIM(UPPER(D103)),7,1))&lt;=57,CODE(MID(TRIM(UPPER(D103)),8,1))&gt;=48,CODE(MID(TRIM(UPPER(D103)),8,1))&lt;=57,CODE(MID(TRIM(UPPER(D103)),9,1))&gt;=48,CODE(MID(TRIM(UPPER(D103)),9,1))&lt;=57),"N","Y"))</f>
      </c>
      <c r="F103" s="7">
        <f>IF($C103="","",IF(LEN(D103)&lt;4,"",IF(UPPER(MID(D103,4,1))="P","Individual",IF(UPPER(MID(D103,4,1))="H","HUF",IF(UPPER(MID(D103,4,1))="C","Company",IF(UPPER(MID(D103,4,1))="F","Firm",IF(UPPER(MID(D103,4,1))="L","LLP",IF(UPPER(MID(D103,4,1))="T","Trust",IF(UPPER(MID(D103,4,1))="A","AOP","")))))))))</f>
      </c>
      <c r="G103" s="8"/>
      <c r="H103" s="7">
        <f>IF($C103="","",IF(R103&lt;&gt;"",R103,IF(G103="","",IF(E103="Y",SUMPRODUCT(('Rate Lookup'!$A$1:$A$37=G103)*'Rate Lookup'!$D$1:$D$37),IF(OR(F103="Individual",F103="HUF"),SUMPRODUCT(('Rate Lookup'!$A$1:$A$37=G103)*'Rate Lookup'!$B$1:$B$37),SUMPRODUCT(('Rate Lookup'!$A$1:$A$37=G103)*'Rate Lookup'!$C$1:$C$37)))))))</f>
      </c>
      <c r="I103" s="8"/>
      <c r="J103" s="8"/>
      <c r="K103" s="7">
        <f>IF($C103="","",IF(OR(P103="B",P103="D",P103="E",P103="N",P103="O",P103="P",P103="Q",P103="S",P103="Y",P103="Z"),0,ROUND(J103*H103/100,0)))</f>
      </c>
      <c r="L103" s="7">
        <f>IF($C103="","",0)</f>
      </c>
      <c r="M103" s="7">
        <f>IF($C103="","",0)</f>
      </c>
      <c r="N103" s="7">
        <f>IF($C103="","",IF(OR(K103=0,I103="",IFERROR(INDEX('Challan Master'!$D$4:$D$207,MATCH($B103,'Challan Master'!$S$4:$S$207,0)),"")="",IFERROR(INDEX('Challan Master'!$D$4:$D$207,MATCH($B103,'Challan Master'!$S$4:$S$207,0)),"")&lt;=0),0,IF(IFERROR(INDEX('Challan Master'!$D$4:$D$207,MATCH($B103,'Challan Master'!$S$4:$S$207,0)),"")&lt;=DATE(YEAR(I103),MONTH(I103)+1,7),0,ROUND(K103*0.015*((YEAR(IFERROR(INDEX('Challan Master'!$D$4:$D$207,MATCH($B103,'Challan Master'!$S$4:$S$207,0)),""))-YEAR(I103))*12+(MONTH(IFERROR(INDEX('Challan Master'!$D$4:$D$207,MATCH($B103,'Challan Master'!$S$4:$S$207,0)),""))-MONTH(I103))+1),0))))</f>
      </c>
      <c r="O103" s="7">
        <f>IF($C103="","",0)</f>
      </c>
      <c r="P103" s="8"/>
      <c r="Q103" s="8"/>
      <c r="R103" s="8"/>
      <c r="S103" s="8"/>
      <c r="T103" s="8"/>
      <c r="U103" s="7">
        <f>IF($B103="","",IFERROR(INDEX('Challan Master'!$AA$4:$AA$207,MATCH($B103,'Challan Master'!$S$4:$S$207,0)),""))</f>
      </c>
    </row>
    <row r="104" spans="1:22" x14ac:dyDescent="0.25">
      <c r="A104" s="7">
        <f>IF($C104="","",COUNTIF($C$4:$C104,"&lt;&gt;"))</f>
      </c>
      <c r="B104" s="8"/>
      <c r="C104" s="8"/>
      <c r="D104" s="8"/>
      <c r="E104" s="7">
        <f>IF($C104="","",IF(AND(LEN(TRIM(UPPER(D104)))=10,CODE(MID(TRIM(UPPER(D104)),1,1))&gt;=65,CODE(MID(TRIM(UPPER(D104)),1,1))&lt;=90,CODE(MID(TRIM(UPPER(D104)),2,1))&gt;=65,CODE(MID(TRIM(UPPER(D104)),2,1))&lt;=90,CODE(MID(TRIM(UPPER(D104)),3,1))&gt;=65,CODE(MID(TRIM(UPPER(D104)),3,1))&lt;=90,CODE(MID(TRIM(UPPER(D104)),4,1))&gt;=65,CODE(MID(TRIM(UPPER(D104)),4,1))&lt;=90,CODE(MID(TRIM(UPPER(D104)),5,1))&gt;=65,CODE(MID(TRIM(UPPER(D104)),5,1))&lt;=90,CODE(MID(TRIM(UPPER(D104)),10,1))&gt;=65,CODE(MID(TRIM(UPPER(D104)),10,1))&lt;=90,CODE(MID(TRIM(UPPER(D104)),6,1))&gt;=48,CODE(MID(TRIM(UPPER(D104)),6,1))&lt;=57,CODE(MID(TRIM(UPPER(D104)),7,1))&gt;=48,CODE(MID(TRIM(UPPER(D104)),7,1))&lt;=57,CODE(MID(TRIM(UPPER(D104)),8,1))&gt;=48,CODE(MID(TRIM(UPPER(D104)),8,1))&lt;=57,CODE(MID(TRIM(UPPER(D104)),9,1))&gt;=48,CODE(MID(TRIM(UPPER(D104)),9,1))&lt;=57),"N","Y"))</f>
      </c>
      <c r="F104" s="7">
        <f>IF($C104="","",IF(LEN(D104)&lt;4,"",IF(UPPER(MID(D104,4,1))="P","Individual",IF(UPPER(MID(D104,4,1))="H","HUF",IF(UPPER(MID(D104,4,1))="C","Company",IF(UPPER(MID(D104,4,1))="F","Firm",IF(UPPER(MID(D104,4,1))="L","LLP",IF(UPPER(MID(D104,4,1))="T","Trust",IF(UPPER(MID(D104,4,1))="A","AOP","")))))))))</f>
      </c>
      <c r="G104" s="8"/>
      <c r="H104" s="7">
        <f>IF($C104="","",IF(R104&lt;&gt;"",R104,IF(G104="","",IF(E104="Y",SUMPRODUCT(('Rate Lookup'!$A$1:$A$37=G104)*'Rate Lookup'!$D$1:$D$37),IF(OR(F104="Individual",F104="HUF"),SUMPRODUCT(('Rate Lookup'!$A$1:$A$37=G104)*'Rate Lookup'!$B$1:$B$37),SUMPRODUCT(('Rate Lookup'!$A$1:$A$37=G104)*'Rate Lookup'!$C$1:$C$37)))))))</f>
      </c>
      <c r="I104" s="8"/>
      <c r="J104" s="8"/>
      <c r="K104" s="7">
        <f>IF($C104="","",IF(OR(P104="B",P104="D",P104="E",P104="N",P104="O",P104="P",P104="Q",P104="S",P104="Y",P104="Z"),0,ROUND(J104*H104/100,0)))</f>
      </c>
      <c r="L104" s="7">
        <f>IF($C104="","",0)</f>
      </c>
      <c r="M104" s="7">
        <f>IF($C104="","",0)</f>
      </c>
      <c r="N104" s="7">
        <f>IF($C104="","",IF(OR(K104=0,I104="",IFERROR(INDEX('Challan Master'!$D$4:$D$207,MATCH($B104,'Challan Master'!$S$4:$S$207,0)),"")="",IFERROR(INDEX('Challan Master'!$D$4:$D$207,MATCH($B104,'Challan Master'!$S$4:$S$207,0)),"")&lt;=0),0,IF(IFERROR(INDEX('Challan Master'!$D$4:$D$207,MATCH($B104,'Challan Master'!$S$4:$S$207,0)),"")&lt;=DATE(YEAR(I104),MONTH(I104)+1,7),0,ROUND(K104*0.015*((YEAR(IFERROR(INDEX('Challan Master'!$D$4:$D$207,MATCH($B104,'Challan Master'!$S$4:$S$207,0)),""))-YEAR(I104))*12+(MONTH(IFERROR(INDEX('Challan Master'!$D$4:$D$207,MATCH($B104,'Challan Master'!$S$4:$S$207,0)),""))-MONTH(I104))+1),0))))</f>
      </c>
      <c r="O104" s="7">
        <f>IF($C104="","",0)</f>
      </c>
      <c r="P104" s="8"/>
      <c r="Q104" s="8"/>
      <c r="R104" s="8"/>
      <c r="S104" s="8"/>
      <c r="T104" s="8"/>
      <c r="U104" s="7">
        <f>IF($B104="","",IFERROR(INDEX('Challan Master'!$AA$4:$AA$207,MATCH($B104,'Challan Master'!$S$4:$S$207,0)),""))</f>
      </c>
    </row>
    <row r="105" spans="1:22" x14ac:dyDescent="0.25">
      <c r="A105" s="7">
        <f>IF($C105="","",COUNTIF($C$4:$C105,"&lt;&gt;"))</f>
      </c>
      <c r="B105" s="8"/>
      <c r="C105" s="8"/>
      <c r="D105" s="8"/>
      <c r="E105" s="7">
        <f>IF($C105="","",IF(AND(LEN(TRIM(UPPER(D105)))=10,CODE(MID(TRIM(UPPER(D105)),1,1))&gt;=65,CODE(MID(TRIM(UPPER(D105)),1,1))&lt;=90,CODE(MID(TRIM(UPPER(D105)),2,1))&gt;=65,CODE(MID(TRIM(UPPER(D105)),2,1))&lt;=90,CODE(MID(TRIM(UPPER(D105)),3,1))&gt;=65,CODE(MID(TRIM(UPPER(D105)),3,1))&lt;=90,CODE(MID(TRIM(UPPER(D105)),4,1))&gt;=65,CODE(MID(TRIM(UPPER(D105)),4,1))&lt;=90,CODE(MID(TRIM(UPPER(D105)),5,1))&gt;=65,CODE(MID(TRIM(UPPER(D105)),5,1))&lt;=90,CODE(MID(TRIM(UPPER(D105)),10,1))&gt;=65,CODE(MID(TRIM(UPPER(D105)),10,1))&lt;=90,CODE(MID(TRIM(UPPER(D105)),6,1))&gt;=48,CODE(MID(TRIM(UPPER(D105)),6,1))&lt;=57,CODE(MID(TRIM(UPPER(D105)),7,1))&gt;=48,CODE(MID(TRIM(UPPER(D105)),7,1))&lt;=57,CODE(MID(TRIM(UPPER(D105)),8,1))&gt;=48,CODE(MID(TRIM(UPPER(D105)),8,1))&lt;=57,CODE(MID(TRIM(UPPER(D105)),9,1))&gt;=48,CODE(MID(TRIM(UPPER(D105)),9,1))&lt;=57),"N","Y"))</f>
      </c>
      <c r="F105" s="7">
        <f>IF($C105="","",IF(LEN(D105)&lt;4,"",IF(UPPER(MID(D105,4,1))="P","Individual",IF(UPPER(MID(D105,4,1))="H","HUF",IF(UPPER(MID(D105,4,1))="C","Company",IF(UPPER(MID(D105,4,1))="F","Firm",IF(UPPER(MID(D105,4,1))="L","LLP",IF(UPPER(MID(D105,4,1))="T","Trust",IF(UPPER(MID(D105,4,1))="A","AOP","")))))))))</f>
      </c>
      <c r="G105" s="8"/>
      <c r="H105" s="7">
        <f>IF($C105="","",IF(R105&lt;&gt;"",R105,IF(G105="","",IF(E105="Y",SUMPRODUCT(('Rate Lookup'!$A$1:$A$37=G105)*'Rate Lookup'!$D$1:$D$37),IF(OR(F105="Individual",F105="HUF"),SUMPRODUCT(('Rate Lookup'!$A$1:$A$37=G105)*'Rate Lookup'!$B$1:$B$37),SUMPRODUCT(('Rate Lookup'!$A$1:$A$37=G105)*'Rate Lookup'!$C$1:$C$37)))))))</f>
      </c>
      <c r="I105" s="8"/>
      <c r="J105" s="8"/>
      <c r="K105" s="7">
        <f>IF($C105="","",IF(OR(P105="B",P105="D",P105="E",P105="N",P105="O",P105="P",P105="Q",P105="S",P105="Y",P105="Z"),0,ROUND(J105*H105/100,0)))</f>
      </c>
      <c r="L105" s="7">
        <f>IF($C105="","",0)</f>
      </c>
      <c r="M105" s="7">
        <f>IF($C105="","",0)</f>
      </c>
      <c r="N105" s="7">
        <f>IF($C105="","",IF(OR(K105=0,I105="",IFERROR(INDEX('Challan Master'!$D$4:$D$207,MATCH($B105,'Challan Master'!$S$4:$S$207,0)),"")="",IFERROR(INDEX('Challan Master'!$D$4:$D$207,MATCH($B105,'Challan Master'!$S$4:$S$207,0)),"")&lt;=0),0,IF(IFERROR(INDEX('Challan Master'!$D$4:$D$207,MATCH($B105,'Challan Master'!$S$4:$S$207,0)),"")&lt;=DATE(YEAR(I105),MONTH(I105)+1,7),0,ROUND(K105*0.015*((YEAR(IFERROR(INDEX('Challan Master'!$D$4:$D$207,MATCH($B105,'Challan Master'!$S$4:$S$207,0)),""))-YEAR(I105))*12+(MONTH(IFERROR(INDEX('Challan Master'!$D$4:$D$207,MATCH($B105,'Challan Master'!$S$4:$S$207,0)),""))-MONTH(I105))+1),0))))</f>
      </c>
      <c r="O105" s="7">
        <f>IF($C105="","",0)</f>
      </c>
      <c r="P105" s="8"/>
      <c r="Q105" s="8"/>
      <c r="R105" s="8"/>
      <c r="S105" s="8"/>
      <c r="T105" s="8"/>
      <c r="U105" s="7">
        <f>IF($B105="","",IFERROR(INDEX('Challan Master'!$AA$4:$AA$207,MATCH($B105,'Challan Master'!$S$4:$S$207,0)),""))</f>
      </c>
    </row>
    <row r="106" spans="1:22" x14ac:dyDescent="0.25">
      <c r="A106" s="7">
        <f>IF($C106="","",COUNTIF($C$4:$C106,"&lt;&gt;"))</f>
      </c>
      <c r="B106" s="8"/>
      <c r="C106" s="8"/>
      <c r="D106" s="8"/>
      <c r="E106" s="7">
        <f>IF($C106="","",IF(AND(LEN(TRIM(UPPER(D106)))=10,CODE(MID(TRIM(UPPER(D106)),1,1))&gt;=65,CODE(MID(TRIM(UPPER(D106)),1,1))&lt;=90,CODE(MID(TRIM(UPPER(D106)),2,1))&gt;=65,CODE(MID(TRIM(UPPER(D106)),2,1))&lt;=90,CODE(MID(TRIM(UPPER(D106)),3,1))&gt;=65,CODE(MID(TRIM(UPPER(D106)),3,1))&lt;=90,CODE(MID(TRIM(UPPER(D106)),4,1))&gt;=65,CODE(MID(TRIM(UPPER(D106)),4,1))&lt;=90,CODE(MID(TRIM(UPPER(D106)),5,1))&gt;=65,CODE(MID(TRIM(UPPER(D106)),5,1))&lt;=90,CODE(MID(TRIM(UPPER(D106)),10,1))&gt;=65,CODE(MID(TRIM(UPPER(D106)),10,1))&lt;=90,CODE(MID(TRIM(UPPER(D106)),6,1))&gt;=48,CODE(MID(TRIM(UPPER(D106)),6,1))&lt;=57,CODE(MID(TRIM(UPPER(D106)),7,1))&gt;=48,CODE(MID(TRIM(UPPER(D106)),7,1))&lt;=57,CODE(MID(TRIM(UPPER(D106)),8,1))&gt;=48,CODE(MID(TRIM(UPPER(D106)),8,1))&lt;=57,CODE(MID(TRIM(UPPER(D106)),9,1))&gt;=48,CODE(MID(TRIM(UPPER(D106)),9,1))&lt;=57),"N","Y"))</f>
      </c>
      <c r="F106" s="7">
        <f>IF($C106="","",IF(LEN(D106)&lt;4,"",IF(UPPER(MID(D106,4,1))="P","Individual",IF(UPPER(MID(D106,4,1))="H","HUF",IF(UPPER(MID(D106,4,1))="C","Company",IF(UPPER(MID(D106,4,1))="F","Firm",IF(UPPER(MID(D106,4,1))="L","LLP",IF(UPPER(MID(D106,4,1))="T","Trust",IF(UPPER(MID(D106,4,1))="A","AOP","")))))))))</f>
      </c>
      <c r="G106" s="8"/>
      <c r="H106" s="7">
        <f>IF($C106="","",IF(R106&lt;&gt;"",R106,IF(G106="","",IF(E106="Y",SUMPRODUCT(('Rate Lookup'!$A$1:$A$37=G106)*'Rate Lookup'!$D$1:$D$37),IF(OR(F106="Individual",F106="HUF"),SUMPRODUCT(('Rate Lookup'!$A$1:$A$37=G106)*'Rate Lookup'!$B$1:$B$37),SUMPRODUCT(('Rate Lookup'!$A$1:$A$37=G106)*'Rate Lookup'!$C$1:$C$37)))))))</f>
      </c>
      <c r="I106" s="8"/>
      <c r="J106" s="8"/>
      <c r="K106" s="7">
        <f>IF($C106="","",IF(OR(P106="B",P106="D",P106="E",P106="N",P106="O",P106="P",P106="Q",P106="S",P106="Y",P106="Z"),0,ROUND(J106*H106/100,0)))</f>
      </c>
      <c r="L106" s="7">
        <f>IF($C106="","",0)</f>
      </c>
      <c r="M106" s="7">
        <f>IF($C106="","",0)</f>
      </c>
      <c r="N106" s="7">
        <f>IF($C106="","",IF(OR(K106=0,I106="",IFERROR(INDEX('Challan Master'!$D$4:$D$207,MATCH($B106,'Challan Master'!$S$4:$S$207,0)),"")="",IFERROR(INDEX('Challan Master'!$D$4:$D$207,MATCH($B106,'Challan Master'!$S$4:$S$207,0)),"")&lt;=0),0,IF(IFERROR(INDEX('Challan Master'!$D$4:$D$207,MATCH($B106,'Challan Master'!$S$4:$S$207,0)),"")&lt;=DATE(YEAR(I106),MONTH(I106)+1,7),0,ROUND(K106*0.015*((YEAR(IFERROR(INDEX('Challan Master'!$D$4:$D$207,MATCH($B106,'Challan Master'!$S$4:$S$207,0)),""))-YEAR(I106))*12+(MONTH(IFERROR(INDEX('Challan Master'!$D$4:$D$207,MATCH($B106,'Challan Master'!$S$4:$S$207,0)),""))-MONTH(I106))+1),0))))</f>
      </c>
      <c r="O106" s="7">
        <f>IF($C106="","",0)</f>
      </c>
      <c r="P106" s="8"/>
      <c r="Q106" s="8"/>
      <c r="R106" s="8"/>
      <c r="S106" s="8"/>
      <c r="T106" s="8"/>
      <c r="U106" s="7">
        <f>IF($B106="","",IFERROR(INDEX('Challan Master'!$AA$4:$AA$207,MATCH($B106,'Challan Master'!$S$4:$S$207,0)),""))</f>
      </c>
    </row>
    <row r="107" spans="1:22" x14ac:dyDescent="0.25">
      <c r="A107" s="7">
        <f>IF($C107="","",COUNTIF($C$4:$C107,"&lt;&gt;"))</f>
      </c>
      <c r="B107" s="8"/>
      <c r="C107" s="8"/>
      <c r="D107" s="8"/>
      <c r="E107" s="7">
        <f>IF($C107="","",IF(AND(LEN(TRIM(UPPER(D107)))=10,CODE(MID(TRIM(UPPER(D107)),1,1))&gt;=65,CODE(MID(TRIM(UPPER(D107)),1,1))&lt;=90,CODE(MID(TRIM(UPPER(D107)),2,1))&gt;=65,CODE(MID(TRIM(UPPER(D107)),2,1))&lt;=90,CODE(MID(TRIM(UPPER(D107)),3,1))&gt;=65,CODE(MID(TRIM(UPPER(D107)),3,1))&lt;=90,CODE(MID(TRIM(UPPER(D107)),4,1))&gt;=65,CODE(MID(TRIM(UPPER(D107)),4,1))&lt;=90,CODE(MID(TRIM(UPPER(D107)),5,1))&gt;=65,CODE(MID(TRIM(UPPER(D107)),5,1))&lt;=90,CODE(MID(TRIM(UPPER(D107)),10,1))&gt;=65,CODE(MID(TRIM(UPPER(D107)),10,1))&lt;=90,CODE(MID(TRIM(UPPER(D107)),6,1))&gt;=48,CODE(MID(TRIM(UPPER(D107)),6,1))&lt;=57,CODE(MID(TRIM(UPPER(D107)),7,1))&gt;=48,CODE(MID(TRIM(UPPER(D107)),7,1))&lt;=57,CODE(MID(TRIM(UPPER(D107)),8,1))&gt;=48,CODE(MID(TRIM(UPPER(D107)),8,1))&lt;=57,CODE(MID(TRIM(UPPER(D107)),9,1))&gt;=48,CODE(MID(TRIM(UPPER(D107)),9,1))&lt;=57),"N","Y"))</f>
      </c>
      <c r="F107" s="7">
        <f>IF($C107="","",IF(LEN(D107)&lt;4,"",IF(UPPER(MID(D107,4,1))="P","Individual",IF(UPPER(MID(D107,4,1))="H","HUF",IF(UPPER(MID(D107,4,1))="C","Company",IF(UPPER(MID(D107,4,1))="F","Firm",IF(UPPER(MID(D107,4,1))="L","LLP",IF(UPPER(MID(D107,4,1))="T","Trust",IF(UPPER(MID(D107,4,1))="A","AOP","")))))))))</f>
      </c>
      <c r="G107" s="8"/>
      <c r="H107" s="7">
        <f>IF($C107="","",IF(R107&lt;&gt;"",R107,IF(G107="","",IF(E107="Y",SUMPRODUCT(('Rate Lookup'!$A$1:$A$37=G107)*'Rate Lookup'!$D$1:$D$37),IF(OR(F107="Individual",F107="HUF"),SUMPRODUCT(('Rate Lookup'!$A$1:$A$37=G107)*'Rate Lookup'!$B$1:$B$37),SUMPRODUCT(('Rate Lookup'!$A$1:$A$37=G107)*'Rate Lookup'!$C$1:$C$37)))))))</f>
      </c>
      <c r="I107" s="8"/>
      <c r="J107" s="8"/>
      <c r="K107" s="7">
        <f>IF($C107="","",IF(OR(P107="B",P107="D",P107="E",P107="N",P107="O",P107="P",P107="Q",P107="S",P107="Y",P107="Z"),0,ROUND(J107*H107/100,0)))</f>
      </c>
      <c r="L107" s="7">
        <f>IF($C107="","",0)</f>
      </c>
      <c r="M107" s="7">
        <f>IF($C107="","",0)</f>
      </c>
      <c r="N107" s="7">
        <f>IF($C107="","",IF(OR(K107=0,I107="",IFERROR(INDEX('Challan Master'!$D$4:$D$207,MATCH($B107,'Challan Master'!$S$4:$S$207,0)),"")="",IFERROR(INDEX('Challan Master'!$D$4:$D$207,MATCH($B107,'Challan Master'!$S$4:$S$207,0)),"")&lt;=0),0,IF(IFERROR(INDEX('Challan Master'!$D$4:$D$207,MATCH($B107,'Challan Master'!$S$4:$S$207,0)),"")&lt;=DATE(YEAR(I107),MONTH(I107)+1,7),0,ROUND(K107*0.015*((YEAR(IFERROR(INDEX('Challan Master'!$D$4:$D$207,MATCH($B107,'Challan Master'!$S$4:$S$207,0)),""))-YEAR(I107))*12+(MONTH(IFERROR(INDEX('Challan Master'!$D$4:$D$207,MATCH($B107,'Challan Master'!$S$4:$S$207,0)),""))-MONTH(I107))+1),0))))</f>
      </c>
      <c r="O107" s="7">
        <f>IF($C107="","",0)</f>
      </c>
      <c r="P107" s="8"/>
      <c r="Q107" s="8"/>
      <c r="R107" s="8"/>
      <c r="S107" s="8"/>
      <c r="T107" s="8"/>
      <c r="U107" s="7">
        <f>IF($B107="","",IFERROR(INDEX('Challan Master'!$AA$4:$AA$207,MATCH($B107,'Challan Master'!$S$4:$S$207,0)),""))</f>
      </c>
    </row>
    <row r="108" spans="1:22" x14ac:dyDescent="0.25">
      <c r="A108" s="7">
        <f>IF($C108="","",COUNTIF($C$4:$C108,"&lt;&gt;"))</f>
      </c>
      <c r="B108" s="8"/>
      <c r="C108" s="8"/>
      <c r="D108" s="8"/>
      <c r="E108" s="7">
        <f>IF($C108="","",IF(AND(LEN(TRIM(UPPER(D108)))=10,CODE(MID(TRIM(UPPER(D108)),1,1))&gt;=65,CODE(MID(TRIM(UPPER(D108)),1,1))&lt;=90,CODE(MID(TRIM(UPPER(D108)),2,1))&gt;=65,CODE(MID(TRIM(UPPER(D108)),2,1))&lt;=90,CODE(MID(TRIM(UPPER(D108)),3,1))&gt;=65,CODE(MID(TRIM(UPPER(D108)),3,1))&lt;=90,CODE(MID(TRIM(UPPER(D108)),4,1))&gt;=65,CODE(MID(TRIM(UPPER(D108)),4,1))&lt;=90,CODE(MID(TRIM(UPPER(D108)),5,1))&gt;=65,CODE(MID(TRIM(UPPER(D108)),5,1))&lt;=90,CODE(MID(TRIM(UPPER(D108)),10,1))&gt;=65,CODE(MID(TRIM(UPPER(D108)),10,1))&lt;=90,CODE(MID(TRIM(UPPER(D108)),6,1))&gt;=48,CODE(MID(TRIM(UPPER(D108)),6,1))&lt;=57,CODE(MID(TRIM(UPPER(D108)),7,1))&gt;=48,CODE(MID(TRIM(UPPER(D108)),7,1))&lt;=57,CODE(MID(TRIM(UPPER(D108)),8,1))&gt;=48,CODE(MID(TRIM(UPPER(D108)),8,1))&lt;=57,CODE(MID(TRIM(UPPER(D108)),9,1))&gt;=48,CODE(MID(TRIM(UPPER(D108)),9,1))&lt;=57),"N","Y"))</f>
      </c>
      <c r="F108" s="7">
        <f>IF($C108="","",IF(LEN(D108)&lt;4,"",IF(UPPER(MID(D108,4,1))="P","Individual",IF(UPPER(MID(D108,4,1))="H","HUF",IF(UPPER(MID(D108,4,1))="C","Company",IF(UPPER(MID(D108,4,1))="F","Firm",IF(UPPER(MID(D108,4,1))="L","LLP",IF(UPPER(MID(D108,4,1))="T","Trust",IF(UPPER(MID(D108,4,1))="A","AOP","")))))))))</f>
      </c>
      <c r="G108" s="8"/>
      <c r="H108" s="7">
        <f>IF($C108="","",IF(R108&lt;&gt;"",R108,IF(G108="","",IF(E108="Y",SUMPRODUCT(('Rate Lookup'!$A$1:$A$37=G108)*'Rate Lookup'!$D$1:$D$37),IF(OR(F108="Individual",F108="HUF"),SUMPRODUCT(('Rate Lookup'!$A$1:$A$37=G108)*'Rate Lookup'!$B$1:$B$37),SUMPRODUCT(('Rate Lookup'!$A$1:$A$37=G108)*'Rate Lookup'!$C$1:$C$37)))))))</f>
      </c>
      <c r="I108" s="8"/>
      <c r="J108" s="8"/>
      <c r="K108" s="7">
        <f>IF($C108="","",IF(OR(P108="B",P108="D",P108="E",P108="N",P108="O",P108="P",P108="Q",P108="S",P108="Y",P108="Z"),0,ROUND(J108*H108/100,0)))</f>
      </c>
      <c r="L108" s="7">
        <f>IF($C108="","",0)</f>
      </c>
      <c r="M108" s="7">
        <f>IF($C108="","",0)</f>
      </c>
      <c r="N108" s="7">
        <f>IF($C108="","",IF(OR(K108=0,I108="",IFERROR(INDEX('Challan Master'!$D$4:$D$207,MATCH($B108,'Challan Master'!$S$4:$S$207,0)),"")="",IFERROR(INDEX('Challan Master'!$D$4:$D$207,MATCH($B108,'Challan Master'!$S$4:$S$207,0)),"")&lt;=0),0,IF(IFERROR(INDEX('Challan Master'!$D$4:$D$207,MATCH($B108,'Challan Master'!$S$4:$S$207,0)),"")&lt;=DATE(YEAR(I108),MONTH(I108)+1,7),0,ROUND(K108*0.015*((YEAR(IFERROR(INDEX('Challan Master'!$D$4:$D$207,MATCH($B108,'Challan Master'!$S$4:$S$207,0)),""))-YEAR(I108))*12+(MONTH(IFERROR(INDEX('Challan Master'!$D$4:$D$207,MATCH($B108,'Challan Master'!$S$4:$S$207,0)),""))-MONTH(I108))+1),0))))</f>
      </c>
      <c r="O108" s="7">
        <f>IF($C108="","",0)</f>
      </c>
      <c r="P108" s="8"/>
      <c r="Q108" s="8"/>
      <c r="R108" s="8"/>
      <c r="S108" s="8"/>
      <c r="T108" s="8"/>
      <c r="U108" s="7">
        <f>IF($B108="","",IFERROR(INDEX('Challan Master'!$AA$4:$AA$207,MATCH($B108,'Challan Master'!$S$4:$S$207,0)),""))</f>
      </c>
    </row>
    <row r="109" spans="1:22" x14ac:dyDescent="0.25">
      <c r="A109" s="7">
        <f>IF($C109="","",COUNTIF($C$4:$C109,"&lt;&gt;"))</f>
      </c>
      <c r="B109" s="8"/>
      <c r="C109" s="8"/>
      <c r="D109" s="8"/>
      <c r="E109" s="7">
        <f>IF($C109="","",IF(AND(LEN(TRIM(UPPER(D109)))=10,CODE(MID(TRIM(UPPER(D109)),1,1))&gt;=65,CODE(MID(TRIM(UPPER(D109)),1,1))&lt;=90,CODE(MID(TRIM(UPPER(D109)),2,1))&gt;=65,CODE(MID(TRIM(UPPER(D109)),2,1))&lt;=90,CODE(MID(TRIM(UPPER(D109)),3,1))&gt;=65,CODE(MID(TRIM(UPPER(D109)),3,1))&lt;=90,CODE(MID(TRIM(UPPER(D109)),4,1))&gt;=65,CODE(MID(TRIM(UPPER(D109)),4,1))&lt;=90,CODE(MID(TRIM(UPPER(D109)),5,1))&gt;=65,CODE(MID(TRIM(UPPER(D109)),5,1))&lt;=90,CODE(MID(TRIM(UPPER(D109)),10,1))&gt;=65,CODE(MID(TRIM(UPPER(D109)),10,1))&lt;=90,CODE(MID(TRIM(UPPER(D109)),6,1))&gt;=48,CODE(MID(TRIM(UPPER(D109)),6,1))&lt;=57,CODE(MID(TRIM(UPPER(D109)),7,1))&gt;=48,CODE(MID(TRIM(UPPER(D109)),7,1))&lt;=57,CODE(MID(TRIM(UPPER(D109)),8,1))&gt;=48,CODE(MID(TRIM(UPPER(D109)),8,1))&lt;=57,CODE(MID(TRIM(UPPER(D109)),9,1))&gt;=48,CODE(MID(TRIM(UPPER(D109)),9,1))&lt;=57),"N","Y"))</f>
      </c>
      <c r="F109" s="7">
        <f>IF($C109="","",IF(LEN(D109)&lt;4,"",IF(UPPER(MID(D109,4,1))="P","Individual",IF(UPPER(MID(D109,4,1))="H","HUF",IF(UPPER(MID(D109,4,1))="C","Company",IF(UPPER(MID(D109,4,1))="F","Firm",IF(UPPER(MID(D109,4,1))="L","LLP",IF(UPPER(MID(D109,4,1))="T","Trust",IF(UPPER(MID(D109,4,1))="A","AOP","")))))))))</f>
      </c>
      <c r="G109" s="8"/>
      <c r="H109" s="7">
        <f>IF($C109="","",IF(R109&lt;&gt;"",R109,IF(G109="","",IF(E109="Y",SUMPRODUCT(('Rate Lookup'!$A$1:$A$37=G109)*'Rate Lookup'!$D$1:$D$37),IF(OR(F109="Individual",F109="HUF"),SUMPRODUCT(('Rate Lookup'!$A$1:$A$37=G109)*'Rate Lookup'!$B$1:$B$37),SUMPRODUCT(('Rate Lookup'!$A$1:$A$37=G109)*'Rate Lookup'!$C$1:$C$37)))))))</f>
      </c>
      <c r="I109" s="8"/>
      <c r="J109" s="8"/>
      <c r="K109" s="7">
        <f>IF($C109="","",IF(OR(P109="B",P109="D",P109="E",P109="N",P109="O",P109="P",P109="Q",P109="S",P109="Y",P109="Z"),0,ROUND(J109*H109/100,0)))</f>
      </c>
      <c r="L109" s="7">
        <f>IF($C109="","",0)</f>
      </c>
      <c r="M109" s="7">
        <f>IF($C109="","",0)</f>
      </c>
      <c r="N109" s="7">
        <f>IF($C109="","",IF(OR(K109=0,I109="",IFERROR(INDEX('Challan Master'!$D$4:$D$207,MATCH($B109,'Challan Master'!$S$4:$S$207,0)),"")="",IFERROR(INDEX('Challan Master'!$D$4:$D$207,MATCH($B109,'Challan Master'!$S$4:$S$207,0)),"")&lt;=0),0,IF(IFERROR(INDEX('Challan Master'!$D$4:$D$207,MATCH($B109,'Challan Master'!$S$4:$S$207,0)),"")&lt;=DATE(YEAR(I109),MONTH(I109)+1,7),0,ROUND(K109*0.015*((YEAR(IFERROR(INDEX('Challan Master'!$D$4:$D$207,MATCH($B109,'Challan Master'!$S$4:$S$207,0)),""))-YEAR(I109))*12+(MONTH(IFERROR(INDEX('Challan Master'!$D$4:$D$207,MATCH($B109,'Challan Master'!$S$4:$S$207,0)),""))-MONTH(I109))+1),0))))</f>
      </c>
      <c r="O109" s="7">
        <f>IF($C109="","",0)</f>
      </c>
      <c r="P109" s="8"/>
      <c r="Q109" s="8"/>
      <c r="R109" s="8"/>
      <c r="S109" s="8"/>
      <c r="T109" s="8"/>
      <c r="U109" s="7">
        <f>IF($B109="","",IFERROR(INDEX('Challan Master'!$AA$4:$AA$207,MATCH($B109,'Challan Master'!$S$4:$S$207,0)),""))</f>
      </c>
    </row>
    <row r="110" spans="1:22" x14ac:dyDescent="0.25">
      <c r="A110" s="7">
        <f>IF($C110="","",COUNTIF($C$4:$C110,"&lt;&gt;"))</f>
      </c>
      <c r="B110" s="8"/>
      <c r="C110" s="8"/>
      <c r="D110" s="8"/>
      <c r="E110" s="7">
        <f>IF($C110="","",IF(AND(LEN(TRIM(UPPER(D110)))=10,CODE(MID(TRIM(UPPER(D110)),1,1))&gt;=65,CODE(MID(TRIM(UPPER(D110)),1,1))&lt;=90,CODE(MID(TRIM(UPPER(D110)),2,1))&gt;=65,CODE(MID(TRIM(UPPER(D110)),2,1))&lt;=90,CODE(MID(TRIM(UPPER(D110)),3,1))&gt;=65,CODE(MID(TRIM(UPPER(D110)),3,1))&lt;=90,CODE(MID(TRIM(UPPER(D110)),4,1))&gt;=65,CODE(MID(TRIM(UPPER(D110)),4,1))&lt;=90,CODE(MID(TRIM(UPPER(D110)),5,1))&gt;=65,CODE(MID(TRIM(UPPER(D110)),5,1))&lt;=90,CODE(MID(TRIM(UPPER(D110)),10,1))&gt;=65,CODE(MID(TRIM(UPPER(D110)),10,1))&lt;=90,CODE(MID(TRIM(UPPER(D110)),6,1))&gt;=48,CODE(MID(TRIM(UPPER(D110)),6,1))&lt;=57,CODE(MID(TRIM(UPPER(D110)),7,1))&gt;=48,CODE(MID(TRIM(UPPER(D110)),7,1))&lt;=57,CODE(MID(TRIM(UPPER(D110)),8,1))&gt;=48,CODE(MID(TRIM(UPPER(D110)),8,1))&lt;=57,CODE(MID(TRIM(UPPER(D110)),9,1))&gt;=48,CODE(MID(TRIM(UPPER(D110)),9,1))&lt;=57),"N","Y"))</f>
      </c>
      <c r="F110" s="7">
        <f>IF($C110="","",IF(LEN(D110)&lt;4,"",IF(UPPER(MID(D110,4,1))="P","Individual",IF(UPPER(MID(D110,4,1))="H","HUF",IF(UPPER(MID(D110,4,1))="C","Company",IF(UPPER(MID(D110,4,1))="F","Firm",IF(UPPER(MID(D110,4,1))="L","LLP",IF(UPPER(MID(D110,4,1))="T","Trust",IF(UPPER(MID(D110,4,1))="A","AOP","")))))))))</f>
      </c>
      <c r="G110" s="8"/>
      <c r="H110" s="7">
        <f>IF($C110="","",IF(R110&lt;&gt;"",R110,IF(G110="","",IF(E110="Y",SUMPRODUCT(('Rate Lookup'!$A$1:$A$37=G110)*'Rate Lookup'!$D$1:$D$37),IF(OR(F110="Individual",F110="HUF"),SUMPRODUCT(('Rate Lookup'!$A$1:$A$37=G110)*'Rate Lookup'!$B$1:$B$37),SUMPRODUCT(('Rate Lookup'!$A$1:$A$37=G110)*'Rate Lookup'!$C$1:$C$37)))))))</f>
      </c>
      <c r="I110" s="8"/>
      <c r="J110" s="8"/>
      <c r="K110" s="7">
        <f>IF($C110="","",IF(OR(P110="B",P110="D",P110="E",P110="N",P110="O",P110="P",P110="Q",P110="S",P110="Y",P110="Z"),0,ROUND(J110*H110/100,0)))</f>
      </c>
      <c r="L110" s="7">
        <f>IF($C110="","",0)</f>
      </c>
      <c r="M110" s="7">
        <f>IF($C110="","",0)</f>
      </c>
      <c r="N110" s="7">
        <f>IF($C110="","",IF(OR(K110=0,I110="",IFERROR(INDEX('Challan Master'!$D$4:$D$207,MATCH($B110,'Challan Master'!$S$4:$S$207,0)),"")="",IFERROR(INDEX('Challan Master'!$D$4:$D$207,MATCH($B110,'Challan Master'!$S$4:$S$207,0)),"")&lt;=0),0,IF(IFERROR(INDEX('Challan Master'!$D$4:$D$207,MATCH($B110,'Challan Master'!$S$4:$S$207,0)),"")&lt;=DATE(YEAR(I110),MONTH(I110)+1,7),0,ROUND(K110*0.015*((YEAR(IFERROR(INDEX('Challan Master'!$D$4:$D$207,MATCH($B110,'Challan Master'!$S$4:$S$207,0)),""))-YEAR(I110))*12+(MONTH(IFERROR(INDEX('Challan Master'!$D$4:$D$207,MATCH($B110,'Challan Master'!$S$4:$S$207,0)),""))-MONTH(I110))+1),0))))</f>
      </c>
      <c r="O110" s="7">
        <f>IF($C110="","",0)</f>
      </c>
      <c r="P110" s="8"/>
      <c r="Q110" s="8"/>
      <c r="R110" s="8"/>
      <c r="S110" s="8"/>
      <c r="T110" s="8"/>
      <c r="U110" s="7">
        <f>IF($B110="","",IFERROR(INDEX('Challan Master'!$AA$4:$AA$207,MATCH($B110,'Challan Master'!$S$4:$S$207,0)),""))</f>
      </c>
    </row>
    <row r="111" spans="1:22" x14ac:dyDescent="0.25">
      <c r="A111" s="7">
        <f>IF($C111="","",COUNTIF($C$4:$C111,"&lt;&gt;"))</f>
      </c>
      <c r="B111" s="8"/>
      <c r="C111" s="8"/>
      <c r="D111" s="8"/>
      <c r="E111" s="7">
        <f>IF($C111="","",IF(AND(LEN(TRIM(UPPER(D111)))=10,CODE(MID(TRIM(UPPER(D111)),1,1))&gt;=65,CODE(MID(TRIM(UPPER(D111)),1,1))&lt;=90,CODE(MID(TRIM(UPPER(D111)),2,1))&gt;=65,CODE(MID(TRIM(UPPER(D111)),2,1))&lt;=90,CODE(MID(TRIM(UPPER(D111)),3,1))&gt;=65,CODE(MID(TRIM(UPPER(D111)),3,1))&lt;=90,CODE(MID(TRIM(UPPER(D111)),4,1))&gt;=65,CODE(MID(TRIM(UPPER(D111)),4,1))&lt;=90,CODE(MID(TRIM(UPPER(D111)),5,1))&gt;=65,CODE(MID(TRIM(UPPER(D111)),5,1))&lt;=90,CODE(MID(TRIM(UPPER(D111)),10,1))&gt;=65,CODE(MID(TRIM(UPPER(D111)),10,1))&lt;=90,CODE(MID(TRIM(UPPER(D111)),6,1))&gt;=48,CODE(MID(TRIM(UPPER(D111)),6,1))&lt;=57,CODE(MID(TRIM(UPPER(D111)),7,1))&gt;=48,CODE(MID(TRIM(UPPER(D111)),7,1))&lt;=57,CODE(MID(TRIM(UPPER(D111)),8,1))&gt;=48,CODE(MID(TRIM(UPPER(D111)),8,1))&lt;=57,CODE(MID(TRIM(UPPER(D111)),9,1))&gt;=48,CODE(MID(TRIM(UPPER(D111)),9,1))&lt;=57),"N","Y"))</f>
      </c>
      <c r="F111" s="7">
        <f>IF($C111="","",IF(LEN(D111)&lt;4,"",IF(UPPER(MID(D111,4,1))="P","Individual",IF(UPPER(MID(D111,4,1))="H","HUF",IF(UPPER(MID(D111,4,1))="C","Company",IF(UPPER(MID(D111,4,1))="F","Firm",IF(UPPER(MID(D111,4,1))="L","LLP",IF(UPPER(MID(D111,4,1))="T","Trust",IF(UPPER(MID(D111,4,1))="A","AOP","")))))))))</f>
      </c>
      <c r="G111" s="8"/>
      <c r="H111" s="7">
        <f>IF($C111="","",IF(R111&lt;&gt;"",R111,IF(G111="","",IF(E111="Y",SUMPRODUCT(('Rate Lookup'!$A$1:$A$37=G111)*'Rate Lookup'!$D$1:$D$37),IF(OR(F111="Individual",F111="HUF"),SUMPRODUCT(('Rate Lookup'!$A$1:$A$37=G111)*'Rate Lookup'!$B$1:$B$37),SUMPRODUCT(('Rate Lookup'!$A$1:$A$37=G111)*'Rate Lookup'!$C$1:$C$37)))))))</f>
      </c>
      <c r="I111" s="8"/>
      <c r="J111" s="8"/>
      <c r="K111" s="7">
        <f>IF($C111="","",IF(OR(P111="B",P111="D",P111="E",P111="N",P111="O",P111="P",P111="Q",P111="S",P111="Y",P111="Z"),0,ROUND(J111*H111/100,0)))</f>
      </c>
      <c r="L111" s="7">
        <f>IF($C111="","",0)</f>
      </c>
      <c r="M111" s="7">
        <f>IF($C111="","",0)</f>
      </c>
      <c r="N111" s="7">
        <f>IF($C111="","",IF(OR(K111=0,I111="",IFERROR(INDEX('Challan Master'!$D$4:$D$207,MATCH($B111,'Challan Master'!$S$4:$S$207,0)),"")="",IFERROR(INDEX('Challan Master'!$D$4:$D$207,MATCH($B111,'Challan Master'!$S$4:$S$207,0)),"")&lt;=0),0,IF(IFERROR(INDEX('Challan Master'!$D$4:$D$207,MATCH($B111,'Challan Master'!$S$4:$S$207,0)),"")&lt;=DATE(YEAR(I111),MONTH(I111)+1,7),0,ROUND(K111*0.015*((YEAR(IFERROR(INDEX('Challan Master'!$D$4:$D$207,MATCH($B111,'Challan Master'!$S$4:$S$207,0)),""))-YEAR(I111))*12+(MONTH(IFERROR(INDEX('Challan Master'!$D$4:$D$207,MATCH($B111,'Challan Master'!$S$4:$S$207,0)),""))-MONTH(I111))+1),0))))</f>
      </c>
      <c r="O111" s="7">
        <f>IF($C111="","",0)</f>
      </c>
      <c r="P111" s="8"/>
      <c r="Q111" s="8"/>
      <c r="R111" s="8"/>
      <c r="S111" s="8"/>
      <c r="T111" s="8"/>
      <c r="U111" s="7">
        <f>IF($B111="","",IFERROR(INDEX('Challan Master'!$AA$4:$AA$207,MATCH($B111,'Challan Master'!$S$4:$S$207,0)),""))</f>
      </c>
    </row>
    <row r="112" spans="1:22" x14ac:dyDescent="0.25">
      <c r="A112" s="7">
        <f>IF($C112="","",COUNTIF($C$4:$C112,"&lt;&gt;"))</f>
      </c>
      <c r="B112" s="8"/>
      <c r="C112" s="8"/>
      <c r="D112" s="8"/>
      <c r="E112" s="7">
        <f>IF($C112="","",IF(AND(LEN(TRIM(UPPER(D112)))=10,CODE(MID(TRIM(UPPER(D112)),1,1))&gt;=65,CODE(MID(TRIM(UPPER(D112)),1,1))&lt;=90,CODE(MID(TRIM(UPPER(D112)),2,1))&gt;=65,CODE(MID(TRIM(UPPER(D112)),2,1))&lt;=90,CODE(MID(TRIM(UPPER(D112)),3,1))&gt;=65,CODE(MID(TRIM(UPPER(D112)),3,1))&lt;=90,CODE(MID(TRIM(UPPER(D112)),4,1))&gt;=65,CODE(MID(TRIM(UPPER(D112)),4,1))&lt;=90,CODE(MID(TRIM(UPPER(D112)),5,1))&gt;=65,CODE(MID(TRIM(UPPER(D112)),5,1))&lt;=90,CODE(MID(TRIM(UPPER(D112)),10,1))&gt;=65,CODE(MID(TRIM(UPPER(D112)),10,1))&lt;=90,CODE(MID(TRIM(UPPER(D112)),6,1))&gt;=48,CODE(MID(TRIM(UPPER(D112)),6,1))&lt;=57,CODE(MID(TRIM(UPPER(D112)),7,1))&gt;=48,CODE(MID(TRIM(UPPER(D112)),7,1))&lt;=57,CODE(MID(TRIM(UPPER(D112)),8,1))&gt;=48,CODE(MID(TRIM(UPPER(D112)),8,1))&lt;=57,CODE(MID(TRIM(UPPER(D112)),9,1))&gt;=48,CODE(MID(TRIM(UPPER(D112)),9,1))&lt;=57),"N","Y"))</f>
      </c>
      <c r="F112" s="7">
        <f>IF($C112="","",IF(LEN(D112)&lt;4,"",IF(UPPER(MID(D112,4,1))="P","Individual",IF(UPPER(MID(D112,4,1))="H","HUF",IF(UPPER(MID(D112,4,1))="C","Company",IF(UPPER(MID(D112,4,1))="F","Firm",IF(UPPER(MID(D112,4,1))="L","LLP",IF(UPPER(MID(D112,4,1))="T","Trust",IF(UPPER(MID(D112,4,1))="A","AOP","")))))))))</f>
      </c>
      <c r="G112" s="8"/>
      <c r="H112" s="7">
        <f>IF($C112="","",IF(R112&lt;&gt;"",R112,IF(G112="","",IF(E112="Y",SUMPRODUCT(('Rate Lookup'!$A$1:$A$37=G112)*'Rate Lookup'!$D$1:$D$37),IF(OR(F112="Individual",F112="HUF"),SUMPRODUCT(('Rate Lookup'!$A$1:$A$37=G112)*'Rate Lookup'!$B$1:$B$37),SUMPRODUCT(('Rate Lookup'!$A$1:$A$37=G112)*'Rate Lookup'!$C$1:$C$37)))))))</f>
      </c>
      <c r="I112" s="8"/>
      <c r="J112" s="8"/>
      <c r="K112" s="7">
        <f>IF($C112="","",IF(OR(P112="B",P112="D",P112="E",P112="N",P112="O",P112="P",P112="Q",P112="S",P112="Y",P112="Z"),0,ROUND(J112*H112/100,0)))</f>
      </c>
      <c r="L112" s="7">
        <f>IF($C112="","",0)</f>
      </c>
      <c r="M112" s="7">
        <f>IF($C112="","",0)</f>
      </c>
      <c r="N112" s="7">
        <f>IF($C112="","",IF(OR(K112=0,I112="",IFERROR(INDEX('Challan Master'!$D$4:$D$207,MATCH($B112,'Challan Master'!$S$4:$S$207,0)),"")="",IFERROR(INDEX('Challan Master'!$D$4:$D$207,MATCH($B112,'Challan Master'!$S$4:$S$207,0)),"")&lt;=0),0,IF(IFERROR(INDEX('Challan Master'!$D$4:$D$207,MATCH($B112,'Challan Master'!$S$4:$S$207,0)),"")&lt;=DATE(YEAR(I112),MONTH(I112)+1,7),0,ROUND(K112*0.015*((YEAR(IFERROR(INDEX('Challan Master'!$D$4:$D$207,MATCH($B112,'Challan Master'!$S$4:$S$207,0)),""))-YEAR(I112))*12+(MONTH(IFERROR(INDEX('Challan Master'!$D$4:$D$207,MATCH($B112,'Challan Master'!$S$4:$S$207,0)),""))-MONTH(I112))+1),0))))</f>
      </c>
      <c r="O112" s="7">
        <f>IF($C112="","",0)</f>
      </c>
      <c r="P112" s="8"/>
      <c r="Q112" s="8"/>
      <c r="R112" s="8"/>
      <c r="S112" s="8"/>
      <c r="T112" s="8"/>
      <c r="U112" s="7">
        <f>IF($B112="","",IFERROR(INDEX('Challan Master'!$AA$4:$AA$207,MATCH($B112,'Challan Master'!$S$4:$S$207,0)),""))</f>
      </c>
    </row>
    <row r="113" spans="1:22" x14ac:dyDescent="0.25">
      <c r="A113" s="7">
        <f>IF($C113="","",COUNTIF($C$4:$C113,"&lt;&gt;"))</f>
      </c>
      <c r="B113" s="8"/>
      <c r="C113" s="8"/>
      <c r="D113" s="8"/>
      <c r="E113" s="7">
        <f>IF($C113="","",IF(AND(LEN(TRIM(UPPER(D113)))=10,CODE(MID(TRIM(UPPER(D113)),1,1))&gt;=65,CODE(MID(TRIM(UPPER(D113)),1,1))&lt;=90,CODE(MID(TRIM(UPPER(D113)),2,1))&gt;=65,CODE(MID(TRIM(UPPER(D113)),2,1))&lt;=90,CODE(MID(TRIM(UPPER(D113)),3,1))&gt;=65,CODE(MID(TRIM(UPPER(D113)),3,1))&lt;=90,CODE(MID(TRIM(UPPER(D113)),4,1))&gt;=65,CODE(MID(TRIM(UPPER(D113)),4,1))&lt;=90,CODE(MID(TRIM(UPPER(D113)),5,1))&gt;=65,CODE(MID(TRIM(UPPER(D113)),5,1))&lt;=90,CODE(MID(TRIM(UPPER(D113)),10,1))&gt;=65,CODE(MID(TRIM(UPPER(D113)),10,1))&lt;=90,CODE(MID(TRIM(UPPER(D113)),6,1))&gt;=48,CODE(MID(TRIM(UPPER(D113)),6,1))&lt;=57,CODE(MID(TRIM(UPPER(D113)),7,1))&gt;=48,CODE(MID(TRIM(UPPER(D113)),7,1))&lt;=57,CODE(MID(TRIM(UPPER(D113)),8,1))&gt;=48,CODE(MID(TRIM(UPPER(D113)),8,1))&lt;=57,CODE(MID(TRIM(UPPER(D113)),9,1))&gt;=48,CODE(MID(TRIM(UPPER(D113)),9,1))&lt;=57),"N","Y"))</f>
      </c>
      <c r="F113" s="7">
        <f>IF($C113="","",IF(LEN(D113)&lt;4,"",IF(UPPER(MID(D113,4,1))="P","Individual",IF(UPPER(MID(D113,4,1))="H","HUF",IF(UPPER(MID(D113,4,1))="C","Company",IF(UPPER(MID(D113,4,1))="F","Firm",IF(UPPER(MID(D113,4,1))="L","LLP",IF(UPPER(MID(D113,4,1))="T","Trust",IF(UPPER(MID(D113,4,1))="A","AOP","")))))))))</f>
      </c>
      <c r="G113" s="8"/>
      <c r="H113" s="7">
        <f>IF($C113="","",IF(R113&lt;&gt;"",R113,IF(G113="","",IF(E113="Y",SUMPRODUCT(('Rate Lookup'!$A$1:$A$37=G113)*'Rate Lookup'!$D$1:$D$37),IF(OR(F113="Individual",F113="HUF"),SUMPRODUCT(('Rate Lookup'!$A$1:$A$37=G113)*'Rate Lookup'!$B$1:$B$37),SUMPRODUCT(('Rate Lookup'!$A$1:$A$37=G113)*'Rate Lookup'!$C$1:$C$37)))))))</f>
      </c>
      <c r="I113" s="8"/>
      <c r="J113" s="8"/>
      <c r="K113" s="7">
        <f>IF($C113="","",IF(OR(P113="B",P113="D",P113="E",P113="N",P113="O",P113="P",P113="Q",P113="S",P113="Y",P113="Z"),0,ROUND(J113*H113/100,0)))</f>
      </c>
      <c r="L113" s="7">
        <f>IF($C113="","",0)</f>
      </c>
      <c r="M113" s="7">
        <f>IF($C113="","",0)</f>
      </c>
      <c r="N113" s="7">
        <f>IF($C113="","",IF(OR(K113=0,I113="",IFERROR(INDEX('Challan Master'!$D$4:$D$207,MATCH($B113,'Challan Master'!$S$4:$S$207,0)),"")="",IFERROR(INDEX('Challan Master'!$D$4:$D$207,MATCH($B113,'Challan Master'!$S$4:$S$207,0)),"")&lt;=0),0,IF(IFERROR(INDEX('Challan Master'!$D$4:$D$207,MATCH($B113,'Challan Master'!$S$4:$S$207,0)),"")&lt;=DATE(YEAR(I113),MONTH(I113)+1,7),0,ROUND(K113*0.015*((YEAR(IFERROR(INDEX('Challan Master'!$D$4:$D$207,MATCH($B113,'Challan Master'!$S$4:$S$207,0)),""))-YEAR(I113))*12+(MONTH(IFERROR(INDEX('Challan Master'!$D$4:$D$207,MATCH($B113,'Challan Master'!$S$4:$S$207,0)),""))-MONTH(I113))+1),0))))</f>
      </c>
      <c r="O113" s="7">
        <f>IF($C113="","",0)</f>
      </c>
      <c r="P113" s="8"/>
      <c r="Q113" s="8"/>
      <c r="R113" s="8"/>
      <c r="S113" s="8"/>
      <c r="T113" s="8"/>
      <c r="U113" s="7">
        <f>IF($B113="","",IFERROR(INDEX('Challan Master'!$AA$4:$AA$207,MATCH($B113,'Challan Master'!$S$4:$S$207,0)),""))</f>
      </c>
    </row>
    <row r="114" spans="1:22" x14ac:dyDescent="0.25">
      <c r="A114" s="7">
        <f>IF($C114="","",COUNTIF($C$4:$C114,"&lt;&gt;"))</f>
      </c>
      <c r="B114" s="8"/>
      <c r="C114" s="8"/>
      <c r="D114" s="8"/>
      <c r="E114" s="7">
        <f>IF($C114="","",IF(AND(LEN(TRIM(UPPER(D114)))=10,CODE(MID(TRIM(UPPER(D114)),1,1))&gt;=65,CODE(MID(TRIM(UPPER(D114)),1,1))&lt;=90,CODE(MID(TRIM(UPPER(D114)),2,1))&gt;=65,CODE(MID(TRIM(UPPER(D114)),2,1))&lt;=90,CODE(MID(TRIM(UPPER(D114)),3,1))&gt;=65,CODE(MID(TRIM(UPPER(D114)),3,1))&lt;=90,CODE(MID(TRIM(UPPER(D114)),4,1))&gt;=65,CODE(MID(TRIM(UPPER(D114)),4,1))&lt;=90,CODE(MID(TRIM(UPPER(D114)),5,1))&gt;=65,CODE(MID(TRIM(UPPER(D114)),5,1))&lt;=90,CODE(MID(TRIM(UPPER(D114)),10,1))&gt;=65,CODE(MID(TRIM(UPPER(D114)),10,1))&lt;=90,CODE(MID(TRIM(UPPER(D114)),6,1))&gt;=48,CODE(MID(TRIM(UPPER(D114)),6,1))&lt;=57,CODE(MID(TRIM(UPPER(D114)),7,1))&gt;=48,CODE(MID(TRIM(UPPER(D114)),7,1))&lt;=57,CODE(MID(TRIM(UPPER(D114)),8,1))&gt;=48,CODE(MID(TRIM(UPPER(D114)),8,1))&lt;=57,CODE(MID(TRIM(UPPER(D114)),9,1))&gt;=48,CODE(MID(TRIM(UPPER(D114)),9,1))&lt;=57),"N","Y"))</f>
      </c>
      <c r="F114" s="7">
        <f>IF($C114="","",IF(LEN(D114)&lt;4,"",IF(UPPER(MID(D114,4,1))="P","Individual",IF(UPPER(MID(D114,4,1))="H","HUF",IF(UPPER(MID(D114,4,1))="C","Company",IF(UPPER(MID(D114,4,1))="F","Firm",IF(UPPER(MID(D114,4,1))="L","LLP",IF(UPPER(MID(D114,4,1))="T","Trust",IF(UPPER(MID(D114,4,1))="A","AOP","")))))))))</f>
      </c>
      <c r="G114" s="8"/>
      <c r="H114" s="7">
        <f>IF($C114="","",IF(R114&lt;&gt;"",R114,IF(G114="","",IF(E114="Y",SUMPRODUCT(('Rate Lookup'!$A$1:$A$37=G114)*'Rate Lookup'!$D$1:$D$37),IF(OR(F114="Individual",F114="HUF"),SUMPRODUCT(('Rate Lookup'!$A$1:$A$37=G114)*'Rate Lookup'!$B$1:$B$37),SUMPRODUCT(('Rate Lookup'!$A$1:$A$37=G114)*'Rate Lookup'!$C$1:$C$37)))))))</f>
      </c>
      <c r="I114" s="8"/>
      <c r="J114" s="8"/>
      <c r="K114" s="7">
        <f>IF($C114="","",IF(OR(P114="B",P114="D",P114="E",P114="N",P114="O",P114="P",P114="Q",P114="S",P114="Y",P114="Z"),0,ROUND(J114*H114/100,0)))</f>
      </c>
      <c r="L114" s="7">
        <f>IF($C114="","",0)</f>
      </c>
      <c r="M114" s="7">
        <f>IF($C114="","",0)</f>
      </c>
      <c r="N114" s="7">
        <f>IF($C114="","",IF(OR(K114=0,I114="",IFERROR(INDEX('Challan Master'!$D$4:$D$207,MATCH($B114,'Challan Master'!$S$4:$S$207,0)),"")="",IFERROR(INDEX('Challan Master'!$D$4:$D$207,MATCH($B114,'Challan Master'!$S$4:$S$207,0)),"")&lt;=0),0,IF(IFERROR(INDEX('Challan Master'!$D$4:$D$207,MATCH($B114,'Challan Master'!$S$4:$S$207,0)),"")&lt;=DATE(YEAR(I114),MONTH(I114)+1,7),0,ROUND(K114*0.015*((YEAR(IFERROR(INDEX('Challan Master'!$D$4:$D$207,MATCH($B114,'Challan Master'!$S$4:$S$207,0)),""))-YEAR(I114))*12+(MONTH(IFERROR(INDEX('Challan Master'!$D$4:$D$207,MATCH($B114,'Challan Master'!$S$4:$S$207,0)),""))-MONTH(I114))+1),0))))</f>
      </c>
      <c r="O114" s="7">
        <f>IF($C114="","",0)</f>
      </c>
      <c r="P114" s="8"/>
      <c r="Q114" s="8"/>
      <c r="R114" s="8"/>
      <c r="S114" s="8"/>
      <c r="T114" s="8"/>
      <c r="U114" s="7">
        <f>IF($B114="","",IFERROR(INDEX('Challan Master'!$AA$4:$AA$207,MATCH($B114,'Challan Master'!$S$4:$S$207,0)),""))</f>
      </c>
    </row>
    <row r="115" spans="1:22" x14ac:dyDescent="0.25">
      <c r="A115" s="7">
        <f>IF($C115="","",COUNTIF($C$4:$C115,"&lt;&gt;"))</f>
      </c>
      <c r="B115" s="8"/>
      <c r="C115" s="8"/>
      <c r="D115" s="8"/>
      <c r="E115" s="7">
        <f>IF($C115="","",IF(AND(LEN(TRIM(UPPER(D115)))=10,CODE(MID(TRIM(UPPER(D115)),1,1))&gt;=65,CODE(MID(TRIM(UPPER(D115)),1,1))&lt;=90,CODE(MID(TRIM(UPPER(D115)),2,1))&gt;=65,CODE(MID(TRIM(UPPER(D115)),2,1))&lt;=90,CODE(MID(TRIM(UPPER(D115)),3,1))&gt;=65,CODE(MID(TRIM(UPPER(D115)),3,1))&lt;=90,CODE(MID(TRIM(UPPER(D115)),4,1))&gt;=65,CODE(MID(TRIM(UPPER(D115)),4,1))&lt;=90,CODE(MID(TRIM(UPPER(D115)),5,1))&gt;=65,CODE(MID(TRIM(UPPER(D115)),5,1))&lt;=90,CODE(MID(TRIM(UPPER(D115)),10,1))&gt;=65,CODE(MID(TRIM(UPPER(D115)),10,1))&lt;=90,CODE(MID(TRIM(UPPER(D115)),6,1))&gt;=48,CODE(MID(TRIM(UPPER(D115)),6,1))&lt;=57,CODE(MID(TRIM(UPPER(D115)),7,1))&gt;=48,CODE(MID(TRIM(UPPER(D115)),7,1))&lt;=57,CODE(MID(TRIM(UPPER(D115)),8,1))&gt;=48,CODE(MID(TRIM(UPPER(D115)),8,1))&lt;=57,CODE(MID(TRIM(UPPER(D115)),9,1))&gt;=48,CODE(MID(TRIM(UPPER(D115)),9,1))&lt;=57),"N","Y"))</f>
      </c>
      <c r="F115" s="7">
        <f>IF($C115="","",IF(LEN(D115)&lt;4,"",IF(UPPER(MID(D115,4,1))="P","Individual",IF(UPPER(MID(D115,4,1))="H","HUF",IF(UPPER(MID(D115,4,1))="C","Company",IF(UPPER(MID(D115,4,1))="F","Firm",IF(UPPER(MID(D115,4,1))="L","LLP",IF(UPPER(MID(D115,4,1))="T","Trust",IF(UPPER(MID(D115,4,1))="A","AOP","")))))))))</f>
      </c>
      <c r="G115" s="8"/>
      <c r="H115" s="7">
        <f>IF($C115="","",IF(R115&lt;&gt;"",R115,IF(G115="","",IF(E115="Y",SUMPRODUCT(('Rate Lookup'!$A$1:$A$37=G115)*'Rate Lookup'!$D$1:$D$37),IF(OR(F115="Individual",F115="HUF"),SUMPRODUCT(('Rate Lookup'!$A$1:$A$37=G115)*'Rate Lookup'!$B$1:$B$37),SUMPRODUCT(('Rate Lookup'!$A$1:$A$37=G115)*'Rate Lookup'!$C$1:$C$37)))))))</f>
      </c>
      <c r="I115" s="8"/>
      <c r="J115" s="8"/>
      <c r="K115" s="7">
        <f>IF($C115="","",IF(OR(P115="B",P115="D",P115="E",P115="N",P115="O",P115="P",P115="Q",P115="S",P115="Y",P115="Z"),0,ROUND(J115*H115/100,0)))</f>
      </c>
      <c r="L115" s="7">
        <f>IF($C115="","",0)</f>
      </c>
      <c r="M115" s="7">
        <f>IF($C115="","",0)</f>
      </c>
      <c r="N115" s="7">
        <f>IF($C115="","",IF(OR(K115=0,I115="",IFERROR(INDEX('Challan Master'!$D$4:$D$207,MATCH($B115,'Challan Master'!$S$4:$S$207,0)),"")="",IFERROR(INDEX('Challan Master'!$D$4:$D$207,MATCH($B115,'Challan Master'!$S$4:$S$207,0)),"")&lt;=0),0,IF(IFERROR(INDEX('Challan Master'!$D$4:$D$207,MATCH($B115,'Challan Master'!$S$4:$S$207,0)),"")&lt;=DATE(YEAR(I115),MONTH(I115)+1,7),0,ROUND(K115*0.015*((YEAR(IFERROR(INDEX('Challan Master'!$D$4:$D$207,MATCH($B115,'Challan Master'!$S$4:$S$207,0)),""))-YEAR(I115))*12+(MONTH(IFERROR(INDEX('Challan Master'!$D$4:$D$207,MATCH($B115,'Challan Master'!$S$4:$S$207,0)),""))-MONTH(I115))+1),0))))</f>
      </c>
      <c r="O115" s="7">
        <f>IF($C115="","",0)</f>
      </c>
      <c r="P115" s="8"/>
      <c r="Q115" s="8"/>
      <c r="R115" s="8"/>
      <c r="S115" s="8"/>
      <c r="T115" s="8"/>
      <c r="U115" s="7">
        <f>IF($B115="","",IFERROR(INDEX('Challan Master'!$AA$4:$AA$207,MATCH($B115,'Challan Master'!$S$4:$S$207,0)),""))</f>
      </c>
    </row>
    <row r="116" spans="1:22" x14ac:dyDescent="0.25">
      <c r="A116" s="7">
        <f>IF($C116="","",COUNTIF($C$4:$C116,"&lt;&gt;"))</f>
      </c>
      <c r="B116" s="8"/>
      <c r="C116" s="8"/>
      <c r="D116" s="8"/>
      <c r="E116" s="7">
        <f>IF($C116="","",IF(AND(LEN(TRIM(UPPER(D116)))=10,CODE(MID(TRIM(UPPER(D116)),1,1))&gt;=65,CODE(MID(TRIM(UPPER(D116)),1,1))&lt;=90,CODE(MID(TRIM(UPPER(D116)),2,1))&gt;=65,CODE(MID(TRIM(UPPER(D116)),2,1))&lt;=90,CODE(MID(TRIM(UPPER(D116)),3,1))&gt;=65,CODE(MID(TRIM(UPPER(D116)),3,1))&lt;=90,CODE(MID(TRIM(UPPER(D116)),4,1))&gt;=65,CODE(MID(TRIM(UPPER(D116)),4,1))&lt;=90,CODE(MID(TRIM(UPPER(D116)),5,1))&gt;=65,CODE(MID(TRIM(UPPER(D116)),5,1))&lt;=90,CODE(MID(TRIM(UPPER(D116)),10,1))&gt;=65,CODE(MID(TRIM(UPPER(D116)),10,1))&lt;=90,CODE(MID(TRIM(UPPER(D116)),6,1))&gt;=48,CODE(MID(TRIM(UPPER(D116)),6,1))&lt;=57,CODE(MID(TRIM(UPPER(D116)),7,1))&gt;=48,CODE(MID(TRIM(UPPER(D116)),7,1))&lt;=57,CODE(MID(TRIM(UPPER(D116)),8,1))&gt;=48,CODE(MID(TRIM(UPPER(D116)),8,1))&lt;=57,CODE(MID(TRIM(UPPER(D116)),9,1))&gt;=48,CODE(MID(TRIM(UPPER(D116)),9,1))&lt;=57),"N","Y"))</f>
      </c>
      <c r="F116" s="7">
        <f>IF($C116="","",IF(LEN(D116)&lt;4,"",IF(UPPER(MID(D116,4,1))="P","Individual",IF(UPPER(MID(D116,4,1))="H","HUF",IF(UPPER(MID(D116,4,1))="C","Company",IF(UPPER(MID(D116,4,1))="F","Firm",IF(UPPER(MID(D116,4,1))="L","LLP",IF(UPPER(MID(D116,4,1))="T","Trust",IF(UPPER(MID(D116,4,1))="A","AOP","")))))))))</f>
      </c>
      <c r="G116" s="8"/>
      <c r="H116" s="7">
        <f>IF($C116="","",IF(R116&lt;&gt;"",R116,IF(G116="","",IF(E116="Y",SUMPRODUCT(('Rate Lookup'!$A$1:$A$37=G116)*'Rate Lookup'!$D$1:$D$37),IF(OR(F116="Individual",F116="HUF"),SUMPRODUCT(('Rate Lookup'!$A$1:$A$37=G116)*'Rate Lookup'!$B$1:$B$37),SUMPRODUCT(('Rate Lookup'!$A$1:$A$37=G116)*'Rate Lookup'!$C$1:$C$37)))))))</f>
      </c>
      <c r="I116" s="8"/>
      <c r="J116" s="8"/>
      <c r="K116" s="7">
        <f>IF($C116="","",IF(OR(P116="B",P116="D",P116="E",P116="N",P116="O",P116="P",P116="Q",P116="S",P116="Y",P116="Z"),0,ROUND(J116*H116/100,0)))</f>
      </c>
      <c r="L116" s="7">
        <f>IF($C116="","",0)</f>
      </c>
      <c r="M116" s="7">
        <f>IF($C116="","",0)</f>
      </c>
      <c r="N116" s="7">
        <f>IF($C116="","",IF(OR(K116=0,I116="",IFERROR(INDEX('Challan Master'!$D$4:$D$207,MATCH($B116,'Challan Master'!$S$4:$S$207,0)),"")="",IFERROR(INDEX('Challan Master'!$D$4:$D$207,MATCH($B116,'Challan Master'!$S$4:$S$207,0)),"")&lt;=0),0,IF(IFERROR(INDEX('Challan Master'!$D$4:$D$207,MATCH($B116,'Challan Master'!$S$4:$S$207,0)),"")&lt;=DATE(YEAR(I116),MONTH(I116)+1,7),0,ROUND(K116*0.015*((YEAR(IFERROR(INDEX('Challan Master'!$D$4:$D$207,MATCH($B116,'Challan Master'!$S$4:$S$207,0)),""))-YEAR(I116))*12+(MONTH(IFERROR(INDEX('Challan Master'!$D$4:$D$207,MATCH($B116,'Challan Master'!$S$4:$S$207,0)),""))-MONTH(I116))+1),0))))</f>
      </c>
      <c r="O116" s="7">
        <f>IF($C116="","",0)</f>
      </c>
      <c r="P116" s="8"/>
      <c r="Q116" s="8"/>
      <c r="R116" s="8"/>
      <c r="S116" s="8"/>
      <c r="T116" s="8"/>
      <c r="U116" s="7">
        <f>IF($B116="","",IFERROR(INDEX('Challan Master'!$AA$4:$AA$207,MATCH($B116,'Challan Master'!$S$4:$S$207,0)),""))</f>
      </c>
    </row>
    <row r="117" spans="1:22" x14ac:dyDescent="0.25">
      <c r="A117" s="7">
        <f>IF($C117="","",COUNTIF($C$4:$C117,"&lt;&gt;"))</f>
      </c>
      <c r="B117" s="8"/>
      <c r="C117" s="8"/>
      <c r="D117" s="8"/>
      <c r="E117" s="7">
        <f>IF($C117="","",IF(AND(LEN(TRIM(UPPER(D117)))=10,CODE(MID(TRIM(UPPER(D117)),1,1))&gt;=65,CODE(MID(TRIM(UPPER(D117)),1,1))&lt;=90,CODE(MID(TRIM(UPPER(D117)),2,1))&gt;=65,CODE(MID(TRIM(UPPER(D117)),2,1))&lt;=90,CODE(MID(TRIM(UPPER(D117)),3,1))&gt;=65,CODE(MID(TRIM(UPPER(D117)),3,1))&lt;=90,CODE(MID(TRIM(UPPER(D117)),4,1))&gt;=65,CODE(MID(TRIM(UPPER(D117)),4,1))&lt;=90,CODE(MID(TRIM(UPPER(D117)),5,1))&gt;=65,CODE(MID(TRIM(UPPER(D117)),5,1))&lt;=90,CODE(MID(TRIM(UPPER(D117)),10,1))&gt;=65,CODE(MID(TRIM(UPPER(D117)),10,1))&lt;=90,CODE(MID(TRIM(UPPER(D117)),6,1))&gt;=48,CODE(MID(TRIM(UPPER(D117)),6,1))&lt;=57,CODE(MID(TRIM(UPPER(D117)),7,1))&gt;=48,CODE(MID(TRIM(UPPER(D117)),7,1))&lt;=57,CODE(MID(TRIM(UPPER(D117)),8,1))&gt;=48,CODE(MID(TRIM(UPPER(D117)),8,1))&lt;=57,CODE(MID(TRIM(UPPER(D117)),9,1))&gt;=48,CODE(MID(TRIM(UPPER(D117)),9,1))&lt;=57),"N","Y"))</f>
      </c>
      <c r="F117" s="7">
        <f>IF($C117="","",IF(LEN(D117)&lt;4,"",IF(UPPER(MID(D117,4,1))="P","Individual",IF(UPPER(MID(D117,4,1))="H","HUF",IF(UPPER(MID(D117,4,1))="C","Company",IF(UPPER(MID(D117,4,1))="F","Firm",IF(UPPER(MID(D117,4,1))="L","LLP",IF(UPPER(MID(D117,4,1))="T","Trust",IF(UPPER(MID(D117,4,1))="A","AOP","")))))))))</f>
      </c>
      <c r="G117" s="8"/>
      <c r="H117" s="7">
        <f>IF($C117="","",IF(R117&lt;&gt;"",R117,IF(G117="","",IF(E117="Y",SUMPRODUCT(('Rate Lookup'!$A$1:$A$37=G117)*'Rate Lookup'!$D$1:$D$37),IF(OR(F117="Individual",F117="HUF"),SUMPRODUCT(('Rate Lookup'!$A$1:$A$37=G117)*'Rate Lookup'!$B$1:$B$37),SUMPRODUCT(('Rate Lookup'!$A$1:$A$37=G117)*'Rate Lookup'!$C$1:$C$37)))))))</f>
      </c>
      <c r="I117" s="8"/>
      <c r="J117" s="8"/>
      <c r="K117" s="7">
        <f>IF($C117="","",IF(OR(P117="B",P117="D",P117="E",P117="N",P117="O",P117="P",P117="Q",P117="S",P117="Y",P117="Z"),0,ROUND(J117*H117/100,0)))</f>
      </c>
      <c r="L117" s="7">
        <f>IF($C117="","",0)</f>
      </c>
      <c r="M117" s="7">
        <f>IF($C117="","",0)</f>
      </c>
      <c r="N117" s="7">
        <f>IF($C117="","",IF(OR(K117=0,I117="",IFERROR(INDEX('Challan Master'!$D$4:$D$207,MATCH($B117,'Challan Master'!$S$4:$S$207,0)),"")="",IFERROR(INDEX('Challan Master'!$D$4:$D$207,MATCH($B117,'Challan Master'!$S$4:$S$207,0)),"")&lt;=0),0,IF(IFERROR(INDEX('Challan Master'!$D$4:$D$207,MATCH($B117,'Challan Master'!$S$4:$S$207,0)),"")&lt;=DATE(YEAR(I117),MONTH(I117)+1,7),0,ROUND(K117*0.015*((YEAR(IFERROR(INDEX('Challan Master'!$D$4:$D$207,MATCH($B117,'Challan Master'!$S$4:$S$207,0)),""))-YEAR(I117))*12+(MONTH(IFERROR(INDEX('Challan Master'!$D$4:$D$207,MATCH($B117,'Challan Master'!$S$4:$S$207,0)),""))-MONTH(I117))+1),0))))</f>
      </c>
      <c r="O117" s="7">
        <f>IF($C117="","",0)</f>
      </c>
      <c r="P117" s="8"/>
      <c r="Q117" s="8"/>
      <c r="R117" s="8"/>
      <c r="S117" s="8"/>
      <c r="T117" s="8"/>
      <c r="U117" s="7">
        <f>IF($B117="","",IFERROR(INDEX('Challan Master'!$AA$4:$AA$207,MATCH($B117,'Challan Master'!$S$4:$S$207,0)),""))</f>
      </c>
    </row>
    <row r="118" spans="1:22" x14ac:dyDescent="0.25">
      <c r="A118" s="7">
        <f>IF($C118="","",COUNTIF($C$4:$C118,"&lt;&gt;"))</f>
      </c>
      <c r="B118" s="8"/>
      <c r="C118" s="8"/>
      <c r="D118" s="8"/>
      <c r="E118" s="7">
        <f>IF($C118="","",IF(AND(LEN(TRIM(UPPER(D118)))=10,CODE(MID(TRIM(UPPER(D118)),1,1))&gt;=65,CODE(MID(TRIM(UPPER(D118)),1,1))&lt;=90,CODE(MID(TRIM(UPPER(D118)),2,1))&gt;=65,CODE(MID(TRIM(UPPER(D118)),2,1))&lt;=90,CODE(MID(TRIM(UPPER(D118)),3,1))&gt;=65,CODE(MID(TRIM(UPPER(D118)),3,1))&lt;=90,CODE(MID(TRIM(UPPER(D118)),4,1))&gt;=65,CODE(MID(TRIM(UPPER(D118)),4,1))&lt;=90,CODE(MID(TRIM(UPPER(D118)),5,1))&gt;=65,CODE(MID(TRIM(UPPER(D118)),5,1))&lt;=90,CODE(MID(TRIM(UPPER(D118)),10,1))&gt;=65,CODE(MID(TRIM(UPPER(D118)),10,1))&lt;=90,CODE(MID(TRIM(UPPER(D118)),6,1))&gt;=48,CODE(MID(TRIM(UPPER(D118)),6,1))&lt;=57,CODE(MID(TRIM(UPPER(D118)),7,1))&gt;=48,CODE(MID(TRIM(UPPER(D118)),7,1))&lt;=57,CODE(MID(TRIM(UPPER(D118)),8,1))&gt;=48,CODE(MID(TRIM(UPPER(D118)),8,1))&lt;=57,CODE(MID(TRIM(UPPER(D118)),9,1))&gt;=48,CODE(MID(TRIM(UPPER(D118)),9,1))&lt;=57),"N","Y"))</f>
      </c>
      <c r="F118" s="7">
        <f>IF($C118="","",IF(LEN(D118)&lt;4,"",IF(UPPER(MID(D118,4,1))="P","Individual",IF(UPPER(MID(D118,4,1))="H","HUF",IF(UPPER(MID(D118,4,1))="C","Company",IF(UPPER(MID(D118,4,1))="F","Firm",IF(UPPER(MID(D118,4,1))="L","LLP",IF(UPPER(MID(D118,4,1))="T","Trust",IF(UPPER(MID(D118,4,1))="A","AOP","")))))))))</f>
      </c>
      <c r="G118" s="8"/>
      <c r="H118" s="7">
        <f>IF($C118="","",IF(R118&lt;&gt;"",R118,IF(G118="","",IF(E118="Y",SUMPRODUCT(('Rate Lookup'!$A$1:$A$37=G118)*'Rate Lookup'!$D$1:$D$37),IF(OR(F118="Individual",F118="HUF"),SUMPRODUCT(('Rate Lookup'!$A$1:$A$37=G118)*'Rate Lookup'!$B$1:$B$37),SUMPRODUCT(('Rate Lookup'!$A$1:$A$37=G118)*'Rate Lookup'!$C$1:$C$37)))))))</f>
      </c>
      <c r="I118" s="8"/>
      <c r="J118" s="8"/>
      <c r="K118" s="7">
        <f>IF($C118="","",IF(OR(P118="B",P118="D",P118="E",P118="N",P118="O",P118="P",P118="Q",P118="S",P118="Y",P118="Z"),0,ROUND(J118*H118/100,0)))</f>
      </c>
      <c r="L118" s="7">
        <f>IF($C118="","",0)</f>
      </c>
      <c r="M118" s="7">
        <f>IF($C118="","",0)</f>
      </c>
      <c r="N118" s="7">
        <f>IF($C118="","",IF(OR(K118=0,I118="",IFERROR(INDEX('Challan Master'!$D$4:$D$207,MATCH($B118,'Challan Master'!$S$4:$S$207,0)),"")="",IFERROR(INDEX('Challan Master'!$D$4:$D$207,MATCH($B118,'Challan Master'!$S$4:$S$207,0)),"")&lt;=0),0,IF(IFERROR(INDEX('Challan Master'!$D$4:$D$207,MATCH($B118,'Challan Master'!$S$4:$S$207,0)),"")&lt;=DATE(YEAR(I118),MONTH(I118)+1,7),0,ROUND(K118*0.015*((YEAR(IFERROR(INDEX('Challan Master'!$D$4:$D$207,MATCH($B118,'Challan Master'!$S$4:$S$207,0)),""))-YEAR(I118))*12+(MONTH(IFERROR(INDEX('Challan Master'!$D$4:$D$207,MATCH($B118,'Challan Master'!$S$4:$S$207,0)),""))-MONTH(I118))+1),0))))</f>
      </c>
      <c r="O118" s="7">
        <f>IF($C118="","",0)</f>
      </c>
      <c r="P118" s="8"/>
      <c r="Q118" s="8"/>
      <c r="R118" s="8"/>
      <c r="S118" s="8"/>
      <c r="T118" s="8"/>
      <c r="U118" s="7">
        <f>IF($B118="","",IFERROR(INDEX('Challan Master'!$AA$4:$AA$207,MATCH($B118,'Challan Master'!$S$4:$S$207,0)),""))</f>
      </c>
    </row>
    <row r="119" spans="1:22" x14ac:dyDescent="0.25">
      <c r="A119" s="7">
        <f>IF($C119="","",COUNTIF($C$4:$C119,"&lt;&gt;"))</f>
      </c>
      <c r="B119" s="8"/>
      <c r="C119" s="8"/>
      <c r="D119" s="8"/>
      <c r="E119" s="7">
        <f>IF($C119="","",IF(AND(LEN(TRIM(UPPER(D119)))=10,CODE(MID(TRIM(UPPER(D119)),1,1))&gt;=65,CODE(MID(TRIM(UPPER(D119)),1,1))&lt;=90,CODE(MID(TRIM(UPPER(D119)),2,1))&gt;=65,CODE(MID(TRIM(UPPER(D119)),2,1))&lt;=90,CODE(MID(TRIM(UPPER(D119)),3,1))&gt;=65,CODE(MID(TRIM(UPPER(D119)),3,1))&lt;=90,CODE(MID(TRIM(UPPER(D119)),4,1))&gt;=65,CODE(MID(TRIM(UPPER(D119)),4,1))&lt;=90,CODE(MID(TRIM(UPPER(D119)),5,1))&gt;=65,CODE(MID(TRIM(UPPER(D119)),5,1))&lt;=90,CODE(MID(TRIM(UPPER(D119)),10,1))&gt;=65,CODE(MID(TRIM(UPPER(D119)),10,1))&lt;=90,CODE(MID(TRIM(UPPER(D119)),6,1))&gt;=48,CODE(MID(TRIM(UPPER(D119)),6,1))&lt;=57,CODE(MID(TRIM(UPPER(D119)),7,1))&gt;=48,CODE(MID(TRIM(UPPER(D119)),7,1))&lt;=57,CODE(MID(TRIM(UPPER(D119)),8,1))&gt;=48,CODE(MID(TRIM(UPPER(D119)),8,1))&lt;=57,CODE(MID(TRIM(UPPER(D119)),9,1))&gt;=48,CODE(MID(TRIM(UPPER(D119)),9,1))&lt;=57),"N","Y"))</f>
      </c>
      <c r="F119" s="7">
        <f>IF($C119="","",IF(LEN(D119)&lt;4,"",IF(UPPER(MID(D119,4,1))="P","Individual",IF(UPPER(MID(D119,4,1))="H","HUF",IF(UPPER(MID(D119,4,1))="C","Company",IF(UPPER(MID(D119,4,1))="F","Firm",IF(UPPER(MID(D119,4,1))="L","LLP",IF(UPPER(MID(D119,4,1))="T","Trust",IF(UPPER(MID(D119,4,1))="A","AOP","")))))))))</f>
      </c>
      <c r="G119" s="8"/>
      <c r="H119" s="7">
        <f>IF($C119="","",IF(R119&lt;&gt;"",R119,IF(G119="","",IF(E119="Y",SUMPRODUCT(('Rate Lookup'!$A$1:$A$37=G119)*'Rate Lookup'!$D$1:$D$37),IF(OR(F119="Individual",F119="HUF"),SUMPRODUCT(('Rate Lookup'!$A$1:$A$37=G119)*'Rate Lookup'!$B$1:$B$37),SUMPRODUCT(('Rate Lookup'!$A$1:$A$37=G119)*'Rate Lookup'!$C$1:$C$37)))))))</f>
      </c>
      <c r="I119" s="8"/>
      <c r="J119" s="8"/>
      <c r="K119" s="7">
        <f>IF($C119="","",IF(OR(P119="B",P119="D",P119="E",P119="N",P119="O",P119="P",P119="Q",P119="S",P119="Y",P119="Z"),0,ROUND(J119*H119/100,0)))</f>
      </c>
      <c r="L119" s="7">
        <f>IF($C119="","",0)</f>
      </c>
      <c r="M119" s="7">
        <f>IF($C119="","",0)</f>
      </c>
      <c r="N119" s="7">
        <f>IF($C119="","",IF(OR(K119=0,I119="",IFERROR(INDEX('Challan Master'!$D$4:$D$207,MATCH($B119,'Challan Master'!$S$4:$S$207,0)),"")="",IFERROR(INDEX('Challan Master'!$D$4:$D$207,MATCH($B119,'Challan Master'!$S$4:$S$207,0)),"")&lt;=0),0,IF(IFERROR(INDEX('Challan Master'!$D$4:$D$207,MATCH($B119,'Challan Master'!$S$4:$S$207,0)),"")&lt;=DATE(YEAR(I119),MONTH(I119)+1,7),0,ROUND(K119*0.015*((YEAR(IFERROR(INDEX('Challan Master'!$D$4:$D$207,MATCH($B119,'Challan Master'!$S$4:$S$207,0)),""))-YEAR(I119))*12+(MONTH(IFERROR(INDEX('Challan Master'!$D$4:$D$207,MATCH($B119,'Challan Master'!$S$4:$S$207,0)),""))-MONTH(I119))+1),0))))</f>
      </c>
      <c r="O119" s="7">
        <f>IF($C119="","",0)</f>
      </c>
      <c r="P119" s="8"/>
      <c r="Q119" s="8"/>
      <c r="R119" s="8"/>
      <c r="S119" s="8"/>
      <c r="T119" s="8"/>
      <c r="U119" s="7">
        <f>IF($B119="","",IFERROR(INDEX('Challan Master'!$AA$4:$AA$207,MATCH($B119,'Challan Master'!$S$4:$S$207,0)),""))</f>
      </c>
    </row>
    <row r="120" spans="1:22" x14ac:dyDescent="0.25">
      <c r="A120" s="7">
        <f>IF($C120="","",COUNTIF($C$4:$C120,"&lt;&gt;"))</f>
      </c>
      <c r="B120" s="8"/>
      <c r="C120" s="8"/>
      <c r="D120" s="8"/>
      <c r="E120" s="7">
        <f>IF($C120="","",IF(AND(LEN(TRIM(UPPER(D120)))=10,CODE(MID(TRIM(UPPER(D120)),1,1))&gt;=65,CODE(MID(TRIM(UPPER(D120)),1,1))&lt;=90,CODE(MID(TRIM(UPPER(D120)),2,1))&gt;=65,CODE(MID(TRIM(UPPER(D120)),2,1))&lt;=90,CODE(MID(TRIM(UPPER(D120)),3,1))&gt;=65,CODE(MID(TRIM(UPPER(D120)),3,1))&lt;=90,CODE(MID(TRIM(UPPER(D120)),4,1))&gt;=65,CODE(MID(TRIM(UPPER(D120)),4,1))&lt;=90,CODE(MID(TRIM(UPPER(D120)),5,1))&gt;=65,CODE(MID(TRIM(UPPER(D120)),5,1))&lt;=90,CODE(MID(TRIM(UPPER(D120)),10,1))&gt;=65,CODE(MID(TRIM(UPPER(D120)),10,1))&lt;=90,CODE(MID(TRIM(UPPER(D120)),6,1))&gt;=48,CODE(MID(TRIM(UPPER(D120)),6,1))&lt;=57,CODE(MID(TRIM(UPPER(D120)),7,1))&gt;=48,CODE(MID(TRIM(UPPER(D120)),7,1))&lt;=57,CODE(MID(TRIM(UPPER(D120)),8,1))&gt;=48,CODE(MID(TRIM(UPPER(D120)),8,1))&lt;=57,CODE(MID(TRIM(UPPER(D120)),9,1))&gt;=48,CODE(MID(TRIM(UPPER(D120)),9,1))&lt;=57),"N","Y"))</f>
      </c>
      <c r="F120" s="7">
        <f>IF($C120="","",IF(LEN(D120)&lt;4,"",IF(UPPER(MID(D120,4,1))="P","Individual",IF(UPPER(MID(D120,4,1))="H","HUF",IF(UPPER(MID(D120,4,1))="C","Company",IF(UPPER(MID(D120,4,1))="F","Firm",IF(UPPER(MID(D120,4,1))="L","LLP",IF(UPPER(MID(D120,4,1))="T","Trust",IF(UPPER(MID(D120,4,1))="A","AOP","")))))))))</f>
      </c>
      <c r="G120" s="8"/>
      <c r="H120" s="7">
        <f>IF($C120="","",IF(R120&lt;&gt;"",R120,IF(G120="","",IF(E120="Y",SUMPRODUCT(('Rate Lookup'!$A$1:$A$37=G120)*'Rate Lookup'!$D$1:$D$37),IF(OR(F120="Individual",F120="HUF"),SUMPRODUCT(('Rate Lookup'!$A$1:$A$37=G120)*'Rate Lookup'!$B$1:$B$37),SUMPRODUCT(('Rate Lookup'!$A$1:$A$37=G120)*'Rate Lookup'!$C$1:$C$37)))))))</f>
      </c>
      <c r="I120" s="8"/>
      <c r="J120" s="8"/>
      <c r="K120" s="7">
        <f>IF($C120="","",IF(OR(P120="B",P120="D",P120="E",P120="N",P120="O",P120="P",P120="Q",P120="S",P120="Y",P120="Z"),0,ROUND(J120*H120/100,0)))</f>
      </c>
      <c r="L120" s="7">
        <f>IF($C120="","",0)</f>
      </c>
      <c r="M120" s="7">
        <f>IF($C120="","",0)</f>
      </c>
      <c r="N120" s="7">
        <f>IF($C120="","",IF(OR(K120=0,I120="",IFERROR(INDEX('Challan Master'!$D$4:$D$207,MATCH($B120,'Challan Master'!$S$4:$S$207,0)),"")="",IFERROR(INDEX('Challan Master'!$D$4:$D$207,MATCH($B120,'Challan Master'!$S$4:$S$207,0)),"")&lt;=0),0,IF(IFERROR(INDEX('Challan Master'!$D$4:$D$207,MATCH($B120,'Challan Master'!$S$4:$S$207,0)),"")&lt;=DATE(YEAR(I120),MONTH(I120)+1,7),0,ROUND(K120*0.015*((YEAR(IFERROR(INDEX('Challan Master'!$D$4:$D$207,MATCH($B120,'Challan Master'!$S$4:$S$207,0)),""))-YEAR(I120))*12+(MONTH(IFERROR(INDEX('Challan Master'!$D$4:$D$207,MATCH($B120,'Challan Master'!$S$4:$S$207,0)),""))-MONTH(I120))+1),0))))</f>
      </c>
      <c r="O120" s="7">
        <f>IF($C120="","",0)</f>
      </c>
      <c r="P120" s="8"/>
      <c r="Q120" s="8"/>
      <c r="R120" s="8"/>
      <c r="S120" s="8"/>
      <c r="T120" s="8"/>
      <c r="U120" s="7">
        <f>IF($B120="","",IFERROR(INDEX('Challan Master'!$AA$4:$AA$207,MATCH($B120,'Challan Master'!$S$4:$S$207,0)),""))</f>
      </c>
    </row>
    <row r="121" spans="1:22" x14ac:dyDescent="0.25">
      <c r="A121" s="7">
        <f>IF($C121="","",COUNTIF($C$4:$C121,"&lt;&gt;"))</f>
      </c>
      <c r="B121" s="8"/>
      <c r="C121" s="8"/>
      <c r="D121" s="8"/>
      <c r="E121" s="7">
        <f>IF($C121="","",IF(AND(LEN(TRIM(UPPER(D121)))=10,CODE(MID(TRIM(UPPER(D121)),1,1))&gt;=65,CODE(MID(TRIM(UPPER(D121)),1,1))&lt;=90,CODE(MID(TRIM(UPPER(D121)),2,1))&gt;=65,CODE(MID(TRIM(UPPER(D121)),2,1))&lt;=90,CODE(MID(TRIM(UPPER(D121)),3,1))&gt;=65,CODE(MID(TRIM(UPPER(D121)),3,1))&lt;=90,CODE(MID(TRIM(UPPER(D121)),4,1))&gt;=65,CODE(MID(TRIM(UPPER(D121)),4,1))&lt;=90,CODE(MID(TRIM(UPPER(D121)),5,1))&gt;=65,CODE(MID(TRIM(UPPER(D121)),5,1))&lt;=90,CODE(MID(TRIM(UPPER(D121)),10,1))&gt;=65,CODE(MID(TRIM(UPPER(D121)),10,1))&lt;=90,CODE(MID(TRIM(UPPER(D121)),6,1))&gt;=48,CODE(MID(TRIM(UPPER(D121)),6,1))&lt;=57,CODE(MID(TRIM(UPPER(D121)),7,1))&gt;=48,CODE(MID(TRIM(UPPER(D121)),7,1))&lt;=57,CODE(MID(TRIM(UPPER(D121)),8,1))&gt;=48,CODE(MID(TRIM(UPPER(D121)),8,1))&lt;=57,CODE(MID(TRIM(UPPER(D121)),9,1))&gt;=48,CODE(MID(TRIM(UPPER(D121)),9,1))&lt;=57),"N","Y"))</f>
      </c>
      <c r="F121" s="7">
        <f>IF($C121="","",IF(LEN(D121)&lt;4,"",IF(UPPER(MID(D121,4,1))="P","Individual",IF(UPPER(MID(D121,4,1))="H","HUF",IF(UPPER(MID(D121,4,1))="C","Company",IF(UPPER(MID(D121,4,1))="F","Firm",IF(UPPER(MID(D121,4,1))="L","LLP",IF(UPPER(MID(D121,4,1))="T","Trust",IF(UPPER(MID(D121,4,1))="A","AOP","")))))))))</f>
      </c>
      <c r="G121" s="8"/>
      <c r="H121" s="7">
        <f>IF($C121="","",IF(R121&lt;&gt;"",R121,IF(G121="","",IF(E121="Y",SUMPRODUCT(('Rate Lookup'!$A$1:$A$37=G121)*'Rate Lookup'!$D$1:$D$37),IF(OR(F121="Individual",F121="HUF"),SUMPRODUCT(('Rate Lookup'!$A$1:$A$37=G121)*'Rate Lookup'!$B$1:$B$37),SUMPRODUCT(('Rate Lookup'!$A$1:$A$37=G121)*'Rate Lookup'!$C$1:$C$37)))))))</f>
      </c>
      <c r="I121" s="8"/>
      <c r="J121" s="8"/>
      <c r="K121" s="7">
        <f>IF($C121="","",IF(OR(P121="B",P121="D",P121="E",P121="N",P121="O",P121="P",P121="Q",P121="S",P121="Y",P121="Z"),0,ROUND(J121*H121/100,0)))</f>
      </c>
      <c r="L121" s="7">
        <f>IF($C121="","",0)</f>
      </c>
      <c r="M121" s="7">
        <f>IF($C121="","",0)</f>
      </c>
      <c r="N121" s="7">
        <f>IF($C121="","",IF(OR(K121=0,I121="",IFERROR(INDEX('Challan Master'!$D$4:$D$207,MATCH($B121,'Challan Master'!$S$4:$S$207,0)),"")="",IFERROR(INDEX('Challan Master'!$D$4:$D$207,MATCH($B121,'Challan Master'!$S$4:$S$207,0)),"")&lt;=0),0,IF(IFERROR(INDEX('Challan Master'!$D$4:$D$207,MATCH($B121,'Challan Master'!$S$4:$S$207,0)),"")&lt;=DATE(YEAR(I121),MONTH(I121)+1,7),0,ROUND(K121*0.015*((YEAR(IFERROR(INDEX('Challan Master'!$D$4:$D$207,MATCH($B121,'Challan Master'!$S$4:$S$207,0)),""))-YEAR(I121))*12+(MONTH(IFERROR(INDEX('Challan Master'!$D$4:$D$207,MATCH($B121,'Challan Master'!$S$4:$S$207,0)),""))-MONTH(I121))+1),0))))</f>
      </c>
      <c r="O121" s="7">
        <f>IF($C121="","",0)</f>
      </c>
      <c r="P121" s="8"/>
      <c r="Q121" s="8"/>
      <c r="R121" s="8"/>
      <c r="S121" s="8"/>
      <c r="T121" s="8"/>
      <c r="U121" s="7">
        <f>IF($B121="","",IFERROR(INDEX('Challan Master'!$AA$4:$AA$207,MATCH($B121,'Challan Master'!$S$4:$S$207,0)),""))</f>
      </c>
    </row>
    <row r="122" spans="1:22" x14ac:dyDescent="0.25">
      <c r="A122" s="7">
        <f>IF($C122="","",COUNTIF($C$4:$C122,"&lt;&gt;"))</f>
      </c>
      <c r="B122" s="8"/>
      <c r="C122" s="8"/>
      <c r="D122" s="8"/>
      <c r="E122" s="7">
        <f>IF($C122="","",IF(AND(LEN(TRIM(UPPER(D122)))=10,CODE(MID(TRIM(UPPER(D122)),1,1))&gt;=65,CODE(MID(TRIM(UPPER(D122)),1,1))&lt;=90,CODE(MID(TRIM(UPPER(D122)),2,1))&gt;=65,CODE(MID(TRIM(UPPER(D122)),2,1))&lt;=90,CODE(MID(TRIM(UPPER(D122)),3,1))&gt;=65,CODE(MID(TRIM(UPPER(D122)),3,1))&lt;=90,CODE(MID(TRIM(UPPER(D122)),4,1))&gt;=65,CODE(MID(TRIM(UPPER(D122)),4,1))&lt;=90,CODE(MID(TRIM(UPPER(D122)),5,1))&gt;=65,CODE(MID(TRIM(UPPER(D122)),5,1))&lt;=90,CODE(MID(TRIM(UPPER(D122)),10,1))&gt;=65,CODE(MID(TRIM(UPPER(D122)),10,1))&lt;=90,CODE(MID(TRIM(UPPER(D122)),6,1))&gt;=48,CODE(MID(TRIM(UPPER(D122)),6,1))&lt;=57,CODE(MID(TRIM(UPPER(D122)),7,1))&gt;=48,CODE(MID(TRIM(UPPER(D122)),7,1))&lt;=57,CODE(MID(TRIM(UPPER(D122)),8,1))&gt;=48,CODE(MID(TRIM(UPPER(D122)),8,1))&lt;=57,CODE(MID(TRIM(UPPER(D122)),9,1))&gt;=48,CODE(MID(TRIM(UPPER(D122)),9,1))&lt;=57),"N","Y"))</f>
      </c>
      <c r="F122" s="7">
        <f>IF($C122="","",IF(LEN(D122)&lt;4,"",IF(UPPER(MID(D122,4,1))="P","Individual",IF(UPPER(MID(D122,4,1))="H","HUF",IF(UPPER(MID(D122,4,1))="C","Company",IF(UPPER(MID(D122,4,1))="F","Firm",IF(UPPER(MID(D122,4,1))="L","LLP",IF(UPPER(MID(D122,4,1))="T","Trust",IF(UPPER(MID(D122,4,1))="A","AOP","")))))))))</f>
      </c>
      <c r="G122" s="8"/>
      <c r="H122" s="7">
        <f>IF($C122="","",IF(R122&lt;&gt;"",R122,IF(G122="","",IF(E122="Y",SUMPRODUCT(('Rate Lookup'!$A$1:$A$37=G122)*'Rate Lookup'!$D$1:$D$37),IF(OR(F122="Individual",F122="HUF"),SUMPRODUCT(('Rate Lookup'!$A$1:$A$37=G122)*'Rate Lookup'!$B$1:$B$37),SUMPRODUCT(('Rate Lookup'!$A$1:$A$37=G122)*'Rate Lookup'!$C$1:$C$37)))))))</f>
      </c>
      <c r="I122" s="8"/>
      <c r="J122" s="8"/>
      <c r="K122" s="7">
        <f>IF($C122="","",IF(OR(P122="B",P122="D",P122="E",P122="N",P122="O",P122="P",P122="Q",P122="S",P122="Y",P122="Z"),0,ROUND(J122*H122/100,0)))</f>
      </c>
      <c r="L122" s="7">
        <f>IF($C122="","",0)</f>
      </c>
      <c r="M122" s="7">
        <f>IF($C122="","",0)</f>
      </c>
      <c r="N122" s="7">
        <f>IF($C122="","",IF(OR(K122=0,I122="",IFERROR(INDEX('Challan Master'!$D$4:$D$207,MATCH($B122,'Challan Master'!$S$4:$S$207,0)),"")="",IFERROR(INDEX('Challan Master'!$D$4:$D$207,MATCH($B122,'Challan Master'!$S$4:$S$207,0)),"")&lt;=0),0,IF(IFERROR(INDEX('Challan Master'!$D$4:$D$207,MATCH($B122,'Challan Master'!$S$4:$S$207,0)),"")&lt;=DATE(YEAR(I122),MONTH(I122)+1,7),0,ROUND(K122*0.015*((YEAR(IFERROR(INDEX('Challan Master'!$D$4:$D$207,MATCH($B122,'Challan Master'!$S$4:$S$207,0)),""))-YEAR(I122))*12+(MONTH(IFERROR(INDEX('Challan Master'!$D$4:$D$207,MATCH($B122,'Challan Master'!$S$4:$S$207,0)),""))-MONTH(I122))+1),0))))</f>
      </c>
      <c r="O122" s="7">
        <f>IF($C122="","",0)</f>
      </c>
      <c r="P122" s="8"/>
      <c r="Q122" s="8"/>
      <c r="R122" s="8"/>
      <c r="S122" s="8"/>
      <c r="T122" s="8"/>
      <c r="U122" s="7">
        <f>IF($B122="","",IFERROR(INDEX('Challan Master'!$AA$4:$AA$207,MATCH($B122,'Challan Master'!$S$4:$S$207,0)),""))</f>
      </c>
    </row>
    <row r="123" spans="1:22" x14ac:dyDescent="0.25">
      <c r="A123" s="7">
        <f>IF($C123="","",COUNTIF($C$4:$C123,"&lt;&gt;"))</f>
      </c>
      <c r="B123" s="8"/>
      <c r="C123" s="8"/>
      <c r="D123" s="8"/>
      <c r="E123" s="7">
        <f>IF($C123="","",IF(AND(LEN(TRIM(UPPER(D123)))=10,CODE(MID(TRIM(UPPER(D123)),1,1))&gt;=65,CODE(MID(TRIM(UPPER(D123)),1,1))&lt;=90,CODE(MID(TRIM(UPPER(D123)),2,1))&gt;=65,CODE(MID(TRIM(UPPER(D123)),2,1))&lt;=90,CODE(MID(TRIM(UPPER(D123)),3,1))&gt;=65,CODE(MID(TRIM(UPPER(D123)),3,1))&lt;=90,CODE(MID(TRIM(UPPER(D123)),4,1))&gt;=65,CODE(MID(TRIM(UPPER(D123)),4,1))&lt;=90,CODE(MID(TRIM(UPPER(D123)),5,1))&gt;=65,CODE(MID(TRIM(UPPER(D123)),5,1))&lt;=90,CODE(MID(TRIM(UPPER(D123)),10,1))&gt;=65,CODE(MID(TRIM(UPPER(D123)),10,1))&lt;=90,CODE(MID(TRIM(UPPER(D123)),6,1))&gt;=48,CODE(MID(TRIM(UPPER(D123)),6,1))&lt;=57,CODE(MID(TRIM(UPPER(D123)),7,1))&gt;=48,CODE(MID(TRIM(UPPER(D123)),7,1))&lt;=57,CODE(MID(TRIM(UPPER(D123)),8,1))&gt;=48,CODE(MID(TRIM(UPPER(D123)),8,1))&lt;=57,CODE(MID(TRIM(UPPER(D123)),9,1))&gt;=48,CODE(MID(TRIM(UPPER(D123)),9,1))&lt;=57),"N","Y"))</f>
      </c>
      <c r="F123" s="7">
        <f>IF($C123="","",IF(LEN(D123)&lt;4,"",IF(UPPER(MID(D123,4,1))="P","Individual",IF(UPPER(MID(D123,4,1))="H","HUF",IF(UPPER(MID(D123,4,1))="C","Company",IF(UPPER(MID(D123,4,1))="F","Firm",IF(UPPER(MID(D123,4,1))="L","LLP",IF(UPPER(MID(D123,4,1))="T","Trust",IF(UPPER(MID(D123,4,1))="A","AOP","")))))))))</f>
      </c>
      <c r="G123" s="8"/>
      <c r="H123" s="7">
        <f>IF($C123="","",IF(R123&lt;&gt;"",R123,IF(G123="","",IF(E123="Y",SUMPRODUCT(('Rate Lookup'!$A$1:$A$37=G123)*'Rate Lookup'!$D$1:$D$37),IF(OR(F123="Individual",F123="HUF"),SUMPRODUCT(('Rate Lookup'!$A$1:$A$37=G123)*'Rate Lookup'!$B$1:$B$37),SUMPRODUCT(('Rate Lookup'!$A$1:$A$37=G123)*'Rate Lookup'!$C$1:$C$37)))))))</f>
      </c>
      <c r="I123" s="8"/>
      <c r="J123" s="8"/>
      <c r="K123" s="7">
        <f>IF($C123="","",IF(OR(P123="B",P123="D",P123="E",P123="N",P123="O",P123="P",P123="Q",P123="S",P123="Y",P123="Z"),0,ROUND(J123*H123/100,0)))</f>
      </c>
      <c r="L123" s="7">
        <f>IF($C123="","",0)</f>
      </c>
      <c r="M123" s="7">
        <f>IF($C123="","",0)</f>
      </c>
      <c r="N123" s="7">
        <f>IF($C123="","",IF(OR(K123=0,I123="",IFERROR(INDEX('Challan Master'!$D$4:$D$207,MATCH($B123,'Challan Master'!$S$4:$S$207,0)),"")="",IFERROR(INDEX('Challan Master'!$D$4:$D$207,MATCH($B123,'Challan Master'!$S$4:$S$207,0)),"")&lt;=0),0,IF(IFERROR(INDEX('Challan Master'!$D$4:$D$207,MATCH($B123,'Challan Master'!$S$4:$S$207,0)),"")&lt;=DATE(YEAR(I123),MONTH(I123)+1,7),0,ROUND(K123*0.015*((YEAR(IFERROR(INDEX('Challan Master'!$D$4:$D$207,MATCH($B123,'Challan Master'!$S$4:$S$207,0)),""))-YEAR(I123))*12+(MONTH(IFERROR(INDEX('Challan Master'!$D$4:$D$207,MATCH($B123,'Challan Master'!$S$4:$S$207,0)),""))-MONTH(I123))+1),0))))</f>
      </c>
      <c r="O123" s="7">
        <f>IF($C123="","",0)</f>
      </c>
      <c r="P123" s="8"/>
      <c r="Q123" s="8"/>
      <c r="R123" s="8"/>
      <c r="S123" s="8"/>
      <c r="T123" s="8"/>
      <c r="U123" s="7">
        <f>IF($B123="","",IFERROR(INDEX('Challan Master'!$AA$4:$AA$207,MATCH($B123,'Challan Master'!$S$4:$S$207,0)),""))</f>
      </c>
    </row>
    <row r="124" spans="1:22" x14ac:dyDescent="0.25">
      <c r="A124" s="7">
        <f>IF($C124="","",COUNTIF($C$4:$C124,"&lt;&gt;"))</f>
      </c>
      <c r="B124" s="8"/>
      <c r="C124" s="8"/>
      <c r="D124" s="8"/>
      <c r="E124" s="7">
        <f>IF($C124="","",IF(AND(LEN(TRIM(UPPER(D124)))=10,CODE(MID(TRIM(UPPER(D124)),1,1))&gt;=65,CODE(MID(TRIM(UPPER(D124)),1,1))&lt;=90,CODE(MID(TRIM(UPPER(D124)),2,1))&gt;=65,CODE(MID(TRIM(UPPER(D124)),2,1))&lt;=90,CODE(MID(TRIM(UPPER(D124)),3,1))&gt;=65,CODE(MID(TRIM(UPPER(D124)),3,1))&lt;=90,CODE(MID(TRIM(UPPER(D124)),4,1))&gt;=65,CODE(MID(TRIM(UPPER(D124)),4,1))&lt;=90,CODE(MID(TRIM(UPPER(D124)),5,1))&gt;=65,CODE(MID(TRIM(UPPER(D124)),5,1))&lt;=90,CODE(MID(TRIM(UPPER(D124)),10,1))&gt;=65,CODE(MID(TRIM(UPPER(D124)),10,1))&lt;=90,CODE(MID(TRIM(UPPER(D124)),6,1))&gt;=48,CODE(MID(TRIM(UPPER(D124)),6,1))&lt;=57,CODE(MID(TRIM(UPPER(D124)),7,1))&gt;=48,CODE(MID(TRIM(UPPER(D124)),7,1))&lt;=57,CODE(MID(TRIM(UPPER(D124)),8,1))&gt;=48,CODE(MID(TRIM(UPPER(D124)),8,1))&lt;=57,CODE(MID(TRIM(UPPER(D124)),9,1))&gt;=48,CODE(MID(TRIM(UPPER(D124)),9,1))&lt;=57),"N","Y"))</f>
      </c>
      <c r="F124" s="7">
        <f>IF($C124="","",IF(LEN(D124)&lt;4,"",IF(UPPER(MID(D124,4,1))="P","Individual",IF(UPPER(MID(D124,4,1))="H","HUF",IF(UPPER(MID(D124,4,1))="C","Company",IF(UPPER(MID(D124,4,1))="F","Firm",IF(UPPER(MID(D124,4,1))="L","LLP",IF(UPPER(MID(D124,4,1))="T","Trust",IF(UPPER(MID(D124,4,1))="A","AOP","")))))))))</f>
      </c>
      <c r="G124" s="8"/>
      <c r="H124" s="7">
        <f>IF($C124="","",IF(R124&lt;&gt;"",R124,IF(G124="","",IF(E124="Y",SUMPRODUCT(('Rate Lookup'!$A$1:$A$37=G124)*'Rate Lookup'!$D$1:$D$37),IF(OR(F124="Individual",F124="HUF"),SUMPRODUCT(('Rate Lookup'!$A$1:$A$37=G124)*'Rate Lookup'!$B$1:$B$37),SUMPRODUCT(('Rate Lookup'!$A$1:$A$37=G124)*'Rate Lookup'!$C$1:$C$37)))))))</f>
      </c>
      <c r="I124" s="8"/>
      <c r="J124" s="8"/>
      <c r="K124" s="7">
        <f>IF($C124="","",IF(OR(P124="B",P124="D",P124="E",P124="N",P124="O",P124="P",P124="Q",P124="S",P124="Y",P124="Z"),0,ROUND(J124*H124/100,0)))</f>
      </c>
      <c r="L124" s="7">
        <f>IF($C124="","",0)</f>
      </c>
      <c r="M124" s="7">
        <f>IF($C124="","",0)</f>
      </c>
      <c r="N124" s="7">
        <f>IF($C124="","",IF(OR(K124=0,I124="",IFERROR(INDEX('Challan Master'!$D$4:$D$207,MATCH($B124,'Challan Master'!$S$4:$S$207,0)),"")="",IFERROR(INDEX('Challan Master'!$D$4:$D$207,MATCH($B124,'Challan Master'!$S$4:$S$207,0)),"")&lt;=0),0,IF(IFERROR(INDEX('Challan Master'!$D$4:$D$207,MATCH($B124,'Challan Master'!$S$4:$S$207,0)),"")&lt;=DATE(YEAR(I124),MONTH(I124)+1,7),0,ROUND(K124*0.015*((YEAR(IFERROR(INDEX('Challan Master'!$D$4:$D$207,MATCH($B124,'Challan Master'!$S$4:$S$207,0)),""))-YEAR(I124))*12+(MONTH(IFERROR(INDEX('Challan Master'!$D$4:$D$207,MATCH($B124,'Challan Master'!$S$4:$S$207,0)),""))-MONTH(I124))+1),0))))</f>
      </c>
      <c r="O124" s="7">
        <f>IF($C124="","",0)</f>
      </c>
      <c r="P124" s="8"/>
      <c r="Q124" s="8"/>
      <c r="R124" s="8"/>
      <c r="S124" s="8"/>
      <c r="T124" s="8"/>
      <c r="U124" s="7">
        <f>IF($B124="","",IFERROR(INDEX('Challan Master'!$AA$4:$AA$207,MATCH($B124,'Challan Master'!$S$4:$S$207,0)),""))</f>
      </c>
    </row>
    <row r="125" spans="1:22" x14ac:dyDescent="0.25">
      <c r="A125" s="7">
        <f>IF($C125="","",COUNTIF($C$4:$C125,"&lt;&gt;"))</f>
      </c>
      <c r="B125" s="8"/>
      <c r="C125" s="8"/>
      <c r="D125" s="8"/>
      <c r="E125" s="7">
        <f>IF($C125="","",IF(AND(LEN(TRIM(UPPER(D125)))=10,CODE(MID(TRIM(UPPER(D125)),1,1))&gt;=65,CODE(MID(TRIM(UPPER(D125)),1,1))&lt;=90,CODE(MID(TRIM(UPPER(D125)),2,1))&gt;=65,CODE(MID(TRIM(UPPER(D125)),2,1))&lt;=90,CODE(MID(TRIM(UPPER(D125)),3,1))&gt;=65,CODE(MID(TRIM(UPPER(D125)),3,1))&lt;=90,CODE(MID(TRIM(UPPER(D125)),4,1))&gt;=65,CODE(MID(TRIM(UPPER(D125)),4,1))&lt;=90,CODE(MID(TRIM(UPPER(D125)),5,1))&gt;=65,CODE(MID(TRIM(UPPER(D125)),5,1))&lt;=90,CODE(MID(TRIM(UPPER(D125)),10,1))&gt;=65,CODE(MID(TRIM(UPPER(D125)),10,1))&lt;=90,CODE(MID(TRIM(UPPER(D125)),6,1))&gt;=48,CODE(MID(TRIM(UPPER(D125)),6,1))&lt;=57,CODE(MID(TRIM(UPPER(D125)),7,1))&gt;=48,CODE(MID(TRIM(UPPER(D125)),7,1))&lt;=57,CODE(MID(TRIM(UPPER(D125)),8,1))&gt;=48,CODE(MID(TRIM(UPPER(D125)),8,1))&lt;=57,CODE(MID(TRIM(UPPER(D125)),9,1))&gt;=48,CODE(MID(TRIM(UPPER(D125)),9,1))&lt;=57),"N","Y"))</f>
      </c>
      <c r="F125" s="7">
        <f>IF($C125="","",IF(LEN(D125)&lt;4,"",IF(UPPER(MID(D125,4,1))="P","Individual",IF(UPPER(MID(D125,4,1))="H","HUF",IF(UPPER(MID(D125,4,1))="C","Company",IF(UPPER(MID(D125,4,1))="F","Firm",IF(UPPER(MID(D125,4,1))="L","LLP",IF(UPPER(MID(D125,4,1))="T","Trust",IF(UPPER(MID(D125,4,1))="A","AOP","")))))))))</f>
      </c>
      <c r="G125" s="8"/>
      <c r="H125" s="7">
        <f>IF($C125="","",IF(R125&lt;&gt;"",R125,IF(G125="","",IF(E125="Y",SUMPRODUCT(('Rate Lookup'!$A$1:$A$37=G125)*'Rate Lookup'!$D$1:$D$37),IF(OR(F125="Individual",F125="HUF"),SUMPRODUCT(('Rate Lookup'!$A$1:$A$37=G125)*'Rate Lookup'!$B$1:$B$37),SUMPRODUCT(('Rate Lookup'!$A$1:$A$37=G125)*'Rate Lookup'!$C$1:$C$37)))))))</f>
      </c>
      <c r="I125" s="8"/>
      <c r="J125" s="8"/>
      <c r="K125" s="7">
        <f>IF($C125="","",IF(OR(P125="B",P125="D",P125="E",P125="N",P125="O",P125="P",P125="Q",P125="S",P125="Y",P125="Z"),0,ROUND(J125*H125/100,0)))</f>
      </c>
      <c r="L125" s="7">
        <f>IF($C125="","",0)</f>
      </c>
      <c r="M125" s="7">
        <f>IF($C125="","",0)</f>
      </c>
      <c r="N125" s="7">
        <f>IF($C125="","",IF(OR(K125=0,I125="",IFERROR(INDEX('Challan Master'!$D$4:$D$207,MATCH($B125,'Challan Master'!$S$4:$S$207,0)),"")="",IFERROR(INDEX('Challan Master'!$D$4:$D$207,MATCH($B125,'Challan Master'!$S$4:$S$207,0)),"")&lt;=0),0,IF(IFERROR(INDEX('Challan Master'!$D$4:$D$207,MATCH($B125,'Challan Master'!$S$4:$S$207,0)),"")&lt;=DATE(YEAR(I125),MONTH(I125)+1,7),0,ROUND(K125*0.015*((YEAR(IFERROR(INDEX('Challan Master'!$D$4:$D$207,MATCH($B125,'Challan Master'!$S$4:$S$207,0)),""))-YEAR(I125))*12+(MONTH(IFERROR(INDEX('Challan Master'!$D$4:$D$207,MATCH($B125,'Challan Master'!$S$4:$S$207,0)),""))-MONTH(I125))+1),0))))</f>
      </c>
      <c r="O125" s="7">
        <f>IF($C125="","",0)</f>
      </c>
      <c r="P125" s="8"/>
      <c r="Q125" s="8"/>
      <c r="R125" s="8"/>
      <c r="S125" s="8"/>
      <c r="T125" s="8"/>
      <c r="U125" s="7">
        <f>IF($B125="","",IFERROR(INDEX('Challan Master'!$AA$4:$AA$207,MATCH($B125,'Challan Master'!$S$4:$S$207,0)),""))</f>
      </c>
    </row>
    <row r="126" spans="1:22" x14ac:dyDescent="0.25">
      <c r="A126" s="7">
        <f>IF($C126="","",COUNTIF($C$4:$C126,"&lt;&gt;"))</f>
      </c>
      <c r="B126" s="8"/>
      <c r="C126" s="8"/>
      <c r="D126" s="8"/>
      <c r="E126" s="7">
        <f>IF($C126="","",IF(AND(LEN(TRIM(UPPER(D126)))=10,CODE(MID(TRIM(UPPER(D126)),1,1))&gt;=65,CODE(MID(TRIM(UPPER(D126)),1,1))&lt;=90,CODE(MID(TRIM(UPPER(D126)),2,1))&gt;=65,CODE(MID(TRIM(UPPER(D126)),2,1))&lt;=90,CODE(MID(TRIM(UPPER(D126)),3,1))&gt;=65,CODE(MID(TRIM(UPPER(D126)),3,1))&lt;=90,CODE(MID(TRIM(UPPER(D126)),4,1))&gt;=65,CODE(MID(TRIM(UPPER(D126)),4,1))&lt;=90,CODE(MID(TRIM(UPPER(D126)),5,1))&gt;=65,CODE(MID(TRIM(UPPER(D126)),5,1))&lt;=90,CODE(MID(TRIM(UPPER(D126)),10,1))&gt;=65,CODE(MID(TRIM(UPPER(D126)),10,1))&lt;=90,CODE(MID(TRIM(UPPER(D126)),6,1))&gt;=48,CODE(MID(TRIM(UPPER(D126)),6,1))&lt;=57,CODE(MID(TRIM(UPPER(D126)),7,1))&gt;=48,CODE(MID(TRIM(UPPER(D126)),7,1))&lt;=57,CODE(MID(TRIM(UPPER(D126)),8,1))&gt;=48,CODE(MID(TRIM(UPPER(D126)),8,1))&lt;=57,CODE(MID(TRIM(UPPER(D126)),9,1))&gt;=48,CODE(MID(TRIM(UPPER(D126)),9,1))&lt;=57),"N","Y"))</f>
      </c>
      <c r="F126" s="7">
        <f>IF($C126="","",IF(LEN(D126)&lt;4,"",IF(UPPER(MID(D126,4,1))="P","Individual",IF(UPPER(MID(D126,4,1))="H","HUF",IF(UPPER(MID(D126,4,1))="C","Company",IF(UPPER(MID(D126,4,1))="F","Firm",IF(UPPER(MID(D126,4,1))="L","LLP",IF(UPPER(MID(D126,4,1))="T","Trust",IF(UPPER(MID(D126,4,1))="A","AOP","")))))))))</f>
      </c>
      <c r="G126" s="8"/>
      <c r="H126" s="7">
        <f>IF($C126="","",IF(R126&lt;&gt;"",R126,IF(G126="","",IF(E126="Y",SUMPRODUCT(('Rate Lookup'!$A$1:$A$37=G126)*'Rate Lookup'!$D$1:$D$37),IF(OR(F126="Individual",F126="HUF"),SUMPRODUCT(('Rate Lookup'!$A$1:$A$37=G126)*'Rate Lookup'!$B$1:$B$37),SUMPRODUCT(('Rate Lookup'!$A$1:$A$37=G126)*'Rate Lookup'!$C$1:$C$37)))))))</f>
      </c>
      <c r="I126" s="8"/>
      <c r="J126" s="8"/>
      <c r="K126" s="7">
        <f>IF($C126="","",IF(OR(P126="B",P126="D",P126="E",P126="N",P126="O",P126="P",P126="Q",P126="S",P126="Y",P126="Z"),0,ROUND(J126*H126/100,0)))</f>
      </c>
      <c r="L126" s="7">
        <f>IF($C126="","",0)</f>
      </c>
      <c r="M126" s="7">
        <f>IF($C126="","",0)</f>
      </c>
      <c r="N126" s="7">
        <f>IF($C126="","",IF(OR(K126=0,I126="",IFERROR(INDEX('Challan Master'!$D$4:$D$207,MATCH($B126,'Challan Master'!$S$4:$S$207,0)),"")="",IFERROR(INDEX('Challan Master'!$D$4:$D$207,MATCH($B126,'Challan Master'!$S$4:$S$207,0)),"")&lt;=0),0,IF(IFERROR(INDEX('Challan Master'!$D$4:$D$207,MATCH($B126,'Challan Master'!$S$4:$S$207,0)),"")&lt;=DATE(YEAR(I126),MONTH(I126)+1,7),0,ROUND(K126*0.015*((YEAR(IFERROR(INDEX('Challan Master'!$D$4:$D$207,MATCH($B126,'Challan Master'!$S$4:$S$207,0)),""))-YEAR(I126))*12+(MONTH(IFERROR(INDEX('Challan Master'!$D$4:$D$207,MATCH($B126,'Challan Master'!$S$4:$S$207,0)),""))-MONTH(I126))+1),0))))</f>
      </c>
      <c r="O126" s="7">
        <f>IF($C126="","",0)</f>
      </c>
      <c r="P126" s="8"/>
      <c r="Q126" s="8"/>
      <c r="R126" s="8"/>
      <c r="S126" s="8"/>
      <c r="T126" s="8"/>
      <c r="U126" s="7">
        <f>IF($B126="","",IFERROR(INDEX('Challan Master'!$AA$4:$AA$207,MATCH($B126,'Challan Master'!$S$4:$S$207,0)),""))</f>
      </c>
    </row>
    <row r="127" spans="1:22" x14ac:dyDescent="0.25">
      <c r="A127" s="7">
        <f>IF($C127="","",COUNTIF($C$4:$C127,"&lt;&gt;"))</f>
      </c>
      <c r="B127" s="8"/>
      <c r="C127" s="8"/>
      <c r="D127" s="8"/>
      <c r="E127" s="7">
        <f>IF($C127="","",IF(AND(LEN(TRIM(UPPER(D127)))=10,CODE(MID(TRIM(UPPER(D127)),1,1))&gt;=65,CODE(MID(TRIM(UPPER(D127)),1,1))&lt;=90,CODE(MID(TRIM(UPPER(D127)),2,1))&gt;=65,CODE(MID(TRIM(UPPER(D127)),2,1))&lt;=90,CODE(MID(TRIM(UPPER(D127)),3,1))&gt;=65,CODE(MID(TRIM(UPPER(D127)),3,1))&lt;=90,CODE(MID(TRIM(UPPER(D127)),4,1))&gt;=65,CODE(MID(TRIM(UPPER(D127)),4,1))&lt;=90,CODE(MID(TRIM(UPPER(D127)),5,1))&gt;=65,CODE(MID(TRIM(UPPER(D127)),5,1))&lt;=90,CODE(MID(TRIM(UPPER(D127)),10,1))&gt;=65,CODE(MID(TRIM(UPPER(D127)),10,1))&lt;=90,CODE(MID(TRIM(UPPER(D127)),6,1))&gt;=48,CODE(MID(TRIM(UPPER(D127)),6,1))&lt;=57,CODE(MID(TRIM(UPPER(D127)),7,1))&gt;=48,CODE(MID(TRIM(UPPER(D127)),7,1))&lt;=57,CODE(MID(TRIM(UPPER(D127)),8,1))&gt;=48,CODE(MID(TRIM(UPPER(D127)),8,1))&lt;=57,CODE(MID(TRIM(UPPER(D127)),9,1))&gt;=48,CODE(MID(TRIM(UPPER(D127)),9,1))&lt;=57),"N","Y"))</f>
      </c>
      <c r="F127" s="7">
        <f>IF($C127="","",IF(LEN(D127)&lt;4,"",IF(UPPER(MID(D127,4,1))="P","Individual",IF(UPPER(MID(D127,4,1))="H","HUF",IF(UPPER(MID(D127,4,1))="C","Company",IF(UPPER(MID(D127,4,1))="F","Firm",IF(UPPER(MID(D127,4,1))="L","LLP",IF(UPPER(MID(D127,4,1))="T","Trust",IF(UPPER(MID(D127,4,1))="A","AOP","")))))))))</f>
      </c>
      <c r="G127" s="8"/>
      <c r="H127" s="7">
        <f>IF($C127="","",IF(R127&lt;&gt;"",R127,IF(G127="","",IF(E127="Y",SUMPRODUCT(('Rate Lookup'!$A$1:$A$37=G127)*'Rate Lookup'!$D$1:$D$37),IF(OR(F127="Individual",F127="HUF"),SUMPRODUCT(('Rate Lookup'!$A$1:$A$37=G127)*'Rate Lookup'!$B$1:$B$37),SUMPRODUCT(('Rate Lookup'!$A$1:$A$37=G127)*'Rate Lookup'!$C$1:$C$37)))))))</f>
      </c>
      <c r="I127" s="8"/>
      <c r="J127" s="8"/>
      <c r="K127" s="7">
        <f>IF($C127="","",IF(OR(P127="B",P127="D",P127="E",P127="N",P127="O",P127="P",P127="Q",P127="S",P127="Y",P127="Z"),0,ROUND(J127*H127/100,0)))</f>
      </c>
      <c r="L127" s="7">
        <f>IF($C127="","",0)</f>
      </c>
      <c r="M127" s="7">
        <f>IF($C127="","",0)</f>
      </c>
      <c r="N127" s="7">
        <f>IF($C127="","",IF(OR(K127=0,I127="",IFERROR(INDEX('Challan Master'!$D$4:$D$207,MATCH($B127,'Challan Master'!$S$4:$S$207,0)),"")="",IFERROR(INDEX('Challan Master'!$D$4:$D$207,MATCH($B127,'Challan Master'!$S$4:$S$207,0)),"")&lt;=0),0,IF(IFERROR(INDEX('Challan Master'!$D$4:$D$207,MATCH($B127,'Challan Master'!$S$4:$S$207,0)),"")&lt;=DATE(YEAR(I127),MONTH(I127)+1,7),0,ROUND(K127*0.015*((YEAR(IFERROR(INDEX('Challan Master'!$D$4:$D$207,MATCH($B127,'Challan Master'!$S$4:$S$207,0)),""))-YEAR(I127))*12+(MONTH(IFERROR(INDEX('Challan Master'!$D$4:$D$207,MATCH($B127,'Challan Master'!$S$4:$S$207,0)),""))-MONTH(I127))+1),0))))</f>
      </c>
      <c r="O127" s="7">
        <f>IF($C127="","",0)</f>
      </c>
      <c r="P127" s="8"/>
      <c r="Q127" s="8"/>
      <c r="R127" s="8"/>
      <c r="S127" s="8"/>
      <c r="T127" s="8"/>
      <c r="U127" s="7">
        <f>IF($B127="","",IFERROR(INDEX('Challan Master'!$AA$4:$AA$207,MATCH($B127,'Challan Master'!$S$4:$S$207,0)),""))</f>
      </c>
    </row>
    <row r="128" spans="1:22" x14ac:dyDescent="0.25">
      <c r="A128" s="7">
        <f>IF($C128="","",COUNTIF($C$4:$C128,"&lt;&gt;"))</f>
      </c>
      <c r="B128" s="8"/>
      <c r="C128" s="8"/>
      <c r="D128" s="8"/>
      <c r="E128" s="7">
        <f>IF($C128="","",IF(AND(LEN(TRIM(UPPER(D128)))=10,CODE(MID(TRIM(UPPER(D128)),1,1))&gt;=65,CODE(MID(TRIM(UPPER(D128)),1,1))&lt;=90,CODE(MID(TRIM(UPPER(D128)),2,1))&gt;=65,CODE(MID(TRIM(UPPER(D128)),2,1))&lt;=90,CODE(MID(TRIM(UPPER(D128)),3,1))&gt;=65,CODE(MID(TRIM(UPPER(D128)),3,1))&lt;=90,CODE(MID(TRIM(UPPER(D128)),4,1))&gt;=65,CODE(MID(TRIM(UPPER(D128)),4,1))&lt;=90,CODE(MID(TRIM(UPPER(D128)),5,1))&gt;=65,CODE(MID(TRIM(UPPER(D128)),5,1))&lt;=90,CODE(MID(TRIM(UPPER(D128)),10,1))&gt;=65,CODE(MID(TRIM(UPPER(D128)),10,1))&lt;=90,CODE(MID(TRIM(UPPER(D128)),6,1))&gt;=48,CODE(MID(TRIM(UPPER(D128)),6,1))&lt;=57,CODE(MID(TRIM(UPPER(D128)),7,1))&gt;=48,CODE(MID(TRIM(UPPER(D128)),7,1))&lt;=57,CODE(MID(TRIM(UPPER(D128)),8,1))&gt;=48,CODE(MID(TRIM(UPPER(D128)),8,1))&lt;=57,CODE(MID(TRIM(UPPER(D128)),9,1))&gt;=48,CODE(MID(TRIM(UPPER(D128)),9,1))&lt;=57),"N","Y"))</f>
      </c>
      <c r="F128" s="7">
        <f>IF($C128="","",IF(LEN(D128)&lt;4,"",IF(UPPER(MID(D128,4,1))="P","Individual",IF(UPPER(MID(D128,4,1))="H","HUF",IF(UPPER(MID(D128,4,1))="C","Company",IF(UPPER(MID(D128,4,1))="F","Firm",IF(UPPER(MID(D128,4,1))="L","LLP",IF(UPPER(MID(D128,4,1))="T","Trust",IF(UPPER(MID(D128,4,1))="A","AOP","")))))))))</f>
      </c>
      <c r="G128" s="8"/>
      <c r="H128" s="7">
        <f>IF($C128="","",IF(R128&lt;&gt;"",R128,IF(G128="","",IF(E128="Y",SUMPRODUCT(('Rate Lookup'!$A$1:$A$37=G128)*'Rate Lookup'!$D$1:$D$37),IF(OR(F128="Individual",F128="HUF"),SUMPRODUCT(('Rate Lookup'!$A$1:$A$37=G128)*'Rate Lookup'!$B$1:$B$37),SUMPRODUCT(('Rate Lookup'!$A$1:$A$37=G128)*'Rate Lookup'!$C$1:$C$37)))))))</f>
      </c>
      <c r="I128" s="8"/>
      <c r="J128" s="8"/>
      <c r="K128" s="7">
        <f>IF($C128="","",IF(OR(P128="B",P128="D",P128="E",P128="N",P128="O",P128="P",P128="Q",P128="S",P128="Y",P128="Z"),0,ROUND(J128*H128/100,0)))</f>
      </c>
      <c r="L128" s="7">
        <f>IF($C128="","",0)</f>
      </c>
      <c r="M128" s="7">
        <f>IF($C128="","",0)</f>
      </c>
      <c r="N128" s="7">
        <f>IF($C128="","",IF(OR(K128=0,I128="",IFERROR(INDEX('Challan Master'!$D$4:$D$207,MATCH($B128,'Challan Master'!$S$4:$S$207,0)),"")="",IFERROR(INDEX('Challan Master'!$D$4:$D$207,MATCH($B128,'Challan Master'!$S$4:$S$207,0)),"")&lt;=0),0,IF(IFERROR(INDEX('Challan Master'!$D$4:$D$207,MATCH($B128,'Challan Master'!$S$4:$S$207,0)),"")&lt;=DATE(YEAR(I128),MONTH(I128)+1,7),0,ROUND(K128*0.015*((YEAR(IFERROR(INDEX('Challan Master'!$D$4:$D$207,MATCH($B128,'Challan Master'!$S$4:$S$207,0)),""))-YEAR(I128))*12+(MONTH(IFERROR(INDEX('Challan Master'!$D$4:$D$207,MATCH($B128,'Challan Master'!$S$4:$S$207,0)),""))-MONTH(I128))+1),0))))</f>
      </c>
      <c r="O128" s="7">
        <f>IF($C128="","",0)</f>
      </c>
      <c r="P128" s="8"/>
      <c r="Q128" s="8"/>
      <c r="R128" s="8"/>
      <c r="S128" s="8"/>
      <c r="T128" s="8"/>
      <c r="U128" s="7">
        <f>IF($B128="","",IFERROR(INDEX('Challan Master'!$AA$4:$AA$207,MATCH($B128,'Challan Master'!$S$4:$S$207,0)),""))</f>
      </c>
    </row>
    <row r="129" spans="1:22" x14ac:dyDescent="0.25">
      <c r="A129" s="7">
        <f>IF($C129="","",COUNTIF($C$4:$C129,"&lt;&gt;"))</f>
      </c>
      <c r="B129" s="8"/>
      <c r="C129" s="8"/>
      <c r="D129" s="8"/>
      <c r="E129" s="7">
        <f>IF($C129="","",IF(AND(LEN(TRIM(UPPER(D129)))=10,CODE(MID(TRIM(UPPER(D129)),1,1))&gt;=65,CODE(MID(TRIM(UPPER(D129)),1,1))&lt;=90,CODE(MID(TRIM(UPPER(D129)),2,1))&gt;=65,CODE(MID(TRIM(UPPER(D129)),2,1))&lt;=90,CODE(MID(TRIM(UPPER(D129)),3,1))&gt;=65,CODE(MID(TRIM(UPPER(D129)),3,1))&lt;=90,CODE(MID(TRIM(UPPER(D129)),4,1))&gt;=65,CODE(MID(TRIM(UPPER(D129)),4,1))&lt;=90,CODE(MID(TRIM(UPPER(D129)),5,1))&gt;=65,CODE(MID(TRIM(UPPER(D129)),5,1))&lt;=90,CODE(MID(TRIM(UPPER(D129)),10,1))&gt;=65,CODE(MID(TRIM(UPPER(D129)),10,1))&lt;=90,CODE(MID(TRIM(UPPER(D129)),6,1))&gt;=48,CODE(MID(TRIM(UPPER(D129)),6,1))&lt;=57,CODE(MID(TRIM(UPPER(D129)),7,1))&gt;=48,CODE(MID(TRIM(UPPER(D129)),7,1))&lt;=57,CODE(MID(TRIM(UPPER(D129)),8,1))&gt;=48,CODE(MID(TRIM(UPPER(D129)),8,1))&lt;=57,CODE(MID(TRIM(UPPER(D129)),9,1))&gt;=48,CODE(MID(TRIM(UPPER(D129)),9,1))&lt;=57),"N","Y"))</f>
      </c>
      <c r="F129" s="7">
        <f>IF($C129="","",IF(LEN(D129)&lt;4,"",IF(UPPER(MID(D129,4,1))="P","Individual",IF(UPPER(MID(D129,4,1))="H","HUF",IF(UPPER(MID(D129,4,1))="C","Company",IF(UPPER(MID(D129,4,1))="F","Firm",IF(UPPER(MID(D129,4,1))="L","LLP",IF(UPPER(MID(D129,4,1))="T","Trust",IF(UPPER(MID(D129,4,1))="A","AOP","")))))))))</f>
      </c>
      <c r="G129" s="8"/>
      <c r="H129" s="7">
        <f>IF($C129="","",IF(R129&lt;&gt;"",R129,IF(G129="","",IF(E129="Y",SUMPRODUCT(('Rate Lookup'!$A$1:$A$37=G129)*'Rate Lookup'!$D$1:$D$37),IF(OR(F129="Individual",F129="HUF"),SUMPRODUCT(('Rate Lookup'!$A$1:$A$37=G129)*'Rate Lookup'!$B$1:$B$37),SUMPRODUCT(('Rate Lookup'!$A$1:$A$37=G129)*'Rate Lookup'!$C$1:$C$37)))))))</f>
      </c>
      <c r="I129" s="8"/>
      <c r="J129" s="8"/>
      <c r="K129" s="7">
        <f>IF($C129="","",IF(OR(P129="B",P129="D",P129="E",P129="N",P129="O",P129="P",P129="Q",P129="S",P129="Y",P129="Z"),0,ROUND(J129*H129/100,0)))</f>
      </c>
      <c r="L129" s="7">
        <f>IF($C129="","",0)</f>
      </c>
      <c r="M129" s="7">
        <f>IF($C129="","",0)</f>
      </c>
      <c r="N129" s="7">
        <f>IF($C129="","",IF(OR(K129=0,I129="",IFERROR(INDEX('Challan Master'!$D$4:$D$207,MATCH($B129,'Challan Master'!$S$4:$S$207,0)),"")="",IFERROR(INDEX('Challan Master'!$D$4:$D$207,MATCH($B129,'Challan Master'!$S$4:$S$207,0)),"")&lt;=0),0,IF(IFERROR(INDEX('Challan Master'!$D$4:$D$207,MATCH($B129,'Challan Master'!$S$4:$S$207,0)),"")&lt;=DATE(YEAR(I129),MONTH(I129)+1,7),0,ROUND(K129*0.015*((YEAR(IFERROR(INDEX('Challan Master'!$D$4:$D$207,MATCH($B129,'Challan Master'!$S$4:$S$207,0)),""))-YEAR(I129))*12+(MONTH(IFERROR(INDEX('Challan Master'!$D$4:$D$207,MATCH($B129,'Challan Master'!$S$4:$S$207,0)),""))-MONTH(I129))+1),0))))</f>
      </c>
      <c r="O129" s="7">
        <f>IF($C129="","",0)</f>
      </c>
      <c r="P129" s="8"/>
      <c r="Q129" s="8"/>
      <c r="R129" s="8"/>
      <c r="S129" s="8"/>
      <c r="T129" s="8"/>
      <c r="U129" s="7">
        <f>IF($B129="","",IFERROR(INDEX('Challan Master'!$AA$4:$AA$207,MATCH($B129,'Challan Master'!$S$4:$S$207,0)),""))</f>
      </c>
    </row>
    <row r="130" spans="1:22" x14ac:dyDescent="0.25">
      <c r="A130" s="7">
        <f>IF($C130="","",COUNTIF($C$4:$C130,"&lt;&gt;"))</f>
      </c>
      <c r="B130" s="8"/>
      <c r="C130" s="8"/>
      <c r="D130" s="8"/>
      <c r="E130" s="7">
        <f>IF($C130="","",IF(AND(LEN(TRIM(UPPER(D130)))=10,CODE(MID(TRIM(UPPER(D130)),1,1))&gt;=65,CODE(MID(TRIM(UPPER(D130)),1,1))&lt;=90,CODE(MID(TRIM(UPPER(D130)),2,1))&gt;=65,CODE(MID(TRIM(UPPER(D130)),2,1))&lt;=90,CODE(MID(TRIM(UPPER(D130)),3,1))&gt;=65,CODE(MID(TRIM(UPPER(D130)),3,1))&lt;=90,CODE(MID(TRIM(UPPER(D130)),4,1))&gt;=65,CODE(MID(TRIM(UPPER(D130)),4,1))&lt;=90,CODE(MID(TRIM(UPPER(D130)),5,1))&gt;=65,CODE(MID(TRIM(UPPER(D130)),5,1))&lt;=90,CODE(MID(TRIM(UPPER(D130)),10,1))&gt;=65,CODE(MID(TRIM(UPPER(D130)),10,1))&lt;=90,CODE(MID(TRIM(UPPER(D130)),6,1))&gt;=48,CODE(MID(TRIM(UPPER(D130)),6,1))&lt;=57,CODE(MID(TRIM(UPPER(D130)),7,1))&gt;=48,CODE(MID(TRIM(UPPER(D130)),7,1))&lt;=57,CODE(MID(TRIM(UPPER(D130)),8,1))&gt;=48,CODE(MID(TRIM(UPPER(D130)),8,1))&lt;=57,CODE(MID(TRIM(UPPER(D130)),9,1))&gt;=48,CODE(MID(TRIM(UPPER(D130)),9,1))&lt;=57),"N","Y"))</f>
      </c>
      <c r="F130" s="7">
        <f>IF($C130="","",IF(LEN(D130)&lt;4,"",IF(UPPER(MID(D130,4,1))="P","Individual",IF(UPPER(MID(D130,4,1))="H","HUF",IF(UPPER(MID(D130,4,1))="C","Company",IF(UPPER(MID(D130,4,1))="F","Firm",IF(UPPER(MID(D130,4,1))="L","LLP",IF(UPPER(MID(D130,4,1))="T","Trust",IF(UPPER(MID(D130,4,1))="A","AOP","")))))))))</f>
      </c>
      <c r="G130" s="8"/>
      <c r="H130" s="7">
        <f>IF($C130="","",IF(R130&lt;&gt;"",R130,IF(G130="","",IF(E130="Y",SUMPRODUCT(('Rate Lookup'!$A$1:$A$37=G130)*'Rate Lookup'!$D$1:$D$37),IF(OR(F130="Individual",F130="HUF"),SUMPRODUCT(('Rate Lookup'!$A$1:$A$37=G130)*'Rate Lookup'!$B$1:$B$37),SUMPRODUCT(('Rate Lookup'!$A$1:$A$37=G130)*'Rate Lookup'!$C$1:$C$37)))))))</f>
      </c>
      <c r="I130" s="8"/>
      <c r="J130" s="8"/>
      <c r="K130" s="7">
        <f>IF($C130="","",IF(OR(P130="B",P130="D",P130="E",P130="N",P130="O",P130="P",P130="Q",P130="S",P130="Y",P130="Z"),0,ROUND(J130*H130/100,0)))</f>
      </c>
      <c r="L130" s="7">
        <f>IF($C130="","",0)</f>
      </c>
      <c r="M130" s="7">
        <f>IF($C130="","",0)</f>
      </c>
      <c r="N130" s="7">
        <f>IF($C130="","",IF(OR(K130=0,I130="",IFERROR(INDEX('Challan Master'!$D$4:$D$207,MATCH($B130,'Challan Master'!$S$4:$S$207,0)),"")="",IFERROR(INDEX('Challan Master'!$D$4:$D$207,MATCH($B130,'Challan Master'!$S$4:$S$207,0)),"")&lt;=0),0,IF(IFERROR(INDEX('Challan Master'!$D$4:$D$207,MATCH($B130,'Challan Master'!$S$4:$S$207,0)),"")&lt;=DATE(YEAR(I130),MONTH(I130)+1,7),0,ROUND(K130*0.015*((YEAR(IFERROR(INDEX('Challan Master'!$D$4:$D$207,MATCH($B130,'Challan Master'!$S$4:$S$207,0)),""))-YEAR(I130))*12+(MONTH(IFERROR(INDEX('Challan Master'!$D$4:$D$207,MATCH($B130,'Challan Master'!$S$4:$S$207,0)),""))-MONTH(I130))+1),0))))</f>
      </c>
      <c r="O130" s="7">
        <f>IF($C130="","",0)</f>
      </c>
      <c r="P130" s="8"/>
      <c r="Q130" s="8"/>
      <c r="R130" s="8"/>
      <c r="S130" s="8"/>
      <c r="T130" s="8"/>
      <c r="U130" s="7">
        <f>IF($B130="","",IFERROR(INDEX('Challan Master'!$AA$4:$AA$207,MATCH($B130,'Challan Master'!$S$4:$S$207,0)),""))</f>
      </c>
    </row>
    <row r="131" spans="1:22" x14ac:dyDescent="0.25">
      <c r="A131" s="7">
        <f>IF($C131="","",COUNTIF($C$4:$C131,"&lt;&gt;"))</f>
      </c>
      <c r="B131" s="8"/>
      <c r="C131" s="8"/>
      <c r="D131" s="8"/>
      <c r="E131" s="7">
        <f>IF($C131="","",IF(AND(LEN(TRIM(UPPER(D131)))=10,CODE(MID(TRIM(UPPER(D131)),1,1))&gt;=65,CODE(MID(TRIM(UPPER(D131)),1,1))&lt;=90,CODE(MID(TRIM(UPPER(D131)),2,1))&gt;=65,CODE(MID(TRIM(UPPER(D131)),2,1))&lt;=90,CODE(MID(TRIM(UPPER(D131)),3,1))&gt;=65,CODE(MID(TRIM(UPPER(D131)),3,1))&lt;=90,CODE(MID(TRIM(UPPER(D131)),4,1))&gt;=65,CODE(MID(TRIM(UPPER(D131)),4,1))&lt;=90,CODE(MID(TRIM(UPPER(D131)),5,1))&gt;=65,CODE(MID(TRIM(UPPER(D131)),5,1))&lt;=90,CODE(MID(TRIM(UPPER(D131)),10,1))&gt;=65,CODE(MID(TRIM(UPPER(D131)),10,1))&lt;=90,CODE(MID(TRIM(UPPER(D131)),6,1))&gt;=48,CODE(MID(TRIM(UPPER(D131)),6,1))&lt;=57,CODE(MID(TRIM(UPPER(D131)),7,1))&gt;=48,CODE(MID(TRIM(UPPER(D131)),7,1))&lt;=57,CODE(MID(TRIM(UPPER(D131)),8,1))&gt;=48,CODE(MID(TRIM(UPPER(D131)),8,1))&lt;=57,CODE(MID(TRIM(UPPER(D131)),9,1))&gt;=48,CODE(MID(TRIM(UPPER(D131)),9,1))&lt;=57),"N","Y"))</f>
      </c>
      <c r="F131" s="7">
        <f>IF($C131="","",IF(LEN(D131)&lt;4,"",IF(UPPER(MID(D131,4,1))="P","Individual",IF(UPPER(MID(D131,4,1))="H","HUF",IF(UPPER(MID(D131,4,1))="C","Company",IF(UPPER(MID(D131,4,1))="F","Firm",IF(UPPER(MID(D131,4,1))="L","LLP",IF(UPPER(MID(D131,4,1))="T","Trust",IF(UPPER(MID(D131,4,1))="A","AOP","")))))))))</f>
      </c>
      <c r="G131" s="8"/>
      <c r="H131" s="7">
        <f>IF($C131="","",IF(R131&lt;&gt;"",R131,IF(G131="","",IF(E131="Y",SUMPRODUCT(('Rate Lookup'!$A$1:$A$37=G131)*'Rate Lookup'!$D$1:$D$37),IF(OR(F131="Individual",F131="HUF"),SUMPRODUCT(('Rate Lookup'!$A$1:$A$37=G131)*'Rate Lookup'!$B$1:$B$37),SUMPRODUCT(('Rate Lookup'!$A$1:$A$37=G131)*'Rate Lookup'!$C$1:$C$37)))))))</f>
      </c>
      <c r="I131" s="8"/>
      <c r="J131" s="8"/>
      <c r="K131" s="7">
        <f>IF($C131="","",IF(OR(P131="B",P131="D",P131="E",P131="N",P131="O",P131="P",P131="Q",P131="S",P131="Y",P131="Z"),0,ROUND(J131*H131/100,0)))</f>
      </c>
      <c r="L131" s="7">
        <f>IF($C131="","",0)</f>
      </c>
      <c r="M131" s="7">
        <f>IF($C131="","",0)</f>
      </c>
      <c r="N131" s="7">
        <f>IF($C131="","",IF(OR(K131=0,I131="",IFERROR(INDEX('Challan Master'!$D$4:$D$207,MATCH($B131,'Challan Master'!$S$4:$S$207,0)),"")="",IFERROR(INDEX('Challan Master'!$D$4:$D$207,MATCH($B131,'Challan Master'!$S$4:$S$207,0)),"")&lt;=0),0,IF(IFERROR(INDEX('Challan Master'!$D$4:$D$207,MATCH($B131,'Challan Master'!$S$4:$S$207,0)),"")&lt;=DATE(YEAR(I131),MONTH(I131)+1,7),0,ROUND(K131*0.015*((YEAR(IFERROR(INDEX('Challan Master'!$D$4:$D$207,MATCH($B131,'Challan Master'!$S$4:$S$207,0)),""))-YEAR(I131))*12+(MONTH(IFERROR(INDEX('Challan Master'!$D$4:$D$207,MATCH($B131,'Challan Master'!$S$4:$S$207,0)),""))-MONTH(I131))+1),0))))</f>
      </c>
      <c r="O131" s="7">
        <f>IF($C131="","",0)</f>
      </c>
      <c r="P131" s="8"/>
      <c r="Q131" s="8"/>
      <c r="R131" s="8"/>
      <c r="S131" s="8"/>
      <c r="T131" s="8"/>
      <c r="U131" s="7">
        <f>IF($B131="","",IFERROR(INDEX('Challan Master'!$AA$4:$AA$207,MATCH($B131,'Challan Master'!$S$4:$S$207,0)),""))</f>
      </c>
    </row>
    <row r="132" spans="1:22" x14ac:dyDescent="0.25">
      <c r="A132" s="7">
        <f>IF($C132="","",COUNTIF($C$4:$C132,"&lt;&gt;"))</f>
      </c>
      <c r="B132" s="8"/>
      <c r="C132" s="8"/>
      <c r="D132" s="8"/>
      <c r="E132" s="7">
        <f>IF($C132="","",IF(AND(LEN(TRIM(UPPER(D132)))=10,CODE(MID(TRIM(UPPER(D132)),1,1))&gt;=65,CODE(MID(TRIM(UPPER(D132)),1,1))&lt;=90,CODE(MID(TRIM(UPPER(D132)),2,1))&gt;=65,CODE(MID(TRIM(UPPER(D132)),2,1))&lt;=90,CODE(MID(TRIM(UPPER(D132)),3,1))&gt;=65,CODE(MID(TRIM(UPPER(D132)),3,1))&lt;=90,CODE(MID(TRIM(UPPER(D132)),4,1))&gt;=65,CODE(MID(TRIM(UPPER(D132)),4,1))&lt;=90,CODE(MID(TRIM(UPPER(D132)),5,1))&gt;=65,CODE(MID(TRIM(UPPER(D132)),5,1))&lt;=90,CODE(MID(TRIM(UPPER(D132)),10,1))&gt;=65,CODE(MID(TRIM(UPPER(D132)),10,1))&lt;=90,CODE(MID(TRIM(UPPER(D132)),6,1))&gt;=48,CODE(MID(TRIM(UPPER(D132)),6,1))&lt;=57,CODE(MID(TRIM(UPPER(D132)),7,1))&gt;=48,CODE(MID(TRIM(UPPER(D132)),7,1))&lt;=57,CODE(MID(TRIM(UPPER(D132)),8,1))&gt;=48,CODE(MID(TRIM(UPPER(D132)),8,1))&lt;=57,CODE(MID(TRIM(UPPER(D132)),9,1))&gt;=48,CODE(MID(TRIM(UPPER(D132)),9,1))&lt;=57),"N","Y"))</f>
      </c>
      <c r="F132" s="7">
        <f>IF($C132="","",IF(LEN(D132)&lt;4,"",IF(UPPER(MID(D132,4,1))="P","Individual",IF(UPPER(MID(D132,4,1))="H","HUF",IF(UPPER(MID(D132,4,1))="C","Company",IF(UPPER(MID(D132,4,1))="F","Firm",IF(UPPER(MID(D132,4,1))="L","LLP",IF(UPPER(MID(D132,4,1))="T","Trust",IF(UPPER(MID(D132,4,1))="A","AOP","")))))))))</f>
      </c>
      <c r="G132" s="8"/>
      <c r="H132" s="7">
        <f>IF($C132="","",IF(R132&lt;&gt;"",R132,IF(G132="","",IF(E132="Y",SUMPRODUCT(('Rate Lookup'!$A$1:$A$37=G132)*'Rate Lookup'!$D$1:$D$37),IF(OR(F132="Individual",F132="HUF"),SUMPRODUCT(('Rate Lookup'!$A$1:$A$37=G132)*'Rate Lookup'!$B$1:$B$37),SUMPRODUCT(('Rate Lookup'!$A$1:$A$37=G132)*'Rate Lookup'!$C$1:$C$37)))))))</f>
      </c>
      <c r="I132" s="8"/>
      <c r="J132" s="8"/>
      <c r="K132" s="7">
        <f>IF($C132="","",IF(OR(P132="B",P132="D",P132="E",P132="N",P132="O",P132="P",P132="Q",P132="S",P132="Y",P132="Z"),0,ROUND(J132*H132/100,0)))</f>
      </c>
      <c r="L132" s="7">
        <f>IF($C132="","",0)</f>
      </c>
      <c r="M132" s="7">
        <f>IF($C132="","",0)</f>
      </c>
      <c r="N132" s="7">
        <f>IF($C132="","",IF(OR(K132=0,I132="",IFERROR(INDEX('Challan Master'!$D$4:$D$207,MATCH($B132,'Challan Master'!$S$4:$S$207,0)),"")="",IFERROR(INDEX('Challan Master'!$D$4:$D$207,MATCH($B132,'Challan Master'!$S$4:$S$207,0)),"")&lt;=0),0,IF(IFERROR(INDEX('Challan Master'!$D$4:$D$207,MATCH($B132,'Challan Master'!$S$4:$S$207,0)),"")&lt;=DATE(YEAR(I132),MONTH(I132)+1,7),0,ROUND(K132*0.015*((YEAR(IFERROR(INDEX('Challan Master'!$D$4:$D$207,MATCH($B132,'Challan Master'!$S$4:$S$207,0)),""))-YEAR(I132))*12+(MONTH(IFERROR(INDEX('Challan Master'!$D$4:$D$207,MATCH($B132,'Challan Master'!$S$4:$S$207,0)),""))-MONTH(I132))+1),0))))</f>
      </c>
      <c r="O132" s="7">
        <f>IF($C132="","",0)</f>
      </c>
      <c r="P132" s="8"/>
      <c r="Q132" s="8"/>
      <c r="R132" s="8"/>
      <c r="S132" s="8"/>
      <c r="T132" s="8"/>
      <c r="U132" s="7">
        <f>IF($B132="","",IFERROR(INDEX('Challan Master'!$AA$4:$AA$207,MATCH($B132,'Challan Master'!$S$4:$S$207,0)),""))</f>
      </c>
    </row>
    <row r="133" spans="1:22" x14ac:dyDescent="0.25">
      <c r="A133" s="7">
        <f>IF($C133="","",COUNTIF($C$4:$C133,"&lt;&gt;"))</f>
      </c>
      <c r="B133" s="8"/>
      <c r="C133" s="8"/>
      <c r="D133" s="8"/>
      <c r="E133" s="7">
        <f>IF($C133="","",IF(AND(LEN(TRIM(UPPER(D133)))=10,CODE(MID(TRIM(UPPER(D133)),1,1))&gt;=65,CODE(MID(TRIM(UPPER(D133)),1,1))&lt;=90,CODE(MID(TRIM(UPPER(D133)),2,1))&gt;=65,CODE(MID(TRIM(UPPER(D133)),2,1))&lt;=90,CODE(MID(TRIM(UPPER(D133)),3,1))&gt;=65,CODE(MID(TRIM(UPPER(D133)),3,1))&lt;=90,CODE(MID(TRIM(UPPER(D133)),4,1))&gt;=65,CODE(MID(TRIM(UPPER(D133)),4,1))&lt;=90,CODE(MID(TRIM(UPPER(D133)),5,1))&gt;=65,CODE(MID(TRIM(UPPER(D133)),5,1))&lt;=90,CODE(MID(TRIM(UPPER(D133)),10,1))&gt;=65,CODE(MID(TRIM(UPPER(D133)),10,1))&lt;=90,CODE(MID(TRIM(UPPER(D133)),6,1))&gt;=48,CODE(MID(TRIM(UPPER(D133)),6,1))&lt;=57,CODE(MID(TRIM(UPPER(D133)),7,1))&gt;=48,CODE(MID(TRIM(UPPER(D133)),7,1))&lt;=57,CODE(MID(TRIM(UPPER(D133)),8,1))&gt;=48,CODE(MID(TRIM(UPPER(D133)),8,1))&lt;=57,CODE(MID(TRIM(UPPER(D133)),9,1))&gt;=48,CODE(MID(TRIM(UPPER(D133)),9,1))&lt;=57),"N","Y"))</f>
      </c>
      <c r="F133" s="7">
        <f>IF($C133="","",IF(LEN(D133)&lt;4,"",IF(UPPER(MID(D133,4,1))="P","Individual",IF(UPPER(MID(D133,4,1))="H","HUF",IF(UPPER(MID(D133,4,1))="C","Company",IF(UPPER(MID(D133,4,1))="F","Firm",IF(UPPER(MID(D133,4,1))="L","LLP",IF(UPPER(MID(D133,4,1))="T","Trust",IF(UPPER(MID(D133,4,1))="A","AOP","")))))))))</f>
      </c>
      <c r="G133" s="8"/>
      <c r="H133" s="7">
        <f>IF($C133="","",IF(R133&lt;&gt;"",R133,IF(G133="","",IF(E133="Y",SUMPRODUCT(('Rate Lookup'!$A$1:$A$37=G133)*'Rate Lookup'!$D$1:$D$37),IF(OR(F133="Individual",F133="HUF"),SUMPRODUCT(('Rate Lookup'!$A$1:$A$37=G133)*'Rate Lookup'!$B$1:$B$37),SUMPRODUCT(('Rate Lookup'!$A$1:$A$37=G133)*'Rate Lookup'!$C$1:$C$37)))))))</f>
      </c>
      <c r="I133" s="8"/>
      <c r="J133" s="8"/>
      <c r="K133" s="7">
        <f>IF($C133="","",IF(OR(P133="B",P133="D",P133="E",P133="N",P133="O",P133="P",P133="Q",P133="S",P133="Y",P133="Z"),0,ROUND(J133*H133/100,0)))</f>
      </c>
      <c r="L133" s="7">
        <f>IF($C133="","",0)</f>
      </c>
      <c r="M133" s="7">
        <f>IF($C133="","",0)</f>
      </c>
      <c r="N133" s="7">
        <f>IF($C133="","",IF(OR(K133=0,I133="",IFERROR(INDEX('Challan Master'!$D$4:$D$207,MATCH($B133,'Challan Master'!$S$4:$S$207,0)),"")="",IFERROR(INDEX('Challan Master'!$D$4:$D$207,MATCH($B133,'Challan Master'!$S$4:$S$207,0)),"")&lt;=0),0,IF(IFERROR(INDEX('Challan Master'!$D$4:$D$207,MATCH($B133,'Challan Master'!$S$4:$S$207,0)),"")&lt;=DATE(YEAR(I133),MONTH(I133)+1,7),0,ROUND(K133*0.015*((YEAR(IFERROR(INDEX('Challan Master'!$D$4:$D$207,MATCH($B133,'Challan Master'!$S$4:$S$207,0)),""))-YEAR(I133))*12+(MONTH(IFERROR(INDEX('Challan Master'!$D$4:$D$207,MATCH($B133,'Challan Master'!$S$4:$S$207,0)),""))-MONTH(I133))+1),0))))</f>
      </c>
      <c r="O133" s="7">
        <f>IF($C133="","",0)</f>
      </c>
      <c r="P133" s="8"/>
      <c r="Q133" s="8"/>
      <c r="R133" s="8"/>
      <c r="S133" s="8"/>
      <c r="T133" s="8"/>
      <c r="U133" s="7">
        <f>IF($B133="","",IFERROR(INDEX('Challan Master'!$AA$4:$AA$207,MATCH($B133,'Challan Master'!$S$4:$S$207,0)),""))</f>
      </c>
    </row>
    <row r="134" spans="1:22" x14ac:dyDescent="0.25">
      <c r="A134" s="7">
        <f>IF($C134="","",COUNTIF($C$4:$C134,"&lt;&gt;"))</f>
      </c>
      <c r="B134" s="8"/>
      <c r="C134" s="8"/>
      <c r="D134" s="8"/>
      <c r="E134" s="7">
        <f>IF($C134="","",IF(AND(LEN(TRIM(UPPER(D134)))=10,CODE(MID(TRIM(UPPER(D134)),1,1))&gt;=65,CODE(MID(TRIM(UPPER(D134)),1,1))&lt;=90,CODE(MID(TRIM(UPPER(D134)),2,1))&gt;=65,CODE(MID(TRIM(UPPER(D134)),2,1))&lt;=90,CODE(MID(TRIM(UPPER(D134)),3,1))&gt;=65,CODE(MID(TRIM(UPPER(D134)),3,1))&lt;=90,CODE(MID(TRIM(UPPER(D134)),4,1))&gt;=65,CODE(MID(TRIM(UPPER(D134)),4,1))&lt;=90,CODE(MID(TRIM(UPPER(D134)),5,1))&gt;=65,CODE(MID(TRIM(UPPER(D134)),5,1))&lt;=90,CODE(MID(TRIM(UPPER(D134)),10,1))&gt;=65,CODE(MID(TRIM(UPPER(D134)),10,1))&lt;=90,CODE(MID(TRIM(UPPER(D134)),6,1))&gt;=48,CODE(MID(TRIM(UPPER(D134)),6,1))&lt;=57,CODE(MID(TRIM(UPPER(D134)),7,1))&gt;=48,CODE(MID(TRIM(UPPER(D134)),7,1))&lt;=57,CODE(MID(TRIM(UPPER(D134)),8,1))&gt;=48,CODE(MID(TRIM(UPPER(D134)),8,1))&lt;=57,CODE(MID(TRIM(UPPER(D134)),9,1))&gt;=48,CODE(MID(TRIM(UPPER(D134)),9,1))&lt;=57),"N","Y"))</f>
      </c>
      <c r="F134" s="7">
        <f>IF($C134="","",IF(LEN(D134)&lt;4,"",IF(UPPER(MID(D134,4,1))="P","Individual",IF(UPPER(MID(D134,4,1))="H","HUF",IF(UPPER(MID(D134,4,1))="C","Company",IF(UPPER(MID(D134,4,1))="F","Firm",IF(UPPER(MID(D134,4,1))="L","LLP",IF(UPPER(MID(D134,4,1))="T","Trust",IF(UPPER(MID(D134,4,1))="A","AOP","")))))))))</f>
      </c>
      <c r="G134" s="8"/>
      <c r="H134" s="7">
        <f>IF($C134="","",IF(R134&lt;&gt;"",R134,IF(G134="","",IF(E134="Y",SUMPRODUCT(('Rate Lookup'!$A$1:$A$37=G134)*'Rate Lookup'!$D$1:$D$37),IF(OR(F134="Individual",F134="HUF"),SUMPRODUCT(('Rate Lookup'!$A$1:$A$37=G134)*'Rate Lookup'!$B$1:$B$37),SUMPRODUCT(('Rate Lookup'!$A$1:$A$37=G134)*'Rate Lookup'!$C$1:$C$37)))))))</f>
      </c>
      <c r="I134" s="8"/>
      <c r="J134" s="8"/>
      <c r="K134" s="7">
        <f>IF($C134="","",IF(OR(P134="B",P134="D",P134="E",P134="N",P134="O",P134="P",P134="Q",P134="S",P134="Y",P134="Z"),0,ROUND(J134*H134/100,0)))</f>
      </c>
      <c r="L134" s="7">
        <f>IF($C134="","",0)</f>
      </c>
      <c r="M134" s="7">
        <f>IF($C134="","",0)</f>
      </c>
      <c r="N134" s="7">
        <f>IF($C134="","",IF(OR(K134=0,I134="",IFERROR(INDEX('Challan Master'!$D$4:$D$207,MATCH($B134,'Challan Master'!$S$4:$S$207,0)),"")="",IFERROR(INDEX('Challan Master'!$D$4:$D$207,MATCH($B134,'Challan Master'!$S$4:$S$207,0)),"")&lt;=0),0,IF(IFERROR(INDEX('Challan Master'!$D$4:$D$207,MATCH($B134,'Challan Master'!$S$4:$S$207,0)),"")&lt;=DATE(YEAR(I134),MONTH(I134)+1,7),0,ROUND(K134*0.015*((YEAR(IFERROR(INDEX('Challan Master'!$D$4:$D$207,MATCH($B134,'Challan Master'!$S$4:$S$207,0)),""))-YEAR(I134))*12+(MONTH(IFERROR(INDEX('Challan Master'!$D$4:$D$207,MATCH($B134,'Challan Master'!$S$4:$S$207,0)),""))-MONTH(I134))+1),0))))</f>
      </c>
      <c r="O134" s="7">
        <f>IF($C134="","",0)</f>
      </c>
      <c r="P134" s="8"/>
      <c r="Q134" s="8"/>
      <c r="R134" s="8"/>
      <c r="S134" s="8"/>
      <c r="T134" s="8"/>
      <c r="U134" s="7">
        <f>IF($B134="","",IFERROR(INDEX('Challan Master'!$AA$4:$AA$207,MATCH($B134,'Challan Master'!$S$4:$S$207,0)),""))</f>
      </c>
    </row>
    <row r="135" spans="1:22" x14ac:dyDescent="0.25">
      <c r="A135" s="7">
        <f>IF($C135="","",COUNTIF($C$4:$C135,"&lt;&gt;"))</f>
      </c>
      <c r="B135" s="8"/>
      <c r="C135" s="8"/>
      <c r="D135" s="8"/>
      <c r="E135" s="7">
        <f>IF($C135="","",IF(AND(LEN(TRIM(UPPER(D135)))=10,CODE(MID(TRIM(UPPER(D135)),1,1))&gt;=65,CODE(MID(TRIM(UPPER(D135)),1,1))&lt;=90,CODE(MID(TRIM(UPPER(D135)),2,1))&gt;=65,CODE(MID(TRIM(UPPER(D135)),2,1))&lt;=90,CODE(MID(TRIM(UPPER(D135)),3,1))&gt;=65,CODE(MID(TRIM(UPPER(D135)),3,1))&lt;=90,CODE(MID(TRIM(UPPER(D135)),4,1))&gt;=65,CODE(MID(TRIM(UPPER(D135)),4,1))&lt;=90,CODE(MID(TRIM(UPPER(D135)),5,1))&gt;=65,CODE(MID(TRIM(UPPER(D135)),5,1))&lt;=90,CODE(MID(TRIM(UPPER(D135)),10,1))&gt;=65,CODE(MID(TRIM(UPPER(D135)),10,1))&lt;=90,CODE(MID(TRIM(UPPER(D135)),6,1))&gt;=48,CODE(MID(TRIM(UPPER(D135)),6,1))&lt;=57,CODE(MID(TRIM(UPPER(D135)),7,1))&gt;=48,CODE(MID(TRIM(UPPER(D135)),7,1))&lt;=57,CODE(MID(TRIM(UPPER(D135)),8,1))&gt;=48,CODE(MID(TRIM(UPPER(D135)),8,1))&lt;=57,CODE(MID(TRIM(UPPER(D135)),9,1))&gt;=48,CODE(MID(TRIM(UPPER(D135)),9,1))&lt;=57),"N","Y"))</f>
      </c>
      <c r="F135" s="7">
        <f>IF($C135="","",IF(LEN(D135)&lt;4,"",IF(UPPER(MID(D135,4,1))="P","Individual",IF(UPPER(MID(D135,4,1))="H","HUF",IF(UPPER(MID(D135,4,1))="C","Company",IF(UPPER(MID(D135,4,1))="F","Firm",IF(UPPER(MID(D135,4,1))="L","LLP",IF(UPPER(MID(D135,4,1))="T","Trust",IF(UPPER(MID(D135,4,1))="A","AOP","")))))))))</f>
      </c>
      <c r="G135" s="8"/>
      <c r="H135" s="7">
        <f>IF($C135="","",IF(R135&lt;&gt;"",R135,IF(G135="","",IF(E135="Y",SUMPRODUCT(('Rate Lookup'!$A$1:$A$37=G135)*'Rate Lookup'!$D$1:$D$37),IF(OR(F135="Individual",F135="HUF"),SUMPRODUCT(('Rate Lookup'!$A$1:$A$37=G135)*'Rate Lookup'!$B$1:$B$37),SUMPRODUCT(('Rate Lookup'!$A$1:$A$37=G135)*'Rate Lookup'!$C$1:$C$37)))))))</f>
      </c>
      <c r="I135" s="8"/>
      <c r="J135" s="8"/>
      <c r="K135" s="7">
        <f>IF($C135="","",IF(OR(P135="B",P135="D",P135="E",P135="N",P135="O",P135="P",P135="Q",P135="S",P135="Y",P135="Z"),0,ROUND(J135*H135/100,0)))</f>
      </c>
      <c r="L135" s="7">
        <f>IF($C135="","",0)</f>
      </c>
      <c r="M135" s="7">
        <f>IF($C135="","",0)</f>
      </c>
      <c r="N135" s="7">
        <f>IF($C135="","",IF(OR(K135=0,I135="",IFERROR(INDEX('Challan Master'!$D$4:$D$207,MATCH($B135,'Challan Master'!$S$4:$S$207,0)),"")="",IFERROR(INDEX('Challan Master'!$D$4:$D$207,MATCH($B135,'Challan Master'!$S$4:$S$207,0)),"")&lt;=0),0,IF(IFERROR(INDEX('Challan Master'!$D$4:$D$207,MATCH($B135,'Challan Master'!$S$4:$S$207,0)),"")&lt;=DATE(YEAR(I135),MONTH(I135)+1,7),0,ROUND(K135*0.015*((YEAR(IFERROR(INDEX('Challan Master'!$D$4:$D$207,MATCH($B135,'Challan Master'!$S$4:$S$207,0)),""))-YEAR(I135))*12+(MONTH(IFERROR(INDEX('Challan Master'!$D$4:$D$207,MATCH($B135,'Challan Master'!$S$4:$S$207,0)),""))-MONTH(I135))+1),0))))</f>
      </c>
      <c r="O135" s="7">
        <f>IF($C135="","",0)</f>
      </c>
      <c r="P135" s="8"/>
      <c r="Q135" s="8"/>
      <c r="R135" s="8"/>
      <c r="S135" s="8"/>
      <c r="T135" s="8"/>
      <c r="U135" s="7">
        <f>IF($B135="","",IFERROR(INDEX('Challan Master'!$AA$4:$AA$207,MATCH($B135,'Challan Master'!$S$4:$S$207,0)),""))</f>
      </c>
    </row>
    <row r="136" spans="1:22" x14ac:dyDescent="0.25">
      <c r="A136" s="7">
        <f>IF($C136="","",COUNTIF($C$4:$C136,"&lt;&gt;"))</f>
      </c>
      <c r="B136" s="8"/>
      <c r="C136" s="8"/>
      <c r="D136" s="8"/>
      <c r="E136" s="7">
        <f>IF($C136="","",IF(AND(LEN(TRIM(UPPER(D136)))=10,CODE(MID(TRIM(UPPER(D136)),1,1))&gt;=65,CODE(MID(TRIM(UPPER(D136)),1,1))&lt;=90,CODE(MID(TRIM(UPPER(D136)),2,1))&gt;=65,CODE(MID(TRIM(UPPER(D136)),2,1))&lt;=90,CODE(MID(TRIM(UPPER(D136)),3,1))&gt;=65,CODE(MID(TRIM(UPPER(D136)),3,1))&lt;=90,CODE(MID(TRIM(UPPER(D136)),4,1))&gt;=65,CODE(MID(TRIM(UPPER(D136)),4,1))&lt;=90,CODE(MID(TRIM(UPPER(D136)),5,1))&gt;=65,CODE(MID(TRIM(UPPER(D136)),5,1))&lt;=90,CODE(MID(TRIM(UPPER(D136)),10,1))&gt;=65,CODE(MID(TRIM(UPPER(D136)),10,1))&lt;=90,CODE(MID(TRIM(UPPER(D136)),6,1))&gt;=48,CODE(MID(TRIM(UPPER(D136)),6,1))&lt;=57,CODE(MID(TRIM(UPPER(D136)),7,1))&gt;=48,CODE(MID(TRIM(UPPER(D136)),7,1))&lt;=57,CODE(MID(TRIM(UPPER(D136)),8,1))&gt;=48,CODE(MID(TRIM(UPPER(D136)),8,1))&lt;=57,CODE(MID(TRIM(UPPER(D136)),9,1))&gt;=48,CODE(MID(TRIM(UPPER(D136)),9,1))&lt;=57),"N","Y"))</f>
      </c>
      <c r="F136" s="7">
        <f>IF($C136="","",IF(LEN(D136)&lt;4,"",IF(UPPER(MID(D136,4,1))="P","Individual",IF(UPPER(MID(D136,4,1))="H","HUF",IF(UPPER(MID(D136,4,1))="C","Company",IF(UPPER(MID(D136,4,1))="F","Firm",IF(UPPER(MID(D136,4,1))="L","LLP",IF(UPPER(MID(D136,4,1))="T","Trust",IF(UPPER(MID(D136,4,1))="A","AOP","")))))))))</f>
      </c>
      <c r="G136" s="8"/>
      <c r="H136" s="7">
        <f>IF($C136="","",IF(R136&lt;&gt;"",R136,IF(G136="","",IF(E136="Y",SUMPRODUCT(('Rate Lookup'!$A$1:$A$37=G136)*'Rate Lookup'!$D$1:$D$37),IF(OR(F136="Individual",F136="HUF"),SUMPRODUCT(('Rate Lookup'!$A$1:$A$37=G136)*'Rate Lookup'!$B$1:$B$37),SUMPRODUCT(('Rate Lookup'!$A$1:$A$37=G136)*'Rate Lookup'!$C$1:$C$37)))))))</f>
      </c>
      <c r="I136" s="8"/>
      <c r="J136" s="8"/>
      <c r="K136" s="7">
        <f>IF($C136="","",IF(OR(P136="B",P136="D",P136="E",P136="N",P136="O",P136="P",P136="Q",P136="S",P136="Y",P136="Z"),0,ROUND(J136*H136/100,0)))</f>
      </c>
      <c r="L136" s="7">
        <f>IF($C136="","",0)</f>
      </c>
      <c r="M136" s="7">
        <f>IF($C136="","",0)</f>
      </c>
      <c r="N136" s="7">
        <f>IF($C136="","",IF(OR(K136=0,I136="",IFERROR(INDEX('Challan Master'!$D$4:$D$207,MATCH($B136,'Challan Master'!$S$4:$S$207,0)),"")="",IFERROR(INDEX('Challan Master'!$D$4:$D$207,MATCH($B136,'Challan Master'!$S$4:$S$207,0)),"")&lt;=0),0,IF(IFERROR(INDEX('Challan Master'!$D$4:$D$207,MATCH($B136,'Challan Master'!$S$4:$S$207,0)),"")&lt;=DATE(YEAR(I136),MONTH(I136)+1,7),0,ROUND(K136*0.015*((YEAR(IFERROR(INDEX('Challan Master'!$D$4:$D$207,MATCH($B136,'Challan Master'!$S$4:$S$207,0)),""))-YEAR(I136))*12+(MONTH(IFERROR(INDEX('Challan Master'!$D$4:$D$207,MATCH($B136,'Challan Master'!$S$4:$S$207,0)),""))-MONTH(I136))+1),0))))</f>
      </c>
      <c r="O136" s="7">
        <f>IF($C136="","",0)</f>
      </c>
      <c r="P136" s="8"/>
      <c r="Q136" s="8"/>
      <c r="R136" s="8"/>
      <c r="S136" s="8"/>
      <c r="T136" s="8"/>
      <c r="U136" s="7">
        <f>IF($B136="","",IFERROR(INDEX('Challan Master'!$AA$4:$AA$207,MATCH($B136,'Challan Master'!$S$4:$S$207,0)),""))</f>
      </c>
    </row>
    <row r="137" spans="1:22" x14ac:dyDescent="0.25">
      <c r="A137" s="7">
        <f>IF($C137="","",COUNTIF($C$4:$C137,"&lt;&gt;"))</f>
      </c>
      <c r="B137" s="8"/>
      <c r="C137" s="8"/>
      <c r="D137" s="8"/>
      <c r="E137" s="7">
        <f>IF($C137="","",IF(AND(LEN(TRIM(UPPER(D137)))=10,CODE(MID(TRIM(UPPER(D137)),1,1))&gt;=65,CODE(MID(TRIM(UPPER(D137)),1,1))&lt;=90,CODE(MID(TRIM(UPPER(D137)),2,1))&gt;=65,CODE(MID(TRIM(UPPER(D137)),2,1))&lt;=90,CODE(MID(TRIM(UPPER(D137)),3,1))&gt;=65,CODE(MID(TRIM(UPPER(D137)),3,1))&lt;=90,CODE(MID(TRIM(UPPER(D137)),4,1))&gt;=65,CODE(MID(TRIM(UPPER(D137)),4,1))&lt;=90,CODE(MID(TRIM(UPPER(D137)),5,1))&gt;=65,CODE(MID(TRIM(UPPER(D137)),5,1))&lt;=90,CODE(MID(TRIM(UPPER(D137)),10,1))&gt;=65,CODE(MID(TRIM(UPPER(D137)),10,1))&lt;=90,CODE(MID(TRIM(UPPER(D137)),6,1))&gt;=48,CODE(MID(TRIM(UPPER(D137)),6,1))&lt;=57,CODE(MID(TRIM(UPPER(D137)),7,1))&gt;=48,CODE(MID(TRIM(UPPER(D137)),7,1))&lt;=57,CODE(MID(TRIM(UPPER(D137)),8,1))&gt;=48,CODE(MID(TRIM(UPPER(D137)),8,1))&lt;=57,CODE(MID(TRIM(UPPER(D137)),9,1))&gt;=48,CODE(MID(TRIM(UPPER(D137)),9,1))&lt;=57),"N","Y"))</f>
      </c>
      <c r="F137" s="7">
        <f>IF($C137="","",IF(LEN(D137)&lt;4,"",IF(UPPER(MID(D137,4,1))="P","Individual",IF(UPPER(MID(D137,4,1))="H","HUF",IF(UPPER(MID(D137,4,1))="C","Company",IF(UPPER(MID(D137,4,1))="F","Firm",IF(UPPER(MID(D137,4,1))="L","LLP",IF(UPPER(MID(D137,4,1))="T","Trust",IF(UPPER(MID(D137,4,1))="A","AOP","")))))))))</f>
      </c>
      <c r="G137" s="8"/>
      <c r="H137" s="7">
        <f>IF($C137="","",IF(R137&lt;&gt;"",R137,IF(G137="","",IF(E137="Y",SUMPRODUCT(('Rate Lookup'!$A$1:$A$37=G137)*'Rate Lookup'!$D$1:$D$37),IF(OR(F137="Individual",F137="HUF"),SUMPRODUCT(('Rate Lookup'!$A$1:$A$37=G137)*'Rate Lookup'!$B$1:$B$37),SUMPRODUCT(('Rate Lookup'!$A$1:$A$37=G137)*'Rate Lookup'!$C$1:$C$37)))))))</f>
      </c>
      <c r="I137" s="8"/>
      <c r="J137" s="8"/>
      <c r="K137" s="7">
        <f>IF($C137="","",IF(OR(P137="B",P137="D",P137="E",P137="N",P137="O",P137="P",P137="Q",P137="S",P137="Y",P137="Z"),0,ROUND(J137*H137/100,0)))</f>
      </c>
      <c r="L137" s="7">
        <f>IF($C137="","",0)</f>
      </c>
      <c r="M137" s="7">
        <f>IF($C137="","",0)</f>
      </c>
      <c r="N137" s="7">
        <f>IF($C137="","",IF(OR(K137=0,I137="",IFERROR(INDEX('Challan Master'!$D$4:$D$207,MATCH($B137,'Challan Master'!$S$4:$S$207,0)),"")="",IFERROR(INDEX('Challan Master'!$D$4:$D$207,MATCH($B137,'Challan Master'!$S$4:$S$207,0)),"")&lt;=0),0,IF(IFERROR(INDEX('Challan Master'!$D$4:$D$207,MATCH($B137,'Challan Master'!$S$4:$S$207,0)),"")&lt;=DATE(YEAR(I137),MONTH(I137)+1,7),0,ROUND(K137*0.015*((YEAR(IFERROR(INDEX('Challan Master'!$D$4:$D$207,MATCH($B137,'Challan Master'!$S$4:$S$207,0)),""))-YEAR(I137))*12+(MONTH(IFERROR(INDEX('Challan Master'!$D$4:$D$207,MATCH($B137,'Challan Master'!$S$4:$S$207,0)),""))-MONTH(I137))+1),0))))</f>
      </c>
      <c r="O137" s="7">
        <f>IF($C137="","",0)</f>
      </c>
      <c r="P137" s="8"/>
      <c r="Q137" s="8"/>
      <c r="R137" s="8"/>
      <c r="S137" s="8"/>
      <c r="T137" s="8"/>
      <c r="U137" s="7">
        <f>IF($B137="","",IFERROR(INDEX('Challan Master'!$AA$4:$AA$207,MATCH($B137,'Challan Master'!$S$4:$S$207,0)),""))</f>
      </c>
    </row>
    <row r="138" spans="1:22" x14ac:dyDescent="0.25">
      <c r="A138" s="7">
        <f>IF($C138="","",COUNTIF($C$4:$C138,"&lt;&gt;"))</f>
      </c>
      <c r="B138" s="8"/>
      <c r="C138" s="8"/>
      <c r="D138" s="8"/>
      <c r="E138" s="7">
        <f>IF($C138="","",IF(AND(LEN(TRIM(UPPER(D138)))=10,CODE(MID(TRIM(UPPER(D138)),1,1))&gt;=65,CODE(MID(TRIM(UPPER(D138)),1,1))&lt;=90,CODE(MID(TRIM(UPPER(D138)),2,1))&gt;=65,CODE(MID(TRIM(UPPER(D138)),2,1))&lt;=90,CODE(MID(TRIM(UPPER(D138)),3,1))&gt;=65,CODE(MID(TRIM(UPPER(D138)),3,1))&lt;=90,CODE(MID(TRIM(UPPER(D138)),4,1))&gt;=65,CODE(MID(TRIM(UPPER(D138)),4,1))&lt;=90,CODE(MID(TRIM(UPPER(D138)),5,1))&gt;=65,CODE(MID(TRIM(UPPER(D138)),5,1))&lt;=90,CODE(MID(TRIM(UPPER(D138)),10,1))&gt;=65,CODE(MID(TRIM(UPPER(D138)),10,1))&lt;=90,CODE(MID(TRIM(UPPER(D138)),6,1))&gt;=48,CODE(MID(TRIM(UPPER(D138)),6,1))&lt;=57,CODE(MID(TRIM(UPPER(D138)),7,1))&gt;=48,CODE(MID(TRIM(UPPER(D138)),7,1))&lt;=57,CODE(MID(TRIM(UPPER(D138)),8,1))&gt;=48,CODE(MID(TRIM(UPPER(D138)),8,1))&lt;=57,CODE(MID(TRIM(UPPER(D138)),9,1))&gt;=48,CODE(MID(TRIM(UPPER(D138)),9,1))&lt;=57),"N","Y"))</f>
      </c>
      <c r="F138" s="7">
        <f>IF($C138="","",IF(LEN(D138)&lt;4,"",IF(UPPER(MID(D138,4,1))="P","Individual",IF(UPPER(MID(D138,4,1))="H","HUF",IF(UPPER(MID(D138,4,1))="C","Company",IF(UPPER(MID(D138,4,1))="F","Firm",IF(UPPER(MID(D138,4,1))="L","LLP",IF(UPPER(MID(D138,4,1))="T","Trust",IF(UPPER(MID(D138,4,1))="A","AOP","")))))))))</f>
      </c>
      <c r="G138" s="8"/>
      <c r="H138" s="7">
        <f>IF($C138="","",IF(R138&lt;&gt;"",R138,IF(G138="","",IF(E138="Y",SUMPRODUCT(('Rate Lookup'!$A$1:$A$37=G138)*'Rate Lookup'!$D$1:$D$37),IF(OR(F138="Individual",F138="HUF"),SUMPRODUCT(('Rate Lookup'!$A$1:$A$37=G138)*'Rate Lookup'!$B$1:$B$37),SUMPRODUCT(('Rate Lookup'!$A$1:$A$37=G138)*'Rate Lookup'!$C$1:$C$37)))))))</f>
      </c>
      <c r="I138" s="8"/>
      <c r="J138" s="8"/>
      <c r="K138" s="7">
        <f>IF($C138="","",IF(OR(P138="B",P138="D",P138="E",P138="N",P138="O",P138="P",P138="Q",P138="S",P138="Y",P138="Z"),0,ROUND(J138*H138/100,0)))</f>
      </c>
      <c r="L138" s="7">
        <f>IF($C138="","",0)</f>
      </c>
      <c r="M138" s="7">
        <f>IF($C138="","",0)</f>
      </c>
      <c r="N138" s="7">
        <f>IF($C138="","",IF(OR(K138=0,I138="",IFERROR(INDEX('Challan Master'!$D$4:$D$207,MATCH($B138,'Challan Master'!$S$4:$S$207,0)),"")="",IFERROR(INDEX('Challan Master'!$D$4:$D$207,MATCH($B138,'Challan Master'!$S$4:$S$207,0)),"")&lt;=0),0,IF(IFERROR(INDEX('Challan Master'!$D$4:$D$207,MATCH($B138,'Challan Master'!$S$4:$S$207,0)),"")&lt;=DATE(YEAR(I138),MONTH(I138)+1,7),0,ROUND(K138*0.015*((YEAR(IFERROR(INDEX('Challan Master'!$D$4:$D$207,MATCH($B138,'Challan Master'!$S$4:$S$207,0)),""))-YEAR(I138))*12+(MONTH(IFERROR(INDEX('Challan Master'!$D$4:$D$207,MATCH($B138,'Challan Master'!$S$4:$S$207,0)),""))-MONTH(I138))+1),0))))</f>
      </c>
      <c r="O138" s="7">
        <f>IF($C138="","",0)</f>
      </c>
      <c r="P138" s="8"/>
      <c r="Q138" s="8"/>
      <c r="R138" s="8"/>
      <c r="S138" s="8"/>
      <c r="T138" s="8"/>
      <c r="U138" s="7">
        <f>IF($B138="","",IFERROR(INDEX('Challan Master'!$AA$4:$AA$207,MATCH($B138,'Challan Master'!$S$4:$S$207,0)),""))</f>
      </c>
    </row>
    <row r="139" spans="1:22" x14ac:dyDescent="0.25">
      <c r="A139" s="7">
        <f>IF($C139="","",COUNTIF($C$4:$C139,"&lt;&gt;"))</f>
      </c>
      <c r="B139" s="8"/>
      <c r="C139" s="8"/>
      <c r="D139" s="8"/>
      <c r="E139" s="7">
        <f>IF($C139="","",IF(AND(LEN(TRIM(UPPER(D139)))=10,CODE(MID(TRIM(UPPER(D139)),1,1))&gt;=65,CODE(MID(TRIM(UPPER(D139)),1,1))&lt;=90,CODE(MID(TRIM(UPPER(D139)),2,1))&gt;=65,CODE(MID(TRIM(UPPER(D139)),2,1))&lt;=90,CODE(MID(TRIM(UPPER(D139)),3,1))&gt;=65,CODE(MID(TRIM(UPPER(D139)),3,1))&lt;=90,CODE(MID(TRIM(UPPER(D139)),4,1))&gt;=65,CODE(MID(TRIM(UPPER(D139)),4,1))&lt;=90,CODE(MID(TRIM(UPPER(D139)),5,1))&gt;=65,CODE(MID(TRIM(UPPER(D139)),5,1))&lt;=90,CODE(MID(TRIM(UPPER(D139)),10,1))&gt;=65,CODE(MID(TRIM(UPPER(D139)),10,1))&lt;=90,CODE(MID(TRIM(UPPER(D139)),6,1))&gt;=48,CODE(MID(TRIM(UPPER(D139)),6,1))&lt;=57,CODE(MID(TRIM(UPPER(D139)),7,1))&gt;=48,CODE(MID(TRIM(UPPER(D139)),7,1))&lt;=57,CODE(MID(TRIM(UPPER(D139)),8,1))&gt;=48,CODE(MID(TRIM(UPPER(D139)),8,1))&lt;=57,CODE(MID(TRIM(UPPER(D139)),9,1))&gt;=48,CODE(MID(TRIM(UPPER(D139)),9,1))&lt;=57),"N","Y"))</f>
      </c>
      <c r="F139" s="7">
        <f>IF($C139="","",IF(LEN(D139)&lt;4,"",IF(UPPER(MID(D139,4,1))="P","Individual",IF(UPPER(MID(D139,4,1))="H","HUF",IF(UPPER(MID(D139,4,1))="C","Company",IF(UPPER(MID(D139,4,1))="F","Firm",IF(UPPER(MID(D139,4,1))="L","LLP",IF(UPPER(MID(D139,4,1))="T","Trust",IF(UPPER(MID(D139,4,1))="A","AOP","")))))))))</f>
      </c>
      <c r="G139" s="8"/>
      <c r="H139" s="7">
        <f>IF($C139="","",IF(R139&lt;&gt;"",R139,IF(G139="","",IF(E139="Y",SUMPRODUCT(('Rate Lookup'!$A$1:$A$37=G139)*'Rate Lookup'!$D$1:$D$37),IF(OR(F139="Individual",F139="HUF"),SUMPRODUCT(('Rate Lookup'!$A$1:$A$37=G139)*'Rate Lookup'!$B$1:$B$37),SUMPRODUCT(('Rate Lookup'!$A$1:$A$37=G139)*'Rate Lookup'!$C$1:$C$37)))))))</f>
      </c>
      <c r="I139" s="8"/>
      <c r="J139" s="8"/>
      <c r="K139" s="7">
        <f>IF($C139="","",IF(OR(P139="B",P139="D",P139="E",P139="N",P139="O",P139="P",P139="Q",P139="S",P139="Y",P139="Z"),0,ROUND(J139*H139/100,0)))</f>
      </c>
      <c r="L139" s="7">
        <f>IF($C139="","",0)</f>
      </c>
      <c r="M139" s="7">
        <f>IF($C139="","",0)</f>
      </c>
      <c r="N139" s="7">
        <f>IF($C139="","",IF(OR(K139=0,I139="",IFERROR(INDEX('Challan Master'!$D$4:$D$207,MATCH($B139,'Challan Master'!$S$4:$S$207,0)),"")="",IFERROR(INDEX('Challan Master'!$D$4:$D$207,MATCH($B139,'Challan Master'!$S$4:$S$207,0)),"")&lt;=0),0,IF(IFERROR(INDEX('Challan Master'!$D$4:$D$207,MATCH($B139,'Challan Master'!$S$4:$S$207,0)),"")&lt;=DATE(YEAR(I139),MONTH(I139)+1,7),0,ROUND(K139*0.015*((YEAR(IFERROR(INDEX('Challan Master'!$D$4:$D$207,MATCH($B139,'Challan Master'!$S$4:$S$207,0)),""))-YEAR(I139))*12+(MONTH(IFERROR(INDEX('Challan Master'!$D$4:$D$207,MATCH($B139,'Challan Master'!$S$4:$S$207,0)),""))-MONTH(I139))+1),0))))</f>
      </c>
      <c r="O139" s="7">
        <f>IF($C139="","",0)</f>
      </c>
      <c r="P139" s="8"/>
      <c r="Q139" s="8"/>
      <c r="R139" s="8"/>
      <c r="S139" s="8"/>
      <c r="T139" s="8"/>
      <c r="U139" s="7">
        <f>IF($B139="","",IFERROR(INDEX('Challan Master'!$AA$4:$AA$207,MATCH($B139,'Challan Master'!$S$4:$S$207,0)),""))</f>
      </c>
    </row>
    <row r="140" spans="1:22" x14ac:dyDescent="0.25">
      <c r="A140" s="7">
        <f>IF($C140="","",COUNTIF($C$4:$C140,"&lt;&gt;"))</f>
      </c>
      <c r="B140" s="8"/>
      <c r="C140" s="8"/>
      <c r="D140" s="8"/>
      <c r="E140" s="7">
        <f>IF($C140="","",IF(AND(LEN(TRIM(UPPER(D140)))=10,CODE(MID(TRIM(UPPER(D140)),1,1))&gt;=65,CODE(MID(TRIM(UPPER(D140)),1,1))&lt;=90,CODE(MID(TRIM(UPPER(D140)),2,1))&gt;=65,CODE(MID(TRIM(UPPER(D140)),2,1))&lt;=90,CODE(MID(TRIM(UPPER(D140)),3,1))&gt;=65,CODE(MID(TRIM(UPPER(D140)),3,1))&lt;=90,CODE(MID(TRIM(UPPER(D140)),4,1))&gt;=65,CODE(MID(TRIM(UPPER(D140)),4,1))&lt;=90,CODE(MID(TRIM(UPPER(D140)),5,1))&gt;=65,CODE(MID(TRIM(UPPER(D140)),5,1))&lt;=90,CODE(MID(TRIM(UPPER(D140)),10,1))&gt;=65,CODE(MID(TRIM(UPPER(D140)),10,1))&lt;=90,CODE(MID(TRIM(UPPER(D140)),6,1))&gt;=48,CODE(MID(TRIM(UPPER(D140)),6,1))&lt;=57,CODE(MID(TRIM(UPPER(D140)),7,1))&gt;=48,CODE(MID(TRIM(UPPER(D140)),7,1))&lt;=57,CODE(MID(TRIM(UPPER(D140)),8,1))&gt;=48,CODE(MID(TRIM(UPPER(D140)),8,1))&lt;=57,CODE(MID(TRIM(UPPER(D140)),9,1))&gt;=48,CODE(MID(TRIM(UPPER(D140)),9,1))&lt;=57),"N","Y"))</f>
      </c>
      <c r="F140" s="7">
        <f>IF($C140="","",IF(LEN(D140)&lt;4,"",IF(UPPER(MID(D140,4,1))="P","Individual",IF(UPPER(MID(D140,4,1))="H","HUF",IF(UPPER(MID(D140,4,1))="C","Company",IF(UPPER(MID(D140,4,1))="F","Firm",IF(UPPER(MID(D140,4,1))="L","LLP",IF(UPPER(MID(D140,4,1))="T","Trust",IF(UPPER(MID(D140,4,1))="A","AOP","")))))))))</f>
      </c>
      <c r="G140" s="8"/>
      <c r="H140" s="7">
        <f>IF($C140="","",IF(R140&lt;&gt;"",R140,IF(G140="","",IF(E140="Y",SUMPRODUCT(('Rate Lookup'!$A$1:$A$37=G140)*'Rate Lookup'!$D$1:$D$37),IF(OR(F140="Individual",F140="HUF"),SUMPRODUCT(('Rate Lookup'!$A$1:$A$37=G140)*'Rate Lookup'!$B$1:$B$37),SUMPRODUCT(('Rate Lookup'!$A$1:$A$37=G140)*'Rate Lookup'!$C$1:$C$37)))))))</f>
      </c>
      <c r="I140" s="8"/>
      <c r="J140" s="8"/>
      <c r="K140" s="7">
        <f>IF($C140="","",IF(OR(P140="B",P140="D",P140="E",P140="N",P140="O",P140="P",P140="Q",P140="S",P140="Y",P140="Z"),0,ROUND(J140*H140/100,0)))</f>
      </c>
      <c r="L140" s="7">
        <f>IF($C140="","",0)</f>
      </c>
      <c r="M140" s="7">
        <f>IF($C140="","",0)</f>
      </c>
      <c r="N140" s="7">
        <f>IF($C140="","",IF(OR(K140=0,I140="",IFERROR(INDEX('Challan Master'!$D$4:$D$207,MATCH($B140,'Challan Master'!$S$4:$S$207,0)),"")="",IFERROR(INDEX('Challan Master'!$D$4:$D$207,MATCH($B140,'Challan Master'!$S$4:$S$207,0)),"")&lt;=0),0,IF(IFERROR(INDEX('Challan Master'!$D$4:$D$207,MATCH($B140,'Challan Master'!$S$4:$S$207,0)),"")&lt;=DATE(YEAR(I140),MONTH(I140)+1,7),0,ROUND(K140*0.015*((YEAR(IFERROR(INDEX('Challan Master'!$D$4:$D$207,MATCH($B140,'Challan Master'!$S$4:$S$207,0)),""))-YEAR(I140))*12+(MONTH(IFERROR(INDEX('Challan Master'!$D$4:$D$207,MATCH($B140,'Challan Master'!$S$4:$S$207,0)),""))-MONTH(I140))+1),0))))</f>
      </c>
      <c r="O140" s="7">
        <f>IF($C140="","",0)</f>
      </c>
      <c r="P140" s="8"/>
      <c r="Q140" s="8"/>
      <c r="R140" s="8"/>
      <c r="S140" s="8"/>
      <c r="T140" s="8"/>
      <c r="U140" s="7">
        <f>IF($B140="","",IFERROR(INDEX('Challan Master'!$AA$4:$AA$207,MATCH($B140,'Challan Master'!$S$4:$S$207,0)),""))</f>
      </c>
    </row>
    <row r="141" spans="1:22" x14ac:dyDescent="0.25">
      <c r="A141" s="7">
        <f>IF($C141="","",COUNTIF($C$4:$C141,"&lt;&gt;"))</f>
      </c>
      <c r="B141" s="8"/>
      <c r="C141" s="8"/>
      <c r="D141" s="8"/>
      <c r="E141" s="7">
        <f>IF($C141="","",IF(AND(LEN(TRIM(UPPER(D141)))=10,CODE(MID(TRIM(UPPER(D141)),1,1))&gt;=65,CODE(MID(TRIM(UPPER(D141)),1,1))&lt;=90,CODE(MID(TRIM(UPPER(D141)),2,1))&gt;=65,CODE(MID(TRIM(UPPER(D141)),2,1))&lt;=90,CODE(MID(TRIM(UPPER(D141)),3,1))&gt;=65,CODE(MID(TRIM(UPPER(D141)),3,1))&lt;=90,CODE(MID(TRIM(UPPER(D141)),4,1))&gt;=65,CODE(MID(TRIM(UPPER(D141)),4,1))&lt;=90,CODE(MID(TRIM(UPPER(D141)),5,1))&gt;=65,CODE(MID(TRIM(UPPER(D141)),5,1))&lt;=90,CODE(MID(TRIM(UPPER(D141)),10,1))&gt;=65,CODE(MID(TRIM(UPPER(D141)),10,1))&lt;=90,CODE(MID(TRIM(UPPER(D141)),6,1))&gt;=48,CODE(MID(TRIM(UPPER(D141)),6,1))&lt;=57,CODE(MID(TRIM(UPPER(D141)),7,1))&gt;=48,CODE(MID(TRIM(UPPER(D141)),7,1))&lt;=57,CODE(MID(TRIM(UPPER(D141)),8,1))&gt;=48,CODE(MID(TRIM(UPPER(D141)),8,1))&lt;=57,CODE(MID(TRIM(UPPER(D141)),9,1))&gt;=48,CODE(MID(TRIM(UPPER(D141)),9,1))&lt;=57),"N","Y"))</f>
      </c>
      <c r="F141" s="7">
        <f>IF($C141="","",IF(LEN(D141)&lt;4,"",IF(UPPER(MID(D141,4,1))="P","Individual",IF(UPPER(MID(D141,4,1))="H","HUF",IF(UPPER(MID(D141,4,1))="C","Company",IF(UPPER(MID(D141,4,1))="F","Firm",IF(UPPER(MID(D141,4,1))="L","LLP",IF(UPPER(MID(D141,4,1))="T","Trust",IF(UPPER(MID(D141,4,1))="A","AOP","")))))))))</f>
      </c>
      <c r="G141" s="8"/>
      <c r="H141" s="7">
        <f>IF($C141="","",IF(R141&lt;&gt;"",R141,IF(G141="","",IF(E141="Y",SUMPRODUCT(('Rate Lookup'!$A$1:$A$37=G141)*'Rate Lookup'!$D$1:$D$37),IF(OR(F141="Individual",F141="HUF"),SUMPRODUCT(('Rate Lookup'!$A$1:$A$37=G141)*'Rate Lookup'!$B$1:$B$37),SUMPRODUCT(('Rate Lookup'!$A$1:$A$37=G141)*'Rate Lookup'!$C$1:$C$37)))))))</f>
      </c>
      <c r="I141" s="8"/>
      <c r="J141" s="8"/>
      <c r="K141" s="7">
        <f>IF($C141="","",IF(OR(P141="B",P141="D",P141="E",P141="N",P141="O",P141="P",P141="Q",P141="S",P141="Y",P141="Z"),0,ROUND(J141*H141/100,0)))</f>
      </c>
      <c r="L141" s="7">
        <f>IF($C141="","",0)</f>
      </c>
      <c r="M141" s="7">
        <f>IF($C141="","",0)</f>
      </c>
      <c r="N141" s="7">
        <f>IF($C141="","",IF(OR(K141=0,I141="",IFERROR(INDEX('Challan Master'!$D$4:$D$207,MATCH($B141,'Challan Master'!$S$4:$S$207,0)),"")="",IFERROR(INDEX('Challan Master'!$D$4:$D$207,MATCH($B141,'Challan Master'!$S$4:$S$207,0)),"")&lt;=0),0,IF(IFERROR(INDEX('Challan Master'!$D$4:$D$207,MATCH($B141,'Challan Master'!$S$4:$S$207,0)),"")&lt;=DATE(YEAR(I141),MONTH(I141)+1,7),0,ROUND(K141*0.015*((YEAR(IFERROR(INDEX('Challan Master'!$D$4:$D$207,MATCH($B141,'Challan Master'!$S$4:$S$207,0)),""))-YEAR(I141))*12+(MONTH(IFERROR(INDEX('Challan Master'!$D$4:$D$207,MATCH($B141,'Challan Master'!$S$4:$S$207,0)),""))-MONTH(I141))+1),0))))</f>
      </c>
      <c r="O141" s="7">
        <f>IF($C141="","",0)</f>
      </c>
      <c r="P141" s="8"/>
      <c r="Q141" s="8"/>
      <c r="R141" s="8"/>
      <c r="S141" s="8"/>
      <c r="T141" s="8"/>
      <c r="U141" s="7">
        <f>IF($B141="","",IFERROR(INDEX('Challan Master'!$AA$4:$AA$207,MATCH($B141,'Challan Master'!$S$4:$S$207,0)),""))</f>
      </c>
    </row>
    <row r="142" spans="1:22" x14ac:dyDescent="0.25">
      <c r="A142" s="7">
        <f>IF($C142="","",COUNTIF($C$4:$C142,"&lt;&gt;"))</f>
      </c>
      <c r="B142" s="8"/>
      <c r="C142" s="8"/>
      <c r="D142" s="8"/>
      <c r="E142" s="7">
        <f>IF($C142="","",IF(AND(LEN(TRIM(UPPER(D142)))=10,CODE(MID(TRIM(UPPER(D142)),1,1))&gt;=65,CODE(MID(TRIM(UPPER(D142)),1,1))&lt;=90,CODE(MID(TRIM(UPPER(D142)),2,1))&gt;=65,CODE(MID(TRIM(UPPER(D142)),2,1))&lt;=90,CODE(MID(TRIM(UPPER(D142)),3,1))&gt;=65,CODE(MID(TRIM(UPPER(D142)),3,1))&lt;=90,CODE(MID(TRIM(UPPER(D142)),4,1))&gt;=65,CODE(MID(TRIM(UPPER(D142)),4,1))&lt;=90,CODE(MID(TRIM(UPPER(D142)),5,1))&gt;=65,CODE(MID(TRIM(UPPER(D142)),5,1))&lt;=90,CODE(MID(TRIM(UPPER(D142)),10,1))&gt;=65,CODE(MID(TRIM(UPPER(D142)),10,1))&lt;=90,CODE(MID(TRIM(UPPER(D142)),6,1))&gt;=48,CODE(MID(TRIM(UPPER(D142)),6,1))&lt;=57,CODE(MID(TRIM(UPPER(D142)),7,1))&gt;=48,CODE(MID(TRIM(UPPER(D142)),7,1))&lt;=57,CODE(MID(TRIM(UPPER(D142)),8,1))&gt;=48,CODE(MID(TRIM(UPPER(D142)),8,1))&lt;=57,CODE(MID(TRIM(UPPER(D142)),9,1))&gt;=48,CODE(MID(TRIM(UPPER(D142)),9,1))&lt;=57),"N","Y"))</f>
      </c>
      <c r="F142" s="7">
        <f>IF($C142="","",IF(LEN(D142)&lt;4,"",IF(UPPER(MID(D142,4,1))="P","Individual",IF(UPPER(MID(D142,4,1))="H","HUF",IF(UPPER(MID(D142,4,1))="C","Company",IF(UPPER(MID(D142,4,1))="F","Firm",IF(UPPER(MID(D142,4,1))="L","LLP",IF(UPPER(MID(D142,4,1))="T","Trust",IF(UPPER(MID(D142,4,1))="A","AOP","")))))))))</f>
      </c>
      <c r="G142" s="8"/>
      <c r="H142" s="7">
        <f>IF($C142="","",IF(R142&lt;&gt;"",R142,IF(G142="","",IF(E142="Y",SUMPRODUCT(('Rate Lookup'!$A$1:$A$37=G142)*'Rate Lookup'!$D$1:$D$37),IF(OR(F142="Individual",F142="HUF"),SUMPRODUCT(('Rate Lookup'!$A$1:$A$37=G142)*'Rate Lookup'!$B$1:$B$37),SUMPRODUCT(('Rate Lookup'!$A$1:$A$37=G142)*'Rate Lookup'!$C$1:$C$37)))))))</f>
      </c>
      <c r="I142" s="8"/>
      <c r="J142" s="8"/>
      <c r="K142" s="7">
        <f>IF($C142="","",IF(OR(P142="B",P142="D",P142="E",P142="N",P142="O",P142="P",P142="Q",P142="S",P142="Y",P142="Z"),0,ROUND(J142*H142/100,0)))</f>
      </c>
      <c r="L142" s="7">
        <f>IF($C142="","",0)</f>
      </c>
      <c r="M142" s="7">
        <f>IF($C142="","",0)</f>
      </c>
      <c r="N142" s="7">
        <f>IF($C142="","",IF(OR(K142=0,I142="",IFERROR(INDEX('Challan Master'!$D$4:$D$207,MATCH($B142,'Challan Master'!$S$4:$S$207,0)),"")="",IFERROR(INDEX('Challan Master'!$D$4:$D$207,MATCH($B142,'Challan Master'!$S$4:$S$207,0)),"")&lt;=0),0,IF(IFERROR(INDEX('Challan Master'!$D$4:$D$207,MATCH($B142,'Challan Master'!$S$4:$S$207,0)),"")&lt;=DATE(YEAR(I142),MONTH(I142)+1,7),0,ROUND(K142*0.015*((YEAR(IFERROR(INDEX('Challan Master'!$D$4:$D$207,MATCH($B142,'Challan Master'!$S$4:$S$207,0)),""))-YEAR(I142))*12+(MONTH(IFERROR(INDEX('Challan Master'!$D$4:$D$207,MATCH($B142,'Challan Master'!$S$4:$S$207,0)),""))-MONTH(I142))+1),0))))</f>
      </c>
      <c r="O142" s="7">
        <f>IF($C142="","",0)</f>
      </c>
      <c r="P142" s="8"/>
      <c r="Q142" s="8"/>
      <c r="R142" s="8"/>
      <c r="S142" s="8"/>
      <c r="T142" s="8"/>
      <c r="U142" s="7">
        <f>IF($B142="","",IFERROR(INDEX('Challan Master'!$AA$4:$AA$207,MATCH($B142,'Challan Master'!$S$4:$S$207,0)),""))</f>
      </c>
    </row>
    <row r="143" spans="1:22" x14ac:dyDescent="0.25">
      <c r="A143" s="7">
        <f>IF($C143="","",COUNTIF($C$4:$C143,"&lt;&gt;"))</f>
      </c>
      <c r="B143" s="8"/>
      <c r="C143" s="8"/>
      <c r="D143" s="8"/>
      <c r="E143" s="7">
        <f>IF($C143="","",IF(AND(LEN(TRIM(UPPER(D143)))=10,CODE(MID(TRIM(UPPER(D143)),1,1))&gt;=65,CODE(MID(TRIM(UPPER(D143)),1,1))&lt;=90,CODE(MID(TRIM(UPPER(D143)),2,1))&gt;=65,CODE(MID(TRIM(UPPER(D143)),2,1))&lt;=90,CODE(MID(TRIM(UPPER(D143)),3,1))&gt;=65,CODE(MID(TRIM(UPPER(D143)),3,1))&lt;=90,CODE(MID(TRIM(UPPER(D143)),4,1))&gt;=65,CODE(MID(TRIM(UPPER(D143)),4,1))&lt;=90,CODE(MID(TRIM(UPPER(D143)),5,1))&gt;=65,CODE(MID(TRIM(UPPER(D143)),5,1))&lt;=90,CODE(MID(TRIM(UPPER(D143)),10,1))&gt;=65,CODE(MID(TRIM(UPPER(D143)),10,1))&lt;=90,CODE(MID(TRIM(UPPER(D143)),6,1))&gt;=48,CODE(MID(TRIM(UPPER(D143)),6,1))&lt;=57,CODE(MID(TRIM(UPPER(D143)),7,1))&gt;=48,CODE(MID(TRIM(UPPER(D143)),7,1))&lt;=57,CODE(MID(TRIM(UPPER(D143)),8,1))&gt;=48,CODE(MID(TRIM(UPPER(D143)),8,1))&lt;=57,CODE(MID(TRIM(UPPER(D143)),9,1))&gt;=48,CODE(MID(TRIM(UPPER(D143)),9,1))&lt;=57),"N","Y"))</f>
      </c>
      <c r="F143" s="7">
        <f>IF($C143="","",IF(LEN(D143)&lt;4,"",IF(UPPER(MID(D143,4,1))="P","Individual",IF(UPPER(MID(D143,4,1))="H","HUF",IF(UPPER(MID(D143,4,1))="C","Company",IF(UPPER(MID(D143,4,1))="F","Firm",IF(UPPER(MID(D143,4,1))="L","LLP",IF(UPPER(MID(D143,4,1))="T","Trust",IF(UPPER(MID(D143,4,1))="A","AOP","")))))))))</f>
      </c>
      <c r="G143" s="8"/>
      <c r="H143" s="7">
        <f>IF($C143="","",IF(R143&lt;&gt;"",R143,IF(G143="","",IF(E143="Y",SUMPRODUCT(('Rate Lookup'!$A$1:$A$37=G143)*'Rate Lookup'!$D$1:$D$37),IF(OR(F143="Individual",F143="HUF"),SUMPRODUCT(('Rate Lookup'!$A$1:$A$37=G143)*'Rate Lookup'!$B$1:$B$37),SUMPRODUCT(('Rate Lookup'!$A$1:$A$37=G143)*'Rate Lookup'!$C$1:$C$37)))))))</f>
      </c>
      <c r="I143" s="8"/>
      <c r="J143" s="8"/>
      <c r="K143" s="7">
        <f>IF($C143="","",IF(OR(P143="B",P143="D",P143="E",P143="N",P143="O",P143="P",P143="Q",P143="S",P143="Y",P143="Z"),0,ROUND(J143*H143/100,0)))</f>
      </c>
      <c r="L143" s="7">
        <f>IF($C143="","",0)</f>
      </c>
      <c r="M143" s="7">
        <f>IF($C143="","",0)</f>
      </c>
      <c r="N143" s="7">
        <f>IF($C143="","",IF(OR(K143=0,I143="",IFERROR(INDEX('Challan Master'!$D$4:$D$207,MATCH($B143,'Challan Master'!$S$4:$S$207,0)),"")="",IFERROR(INDEX('Challan Master'!$D$4:$D$207,MATCH($B143,'Challan Master'!$S$4:$S$207,0)),"")&lt;=0),0,IF(IFERROR(INDEX('Challan Master'!$D$4:$D$207,MATCH($B143,'Challan Master'!$S$4:$S$207,0)),"")&lt;=DATE(YEAR(I143),MONTH(I143)+1,7),0,ROUND(K143*0.015*((YEAR(IFERROR(INDEX('Challan Master'!$D$4:$D$207,MATCH($B143,'Challan Master'!$S$4:$S$207,0)),""))-YEAR(I143))*12+(MONTH(IFERROR(INDEX('Challan Master'!$D$4:$D$207,MATCH($B143,'Challan Master'!$S$4:$S$207,0)),""))-MONTH(I143))+1),0))))</f>
      </c>
      <c r="O143" s="7">
        <f>IF($C143="","",0)</f>
      </c>
      <c r="P143" s="8"/>
      <c r="Q143" s="8"/>
      <c r="R143" s="8"/>
      <c r="S143" s="8"/>
      <c r="T143" s="8"/>
      <c r="U143" s="7">
        <f>IF($B143="","",IFERROR(INDEX('Challan Master'!$AA$4:$AA$207,MATCH($B143,'Challan Master'!$S$4:$S$207,0)),""))</f>
      </c>
    </row>
    <row r="144" spans="1:22" x14ac:dyDescent="0.25">
      <c r="A144" s="7">
        <f>IF($C144="","",COUNTIF($C$4:$C144,"&lt;&gt;"))</f>
      </c>
      <c r="B144" s="8"/>
      <c r="C144" s="8"/>
      <c r="D144" s="8"/>
      <c r="E144" s="7">
        <f>IF($C144="","",IF(AND(LEN(TRIM(UPPER(D144)))=10,CODE(MID(TRIM(UPPER(D144)),1,1))&gt;=65,CODE(MID(TRIM(UPPER(D144)),1,1))&lt;=90,CODE(MID(TRIM(UPPER(D144)),2,1))&gt;=65,CODE(MID(TRIM(UPPER(D144)),2,1))&lt;=90,CODE(MID(TRIM(UPPER(D144)),3,1))&gt;=65,CODE(MID(TRIM(UPPER(D144)),3,1))&lt;=90,CODE(MID(TRIM(UPPER(D144)),4,1))&gt;=65,CODE(MID(TRIM(UPPER(D144)),4,1))&lt;=90,CODE(MID(TRIM(UPPER(D144)),5,1))&gt;=65,CODE(MID(TRIM(UPPER(D144)),5,1))&lt;=90,CODE(MID(TRIM(UPPER(D144)),10,1))&gt;=65,CODE(MID(TRIM(UPPER(D144)),10,1))&lt;=90,CODE(MID(TRIM(UPPER(D144)),6,1))&gt;=48,CODE(MID(TRIM(UPPER(D144)),6,1))&lt;=57,CODE(MID(TRIM(UPPER(D144)),7,1))&gt;=48,CODE(MID(TRIM(UPPER(D144)),7,1))&lt;=57,CODE(MID(TRIM(UPPER(D144)),8,1))&gt;=48,CODE(MID(TRIM(UPPER(D144)),8,1))&lt;=57,CODE(MID(TRIM(UPPER(D144)),9,1))&gt;=48,CODE(MID(TRIM(UPPER(D144)),9,1))&lt;=57),"N","Y"))</f>
      </c>
      <c r="F144" s="7">
        <f>IF($C144="","",IF(LEN(D144)&lt;4,"",IF(UPPER(MID(D144,4,1))="P","Individual",IF(UPPER(MID(D144,4,1))="H","HUF",IF(UPPER(MID(D144,4,1))="C","Company",IF(UPPER(MID(D144,4,1))="F","Firm",IF(UPPER(MID(D144,4,1))="L","LLP",IF(UPPER(MID(D144,4,1))="T","Trust",IF(UPPER(MID(D144,4,1))="A","AOP","")))))))))</f>
      </c>
      <c r="G144" s="8"/>
      <c r="H144" s="7">
        <f>IF($C144="","",IF(R144&lt;&gt;"",R144,IF(G144="","",IF(E144="Y",SUMPRODUCT(('Rate Lookup'!$A$1:$A$37=G144)*'Rate Lookup'!$D$1:$D$37),IF(OR(F144="Individual",F144="HUF"),SUMPRODUCT(('Rate Lookup'!$A$1:$A$37=G144)*'Rate Lookup'!$B$1:$B$37),SUMPRODUCT(('Rate Lookup'!$A$1:$A$37=G144)*'Rate Lookup'!$C$1:$C$37)))))))</f>
      </c>
      <c r="I144" s="8"/>
      <c r="J144" s="8"/>
      <c r="K144" s="7">
        <f>IF($C144="","",IF(OR(P144="B",P144="D",P144="E",P144="N",P144="O",P144="P",P144="Q",P144="S",P144="Y",P144="Z"),0,ROUND(J144*H144/100,0)))</f>
      </c>
      <c r="L144" s="7">
        <f>IF($C144="","",0)</f>
      </c>
      <c r="M144" s="7">
        <f>IF($C144="","",0)</f>
      </c>
      <c r="N144" s="7">
        <f>IF($C144="","",IF(OR(K144=0,I144="",IFERROR(INDEX('Challan Master'!$D$4:$D$207,MATCH($B144,'Challan Master'!$S$4:$S$207,0)),"")="",IFERROR(INDEX('Challan Master'!$D$4:$D$207,MATCH($B144,'Challan Master'!$S$4:$S$207,0)),"")&lt;=0),0,IF(IFERROR(INDEX('Challan Master'!$D$4:$D$207,MATCH($B144,'Challan Master'!$S$4:$S$207,0)),"")&lt;=DATE(YEAR(I144),MONTH(I144)+1,7),0,ROUND(K144*0.015*((YEAR(IFERROR(INDEX('Challan Master'!$D$4:$D$207,MATCH($B144,'Challan Master'!$S$4:$S$207,0)),""))-YEAR(I144))*12+(MONTH(IFERROR(INDEX('Challan Master'!$D$4:$D$207,MATCH($B144,'Challan Master'!$S$4:$S$207,0)),""))-MONTH(I144))+1),0))))</f>
      </c>
      <c r="O144" s="7">
        <f>IF($C144="","",0)</f>
      </c>
      <c r="P144" s="8"/>
      <c r="Q144" s="8"/>
      <c r="R144" s="8"/>
      <c r="S144" s="8"/>
      <c r="T144" s="8"/>
      <c r="U144" s="7">
        <f>IF($B144="","",IFERROR(INDEX('Challan Master'!$AA$4:$AA$207,MATCH($B144,'Challan Master'!$S$4:$S$207,0)),""))</f>
      </c>
    </row>
    <row r="145" spans="1:22" x14ac:dyDescent="0.25">
      <c r="A145" s="7">
        <f>IF($C145="","",COUNTIF($C$4:$C145,"&lt;&gt;"))</f>
      </c>
      <c r="B145" s="8"/>
      <c r="C145" s="8"/>
      <c r="D145" s="8"/>
      <c r="E145" s="7">
        <f>IF($C145="","",IF(AND(LEN(TRIM(UPPER(D145)))=10,CODE(MID(TRIM(UPPER(D145)),1,1))&gt;=65,CODE(MID(TRIM(UPPER(D145)),1,1))&lt;=90,CODE(MID(TRIM(UPPER(D145)),2,1))&gt;=65,CODE(MID(TRIM(UPPER(D145)),2,1))&lt;=90,CODE(MID(TRIM(UPPER(D145)),3,1))&gt;=65,CODE(MID(TRIM(UPPER(D145)),3,1))&lt;=90,CODE(MID(TRIM(UPPER(D145)),4,1))&gt;=65,CODE(MID(TRIM(UPPER(D145)),4,1))&lt;=90,CODE(MID(TRIM(UPPER(D145)),5,1))&gt;=65,CODE(MID(TRIM(UPPER(D145)),5,1))&lt;=90,CODE(MID(TRIM(UPPER(D145)),10,1))&gt;=65,CODE(MID(TRIM(UPPER(D145)),10,1))&lt;=90,CODE(MID(TRIM(UPPER(D145)),6,1))&gt;=48,CODE(MID(TRIM(UPPER(D145)),6,1))&lt;=57,CODE(MID(TRIM(UPPER(D145)),7,1))&gt;=48,CODE(MID(TRIM(UPPER(D145)),7,1))&lt;=57,CODE(MID(TRIM(UPPER(D145)),8,1))&gt;=48,CODE(MID(TRIM(UPPER(D145)),8,1))&lt;=57,CODE(MID(TRIM(UPPER(D145)),9,1))&gt;=48,CODE(MID(TRIM(UPPER(D145)),9,1))&lt;=57),"N","Y"))</f>
      </c>
      <c r="F145" s="7">
        <f>IF($C145="","",IF(LEN(D145)&lt;4,"",IF(UPPER(MID(D145,4,1))="P","Individual",IF(UPPER(MID(D145,4,1))="H","HUF",IF(UPPER(MID(D145,4,1))="C","Company",IF(UPPER(MID(D145,4,1))="F","Firm",IF(UPPER(MID(D145,4,1))="L","LLP",IF(UPPER(MID(D145,4,1))="T","Trust",IF(UPPER(MID(D145,4,1))="A","AOP","")))))))))</f>
      </c>
      <c r="G145" s="8"/>
      <c r="H145" s="7">
        <f>IF($C145="","",IF(R145&lt;&gt;"",R145,IF(G145="","",IF(E145="Y",SUMPRODUCT(('Rate Lookup'!$A$1:$A$37=G145)*'Rate Lookup'!$D$1:$D$37),IF(OR(F145="Individual",F145="HUF"),SUMPRODUCT(('Rate Lookup'!$A$1:$A$37=G145)*'Rate Lookup'!$B$1:$B$37),SUMPRODUCT(('Rate Lookup'!$A$1:$A$37=G145)*'Rate Lookup'!$C$1:$C$37)))))))</f>
      </c>
      <c r="I145" s="8"/>
      <c r="J145" s="8"/>
      <c r="K145" s="7">
        <f>IF($C145="","",IF(OR(P145="B",P145="D",P145="E",P145="N",P145="O",P145="P",P145="Q",P145="S",P145="Y",P145="Z"),0,ROUND(J145*H145/100,0)))</f>
      </c>
      <c r="L145" s="7">
        <f>IF($C145="","",0)</f>
      </c>
      <c r="M145" s="7">
        <f>IF($C145="","",0)</f>
      </c>
      <c r="N145" s="7">
        <f>IF($C145="","",IF(OR(K145=0,I145="",IFERROR(INDEX('Challan Master'!$D$4:$D$207,MATCH($B145,'Challan Master'!$S$4:$S$207,0)),"")="",IFERROR(INDEX('Challan Master'!$D$4:$D$207,MATCH($B145,'Challan Master'!$S$4:$S$207,0)),"")&lt;=0),0,IF(IFERROR(INDEX('Challan Master'!$D$4:$D$207,MATCH($B145,'Challan Master'!$S$4:$S$207,0)),"")&lt;=DATE(YEAR(I145),MONTH(I145)+1,7),0,ROUND(K145*0.015*((YEAR(IFERROR(INDEX('Challan Master'!$D$4:$D$207,MATCH($B145,'Challan Master'!$S$4:$S$207,0)),""))-YEAR(I145))*12+(MONTH(IFERROR(INDEX('Challan Master'!$D$4:$D$207,MATCH($B145,'Challan Master'!$S$4:$S$207,0)),""))-MONTH(I145))+1),0))))</f>
      </c>
      <c r="O145" s="7">
        <f>IF($C145="","",0)</f>
      </c>
      <c r="P145" s="8"/>
      <c r="Q145" s="8"/>
      <c r="R145" s="8"/>
      <c r="S145" s="8"/>
      <c r="T145" s="8"/>
      <c r="U145" s="7">
        <f>IF($B145="","",IFERROR(INDEX('Challan Master'!$AA$4:$AA$207,MATCH($B145,'Challan Master'!$S$4:$S$207,0)),""))</f>
      </c>
    </row>
    <row r="146" spans="1:22" x14ac:dyDescent="0.25">
      <c r="A146" s="7">
        <f>IF($C146="","",COUNTIF($C$4:$C146,"&lt;&gt;"))</f>
      </c>
      <c r="B146" s="8"/>
      <c r="C146" s="8"/>
      <c r="D146" s="8"/>
      <c r="E146" s="7">
        <f>IF($C146="","",IF(AND(LEN(TRIM(UPPER(D146)))=10,CODE(MID(TRIM(UPPER(D146)),1,1))&gt;=65,CODE(MID(TRIM(UPPER(D146)),1,1))&lt;=90,CODE(MID(TRIM(UPPER(D146)),2,1))&gt;=65,CODE(MID(TRIM(UPPER(D146)),2,1))&lt;=90,CODE(MID(TRIM(UPPER(D146)),3,1))&gt;=65,CODE(MID(TRIM(UPPER(D146)),3,1))&lt;=90,CODE(MID(TRIM(UPPER(D146)),4,1))&gt;=65,CODE(MID(TRIM(UPPER(D146)),4,1))&lt;=90,CODE(MID(TRIM(UPPER(D146)),5,1))&gt;=65,CODE(MID(TRIM(UPPER(D146)),5,1))&lt;=90,CODE(MID(TRIM(UPPER(D146)),10,1))&gt;=65,CODE(MID(TRIM(UPPER(D146)),10,1))&lt;=90,CODE(MID(TRIM(UPPER(D146)),6,1))&gt;=48,CODE(MID(TRIM(UPPER(D146)),6,1))&lt;=57,CODE(MID(TRIM(UPPER(D146)),7,1))&gt;=48,CODE(MID(TRIM(UPPER(D146)),7,1))&lt;=57,CODE(MID(TRIM(UPPER(D146)),8,1))&gt;=48,CODE(MID(TRIM(UPPER(D146)),8,1))&lt;=57,CODE(MID(TRIM(UPPER(D146)),9,1))&gt;=48,CODE(MID(TRIM(UPPER(D146)),9,1))&lt;=57),"N","Y"))</f>
      </c>
      <c r="F146" s="7">
        <f>IF($C146="","",IF(LEN(D146)&lt;4,"",IF(UPPER(MID(D146,4,1))="P","Individual",IF(UPPER(MID(D146,4,1))="H","HUF",IF(UPPER(MID(D146,4,1))="C","Company",IF(UPPER(MID(D146,4,1))="F","Firm",IF(UPPER(MID(D146,4,1))="L","LLP",IF(UPPER(MID(D146,4,1))="T","Trust",IF(UPPER(MID(D146,4,1))="A","AOP","")))))))))</f>
      </c>
      <c r="G146" s="8"/>
      <c r="H146" s="7">
        <f>IF($C146="","",IF(R146&lt;&gt;"",R146,IF(G146="","",IF(E146="Y",SUMPRODUCT(('Rate Lookup'!$A$1:$A$37=G146)*'Rate Lookup'!$D$1:$D$37),IF(OR(F146="Individual",F146="HUF"),SUMPRODUCT(('Rate Lookup'!$A$1:$A$37=G146)*'Rate Lookup'!$B$1:$B$37),SUMPRODUCT(('Rate Lookup'!$A$1:$A$37=G146)*'Rate Lookup'!$C$1:$C$37)))))))</f>
      </c>
      <c r="I146" s="8"/>
      <c r="J146" s="8"/>
      <c r="K146" s="7">
        <f>IF($C146="","",IF(OR(P146="B",P146="D",P146="E",P146="N",P146="O",P146="P",P146="Q",P146="S",P146="Y",P146="Z"),0,ROUND(J146*H146/100,0)))</f>
      </c>
      <c r="L146" s="7">
        <f>IF($C146="","",0)</f>
      </c>
      <c r="M146" s="7">
        <f>IF($C146="","",0)</f>
      </c>
      <c r="N146" s="7">
        <f>IF($C146="","",IF(OR(K146=0,I146="",IFERROR(INDEX('Challan Master'!$D$4:$D$207,MATCH($B146,'Challan Master'!$S$4:$S$207,0)),"")="",IFERROR(INDEX('Challan Master'!$D$4:$D$207,MATCH($B146,'Challan Master'!$S$4:$S$207,0)),"")&lt;=0),0,IF(IFERROR(INDEX('Challan Master'!$D$4:$D$207,MATCH($B146,'Challan Master'!$S$4:$S$207,0)),"")&lt;=DATE(YEAR(I146),MONTH(I146)+1,7),0,ROUND(K146*0.015*((YEAR(IFERROR(INDEX('Challan Master'!$D$4:$D$207,MATCH($B146,'Challan Master'!$S$4:$S$207,0)),""))-YEAR(I146))*12+(MONTH(IFERROR(INDEX('Challan Master'!$D$4:$D$207,MATCH($B146,'Challan Master'!$S$4:$S$207,0)),""))-MONTH(I146))+1),0))))</f>
      </c>
      <c r="O146" s="7">
        <f>IF($C146="","",0)</f>
      </c>
      <c r="P146" s="8"/>
      <c r="Q146" s="8"/>
      <c r="R146" s="8"/>
      <c r="S146" s="8"/>
      <c r="T146" s="8"/>
      <c r="U146" s="7">
        <f>IF($B146="","",IFERROR(INDEX('Challan Master'!$AA$4:$AA$207,MATCH($B146,'Challan Master'!$S$4:$S$207,0)),""))</f>
      </c>
    </row>
    <row r="147" spans="1:22" x14ac:dyDescent="0.25">
      <c r="A147" s="7">
        <f>IF($C147="","",COUNTIF($C$4:$C147,"&lt;&gt;"))</f>
      </c>
      <c r="B147" s="8"/>
      <c r="C147" s="8"/>
      <c r="D147" s="8"/>
      <c r="E147" s="7">
        <f>IF($C147="","",IF(AND(LEN(TRIM(UPPER(D147)))=10,CODE(MID(TRIM(UPPER(D147)),1,1))&gt;=65,CODE(MID(TRIM(UPPER(D147)),1,1))&lt;=90,CODE(MID(TRIM(UPPER(D147)),2,1))&gt;=65,CODE(MID(TRIM(UPPER(D147)),2,1))&lt;=90,CODE(MID(TRIM(UPPER(D147)),3,1))&gt;=65,CODE(MID(TRIM(UPPER(D147)),3,1))&lt;=90,CODE(MID(TRIM(UPPER(D147)),4,1))&gt;=65,CODE(MID(TRIM(UPPER(D147)),4,1))&lt;=90,CODE(MID(TRIM(UPPER(D147)),5,1))&gt;=65,CODE(MID(TRIM(UPPER(D147)),5,1))&lt;=90,CODE(MID(TRIM(UPPER(D147)),10,1))&gt;=65,CODE(MID(TRIM(UPPER(D147)),10,1))&lt;=90,CODE(MID(TRIM(UPPER(D147)),6,1))&gt;=48,CODE(MID(TRIM(UPPER(D147)),6,1))&lt;=57,CODE(MID(TRIM(UPPER(D147)),7,1))&gt;=48,CODE(MID(TRIM(UPPER(D147)),7,1))&lt;=57,CODE(MID(TRIM(UPPER(D147)),8,1))&gt;=48,CODE(MID(TRIM(UPPER(D147)),8,1))&lt;=57,CODE(MID(TRIM(UPPER(D147)),9,1))&gt;=48,CODE(MID(TRIM(UPPER(D147)),9,1))&lt;=57),"N","Y"))</f>
      </c>
      <c r="F147" s="7">
        <f>IF($C147="","",IF(LEN(D147)&lt;4,"",IF(UPPER(MID(D147,4,1))="P","Individual",IF(UPPER(MID(D147,4,1))="H","HUF",IF(UPPER(MID(D147,4,1))="C","Company",IF(UPPER(MID(D147,4,1))="F","Firm",IF(UPPER(MID(D147,4,1))="L","LLP",IF(UPPER(MID(D147,4,1))="T","Trust",IF(UPPER(MID(D147,4,1))="A","AOP","")))))))))</f>
      </c>
      <c r="G147" s="8"/>
      <c r="H147" s="7">
        <f>IF($C147="","",IF(R147&lt;&gt;"",R147,IF(G147="","",IF(E147="Y",SUMPRODUCT(('Rate Lookup'!$A$1:$A$37=G147)*'Rate Lookup'!$D$1:$D$37),IF(OR(F147="Individual",F147="HUF"),SUMPRODUCT(('Rate Lookup'!$A$1:$A$37=G147)*'Rate Lookup'!$B$1:$B$37),SUMPRODUCT(('Rate Lookup'!$A$1:$A$37=G147)*'Rate Lookup'!$C$1:$C$37)))))))</f>
      </c>
      <c r="I147" s="8"/>
      <c r="J147" s="8"/>
      <c r="K147" s="7">
        <f>IF($C147="","",IF(OR(P147="B",P147="D",P147="E",P147="N",P147="O",P147="P",P147="Q",P147="S",P147="Y",P147="Z"),0,ROUND(J147*H147/100,0)))</f>
      </c>
      <c r="L147" s="7">
        <f>IF($C147="","",0)</f>
      </c>
      <c r="M147" s="7">
        <f>IF($C147="","",0)</f>
      </c>
      <c r="N147" s="7">
        <f>IF($C147="","",IF(OR(K147=0,I147="",IFERROR(INDEX('Challan Master'!$D$4:$D$207,MATCH($B147,'Challan Master'!$S$4:$S$207,0)),"")="",IFERROR(INDEX('Challan Master'!$D$4:$D$207,MATCH($B147,'Challan Master'!$S$4:$S$207,0)),"")&lt;=0),0,IF(IFERROR(INDEX('Challan Master'!$D$4:$D$207,MATCH($B147,'Challan Master'!$S$4:$S$207,0)),"")&lt;=DATE(YEAR(I147),MONTH(I147)+1,7),0,ROUND(K147*0.015*((YEAR(IFERROR(INDEX('Challan Master'!$D$4:$D$207,MATCH($B147,'Challan Master'!$S$4:$S$207,0)),""))-YEAR(I147))*12+(MONTH(IFERROR(INDEX('Challan Master'!$D$4:$D$207,MATCH($B147,'Challan Master'!$S$4:$S$207,0)),""))-MONTH(I147))+1),0))))</f>
      </c>
      <c r="O147" s="7">
        <f>IF($C147="","",0)</f>
      </c>
      <c r="P147" s="8"/>
      <c r="Q147" s="8"/>
      <c r="R147" s="8"/>
      <c r="S147" s="8"/>
      <c r="T147" s="8"/>
      <c r="U147" s="7">
        <f>IF($B147="","",IFERROR(INDEX('Challan Master'!$AA$4:$AA$207,MATCH($B147,'Challan Master'!$S$4:$S$207,0)),""))</f>
      </c>
    </row>
    <row r="148" spans="1:22" x14ac:dyDescent="0.25">
      <c r="A148" s="7">
        <f>IF($C148="","",COUNTIF($C$4:$C148,"&lt;&gt;"))</f>
      </c>
      <c r="B148" s="8"/>
      <c r="C148" s="8"/>
      <c r="D148" s="8"/>
      <c r="E148" s="7">
        <f>IF($C148="","",IF(AND(LEN(TRIM(UPPER(D148)))=10,CODE(MID(TRIM(UPPER(D148)),1,1))&gt;=65,CODE(MID(TRIM(UPPER(D148)),1,1))&lt;=90,CODE(MID(TRIM(UPPER(D148)),2,1))&gt;=65,CODE(MID(TRIM(UPPER(D148)),2,1))&lt;=90,CODE(MID(TRIM(UPPER(D148)),3,1))&gt;=65,CODE(MID(TRIM(UPPER(D148)),3,1))&lt;=90,CODE(MID(TRIM(UPPER(D148)),4,1))&gt;=65,CODE(MID(TRIM(UPPER(D148)),4,1))&lt;=90,CODE(MID(TRIM(UPPER(D148)),5,1))&gt;=65,CODE(MID(TRIM(UPPER(D148)),5,1))&lt;=90,CODE(MID(TRIM(UPPER(D148)),10,1))&gt;=65,CODE(MID(TRIM(UPPER(D148)),10,1))&lt;=90,CODE(MID(TRIM(UPPER(D148)),6,1))&gt;=48,CODE(MID(TRIM(UPPER(D148)),6,1))&lt;=57,CODE(MID(TRIM(UPPER(D148)),7,1))&gt;=48,CODE(MID(TRIM(UPPER(D148)),7,1))&lt;=57,CODE(MID(TRIM(UPPER(D148)),8,1))&gt;=48,CODE(MID(TRIM(UPPER(D148)),8,1))&lt;=57,CODE(MID(TRIM(UPPER(D148)),9,1))&gt;=48,CODE(MID(TRIM(UPPER(D148)),9,1))&lt;=57),"N","Y"))</f>
      </c>
      <c r="F148" s="7">
        <f>IF($C148="","",IF(LEN(D148)&lt;4,"",IF(UPPER(MID(D148,4,1))="P","Individual",IF(UPPER(MID(D148,4,1))="H","HUF",IF(UPPER(MID(D148,4,1))="C","Company",IF(UPPER(MID(D148,4,1))="F","Firm",IF(UPPER(MID(D148,4,1))="L","LLP",IF(UPPER(MID(D148,4,1))="T","Trust",IF(UPPER(MID(D148,4,1))="A","AOP","")))))))))</f>
      </c>
      <c r="G148" s="8"/>
      <c r="H148" s="7">
        <f>IF($C148="","",IF(R148&lt;&gt;"",R148,IF(G148="","",IF(E148="Y",SUMPRODUCT(('Rate Lookup'!$A$1:$A$37=G148)*'Rate Lookup'!$D$1:$D$37),IF(OR(F148="Individual",F148="HUF"),SUMPRODUCT(('Rate Lookup'!$A$1:$A$37=G148)*'Rate Lookup'!$B$1:$B$37),SUMPRODUCT(('Rate Lookup'!$A$1:$A$37=G148)*'Rate Lookup'!$C$1:$C$37)))))))</f>
      </c>
      <c r="I148" s="8"/>
      <c r="J148" s="8"/>
      <c r="K148" s="7">
        <f>IF($C148="","",IF(OR(P148="B",P148="D",P148="E",P148="N",P148="O",P148="P",P148="Q",P148="S",P148="Y",P148="Z"),0,ROUND(J148*H148/100,0)))</f>
      </c>
      <c r="L148" s="7">
        <f>IF($C148="","",0)</f>
      </c>
      <c r="M148" s="7">
        <f>IF($C148="","",0)</f>
      </c>
      <c r="N148" s="7">
        <f>IF($C148="","",IF(OR(K148=0,I148="",IFERROR(INDEX('Challan Master'!$D$4:$D$207,MATCH($B148,'Challan Master'!$S$4:$S$207,0)),"")="",IFERROR(INDEX('Challan Master'!$D$4:$D$207,MATCH($B148,'Challan Master'!$S$4:$S$207,0)),"")&lt;=0),0,IF(IFERROR(INDEX('Challan Master'!$D$4:$D$207,MATCH($B148,'Challan Master'!$S$4:$S$207,0)),"")&lt;=DATE(YEAR(I148),MONTH(I148)+1,7),0,ROUND(K148*0.015*((YEAR(IFERROR(INDEX('Challan Master'!$D$4:$D$207,MATCH($B148,'Challan Master'!$S$4:$S$207,0)),""))-YEAR(I148))*12+(MONTH(IFERROR(INDEX('Challan Master'!$D$4:$D$207,MATCH($B148,'Challan Master'!$S$4:$S$207,0)),""))-MONTH(I148))+1),0))))</f>
      </c>
      <c r="O148" s="7">
        <f>IF($C148="","",0)</f>
      </c>
      <c r="P148" s="8"/>
      <c r="Q148" s="8"/>
      <c r="R148" s="8"/>
      <c r="S148" s="8"/>
      <c r="T148" s="8"/>
      <c r="U148" s="7">
        <f>IF($B148="","",IFERROR(INDEX('Challan Master'!$AA$4:$AA$207,MATCH($B148,'Challan Master'!$S$4:$S$207,0)),""))</f>
      </c>
    </row>
    <row r="149" spans="1:22" x14ac:dyDescent="0.25">
      <c r="A149" s="7">
        <f>IF($C149="","",COUNTIF($C$4:$C149,"&lt;&gt;"))</f>
      </c>
      <c r="B149" s="8"/>
      <c r="C149" s="8"/>
      <c r="D149" s="8"/>
      <c r="E149" s="7">
        <f>IF($C149="","",IF(AND(LEN(TRIM(UPPER(D149)))=10,CODE(MID(TRIM(UPPER(D149)),1,1))&gt;=65,CODE(MID(TRIM(UPPER(D149)),1,1))&lt;=90,CODE(MID(TRIM(UPPER(D149)),2,1))&gt;=65,CODE(MID(TRIM(UPPER(D149)),2,1))&lt;=90,CODE(MID(TRIM(UPPER(D149)),3,1))&gt;=65,CODE(MID(TRIM(UPPER(D149)),3,1))&lt;=90,CODE(MID(TRIM(UPPER(D149)),4,1))&gt;=65,CODE(MID(TRIM(UPPER(D149)),4,1))&lt;=90,CODE(MID(TRIM(UPPER(D149)),5,1))&gt;=65,CODE(MID(TRIM(UPPER(D149)),5,1))&lt;=90,CODE(MID(TRIM(UPPER(D149)),10,1))&gt;=65,CODE(MID(TRIM(UPPER(D149)),10,1))&lt;=90,CODE(MID(TRIM(UPPER(D149)),6,1))&gt;=48,CODE(MID(TRIM(UPPER(D149)),6,1))&lt;=57,CODE(MID(TRIM(UPPER(D149)),7,1))&gt;=48,CODE(MID(TRIM(UPPER(D149)),7,1))&lt;=57,CODE(MID(TRIM(UPPER(D149)),8,1))&gt;=48,CODE(MID(TRIM(UPPER(D149)),8,1))&lt;=57,CODE(MID(TRIM(UPPER(D149)),9,1))&gt;=48,CODE(MID(TRIM(UPPER(D149)),9,1))&lt;=57),"N","Y"))</f>
      </c>
      <c r="F149" s="7">
        <f>IF($C149="","",IF(LEN(D149)&lt;4,"",IF(UPPER(MID(D149,4,1))="P","Individual",IF(UPPER(MID(D149,4,1))="H","HUF",IF(UPPER(MID(D149,4,1))="C","Company",IF(UPPER(MID(D149,4,1))="F","Firm",IF(UPPER(MID(D149,4,1))="L","LLP",IF(UPPER(MID(D149,4,1))="T","Trust",IF(UPPER(MID(D149,4,1))="A","AOP","")))))))))</f>
      </c>
      <c r="G149" s="8"/>
      <c r="H149" s="7">
        <f>IF($C149="","",IF(R149&lt;&gt;"",R149,IF(G149="","",IF(E149="Y",SUMPRODUCT(('Rate Lookup'!$A$1:$A$37=G149)*'Rate Lookup'!$D$1:$D$37),IF(OR(F149="Individual",F149="HUF"),SUMPRODUCT(('Rate Lookup'!$A$1:$A$37=G149)*'Rate Lookup'!$B$1:$B$37),SUMPRODUCT(('Rate Lookup'!$A$1:$A$37=G149)*'Rate Lookup'!$C$1:$C$37)))))))</f>
      </c>
      <c r="I149" s="8"/>
      <c r="J149" s="8"/>
      <c r="K149" s="7">
        <f>IF($C149="","",IF(OR(P149="B",P149="D",P149="E",P149="N",P149="O",P149="P",P149="Q",P149="S",P149="Y",P149="Z"),0,ROUND(J149*H149/100,0)))</f>
      </c>
      <c r="L149" s="7">
        <f>IF($C149="","",0)</f>
      </c>
      <c r="M149" s="7">
        <f>IF($C149="","",0)</f>
      </c>
      <c r="N149" s="7">
        <f>IF($C149="","",IF(OR(K149=0,I149="",IFERROR(INDEX('Challan Master'!$D$4:$D$207,MATCH($B149,'Challan Master'!$S$4:$S$207,0)),"")="",IFERROR(INDEX('Challan Master'!$D$4:$D$207,MATCH($B149,'Challan Master'!$S$4:$S$207,0)),"")&lt;=0),0,IF(IFERROR(INDEX('Challan Master'!$D$4:$D$207,MATCH($B149,'Challan Master'!$S$4:$S$207,0)),"")&lt;=DATE(YEAR(I149),MONTH(I149)+1,7),0,ROUND(K149*0.015*((YEAR(IFERROR(INDEX('Challan Master'!$D$4:$D$207,MATCH($B149,'Challan Master'!$S$4:$S$207,0)),""))-YEAR(I149))*12+(MONTH(IFERROR(INDEX('Challan Master'!$D$4:$D$207,MATCH($B149,'Challan Master'!$S$4:$S$207,0)),""))-MONTH(I149))+1),0))))</f>
      </c>
      <c r="O149" s="7">
        <f>IF($C149="","",0)</f>
      </c>
      <c r="P149" s="8"/>
      <c r="Q149" s="8"/>
      <c r="R149" s="8"/>
      <c r="S149" s="8"/>
      <c r="T149" s="8"/>
      <c r="U149" s="7">
        <f>IF($B149="","",IFERROR(INDEX('Challan Master'!$AA$4:$AA$207,MATCH($B149,'Challan Master'!$S$4:$S$207,0)),""))</f>
      </c>
    </row>
    <row r="150" spans="1:22" x14ac:dyDescent="0.25">
      <c r="A150" s="7">
        <f>IF($C150="","",COUNTIF($C$4:$C150,"&lt;&gt;"))</f>
      </c>
      <c r="B150" s="8"/>
      <c r="C150" s="8"/>
      <c r="D150" s="8"/>
      <c r="E150" s="7">
        <f>IF($C150="","",IF(AND(LEN(TRIM(UPPER(D150)))=10,CODE(MID(TRIM(UPPER(D150)),1,1))&gt;=65,CODE(MID(TRIM(UPPER(D150)),1,1))&lt;=90,CODE(MID(TRIM(UPPER(D150)),2,1))&gt;=65,CODE(MID(TRIM(UPPER(D150)),2,1))&lt;=90,CODE(MID(TRIM(UPPER(D150)),3,1))&gt;=65,CODE(MID(TRIM(UPPER(D150)),3,1))&lt;=90,CODE(MID(TRIM(UPPER(D150)),4,1))&gt;=65,CODE(MID(TRIM(UPPER(D150)),4,1))&lt;=90,CODE(MID(TRIM(UPPER(D150)),5,1))&gt;=65,CODE(MID(TRIM(UPPER(D150)),5,1))&lt;=90,CODE(MID(TRIM(UPPER(D150)),10,1))&gt;=65,CODE(MID(TRIM(UPPER(D150)),10,1))&lt;=90,CODE(MID(TRIM(UPPER(D150)),6,1))&gt;=48,CODE(MID(TRIM(UPPER(D150)),6,1))&lt;=57,CODE(MID(TRIM(UPPER(D150)),7,1))&gt;=48,CODE(MID(TRIM(UPPER(D150)),7,1))&lt;=57,CODE(MID(TRIM(UPPER(D150)),8,1))&gt;=48,CODE(MID(TRIM(UPPER(D150)),8,1))&lt;=57,CODE(MID(TRIM(UPPER(D150)),9,1))&gt;=48,CODE(MID(TRIM(UPPER(D150)),9,1))&lt;=57),"N","Y"))</f>
      </c>
      <c r="F150" s="7">
        <f>IF($C150="","",IF(LEN(D150)&lt;4,"",IF(UPPER(MID(D150,4,1))="P","Individual",IF(UPPER(MID(D150,4,1))="H","HUF",IF(UPPER(MID(D150,4,1))="C","Company",IF(UPPER(MID(D150,4,1))="F","Firm",IF(UPPER(MID(D150,4,1))="L","LLP",IF(UPPER(MID(D150,4,1))="T","Trust",IF(UPPER(MID(D150,4,1))="A","AOP","")))))))))</f>
      </c>
      <c r="G150" s="8"/>
      <c r="H150" s="7">
        <f>IF($C150="","",IF(R150&lt;&gt;"",R150,IF(G150="","",IF(E150="Y",SUMPRODUCT(('Rate Lookup'!$A$1:$A$37=G150)*'Rate Lookup'!$D$1:$D$37),IF(OR(F150="Individual",F150="HUF"),SUMPRODUCT(('Rate Lookup'!$A$1:$A$37=G150)*'Rate Lookup'!$B$1:$B$37),SUMPRODUCT(('Rate Lookup'!$A$1:$A$37=G150)*'Rate Lookup'!$C$1:$C$37)))))))</f>
      </c>
      <c r="I150" s="8"/>
      <c r="J150" s="8"/>
      <c r="K150" s="7">
        <f>IF($C150="","",IF(OR(P150="B",P150="D",P150="E",P150="N",P150="O",P150="P",P150="Q",P150="S",P150="Y",P150="Z"),0,ROUND(J150*H150/100,0)))</f>
      </c>
      <c r="L150" s="7">
        <f>IF($C150="","",0)</f>
      </c>
      <c r="M150" s="7">
        <f>IF($C150="","",0)</f>
      </c>
      <c r="N150" s="7">
        <f>IF($C150="","",IF(OR(K150=0,I150="",IFERROR(INDEX('Challan Master'!$D$4:$D$207,MATCH($B150,'Challan Master'!$S$4:$S$207,0)),"")="",IFERROR(INDEX('Challan Master'!$D$4:$D$207,MATCH($B150,'Challan Master'!$S$4:$S$207,0)),"")&lt;=0),0,IF(IFERROR(INDEX('Challan Master'!$D$4:$D$207,MATCH($B150,'Challan Master'!$S$4:$S$207,0)),"")&lt;=DATE(YEAR(I150),MONTH(I150)+1,7),0,ROUND(K150*0.015*((YEAR(IFERROR(INDEX('Challan Master'!$D$4:$D$207,MATCH($B150,'Challan Master'!$S$4:$S$207,0)),""))-YEAR(I150))*12+(MONTH(IFERROR(INDEX('Challan Master'!$D$4:$D$207,MATCH($B150,'Challan Master'!$S$4:$S$207,0)),""))-MONTH(I150))+1),0))))</f>
      </c>
      <c r="O150" s="7">
        <f>IF($C150="","",0)</f>
      </c>
      <c r="P150" s="8"/>
      <c r="Q150" s="8"/>
      <c r="R150" s="8"/>
      <c r="S150" s="8"/>
      <c r="T150" s="8"/>
      <c r="U150" s="7">
        <f>IF($B150="","",IFERROR(INDEX('Challan Master'!$AA$4:$AA$207,MATCH($B150,'Challan Master'!$S$4:$S$207,0)),""))</f>
      </c>
    </row>
    <row r="151" spans="1:22" x14ac:dyDescent="0.25">
      <c r="A151" s="7">
        <f>IF($C151="","",COUNTIF($C$4:$C151,"&lt;&gt;"))</f>
      </c>
      <c r="B151" s="8"/>
      <c r="C151" s="8"/>
      <c r="D151" s="8"/>
      <c r="E151" s="7">
        <f>IF($C151="","",IF(AND(LEN(TRIM(UPPER(D151)))=10,CODE(MID(TRIM(UPPER(D151)),1,1))&gt;=65,CODE(MID(TRIM(UPPER(D151)),1,1))&lt;=90,CODE(MID(TRIM(UPPER(D151)),2,1))&gt;=65,CODE(MID(TRIM(UPPER(D151)),2,1))&lt;=90,CODE(MID(TRIM(UPPER(D151)),3,1))&gt;=65,CODE(MID(TRIM(UPPER(D151)),3,1))&lt;=90,CODE(MID(TRIM(UPPER(D151)),4,1))&gt;=65,CODE(MID(TRIM(UPPER(D151)),4,1))&lt;=90,CODE(MID(TRIM(UPPER(D151)),5,1))&gt;=65,CODE(MID(TRIM(UPPER(D151)),5,1))&lt;=90,CODE(MID(TRIM(UPPER(D151)),10,1))&gt;=65,CODE(MID(TRIM(UPPER(D151)),10,1))&lt;=90,CODE(MID(TRIM(UPPER(D151)),6,1))&gt;=48,CODE(MID(TRIM(UPPER(D151)),6,1))&lt;=57,CODE(MID(TRIM(UPPER(D151)),7,1))&gt;=48,CODE(MID(TRIM(UPPER(D151)),7,1))&lt;=57,CODE(MID(TRIM(UPPER(D151)),8,1))&gt;=48,CODE(MID(TRIM(UPPER(D151)),8,1))&lt;=57,CODE(MID(TRIM(UPPER(D151)),9,1))&gt;=48,CODE(MID(TRIM(UPPER(D151)),9,1))&lt;=57),"N","Y"))</f>
      </c>
      <c r="F151" s="7">
        <f>IF($C151="","",IF(LEN(D151)&lt;4,"",IF(UPPER(MID(D151,4,1))="P","Individual",IF(UPPER(MID(D151,4,1))="H","HUF",IF(UPPER(MID(D151,4,1))="C","Company",IF(UPPER(MID(D151,4,1))="F","Firm",IF(UPPER(MID(D151,4,1))="L","LLP",IF(UPPER(MID(D151,4,1))="T","Trust",IF(UPPER(MID(D151,4,1))="A","AOP","")))))))))</f>
      </c>
      <c r="G151" s="8"/>
      <c r="H151" s="7">
        <f>IF($C151="","",IF(R151&lt;&gt;"",R151,IF(G151="","",IF(E151="Y",SUMPRODUCT(('Rate Lookup'!$A$1:$A$37=G151)*'Rate Lookup'!$D$1:$D$37),IF(OR(F151="Individual",F151="HUF"),SUMPRODUCT(('Rate Lookup'!$A$1:$A$37=G151)*'Rate Lookup'!$B$1:$B$37),SUMPRODUCT(('Rate Lookup'!$A$1:$A$37=G151)*'Rate Lookup'!$C$1:$C$37)))))))</f>
      </c>
      <c r="I151" s="8"/>
      <c r="J151" s="8"/>
      <c r="K151" s="7">
        <f>IF($C151="","",IF(OR(P151="B",P151="D",P151="E",P151="N",P151="O",P151="P",P151="Q",P151="S",P151="Y",P151="Z"),0,ROUND(J151*H151/100,0)))</f>
      </c>
      <c r="L151" s="7">
        <f>IF($C151="","",0)</f>
      </c>
      <c r="M151" s="7">
        <f>IF($C151="","",0)</f>
      </c>
      <c r="N151" s="7">
        <f>IF($C151="","",IF(OR(K151=0,I151="",IFERROR(INDEX('Challan Master'!$D$4:$D$207,MATCH($B151,'Challan Master'!$S$4:$S$207,0)),"")="",IFERROR(INDEX('Challan Master'!$D$4:$D$207,MATCH($B151,'Challan Master'!$S$4:$S$207,0)),"")&lt;=0),0,IF(IFERROR(INDEX('Challan Master'!$D$4:$D$207,MATCH($B151,'Challan Master'!$S$4:$S$207,0)),"")&lt;=DATE(YEAR(I151),MONTH(I151)+1,7),0,ROUND(K151*0.015*((YEAR(IFERROR(INDEX('Challan Master'!$D$4:$D$207,MATCH($B151,'Challan Master'!$S$4:$S$207,0)),""))-YEAR(I151))*12+(MONTH(IFERROR(INDEX('Challan Master'!$D$4:$D$207,MATCH($B151,'Challan Master'!$S$4:$S$207,0)),""))-MONTH(I151))+1),0))))</f>
      </c>
      <c r="O151" s="7">
        <f>IF($C151="","",0)</f>
      </c>
      <c r="P151" s="8"/>
      <c r="Q151" s="8"/>
      <c r="R151" s="8"/>
      <c r="S151" s="8"/>
      <c r="T151" s="8"/>
      <c r="U151" s="7">
        <f>IF($B151="","",IFERROR(INDEX('Challan Master'!$AA$4:$AA$207,MATCH($B151,'Challan Master'!$S$4:$S$207,0)),""))</f>
      </c>
    </row>
    <row r="152" spans="1:22" x14ac:dyDescent="0.25">
      <c r="A152" s="7">
        <f>IF($C152="","",COUNTIF($C$4:$C152,"&lt;&gt;"))</f>
      </c>
      <c r="B152" s="8"/>
      <c r="C152" s="8"/>
      <c r="D152" s="8"/>
      <c r="E152" s="7">
        <f>IF($C152="","",IF(AND(LEN(TRIM(UPPER(D152)))=10,CODE(MID(TRIM(UPPER(D152)),1,1))&gt;=65,CODE(MID(TRIM(UPPER(D152)),1,1))&lt;=90,CODE(MID(TRIM(UPPER(D152)),2,1))&gt;=65,CODE(MID(TRIM(UPPER(D152)),2,1))&lt;=90,CODE(MID(TRIM(UPPER(D152)),3,1))&gt;=65,CODE(MID(TRIM(UPPER(D152)),3,1))&lt;=90,CODE(MID(TRIM(UPPER(D152)),4,1))&gt;=65,CODE(MID(TRIM(UPPER(D152)),4,1))&lt;=90,CODE(MID(TRIM(UPPER(D152)),5,1))&gt;=65,CODE(MID(TRIM(UPPER(D152)),5,1))&lt;=90,CODE(MID(TRIM(UPPER(D152)),10,1))&gt;=65,CODE(MID(TRIM(UPPER(D152)),10,1))&lt;=90,CODE(MID(TRIM(UPPER(D152)),6,1))&gt;=48,CODE(MID(TRIM(UPPER(D152)),6,1))&lt;=57,CODE(MID(TRIM(UPPER(D152)),7,1))&gt;=48,CODE(MID(TRIM(UPPER(D152)),7,1))&lt;=57,CODE(MID(TRIM(UPPER(D152)),8,1))&gt;=48,CODE(MID(TRIM(UPPER(D152)),8,1))&lt;=57,CODE(MID(TRIM(UPPER(D152)),9,1))&gt;=48,CODE(MID(TRIM(UPPER(D152)),9,1))&lt;=57),"N","Y"))</f>
      </c>
      <c r="F152" s="7">
        <f>IF($C152="","",IF(LEN(D152)&lt;4,"",IF(UPPER(MID(D152,4,1))="P","Individual",IF(UPPER(MID(D152,4,1))="H","HUF",IF(UPPER(MID(D152,4,1))="C","Company",IF(UPPER(MID(D152,4,1))="F","Firm",IF(UPPER(MID(D152,4,1))="L","LLP",IF(UPPER(MID(D152,4,1))="T","Trust",IF(UPPER(MID(D152,4,1))="A","AOP","")))))))))</f>
      </c>
      <c r="G152" s="8"/>
      <c r="H152" s="7">
        <f>IF($C152="","",IF(R152&lt;&gt;"",R152,IF(G152="","",IF(E152="Y",SUMPRODUCT(('Rate Lookup'!$A$1:$A$37=G152)*'Rate Lookup'!$D$1:$D$37),IF(OR(F152="Individual",F152="HUF"),SUMPRODUCT(('Rate Lookup'!$A$1:$A$37=G152)*'Rate Lookup'!$B$1:$B$37),SUMPRODUCT(('Rate Lookup'!$A$1:$A$37=G152)*'Rate Lookup'!$C$1:$C$37)))))))</f>
      </c>
      <c r="I152" s="8"/>
      <c r="J152" s="8"/>
      <c r="K152" s="7">
        <f>IF($C152="","",IF(OR(P152="B",P152="D",P152="E",P152="N",P152="O",P152="P",P152="Q",P152="S",P152="Y",P152="Z"),0,ROUND(J152*H152/100,0)))</f>
      </c>
      <c r="L152" s="7">
        <f>IF($C152="","",0)</f>
      </c>
      <c r="M152" s="7">
        <f>IF($C152="","",0)</f>
      </c>
      <c r="N152" s="7">
        <f>IF($C152="","",IF(OR(K152=0,I152="",IFERROR(INDEX('Challan Master'!$D$4:$D$207,MATCH($B152,'Challan Master'!$S$4:$S$207,0)),"")="",IFERROR(INDEX('Challan Master'!$D$4:$D$207,MATCH($B152,'Challan Master'!$S$4:$S$207,0)),"")&lt;=0),0,IF(IFERROR(INDEX('Challan Master'!$D$4:$D$207,MATCH($B152,'Challan Master'!$S$4:$S$207,0)),"")&lt;=DATE(YEAR(I152),MONTH(I152)+1,7),0,ROUND(K152*0.015*((YEAR(IFERROR(INDEX('Challan Master'!$D$4:$D$207,MATCH($B152,'Challan Master'!$S$4:$S$207,0)),""))-YEAR(I152))*12+(MONTH(IFERROR(INDEX('Challan Master'!$D$4:$D$207,MATCH($B152,'Challan Master'!$S$4:$S$207,0)),""))-MONTH(I152))+1),0))))</f>
      </c>
      <c r="O152" s="7">
        <f>IF($C152="","",0)</f>
      </c>
      <c r="P152" s="8"/>
      <c r="Q152" s="8"/>
      <c r="R152" s="8"/>
      <c r="S152" s="8"/>
      <c r="T152" s="8"/>
      <c r="U152" s="7">
        <f>IF($B152="","",IFERROR(INDEX('Challan Master'!$AA$4:$AA$207,MATCH($B152,'Challan Master'!$S$4:$S$207,0)),""))</f>
      </c>
    </row>
    <row r="153" spans="1:22" x14ac:dyDescent="0.25">
      <c r="A153" s="7">
        <f>IF($C153="","",COUNTIF($C$4:$C153,"&lt;&gt;"))</f>
      </c>
      <c r="B153" s="8"/>
      <c r="C153" s="8"/>
      <c r="D153" s="8"/>
      <c r="E153" s="7">
        <f>IF($C153="","",IF(AND(LEN(TRIM(UPPER(D153)))=10,CODE(MID(TRIM(UPPER(D153)),1,1))&gt;=65,CODE(MID(TRIM(UPPER(D153)),1,1))&lt;=90,CODE(MID(TRIM(UPPER(D153)),2,1))&gt;=65,CODE(MID(TRIM(UPPER(D153)),2,1))&lt;=90,CODE(MID(TRIM(UPPER(D153)),3,1))&gt;=65,CODE(MID(TRIM(UPPER(D153)),3,1))&lt;=90,CODE(MID(TRIM(UPPER(D153)),4,1))&gt;=65,CODE(MID(TRIM(UPPER(D153)),4,1))&lt;=90,CODE(MID(TRIM(UPPER(D153)),5,1))&gt;=65,CODE(MID(TRIM(UPPER(D153)),5,1))&lt;=90,CODE(MID(TRIM(UPPER(D153)),10,1))&gt;=65,CODE(MID(TRIM(UPPER(D153)),10,1))&lt;=90,CODE(MID(TRIM(UPPER(D153)),6,1))&gt;=48,CODE(MID(TRIM(UPPER(D153)),6,1))&lt;=57,CODE(MID(TRIM(UPPER(D153)),7,1))&gt;=48,CODE(MID(TRIM(UPPER(D153)),7,1))&lt;=57,CODE(MID(TRIM(UPPER(D153)),8,1))&gt;=48,CODE(MID(TRIM(UPPER(D153)),8,1))&lt;=57,CODE(MID(TRIM(UPPER(D153)),9,1))&gt;=48,CODE(MID(TRIM(UPPER(D153)),9,1))&lt;=57),"N","Y"))</f>
      </c>
      <c r="F153" s="7">
        <f>IF($C153="","",IF(LEN(D153)&lt;4,"",IF(UPPER(MID(D153,4,1))="P","Individual",IF(UPPER(MID(D153,4,1))="H","HUF",IF(UPPER(MID(D153,4,1))="C","Company",IF(UPPER(MID(D153,4,1))="F","Firm",IF(UPPER(MID(D153,4,1))="L","LLP",IF(UPPER(MID(D153,4,1))="T","Trust",IF(UPPER(MID(D153,4,1))="A","AOP","")))))))))</f>
      </c>
      <c r="G153" s="8"/>
      <c r="H153" s="7">
        <f>IF($C153="","",IF(R153&lt;&gt;"",R153,IF(G153="","",IF(E153="Y",SUMPRODUCT(('Rate Lookup'!$A$1:$A$37=G153)*'Rate Lookup'!$D$1:$D$37),IF(OR(F153="Individual",F153="HUF"),SUMPRODUCT(('Rate Lookup'!$A$1:$A$37=G153)*'Rate Lookup'!$B$1:$B$37),SUMPRODUCT(('Rate Lookup'!$A$1:$A$37=G153)*'Rate Lookup'!$C$1:$C$37)))))))</f>
      </c>
      <c r="I153" s="8"/>
      <c r="J153" s="8"/>
      <c r="K153" s="7">
        <f>IF($C153="","",IF(OR(P153="B",P153="D",P153="E",P153="N",P153="O",P153="P",P153="Q",P153="S",P153="Y",P153="Z"),0,ROUND(J153*H153/100,0)))</f>
      </c>
      <c r="L153" s="7">
        <f>IF($C153="","",0)</f>
      </c>
      <c r="M153" s="7">
        <f>IF($C153="","",0)</f>
      </c>
      <c r="N153" s="7">
        <f>IF($C153="","",IF(OR(K153=0,I153="",IFERROR(INDEX('Challan Master'!$D$4:$D$207,MATCH($B153,'Challan Master'!$S$4:$S$207,0)),"")="",IFERROR(INDEX('Challan Master'!$D$4:$D$207,MATCH($B153,'Challan Master'!$S$4:$S$207,0)),"")&lt;=0),0,IF(IFERROR(INDEX('Challan Master'!$D$4:$D$207,MATCH($B153,'Challan Master'!$S$4:$S$207,0)),"")&lt;=DATE(YEAR(I153),MONTH(I153)+1,7),0,ROUND(K153*0.015*((YEAR(IFERROR(INDEX('Challan Master'!$D$4:$D$207,MATCH($B153,'Challan Master'!$S$4:$S$207,0)),""))-YEAR(I153))*12+(MONTH(IFERROR(INDEX('Challan Master'!$D$4:$D$207,MATCH($B153,'Challan Master'!$S$4:$S$207,0)),""))-MONTH(I153))+1),0))))</f>
      </c>
      <c r="O153" s="7">
        <f>IF($C153="","",0)</f>
      </c>
      <c r="P153" s="8"/>
      <c r="Q153" s="8"/>
      <c r="R153" s="8"/>
      <c r="S153" s="8"/>
      <c r="T153" s="8"/>
      <c r="U153" s="7">
        <f>IF($B153="","",IFERROR(INDEX('Challan Master'!$AA$4:$AA$207,MATCH($B153,'Challan Master'!$S$4:$S$207,0)),""))</f>
      </c>
    </row>
    <row r="154" spans="1:22" x14ac:dyDescent="0.25">
      <c r="A154" s="7">
        <f>IF($C154="","",COUNTIF($C$4:$C154,"&lt;&gt;"))</f>
      </c>
      <c r="B154" s="8"/>
      <c r="C154" s="8"/>
      <c r="D154" s="8"/>
      <c r="E154" s="7">
        <f>IF($C154="","",IF(AND(LEN(TRIM(UPPER(D154)))=10,CODE(MID(TRIM(UPPER(D154)),1,1))&gt;=65,CODE(MID(TRIM(UPPER(D154)),1,1))&lt;=90,CODE(MID(TRIM(UPPER(D154)),2,1))&gt;=65,CODE(MID(TRIM(UPPER(D154)),2,1))&lt;=90,CODE(MID(TRIM(UPPER(D154)),3,1))&gt;=65,CODE(MID(TRIM(UPPER(D154)),3,1))&lt;=90,CODE(MID(TRIM(UPPER(D154)),4,1))&gt;=65,CODE(MID(TRIM(UPPER(D154)),4,1))&lt;=90,CODE(MID(TRIM(UPPER(D154)),5,1))&gt;=65,CODE(MID(TRIM(UPPER(D154)),5,1))&lt;=90,CODE(MID(TRIM(UPPER(D154)),10,1))&gt;=65,CODE(MID(TRIM(UPPER(D154)),10,1))&lt;=90,CODE(MID(TRIM(UPPER(D154)),6,1))&gt;=48,CODE(MID(TRIM(UPPER(D154)),6,1))&lt;=57,CODE(MID(TRIM(UPPER(D154)),7,1))&gt;=48,CODE(MID(TRIM(UPPER(D154)),7,1))&lt;=57,CODE(MID(TRIM(UPPER(D154)),8,1))&gt;=48,CODE(MID(TRIM(UPPER(D154)),8,1))&lt;=57,CODE(MID(TRIM(UPPER(D154)),9,1))&gt;=48,CODE(MID(TRIM(UPPER(D154)),9,1))&lt;=57),"N","Y"))</f>
      </c>
      <c r="F154" s="7">
        <f>IF($C154="","",IF(LEN(D154)&lt;4,"",IF(UPPER(MID(D154,4,1))="P","Individual",IF(UPPER(MID(D154,4,1))="H","HUF",IF(UPPER(MID(D154,4,1))="C","Company",IF(UPPER(MID(D154,4,1))="F","Firm",IF(UPPER(MID(D154,4,1))="L","LLP",IF(UPPER(MID(D154,4,1))="T","Trust",IF(UPPER(MID(D154,4,1))="A","AOP","")))))))))</f>
      </c>
      <c r="G154" s="8"/>
      <c r="H154" s="7">
        <f>IF($C154="","",IF(R154&lt;&gt;"",R154,IF(G154="","",IF(E154="Y",SUMPRODUCT(('Rate Lookup'!$A$1:$A$37=G154)*'Rate Lookup'!$D$1:$D$37),IF(OR(F154="Individual",F154="HUF"),SUMPRODUCT(('Rate Lookup'!$A$1:$A$37=G154)*'Rate Lookup'!$B$1:$B$37),SUMPRODUCT(('Rate Lookup'!$A$1:$A$37=G154)*'Rate Lookup'!$C$1:$C$37)))))))</f>
      </c>
      <c r="I154" s="8"/>
      <c r="J154" s="8"/>
      <c r="K154" s="7">
        <f>IF($C154="","",IF(OR(P154="B",P154="D",P154="E",P154="N",P154="O",P154="P",P154="Q",P154="S",P154="Y",P154="Z"),0,ROUND(J154*H154/100,0)))</f>
      </c>
      <c r="L154" s="7">
        <f>IF($C154="","",0)</f>
      </c>
      <c r="M154" s="7">
        <f>IF($C154="","",0)</f>
      </c>
      <c r="N154" s="7">
        <f>IF($C154="","",IF(OR(K154=0,I154="",IFERROR(INDEX('Challan Master'!$D$4:$D$207,MATCH($B154,'Challan Master'!$S$4:$S$207,0)),"")="",IFERROR(INDEX('Challan Master'!$D$4:$D$207,MATCH($B154,'Challan Master'!$S$4:$S$207,0)),"")&lt;=0),0,IF(IFERROR(INDEX('Challan Master'!$D$4:$D$207,MATCH($B154,'Challan Master'!$S$4:$S$207,0)),"")&lt;=DATE(YEAR(I154),MONTH(I154)+1,7),0,ROUND(K154*0.015*((YEAR(IFERROR(INDEX('Challan Master'!$D$4:$D$207,MATCH($B154,'Challan Master'!$S$4:$S$207,0)),""))-YEAR(I154))*12+(MONTH(IFERROR(INDEX('Challan Master'!$D$4:$D$207,MATCH($B154,'Challan Master'!$S$4:$S$207,0)),""))-MONTH(I154))+1),0))))</f>
      </c>
      <c r="O154" s="7">
        <f>IF($C154="","",0)</f>
      </c>
      <c r="P154" s="8"/>
      <c r="Q154" s="8"/>
      <c r="R154" s="8"/>
      <c r="S154" s="8"/>
      <c r="T154" s="8"/>
      <c r="U154" s="7">
        <f>IF($B154="","",IFERROR(INDEX('Challan Master'!$AA$4:$AA$207,MATCH($B154,'Challan Master'!$S$4:$S$207,0)),""))</f>
      </c>
    </row>
    <row r="155" spans="1:22" x14ac:dyDescent="0.25">
      <c r="A155" s="7">
        <f>IF($C155="","",COUNTIF($C$4:$C155,"&lt;&gt;"))</f>
      </c>
      <c r="B155" s="8"/>
      <c r="C155" s="8"/>
      <c r="D155" s="8"/>
      <c r="E155" s="7">
        <f>IF($C155="","",IF(AND(LEN(TRIM(UPPER(D155)))=10,CODE(MID(TRIM(UPPER(D155)),1,1))&gt;=65,CODE(MID(TRIM(UPPER(D155)),1,1))&lt;=90,CODE(MID(TRIM(UPPER(D155)),2,1))&gt;=65,CODE(MID(TRIM(UPPER(D155)),2,1))&lt;=90,CODE(MID(TRIM(UPPER(D155)),3,1))&gt;=65,CODE(MID(TRIM(UPPER(D155)),3,1))&lt;=90,CODE(MID(TRIM(UPPER(D155)),4,1))&gt;=65,CODE(MID(TRIM(UPPER(D155)),4,1))&lt;=90,CODE(MID(TRIM(UPPER(D155)),5,1))&gt;=65,CODE(MID(TRIM(UPPER(D155)),5,1))&lt;=90,CODE(MID(TRIM(UPPER(D155)),10,1))&gt;=65,CODE(MID(TRIM(UPPER(D155)),10,1))&lt;=90,CODE(MID(TRIM(UPPER(D155)),6,1))&gt;=48,CODE(MID(TRIM(UPPER(D155)),6,1))&lt;=57,CODE(MID(TRIM(UPPER(D155)),7,1))&gt;=48,CODE(MID(TRIM(UPPER(D155)),7,1))&lt;=57,CODE(MID(TRIM(UPPER(D155)),8,1))&gt;=48,CODE(MID(TRIM(UPPER(D155)),8,1))&lt;=57,CODE(MID(TRIM(UPPER(D155)),9,1))&gt;=48,CODE(MID(TRIM(UPPER(D155)),9,1))&lt;=57),"N","Y"))</f>
      </c>
      <c r="F155" s="7">
        <f>IF($C155="","",IF(LEN(D155)&lt;4,"",IF(UPPER(MID(D155,4,1))="P","Individual",IF(UPPER(MID(D155,4,1))="H","HUF",IF(UPPER(MID(D155,4,1))="C","Company",IF(UPPER(MID(D155,4,1))="F","Firm",IF(UPPER(MID(D155,4,1))="L","LLP",IF(UPPER(MID(D155,4,1))="T","Trust",IF(UPPER(MID(D155,4,1))="A","AOP","")))))))))</f>
      </c>
      <c r="G155" s="8"/>
      <c r="H155" s="7">
        <f>IF($C155="","",IF(R155&lt;&gt;"",R155,IF(G155="","",IF(E155="Y",SUMPRODUCT(('Rate Lookup'!$A$1:$A$37=G155)*'Rate Lookup'!$D$1:$D$37),IF(OR(F155="Individual",F155="HUF"),SUMPRODUCT(('Rate Lookup'!$A$1:$A$37=G155)*'Rate Lookup'!$B$1:$B$37),SUMPRODUCT(('Rate Lookup'!$A$1:$A$37=G155)*'Rate Lookup'!$C$1:$C$37)))))))</f>
      </c>
      <c r="I155" s="8"/>
      <c r="J155" s="8"/>
      <c r="K155" s="7">
        <f>IF($C155="","",IF(OR(P155="B",P155="D",P155="E",P155="N",P155="O",P155="P",P155="Q",P155="S",P155="Y",P155="Z"),0,ROUND(J155*H155/100,0)))</f>
      </c>
      <c r="L155" s="7">
        <f>IF($C155="","",0)</f>
      </c>
      <c r="M155" s="7">
        <f>IF($C155="","",0)</f>
      </c>
      <c r="N155" s="7">
        <f>IF($C155="","",IF(OR(K155=0,I155="",IFERROR(INDEX('Challan Master'!$D$4:$D$207,MATCH($B155,'Challan Master'!$S$4:$S$207,0)),"")="",IFERROR(INDEX('Challan Master'!$D$4:$D$207,MATCH($B155,'Challan Master'!$S$4:$S$207,0)),"")&lt;=0),0,IF(IFERROR(INDEX('Challan Master'!$D$4:$D$207,MATCH($B155,'Challan Master'!$S$4:$S$207,0)),"")&lt;=DATE(YEAR(I155),MONTH(I155)+1,7),0,ROUND(K155*0.015*((YEAR(IFERROR(INDEX('Challan Master'!$D$4:$D$207,MATCH($B155,'Challan Master'!$S$4:$S$207,0)),""))-YEAR(I155))*12+(MONTH(IFERROR(INDEX('Challan Master'!$D$4:$D$207,MATCH($B155,'Challan Master'!$S$4:$S$207,0)),""))-MONTH(I155))+1),0))))</f>
      </c>
      <c r="O155" s="7">
        <f>IF($C155="","",0)</f>
      </c>
      <c r="P155" s="8"/>
      <c r="Q155" s="8"/>
      <c r="R155" s="8"/>
      <c r="S155" s="8"/>
      <c r="T155" s="8"/>
      <c r="U155" s="7">
        <f>IF($B155="","",IFERROR(INDEX('Challan Master'!$AA$4:$AA$207,MATCH($B155,'Challan Master'!$S$4:$S$207,0)),""))</f>
      </c>
    </row>
    <row r="156" spans="1:22" x14ac:dyDescent="0.25">
      <c r="A156" s="7">
        <f>IF($C156="","",COUNTIF($C$4:$C156,"&lt;&gt;"))</f>
      </c>
      <c r="B156" s="8"/>
      <c r="C156" s="8"/>
      <c r="D156" s="8"/>
      <c r="E156" s="7">
        <f>IF($C156="","",IF(AND(LEN(TRIM(UPPER(D156)))=10,CODE(MID(TRIM(UPPER(D156)),1,1))&gt;=65,CODE(MID(TRIM(UPPER(D156)),1,1))&lt;=90,CODE(MID(TRIM(UPPER(D156)),2,1))&gt;=65,CODE(MID(TRIM(UPPER(D156)),2,1))&lt;=90,CODE(MID(TRIM(UPPER(D156)),3,1))&gt;=65,CODE(MID(TRIM(UPPER(D156)),3,1))&lt;=90,CODE(MID(TRIM(UPPER(D156)),4,1))&gt;=65,CODE(MID(TRIM(UPPER(D156)),4,1))&lt;=90,CODE(MID(TRIM(UPPER(D156)),5,1))&gt;=65,CODE(MID(TRIM(UPPER(D156)),5,1))&lt;=90,CODE(MID(TRIM(UPPER(D156)),10,1))&gt;=65,CODE(MID(TRIM(UPPER(D156)),10,1))&lt;=90,CODE(MID(TRIM(UPPER(D156)),6,1))&gt;=48,CODE(MID(TRIM(UPPER(D156)),6,1))&lt;=57,CODE(MID(TRIM(UPPER(D156)),7,1))&gt;=48,CODE(MID(TRIM(UPPER(D156)),7,1))&lt;=57,CODE(MID(TRIM(UPPER(D156)),8,1))&gt;=48,CODE(MID(TRIM(UPPER(D156)),8,1))&lt;=57,CODE(MID(TRIM(UPPER(D156)),9,1))&gt;=48,CODE(MID(TRIM(UPPER(D156)),9,1))&lt;=57),"N","Y"))</f>
      </c>
      <c r="F156" s="7">
        <f>IF($C156="","",IF(LEN(D156)&lt;4,"",IF(UPPER(MID(D156,4,1))="P","Individual",IF(UPPER(MID(D156,4,1))="H","HUF",IF(UPPER(MID(D156,4,1))="C","Company",IF(UPPER(MID(D156,4,1))="F","Firm",IF(UPPER(MID(D156,4,1))="L","LLP",IF(UPPER(MID(D156,4,1))="T","Trust",IF(UPPER(MID(D156,4,1))="A","AOP","")))))))))</f>
      </c>
      <c r="G156" s="8"/>
      <c r="H156" s="7">
        <f>IF($C156="","",IF(R156&lt;&gt;"",R156,IF(G156="","",IF(E156="Y",SUMPRODUCT(('Rate Lookup'!$A$1:$A$37=G156)*'Rate Lookup'!$D$1:$D$37),IF(OR(F156="Individual",F156="HUF"),SUMPRODUCT(('Rate Lookup'!$A$1:$A$37=G156)*'Rate Lookup'!$B$1:$B$37),SUMPRODUCT(('Rate Lookup'!$A$1:$A$37=G156)*'Rate Lookup'!$C$1:$C$37)))))))</f>
      </c>
      <c r="I156" s="8"/>
      <c r="J156" s="8"/>
      <c r="K156" s="7">
        <f>IF($C156="","",IF(OR(P156="B",P156="D",P156="E",P156="N",P156="O",P156="P",P156="Q",P156="S",P156="Y",P156="Z"),0,ROUND(J156*H156/100,0)))</f>
      </c>
      <c r="L156" s="7">
        <f>IF($C156="","",0)</f>
      </c>
      <c r="M156" s="7">
        <f>IF($C156="","",0)</f>
      </c>
      <c r="N156" s="7">
        <f>IF($C156="","",IF(OR(K156=0,I156="",IFERROR(INDEX('Challan Master'!$D$4:$D$207,MATCH($B156,'Challan Master'!$S$4:$S$207,0)),"")="",IFERROR(INDEX('Challan Master'!$D$4:$D$207,MATCH($B156,'Challan Master'!$S$4:$S$207,0)),"")&lt;=0),0,IF(IFERROR(INDEX('Challan Master'!$D$4:$D$207,MATCH($B156,'Challan Master'!$S$4:$S$207,0)),"")&lt;=DATE(YEAR(I156),MONTH(I156)+1,7),0,ROUND(K156*0.015*((YEAR(IFERROR(INDEX('Challan Master'!$D$4:$D$207,MATCH($B156,'Challan Master'!$S$4:$S$207,0)),""))-YEAR(I156))*12+(MONTH(IFERROR(INDEX('Challan Master'!$D$4:$D$207,MATCH($B156,'Challan Master'!$S$4:$S$207,0)),""))-MONTH(I156))+1),0))))</f>
      </c>
      <c r="O156" s="7">
        <f>IF($C156="","",0)</f>
      </c>
      <c r="P156" s="8"/>
      <c r="Q156" s="8"/>
      <c r="R156" s="8"/>
      <c r="S156" s="8"/>
      <c r="T156" s="8"/>
      <c r="U156" s="7">
        <f>IF($B156="","",IFERROR(INDEX('Challan Master'!$AA$4:$AA$207,MATCH($B156,'Challan Master'!$S$4:$S$207,0)),""))</f>
      </c>
    </row>
    <row r="157" spans="1:22" x14ac:dyDescent="0.25">
      <c r="A157" s="7">
        <f>IF($C157="","",COUNTIF($C$4:$C157,"&lt;&gt;"))</f>
      </c>
      <c r="B157" s="8"/>
      <c r="C157" s="8"/>
      <c r="D157" s="8"/>
      <c r="E157" s="7">
        <f>IF($C157="","",IF(AND(LEN(TRIM(UPPER(D157)))=10,CODE(MID(TRIM(UPPER(D157)),1,1))&gt;=65,CODE(MID(TRIM(UPPER(D157)),1,1))&lt;=90,CODE(MID(TRIM(UPPER(D157)),2,1))&gt;=65,CODE(MID(TRIM(UPPER(D157)),2,1))&lt;=90,CODE(MID(TRIM(UPPER(D157)),3,1))&gt;=65,CODE(MID(TRIM(UPPER(D157)),3,1))&lt;=90,CODE(MID(TRIM(UPPER(D157)),4,1))&gt;=65,CODE(MID(TRIM(UPPER(D157)),4,1))&lt;=90,CODE(MID(TRIM(UPPER(D157)),5,1))&gt;=65,CODE(MID(TRIM(UPPER(D157)),5,1))&lt;=90,CODE(MID(TRIM(UPPER(D157)),10,1))&gt;=65,CODE(MID(TRIM(UPPER(D157)),10,1))&lt;=90,CODE(MID(TRIM(UPPER(D157)),6,1))&gt;=48,CODE(MID(TRIM(UPPER(D157)),6,1))&lt;=57,CODE(MID(TRIM(UPPER(D157)),7,1))&gt;=48,CODE(MID(TRIM(UPPER(D157)),7,1))&lt;=57,CODE(MID(TRIM(UPPER(D157)),8,1))&gt;=48,CODE(MID(TRIM(UPPER(D157)),8,1))&lt;=57,CODE(MID(TRIM(UPPER(D157)),9,1))&gt;=48,CODE(MID(TRIM(UPPER(D157)),9,1))&lt;=57),"N","Y"))</f>
      </c>
      <c r="F157" s="7">
        <f>IF($C157="","",IF(LEN(D157)&lt;4,"",IF(UPPER(MID(D157,4,1))="P","Individual",IF(UPPER(MID(D157,4,1))="H","HUF",IF(UPPER(MID(D157,4,1))="C","Company",IF(UPPER(MID(D157,4,1))="F","Firm",IF(UPPER(MID(D157,4,1))="L","LLP",IF(UPPER(MID(D157,4,1))="T","Trust",IF(UPPER(MID(D157,4,1))="A","AOP","")))))))))</f>
      </c>
      <c r="G157" s="8"/>
      <c r="H157" s="7">
        <f>IF($C157="","",IF(R157&lt;&gt;"",R157,IF(G157="","",IF(E157="Y",SUMPRODUCT(('Rate Lookup'!$A$1:$A$37=G157)*'Rate Lookup'!$D$1:$D$37),IF(OR(F157="Individual",F157="HUF"),SUMPRODUCT(('Rate Lookup'!$A$1:$A$37=G157)*'Rate Lookup'!$B$1:$B$37),SUMPRODUCT(('Rate Lookup'!$A$1:$A$37=G157)*'Rate Lookup'!$C$1:$C$37)))))))</f>
      </c>
      <c r="I157" s="8"/>
      <c r="J157" s="8"/>
      <c r="K157" s="7">
        <f>IF($C157="","",IF(OR(P157="B",P157="D",P157="E",P157="N",P157="O",P157="P",P157="Q",P157="S",P157="Y",P157="Z"),0,ROUND(J157*H157/100,0)))</f>
      </c>
      <c r="L157" s="7">
        <f>IF($C157="","",0)</f>
      </c>
      <c r="M157" s="7">
        <f>IF($C157="","",0)</f>
      </c>
      <c r="N157" s="7">
        <f>IF($C157="","",IF(OR(K157=0,I157="",IFERROR(INDEX('Challan Master'!$D$4:$D$207,MATCH($B157,'Challan Master'!$S$4:$S$207,0)),"")="",IFERROR(INDEX('Challan Master'!$D$4:$D$207,MATCH($B157,'Challan Master'!$S$4:$S$207,0)),"")&lt;=0),0,IF(IFERROR(INDEX('Challan Master'!$D$4:$D$207,MATCH($B157,'Challan Master'!$S$4:$S$207,0)),"")&lt;=DATE(YEAR(I157),MONTH(I157)+1,7),0,ROUND(K157*0.015*((YEAR(IFERROR(INDEX('Challan Master'!$D$4:$D$207,MATCH($B157,'Challan Master'!$S$4:$S$207,0)),""))-YEAR(I157))*12+(MONTH(IFERROR(INDEX('Challan Master'!$D$4:$D$207,MATCH($B157,'Challan Master'!$S$4:$S$207,0)),""))-MONTH(I157))+1),0))))</f>
      </c>
      <c r="O157" s="7">
        <f>IF($C157="","",0)</f>
      </c>
      <c r="P157" s="8"/>
      <c r="Q157" s="8"/>
      <c r="R157" s="8"/>
      <c r="S157" s="8"/>
      <c r="T157" s="8"/>
      <c r="U157" s="7">
        <f>IF($B157="","",IFERROR(INDEX('Challan Master'!$AA$4:$AA$207,MATCH($B157,'Challan Master'!$S$4:$S$207,0)),""))</f>
      </c>
    </row>
    <row r="158" spans="1:22" x14ac:dyDescent="0.25">
      <c r="A158" s="7">
        <f>IF($C158="","",COUNTIF($C$4:$C158,"&lt;&gt;"))</f>
      </c>
      <c r="B158" s="8"/>
      <c r="C158" s="8"/>
      <c r="D158" s="8"/>
      <c r="E158" s="7">
        <f>IF($C158="","",IF(AND(LEN(TRIM(UPPER(D158)))=10,CODE(MID(TRIM(UPPER(D158)),1,1))&gt;=65,CODE(MID(TRIM(UPPER(D158)),1,1))&lt;=90,CODE(MID(TRIM(UPPER(D158)),2,1))&gt;=65,CODE(MID(TRIM(UPPER(D158)),2,1))&lt;=90,CODE(MID(TRIM(UPPER(D158)),3,1))&gt;=65,CODE(MID(TRIM(UPPER(D158)),3,1))&lt;=90,CODE(MID(TRIM(UPPER(D158)),4,1))&gt;=65,CODE(MID(TRIM(UPPER(D158)),4,1))&lt;=90,CODE(MID(TRIM(UPPER(D158)),5,1))&gt;=65,CODE(MID(TRIM(UPPER(D158)),5,1))&lt;=90,CODE(MID(TRIM(UPPER(D158)),10,1))&gt;=65,CODE(MID(TRIM(UPPER(D158)),10,1))&lt;=90,CODE(MID(TRIM(UPPER(D158)),6,1))&gt;=48,CODE(MID(TRIM(UPPER(D158)),6,1))&lt;=57,CODE(MID(TRIM(UPPER(D158)),7,1))&gt;=48,CODE(MID(TRIM(UPPER(D158)),7,1))&lt;=57,CODE(MID(TRIM(UPPER(D158)),8,1))&gt;=48,CODE(MID(TRIM(UPPER(D158)),8,1))&lt;=57,CODE(MID(TRIM(UPPER(D158)),9,1))&gt;=48,CODE(MID(TRIM(UPPER(D158)),9,1))&lt;=57),"N","Y"))</f>
      </c>
      <c r="F158" s="7">
        <f>IF($C158="","",IF(LEN(D158)&lt;4,"",IF(UPPER(MID(D158,4,1))="P","Individual",IF(UPPER(MID(D158,4,1))="H","HUF",IF(UPPER(MID(D158,4,1))="C","Company",IF(UPPER(MID(D158,4,1))="F","Firm",IF(UPPER(MID(D158,4,1))="L","LLP",IF(UPPER(MID(D158,4,1))="T","Trust",IF(UPPER(MID(D158,4,1))="A","AOP","")))))))))</f>
      </c>
      <c r="G158" s="8"/>
      <c r="H158" s="7">
        <f>IF($C158="","",IF(R158&lt;&gt;"",R158,IF(G158="","",IF(E158="Y",SUMPRODUCT(('Rate Lookup'!$A$1:$A$37=G158)*'Rate Lookup'!$D$1:$D$37),IF(OR(F158="Individual",F158="HUF"),SUMPRODUCT(('Rate Lookup'!$A$1:$A$37=G158)*'Rate Lookup'!$B$1:$B$37),SUMPRODUCT(('Rate Lookup'!$A$1:$A$37=G158)*'Rate Lookup'!$C$1:$C$37)))))))</f>
      </c>
      <c r="I158" s="8"/>
      <c r="J158" s="8"/>
      <c r="K158" s="7">
        <f>IF($C158="","",IF(OR(P158="B",P158="D",P158="E",P158="N",P158="O",P158="P",P158="Q",P158="S",P158="Y",P158="Z"),0,ROUND(J158*H158/100,0)))</f>
      </c>
      <c r="L158" s="7">
        <f>IF($C158="","",0)</f>
      </c>
      <c r="M158" s="7">
        <f>IF($C158="","",0)</f>
      </c>
      <c r="N158" s="7">
        <f>IF($C158="","",IF(OR(K158=0,I158="",IFERROR(INDEX('Challan Master'!$D$4:$D$207,MATCH($B158,'Challan Master'!$S$4:$S$207,0)),"")="",IFERROR(INDEX('Challan Master'!$D$4:$D$207,MATCH($B158,'Challan Master'!$S$4:$S$207,0)),"")&lt;=0),0,IF(IFERROR(INDEX('Challan Master'!$D$4:$D$207,MATCH($B158,'Challan Master'!$S$4:$S$207,0)),"")&lt;=DATE(YEAR(I158),MONTH(I158)+1,7),0,ROUND(K158*0.015*((YEAR(IFERROR(INDEX('Challan Master'!$D$4:$D$207,MATCH($B158,'Challan Master'!$S$4:$S$207,0)),""))-YEAR(I158))*12+(MONTH(IFERROR(INDEX('Challan Master'!$D$4:$D$207,MATCH($B158,'Challan Master'!$S$4:$S$207,0)),""))-MONTH(I158))+1),0))))</f>
      </c>
      <c r="O158" s="7">
        <f>IF($C158="","",0)</f>
      </c>
      <c r="P158" s="8"/>
      <c r="Q158" s="8"/>
      <c r="R158" s="8"/>
      <c r="S158" s="8"/>
      <c r="T158" s="8"/>
      <c r="U158" s="7">
        <f>IF($B158="","",IFERROR(INDEX('Challan Master'!$AA$4:$AA$207,MATCH($B158,'Challan Master'!$S$4:$S$207,0)),""))</f>
      </c>
    </row>
    <row r="159" spans="1:22" x14ac:dyDescent="0.25">
      <c r="A159" s="7">
        <f>IF($C159="","",COUNTIF($C$4:$C159,"&lt;&gt;"))</f>
      </c>
      <c r="B159" s="8"/>
      <c r="C159" s="8"/>
      <c r="D159" s="8"/>
      <c r="E159" s="7">
        <f>IF($C159="","",IF(AND(LEN(TRIM(UPPER(D159)))=10,CODE(MID(TRIM(UPPER(D159)),1,1))&gt;=65,CODE(MID(TRIM(UPPER(D159)),1,1))&lt;=90,CODE(MID(TRIM(UPPER(D159)),2,1))&gt;=65,CODE(MID(TRIM(UPPER(D159)),2,1))&lt;=90,CODE(MID(TRIM(UPPER(D159)),3,1))&gt;=65,CODE(MID(TRIM(UPPER(D159)),3,1))&lt;=90,CODE(MID(TRIM(UPPER(D159)),4,1))&gt;=65,CODE(MID(TRIM(UPPER(D159)),4,1))&lt;=90,CODE(MID(TRIM(UPPER(D159)),5,1))&gt;=65,CODE(MID(TRIM(UPPER(D159)),5,1))&lt;=90,CODE(MID(TRIM(UPPER(D159)),10,1))&gt;=65,CODE(MID(TRIM(UPPER(D159)),10,1))&lt;=90,CODE(MID(TRIM(UPPER(D159)),6,1))&gt;=48,CODE(MID(TRIM(UPPER(D159)),6,1))&lt;=57,CODE(MID(TRIM(UPPER(D159)),7,1))&gt;=48,CODE(MID(TRIM(UPPER(D159)),7,1))&lt;=57,CODE(MID(TRIM(UPPER(D159)),8,1))&gt;=48,CODE(MID(TRIM(UPPER(D159)),8,1))&lt;=57,CODE(MID(TRIM(UPPER(D159)),9,1))&gt;=48,CODE(MID(TRIM(UPPER(D159)),9,1))&lt;=57),"N","Y"))</f>
      </c>
      <c r="F159" s="7">
        <f>IF($C159="","",IF(LEN(D159)&lt;4,"",IF(UPPER(MID(D159,4,1))="P","Individual",IF(UPPER(MID(D159,4,1))="H","HUF",IF(UPPER(MID(D159,4,1))="C","Company",IF(UPPER(MID(D159,4,1))="F","Firm",IF(UPPER(MID(D159,4,1))="L","LLP",IF(UPPER(MID(D159,4,1))="T","Trust",IF(UPPER(MID(D159,4,1))="A","AOP","")))))))))</f>
      </c>
      <c r="G159" s="8"/>
      <c r="H159" s="7">
        <f>IF($C159="","",IF(R159&lt;&gt;"",R159,IF(G159="","",IF(E159="Y",SUMPRODUCT(('Rate Lookup'!$A$1:$A$37=G159)*'Rate Lookup'!$D$1:$D$37),IF(OR(F159="Individual",F159="HUF"),SUMPRODUCT(('Rate Lookup'!$A$1:$A$37=G159)*'Rate Lookup'!$B$1:$B$37),SUMPRODUCT(('Rate Lookup'!$A$1:$A$37=G159)*'Rate Lookup'!$C$1:$C$37)))))))</f>
      </c>
      <c r="I159" s="8"/>
      <c r="J159" s="8"/>
      <c r="K159" s="7">
        <f>IF($C159="","",IF(OR(P159="B",P159="D",P159="E",P159="N",P159="O",P159="P",P159="Q",P159="S",P159="Y",P159="Z"),0,ROUND(J159*H159/100,0)))</f>
      </c>
      <c r="L159" s="7">
        <f>IF($C159="","",0)</f>
      </c>
      <c r="M159" s="7">
        <f>IF($C159="","",0)</f>
      </c>
      <c r="N159" s="7">
        <f>IF($C159="","",IF(OR(K159=0,I159="",IFERROR(INDEX('Challan Master'!$D$4:$D$207,MATCH($B159,'Challan Master'!$S$4:$S$207,0)),"")="",IFERROR(INDEX('Challan Master'!$D$4:$D$207,MATCH($B159,'Challan Master'!$S$4:$S$207,0)),"")&lt;=0),0,IF(IFERROR(INDEX('Challan Master'!$D$4:$D$207,MATCH($B159,'Challan Master'!$S$4:$S$207,0)),"")&lt;=DATE(YEAR(I159),MONTH(I159)+1,7),0,ROUND(K159*0.015*((YEAR(IFERROR(INDEX('Challan Master'!$D$4:$D$207,MATCH($B159,'Challan Master'!$S$4:$S$207,0)),""))-YEAR(I159))*12+(MONTH(IFERROR(INDEX('Challan Master'!$D$4:$D$207,MATCH($B159,'Challan Master'!$S$4:$S$207,0)),""))-MONTH(I159))+1),0))))</f>
      </c>
      <c r="O159" s="7">
        <f>IF($C159="","",0)</f>
      </c>
      <c r="P159" s="8"/>
      <c r="Q159" s="8"/>
      <c r="R159" s="8"/>
      <c r="S159" s="8"/>
      <c r="T159" s="8"/>
      <c r="U159" s="7">
        <f>IF($B159="","",IFERROR(INDEX('Challan Master'!$AA$4:$AA$207,MATCH($B159,'Challan Master'!$S$4:$S$207,0)),""))</f>
      </c>
    </row>
    <row r="160" spans="1:22" x14ac:dyDescent="0.25">
      <c r="A160" s="7">
        <f>IF($C160="","",COUNTIF($C$4:$C160,"&lt;&gt;"))</f>
      </c>
      <c r="B160" s="8"/>
      <c r="C160" s="8"/>
      <c r="D160" s="8"/>
      <c r="E160" s="7">
        <f>IF($C160="","",IF(AND(LEN(TRIM(UPPER(D160)))=10,CODE(MID(TRIM(UPPER(D160)),1,1))&gt;=65,CODE(MID(TRIM(UPPER(D160)),1,1))&lt;=90,CODE(MID(TRIM(UPPER(D160)),2,1))&gt;=65,CODE(MID(TRIM(UPPER(D160)),2,1))&lt;=90,CODE(MID(TRIM(UPPER(D160)),3,1))&gt;=65,CODE(MID(TRIM(UPPER(D160)),3,1))&lt;=90,CODE(MID(TRIM(UPPER(D160)),4,1))&gt;=65,CODE(MID(TRIM(UPPER(D160)),4,1))&lt;=90,CODE(MID(TRIM(UPPER(D160)),5,1))&gt;=65,CODE(MID(TRIM(UPPER(D160)),5,1))&lt;=90,CODE(MID(TRIM(UPPER(D160)),10,1))&gt;=65,CODE(MID(TRIM(UPPER(D160)),10,1))&lt;=90,CODE(MID(TRIM(UPPER(D160)),6,1))&gt;=48,CODE(MID(TRIM(UPPER(D160)),6,1))&lt;=57,CODE(MID(TRIM(UPPER(D160)),7,1))&gt;=48,CODE(MID(TRIM(UPPER(D160)),7,1))&lt;=57,CODE(MID(TRIM(UPPER(D160)),8,1))&gt;=48,CODE(MID(TRIM(UPPER(D160)),8,1))&lt;=57,CODE(MID(TRIM(UPPER(D160)),9,1))&gt;=48,CODE(MID(TRIM(UPPER(D160)),9,1))&lt;=57),"N","Y"))</f>
      </c>
      <c r="F160" s="7">
        <f>IF($C160="","",IF(LEN(D160)&lt;4,"",IF(UPPER(MID(D160,4,1))="P","Individual",IF(UPPER(MID(D160,4,1))="H","HUF",IF(UPPER(MID(D160,4,1))="C","Company",IF(UPPER(MID(D160,4,1))="F","Firm",IF(UPPER(MID(D160,4,1))="L","LLP",IF(UPPER(MID(D160,4,1))="T","Trust",IF(UPPER(MID(D160,4,1))="A","AOP","")))))))))</f>
      </c>
      <c r="G160" s="8"/>
      <c r="H160" s="7">
        <f>IF($C160="","",IF(R160&lt;&gt;"",R160,IF(G160="","",IF(E160="Y",SUMPRODUCT(('Rate Lookup'!$A$1:$A$37=G160)*'Rate Lookup'!$D$1:$D$37),IF(OR(F160="Individual",F160="HUF"),SUMPRODUCT(('Rate Lookup'!$A$1:$A$37=G160)*'Rate Lookup'!$B$1:$B$37),SUMPRODUCT(('Rate Lookup'!$A$1:$A$37=G160)*'Rate Lookup'!$C$1:$C$37)))))))</f>
      </c>
      <c r="I160" s="8"/>
      <c r="J160" s="8"/>
      <c r="K160" s="7">
        <f>IF($C160="","",IF(OR(P160="B",P160="D",P160="E",P160="N",P160="O",P160="P",P160="Q",P160="S",P160="Y",P160="Z"),0,ROUND(J160*H160/100,0)))</f>
      </c>
      <c r="L160" s="7">
        <f>IF($C160="","",0)</f>
      </c>
      <c r="M160" s="7">
        <f>IF($C160="","",0)</f>
      </c>
      <c r="N160" s="7">
        <f>IF($C160="","",IF(OR(K160=0,I160="",IFERROR(INDEX('Challan Master'!$D$4:$D$207,MATCH($B160,'Challan Master'!$S$4:$S$207,0)),"")="",IFERROR(INDEX('Challan Master'!$D$4:$D$207,MATCH($B160,'Challan Master'!$S$4:$S$207,0)),"")&lt;=0),0,IF(IFERROR(INDEX('Challan Master'!$D$4:$D$207,MATCH($B160,'Challan Master'!$S$4:$S$207,0)),"")&lt;=DATE(YEAR(I160),MONTH(I160)+1,7),0,ROUND(K160*0.015*((YEAR(IFERROR(INDEX('Challan Master'!$D$4:$D$207,MATCH($B160,'Challan Master'!$S$4:$S$207,0)),""))-YEAR(I160))*12+(MONTH(IFERROR(INDEX('Challan Master'!$D$4:$D$207,MATCH($B160,'Challan Master'!$S$4:$S$207,0)),""))-MONTH(I160))+1),0))))</f>
      </c>
      <c r="O160" s="7">
        <f>IF($C160="","",0)</f>
      </c>
      <c r="P160" s="8"/>
      <c r="Q160" s="8"/>
      <c r="R160" s="8"/>
      <c r="S160" s="8"/>
      <c r="T160" s="8"/>
      <c r="U160" s="7">
        <f>IF($B160="","",IFERROR(INDEX('Challan Master'!$AA$4:$AA$207,MATCH($B160,'Challan Master'!$S$4:$S$207,0)),""))</f>
      </c>
    </row>
    <row r="161" spans="1:22" x14ac:dyDescent="0.25">
      <c r="A161" s="7">
        <f>IF($C161="","",COUNTIF($C$4:$C161,"&lt;&gt;"))</f>
      </c>
      <c r="B161" s="8"/>
      <c r="C161" s="8"/>
      <c r="D161" s="8"/>
      <c r="E161" s="7">
        <f>IF($C161="","",IF(AND(LEN(TRIM(UPPER(D161)))=10,CODE(MID(TRIM(UPPER(D161)),1,1))&gt;=65,CODE(MID(TRIM(UPPER(D161)),1,1))&lt;=90,CODE(MID(TRIM(UPPER(D161)),2,1))&gt;=65,CODE(MID(TRIM(UPPER(D161)),2,1))&lt;=90,CODE(MID(TRIM(UPPER(D161)),3,1))&gt;=65,CODE(MID(TRIM(UPPER(D161)),3,1))&lt;=90,CODE(MID(TRIM(UPPER(D161)),4,1))&gt;=65,CODE(MID(TRIM(UPPER(D161)),4,1))&lt;=90,CODE(MID(TRIM(UPPER(D161)),5,1))&gt;=65,CODE(MID(TRIM(UPPER(D161)),5,1))&lt;=90,CODE(MID(TRIM(UPPER(D161)),10,1))&gt;=65,CODE(MID(TRIM(UPPER(D161)),10,1))&lt;=90,CODE(MID(TRIM(UPPER(D161)),6,1))&gt;=48,CODE(MID(TRIM(UPPER(D161)),6,1))&lt;=57,CODE(MID(TRIM(UPPER(D161)),7,1))&gt;=48,CODE(MID(TRIM(UPPER(D161)),7,1))&lt;=57,CODE(MID(TRIM(UPPER(D161)),8,1))&gt;=48,CODE(MID(TRIM(UPPER(D161)),8,1))&lt;=57,CODE(MID(TRIM(UPPER(D161)),9,1))&gt;=48,CODE(MID(TRIM(UPPER(D161)),9,1))&lt;=57),"N","Y"))</f>
      </c>
      <c r="F161" s="7">
        <f>IF($C161="","",IF(LEN(D161)&lt;4,"",IF(UPPER(MID(D161,4,1))="P","Individual",IF(UPPER(MID(D161,4,1))="H","HUF",IF(UPPER(MID(D161,4,1))="C","Company",IF(UPPER(MID(D161,4,1))="F","Firm",IF(UPPER(MID(D161,4,1))="L","LLP",IF(UPPER(MID(D161,4,1))="T","Trust",IF(UPPER(MID(D161,4,1))="A","AOP","")))))))))</f>
      </c>
      <c r="G161" s="8"/>
      <c r="H161" s="7">
        <f>IF($C161="","",IF(R161&lt;&gt;"",R161,IF(G161="","",IF(E161="Y",SUMPRODUCT(('Rate Lookup'!$A$1:$A$37=G161)*'Rate Lookup'!$D$1:$D$37),IF(OR(F161="Individual",F161="HUF"),SUMPRODUCT(('Rate Lookup'!$A$1:$A$37=G161)*'Rate Lookup'!$B$1:$B$37),SUMPRODUCT(('Rate Lookup'!$A$1:$A$37=G161)*'Rate Lookup'!$C$1:$C$37)))))))</f>
      </c>
      <c r="I161" s="8"/>
      <c r="J161" s="8"/>
      <c r="K161" s="7">
        <f>IF($C161="","",IF(OR(P161="B",P161="D",P161="E",P161="N",P161="O",P161="P",P161="Q",P161="S",P161="Y",P161="Z"),0,ROUND(J161*H161/100,0)))</f>
      </c>
      <c r="L161" s="7">
        <f>IF($C161="","",0)</f>
      </c>
      <c r="M161" s="7">
        <f>IF($C161="","",0)</f>
      </c>
      <c r="N161" s="7">
        <f>IF($C161="","",IF(OR(K161=0,I161="",IFERROR(INDEX('Challan Master'!$D$4:$D$207,MATCH($B161,'Challan Master'!$S$4:$S$207,0)),"")="",IFERROR(INDEX('Challan Master'!$D$4:$D$207,MATCH($B161,'Challan Master'!$S$4:$S$207,0)),"")&lt;=0),0,IF(IFERROR(INDEX('Challan Master'!$D$4:$D$207,MATCH($B161,'Challan Master'!$S$4:$S$207,0)),"")&lt;=DATE(YEAR(I161),MONTH(I161)+1,7),0,ROUND(K161*0.015*((YEAR(IFERROR(INDEX('Challan Master'!$D$4:$D$207,MATCH($B161,'Challan Master'!$S$4:$S$207,0)),""))-YEAR(I161))*12+(MONTH(IFERROR(INDEX('Challan Master'!$D$4:$D$207,MATCH($B161,'Challan Master'!$S$4:$S$207,0)),""))-MONTH(I161))+1),0))))</f>
      </c>
      <c r="O161" s="7">
        <f>IF($C161="","",0)</f>
      </c>
      <c r="P161" s="8"/>
      <c r="Q161" s="8"/>
      <c r="R161" s="8"/>
      <c r="S161" s="8"/>
      <c r="T161" s="8"/>
      <c r="U161" s="7">
        <f>IF($B161="","",IFERROR(INDEX('Challan Master'!$AA$4:$AA$207,MATCH($B161,'Challan Master'!$S$4:$S$207,0)),""))</f>
      </c>
    </row>
    <row r="162" spans="1:22" x14ac:dyDescent="0.25">
      <c r="A162" s="7">
        <f>IF($C162="","",COUNTIF($C$4:$C162,"&lt;&gt;"))</f>
      </c>
      <c r="B162" s="8"/>
      <c r="C162" s="8"/>
      <c r="D162" s="8"/>
      <c r="E162" s="7">
        <f>IF($C162="","",IF(AND(LEN(TRIM(UPPER(D162)))=10,CODE(MID(TRIM(UPPER(D162)),1,1))&gt;=65,CODE(MID(TRIM(UPPER(D162)),1,1))&lt;=90,CODE(MID(TRIM(UPPER(D162)),2,1))&gt;=65,CODE(MID(TRIM(UPPER(D162)),2,1))&lt;=90,CODE(MID(TRIM(UPPER(D162)),3,1))&gt;=65,CODE(MID(TRIM(UPPER(D162)),3,1))&lt;=90,CODE(MID(TRIM(UPPER(D162)),4,1))&gt;=65,CODE(MID(TRIM(UPPER(D162)),4,1))&lt;=90,CODE(MID(TRIM(UPPER(D162)),5,1))&gt;=65,CODE(MID(TRIM(UPPER(D162)),5,1))&lt;=90,CODE(MID(TRIM(UPPER(D162)),10,1))&gt;=65,CODE(MID(TRIM(UPPER(D162)),10,1))&lt;=90,CODE(MID(TRIM(UPPER(D162)),6,1))&gt;=48,CODE(MID(TRIM(UPPER(D162)),6,1))&lt;=57,CODE(MID(TRIM(UPPER(D162)),7,1))&gt;=48,CODE(MID(TRIM(UPPER(D162)),7,1))&lt;=57,CODE(MID(TRIM(UPPER(D162)),8,1))&gt;=48,CODE(MID(TRIM(UPPER(D162)),8,1))&lt;=57,CODE(MID(TRIM(UPPER(D162)),9,1))&gt;=48,CODE(MID(TRIM(UPPER(D162)),9,1))&lt;=57),"N","Y"))</f>
      </c>
      <c r="F162" s="7">
        <f>IF($C162="","",IF(LEN(D162)&lt;4,"",IF(UPPER(MID(D162,4,1))="P","Individual",IF(UPPER(MID(D162,4,1))="H","HUF",IF(UPPER(MID(D162,4,1))="C","Company",IF(UPPER(MID(D162,4,1))="F","Firm",IF(UPPER(MID(D162,4,1))="L","LLP",IF(UPPER(MID(D162,4,1))="T","Trust",IF(UPPER(MID(D162,4,1))="A","AOP","")))))))))</f>
      </c>
      <c r="G162" s="8"/>
      <c r="H162" s="7">
        <f>IF($C162="","",IF(R162&lt;&gt;"",R162,IF(G162="","",IF(E162="Y",SUMPRODUCT(('Rate Lookup'!$A$1:$A$37=G162)*'Rate Lookup'!$D$1:$D$37),IF(OR(F162="Individual",F162="HUF"),SUMPRODUCT(('Rate Lookup'!$A$1:$A$37=G162)*'Rate Lookup'!$B$1:$B$37),SUMPRODUCT(('Rate Lookup'!$A$1:$A$37=G162)*'Rate Lookup'!$C$1:$C$37)))))))</f>
      </c>
      <c r="I162" s="8"/>
      <c r="J162" s="8"/>
      <c r="K162" s="7">
        <f>IF($C162="","",IF(OR(P162="B",P162="D",P162="E",P162="N",P162="O",P162="P",P162="Q",P162="S",P162="Y",P162="Z"),0,ROUND(J162*H162/100,0)))</f>
      </c>
      <c r="L162" s="7">
        <f>IF($C162="","",0)</f>
      </c>
      <c r="M162" s="7">
        <f>IF($C162="","",0)</f>
      </c>
      <c r="N162" s="7">
        <f>IF($C162="","",IF(OR(K162=0,I162="",IFERROR(INDEX('Challan Master'!$D$4:$D$207,MATCH($B162,'Challan Master'!$S$4:$S$207,0)),"")="",IFERROR(INDEX('Challan Master'!$D$4:$D$207,MATCH($B162,'Challan Master'!$S$4:$S$207,0)),"")&lt;=0),0,IF(IFERROR(INDEX('Challan Master'!$D$4:$D$207,MATCH($B162,'Challan Master'!$S$4:$S$207,0)),"")&lt;=DATE(YEAR(I162),MONTH(I162)+1,7),0,ROUND(K162*0.015*((YEAR(IFERROR(INDEX('Challan Master'!$D$4:$D$207,MATCH($B162,'Challan Master'!$S$4:$S$207,0)),""))-YEAR(I162))*12+(MONTH(IFERROR(INDEX('Challan Master'!$D$4:$D$207,MATCH($B162,'Challan Master'!$S$4:$S$207,0)),""))-MONTH(I162))+1),0))))</f>
      </c>
      <c r="O162" s="7">
        <f>IF($C162="","",0)</f>
      </c>
      <c r="P162" s="8"/>
      <c r="Q162" s="8"/>
      <c r="R162" s="8"/>
      <c r="S162" s="8"/>
      <c r="T162" s="8"/>
      <c r="U162" s="7">
        <f>IF($B162="","",IFERROR(INDEX('Challan Master'!$AA$4:$AA$207,MATCH($B162,'Challan Master'!$S$4:$S$207,0)),""))</f>
      </c>
    </row>
    <row r="163" spans="1:22" x14ac:dyDescent="0.25">
      <c r="A163" s="7">
        <f>IF($C163="","",COUNTIF($C$4:$C163,"&lt;&gt;"))</f>
      </c>
      <c r="B163" s="8"/>
      <c r="C163" s="8"/>
      <c r="D163" s="8"/>
      <c r="E163" s="7">
        <f>IF($C163="","",IF(AND(LEN(TRIM(UPPER(D163)))=10,CODE(MID(TRIM(UPPER(D163)),1,1))&gt;=65,CODE(MID(TRIM(UPPER(D163)),1,1))&lt;=90,CODE(MID(TRIM(UPPER(D163)),2,1))&gt;=65,CODE(MID(TRIM(UPPER(D163)),2,1))&lt;=90,CODE(MID(TRIM(UPPER(D163)),3,1))&gt;=65,CODE(MID(TRIM(UPPER(D163)),3,1))&lt;=90,CODE(MID(TRIM(UPPER(D163)),4,1))&gt;=65,CODE(MID(TRIM(UPPER(D163)),4,1))&lt;=90,CODE(MID(TRIM(UPPER(D163)),5,1))&gt;=65,CODE(MID(TRIM(UPPER(D163)),5,1))&lt;=90,CODE(MID(TRIM(UPPER(D163)),10,1))&gt;=65,CODE(MID(TRIM(UPPER(D163)),10,1))&lt;=90,CODE(MID(TRIM(UPPER(D163)),6,1))&gt;=48,CODE(MID(TRIM(UPPER(D163)),6,1))&lt;=57,CODE(MID(TRIM(UPPER(D163)),7,1))&gt;=48,CODE(MID(TRIM(UPPER(D163)),7,1))&lt;=57,CODE(MID(TRIM(UPPER(D163)),8,1))&gt;=48,CODE(MID(TRIM(UPPER(D163)),8,1))&lt;=57,CODE(MID(TRIM(UPPER(D163)),9,1))&gt;=48,CODE(MID(TRIM(UPPER(D163)),9,1))&lt;=57),"N","Y"))</f>
      </c>
      <c r="F163" s="7">
        <f>IF($C163="","",IF(LEN(D163)&lt;4,"",IF(UPPER(MID(D163,4,1))="P","Individual",IF(UPPER(MID(D163,4,1))="H","HUF",IF(UPPER(MID(D163,4,1))="C","Company",IF(UPPER(MID(D163,4,1))="F","Firm",IF(UPPER(MID(D163,4,1))="L","LLP",IF(UPPER(MID(D163,4,1))="T","Trust",IF(UPPER(MID(D163,4,1))="A","AOP","")))))))))</f>
      </c>
      <c r="G163" s="8"/>
      <c r="H163" s="7">
        <f>IF($C163="","",IF(R163&lt;&gt;"",R163,IF(G163="","",IF(E163="Y",SUMPRODUCT(('Rate Lookup'!$A$1:$A$37=G163)*'Rate Lookup'!$D$1:$D$37),IF(OR(F163="Individual",F163="HUF"),SUMPRODUCT(('Rate Lookup'!$A$1:$A$37=G163)*'Rate Lookup'!$B$1:$B$37),SUMPRODUCT(('Rate Lookup'!$A$1:$A$37=G163)*'Rate Lookup'!$C$1:$C$37)))))))</f>
      </c>
      <c r="I163" s="8"/>
      <c r="J163" s="8"/>
      <c r="K163" s="7">
        <f>IF($C163="","",IF(OR(P163="B",P163="D",P163="E",P163="N",P163="O",P163="P",P163="Q",P163="S",P163="Y",P163="Z"),0,ROUND(J163*H163/100,0)))</f>
      </c>
      <c r="L163" s="7">
        <f>IF($C163="","",0)</f>
      </c>
      <c r="M163" s="7">
        <f>IF($C163="","",0)</f>
      </c>
      <c r="N163" s="7">
        <f>IF($C163="","",IF(OR(K163=0,I163="",IFERROR(INDEX('Challan Master'!$D$4:$D$207,MATCH($B163,'Challan Master'!$S$4:$S$207,0)),"")="",IFERROR(INDEX('Challan Master'!$D$4:$D$207,MATCH($B163,'Challan Master'!$S$4:$S$207,0)),"")&lt;=0),0,IF(IFERROR(INDEX('Challan Master'!$D$4:$D$207,MATCH($B163,'Challan Master'!$S$4:$S$207,0)),"")&lt;=DATE(YEAR(I163),MONTH(I163)+1,7),0,ROUND(K163*0.015*((YEAR(IFERROR(INDEX('Challan Master'!$D$4:$D$207,MATCH($B163,'Challan Master'!$S$4:$S$207,0)),""))-YEAR(I163))*12+(MONTH(IFERROR(INDEX('Challan Master'!$D$4:$D$207,MATCH($B163,'Challan Master'!$S$4:$S$207,0)),""))-MONTH(I163))+1),0))))</f>
      </c>
      <c r="O163" s="7">
        <f>IF($C163="","",0)</f>
      </c>
      <c r="P163" s="8"/>
      <c r="Q163" s="8"/>
      <c r="R163" s="8"/>
      <c r="S163" s="8"/>
      <c r="T163" s="8"/>
      <c r="U163" s="7">
        <f>IF($B163="","",IFERROR(INDEX('Challan Master'!$AA$4:$AA$207,MATCH($B163,'Challan Master'!$S$4:$S$207,0)),""))</f>
      </c>
    </row>
    <row r="164" spans="1:22" x14ac:dyDescent="0.25">
      <c r="A164" s="7">
        <f>IF($C164="","",COUNTIF($C$4:$C164,"&lt;&gt;"))</f>
      </c>
      <c r="B164" s="8"/>
      <c r="C164" s="8"/>
      <c r="D164" s="8"/>
      <c r="E164" s="7">
        <f>IF($C164="","",IF(AND(LEN(TRIM(UPPER(D164)))=10,CODE(MID(TRIM(UPPER(D164)),1,1))&gt;=65,CODE(MID(TRIM(UPPER(D164)),1,1))&lt;=90,CODE(MID(TRIM(UPPER(D164)),2,1))&gt;=65,CODE(MID(TRIM(UPPER(D164)),2,1))&lt;=90,CODE(MID(TRIM(UPPER(D164)),3,1))&gt;=65,CODE(MID(TRIM(UPPER(D164)),3,1))&lt;=90,CODE(MID(TRIM(UPPER(D164)),4,1))&gt;=65,CODE(MID(TRIM(UPPER(D164)),4,1))&lt;=90,CODE(MID(TRIM(UPPER(D164)),5,1))&gt;=65,CODE(MID(TRIM(UPPER(D164)),5,1))&lt;=90,CODE(MID(TRIM(UPPER(D164)),10,1))&gt;=65,CODE(MID(TRIM(UPPER(D164)),10,1))&lt;=90,CODE(MID(TRIM(UPPER(D164)),6,1))&gt;=48,CODE(MID(TRIM(UPPER(D164)),6,1))&lt;=57,CODE(MID(TRIM(UPPER(D164)),7,1))&gt;=48,CODE(MID(TRIM(UPPER(D164)),7,1))&lt;=57,CODE(MID(TRIM(UPPER(D164)),8,1))&gt;=48,CODE(MID(TRIM(UPPER(D164)),8,1))&lt;=57,CODE(MID(TRIM(UPPER(D164)),9,1))&gt;=48,CODE(MID(TRIM(UPPER(D164)),9,1))&lt;=57),"N","Y"))</f>
      </c>
      <c r="F164" s="7">
        <f>IF($C164="","",IF(LEN(D164)&lt;4,"",IF(UPPER(MID(D164,4,1))="P","Individual",IF(UPPER(MID(D164,4,1))="H","HUF",IF(UPPER(MID(D164,4,1))="C","Company",IF(UPPER(MID(D164,4,1))="F","Firm",IF(UPPER(MID(D164,4,1))="L","LLP",IF(UPPER(MID(D164,4,1))="T","Trust",IF(UPPER(MID(D164,4,1))="A","AOP","")))))))))</f>
      </c>
      <c r="G164" s="8"/>
      <c r="H164" s="7">
        <f>IF($C164="","",IF(R164&lt;&gt;"",R164,IF(G164="","",IF(E164="Y",SUMPRODUCT(('Rate Lookup'!$A$1:$A$37=G164)*'Rate Lookup'!$D$1:$D$37),IF(OR(F164="Individual",F164="HUF"),SUMPRODUCT(('Rate Lookup'!$A$1:$A$37=G164)*'Rate Lookup'!$B$1:$B$37),SUMPRODUCT(('Rate Lookup'!$A$1:$A$37=G164)*'Rate Lookup'!$C$1:$C$37)))))))</f>
      </c>
      <c r="I164" s="8"/>
      <c r="J164" s="8"/>
      <c r="K164" s="7">
        <f>IF($C164="","",IF(OR(P164="B",P164="D",P164="E",P164="N",P164="O",P164="P",P164="Q",P164="S",P164="Y",P164="Z"),0,ROUND(J164*H164/100,0)))</f>
      </c>
      <c r="L164" s="7">
        <f>IF($C164="","",0)</f>
      </c>
      <c r="M164" s="7">
        <f>IF($C164="","",0)</f>
      </c>
      <c r="N164" s="7">
        <f>IF($C164="","",IF(OR(K164=0,I164="",IFERROR(INDEX('Challan Master'!$D$4:$D$207,MATCH($B164,'Challan Master'!$S$4:$S$207,0)),"")="",IFERROR(INDEX('Challan Master'!$D$4:$D$207,MATCH($B164,'Challan Master'!$S$4:$S$207,0)),"")&lt;=0),0,IF(IFERROR(INDEX('Challan Master'!$D$4:$D$207,MATCH($B164,'Challan Master'!$S$4:$S$207,0)),"")&lt;=DATE(YEAR(I164),MONTH(I164)+1,7),0,ROUND(K164*0.015*((YEAR(IFERROR(INDEX('Challan Master'!$D$4:$D$207,MATCH($B164,'Challan Master'!$S$4:$S$207,0)),""))-YEAR(I164))*12+(MONTH(IFERROR(INDEX('Challan Master'!$D$4:$D$207,MATCH($B164,'Challan Master'!$S$4:$S$207,0)),""))-MONTH(I164))+1),0))))</f>
      </c>
      <c r="O164" s="7">
        <f>IF($C164="","",0)</f>
      </c>
      <c r="P164" s="8"/>
      <c r="Q164" s="8"/>
      <c r="R164" s="8"/>
      <c r="S164" s="8"/>
      <c r="T164" s="8"/>
      <c r="U164" s="7">
        <f>IF($B164="","",IFERROR(INDEX('Challan Master'!$AA$4:$AA$207,MATCH($B164,'Challan Master'!$S$4:$S$207,0)),""))</f>
      </c>
    </row>
    <row r="165" spans="1:22" x14ac:dyDescent="0.25">
      <c r="A165" s="7">
        <f>IF($C165="","",COUNTIF($C$4:$C165,"&lt;&gt;"))</f>
      </c>
      <c r="B165" s="8"/>
      <c r="C165" s="8"/>
      <c r="D165" s="8"/>
      <c r="E165" s="7">
        <f>IF($C165="","",IF(AND(LEN(TRIM(UPPER(D165)))=10,CODE(MID(TRIM(UPPER(D165)),1,1))&gt;=65,CODE(MID(TRIM(UPPER(D165)),1,1))&lt;=90,CODE(MID(TRIM(UPPER(D165)),2,1))&gt;=65,CODE(MID(TRIM(UPPER(D165)),2,1))&lt;=90,CODE(MID(TRIM(UPPER(D165)),3,1))&gt;=65,CODE(MID(TRIM(UPPER(D165)),3,1))&lt;=90,CODE(MID(TRIM(UPPER(D165)),4,1))&gt;=65,CODE(MID(TRIM(UPPER(D165)),4,1))&lt;=90,CODE(MID(TRIM(UPPER(D165)),5,1))&gt;=65,CODE(MID(TRIM(UPPER(D165)),5,1))&lt;=90,CODE(MID(TRIM(UPPER(D165)),10,1))&gt;=65,CODE(MID(TRIM(UPPER(D165)),10,1))&lt;=90,CODE(MID(TRIM(UPPER(D165)),6,1))&gt;=48,CODE(MID(TRIM(UPPER(D165)),6,1))&lt;=57,CODE(MID(TRIM(UPPER(D165)),7,1))&gt;=48,CODE(MID(TRIM(UPPER(D165)),7,1))&lt;=57,CODE(MID(TRIM(UPPER(D165)),8,1))&gt;=48,CODE(MID(TRIM(UPPER(D165)),8,1))&lt;=57,CODE(MID(TRIM(UPPER(D165)),9,1))&gt;=48,CODE(MID(TRIM(UPPER(D165)),9,1))&lt;=57),"N","Y"))</f>
      </c>
      <c r="F165" s="7">
        <f>IF($C165="","",IF(LEN(D165)&lt;4,"",IF(UPPER(MID(D165,4,1))="P","Individual",IF(UPPER(MID(D165,4,1))="H","HUF",IF(UPPER(MID(D165,4,1))="C","Company",IF(UPPER(MID(D165,4,1))="F","Firm",IF(UPPER(MID(D165,4,1))="L","LLP",IF(UPPER(MID(D165,4,1))="T","Trust",IF(UPPER(MID(D165,4,1))="A","AOP","")))))))))</f>
      </c>
      <c r="G165" s="8"/>
      <c r="H165" s="7">
        <f>IF($C165="","",IF(R165&lt;&gt;"",R165,IF(G165="","",IF(E165="Y",SUMPRODUCT(('Rate Lookup'!$A$1:$A$37=G165)*'Rate Lookup'!$D$1:$D$37),IF(OR(F165="Individual",F165="HUF"),SUMPRODUCT(('Rate Lookup'!$A$1:$A$37=G165)*'Rate Lookup'!$B$1:$B$37),SUMPRODUCT(('Rate Lookup'!$A$1:$A$37=G165)*'Rate Lookup'!$C$1:$C$37)))))))</f>
      </c>
      <c r="I165" s="8"/>
      <c r="J165" s="8"/>
      <c r="K165" s="7">
        <f>IF($C165="","",IF(OR(P165="B",P165="D",P165="E",P165="N",P165="O",P165="P",P165="Q",P165="S",P165="Y",P165="Z"),0,ROUND(J165*H165/100,0)))</f>
      </c>
      <c r="L165" s="7">
        <f>IF($C165="","",0)</f>
      </c>
      <c r="M165" s="7">
        <f>IF($C165="","",0)</f>
      </c>
      <c r="N165" s="7">
        <f>IF($C165="","",IF(OR(K165=0,I165="",IFERROR(INDEX('Challan Master'!$D$4:$D$207,MATCH($B165,'Challan Master'!$S$4:$S$207,0)),"")="",IFERROR(INDEX('Challan Master'!$D$4:$D$207,MATCH($B165,'Challan Master'!$S$4:$S$207,0)),"")&lt;=0),0,IF(IFERROR(INDEX('Challan Master'!$D$4:$D$207,MATCH($B165,'Challan Master'!$S$4:$S$207,0)),"")&lt;=DATE(YEAR(I165),MONTH(I165)+1,7),0,ROUND(K165*0.015*((YEAR(IFERROR(INDEX('Challan Master'!$D$4:$D$207,MATCH($B165,'Challan Master'!$S$4:$S$207,0)),""))-YEAR(I165))*12+(MONTH(IFERROR(INDEX('Challan Master'!$D$4:$D$207,MATCH($B165,'Challan Master'!$S$4:$S$207,0)),""))-MONTH(I165))+1),0))))</f>
      </c>
      <c r="O165" s="7">
        <f>IF($C165="","",0)</f>
      </c>
      <c r="P165" s="8"/>
      <c r="Q165" s="8"/>
      <c r="R165" s="8"/>
      <c r="S165" s="8"/>
      <c r="T165" s="8"/>
      <c r="U165" s="7">
        <f>IF($B165="","",IFERROR(INDEX('Challan Master'!$AA$4:$AA$207,MATCH($B165,'Challan Master'!$S$4:$S$207,0)),""))</f>
      </c>
    </row>
    <row r="166" spans="1:22" x14ac:dyDescent="0.25">
      <c r="A166" s="7">
        <f>IF($C166="","",COUNTIF($C$4:$C166,"&lt;&gt;"))</f>
      </c>
      <c r="B166" s="8"/>
      <c r="C166" s="8"/>
      <c r="D166" s="8"/>
      <c r="E166" s="7">
        <f>IF($C166="","",IF(AND(LEN(TRIM(UPPER(D166)))=10,CODE(MID(TRIM(UPPER(D166)),1,1))&gt;=65,CODE(MID(TRIM(UPPER(D166)),1,1))&lt;=90,CODE(MID(TRIM(UPPER(D166)),2,1))&gt;=65,CODE(MID(TRIM(UPPER(D166)),2,1))&lt;=90,CODE(MID(TRIM(UPPER(D166)),3,1))&gt;=65,CODE(MID(TRIM(UPPER(D166)),3,1))&lt;=90,CODE(MID(TRIM(UPPER(D166)),4,1))&gt;=65,CODE(MID(TRIM(UPPER(D166)),4,1))&lt;=90,CODE(MID(TRIM(UPPER(D166)),5,1))&gt;=65,CODE(MID(TRIM(UPPER(D166)),5,1))&lt;=90,CODE(MID(TRIM(UPPER(D166)),10,1))&gt;=65,CODE(MID(TRIM(UPPER(D166)),10,1))&lt;=90,CODE(MID(TRIM(UPPER(D166)),6,1))&gt;=48,CODE(MID(TRIM(UPPER(D166)),6,1))&lt;=57,CODE(MID(TRIM(UPPER(D166)),7,1))&gt;=48,CODE(MID(TRIM(UPPER(D166)),7,1))&lt;=57,CODE(MID(TRIM(UPPER(D166)),8,1))&gt;=48,CODE(MID(TRIM(UPPER(D166)),8,1))&lt;=57,CODE(MID(TRIM(UPPER(D166)),9,1))&gt;=48,CODE(MID(TRIM(UPPER(D166)),9,1))&lt;=57),"N","Y"))</f>
      </c>
      <c r="F166" s="7">
        <f>IF($C166="","",IF(LEN(D166)&lt;4,"",IF(UPPER(MID(D166,4,1))="P","Individual",IF(UPPER(MID(D166,4,1))="H","HUF",IF(UPPER(MID(D166,4,1))="C","Company",IF(UPPER(MID(D166,4,1))="F","Firm",IF(UPPER(MID(D166,4,1))="L","LLP",IF(UPPER(MID(D166,4,1))="T","Trust",IF(UPPER(MID(D166,4,1))="A","AOP","")))))))))</f>
      </c>
      <c r="G166" s="8"/>
      <c r="H166" s="7">
        <f>IF($C166="","",IF(R166&lt;&gt;"",R166,IF(G166="","",IF(E166="Y",SUMPRODUCT(('Rate Lookup'!$A$1:$A$37=G166)*'Rate Lookup'!$D$1:$D$37),IF(OR(F166="Individual",F166="HUF"),SUMPRODUCT(('Rate Lookup'!$A$1:$A$37=G166)*'Rate Lookup'!$B$1:$B$37),SUMPRODUCT(('Rate Lookup'!$A$1:$A$37=G166)*'Rate Lookup'!$C$1:$C$37)))))))</f>
      </c>
      <c r="I166" s="8"/>
      <c r="J166" s="8"/>
      <c r="K166" s="7">
        <f>IF($C166="","",IF(OR(P166="B",P166="D",P166="E",P166="N",P166="O",P166="P",P166="Q",P166="S",P166="Y",P166="Z"),0,ROUND(J166*H166/100,0)))</f>
      </c>
      <c r="L166" s="7">
        <f>IF($C166="","",0)</f>
      </c>
      <c r="M166" s="7">
        <f>IF($C166="","",0)</f>
      </c>
      <c r="N166" s="7">
        <f>IF($C166="","",IF(OR(K166=0,I166="",IFERROR(INDEX('Challan Master'!$D$4:$D$207,MATCH($B166,'Challan Master'!$S$4:$S$207,0)),"")="",IFERROR(INDEX('Challan Master'!$D$4:$D$207,MATCH($B166,'Challan Master'!$S$4:$S$207,0)),"")&lt;=0),0,IF(IFERROR(INDEX('Challan Master'!$D$4:$D$207,MATCH($B166,'Challan Master'!$S$4:$S$207,0)),"")&lt;=DATE(YEAR(I166),MONTH(I166)+1,7),0,ROUND(K166*0.015*((YEAR(IFERROR(INDEX('Challan Master'!$D$4:$D$207,MATCH($B166,'Challan Master'!$S$4:$S$207,0)),""))-YEAR(I166))*12+(MONTH(IFERROR(INDEX('Challan Master'!$D$4:$D$207,MATCH($B166,'Challan Master'!$S$4:$S$207,0)),""))-MONTH(I166))+1),0))))</f>
      </c>
      <c r="O166" s="7">
        <f>IF($C166="","",0)</f>
      </c>
      <c r="P166" s="8"/>
      <c r="Q166" s="8"/>
      <c r="R166" s="8"/>
      <c r="S166" s="8"/>
      <c r="T166" s="8"/>
      <c r="U166" s="7">
        <f>IF($B166="","",IFERROR(INDEX('Challan Master'!$AA$4:$AA$207,MATCH($B166,'Challan Master'!$S$4:$S$207,0)),""))</f>
      </c>
    </row>
    <row r="167" spans="1:22" x14ac:dyDescent="0.25">
      <c r="A167" s="7">
        <f>IF($C167="","",COUNTIF($C$4:$C167,"&lt;&gt;"))</f>
      </c>
      <c r="B167" s="8"/>
      <c r="C167" s="8"/>
      <c r="D167" s="8"/>
      <c r="E167" s="7">
        <f>IF($C167="","",IF(AND(LEN(TRIM(UPPER(D167)))=10,CODE(MID(TRIM(UPPER(D167)),1,1))&gt;=65,CODE(MID(TRIM(UPPER(D167)),1,1))&lt;=90,CODE(MID(TRIM(UPPER(D167)),2,1))&gt;=65,CODE(MID(TRIM(UPPER(D167)),2,1))&lt;=90,CODE(MID(TRIM(UPPER(D167)),3,1))&gt;=65,CODE(MID(TRIM(UPPER(D167)),3,1))&lt;=90,CODE(MID(TRIM(UPPER(D167)),4,1))&gt;=65,CODE(MID(TRIM(UPPER(D167)),4,1))&lt;=90,CODE(MID(TRIM(UPPER(D167)),5,1))&gt;=65,CODE(MID(TRIM(UPPER(D167)),5,1))&lt;=90,CODE(MID(TRIM(UPPER(D167)),10,1))&gt;=65,CODE(MID(TRIM(UPPER(D167)),10,1))&lt;=90,CODE(MID(TRIM(UPPER(D167)),6,1))&gt;=48,CODE(MID(TRIM(UPPER(D167)),6,1))&lt;=57,CODE(MID(TRIM(UPPER(D167)),7,1))&gt;=48,CODE(MID(TRIM(UPPER(D167)),7,1))&lt;=57,CODE(MID(TRIM(UPPER(D167)),8,1))&gt;=48,CODE(MID(TRIM(UPPER(D167)),8,1))&lt;=57,CODE(MID(TRIM(UPPER(D167)),9,1))&gt;=48,CODE(MID(TRIM(UPPER(D167)),9,1))&lt;=57),"N","Y"))</f>
      </c>
      <c r="F167" s="7">
        <f>IF($C167="","",IF(LEN(D167)&lt;4,"",IF(UPPER(MID(D167,4,1))="P","Individual",IF(UPPER(MID(D167,4,1))="H","HUF",IF(UPPER(MID(D167,4,1))="C","Company",IF(UPPER(MID(D167,4,1))="F","Firm",IF(UPPER(MID(D167,4,1))="L","LLP",IF(UPPER(MID(D167,4,1))="T","Trust",IF(UPPER(MID(D167,4,1))="A","AOP","")))))))))</f>
      </c>
      <c r="G167" s="8"/>
      <c r="H167" s="7">
        <f>IF($C167="","",IF(R167&lt;&gt;"",R167,IF(G167="","",IF(E167="Y",SUMPRODUCT(('Rate Lookup'!$A$1:$A$37=G167)*'Rate Lookup'!$D$1:$D$37),IF(OR(F167="Individual",F167="HUF"),SUMPRODUCT(('Rate Lookup'!$A$1:$A$37=G167)*'Rate Lookup'!$B$1:$B$37),SUMPRODUCT(('Rate Lookup'!$A$1:$A$37=G167)*'Rate Lookup'!$C$1:$C$37)))))))</f>
      </c>
      <c r="I167" s="8"/>
      <c r="J167" s="8"/>
      <c r="K167" s="7">
        <f>IF($C167="","",IF(OR(P167="B",P167="D",P167="E",P167="N",P167="O",P167="P",P167="Q",P167="S",P167="Y",P167="Z"),0,ROUND(J167*H167/100,0)))</f>
      </c>
      <c r="L167" s="7">
        <f>IF($C167="","",0)</f>
      </c>
      <c r="M167" s="7">
        <f>IF($C167="","",0)</f>
      </c>
      <c r="N167" s="7">
        <f>IF($C167="","",IF(OR(K167=0,I167="",IFERROR(INDEX('Challan Master'!$D$4:$D$207,MATCH($B167,'Challan Master'!$S$4:$S$207,0)),"")="",IFERROR(INDEX('Challan Master'!$D$4:$D$207,MATCH($B167,'Challan Master'!$S$4:$S$207,0)),"")&lt;=0),0,IF(IFERROR(INDEX('Challan Master'!$D$4:$D$207,MATCH($B167,'Challan Master'!$S$4:$S$207,0)),"")&lt;=DATE(YEAR(I167),MONTH(I167)+1,7),0,ROUND(K167*0.015*((YEAR(IFERROR(INDEX('Challan Master'!$D$4:$D$207,MATCH($B167,'Challan Master'!$S$4:$S$207,0)),""))-YEAR(I167))*12+(MONTH(IFERROR(INDEX('Challan Master'!$D$4:$D$207,MATCH($B167,'Challan Master'!$S$4:$S$207,0)),""))-MONTH(I167))+1),0))))</f>
      </c>
      <c r="O167" s="7">
        <f>IF($C167="","",0)</f>
      </c>
      <c r="P167" s="8"/>
      <c r="Q167" s="8"/>
      <c r="R167" s="8"/>
      <c r="S167" s="8"/>
      <c r="T167" s="8"/>
      <c r="U167" s="7">
        <f>IF($B167="","",IFERROR(INDEX('Challan Master'!$AA$4:$AA$207,MATCH($B167,'Challan Master'!$S$4:$S$207,0)),""))</f>
      </c>
    </row>
    <row r="168" spans="1:22" x14ac:dyDescent="0.25">
      <c r="A168" s="7">
        <f>IF($C168="","",COUNTIF($C$4:$C168,"&lt;&gt;"))</f>
      </c>
      <c r="B168" s="8"/>
      <c r="C168" s="8"/>
      <c r="D168" s="8"/>
      <c r="E168" s="7">
        <f>IF($C168="","",IF(AND(LEN(TRIM(UPPER(D168)))=10,CODE(MID(TRIM(UPPER(D168)),1,1))&gt;=65,CODE(MID(TRIM(UPPER(D168)),1,1))&lt;=90,CODE(MID(TRIM(UPPER(D168)),2,1))&gt;=65,CODE(MID(TRIM(UPPER(D168)),2,1))&lt;=90,CODE(MID(TRIM(UPPER(D168)),3,1))&gt;=65,CODE(MID(TRIM(UPPER(D168)),3,1))&lt;=90,CODE(MID(TRIM(UPPER(D168)),4,1))&gt;=65,CODE(MID(TRIM(UPPER(D168)),4,1))&lt;=90,CODE(MID(TRIM(UPPER(D168)),5,1))&gt;=65,CODE(MID(TRIM(UPPER(D168)),5,1))&lt;=90,CODE(MID(TRIM(UPPER(D168)),10,1))&gt;=65,CODE(MID(TRIM(UPPER(D168)),10,1))&lt;=90,CODE(MID(TRIM(UPPER(D168)),6,1))&gt;=48,CODE(MID(TRIM(UPPER(D168)),6,1))&lt;=57,CODE(MID(TRIM(UPPER(D168)),7,1))&gt;=48,CODE(MID(TRIM(UPPER(D168)),7,1))&lt;=57,CODE(MID(TRIM(UPPER(D168)),8,1))&gt;=48,CODE(MID(TRIM(UPPER(D168)),8,1))&lt;=57,CODE(MID(TRIM(UPPER(D168)),9,1))&gt;=48,CODE(MID(TRIM(UPPER(D168)),9,1))&lt;=57),"N","Y"))</f>
      </c>
      <c r="F168" s="7">
        <f>IF($C168="","",IF(LEN(D168)&lt;4,"",IF(UPPER(MID(D168,4,1))="P","Individual",IF(UPPER(MID(D168,4,1))="H","HUF",IF(UPPER(MID(D168,4,1))="C","Company",IF(UPPER(MID(D168,4,1))="F","Firm",IF(UPPER(MID(D168,4,1))="L","LLP",IF(UPPER(MID(D168,4,1))="T","Trust",IF(UPPER(MID(D168,4,1))="A","AOP","")))))))))</f>
      </c>
      <c r="G168" s="8"/>
      <c r="H168" s="7">
        <f>IF($C168="","",IF(R168&lt;&gt;"",R168,IF(G168="","",IF(E168="Y",SUMPRODUCT(('Rate Lookup'!$A$1:$A$37=G168)*'Rate Lookup'!$D$1:$D$37),IF(OR(F168="Individual",F168="HUF"),SUMPRODUCT(('Rate Lookup'!$A$1:$A$37=G168)*'Rate Lookup'!$B$1:$B$37),SUMPRODUCT(('Rate Lookup'!$A$1:$A$37=G168)*'Rate Lookup'!$C$1:$C$37)))))))</f>
      </c>
      <c r="I168" s="8"/>
      <c r="J168" s="8"/>
      <c r="K168" s="7">
        <f>IF($C168="","",IF(OR(P168="B",P168="D",P168="E",P168="N",P168="O",P168="P",P168="Q",P168="S",P168="Y",P168="Z"),0,ROUND(J168*H168/100,0)))</f>
      </c>
      <c r="L168" s="7">
        <f>IF($C168="","",0)</f>
      </c>
      <c r="M168" s="7">
        <f>IF($C168="","",0)</f>
      </c>
      <c r="N168" s="7">
        <f>IF($C168="","",IF(OR(K168=0,I168="",IFERROR(INDEX('Challan Master'!$D$4:$D$207,MATCH($B168,'Challan Master'!$S$4:$S$207,0)),"")="",IFERROR(INDEX('Challan Master'!$D$4:$D$207,MATCH($B168,'Challan Master'!$S$4:$S$207,0)),"")&lt;=0),0,IF(IFERROR(INDEX('Challan Master'!$D$4:$D$207,MATCH($B168,'Challan Master'!$S$4:$S$207,0)),"")&lt;=DATE(YEAR(I168),MONTH(I168)+1,7),0,ROUND(K168*0.015*((YEAR(IFERROR(INDEX('Challan Master'!$D$4:$D$207,MATCH($B168,'Challan Master'!$S$4:$S$207,0)),""))-YEAR(I168))*12+(MONTH(IFERROR(INDEX('Challan Master'!$D$4:$D$207,MATCH($B168,'Challan Master'!$S$4:$S$207,0)),""))-MONTH(I168))+1),0))))</f>
      </c>
      <c r="O168" s="7">
        <f>IF($C168="","",0)</f>
      </c>
      <c r="P168" s="8"/>
      <c r="Q168" s="8"/>
      <c r="R168" s="8"/>
      <c r="S168" s="8"/>
      <c r="T168" s="8"/>
      <c r="U168" s="7">
        <f>IF($B168="","",IFERROR(INDEX('Challan Master'!$AA$4:$AA$207,MATCH($B168,'Challan Master'!$S$4:$S$207,0)),""))</f>
      </c>
    </row>
    <row r="169" spans="1:22" x14ac:dyDescent="0.25">
      <c r="A169" s="7">
        <f>IF($C169="","",COUNTIF($C$4:$C169,"&lt;&gt;"))</f>
      </c>
      <c r="B169" s="8"/>
      <c r="C169" s="8"/>
      <c r="D169" s="8"/>
      <c r="E169" s="7">
        <f>IF($C169="","",IF(AND(LEN(TRIM(UPPER(D169)))=10,CODE(MID(TRIM(UPPER(D169)),1,1))&gt;=65,CODE(MID(TRIM(UPPER(D169)),1,1))&lt;=90,CODE(MID(TRIM(UPPER(D169)),2,1))&gt;=65,CODE(MID(TRIM(UPPER(D169)),2,1))&lt;=90,CODE(MID(TRIM(UPPER(D169)),3,1))&gt;=65,CODE(MID(TRIM(UPPER(D169)),3,1))&lt;=90,CODE(MID(TRIM(UPPER(D169)),4,1))&gt;=65,CODE(MID(TRIM(UPPER(D169)),4,1))&lt;=90,CODE(MID(TRIM(UPPER(D169)),5,1))&gt;=65,CODE(MID(TRIM(UPPER(D169)),5,1))&lt;=90,CODE(MID(TRIM(UPPER(D169)),10,1))&gt;=65,CODE(MID(TRIM(UPPER(D169)),10,1))&lt;=90,CODE(MID(TRIM(UPPER(D169)),6,1))&gt;=48,CODE(MID(TRIM(UPPER(D169)),6,1))&lt;=57,CODE(MID(TRIM(UPPER(D169)),7,1))&gt;=48,CODE(MID(TRIM(UPPER(D169)),7,1))&lt;=57,CODE(MID(TRIM(UPPER(D169)),8,1))&gt;=48,CODE(MID(TRIM(UPPER(D169)),8,1))&lt;=57,CODE(MID(TRIM(UPPER(D169)),9,1))&gt;=48,CODE(MID(TRIM(UPPER(D169)),9,1))&lt;=57),"N","Y"))</f>
      </c>
      <c r="F169" s="7">
        <f>IF($C169="","",IF(LEN(D169)&lt;4,"",IF(UPPER(MID(D169,4,1))="P","Individual",IF(UPPER(MID(D169,4,1))="H","HUF",IF(UPPER(MID(D169,4,1))="C","Company",IF(UPPER(MID(D169,4,1))="F","Firm",IF(UPPER(MID(D169,4,1))="L","LLP",IF(UPPER(MID(D169,4,1))="T","Trust",IF(UPPER(MID(D169,4,1))="A","AOP","")))))))))</f>
      </c>
      <c r="G169" s="8"/>
      <c r="H169" s="7">
        <f>IF($C169="","",IF(R169&lt;&gt;"",R169,IF(G169="","",IF(E169="Y",SUMPRODUCT(('Rate Lookup'!$A$1:$A$37=G169)*'Rate Lookup'!$D$1:$D$37),IF(OR(F169="Individual",F169="HUF"),SUMPRODUCT(('Rate Lookup'!$A$1:$A$37=G169)*'Rate Lookup'!$B$1:$B$37),SUMPRODUCT(('Rate Lookup'!$A$1:$A$37=G169)*'Rate Lookup'!$C$1:$C$37)))))))</f>
      </c>
      <c r="I169" s="8"/>
      <c r="J169" s="8"/>
      <c r="K169" s="7">
        <f>IF($C169="","",IF(OR(P169="B",P169="D",P169="E",P169="N",P169="O",P169="P",P169="Q",P169="S",P169="Y",P169="Z"),0,ROUND(J169*H169/100,0)))</f>
      </c>
      <c r="L169" s="7">
        <f>IF($C169="","",0)</f>
      </c>
      <c r="M169" s="7">
        <f>IF($C169="","",0)</f>
      </c>
      <c r="N169" s="7">
        <f>IF($C169="","",IF(OR(K169=0,I169="",IFERROR(INDEX('Challan Master'!$D$4:$D$207,MATCH($B169,'Challan Master'!$S$4:$S$207,0)),"")="",IFERROR(INDEX('Challan Master'!$D$4:$D$207,MATCH($B169,'Challan Master'!$S$4:$S$207,0)),"")&lt;=0),0,IF(IFERROR(INDEX('Challan Master'!$D$4:$D$207,MATCH($B169,'Challan Master'!$S$4:$S$207,0)),"")&lt;=DATE(YEAR(I169),MONTH(I169)+1,7),0,ROUND(K169*0.015*((YEAR(IFERROR(INDEX('Challan Master'!$D$4:$D$207,MATCH($B169,'Challan Master'!$S$4:$S$207,0)),""))-YEAR(I169))*12+(MONTH(IFERROR(INDEX('Challan Master'!$D$4:$D$207,MATCH($B169,'Challan Master'!$S$4:$S$207,0)),""))-MONTH(I169))+1),0))))</f>
      </c>
      <c r="O169" s="7">
        <f>IF($C169="","",0)</f>
      </c>
      <c r="P169" s="8"/>
      <c r="Q169" s="8"/>
      <c r="R169" s="8"/>
      <c r="S169" s="8"/>
      <c r="T169" s="8"/>
      <c r="U169" s="7">
        <f>IF($B169="","",IFERROR(INDEX('Challan Master'!$AA$4:$AA$207,MATCH($B169,'Challan Master'!$S$4:$S$207,0)),""))</f>
      </c>
    </row>
    <row r="170" spans="1:22" x14ac:dyDescent="0.25">
      <c r="A170" s="7">
        <f>IF($C170="","",COUNTIF($C$4:$C170,"&lt;&gt;"))</f>
      </c>
      <c r="B170" s="8"/>
      <c r="C170" s="8"/>
      <c r="D170" s="8"/>
      <c r="E170" s="7">
        <f>IF($C170="","",IF(AND(LEN(TRIM(UPPER(D170)))=10,CODE(MID(TRIM(UPPER(D170)),1,1))&gt;=65,CODE(MID(TRIM(UPPER(D170)),1,1))&lt;=90,CODE(MID(TRIM(UPPER(D170)),2,1))&gt;=65,CODE(MID(TRIM(UPPER(D170)),2,1))&lt;=90,CODE(MID(TRIM(UPPER(D170)),3,1))&gt;=65,CODE(MID(TRIM(UPPER(D170)),3,1))&lt;=90,CODE(MID(TRIM(UPPER(D170)),4,1))&gt;=65,CODE(MID(TRIM(UPPER(D170)),4,1))&lt;=90,CODE(MID(TRIM(UPPER(D170)),5,1))&gt;=65,CODE(MID(TRIM(UPPER(D170)),5,1))&lt;=90,CODE(MID(TRIM(UPPER(D170)),10,1))&gt;=65,CODE(MID(TRIM(UPPER(D170)),10,1))&lt;=90,CODE(MID(TRIM(UPPER(D170)),6,1))&gt;=48,CODE(MID(TRIM(UPPER(D170)),6,1))&lt;=57,CODE(MID(TRIM(UPPER(D170)),7,1))&gt;=48,CODE(MID(TRIM(UPPER(D170)),7,1))&lt;=57,CODE(MID(TRIM(UPPER(D170)),8,1))&gt;=48,CODE(MID(TRIM(UPPER(D170)),8,1))&lt;=57,CODE(MID(TRIM(UPPER(D170)),9,1))&gt;=48,CODE(MID(TRIM(UPPER(D170)),9,1))&lt;=57),"N","Y"))</f>
      </c>
      <c r="F170" s="7">
        <f>IF($C170="","",IF(LEN(D170)&lt;4,"",IF(UPPER(MID(D170,4,1))="P","Individual",IF(UPPER(MID(D170,4,1))="H","HUF",IF(UPPER(MID(D170,4,1))="C","Company",IF(UPPER(MID(D170,4,1))="F","Firm",IF(UPPER(MID(D170,4,1))="L","LLP",IF(UPPER(MID(D170,4,1))="T","Trust",IF(UPPER(MID(D170,4,1))="A","AOP","")))))))))</f>
      </c>
      <c r="G170" s="8"/>
      <c r="H170" s="7">
        <f>IF($C170="","",IF(R170&lt;&gt;"",R170,IF(G170="","",IF(E170="Y",SUMPRODUCT(('Rate Lookup'!$A$1:$A$37=G170)*'Rate Lookup'!$D$1:$D$37),IF(OR(F170="Individual",F170="HUF"),SUMPRODUCT(('Rate Lookup'!$A$1:$A$37=G170)*'Rate Lookup'!$B$1:$B$37),SUMPRODUCT(('Rate Lookup'!$A$1:$A$37=G170)*'Rate Lookup'!$C$1:$C$37)))))))</f>
      </c>
      <c r="I170" s="8"/>
      <c r="J170" s="8"/>
      <c r="K170" s="7">
        <f>IF($C170="","",IF(OR(P170="B",P170="D",P170="E",P170="N",P170="O",P170="P",P170="Q",P170="S",P170="Y",P170="Z"),0,ROUND(J170*H170/100,0)))</f>
      </c>
      <c r="L170" s="7">
        <f>IF($C170="","",0)</f>
      </c>
      <c r="M170" s="7">
        <f>IF($C170="","",0)</f>
      </c>
      <c r="N170" s="7">
        <f>IF($C170="","",IF(OR(K170=0,I170="",IFERROR(INDEX('Challan Master'!$D$4:$D$207,MATCH($B170,'Challan Master'!$S$4:$S$207,0)),"")="",IFERROR(INDEX('Challan Master'!$D$4:$D$207,MATCH($B170,'Challan Master'!$S$4:$S$207,0)),"")&lt;=0),0,IF(IFERROR(INDEX('Challan Master'!$D$4:$D$207,MATCH($B170,'Challan Master'!$S$4:$S$207,0)),"")&lt;=DATE(YEAR(I170),MONTH(I170)+1,7),0,ROUND(K170*0.015*((YEAR(IFERROR(INDEX('Challan Master'!$D$4:$D$207,MATCH($B170,'Challan Master'!$S$4:$S$207,0)),""))-YEAR(I170))*12+(MONTH(IFERROR(INDEX('Challan Master'!$D$4:$D$207,MATCH($B170,'Challan Master'!$S$4:$S$207,0)),""))-MONTH(I170))+1),0))))</f>
      </c>
      <c r="O170" s="7">
        <f>IF($C170="","",0)</f>
      </c>
      <c r="P170" s="8"/>
      <c r="Q170" s="8"/>
      <c r="R170" s="8"/>
      <c r="S170" s="8"/>
      <c r="T170" s="8"/>
      <c r="U170" s="7">
        <f>IF($B170="","",IFERROR(INDEX('Challan Master'!$AA$4:$AA$207,MATCH($B170,'Challan Master'!$S$4:$S$207,0)),""))</f>
      </c>
    </row>
    <row r="171" spans="1:22" x14ac:dyDescent="0.25">
      <c r="A171" s="7">
        <f>IF($C171="","",COUNTIF($C$4:$C171,"&lt;&gt;"))</f>
      </c>
      <c r="B171" s="8"/>
      <c r="C171" s="8"/>
      <c r="D171" s="8"/>
      <c r="E171" s="7">
        <f>IF($C171="","",IF(AND(LEN(TRIM(UPPER(D171)))=10,CODE(MID(TRIM(UPPER(D171)),1,1))&gt;=65,CODE(MID(TRIM(UPPER(D171)),1,1))&lt;=90,CODE(MID(TRIM(UPPER(D171)),2,1))&gt;=65,CODE(MID(TRIM(UPPER(D171)),2,1))&lt;=90,CODE(MID(TRIM(UPPER(D171)),3,1))&gt;=65,CODE(MID(TRIM(UPPER(D171)),3,1))&lt;=90,CODE(MID(TRIM(UPPER(D171)),4,1))&gt;=65,CODE(MID(TRIM(UPPER(D171)),4,1))&lt;=90,CODE(MID(TRIM(UPPER(D171)),5,1))&gt;=65,CODE(MID(TRIM(UPPER(D171)),5,1))&lt;=90,CODE(MID(TRIM(UPPER(D171)),10,1))&gt;=65,CODE(MID(TRIM(UPPER(D171)),10,1))&lt;=90,CODE(MID(TRIM(UPPER(D171)),6,1))&gt;=48,CODE(MID(TRIM(UPPER(D171)),6,1))&lt;=57,CODE(MID(TRIM(UPPER(D171)),7,1))&gt;=48,CODE(MID(TRIM(UPPER(D171)),7,1))&lt;=57,CODE(MID(TRIM(UPPER(D171)),8,1))&gt;=48,CODE(MID(TRIM(UPPER(D171)),8,1))&lt;=57,CODE(MID(TRIM(UPPER(D171)),9,1))&gt;=48,CODE(MID(TRIM(UPPER(D171)),9,1))&lt;=57),"N","Y"))</f>
      </c>
      <c r="F171" s="7">
        <f>IF($C171="","",IF(LEN(D171)&lt;4,"",IF(UPPER(MID(D171,4,1))="P","Individual",IF(UPPER(MID(D171,4,1))="H","HUF",IF(UPPER(MID(D171,4,1))="C","Company",IF(UPPER(MID(D171,4,1))="F","Firm",IF(UPPER(MID(D171,4,1))="L","LLP",IF(UPPER(MID(D171,4,1))="T","Trust",IF(UPPER(MID(D171,4,1))="A","AOP","")))))))))</f>
      </c>
      <c r="G171" s="8"/>
      <c r="H171" s="7">
        <f>IF($C171="","",IF(R171&lt;&gt;"",R171,IF(G171="","",IF(E171="Y",SUMPRODUCT(('Rate Lookup'!$A$1:$A$37=G171)*'Rate Lookup'!$D$1:$D$37),IF(OR(F171="Individual",F171="HUF"),SUMPRODUCT(('Rate Lookup'!$A$1:$A$37=G171)*'Rate Lookup'!$B$1:$B$37),SUMPRODUCT(('Rate Lookup'!$A$1:$A$37=G171)*'Rate Lookup'!$C$1:$C$37)))))))</f>
      </c>
      <c r="I171" s="8"/>
      <c r="J171" s="8"/>
      <c r="K171" s="7">
        <f>IF($C171="","",IF(OR(P171="B",P171="D",P171="E",P171="N",P171="O",P171="P",P171="Q",P171="S",P171="Y",P171="Z"),0,ROUND(J171*H171/100,0)))</f>
      </c>
      <c r="L171" s="7">
        <f>IF($C171="","",0)</f>
      </c>
      <c r="M171" s="7">
        <f>IF($C171="","",0)</f>
      </c>
      <c r="N171" s="7">
        <f>IF($C171="","",IF(OR(K171=0,I171="",IFERROR(INDEX('Challan Master'!$D$4:$D$207,MATCH($B171,'Challan Master'!$S$4:$S$207,0)),"")="",IFERROR(INDEX('Challan Master'!$D$4:$D$207,MATCH($B171,'Challan Master'!$S$4:$S$207,0)),"")&lt;=0),0,IF(IFERROR(INDEX('Challan Master'!$D$4:$D$207,MATCH($B171,'Challan Master'!$S$4:$S$207,0)),"")&lt;=DATE(YEAR(I171),MONTH(I171)+1,7),0,ROUND(K171*0.015*((YEAR(IFERROR(INDEX('Challan Master'!$D$4:$D$207,MATCH($B171,'Challan Master'!$S$4:$S$207,0)),""))-YEAR(I171))*12+(MONTH(IFERROR(INDEX('Challan Master'!$D$4:$D$207,MATCH($B171,'Challan Master'!$S$4:$S$207,0)),""))-MONTH(I171))+1),0))))</f>
      </c>
      <c r="O171" s="7">
        <f>IF($C171="","",0)</f>
      </c>
      <c r="P171" s="8"/>
      <c r="Q171" s="8"/>
      <c r="R171" s="8"/>
      <c r="S171" s="8"/>
      <c r="T171" s="8"/>
      <c r="U171" s="7">
        <f>IF($B171="","",IFERROR(INDEX('Challan Master'!$AA$4:$AA$207,MATCH($B171,'Challan Master'!$S$4:$S$207,0)),""))</f>
      </c>
    </row>
    <row r="172" spans="1:22" x14ac:dyDescent="0.25">
      <c r="A172" s="7">
        <f>IF($C172="","",COUNTIF($C$4:$C172,"&lt;&gt;"))</f>
      </c>
      <c r="B172" s="8"/>
      <c r="C172" s="8"/>
      <c r="D172" s="8"/>
      <c r="E172" s="7">
        <f>IF($C172="","",IF(AND(LEN(TRIM(UPPER(D172)))=10,CODE(MID(TRIM(UPPER(D172)),1,1))&gt;=65,CODE(MID(TRIM(UPPER(D172)),1,1))&lt;=90,CODE(MID(TRIM(UPPER(D172)),2,1))&gt;=65,CODE(MID(TRIM(UPPER(D172)),2,1))&lt;=90,CODE(MID(TRIM(UPPER(D172)),3,1))&gt;=65,CODE(MID(TRIM(UPPER(D172)),3,1))&lt;=90,CODE(MID(TRIM(UPPER(D172)),4,1))&gt;=65,CODE(MID(TRIM(UPPER(D172)),4,1))&lt;=90,CODE(MID(TRIM(UPPER(D172)),5,1))&gt;=65,CODE(MID(TRIM(UPPER(D172)),5,1))&lt;=90,CODE(MID(TRIM(UPPER(D172)),10,1))&gt;=65,CODE(MID(TRIM(UPPER(D172)),10,1))&lt;=90,CODE(MID(TRIM(UPPER(D172)),6,1))&gt;=48,CODE(MID(TRIM(UPPER(D172)),6,1))&lt;=57,CODE(MID(TRIM(UPPER(D172)),7,1))&gt;=48,CODE(MID(TRIM(UPPER(D172)),7,1))&lt;=57,CODE(MID(TRIM(UPPER(D172)),8,1))&gt;=48,CODE(MID(TRIM(UPPER(D172)),8,1))&lt;=57,CODE(MID(TRIM(UPPER(D172)),9,1))&gt;=48,CODE(MID(TRIM(UPPER(D172)),9,1))&lt;=57),"N","Y"))</f>
      </c>
      <c r="F172" s="7">
        <f>IF($C172="","",IF(LEN(D172)&lt;4,"",IF(UPPER(MID(D172,4,1))="P","Individual",IF(UPPER(MID(D172,4,1))="H","HUF",IF(UPPER(MID(D172,4,1))="C","Company",IF(UPPER(MID(D172,4,1))="F","Firm",IF(UPPER(MID(D172,4,1))="L","LLP",IF(UPPER(MID(D172,4,1))="T","Trust",IF(UPPER(MID(D172,4,1))="A","AOP","")))))))))</f>
      </c>
      <c r="G172" s="8"/>
      <c r="H172" s="7">
        <f>IF($C172="","",IF(R172&lt;&gt;"",R172,IF(G172="","",IF(E172="Y",SUMPRODUCT(('Rate Lookup'!$A$1:$A$37=G172)*'Rate Lookup'!$D$1:$D$37),IF(OR(F172="Individual",F172="HUF"),SUMPRODUCT(('Rate Lookup'!$A$1:$A$37=G172)*'Rate Lookup'!$B$1:$B$37),SUMPRODUCT(('Rate Lookup'!$A$1:$A$37=G172)*'Rate Lookup'!$C$1:$C$37)))))))</f>
      </c>
      <c r="I172" s="8"/>
      <c r="J172" s="8"/>
      <c r="K172" s="7">
        <f>IF($C172="","",IF(OR(P172="B",P172="D",P172="E",P172="N",P172="O",P172="P",P172="Q",P172="S",P172="Y",P172="Z"),0,ROUND(J172*H172/100,0)))</f>
      </c>
      <c r="L172" s="7">
        <f>IF($C172="","",0)</f>
      </c>
      <c r="M172" s="7">
        <f>IF($C172="","",0)</f>
      </c>
      <c r="N172" s="7">
        <f>IF($C172="","",IF(OR(K172=0,I172="",IFERROR(INDEX('Challan Master'!$D$4:$D$207,MATCH($B172,'Challan Master'!$S$4:$S$207,0)),"")="",IFERROR(INDEX('Challan Master'!$D$4:$D$207,MATCH($B172,'Challan Master'!$S$4:$S$207,0)),"")&lt;=0),0,IF(IFERROR(INDEX('Challan Master'!$D$4:$D$207,MATCH($B172,'Challan Master'!$S$4:$S$207,0)),"")&lt;=DATE(YEAR(I172),MONTH(I172)+1,7),0,ROUND(K172*0.015*((YEAR(IFERROR(INDEX('Challan Master'!$D$4:$D$207,MATCH($B172,'Challan Master'!$S$4:$S$207,0)),""))-YEAR(I172))*12+(MONTH(IFERROR(INDEX('Challan Master'!$D$4:$D$207,MATCH($B172,'Challan Master'!$S$4:$S$207,0)),""))-MONTH(I172))+1),0))))</f>
      </c>
      <c r="O172" s="7">
        <f>IF($C172="","",0)</f>
      </c>
      <c r="P172" s="8"/>
      <c r="Q172" s="8"/>
      <c r="R172" s="8"/>
      <c r="S172" s="8"/>
      <c r="T172" s="8"/>
      <c r="U172" s="7">
        <f>IF($B172="","",IFERROR(INDEX('Challan Master'!$AA$4:$AA$207,MATCH($B172,'Challan Master'!$S$4:$S$207,0)),""))</f>
      </c>
    </row>
    <row r="173" spans="1:22" x14ac:dyDescent="0.25">
      <c r="A173" s="7">
        <f>IF($C173="","",COUNTIF($C$4:$C173,"&lt;&gt;"))</f>
      </c>
      <c r="B173" s="8"/>
      <c r="C173" s="8"/>
      <c r="D173" s="8"/>
      <c r="E173" s="7">
        <f>IF($C173="","",IF(AND(LEN(TRIM(UPPER(D173)))=10,CODE(MID(TRIM(UPPER(D173)),1,1))&gt;=65,CODE(MID(TRIM(UPPER(D173)),1,1))&lt;=90,CODE(MID(TRIM(UPPER(D173)),2,1))&gt;=65,CODE(MID(TRIM(UPPER(D173)),2,1))&lt;=90,CODE(MID(TRIM(UPPER(D173)),3,1))&gt;=65,CODE(MID(TRIM(UPPER(D173)),3,1))&lt;=90,CODE(MID(TRIM(UPPER(D173)),4,1))&gt;=65,CODE(MID(TRIM(UPPER(D173)),4,1))&lt;=90,CODE(MID(TRIM(UPPER(D173)),5,1))&gt;=65,CODE(MID(TRIM(UPPER(D173)),5,1))&lt;=90,CODE(MID(TRIM(UPPER(D173)),10,1))&gt;=65,CODE(MID(TRIM(UPPER(D173)),10,1))&lt;=90,CODE(MID(TRIM(UPPER(D173)),6,1))&gt;=48,CODE(MID(TRIM(UPPER(D173)),6,1))&lt;=57,CODE(MID(TRIM(UPPER(D173)),7,1))&gt;=48,CODE(MID(TRIM(UPPER(D173)),7,1))&lt;=57,CODE(MID(TRIM(UPPER(D173)),8,1))&gt;=48,CODE(MID(TRIM(UPPER(D173)),8,1))&lt;=57,CODE(MID(TRIM(UPPER(D173)),9,1))&gt;=48,CODE(MID(TRIM(UPPER(D173)),9,1))&lt;=57),"N","Y"))</f>
      </c>
      <c r="F173" s="7">
        <f>IF($C173="","",IF(LEN(D173)&lt;4,"",IF(UPPER(MID(D173,4,1))="P","Individual",IF(UPPER(MID(D173,4,1))="H","HUF",IF(UPPER(MID(D173,4,1))="C","Company",IF(UPPER(MID(D173,4,1))="F","Firm",IF(UPPER(MID(D173,4,1))="L","LLP",IF(UPPER(MID(D173,4,1))="T","Trust",IF(UPPER(MID(D173,4,1))="A","AOP","")))))))))</f>
      </c>
      <c r="G173" s="8"/>
      <c r="H173" s="7">
        <f>IF($C173="","",IF(R173&lt;&gt;"",R173,IF(G173="","",IF(E173="Y",SUMPRODUCT(('Rate Lookup'!$A$1:$A$37=G173)*'Rate Lookup'!$D$1:$D$37),IF(OR(F173="Individual",F173="HUF"),SUMPRODUCT(('Rate Lookup'!$A$1:$A$37=G173)*'Rate Lookup'!$B$1:$B$37),SUMPRODUCT(('Rate Lookup'!$A$1:$A$37=G173)*'Rate Lookup'!$C$1:$C$37)))))))</f>
      </c>
      <c r="I173" s="8"/>
      <c r="J173" s="8"/>
      <c r="K173" s="7">
        <f>IF($C173="","",IF(OR(P173="B",P173="D",P173="E",P173="N",P173="O",P173="P",P173="Q",P173="S",P173="Y",P173="Z"),0,ROUND(J173*H173/100,0)))</f>
      </c>
      <c r="L173" s="7">
        <f>IF($C173="","",0)</f>
      </c>
      <c r="M173" s="7">
        <f>IF($C173="","",0)</f>
      </c>
      <c r="N173" s="7">
        <f>IF($C173="","",IF(OR(K173=0,I173="",IFERROR(INDEX('Challan Master'!$D$4:$D$207,MATCH($B173,'Challan Master'!$S$4:$S$207,0)),"")="",IFERROR(INDEX('Challan Master'!$D$4:$D$207,MATCH($B173,'Challan Master'!$S$4:$S$207,0)),"")&lt;=0),0,IF(IFERROR(INDEX('Challan Master'!$D$4:$D$207,MATCH($B173,'Challan Master'!$S$4:$S$207,0)),"")&lt;=DATE(YEAR(I173),MONTH(I173)+1,7),0,ROUND(K173*0.015*((YEAR(IFERROR(INDEX('Challan Master'!$D$4:$D$207,MATCH($B173,'Challan Master'!$S$4:$S$207,0)),""))-YEAR(I173))*12+(MONTH(IFERROR(INDEX('Challan Master'!$D$4:$D$207,MATCH($B173,'Challan Master'!$S$4:$S$207,0)),""))-MONTH(I173))+1),0))))</f>
      </c>
      <c r="O173" s="7">
        <f>IF($C173="","",0)</f>
      </c>
      <c r="P173" s="8"/>
      <c r="Q173" s="8"/>
      <c r="R173" s="8"/>
      <c r="S173" s="8"/>
      <c r="T173" s="8"/>
      <c r="U173" s="7">
        <f>IF($B173="","",IFERROR(INDEX('Challan Master'!$AA$4:$AA$207,MATCH($B173,'Challan Master'!$S$4:$S$207,0)),""))</f>
      </c>
    </row>
    <row r="174" spans="1:22" x14ac:dyDescent="0.25">
      <c r="A174" s="7">
        <f>IF($C174="","",COUNTIF($C$4:$C174,"&lt;&gt;"))</f>
      </c>
      <c r="B174" s="8"/>
      <c r="C174" s="8"/>
      <c r="D174" s="8"/>
      <c r="E174" s="7">
        <f>IF($C174="","",IF(AND(LEN(TRIM(UPPER(D174)))=10,CODE(MID(TRIM(UPPER(D174)),1,1))&gt;=65,CODE(MID(TRIM(UPPER(D174)),1,1))&lt;=90,CODE(MID(TRIM(UPPER(D174)),2,1))&gt;=65,CODE(MID(TRIM(UPPER(D174)),2,1))&lt;=90,CODE(MID(TRIM(UPPER(D174)),3,1))&gt;=65,CODE(MID(TRIM(UPPER(D174)),3,1))&lt;=90,CODE(MID(TRIM(UPPER(D174)),4,1))&gt;=65,CODE(MID(TRIM(UPPER(D174)),4,1))&lt;=90,CODE(MID(TRIM(UPPER(D174)),5,1))&gt;=65,CODE(MID(TRIM(UPPER(D174)),5,1))&lt;=90,CODE(MID(TRIM(UPPER(D174)),10,1))&gt;=65,CODE(MID(TRIM(UPPER(D174)),10,1))&lt;=90,CODE(MID(TRIM(UPPER(D174)),6,1))&gt;=48,CODE(MID(TRIM(UPPER(D174)),6,1))&lt;=57,CODE(MID(TRIM(UPPER(D174)),7,1))&gt;=48,CODE(MID(TRIM(UPPER(D174)),7,1))&lt;=57,CODE(MID(TRIM(UPPER(D174)),8,1))&gt;=48,CODE(MID(TRIM(UPPER(D174)),8,1))&lt;=57,CODE(MID(TRIM(UPPER(D174)),9,1))&gt;=48,CODE(MID(TRIM(UPPER(D174)),9,1))&lt;=57),"N","Y"))</f>
      </c>
      <c r="F174" s="7">
        <f>IF($C174="","",IF(LEN(D174)&lt;4,"",IF(UPPER(MID(D174,4,1))="P","Individual",IF(UPPER(MID(D174,4,1))="H","HUF",IF(UPPER(MID(D174,4,1))="C","Company",IF(UPPER(MID(D174,4,1))="F","Firm",IF(UPPER(MID(D174,4,1))="L","LLP",IF(UPPER(MID(D174,4,1))="T","Trust",IF(UPPER(MID(D174,4,1))="A","AOP","")))))))))</f>
      </c>
      <c r="G174" s="8"/>
      <c r="H174" s="7">
        <f>IF($C174="","",IF(R174&lt;&gt;"",R174,IF(G174="","",IF(E174="Y",SUMPRODUCT(('Rate Lookup'!$A$1:$A$37=G174)*'Rate Lookup'!$D$1:$D$37),IF(OR(F174="Individual",F174="HUF"),SUMPRODUCT(('Rate Lookup'!$A$1:$A$37=G174)*'Rate Lookup'!$B$1:$B$37),SUMPRODUCT(('Rate Lookup'!$A$1:$A$37=G174)*'Rate Lookup'!$C$1:$C$37)))))))</f>
      </c>
      <c r="I174" s="8"/>
      <c r="J174" s="8"/>
      <c r="K174" s="7">
        <f>IF($C174="","",IF(OR(P174="B",P174="D",P174="E",P174="N",P174="O",P174="P",P174="Q",P174="S",P174="Y",P174="Z"),0,ROUND(J174*H174/100,0)))</f>
      </c>
      <c r="L174" s="7">
        <f>IF($C174="","",0)</f>
      </c>
      <c r="M174" s="7">
        <f>IF($C174="","",0)</f>
      </c>
      <c r="N174" s="7">
        <f>IF($C174="","",IF(OR(K174=0,I174="",IFERROR(INDEX('Challan Master'!$D$4:$D$207,MATCH($B174,'Challan Master'!$S$4:$S$207,0)),"")="",IFERROR(INDEX('Challan Master'!$D$4:$D$207,MATCH($B174,'Challan Master'!$S$4:$S$207,0)),"")&lt;=0),0,IF(IFERROR(INDEX('Challan Master'!$D$4:$D$207,MATCH($B174,'Challan Master'!$S$4:$S$207,0)),"")&lt;=DATE(YEAR(I174),MONTH(I174)+1,7),0,ROUND(K174*0.015*((YEAR(IFERROR(INDEX('Challan Master'!$D$4:$D$207,MATCH($B174,'Challan Master'!$S$4:$S$207,0)),""))-YEAR(I174))*12+(MONTH(IFERROR(INDEX('Challan Master'!$D$4:$D$207,MATCH($B174,'Challan Master'!$S$4:$S$207,0)),""))-MONTH(I174))+1),0))))</f>
      </c>
      <c r="O174" s="7">
        <f>IF($C174="","",0)</f>
      </c>
      <c r="P174" s="8"/>
      <c r="Q174" s="8"/>
      <c r="R174" s="8"/>
      <c r="S174" s="8"/>
      <c r="T174" s="8"/>
      <c r="U174" s="7">
        <f>IF($B174="","",IFERROR(INDEX('Challan Master'!$AA$4:$AA$207,MATCH($B174,'Challan Master'!$S$4:$S$207,0)),""))</f>
      </c>
    </row>
    <row r="175" spans="1:22" x14ac:dyDescent="0.25">
      <c r="A175" s="7">
        <f>IF($C175="","",COUNTIF($C$4:$C175,"&lt;&gt;"))</f>
      </c>
      <c r="B175" s="8"/>
      <c r="C175" s="8"/>
      <c r="D175" s="8"/>
      <c r="E175" s="7">
        <f>IF($C175="","",IF(AND(LEN(TRIM(UPPER(D175)))=10,CODE(MID(TRIM(UPPER(D175)),1,1))&gt;=65,CODE(MID(TRIM(UPPER(D175)),1,1))&lt;=90,CODE(MID(TRIM(UPPER(D175)),2,1))&gt;=65,CODE(MID(TRIM(UPPER(D175)),2,1))&lt;=90,CODE(MID(TRIM(UPPER(D175)),3,1))&gt;=65,CODE(MID(TRIM(UPPER(D175)),3,1))&lt;=90,CODE(MID(TRIM(UPPER(D175)),4,1))&gt;=65,CODE(MID(TRIM(UPPER(D175)),4,1))&lt;=90,CODE(MID(TRIM(UPPER(D175)),5,1))&gt;=65,CODE(MID(TRIM(UPPER(D175)),5,1))&lt;=90,CODE(MID(TRIM(UPPER(D175)),10,1))&gt;=65,CODE(MID(TRIM(UPPER(D175)),10,1))&lt;=90,CODE(MID(TRIM(UPPER(D175)),6,1))&gt;=48,CODE(MID(TRIM(UPPER(D175)),6,1))&lt;=57,CODE(MID(TRIM(UPPER(D175)),7,1))&gt;=48,CODE(MID(TRIM(UPPER(D175)),7,1))&lt;=57,CODE(MID(TRIM(UPPER(D175)),8,1))&gt;=48,CODE(MID(TRIM(UPPER(D175)),8,1))&lt;=57,CODE(MID(TRIM(UPPER(D175)),9,1))&gt;=48,CODE(MID(TRIM(UPPER(D175)),9,1))&lt;=57),"N","Y"))</f>
      </c>
      <c r="F175" s="7">
        <f>IF($C175="","",IF(LEN(D175)&lt;4,"",IF(UPPER(MID(D175,4,1))="P","Individual",IF(UPPER(MID(D175,4,1))="H","HUF",IF(UPPER(MID(D175,4,1))="C","Company",IF(UPPER(MID(D175,4,1))="F","Firm",IF(UPPER(MID(D175,4,1))="L","LLP",IF(UPPER(MID(D175,4,1))="T","Trust",IF(UPPER(MID(D175,4,1))="A","AOP","")))))))))</f>
      </c>
      <c r="G175" s="8"/>
      <c r="H175" s="7">
        <f>IF($C175="","",IF(R175&lt;&gt;"",R175,IF(G175="","",IF(E175="Y",SUMPRODUCT(('Rate Lookup'!$A$1:$A$37=G175)*'Rate Lookup'!$D$1:$D$37),IF(OR(F175="Individual",F175="HUF"),SUMPRODUCT(('Rate Lookup'!$A$1:$A$37=G175)*'Rate Lookup'!$B$1:$B$37),SUMPRODUCT(('Rate Lookup'!$A$1:$A$37=G175)*'Rate Lookup'!$C$1:$C$37)))))))</f>
      </c>
      <c r="I175" s="8"/>
      <c r="J175" s="8"/>
      <c r="K175" s="7">
        <f>IF($C175="","",IF(OR(P175="B",P175="D",P175="E",P175="N",P175="O",P175="P",P175="Q",P175="S",P175="Y",P175="Z"),0,ROUND(J175*H175/100,0)))</f>
      </c>
      <c r="L175" s="7">
        <f>IF($C175="","",0)</f>
      </c>
      <c r="M175" s="7">
        <f>IF($C175="","",0)</f>
      </c>
      <c r="N175" s="7">
        <f>IF($C175="","",IF(OR(K175=0,I175="",IFERROR(INDEX('Challan Master'!$D$4:$D$207,MATCH($B175,'Challan Master'!$S$4:$S$207,0)),"")="",IFERROR(INDEX('Challan Master'!$D$4:$D$207,MATCH($B175,'Challan Master'!$S$4:$S$207,0)),"")&lt;=0),0,IF(IFERROR(INDEX('Challan Master'!$D$4:$D$207,MATCH($B175,'Challan Master'!$S$4:$S$207,0)),"")&lt;=DATE(YEAR(I175),MONTH(I175)+1,7),0,ROUND(K175*0.015*((YEAR(IFERROR(INDEX('Challan Master'!$D$4:$D$207,MATCH($B175,'Challan Master'!$S$4:$S$207,0)),""))-YEAR(I175))*12+(MONTH(IFERROR(INDEX('Challan Master'!$D$4:$D$207,MATCH($B175,'Challan Master'!$S$4:$S$207,0)),""))-MONTH(I175))+1),0))))</f>
      </c>
      <c r="O175" s="7">
        <f>IF($C175="","",0)</f>
      </c>
      <c r="P175" s="8"/>
      <c r="Q175" s="8"/>
      <c r="R175" s="8"/>
      <c r="S175" s="8"/>
      <c r="T175" s="8"/>
      <c r="U175" s="7">
        <f>IF($B175="","",IFERROR(INDEX('Challan Master'!$AA$4:$AA$207,MATCH($B175,'Challan Master'!$S$4:$S$207,0)),""))</f>
      </c>
    </row>
    <row r="176" spans="1:22" x14ac:dyDescent="0.25">
      <c r="A176" s="7">
        <f>IF($C176="","",COUNTIF($C$4:$C176,"&lt;&gt;"))</f>
      </c>
      <c r="B176" s="8"/>
      <c r="C176" s="8"/>
      <c r="D176" s="8"/>
      <c r="E176" s="7">
        <f>IF($C176="","",IF(AND(LEN(TRIM(UPPER(D176)))=10,CODE(MID(TRIM(UPPER(D176)),1,1))&gt;=65,CODE(MID(TRIM(UPPER(D176)),1,1))&lt;=90,CODE(MID(TRIM(UPPER(D176)),2,1))&gt;=65,CODE(MID(TRIM(UPPER(D176)),2,1))&lt;=90,CODE(MID(TRIM(UPPER(D176)),3,1))&gt;=65,CODE(MID(TRIM(UPPER(D176)),3,1))&lt;=90,CODE(MID(TRIM(UPPER(D176)),4,1))&gt;=65,CODE(MID(TRIM(UPPER(D176)),4,1))&lt;=90,CODE(MID(TRIM(UPPER(D176)),5,1))&gt;=65,CODE(MID(TRIM(UPPER(D176)),5,1))&lt;=90,CODE(MID(TRIM(UPPER(D176)),10,1))&gt;=65,CODE(MID(TRIM(UPPER(D176)),10,1))&lt;=90,CODE(MID(TRIM(UPPER(D176)),6,1))&gt;=48,CODE(MID(TRIM(UPPER(D176)),6,1))&lt;=57,CODE(MID(TRIM(UPPER(D176)),7,1))&gt;=48,CODE(MID(TRIM(UPPER(D176)),7,1))&lt;=57,CODE(MID(TRIM(UPPER(D176)),8,1))&gt;=48,CODE(MID(TRIM(UPPER(D176)),8,1))&lt;=57,CODE(MID(TRIM(UPPER(D176)),9,1))&gt;=48,CODE(MID(TRIM(UPPER(D176)),9,1))&lt;=57),"N","Y"))</f>
      </c>
      <c r="F176" s="7">
        <f>IF($C176="","",IF(LEN(D176)&lt;4,"",IF(UPPER(MID(D176,4,1))="P","Individual",IF(UPPER(MID(D176,4,1))="H","HUF",IF(UPPER(MID(D176,4,1))="C","Company",IF(UPPER(MID(D176,4,1))="F","Firm",IF(UPPER(MID(D176,4,1))="L","LLP",IF(UPPER(MID(D176,4,1))="T","Trust",IF(UPPER(MID(D176,4,1))="A","AOP","")))))))))</f>
      </c>
      <c r="G176" s="8"/>
      <c r="H176" s="7">
        <f>IF($C176="","",IF(R176&lt;&gt;"",R176,IF(G176="","",IF(E176="Y",SUMPRODUCT(('Rate Lookup'!$A$1:$A$37=G176)*'Rate Lookup'!$D$1:$D$37),IF(OR(F176="Individual",F176="HUF"),SUMPRODUCT(('Rate Lookup'!$A$1:$A$37=G176)*'Rate Lookup'!$B$1:$B$37),SUMPRODUCT(('Rate Lookup'!$A$1:$A$37=G176)*'Rate Lookup'!$C$1:$C$37)))))))</f>
      </c>
      <c r="I176" s="8"/>
      <c r="J176" s="8"/>
      <c r="K176" s="7">
        <f>IF($C176="","",IF(OR(P176="B",P176="D",P176="E",P176="N",P176="O",P176="P",P176="Q",P176="S",P176="Y",P176="Z"),0,ROUND(J176*H176/100,0)))</f>
      </c>
      <c r="L176" s="7">
        <f>IF($C176="","",0)</f>
      </c>
      <c r="M176" s="7">
        <f>IF($C176="","",0)</f>
      </c>
      <c r="N176" s="7">
        <f>IF($C176="","",IF(OR(K176=0,I176="",IFERROR(INDEX('Challan Master'!$D$4:$D$207,MATCH($B176,'Challan Master'!$S$4:$S$207,0)),"")="",IFERROR(INDEX('Challan Master'!$D$4:$D$207,MATCH($B176,'Challan Master'!$S$4:$S$207,0)),"")&lt;=0),0,IF(IFERROR(INDEX('Challan Master'!$D$4:$D$207,MATCH($B176,'Challan Master'!$S$4:$S$207,0)),"")&lt;=DATE(YEAR(I176),MONTH(I176)+1,7),0,ROUND(K176*0.015*((YEAR(IFERROR(INDEX('Challan Master'!$D$4:$D$207,MATCH($B176,'Challan Master'!$S$4:$S$207,0)),""))-YEAR(I176))*12+(MONTH(IFERROR(INDEX('Challan Master'!$D$4:$D$207,MATCH($B176,'Challan Master'!$S$4:$S$207,0)),""))-MONTH(I176))+1),0))))</f>
      </c>
      <c r="O176" s="7">
        <f>IF($C176="","",0)</f>
      </c>
      <c r="P176" s="8"/>
      <c r="Q176" s="8"/>
      <c r="R176" s="8"/>
      <c r="S176" s="8"/>
      <c r="T176" s="8"/>
      <c r="U176" s="7">
        <f>IF($B176="","",IFERROR(INDEX('Challan Master'!$AA$4:$AA$207,MATCH($B176,'Challan Master'!$S$4:$S$207,0)),""))</f>
      </c>
    </row>
    <row r="177" spans="1:22" x14ac:dyDescent="0.25">
      <c r="A177" s="7">
        <f>IF($C177="","",COUNTIF($C$4:$C177,"&lt;&gt;"))</f>
      </c>
      <c r="B177" s="8"/>
      <c r="C177" s="8"/>
      <c r="D177" s="8"/>
      <c r="E177" s="7">
        <f>IF($C177="","",IF(AND(LEN(TRIM(UPPER(D177)))=10,CODE(MID(TRIM(UPPER(D177)),1,1))&gt;=65,CODE(MID(TRIM(UPPER(D177)),1,1))&lt;=90,CODE(MID(TRIM(UPPER(D177)),2,1))&gt;=65,CODE(MID(TRIM(UPPER(D177)),2,1))&lt;=90,CODE(MID(TRIM(UPPER(D177)),3,1))&gt;=65,CODE(MID(TRIM(UPPER(D177)),3,1))&lt;=90,CODE(MID(TRIM(UPPER(D177)),4,1))&gt;=65,CODE(MID(TRIM(UPPER(D177)),4,1))&lt;=90,CODE(MID(TRIM(UPPER(D177)),5,1))&gt;=65,CODE(MID(TRIM(UPPER(D177)),5,1))&lt;=90,CODE(MID(TRIM(UPPER(D177)),10,1))&gt;=65,CODE(MID(TRIM(UPPER(D177)),10,1))&lt;=90,CODE(MID(TRIM(UPPER(D177)),6,1))&gt;=48,CODE(MID(TRIM(UPPER(D177)),6,1))&lt;=57,CODE(MID(TRIM(UPPER(D177)),7,1))&gt;=48,CODE(MID(TRIM(UPPER(D177)),7,1))&lt;=57,CODE(MID(TRIM(UPPER(D177)),8,1))&gt;=48,CODE(MID(TRIM(UPPER(D177)),8,1))&lt;=57,CODE(MID(TRIM(UPPER(D177)),9,1))&gt;=48,CODE(MID(TRIM(UPPER(D177)),9,1))&lt;=57),"N","Y"))</f>
      </c>
      <c r="F177" s="7">
        <f>IF($C177="","",IF(LEN(D177)&lt;4,"",IF(UPPER(MID(D177,4,1))="P","Individual",IF(UPPER(MID(D177,4,1))="H","HUF",IF(UPPER(MID(D177,4,1))="C","Company",IF(UPPER(MID(D177,4,1))="F","Firm",IF(UPPER(MID(D177,4,1))="L","LLP",IF(UPPER(MID(D177,4,1))="T","Trust",IF(UPPER(MID(D177,4,1))="A","AOP","")))))))))</f>
      </c>
      <c r="G177" s="8"/>
      <c r="H177" s="7">
        <f>IF($C177="","",IF(R177&lt;&gt;"",R177,IF(G177="","",IF(E177="Y",SUMPRODUCT(('Rate Lookup'!$A$1:$A$37=G177)*'Rate Lookup'!$D$1:$D$37),IF(OR(F177="Individual",F177="HUF"),SUMPRODUCT(('Rate Lookup'!$A$1:$A$37=G177)*'Rate Lookup'!$B$1:$B$37),SUMPRODUCT(('Rate Lookup'!$A$1:$A$37=G177)*'Rate Lookup'!$C$1:$C$37)))))))</f>
      </c>
      <c r="I177" s="8"/>
      <c r="J177" s="8"/>
      <c r="K177" s="7">
        <f>IF($C177="","",IF(OR(P177="B",P177="D",P177="E",P177="N",P177="O",P177="P",P177="Q",P177="S",P177="Y",P177="Z"),0,ROUND(J177*H177/100,0)))</f>
      </c>
      <c r="L177" s="7">
        <f>IF($C177="","",0)</f>
      </c>
      <c r="M177" s="7">
        <f>IF($C177="","",0)</f>
      </c>
      <c r="N177" s="7">
        <f>IF($C177="","",IF(OR(K177=0,I177="",IFERROR(INDEX('Challan Master'!$D$4:$D$207,MATCH($B177,'Challan Master'!$S$4:$S$207,0)),"")="",IFERROR(INDEX('Challan Master'!$D$4:$D$207,MATCH($B177,'Challan Master'!$S$4:$S$207,0)),"")&lt;=0),0,IF(IFERROR(INDEX('Challan Master'!$D$4:$D$207,MATCH($B177,'Challan Master'!$S$4:$S$207,0)),"")&lt;=DATE(YEAR(I177),MONTH(I177)+1,7),0,ROUND(K177*0.015*((YEAR(IFERROR(INDEX('Challan Master'!$D$4:$D$207,MATCH($B177,'Challan Master'!$S$4:$S$207,0)),""))-YEAR(I177))*12+(MONTH(IFERROR(INDEX('Challan Master'!$D$4:$D$207,MATCH($B177,'Challan Master'!$S$4:$S$207,0)),""))-MONTH(I177))+1),0))))</f>
      </c>
      <c r="O177" s="7">
        <f>IF($C177="","",0)</f>
      </c>
      <c r="P177" s="8"/>
      <c r="Q177" s="8"/>
      <c r="R177" s="8"/>
      <c r="S177" s="8"/>
      <c r="T177" s="8"/>
      <c r="U177" s="7">
        <f>IF($B177="","",IFERROR(INDEX('Challan Master'!$AA$4:$AA$207,MATCH($B177,'Challan Master'!$S$4:$S$207,0)),""))</f>
      </c>
    </row>
    <row r="178" spans="1:22" x14ac:dyDescent="0.25">
      <c r="A178" s="7">
        <f>IF($C178="","",COUNTIF($C$4:$C178,"&lt;&gt;"))</f>
      </c>
      <c r="B178" s="8"/>
      <c r="C178" s="8"/>
      <c r="D178" s="8"/>
      <c r="E178" s="7">
        <f>IF($C178="","",IF(AND(LEN(TRIM(UPPER(D178)))=10,CODE(MID(TRIM(UPPER(D178)),1,1))&gt;=65,CODE(MID(TRIM(UPPER(D178)),1,1))&lt;=90,CODE(MID(TRIM(UPPER(D178)),2,1))&gt;=65,CODE(MID(TRIM(UPPER(D178)),2,1))&lt;=90,CODE(MID(TRIM(UPPER(D178)),3,1))&gt;=65,CODE(MID(TRIM(UPPER(D178)),3,1))&lt;=90,CODE(MID(TRIM(UPPER(D178)),4,1))&gt;=65,CODE(MID(TRIM(UPPER(D178)),4,1))&lt;=90,CODE(MID(TRIM(UPPER(D178)),5,1))&gt;=65,CODE(MID(TRIM(UPPER(D178)),5,1))&lt;=90,CODE(MID(TRIM(UPPER(D178)),10,1))&gt;=65,CODE(MID(TRIM(UPPER(D178)),10,1))&lt;=90,CODE(MID(TRIM(UPPER(D178)),6,1))&gt;=48,CODE(MID(TRIM(UPPER(D178)),6,1))&lt;=57,CODE(MID(TRIM(UPPER(D178)),7,1))&gt;=48,CODE(MID(TRIM(UPPER(D178)),7,1))&lt;=57,CODE(MID(TRIM(UPPER(D178)),8,1))&gt;=48,CODE(MID(TRIM(UPPER(D178)),8,1))&lt;=57,CODE(MID(TRIM(UPPER(D178)),9,1))&gt;=48,CODE(MID(TRIM(UPPER(D178)),9,1))&lt;=57),"N","Y"))</f>
      </c>
      <c r="F178" s="7">
        <f>IF($C178="","",IF(LEN(D178)&lt;4,"",IF(UPPER(MID(D178,4,1))="P","Individual",IF(UPPER(MID(D178,4,1))="H","HUF",IF(UPPER(MID(D178,4,1))="C","Company",IF(UPPER(MID(D178,4,1))="F","Firm",IF(UPPER(MID(D178,4,1))="L","LLP",IF(UPPER(MID(D178,4,1))="T","Trust",IF(UPPER(MID(D178,4,1))="A","AOP","")))))))))</f>
      </c>
      <c r="G178" s="8"/>
      <c r="H178" s="7">
        <f>IF($C178="","",IF(R178&lt;&gt;"",R178,IF(G178="","",IF(E178="Y",SUMPRODUCT(('Rate Lookup'!$A$1:$A$37=G178)*'Rate Lookup'!$D$1:$D$37),IF(OR(F178="Individual",F178="HUF"),SUMPRODUCT(('Rate Lookup'!$A$1:$A$37=G178)*'Rate Lookup'!$B$1:$B$37),SUMPRODUCT(('Rate Lookup'!$A$1:$A$37=G178)*'Rate Lookup'!$C$1:$C$37)))))))</f>
      </c>
      <c r="I178" s="8"/>
      <c r="J178" s="8"/>
      <c r="K178" s="7">
        <f>IF($C178="","",IF(OR(P178="B",P178="D",P178="E",P178="N",P178="O",P178="P",P178="Q",P178="S",P178="Y",P178="Z"),0,ROUND(J178*H178/100,0)))</f>
      </c>
      <c r="L178" s="7">
        <f>IF($C178="","",0)</f>
      </c>
      <c r="M178" s="7">
        <f>IF($C178="","",0)</f>
      </c>
      <c r="N178" s="7">
        <f>IF($C178="","",IF(OR(K178=0,I178="",IFERROR(INDEX('Challan Master'!$D$4:$D$207,MATCH($B178,'Challan Master'!$S$4:$S$207,0)),"")="",IFERROR(INDEX('Challan Master'!$D$4:$D$207,MATCH($B178,'Challan Master'!$S$4:$S$207,0)),"")&lt;=0),0,IF(IFERROR(INDEX('Challan Master'!$D$4:$D$207,MATCH($B178,'Challan Master'!$S$4:$S$207,0)),"")&lt;=DATE(YEAR(I178),MONTH(I178)+1,7),0,ROUND(K178*0.015*((YEAR(IFERROR(INDEX('Challan Master'!$D$4:$D$207,MATCH($B178,'Challan Master'!$S$4:$S$207,0)),""))-YEAR(I178))*12+(MONTH(IFERROR(INDEX('Challan Master'!$D$4:$D$207,MATCH($B178,'Challan Master'!$S$4:$S$207,0)),""))-MONTH(I178))+1),0))))</f>
      </c>
      <c r="O178" s="7">
        <f>IF($C178="","",0)</f>
      </c>
      <c r="P178" s="8"/>
      <c r="Q178" s="8"/>
      <c r="R178" s="8"/>
      <c r="S178" s="8"/>
      <c r="T178" s="8"/>
      <c r="U178" s="7">
        <f>IF($B178="","",IFERROR(INDEX('Challan Master'!$AA$4:$AA$207,MATCH($B178,'Challan Master'!$S$4:$S$207,0)),""))</f>
      </c>
    </row>
    <row r="179" spans="1:22" x14ac:dyDescent="0.25">
      <c r="A179" s="7">
        <f>IF($C179="","",COUNTIF($C$4:$C179,"&lt;&gt;"))</f>
      </c>
      <c r="B179" s="8"/>
      <c r="C179" s="8"/>
      <c r="D179" s="8"/>
      <c r="E179" s="7">
        <f>IF($C179="","",IF(AND(LEN(TRIM(UPPER(D179)))=10,CODE(MID(TRIM(UPPER(D179)),1,1))&gt;=65,CODE(MID(TRIM(UPPER(D179)),1,1))&lt;=90,CODE(MID(TRIM(UPPER(D179)),2,1))&gt;=65,CODE(MID(TRIM(UPPER(D179)),2,1))&lt;=90,CODE(MID(TRIM(UPPER(D179)),3,1))&gt;=65,CODE(MID(TRIM(UPPER(D179)),3,1))&lt;=90,CODE(MID(TRIM(UPPER(D179)),4,1))&gt;=65,CODE(MID(TRIM(UPPER(D179)),4,1))&lt;=90,CODE(MID(TRIM(UPPER(D179)),5,1))&gt;=65,CODE(MID(TRIM(UPPER(D179)),5,1))&lt;=90,CODE(MID(TRIM(UPPER(D179)),10,1))&gt;=65,CODE(MID(TRIM(UPPER(D179)),10,1))&lt;=90,CODE(MID(TRIM(UPPER(D179)),6,1))&gt;=48,CODE(MID(TRIM(UPPER(D179)),6,1))&lt;=57,CODE(MID(TRIM(UPPER(D179)),7,1))&gt;=48,CODE(MID(TRIM(UPPER(D179)),7,1))&lt;=57,CODE(MID(TRIM(UPPER(D179)),8,1))&gt;=48,CODE(MID(TRIM(UPPER(D179)),8,1))&lt;=57,CODE(MID(TRIM(UPPER(D179)),9,1))&gt;=48,CODE(MID(TRIM(UPPER(D179)),9,1))&lt;=57),"N","Y"))</f>
      </c>
      <c r="F179" s="7">
        <f>IF($C179="","",IF(LEN(D179)&lt;4,"",IF(UPPER(MID(D179,4,1))="P","Individual",IF(UPPER(MID(D179,4,1))="H","HUF",IF(UPPER(MID(D179,4,1))="C","Company",IF(UPPER(MID(D179,4,1))="F","Firm",IF(UPPER(MID(D179,4,1))="L","LLP",IF(UPPER(MID(D179,4,1))="T","Trust",IF(UPPER(MID(D179,4,1))="A","AOP","")))))))))</f>
      </c>
      <c r="G179" s="8"/>
      <c r="H179" s="7">
        <f>IF($C179="","",IF(R179&lt;&gt;"",R179,IF(G179="","",IF(E179="Y",SUMPRODUCT(('Rate Lookup'!$A$1:$A$37=G179)*'Rate Lookup'!$D$1:$D$37),IF(OR(F179="Individual",F179="HUF"),SUMPRODUCT(('Rate Lookup'!$A$1:$A$37=G179)*'Rate Lookup'!$B$1:$B$37),SUMPRODUCT(('Rate Lookup'!$A$1:$A$37=G179)*'Rate Lookup'!$C$1:$C$37)))))))</f>
      </c>
      <c r="I179" s="8"/>
      <c r="J179" s="8"/>
      <c r="K179" s="7">
        <f>IF($C179="","",IF(OR(P179="B",P179="D",P179="E",P179="N",P179="O",P179="P",P179="Q",P179="S",P179="Y",P179="Z"),0,ROUND(J179*H179/100,0)))</f>
      </c>
      <c r="L179" s="7">
        <f>IF($C179="","",0)</f>
      </c>
      <c r="M179" s="7">
        <f>IF($C179="","",0)</f>
      </c>
      <c r="N179" s="7">
        <f>IF($C179="","",IF(OR(K179=0,I179="",IFERROR(INDEX('Challan Master'!$D$4:$D$207,MATCH($B179,'Challan Master'!$S$4:$S$207,0)),"")="",IFERROR(INDEX('Challan Master'!$D$4:$D$207,MATCH($B179,'Challan Master'!$S$4:$S$207,0)),"")&lt;=0),0,IF(IFERROR(INDEX('Challan Master'!$D$4:$D$207,MATCH($B179,'Challan Master'!$S$4:$S$207,0)),"")&lt;=DATE(YEAR(I179),MONTH(I179)+1,7),0,ROUND(K179*0.015*((YEAR(IFERROR(INDEX('Challan Master'!$D$4:$D$207,MATCH($B179,'Challan Master'!$S$4:$S$207,0)),""))-YEAR(I179))*12+(MONTH(IFERROR(INDEX('Challan Master'!$D$4:$D$207,MATCH($B179,'Challan Master'!$S$4:$S$207,0)),""))-MONTH(I179))+1),0))))</f>
      </c>
      <c r="O179" s="7">
        <f>IF($C179="","",0)</f>
      </c>
      <c r="P179" s="8"/>
      <c r="Q179" s="8"/>
      <c r="R179" s="8"/>
      <c r="S179" s="8"/>
      <c r="T179" s="8"/>
      <c r="U179" s="7">
        <f>IF($B179="","",IFERROR(INDEX('Challan Master'!$AA$4:$AA$207,MATCH($B179,'Challan Master'!$S$4:$S$207,0)),""))</f>
      </c>
    </row>
    <row r="180" spans="1:22" x14ac:dyDescent="0.25">
      <c r="A180" s="7">
        <f>IF($C180="","",COUNTIF($C$4:$C180,"&lt;&gt;"))</f>
      </c>
      <c r="B180" s="8"/>
      <c r="C180" s="8"/>
      <c r="D180" s="8"/>
      <c r="E180" s="7">
        <f>IF($C180="","",IF(AND(LEN(TRIM(UPPER(D180)))=10,CODE(MID(TRIM(UPPER(D180)),1,1))&gt;=65,CODE(MID(TRIM(UPPER(D180)),1,1))&lt;=90,CODE(MID(TRIM(UPPER(D180)),2,1))&gt;=65,CODE(MID(TRIM(UPPER(D180)),2,1))&lt;=90,CODE(MID(TRIM(UPPER(D180)),3,1))&gt;=65,CODE(MID(TRIM(UPPER(D180)),3,1))&lt;=90,CODE(MID(TRIM(UPPER(D180)),4,1))&gt;=65,CODE(MID(TRIM(UPPER(D180)),4,1))&lt;=90,CODE(MID(TRIM(UPPER(D180)),5,1))&gt;=65,CODE(MID(TRIM(UPPER(D180)),5,1))&lt;=90,CODE(MID(TRIM(UPPER(D180)),10,1))&gt;=65,CODE(MID(TRIM(UPPER(D180)),10,1))&lt;=90,CODE(MID(TRIM(UPPER(D180)),6,1))&gt;=48,CODE(MID(TRIM(UPPER(D180)),6,1))&lt;=57,CODE(MID(TRIM(UPPER(D180)),7,1))&gt;=48,CODE(MID(TRIM(UPPER(D180)),7,1))&lt;=57,CODE(MID(TRIM(UPPER(D180)),8,1))&gt;=48,CODE(MID(TRIM(UPPER(D180)),8,1))&lt;=57,CODE(MID(TRIM(UPPER(D180)),9,1))&gt;=48,CODE(MID(TRIM(UPPER(D180)),9,1))&lt;=57),"N","Y"))</f>
      </c>
      <c r="F180" s="7">
        <f>IF($C180="","",IF(LEN(D180)&lt;4,"",IF(UPPER(MID(D180,4,1))="P","Individual",IF(UPPER(MID(D180,4,1))="H","HUF",IF(UPPER(MID(D180,4,1))="C","Company",IF(UPPER(MID(D180,4,1))="F","Firm",IF(UPPER(MID(D180,4,1))="L","LLP",IF(UPPER(MID(D180,4,1))="T","Trust",IF(UPPER(MID(D180,4,1))="A","AOP","")))))))))</f>
      </c>
      <c r="G180" s="8"/>
      <c r="H180" s="7">
        <f>IF($C180="","",IF(R180&lt;&gt;"",R180,IF(G180="","",IF(E180="Y",SUMPRODUCT(('Rate Lookup'!$A$1:$A$37=G180)*'Rate Lookup'!$D$1:$D$37),IF(OR(F180="Individual",F180="HUF"),SUMPRODUCT(('Rate Lookup'!$A$1:$A$37=G180)*'Rate Lookup'!$B$1:$B$37),SUMPRODUCT(('Rate Lookup'!$A$1:$A$37=G180)*'Rate Lookup'!$C$1:$C$37)))))))</f>
      </c>
      <c r="I180" s="8"/>
      <c r="J180" s="8"/>
      <c r="K180" s="7">
        <f>IF($C180="","",IF(OR(P180="B",P180="D",P180="E",P180="N",P180="O",P180="P",P180="Q",P180="S",P180="Y",P180="Z"),0,ROUND(J180*H180/100,0)))</f>
      </c>
      <c r="L180" s="7">
        <f>IF($C180="","",0)</f>
      </c>
      <c r="M180" s="7">
        <f>IF($C180="","",0)</f>
      </c>
      <c r="N180" s="7">
        <f>IF($C180="","",IF(OR(K180=0,I180="",IFERROR(INDEX('Challan Master'!$D$4:$D$207,MATCH($B180,'Challan Master'!$S$4:$S$207,0)),"")="",IFERROR(INDEX('Challan Master'!$D$4:$D$207,MATCH($B180,'Challan Master'!$S$4:$S$207,0)),"")&lt;=0),0,IF(IFERROR(INDEX('Challan Master'!$D$4:$D$207,MATCH($B180,'Challan Master'!$S$4:$S$207,0)),"")&lt;=DATE(YEAR(I180),MONTH(I180)+1,7),0,ROUND(K180*0.015*((YEAR(IFERROR(INDEX('Challan Master'!$D$4:$D$207,MATCH($B180,'Challan Master'!$S$4:$S$207,0)),""))-YEAR(I180))*12+(MONTH(IFERROR(INDEX('Challan Master'!$D$4:$D$207,MATCH($B180,'Challan Master'!$S$4:$S$207,0)),""))-MONTH(I180))+1),0))))</f>
      </c>
      <c r="O180" s="7">
        <f>IF($C180="","",0)</f>
      </c>
      <c r="P180" s="8"/>
      <c r="Q180" s="8"/>
      <c r="R180" s="8"/>
      <c r="S180" s="8"/>
      <c r="T180" s="8"/>
      <c r="U180" s="7">
        <f>IF($B180="","",IFERROR(INDEX('Challan Master'!$AA$4:$AA$207,MATCH($B180,'Challan Master'!$S$4:$S$207,0)),""))</f>
      </c>
    </row>
    <row r="181" spans="1:22" x14ac:dyDescent="0.25">
      <c r="A181" s="7">
        <f>IF($C181="","",COUNTIF($C$4:$C181,"&lt;&gt;"))</f>
      </c>
      <c r="B181" s="8"/>
      <c r="C181" s="8"/>
      <c r="D181" s="8"/>
      <c r="E181" s="7">
        <f>IF($C181="","",IF(AND(LEN(TRIM(UPPER(D181)))=10,CODE(MID(TRIM(UPPER(D181)),1,1))&gt;=65,CODE(MID(TRIM(UPPER(D181)),1,1))&lt;=90,CODE(MID(TRIM(UPPER(D181)),2,1))&gt;=65,CODE(MID(TRIM(UPPER(D181)),2,1))&lt;=90,CODE(MID(TRIM(UPPER(D181)),3,1))&gt;=65,CODE(MID(TRIM(UPPER(D181)),3,1))&lt;=90,CODE(MID(TRIM(UPPER(D181)),4,1))&gt;=65,CODE(MID(TRIM(UPPER(D181)),4,1))&lt;=90,CODE(MID(TRIM(UPPER(D181)),5,1))&gt;=65,CODE(MID(TRIM(UPPER(D181)),5,1))&lt;=90,CODE(MID(TRIM(UPPER(D181)),10,1))&gt;=65,CODE(MID(TRIM(UPPER(D181)),10,1))&lt;=90,CODE(MID(TRIM(UPPER(D181)),6,1))&gt;=48,CODE(MID(TRIM(UPPER(D181)),6,1))&lt;=57,CODE(MID(TRIM(UPPER(D181)),7,1))&gt;=48,CODE(MID(TRIM(UPPER(D181)),7,1))&lt;=57,CODE(MID(TRIM(UPPER(D181)),8,1))&gt;=48,CODE(MID(TRIM(UPPER(D181)),8,1))&lt;=57,CODE(MID(TRIM(UPPER(D181)),9,1))&gt;=48,CODE(MID(TRIM(UPPER(D181)),9,1))&lt;=57),"N","Y"))</f>
      </c>
      <c r="F181" s="7">
        <f>IF($C181="","",IF(LEN(D181)&lt;4,"",IF(UPPER(MID(D181,4,1))="P","Individual",IF(UPPER(MID(D181,4,1))="H","HUF",IF(UPPER(MID(D181,4,1))="C","Company",IF(UPPER(MID(D181,4,1))="F","Firm",IF(UPPER(MID(D181,4,1))="L","LLP",IF(UPPER(MID(D181,4,1))="T","Trust",IF(UPPER(MID(D181,4,1))="A","AOP","")))))))))</f>
      </c>
      <c r="G181" s="8"/>
      <c r="H181" s="7">
        <f>IF($C181="","",IF(R181&lt;&gt;"",R181,IF(G181="","",IF(E181="Y",SUMPRODUCT(('Rate Lookup'!$A$1:$A$37=G181)*'Rate Lookup'!$D$1:$D$37),IF(OR(F181="Individual",F181="HUF"),SUMPRODUCT(('Rate Lookup'!$A$1:$A$37=G181)*'Rate Lookup'!$B$1:$B$37),SUMPRODUCT(('Rate Lookup'!$A$1:$A$37=G181)*'Rate Lookup'!$C$1:$C$37)))))))</f>
      </c>
      <c r="I181" s="8"/>
      <c r="J181" s="8"/>
      <c r="K181" s="7">
        <f>IF($C181="","",IF(OR(P181="B",P181="D",P181="E",P181="N",P181="O",P181="P",P181="Q",P181="S",P181="Y",P181="Z"),0,ROUND(J181*H181/100,0)))</f>
      </c>
      <c r="L181" s="7">
        <f>IF($C181="","",0)</f>
      </c>
      <c r="M181" s="7">
        <f>IF($C181="","",0)</f>
      </c>
      <c r="N181" s="7">
        <f>IF($C181="","",IF(OR(K181=0,I181="",IFERROR(INDEX('Challan Master'!$D$4:$D$207,MATCH($B181,'Challan Master'!$S$4:$S$207,0)),"")="",IFERROR(INDEX('Challan Master'!$D$4:$D$207,MATCH($B181,'Challan Master'!$S$4:$S$207,0)),"")&lt;=0),0,IF(IFERROR(INDEX('Challan Master'!$D$4:$D$207,MATCH($B181,'Challan Master'!$S$4:$S$207,0)),"")&lt;=DATE(YEAR(I181),MONTH(I181)+1,7),0,ROUND(K181*0.015*((YEAR(IFERROR(INDEX('Challan Master'!$D$4:$D$207,MATCH($B181,'Challan Master'!$S$4:$S$207,0)),""))-YEAR(I181))*12+(MONTH(IFERROR(INDEX('Challan Master'!$D$4:$D$207,MATCH($B181,'Challan Master'!$S$4:$S$207,0)),""))-MONTH(I181))+1),0))))</f>
      </c>
      <c r="O181" s="7">
        <f>IF($C181="","",0)</f>
      </c>
      <c r="P181" s="8"/>
      <c r="Q181" s="8"/>
      <c r="R181" s="8"/>
      <c r="S181" s="8"/>
      <c r="T181" s="8"/>
      <c r="U181" s="7">
        <f>IF($B181="","",IFERROR(INDEX('Challan Master'!$AA$4:$AA$207,MATCH($B181,'Challan Master'!$S$4:$S$207,0)),""))</f>
      </c>
    </row>
    <row r="182" spans="1:22" x14ac:dyDescent="0.25">
      <c r="A182" s="7">
        <f>IF($C182="","",COUNTIF($C$4:$C182,"&lt;&gt;"))</f>
      </c>
      <c r="B182" s="8"/>
      <c r="C182" s="8"/>
      <c r="D182" s="8"/>
      <c r="E182" s="7">
        <f>IF($C182="","",IF(AND(LEN(TRIM(UPPER(D182)))=10,CODE(MID(TRIM(UPPER(D182)),1,1))&gt;=65,CODE(MID(TRIM(UPPER(D182)),1,1))&lt;=90,CODE(MID(TRIM(UPPER(D182)),2,1))&gt;=65,CODE(MID(TRIM(UPPER(D182)),2,1))&lt;=90,CODE(MID(TRIM(UPPER(D182)),3,1))&gt;=65,CODE(MID(TRIM(UPPER(D182)),3,1))&lt;=90,CODE(MID(TRIM(UPPER(D182)),4,1))&gt;=65,CODE(MID(TRIM(UPPER(D182)),4,1))&lt;=90,CODE(MID(TRIM(UPPER(D182)),5,1))&gt;=65,CODE(MID(TRIM(UPPER(D182)),5,1))&lt;=90,CODE(MID(TRIM(UPPER(D182)),10,1))&gt;=65,CODE(MID(TRIM(UPPER(D182)),10,1))&lt;=90,CODE(MID(TRIM(UPPER(D182)),6,1))&gt;=48,CODE(MID(TRIM(UPPER(D182)),6,1))&lt;=57,CODE(MID(TRIM(UPPER(D182)),7,1))&gt;=48,CODE(MID(TRIM(UPPER(D182)),7,1))&lt;=57,CODE(MID(TRIM(UPPER(D182)),8,1))&gt;=48,CODE(MID(TRIM(UPPER(D182)),8,1))&lt;=57,CODE(MID(TRIM(UPPER(D182)),9,1))&gt;=48,CODE(MID(TRIM(UPPER(D182)),9,1))&lt;=57),"N","Y"))</f>
      </c>
      <c r="F182" s="7">
        <f>IF($C182="","",IF(LEN(D182)&lt;4,"",IF(UPPER(MID(D182,4,1))="P","Individual",IF(UPPER(MID(D182,4,1))="H","HUF",IF(UPPER(MID(D182,4,1))="C","Company",IF(UPPER(MID(D182,4,1))="F","Firm",IF(UPPER(MID(D182,4,1))="L","LLP",IF(UPPER(MID(D182,4,1))="T","Trust",IF(UPPER(MID(D182,4,1))="A","AOP","")))))))))</f>
      </c>
      <c r="G182" s="8"/>
      <c r="H182" s="7">
        <f>IF($C182="","",IF(R182&lt;&gt;"",R182,IF(G182="","",IF(E182="Y",SUMPRODUCT(('Rate Lookup'!$A$1:$A$37=G182)*'Rate Lookup'!$D$1:$D$37),IF(OR(F182="Individual",F182="HUF"),SUMPRODUCT(('Rate Lookup'!$A$1:$A$37=G182)*'Rate Lookup'!$B$1:$B$37),SUMPRODUCT(('Rate Lookup'!$A$1:$A$37=G182)*'Rate Lookup'!$C$1:$C$37)))))))</f>
      </c>
      <c r="I182" s="8"/>
      <c r="J182" s="8"/>
      <c r="K182" s="7">
        <f>IF($C182="","",IF(OR(P182="B",P182="D",P182="E",P182="N",P182="O",P182="P",P182="Q",P182="S",P182="Y",P182="Z"),0,ROUND(J182*H182/100,0)))</f>
      </c>
      <c r="L182" s="7">
        <f>IF($C182="","",0)</f>
      </c>
      <c r="M182" s="7">
        <f>IF($C182="","",0)</f>
      </c>
      <c r="N182" s="7">
        <f>IF($C182="","",IF(OR(K182=0,I182="",IFERROR(INDEX('Challan Master'!$D$4:$D$207,MATCH($B182,'Challan Master'!$S$4:$S$207,0)),"")="",IFERROR(INDEX('Challan Master'!$D$4:$D$207,MATCH($B182,'Challan Master'!$S$4:$S$207,0)),"")&lt;=0),0,IF(IFERROR(INDEX('Challan Master'!$D$4:$D$207,MATCH($B182,'Challan Master'!$S$4:$S$207,0)),"")&lt;=DATE(YEAR(I182),MONTH(I182)+1,7),0,ROUND(K182*0.015*((YEAR(IFERROR(INDEX('Challan Master'!$D$4:$D$207,MATCH($B182,'Challan Master'!$S$4:$S$207,0)),""))-YEAR(I182))*12+(MONTH(IFERROR(INDEX('Challan Master'!$D$4:$D$207,MATCH($B182,'Challan Master'!$S$4:$S$207,0)),""))-MONTH(I182))+1),0))))</f>
      </c>
      <c r="O182" s="7">
        <f>IF($C182="","",0)</f>
      </c>
      <c r="P182" s="8"/>
      <c r="Q182" s="8"/>
      <c r="R182" s="8"/>
      <c r="S182" s="8"/>
      <c r="T182" s="8"/>
      <c r="U182" s="7">
        <f>IF($B182="","",IFERROR(INDEX('Challan Master'!$AA$4:$AA$207,MATCH($B182,'Challan Master'!$S$4:$S$207,0)),""))</f>
      </c>
    </row>
    <row r="183" spans="1:22" x14ac:dyDescent="0.25">
      <c r="A183" s="7">
        <f>IF($C183="","",COUNTIF($C$4:$C183,"&lt;&gt;"))</f>
      </c>
      <c r="B183" s="8"/>
      <c r="C183" s="8"/>
      <c r="D183" s="8"/>
      <c r="E183" s="7">
        <f>IF($C183="","",IF(AND(LEN(TRIM(UPPER(D183)))=10,CODE(MID(TRIM(UPPER(D183)),1,1))&gt;=65,CODE(MID(TRIM(UPPER(D183)),1,1))&lt;=90,CODE(MID(TRIM(UPPER(D183)),2,1))&gt;=65,CODE(MID(TRIM(UPPER(D183)),2,1))&lt;=90,CODE(MID(TRIM(UPPER(D183)),3,1))&gt;=65,CODE(MID(TRIM(UPPER(D183)),3,1))&lt;=90,CODE(MID(TRIM(UPPER(D183)),4,1))&gt;=65,CODE(MID(TRIM(UPPER(D183)),4,1))&lt;=90,CODE(MID(TRIM(UPPER(D183)),5,1))&gt;=65,CODE(MID(TRIM(UPPER(D183)),5,1))&lt;=90,CODE(MID(TRIM(UPPER(D183)),10,1))&gt;=65,CODE(MID(TRIM(UPPER(D183)),10,1))&lt;=90,CODE(MID(TRIM(UPPER(D183)),6,1))&gt;=48,CODE(MID(TRIM(UPPER(D183)),6,1))&lt;=57,CODE(MID(TRIM(UPPER(D183)),7,1))&gt;=48,CODE(MID(TRIM(UPPER(D183)),7,1))&lt;=57,CODE(MID(TRIM(UPPER(D183)),8,1))&gt;=48,CODE(MID(TRIM(UPPER(D183)),8,1))&lt;=57,CODE(MID(TRIM(UPPER(D183)),9,1))&gt;=48,CODE(MID(TRIM(UPPER(D183)),9,1))&lt;=57),"N","Y"))</f>
      </c>
      <c r="F183" s="7">
        <f>IF($C183="","",IF(LEN(D183)&lt;4,"",IF(UPPER(MID(D183,4,1))="P","Individual",IF(UPPER(MID(D183,4,1))="H","HUF",IF(UPPER(MID(D183,4,1))="C","Company",IF(UPPER(MID(D183,4,1))="F","Firm",IF(UPPER(MID(D183,4,1))="L","LLP",IF(UPPER(MID(D183,4,1))="T","Trust",IF(UPPER(MID(D183,4,1))="A","AOP","")))))))))</f>
      </c>
      <c r="G183" s="8"/>
      <c r="H183" s="7">
        <f>IF($C183="","",IF(R183&lt;&gt;"",R183,IF(G183="","",IF(E183="Y",SUMPRODUCT(('Rate Lookup'!$A$1:$A$37=G183)*'Rate Lookup'!$D$1:$D$37),IF(OR(F183="Individual",F183="HUF"),SUMPRODUCT(('Rate Lookup'!$A$1:$A$37=G183)*'Rate Lookup'!$B$1:$B$37),SUMPRODUCT(('Rate Lookup'!$A$1:$A$37=G183)*'Rate Lookup'!$C$1:$C$37)))))))</f>
      </c>
      <c r="I183" s="8"/>
      <c r="J183" s="8"/>
      <c r="K183" s="7">
        <f>IF($C183="","",IF(OR(P183="B",P183="D",P183="E",P183="N",P183="O",P183="P",P183="Q",P183="S",P183="Y",P183="Z"),0,ROUND(J183*H183/100,0)))</f>
      </c>
      <c r="L183" s="7">
        <f>IF($C183="","",0)</f>
      </c>
      <c r="M183" s="7">
        <f>IF($C183="","",0)</f>
      </c>
      <c r="N183" s="7">
        <f>IF($C183="","",IF(OR(K183=0,I183="",IFERROR(INDEX('Challan Master'!$D$4:$D$207,MATCH($B183,'Challan Master'!$S$4:$S$207,0)),"")="",IFERROR(INDEX('Challan Master'!$D$4:$D$207,MATCH($B183,'Challan Master'!$S$4:$S$207,0)),"")&lt;=0),0,IF(IFERROR(INDEX('Challan Master'!$D$4:$D$207,MATCH($B183,'Challan Master'!$S$4:$S$207,0)),"")&lt;=DATE(YEAR(I183),MONTH(I183)+1,7),0,ROUND(K183*0.015*((YEAR(IFERROR(INDEX('Challan Master'!$D$4:$D$207,MATCH($B183,'Challan Master'!$S$4:$S$207,0)),""))-YEAR(I183))*12+(MONTH(IFERROR(INDEX('Challan Master'!$D$4:$D$207,MATCH($B183,'Challan Master'!$S$4:$S$207,0)),""))-MONTH(I183))+1),0))))</f>
      </c>
      <c r="O183" s="7">
        <f>IF($C183="","",0)</f>
      </c>
      <c r="P183" s="8"/>
      <c r="Q183" s="8"/>
      <c r="R183" s="8"/>
      <c r="S183" s="8"/>
      <c r="T183" s="8"/>
      <c r="U183" s="7">
        <f>IF($B183="","",IFERROR(INDEX('Challan Master'!$AA$4:$AA$207,MATCH($B183,'Challan Master'!$S$4:$S$207,0)),""))</f>
      </c>
    </row>
    <row r="184" spans="1:22" x14ac:dyDescent="0.25">
      <c r="A184" s="7">
        <f>IF($C184="","",COUNTIF($C$4:$C184,"&lt;&gt;"))</f>
      </c>
      <c r="B184" s="8"/>
      <c r="C184" s="8"/>
      <c r="D184" s="8"/>
      <c r="E184" s="7">
        <f>IF($C184="","",IF(AND(LEN(TRIM(UPPER(D184)))=10,CODE(MID(TRIM(UPPER(D184)),1,1))&gt;=65,CODE(MID(TRIM(UPPER(D184)),1,1))&lt;=90,CODE(MID(TRIM(UPPER(D184)),2,1))&gt;=65,CODE(MID(TRIM(UPPER(D184)),2,1))&lt;=90,CODE(MID(TRIM(UPPER(D184)),3,1))&gt;=65,CODE(MID(TRIM(UPPER(D184)),3,1))&lt;=90,CODE(MID(TRIM(UPPER(D184)),4,1))&gt;=65,CODE(MID(TRIM(UPPER(D184)),4,1))&lt;=90,CODE(MID(TRIM(UPPER(D184)),5,1))&gt;=65,CODE(MID(TRIM(UPPER(D184)),5,1))&lt;=90,CODE(MID(TRIM(UPPER(D184)),10,1))&gt;=65,CODE(MID(TRIM(UPPER(D184)),10,1))&lt;=90,CODE(MID(TRIM(UPPER(D184)),6,1))&gt;=48,CODE(MID(TRIM(UPPER(D184)),6,1))&lt;=57,CODE(MID(TRIM(UPPER(D184)),7,1))&gt;=48,CODE(MID(TRIM(UPPER(D184)),7,1))&lt;=57,CODE(MID(TRIM(UPPER(D184)),8,1))&gt;=48,CODE(MID(TRIM(UPPER(D184)),8,1))&lt;=57,CODE(MID(TRIM(UPPER(D184)),9,1))&gt;=48,CODE(MID(TRIM(UPPER(D184)),9,1))&lt;=57),"N","Y"))</f>
      </c>
      <c r="F184" s="7">
        <f>IF($C184="","",IF(LEN(D184)&lt;4,"",IF(UPPER(MID(D184,4,1))="P","Individual",IF(UPPER(MID(D184,4,1))="H","HUF",IF(UPPER(MID(D184,4,1))="C","Company",IF(UPPER(MID(D184,4,1))="F","Firm",IF(UPPER(MID(D184,4,1))="L","LLP",IF(UPPER(MID(D184,4,1))="T","Trust",IF(UPPER(MID(D184,4,1))="A","AOP","")))))))))</f>
      </c>
      <c r="G184" s="8"/>
      <c r="H184" s="7">
        <f>IF($C184="","",IF(R184&lt;&gt;"",R184,IF(G184="","",IF(E184="Y",SUMPRODUCT(('Rate Lookup'!$A$1:$A$37=G184)*'Rate Lookup'!$D$1:$D$37),IF(OR(F184="Individual",F184="HUF"),SUMPRODUCT(('Rate Lookup'!$A$1:$A$37=G184)*'Rate Lookup'!$B$1:$B$37),SUMPRODUCT(('Rate Lookup'!$A$1:$A$37=G184)*'Rate Lookup'!$C$1:$C$37)))))))</f>
      </c>
      <c r="I184" s="8"/>
      <c r="J184" s="8"/>
      <c r="K184" s="7">
        <f>IF($C184="","",IF(OR(P184="B",P184="D",P184="E",P184="N",P184="O",P184="P",P184="Q",P184="S",P184="Y",P184="Z"),0,ROUND(J184*H184/100,0)))</f>
      </c>
      <c r="L184" s="7">
        <f>IF($C184="","",0)</f>
      </c>
      <c r="M184" s="7">
        <f>IF($C184="","",0)</f>
      </c>
      <c r="N184" s="7">
        <f>IF($C184="","",IF(OR(K184=0,I184="",IFERROR(INDEX('Challan Master'!$D$4:$D$207,MATCH($B184,'Challan Master'!$S$4:$S$207,0)),"")="",IFERROR(INDEX('Challan Master'!$D$4:$D$207,MATCH($B184,'Challan Master'!$S$4:$S$207,0)),"")&lt;=0),0,IF(IFERROR(INDEX('Challan Master'!$D$4:$D$207,MATCH($B184,'Challan Master'!$S$4:$S$207,0)),"")&lt;=DATE(YEAR(I184),MONTH(I184)+1,7),0,ROUND(K184*0.015*((YEAR(IFERROR(INDEX('Challan Master'!$D$4:$D$207,MATCH($B184,'Challan Master'!$S$4:$S$207,0)),""))-YEAR(I184))*12+(MONTH(IFERROR(INDEX('Challan Master'!$D$4:$D$207,MATCH($B184,'Challan Master'!$S$4:$S$207,0)),""))-MONTH(I184))+1),0))))</f>
      </c>
      <c r="O184" s="7">
        <f>IF($C184="","",0)</f>
      </c>
      <c r="P184" s="8"/>
      <c r="Q184" s="8"/>
      <c r="R184" s="8"/>
      <c r="S184" s="8"/>
      <c r="T184" s="8"/>
      <c r="U184" s="7">
        <f>IF($B184="","",IFERROR(INDEX('Challan Master'!$AA$4:$AA$207,MATCH($B184,'Challan Master'!$S$4:$S$207,0)),""))</f>
      </c>
    </row>
    <row r="185" spans="1:22" x14ac:dyDescent="0.25">
      <c r="A185" s="7">
        <f>IF($C185="","",COUNTIF($C$4:$C185,"&lt;&gt;"))</f>
      </c>
      <c r="B185" s="8"/>
      <c r="C185" s="8"/>
      <c r="D185" s="8"/>
      <c r="E185" s="7">
        <f>IF($C185="","",IF(AND(LEN(TRIM(UPPER(D185)))=10,CODE(MID(TRIM(UPPER(D185)),1,1))&gt;=65,CODE(MID(TRIM(UPPER(D185)),1,1))&lt;=90,CODE(MID(TRIM(UPPER(D185)),2,1))&gt;=65,CODE(MID(TRIM(UPPER(D185)),2,1))&lt;=90,CODE(MID(TRIM(UPPER(D185)),3,1))&gt;=65,CODE(MID(TRIM(UPPER(D185)),3,1))&lt;=90,CODE(MID(TRIM(UPPER(D185)),4,1))&gt;=65,CODE(MID(TRIM(UPPER(D185)),4,1))&lt;=90,CODE(MID(TRIM(UPPER(D185)),5,1))&gt;=65,CODE(MID(TRIM(UPPER(D185)),5,1))&lt;=90,CODE(MID(TRIM(UPPER(D185)),10,1))&gt;=65,CODE(MID(TRIM(UPPER(D185)),10,1))&lt;=90,CODE(MID(TRIM(UPPER(D185)),6,1))&gt;=48,CODE(MID(TRIM(UPPER(D185)),6,1))&lt;=57,CODE(MID(TRIM(UPPER(D185)),7,1))&gt;=48,CODE(MID(TRIM(UPPER(D185)),7,1))&lt;=57,CODE(MID(TRIM(UPPER(D185)),8,1))&gt;=48,CODE(MID(TRIM(UPPER(D185)),8,1))&lt;=57,CODE(MID(TRIM(UPPER(D185)),9,1))&gt;=48,CODE(MID(TRIM(UPPER(D185)),9,1))&lt;=57),"N","Y"))</f>
      </c>
      <c r="F185" s="7">
        <f>IF($C185="","",IF(LEN(D185)&lt;4,"",IF(UPPER(MID(D185,4,1))="P","Individual",IF(UPPER(MID(D185,4,1))="H","HUF",IF(UPPER(MID(D185,4,1))="C","Company",IF(UPPER(MID(D185,4,1))="F","Firm",IF(UPPER(MID(D185,4,1))="L","LLP",IF(UPPER(MID(D185,4,1))="T","Trust",IF(UPPER(MID(D185,4,1))="A","AOP","")))))))))</f>
      </c>
      <c r="G185" s="8"/>
      <c r="H185" s="7">
        <f>IF($C185="","",IF(R185&lt;&gt;"",R185,IF(G185="","",IF(E185="Y",SUMPRODUCT(('Rate Lookup'!$A$1:$A$37=G185)*'Rate Lookup'!$D$1:$D$37),IF(OR(F185="Individual",F185="HUF"),SUMPRODUCT(('Rate Lookup'!$A$1:$A$37=G185)*'Rate Lookup'!$B$1:$B$37),SUMPRODUCT(('Rate Lookup'!$A$1:$A$37=G185)*'Rate Lookup'!$C$1:$C$37)))))))</f>
      </c>
      <c r="I185" s="8"/>
      <c r="J185" s="8"/>
      <c r="K185" s="7">
        <f>IF($C185="","",IF(OR(P185="B",P185="D",P185="E",P185="N",P185="O",P185="P",P185="Q",P185="S",P185="Y",P185="Z"),0,ROUND(J185*H185/100,0)))</f>
      </c>
      <c r="L185" s="7">
        <f>IF($C185="","",0)</f>
      </c>
      <c r="M185" s="7">
        <f>IF($C185="","",0)</f>
      </c>
      <c r="N185" s="7">
        <f>IF($C185="","",IF(OR(K185=0,I185="",IFERROR(INDEX('Challan Master'!$D$4:$D$207,MATCH($B185,'Challan Master'!$S$4:$S$207,0)),"")="",IFERROR(INDEX('Challan Master'!$D$4:$D$207,MATCH($B185,'Challan Master'!$S$4:$S$207,0)),"")&lt;=0),0,IF(IFERROR(INDEX('Challan Master'!$D$4:$D$207,MATCH($B185,'Challan Master'!$S$4:$S$207,0)),"")&lt;=DATE(YEAR(I185),MONTH(I185)+1,7),0,ROUND(K185*0.015*((YEAR(IFERROR(INDEX('Challan Master'!$D$4:$D$207,MATCH($B185,'Challan Master'!$S$4:$S$207,0)),""))-YEAR(I185))*12+(MONTH(IFERROR(INDEX('Challan Master'!$D$4:$D$207,MATCH($B185,'Challan Master'!$S$4:$S$207,0)),""))-MONTH(I185))+1),0))))</f>
      </c>
      <c r="O185" s="7">
        <f>IF($C185="","",0)</f>
      </c>
      <c r="P185" s="8"/>
      <c r="Q185" s="8"/>
      <c r="R185" s="8"/>
      <c r="S185" s="8"/>
      <c r="T185" s="8"/>
      <c r="U185" s="7">
        <f>IF($B185="","",IFERROR(INDEX('Challan Master'!$AA$4:$AA$207,MATCH($B185,'Challan Master'!$S$4:$S$207,0)),""))</f>
      </c>
    </row>
    <row r="186" spans="1:22" x14ac:dyDescent="0.25">
      <c r="A186" s="7">
        <f>IF($C186="","",COUNTIF($C$4:$C186,"&lt;&gt;"))</f>
      </c>
      <c r="B186" s="8"/>
      <c r="C186" s="8"/>
      <c r="D186" s="8"/>
      <c r="E186" s="7">
        <f>IF($C186="","",IF(AND(LEN(TRIM(UPPER(D186)))=10,CODE(MID(TRIM(UPPER(D186)),1,1))&gt;=65,CODE(MID(TRIM(UPPER(D186)),1,1))&lt;=90,CODE(MID(TRIM(UPPER(D186)),2,1))&gt;=65,CODE(MID(TRIM(UPPER(D186)),2,1))&lt;=90,CODE(MID(TRIM(UPPER(D186)),3,1))&gt;=65,CODE(MID(TRIM(UPPER(D186)),3,1))&lt;=90,CODE(MID(TRIM(UPPER(D186)),4,1))&gt;=65,CODE(MID(TRIM(UPPER(D186)),4,1))&lt;=90,CODE(MID(TRIM(UPPER(D186)),5,1))&gt;=65,CODE(MID(TRIM(UPPER(D186)),5,1))&lt;=90,CODE(MID(TRIM(UPPER(D186)),10,1))&gt;=65,CODE(MID(TRIM(UPPER(D186)),10,1))&lt;=90,CODE(MID(TRIM(UPPER(D186)),6,1))&gt;=48,CODE(MID(TRIM(UPPER(D186)),6,1))&lt;=57,CODE(MID(TRIM(UPPER(D186)),7,1))&gt;=48,CODE(MID(TRIM(UPPER(D186)),7,1))&lt;=57,CODE(MID(TRIM(UPPER(D186)),8,1))&gt;=48,CODE(MID(TRIM(UPPER(D186)),8,1))&lt;=57,CODE(MID(TRIM(UPPER(D186)),9,1))&gt;=48,CODE(MID(TRIM(UPPER(D186)),9,1))&lt;=57),"N","Y"))</f>
      </c>
      <c r="F186" s="7">
        <f>IF($C186="","",IF(LEN(D186)&lt;4,"",IF(UPPER(MID(D186,4,1))="P","Individual",IF(UPPER(MID(D186,4,1))="H","HUF",IF(UPPER(MID(D186,4,1))="C","Company",IF(UPPER(MID(D186,4,1))="F","Firm",IF(UPPER(MID(D186,4,1))="L","LLP",IF(UPPER(MID(D186,4,1))="T","Trust",IF(UPPER(MID(D186,4,1))="A","AOP","")))))))))</f>
      </c>
      <c r="G186" s="8"/>
      <c r="H186" s="7">
        <f>IF($C186="","",IF(R186&lt;&gt;"",R186,IF(G186="","",IF(E186="Y",SUMPRODUCT(('Rate Lookup'!$A$1:$A$37=G186)*'Rate Lookup'!$D$1:$D$37),IF(OR(F186="Individual",F186="HUF"),SUMPRODUCT(('Rate Lookup'!$A$1:$A$37=G186)*'Rate Lookup'!$B$1:$B$37),SUMPRODUCT(('Rate Lookup'!$A$1:$A$37=G186)*'Rate Lookup'!$C$1:$C$37)))))))</f>
      </c>
      <c r="I186" s="8"/>
      <c r="J186" s="8"/>
      <c r="K186" s="7">
        <f>IF($C186="","",IF(OR(P186="B",P186="D",P186="E",P186="N",P186="O",P186="P",P186="Q",P186="S",P186="Y",P186="Z"),0,ROUND(J186*H186/100,0)))</f>
      </c>
      <c r="L186" s="7">
        <f>IF($C186="","",0)</f>
      </c>
      <c r="M186" s="7">
        <f>IF($C186="","",0)</f>
      </c>
      <c r="N186" s="7">
        <f>IF($C186="","",IF(OR(K186=0,I186="",IFERROR(INDEX('Challan Master'!$D$4:$D$207,MATCH($B186,'Challan Master'!$S$4:$S$207,0)),"")="",IFERROR(INDEX('Challan Master'!$D$4:$D$207,MATCH($B186,'Challan Master'!$S$4:$S$207,0)),"")&lt;=0),0,IF(IFERROR(INDEX('Challan Master'!$D$4:$D$207,MATCH($B186,'Challan Master'!$S$4:$S$207,0)),"")&lt;=DATE(YEAR(I186),MONTH(I186)+1,7),0,ROUND(K186*0.015*((YEAR(IFERROR(INDEX('Challan Master'!$D$4:$D$207,MATCH($B186,'Challan Master'!$S$4:$S$207,0)),""))-YEAR(I186))*12+(MONTH(IFERROR(INDEX('Challan Master'!$D$4:$D$207,MATCH($B186,'Challan Master'!$S$4:$S$207,0)),""))-MONTH(I186))+1),0))))</f>
      </c>
      <c r="O186" s="7">
        <f>IF($C186="","",0)</f>
      </c>
      <c r="P186" s="8"/>
      <c r="Q186" s="8"/>
      <c r="R186" s="8"/>
      <c r="S186" s="8"/>
      <c r="T186" s="8"/>
      <c r="U186" s="7">
        <f>IF($B186="","",IFERROR(INDEX('Challan Master'!$AA$4:$AA$207,MATCH($B186,'Challan Master'!$S$4:$S$207,0)),""))</f>
      </c>
    </row>
    <row r="187" spans="1:22" x14ac:dyDescent="0.25">
      <c r="A187" s="7">
        <f>IF($C187="","",COUNTIF($C$4:$C187,"&lt;&gt;"))</f>
      </c>
      <c r="B187" s="8"/>
      <c r="C187" s="8"/>
      <c r="D187" s="8"/>
      <c r="E187" s="7">
        <f>IF($C187="","",IF(AND(LEN(TRIM(UPPER(D187)))=10,CODE(MID(TRIM(UPPER(D187)),1,1))&gt;=65,CODE(MID(TRIM(UPPER(D187)),1,1))&lt;=90,CODE(MID(TRIM(UPPER(D187)),2,1))&gt;=65,CODE(MID(TRIM(UPPER(D187)),2,1))&lt;=90,CODE(MID(TRIM(UPPER(D187)),3,1))&gt;=65,CODE(MID(TRIM(UPPER(D187)),3,1))&lt;=90,CODE(MID(TRIM(UPPER(D187)),4,1))&gt;=65,CODE(MID(TRIM(UPPER(D187)),4,1))&lt;=90,CODE(MID(TRIM(UPPER(D187)),5,1))&gt;=65,CODE(MID(TRIM(UPPER(D187)),5,1))&lt;=90,CODE(MID(TRIM(UPPER(D187)),10,1))&gt;=65,CODE(MID(TRIM(UPPER(D187)),10,1))&lt;=90,CODE(MID(TRIM(UPPER(D187)),6,1))&gt;=48,CODE(MID(TRIM(UPPER(D187)),6,1))&lt;=57,CODE(MID(TRIM(UPPER(D187)),7,1))&gt;=48,CODE(MID(TRIM(UPPER(D187)),7,1))&lt;=57,CODE(MID(TRIM(UPPER(D187)),8,1))&gt;=48,CODE(MID(TRIM(UPPER(D187)),8,1))&lt;=57,CODE(MID(TRIM(UPPER(D187)),9,1))&gt;=48,CODE(MID(TRIM(UPPER(D187)),9,1))&lt;=57),"N","Y"))</f>
      </c>
      <c r="F187" s="7">
        <f>IF($C187="","",IF(LEN(D187)&lt;4,"",IF(UPPER(MID(D187,4,1))="P","Individual",IF(UPPER(MID(D187,4,1))="H","HUF",IF(UPPER(MID(D187,4,1))="C","Company",IF(UPPER(MID(D187,4,1))="F","Firm",IF(UPPER(MID(D187,4,1))="L","LLP",IF(UPPER(MID(D187,4,1))="T","Trust",IF(UPPER(MID(D187,4,1))="A","AOP","")))))))))</f>
      </c>
      <c r="G187" s="8"/>
      <c r="H187" s="7">
        <f>IF($C187="","",IF(R187&lt;&gt;"",R187,IF(G187="","",IF(E187="Y",SUMPRODUCT(('Rate Lookup'!$A$1:$A$37=G187)*'Rate Lookup'!$D$1:$D$37),IF(OR(F187="Individual",F187="HUF"),SUMPRODUCT(('Rate Lookup'!$A$1:$A$37=G187)*'Rate Lookup'!$B$1:$B$37),SUMPRODUCT(('Rate Lookup'!$A$1:$A$37=G187)*'Rate Lookup'!$C$1:$C$37)))))))</f>
      </c>
      <c r="I187" s="8"/>
      <c r="J187" s="8"/>
      <c r="K187" s="7">
        <f>IF($C187="","",IF(OR(P187="B",P187="D",P187="E",P187="N",P187="O",P187="P",P187="Q",P187="S",P187="Y",P187="Z"),0,ROUND(J187*H187/100,0)))</f>
      </c>
      <c r="L187" s="7">
        <f>IF($C187="","",0)</f>
      </c>
      <c r="M187" s="7">
        <f>IF($C187="","",0)</f>
      </c>
      <c r="N187" s="7">
        <f>IF($C187="","",IF(OR(K187=0,I187="",IFERROR(INDEX('Challan Master'!$D$4:$D$207,MATCH($B187,'Challan Master'!$S$4:$S$207,0)),"")="",IFERROR(INDEX('Challan Master'!$D$4:$D$207,MATCH($B187,'Challan Master'!$S$4:$S$207,0)),"")&lt;=0),0,IF(IFERROR(INDEX('Challan Master'!$D$4:$D$207,MATCH($B187,'Challan Master'!$S$4:$S$207,0)),"")&lt;=DATE(YEAR(I187),MONTH(I187)+1,7),0,ROUND(K187*0.015*((YEAR(IFERROR(INDEX('Challan Master'!$D$4:$D$207,MATCH($B187,'Challan Master'!$S$4:$S$207,0)),""))-YEAR(I187))*12+(MONTH(IFERROR(INDEX('Challan Master'!$D$4:$D$207,MATCH($B187,'Challan Master'!$S$4:$S$207,0)),""))-MONTH(I187))+1),0))))</f>
      </c>
      <c r="O187" s="7">
        <f>IF($C187="","",0)</f>
      </c>
      <c r="P187" s="8"/>
      <c r="Q187" s="8"/>
      <c r="R187" s="8"/>
      <c r="S187" s="8"/>
      <c r="T187" s="8"/>
      <c r="U187" s="7">
        <f>IF($B187="","",IFERROR(INDEX('Challan Master'!$AA$4:$AA$207,MATCH($B187,'Challan Master'!$S$4:$S$207,0)),""))</f>
      </c>
    </row>
    <row r="188" spans="1:22" x14ac:dyDescent="0.25">
      <c r="A188" s="7">
        <f>IF($C188="","",COUNTIF($C$4:$C188,"&lt;&gt;"))</f>
      </c>
      <c r="B188" s="8"/>
      <c r="C188" s="8"/>
      <c r="D188" s="8"/>
      <c r="E188" s="7">
        <f>IF($C188="","",IF(AND(LEN(TRIM(UPPER(D188)))=10,CODE(MID(TRIM(UPPER(D188)),1,1))&gt;=65,CODE(MID(TRIM(UPPER(D188)),1,1))&lt;=90,CODE(MID(TRIM(UPPER(D188)),2,1))&gt;=65,CODE(MID(TRIM(UPPER(D188)),2,1))&lt;=90,CODE(MID(TRIM(UPPER(D188)),3,1))&gt;=65,CODE(MID(TRIM(UPPER(D188)),3,1))&lt;=90,CODE(MID(TRIM(UPPER(D188)),4,1))&gt;=65,CODE(MID(TRIM(UPPER(D188)),4,1))&lt;=90,CODE(MID(TRIM(UPPER(D188)),5,1))&gt;=65,CODE(MID(TRIM(UPPER(D188)),5,1))&lt;=90,CODE(MID(TRIM(UPPER(D188)),10,1))&gt;=65,CODE(MID(TRIM(UPPER(D188)),10,1))&lt;=90,CODE(MID(TRIM(UPPER(D188)),6,1))&gt;=48,CODE(MID(TRIM(UPPER(D188)),6,1))&lt;=57,CODE(MID(TRIM(UPPER(D188)),7,1))&gt;=48,CODE(MID(TRIM(UPPER(D188)),7,1))&lt;=57,CODE(MID(TRIM(UPPER(D188)),8,1))&gt;=48,CODE(MID(TRIM(UPPER(D188)),8,1))&lt;=57,CODE(MID(TRIM(UPPER(D188)),9,1))&gt;=48,CODE(MID(TRIM(UPPER(D188)),9,1))&lt;=57),"N","Y"))</f>
      </c>
      <c r="F188" s="7">
        <f>IF($C188="","",IF(LEN(D188)&lt;4,"",IF(UPPER(MID(D188,4,1))="P","Individual",IF(UPPER(MID(D188,4,1))="H","HUF",IF(UPPER(MID(D188,4,1))="C","Company",IF(UPPER(MID(D188,4,1))="F","Firm",IF(UPPER(MID(D188,4,1))="L","LLP",IF(UPPER(MID(D188,4,1))="T","Trust",IF(UPPER(MID(D188,4,1))="A","AOP","")))))))))</f>
      </c>
      <c r="G188" s="8"/>
      <c r="H188" s="7">
        <f>IF($C188="","",IF(R188&lt;&gt;"",R188,IF(G188="","",IF(E188="Y",SUMPRODUCT(('Rate Lookup'!$A$1:$A$37=G188)*'Rate Lookup'!$D$1:$D$37),IF(OR(F188="Individual",F188="HUF"),SUMPRODUCT(('Rate Lookup'!$A$1:$A$37=G188)*'Rate Lookup'!$B$1:$B$37),SUMPRODUCT(('Rate Lookup'!$A$1:$A$37=G188)*'Rate Lookup'!$C$1:$C$37)))))))</f>
      </c>
      <c r="I188" s="8"/>
      <c r="J188" s="8"/>
      <c r="K188" s="7">
        <f>IF($C188="","",IF(OR(P188="B",P188="D",P188="E",P188="N",P188="O",P188="P",P188="Q",P188="S",P188="Y",P188="Z"),0,ROUND(J188*H188/100,0)))</f>
      </c>
      <c r="L188" s="7">
        <f>IF($C188="","",0)</f>
      </c>
      <c r="M188" s="7">
        <f>IF($C188="","",0)</f>
      </c>
      <c r="N188" s="7">
        <f>IF($C188="","",IF(OR(K188=0,I188="",IFERROR(INDEX('Challan Master'!$D$4:$D$207,MATCH($B188,'Challan Master'!$S$4:$S$207,0)),"")="",IFERROR(INDEX('Challan Master'!$D$4:$D$207,MATCH($B188,'Challan Master'!$S$4:$S$207,0)),"")&lt;=0),0,IF(IFERROR(INDEX('Challan Master'!$D$4:$D$207,MATCH($B188,'Challan Master'!$S$4:$S$207,0)),"")&lt;=DATE(YEAR(I188),MONTH(I188)+1,7),0,ROUND(K188*0.015*((YEAR(IFERROR(INDEX('Challan Master'!$D$4:$D$207,MATCH($B188,'Challan Master'!$S$4:$S$207,0)),""))-YEAR(I188))*12+(MONTH(IFERROR(INDEX('Challan Master'!$D$4:$D$207,MATCH($B188,'Challan Master'!$S$4:$S$207,0)),""))-MONTH(I188))+1),0))))</f>
      </c>
      <c r="O188" s="7">
        <f>IF($C188="","",0)</f>
      </c>
      <c r="P188" s="8"/>
      <c r="Q188" s="8"/>
      <c r="R188" s="8"/>
      <c r="S188" s="8"/>
      <c r="T188" s="8"/>
      <c r="U188" s="7">
        <f>IF($B188="","",IFERROR(INDEX('Challan Master'!$AA$4:$AA$207,MATCH($B188,'Challan Master'!$S$4:$S$207,0)),""))</f>
      </c>
    </row>
    <row r="189" spans="1:22" x14ac:dyDescent="0.25">
      <c r="A189" s="7">
        <f>IF($C189="","",COUNTIF($C$4:$C189,"&lt;&gt;"))</f>
      </c>
      <c r="B189" s="8"/>
      <c r="C189" s="8"/>
      <c r="D189" s="8"/>
      <c r="E189" s="7">
        <f>IF($C189="","",IF(AND(LEN(TRIM(UPPER(D189)))=10,CODE(MID(TRIM(UPPER(D189)),1,1))&gt;=65,CODE(MID(TRIM(UPPER(D189)),1,1))&lt;=90,CODE(MID(TRIM(UPPER(D189)),2,1))&gt;=65,CODE(MID(TRIM(UPPER(D189)),2,1))&lt;=90,CODE(MID(TRIM(UPPER(D189)),3,1))&gt;=65,CODE(MID(TRIM(UPPER(D189)),3,1))&lt;=90,CODE(MID(TRIM(UPPER(D189)),4,1))&gt;=65,CODE(MID(TRIM(UPPER(D189)),4,1))&lt;=90,CODE(MID(TRIM(UPPER(D189)),5,1))&gt;=65,CODE(MID(TRIM(UPPER(D189)),5,1))&lt;=90,CODE(MID(TRIM(UPPER(D189)),10,1))&gt;=65,CODE(MID(TRIM(UPPER(D189)),10,1))&lt;=90,CODE(MID(TRIM(UPPER(D189)),6,1))&gt;=48,CODE(MID(TRIM(UPPER(D189)),6,1))&lt;=57,CODE(MID(TRIM(UPPER(D189)),7,1))&gt;=48,CODE(MID(TRIM(UPPER(D189)),7,1))&lt;=57,CODE(MID(TRIM(UPPER(D189)),8,1))&gt;=48,CODE(MID(TRIM(UPPER(D189)),8,1))&lt;=57,CODE(MID(TRIM(UPPER(D189)),9,1))&gt;=48,CODE(MID(TRIM(UPPER(D189)),9,1))&lt;=57),"N","Y"))</f>
      </c>
      <c r="F189" s="7">
        <f>IF($C189="","",IF(LEN(D189)&lt;4,"",IF(UPPER(MID(D189,4,1))="P","Individual",IF(UPPER(MID(D189,4,1))="H","HUF",IF(UPPER(MID(D189,4,1))="C","Company",IF(UPPER(MID(D189,4,1))="F","Firm",IF(UPPER(MID(D189,4,1))="L","LLP",IF(UPPER(MID(D189,4,1))="T","Trust",IF(UPPER(MID(D189,4,1))="A","AOP","")))))))))</f>
      </c>
      <c r="G189" s="8"/>
      <c r="H189" s="7">
        <f>IF($C189="","",IF(R189&lt;&gt;"",R189,IF(G189="","",IF(E189="Y",SUMPRODUCT(('Rate Lookup'!$A$1:$A$37=G189)*'Rate Lookup'!$D$1:$D$37),IF(OR(F189="Individual",F189="HUF"),SUMPRODUCT(('Rate Lookup'!$A$1:$A$37=G189)*'Rate Lookup'!$B$1:$B$37),SUMPRODUCT(('Rate Lookup'!$A$1:$A$37=G189)*'Rate Lookup'!$C$1:$C$37)))))))</f>
      </c>
      <c r="I189" s="8"/>
      <c r="J189" s="8"/>
      <c r="K189" s="7">
        <f>IF($C189="","",IF(OR(P189="B",P189="D",P189="E",P189="N",P189="O",P189="P",P189="Q",P189="S",P189="Y",P189="Z"),0,ROUND(J189*H189/100,0)))</f>
      </c>
      <c r="L189" s="7">
        <f>IF($C189="","",0)</f>
      </c>
      <c r="M189" s="7">
        <f>IF($C189="","",0)</f>
      </c>
      <c r="N189" s="7">
        <f>IF($C189="","",IF(OR(K189=0,I189="",IFERROR(INDEX('Challan Master'!$D$4:$D$207,MATCH($B189,'Challan Master'!$S$4:$S$207,0)),"")="",IFERROR(INDEX('Challan Master'!$D$4:$D$207,MATCH($B189,'Challan Master'!$S$4:$S$207,0)),"")&lt;=0),0,IF(IFERROR(INDEX('Challan Master'!$D$4:$D$207,MATCH($B189,'Challan Master'!$S$4:$S$207,0)),"")&lt;=DATE(YEAR(I189),MONTH(I189)+1,7),0,ROUND(K189*0.015*((YEAR(IFERROR(INDEX('Challan Master'!$D$4:$D$207,MATCH($B189,'Challan Master'!$S$4:$S$207,0)),""))-YEAR(I189))*12+(MONTH(IFERROR(INDEX('Challan Master'!$D$4:$D$207,MATCH($B189,'Challan Master'!$S$4:$S$207,0)),""))-MONTH(I189))+1),0))))</f>
      </c>
      <c r="O189" s="7">
        <f>IF($C189="","",0)</f>
      </c>
      <c r="P189" s="8"/>
      <c r="Q189" s="8"/>
      <c r="R189" s="8"/>
      <c r="S189" s="8"/>
      <c r="T189" s="8"/>
      <c r="U189" s="7">
        <f>IF($B189="","",IFERROR(INDEX('Challan Master'!$AA$4:$AA$207,MATCH($B189,'Challan Master'!$S$4:$S$207,0)),""))</f>
      </c>
    </row>
    <row r="190" spans="1:22" x14ac:dyDescent="0.25">
      <c r="A190" s="7">
        <f>IF($C190="","",COUNTIF($C$4:$C190,"&lt;&gt;"))</f>
      </c>
      <c r="B190" s="8"/>
      <c r="C190" s="8"/>
      <c r="D190" s="8"/>
      <c r="E190" s="7">
        <f>IF($C190="","",IF(AND(LEN(TRIM(UPPER(D190)))=10,CODE(MID(TRIM(UPPER(D190)),1,1))&gt;=65,CODE(MID(TRIM(UPPER(D190)),1,1))&lt;=90,CODE(MID(TRIM(UPPER(D190)),2,1))&gt;=65,CODE(MID(TRIM(UPPER(D190)),2,1))&lt;=90,CODE(MID(TRIM(UPPER(D190)),3,1))&gt;=65,CODE(MID(TRIM(UPPER(D190)),3,1))&lt;=90,CODE(MID(TRIM(UPPER(D190)),4,1))&gt;=65,CODE(MID(TRIM(UPPER(D190)),4,1))&lt;=90,CODE(MID(TRIM(UPPER(D190)),5,1))&gt;=65,CODE(MID(TRIM(UPPER(D190)),5,1))&lt;=90,CODE(MID(TRIM(UPPER(D190)),10,1))&gt;=65,CODE(MID(TRIM(UPPER(D190)),10,1))&lt;=90,CODE(MID(TRIM(UPPER(D190)),6,1))&gt;=48,CODE(MID(TRIM(UPPER(D190)),6,1))&lt;=57,CODE(MID(TRIM(UPPER(D190)),7,1))&gt;=48,CODE(MID(TRIM(UPPER(D190)),7,1))&lt;=57,CODE(MID(TRIM(UPPER(D190)),8,1))&gt;=48,CODE(MID(TRIM(UPPER(D190)),8,1))&lt;=57,CODE(MID(TRIM(UPPER(D190)),9,1))&gt;=48,CODE(MID(TRIM(UPPER(D190)),9,1))&lt;=57),"N","Y"))</f>
      </c>
      <c r="F190" s="7">
        <f>IF($C190="","",IF(LEN(D190)&lt;4,"",IF(UPPER(MID(D190,4,1))="P","Individual",IF(UPPER(MID(D190,4,1))="H","HUF",IF(UPPER(MID(D190,4,1))="C","Company",IF(UPPER(MID(D190,4,1))="F","Firm",IF(UPPER(MID(D190,4,1))="L","LLP",IF(UPPER(MID(D190,4,1))="T","Trust",IF(UPPER(MID(D190,4,1))="A","AOP","")))))))))</f>
      </c>
      <c r="G190" s="8"/>
      <c r="H190" s="7">
        <f>IF($C190="","",IF(R190&lt;&gt;"",R190,IF(G190="","",IF(E190="Y",SUMPRODUCT(('Rate Lookup'!$A$1:$A$37=G190)*'Rate Lookup'!$D$1:$D$37),IF(OR(F190="Individual",F190="HUF"),SUMPRODUCT(('Rate Lookup'!$A$1:$A$37=G190)*'Rate Lookup'!$B$1:$B$37),SUMPRODUCT(('Rate Lookup'!$A$1:$A$37=G190)*'Rate Lookup'!$C$1:$C$37)))))))</f>
      </c>
      <c r="I190" s="8"/>
      <c r="J190" s="8"/>
      <c r="K190" s="7">
        <f>IF($C190="","",IF(OR(P190="B",P190="D",P190="E",P190="N",P190="O",P190="P",P190="Q",P190="S",P190="Y",P190="Z"),0,ROUND(J190*H190/100,0)))</f>
      </c>
      <c r="L190" s="7">
        <f>IF($C190="","",0)</f>
      </c>
      <c r="M190" s="7">
        <f>IF($C190="","",0)</f>
      </c>
      <c r="N190" s="7">
        <f>IF($C190="","",IF(OR(K190=0,I190="",IFERROR(INDEX('Challan Master'!$D$4:$D$207,MATCH($B190,'Challan Master'!$S$4:$S$207,0)),"")="",IFERROR(INDEX('Challan Master'!$D$4:$D$207,MATCH($B190,'Challan Master'!$S$4:$S$207,0)),"")&lt;=0),0,IF(IFERROR(INDEX('Challan Master'!$D$4:$D$207,MATCH($B190,'Challan Master'!$S$4:$S$207,0)),"")&lt;=DATE(YEAR(I190),MONTH(I190)+1,7),0,ROUND(K190*0.015*((YEAR(IFERROR(INDEX('Challan Master'!$D$4:$D$207,MATCH($B190,'Challan Master'!$S$4:$S$207,0)),""))-YEAR(I190))*12+(MONTH(IFERROR(INDEX('Challan Master'!$D$4:$D$207,MATCH($B190,'Challan Master'!$S$4:$S$207,0)),""))-MONTH(I190))+1),0))))</f>
      </c>
      <c r="O190" s="7">
        <f>IF($C190="","",0)</f>
      </c>
      <c r="P190" s="8"/>
      <c r="Q190" s="8"/>
      <c r="R190" s="8"/>
      <c r="S190" s="8"/>
      <c r="T190" s="8"/>
      <c r="U190" s="7">
        <f>IF($B190="","",IFERROR(INDEX('Challan Master'!$AA$4:$AA$207,MATCH($B190,'Challan Master'!$S$4:$S$207,0)),""))</f>
      </c>
    </row>
    <row r="191" spans="1:22" x14ac:dyDescent="0.25">
      <c r="A191" s="7">
        <f>IF($C191="","",COUNTIF($C$4:$C191,"&lt;&gt;"))</f>
      </c>
      <c r="B191" s="8"/>
      <c r="C191" s="8"/>
      <c r="D191" s="8"/>
      <c r="E191" s="7">
        <f>IF($C191="","",IF(AND(LEN(TRIM(UPPER(D191)))=10,CODE(MID(TRIM(UPPER(D191)),1,1))&gt;=65,CODE(MID(TRIM(UPPER(D191)),1,1))&lt;=90,CODE(MID(TRIM(UPPER(D191)),2,1))&gt;=65,CODE(MID(TRIM(UPPER(D191)),2,1))&lt;=90,CODE(MID(TRIM(UPPER(D191)),3,1))&gt;=65,CODE(MID(TRIM(UPPER(D191)),3,1))&lt;=90,CODE(MID(TRIM(UPPER(D191)),4,1))&gt;=65,CODE(MID(TRIM(UPPER(D191)),4,1))&lt;=90,CODE(MID(TRIM(UPPER(D191)),5,1))&gt;=65,CODE(MID(TRIM(UPPER(D191)),5,1))&lt;=90,CODE(MID(TRIM(UPPER(D191)),10,1))&gt;=65,CODE(MID(TRIM(UPPER(D191)),10,1))&lt;=90,CODE(MID(TRIM(UPPER(D191)),6,1))&gt;=48,CODE(MID(TRIM(UPPER(D191)),6,1))&lt;=57,CODE(MID(TRIM(UPPER(D191)),7,1))&gt;=48,CODE(MID(TRIM(UPPER(D191)),7,1))&lt;=57,CODE(MID(TRIM(UPPER(D191)),8,1))&gt;=48,CODE(MID(TRIM(UPPER(D191)),8,1))&lt;=57,CODE(MID(TRIM(UPPER(D191)),9,1))&gt;=48,CODE(MID(TRIM(UPPER(D191)),9,1))&lt;=57),"N","Y"))</f>
      </c>
      <c r="F191" s="7">
        <f>IF($C191="","",IF(LEN(D191)&lt;4,"",IF(UPPER(MID(D191,4,1))="P","Individual",IF(UPPER(MID(D191,4,1))="H","HUF",IF(UPPER(MID(D191,4,1))="C","Company",IF(UPPER(MID(D191,4,1))="F","Firm",IF(UPPER(MID(D191,4,1))="L","LLP",IF(UPPER(MID(D191,4,1))="T","Trust",IF(UPPER(MID(D191,4,1))="A","AOP","")))))))))</f>
      </c>
      <c r="G191" s="8"/>
      <c r="H191" s="7">
        <f>IF($C191="","",IF(R191&lt;&gt;"",R191,IF(G191="","",IF(E191="Y",SUMPRODUCT(('Rate Lookup'!$A$1:$A$37=G191)*'Rate Lookup'!$D$1:$D$37),IF(OR(F191="Individual",F191="HUF"),SUMPRODUCT(('Rate Lookup'!$A$1:$A$37=G191)*'Rate Lookup'!$B$1:$B$37),SUMPRODUCT(('Rate Lookup'!$A$1:$A$37=G191)*'Rate Lookup'!$C$1:$C$37)))))))</f>
      </c>
      <c r="I191" s="8"/>
      <c r="J191" s="8"/>
      <c r="K191" s="7">
        <f>IF($C191="","",IF(OR(P191="B",P191="D",P191="E",P191="N",P191="O",P191="P",P191="Q",P191="S",P191="Y",P191="Z"),0,ROUND(J191*H191/100,0)))</f>
      </c>
      <c r="L191" s="7">
        <f>IF($C191="","",0)</f>
      </c>
      <c r="M191" s="7">
        <f>IF($C191="","",0)</f>
      </c>
      <c r="N191" s="7">
        <f>IF($C191="","",IF(OR(K191=0,I191="",IFERROR(INDEX('Challan Master'!$D$4:$D$207,MATCH($B191,'Challan Master'!$S$4:$S$207,0)),"")="",IFERROR(INDEX('Challan Master'!$D$4:$D$207,MATCH($B191,'Challan Master'!$S$4:$S$207,0)),"")&lt;=0),0,IF(IFERROR(INDEX('Challan Master'!$D$4:$D$207,MATCH($B191,'Challan Master'!$S$4:$S$207,0)),"")&lt;=DATE(YEAR(I191),MONTH(I191)+1,7),0,ROUND(K191*0.015*((YEAR(IFERROR(INDEX('Challan Master'!$D$4:$D$207,MATCH($B191,'Challan Master'!$S$4:$S$207,0)),""))-YEAR(I191))*12+(MONTH(IFERROR(INDEX('Challan Master'!$D$4:$D$207,MATCH($B191,'Challan Master'!$S$4:$S$207,0)),""))-MONTH(I191))+1),0))))</f>
      </c>
      <c r="O191" s="7">
        <f>IF($C191="","",0)</f>
      </c>
      <c r="P191" s="8"/>
      <c r="Q191" s="8"/>
      <c r="R191" s="8"/>
      <c r="S191" s="8"/>
      <c r="T191" s="8"/>
      <c r="U191" s="7">
        <f>IF($B191="","",IFERROR(INDEX('Challan Master'!$AA$4:$AA$207,MATCH($B191,'Challan Master'!$S$4:$S$207,0)),""))</f>
      </c>
    </row>
    <row r="192" spans="1:22" x14ac:dyDescent="0.25">
      <c r="A192" s="7">
        <f>IF($C192="","",COUNTIF($C$4:$C192,"&lt;&gt;"))</f>
      </c>
      <c r="B192" s="8"/>
      <c r="C192" s="8"/>
      <c r="D192" s="8"/>
      <c r="E192" s="7">
        <f>IF($C192="","",IF(AND(LEN(TRIM(UPPER(D192)))=10,CODE(MID(TRIM(UPPER(D192)),1,1))&gt;=65,CODE(MID(TRIM(UPPER(D192)),1,1))&lt;=90,CODE(MID(TRIM(UPPER(D192)),2,1))&gt;=65,CODE(MID(TRIM(UPPER(D192)),2,1))&lt;=90,CODE(MID(TRIM(UPPER(D192)),3,1))&gt;=65,CODE(MID(TRIM(UPPER(D192)),3,1))&lt;=90,CODE(MID(TRIM(UPPER(D192)),4,1))&gt;=65,CODE(MID(TRIM(UPPER(D192)),4,1))&lt;=90,CODE(MID(TRIM(UPPER(D192)),5,1))&gt;=65,CODE(MID(TRIM(UPPER(D192)),5,1))&lt;=90,CODE(MID(TRIM(UPPER(D192)),10,1))&gt;=65,CODE(MID(TRIM(UPPER(D192)),10,1))&lt;=90,CODE(MID(TRIM(UPPER(D192)),6,1))&gt;=48,CODE(MID(TRIM(UPPER(D192)),6,1))&lt;=57,CODE(MID(TRIM(UPPER(D192)),7,1))&gt;=48,CODE(MID(TRIM(UPPER(D192)),7,1))&lt;=57,CODE(MID(TRIM(UPPER(D192)),8,1))&gt;=48,CODE(MID(TRIM(UPPER(D192)),8,1))&lt;=57,CODE(MID(TRIM(UPPER(D192)),9,1))&gt;=48,CODE(MID(TRIM(UPPER(D192)),9,1))&lt;=57),"N","Y"))</f>
      </c>
      <c r="F192" s="7">
        <f>IF($C192="","",IF(LEN(D192)&lt;4,"",IF(UPPER(MID(D192,4,1))="P","Individual",IF(UPPER(MID(D192,4,1))="H","HUF",IF(UPPER(MID(D192,4,1))="C","Company",IF(UPPER(MID(D192,4,1))="F","Firm",IF(UPPER(MID(D192,4,1))="L","LLP",IF(UPPER(MID(D192,4,1))="T","Trust",IF(UPPER(MID(D192,4,1))="A","AOP","")))))))))</f>
      </c>
      <c r="G192" s="8"/>
      <c r="H192" s="7">
        <f>IF($C192="","",IF(R192&lt;&gt;"",R192,IF(G192="","",IF(E192="Y",SUMPRODUCT(('Rate Lookup'!$A$1:$A$37=G192)*'Rate Lookup'!$D$1:$D$37),IF(OR(F192="Individual",F192="HUF"),SUMPRODUCT(('Rate Lookup'!$A$1:$A$37=G192)*'Rate Lookup'!$B$1:$B$37),SUMPRODUCT(('Rate Lookup'!$A$1:$A$37=G192)*'Rate Lookup'!$C$1:$C$37)))))))</f>
      </c>
      <c r="I192" s="8"/>
      <c r="J192" s="8"/>
      <c r="K192" s="7">
        <f>IF($C192="","",IF(OR(P192="B",P192="D",P192="E",P192="N",P192="O",P192="P",P192="Q",P192="S",P192="Y",P192="Z"),0,ROUND(J192*H192/100,0)))</f>
      </c>
      <c r="L192" s="7">
        <f>IF($C192="","",0)</f>
      </c>
      <c r="M192" s="7">
        <f>IF($C192="","",0)</f>
      </c>
      <c r="N192" s="7">
        <f>IF($C192="","",IF(OR(K192=0,I192="",IFERROR(INDEX('Challan Master'!$D$4:$D$207,MATCH($B192,'Challan Master'!$S$4:$S$207,0)),"")="",IFERROR(INDEX('Challan Master'!$D$4:$D$207,MATCH($B192,'Challan Master'!$S$4:$S$207,0)),"")&lt;=0),0,IF(IFERROR(INDEX('Challan Master'!$D$4:$D$207,MATCH($B192,'Challan Master'!$S$4:$S$207,0)),"")&lt;=DATE(YEAR(I192),MONTH(I192)+1,7),0,ROUND(K192*0.015*((YEAR(IFERROR(INDEX('Challan Master'!$D$4:$D$207,MATCH($B192,'Challan Master'!$S$4:$S$207,0)),""))-YEAR(I192))*12+(MONTH(IFERROR(INDEX('Challan Master'!$D$4:$D$207,MATCH($B192,'Challan Master'!$S$4:$S$207,0)),""))-MONTH(I192))+1),0))))</f>
      </c>
      <c r="O192" s="7">
        <f>IF($C192="","",0)</f>
      </c>
      <c r="P192" s="8"/>
      <c r="Q192" s="8"/>
      <c r="R192" s="8"/>
      <c r="S192" s="8"/>
      <c r="T192" s="8"/>
      <c r="U192" s="7">
        <f>IF($B192="","",IFERROR(INDEX('Challan Master'!$AA$4:$AA$207,MATCH($B192,'Challan Master'!$S$4:$S$207,0)),""))</f>
      </c>
    </row>
    <row r="193" spans="1:22" x14ac:dyDescent="0.25">
      <c r="A193" s="7">
        <f>IF($C193="","",COUNTIF($C$4:$C193,"&lt;&gt;"))</f>
      </c>
      <c r="B193" s="8"/>
      <c r="C193" s="8"/>
      <c r="D193" s="8"/>
      <c r="E193" s="7">
        <f>IF($C193="","",IF(AND(LEN(TRIM(UPPER(D193)))=10,CODE(MID(TRIM(UPPER(D193)),1,1))&gt;=65,CODE(MID(TRIM(UPPER(D193)),1,1))&lt;=90,CODE(MID(TRIM(UPPER(D193)),2,1))&gt;=65,CODE(MID(TRIM(UPPER(D193)),2,1))&lt;=90,CODE(MID(TRIM(UPPER(D193)),3,1))&gt;=65,CODE(MID(TRIM(UPPER(D193)),3,1))&lt;=90,CODE(MID(TRIM(UPPER(D193)),4,1))&gt;=65,CODE(MID(TRIM(UPPER(D193)),4,1))&lt;=90,CODE(MID(TRIM(UPPER(D193)),5,1))&gt;=65,CODE(MID(TRIM(UPPER(D193)),5,1))&lt;=90,CODE(MID(TRIM(UPPER(D193)),10,1))&gt;=65,CODE(MID(TRIM(UPPER(D193)),10,1))&lt;=90,CODE(MID(TRIM(UPPER(D193)),6,1))&gt;=48,CODE(MID(TRIM(UPPER(D193)),6,1))&lt;=57,CODE(MID(TRIM(UPPER(D193)),7,1))&gt;=48,CODE(MID(TRIM(UPPER(D193)),7,1))&lt;=57,CODE(MID(TRIM(UPPER(D193)),8,1))&gt;=48,CODE(MID(TRIM(UPPER(D193)),8,1))&lt;=57,CODE(MID(TRIM(UPPER(D193)),9,1))&gt;=48,CODE(MID(TRIM(UPPER(D193)),9,1))&lt;=57),"N","Y"))</f>
      </c>
      <c r="F193" s="7">
        <f>IF($C193="","",IF(LEN(D193)&lt;4,"",IF(UPPER(MID(D193,4,1))="P","Individual",IF(UPPER(MID(D193,4,1))="H","HUF",IF(UPPER(MID(D193,4,1))="C","Company",IF(UPPER(MID(D193,4,1))="F","Firm",IF(UPPER(MID(D193,4,1))="L","LLP",IF(UPPER(MID(D193,4,1))="T","Trust",IF(UPPER(MID(D193,4,1))="A","AOP","")))))))))</f>
      </c>
      <c r="G193" s="8"/>
      <c r="H193" s="7">
        <f>IF($C193="","",IF(R193&lt;&gt;"",R193,IF(G193="","",IF(E193="Y",SUMPRODUCT(('Rate Lookup'!$A$1:$A$37=G193)*'Rate Lookup'!$D$1:$D$37),IF(OR(F193="Individual",F193="HUF"),SUMPRODUCT(('Rate Lookup'!$A$1:$A$37=G193)*'Rate Lookup'!$B$1:$B$37),SUMPRODUCT(('Rate Lookup'!$A$1:$A$37=G193)*'Rate Lookup'!$C$1:$C$37)))))))</f>
      </c>
      <c r="I193" s="8"/>
      <c r="J193" s="8"/>
      <c r="K193" s="7">
        <f>IF($C193="","",IF(OR(P193="B",P193="D",P193="E",P193="N",P193="O",P193="P",P193="Q",P193="S",P193="Y",P193="Z"),0,ROUND(J193*H193/100,0)))</f>
      </c>
      <c r="L193" s="7">
        <f>IF($C193="","",0)</f>
      </c>
      <c r="M193" s="7">
        <f>IF($C193="","",0)</f>
      </c>
      <c r="N193" s="7">
        <f>IF($C193="","",IF(OR(K193=0,I193="",IFERROR(INDEX('Challan Master'!$D$4:$D$207,MATCH($B193,'Challan Master'!$S$4:$S$207,0)),"")="",IFERROR(INDEX('Challan Master'!$D$4:$D$207,MATCH($B193,'Challan Master'!$S$4:$S$207,0)),"")&lt;=0),0,IF(IFERROR(INDEX('Challan Master'!$D$4:$D$207,MATCH($B193,'Challan Master'!$S$4:$S$207,0)),"")&lt;=DATE(YEAR(I193),MONTH(I193)+1,7),0,ROUND(K193*0.015*((YEAR(IFERROR(INDEX('Challan Master'!$D$4:$D$207,MATCH($B193,'Challan Master'!$S$4:$S$207,0)),""))-YEAR(I193))*12+(MONTH(IFERROR(INDEX('Challan Master'!$D$4:$D$207,MATCH($B193,'Challan Master'!$S$4:$S$207,0)),""))-MONTH(I193))+1),0))))</f>
      </c>
      <c r="O193" s="7">
        <f>IF($C193="","",0)</f>
      </c>
      <c r="P193" s="8"/>
      <c r="Q193" s="8"/>
      <c r="R193" s="8"/>
      <c r="S193" s="8"/>
      <c r="T193" s="8"/>
      <c r="U193" s="7">
        <f>IF($B193="","",IFERROR(INDEX('Challan Master'!$AA$4:$AA$207,MATCH($B193,'Challan Master'!$S$4:$S$207,0)),""))</f>
      </c>
    </row>
    <row r="194" spans="1:22" x14ac:dyDescent="0.25">
      <c r="A194" s="7">
        <f>IF($C194="","",COUNTIF($C$4:$C194,"&lt;&gt;"))</f>
      </c>
      <c r="B194" s="8"/>
      <c r="C194" s="8"/>
      <c r="D194" s="8"/>
      <c r="E194" s="7">
        <f>IF($C194="","",IF(AND(LEN(TRIM(UPPER(D194)))=10,CODE(MID(TRIM(UPPER(D194)),1,1))&gt;=65,CODE(MID(TRIM(UPPER(D194)),1,1))&lt;=90,CODE(MID(TRIM(UPPER(D194)),2,1))&gt;=65,CODE(MID(TRIM(UPPER(D194)),2,1))&lt;=90,CODE(MID(TRIM(UPPER(D194)),3,1))&gt;=65,CODE(MID(TRIM(UPPER(D194)),3,1))&lt;=90,CODE(MID(TRIM(UPPER(D194)),4,1))&gt;=65,CODE(MID(TRIM(UPPER(D194)),4,1))&lt;=90,CODE(MID(TRIM(UPPER(D194)),5,1))&gt;=65,CODE(MID(TRIM(UPPER(D194)),5,1))&lt;=90,CODE(MID(TRIM(UPPER(D194)),10,1))&gt;=65,CODE(MID(TRIM(UPPER(D194)),10,1))&lt;=90,CODE(MID(TRIM(UPPER(D194)),6,1))&gt;=48,CODE(MID(TRIM(UPPER(D194)),6,1))&lt;=57,CODE(MID(TRIM(UPPER(D194)),7,1))&gt;=48,CODE(MID(TRIM(UPPER(D194)),7,1))&lt;=57,CODE(MID(TRIM(UPPER(D194)),8,1))&gt;=48,CODE(MID(TRIM(UPPER(D194)),8,1))&lt;=57,CODE(MID(TRIM(UPPER(D194)),9,1))&gt;=48,CODE(MID(TRIM(UPPER(D194)),9,1))&lt;=57),"N","Y"))</f>
      </c>
      <c r="F194" s="7">
        <f>IF($C194="","",IF(LEN(D194)&lt;4,"",IF(UPPER(MID(D194,4,1))="P","Individual",IF(UPPER(MID(D194,4,1))="H","HUF",IF(UPPER(MID(D194,4,1))="C","Company",IF(UPPER(MID(D194,4,1))="F","Firm",IF(UPPER(MID(D194,4,1))="L","LLP",IF(UPPER(MID(D194,4,1))="T","Trust",IF(UPPER(MID(D194,4,1))="A","AOP","")))))))))</f>
      </c>
      <c r="G194" s="8"/>
      <c r="H194" s="7">
        <f>IF($C194="","",IF(R194&lt;&gt;"",R194,IF(G194="","",IF(E194="Y",SUMPRODUCT(('Rate Lookup'!$A$1:$A$37=G194)*'Rate Lookup'!$D$1:$D$37),IF(OR(F194="Individual",F194="HUF"),SUMPRODUCT(('Rate Lookup'!$A$1:$A$37=G194)*'Rate Lookup'!$B$1:$B$37),SUMPRODUCT(('Rate Lookup'!$A$1:$A$37=G194)*'Rate Lookup'!$C$1:$C$37)))))))</f>
      </c>
      <c r="I194" s="8"/>
      <c r="J194" s="8"/>
      <c r="K194" s="7">
        <f>IF($C194="","",IF(OR(P194="B",P194="D",P194="E",P194="N",P194="O",P194="P",P194="Q",P194="S",P194="Y",P194="Z"),0,ROUND(J194*H194/100,0)))</f>
      </c>
      <c r="L194" s="7">
        <f>IF($C194="","",0)</f>
      </c>
      <c r="M194" s="7">
        <f>IF($C194="","",0)</f>
      </c>
      <c r="N194" s="7">
        <f>IF($C194="","",IF(OR(K194=0,I194="",IFERROR(INDEX('Challan Master'!$D$4:$D$207,MATCH($B194,'Challan Master'!$S$4:$S$207,0)),"")="",IFERROR(INDEX('Challan Master'!$D$4:$D$207,MATCH($B194,'Challan Master'!$S$4:$S$207,0)),"")&lt;=0),0,IF(IFERROR(INDEX('Challan Master'!$D$4:$D$207,MATCH($B194,'Challan Master'!$S$4:$S$207,0)),"")&lt;=DATE(YEAR(I194),MONTH(I194)+1,7),0,ROUND(K194*0.015*((YEAR(IFERROR(INDEX('Challan Master'!$D$4:$D$207,MATCH($B194,'Challan Master'!$S$4:$S$207,0)),""))-YEAR(I194))*12+(MONTH(IFERROR(INDEX('Challan Master'!$D$4:$D$207,MATCH($B194,'Challan Master'!$S$4:$S$207,0)),""))-MONTH(I194))+1),0))))</f>
      </c>
      <c r="O194" s="7">
        <f>IF($C194="","",0)</f>
      </c>
      <c r="P194" s="8"/>
      <c r="Q194" s="8"/>
      <c r="R194" s="8"/>
      <c r="S194" s="8"/>
      <c r="T194" s="8"/>
      <c r="U194" s="7">
        <f>IF($B194="","",IFERROR(INDEX('Challan Master'!$AA$4:$AA$207,MATCH($B194,'Challan Master'!$S$4:$S$207,0)),""))</f>
      </c>
    </row>
    <row r="195" spans="1:22" x14ac:dyDescent="0.25">
      <c r="A195" s="7">
        <f>IF($C195="","",COUNTIF($C$4:$C195,"&lt;&gt;"))</f>
      </c>
      <c r="B195" s="8"/>
      <c r="C195" s="8"/>
      <c r="D195" s="8"/>
      <c r="E195" s="7">
        <f>IF($C195="","",IF(AND(LEN(TRIM(UPPER(D195)))=10,CODE(MID(TRIM(UPPER(D195)),1,1))&gt;=65,CODE(MID(TRIM(UPPER(D195)),1,1))&lt;=90,CODE(MID(TRIM(UPPER(D195)),2,1))&gt;=65,CODE(MID(TRIM(UPPER(D195)),2,1))&lt;=90,CODE(MID(TRIM(UPPER(D195)),3,1))&gt;=65,CODE(MID(TRIM(UPPER(D195)),3,1))&lt;=90,CODE(MID(TRIM(UPPER(D195)),4,1))&gt;=65,CODE(MID(TRIM(UPPER(D195)),4,1))&lt;=90,CODE(MID(TRIM(UPPER(D195)),5,1))&gt;=65,CODE(MID(TRIM(UPPER(D195)),5,1))&lt;=90,CODE(MID(TRIM(UPPER(D195)),10,1))&gt;=65,CODE(MID(TRIM(UPPER(D195)),10,1))&lt;=90,CODE(MID(TRIM(UPPER(D195)),6,1))&gt;=48,CODE(MID(TRIM(UPPER(D195)),6,1))&lt;=57,CODE(MID(TRIM(UPPER(D195)),7,1))&gt;=48,CODE(MID(TRIM(UPPER(D195)),7,1))&lt;=57,CODE(MID(TRIM(UPPER(D195)),8,1))&gt;=48,CODE(MID(TRIM(UPPER(D195)),8,1))&lt;=57,CODE(MID(TRIM(UPPER(D195)),9,1))&gt;=48,CODE(MID(TRIM(UPPER(D195)),9,1))&lt;=57),"N","Y"))</f>
      </c>
      <c r="F195" s="7">
        <f>IF($C195="","",IF(LEN(D195)&lt;4,"",IF(UPPER(MID(D195,4,1))="P","Individual",IF(UPPER(MID(D195,4,1))="H","HUF",IF(UPPER(MID(D195,4,1))="C","Company",IF(UPPER(MID(D195,4,1))="F","Firm",IF(UPPER(MID(D195,4,1))="L","LLP",IF(UPPER(MID(D195,4,1))="T","Trust",IF(UPPER(MID(D195,4,1))="A","AOP","")))))))))</f>
      </c>
      <c r="G195" s="8"/>
      <c r="H195" s="7">
        <f>IF($C195="","",IF(R195&lt;&gt;"",R195,IF(G195="","",IF(E195="Y",SUMPRODUCT(('Rate Lookup'!$A$1:$A$37=G195)*'Rate Lookup'!$D$1:$D$37),IF(OR(F195="Individual",F195="HUF"),SUMPRODUCT(('Rate Lookup'!$A$1:$A$37=G195)*'Rate Lookup'!$B$1:$B$37),SUMPRODUCT(('Rate Lookup'!$A$1:$A$37=G195)*'Rate Lookup'!$C$1:$C$37)))))))</f>
      </c>
      <c r="I195" s="8"/>
      <c r="J195" s="8"/>
      <c r="K195" s="7">
        <f>IF($C195="","",IF(OR(P195="B",P195="D",P195="E",P195="N",P195="O",P195="P",P195="Q",P195="S",P195="Y",P195="Z"),0,ROUND(J195*H195/100,0)))</f>
      </c>
      <c r="L195" s="7">
        <f>IF($C195="","",0)</f>
      </c>
      <c r="M195" s="7">
        <f>IF($C195="","",0)</f>
      </c>
      <c r="N195" s="7">
        <f>IF($C195="","",IF(OR(K195=0,I195="",IFERROR(INDEX('Challan Master'!$D$4:$D$207,MATCH($B195,'Challan Master'!$S$4:$S$207,0)),"")="",IFERROR(INDEX('Challan Master'!$D$4:$D$207,MATCH($B195,'Challan Master'!$S$4:$S$207,0)),"")&lt;=0),0,IF(IFERROR(INDEX('Challan Master'!$D$4:$D$207,MATCH($B195,'Challan Master'!$S$4:$S$207,0)),"")&lt;=DATE(YEAR(I195),MONTH(I195)+1,7),0,ROUND(K195*0.015*((YEAR(IFERROR(INDEX('Challan Master'!$D$4:$D$207,MATCH($B195,'Challan Master'!$S$4:$S$207,0)),""))-YEAR(I195))*12+(MONTH(IFERROR(INDEX('Challan Master'!$D$4:$D$207,MATCH($B195,'Challan Master'!$S$4:$S$207,0)),""))-MONTH(I195))+1),0))))</f>
      </c>
      <c r="O195" s="7">
        <f>IF($C195="","",0)</f>
      </c>
      <c r="P195" s="8"/>
      <c r="Q195" s="8"/>
      <c r="R195" s="8"/>
      <c r="S195" s="8"/>
      <c r="T195" s="8"/>
      <c r="U195" s="7">
        <f>IF($B195="","",IFERROR(INDEX('Challan Master'!$AA$4:$AA$207,MATCH($B195,'Challan Master'!$S$4:$S$207,0)),""))</f>
      </c>
    </row>
    <row r="196" spans="1:22" x14ac:dyDescent="0.25">
      <c r="A196" s="7">
        <f>IF($C196="","",COUNTIF($C$4:$C196,"&lt;&gt;"))</f>
      </c>
      <c r="B196" s="8"/>
      <c r="C196" s="8"/>
      <c r="D196" s="8"/>
      <c r="E196" s="7">
        <f>IF($C196="","",IF(AND(LEN(TRIM(UPPER(D196)))=10,CODE(MID(TRIM(UPPER(D196)),1,1))&gt;=65,CODE(MID(TRIM(UPPER(D196)),1,1))&lt;=90,CODE(MID(TRIM(UPPER(D196)),2,1))&gt;=65,CODE(MID(TRIM(UPPER(D196)),2,1))&lt;=90,CODE(MID(TRIM(UPPER(D196)),3,1))&gt;=65,CODE(MID(TRIM(UPPER(D196)),3,1))&lt;=90,CODE(MID(TRIM(UPPER(D196)),4,1))&gt;=65,CODE(MID(TRIM(UPPER(D196)),4,1))&lt;=90,CODE(MID(TRIM(UPPER(D196)),5,1))&gt;=65,CODE(MID(TRIM(UPPER(D196)),5,1))&lt;=90,CODE(MID(TRIM(UPPER(D196)),10,1))&gt;=65,CODE(MID(TRIM(UPPER(D196)),10,1))&lt;=90,CODE(MID(TRIM(UPPER(D196)),6,1))&gt;=48,CODE(MID(TRIM(UPPER(D196)),6,1))&lt;=57,CODE(MID(TRIM(UPPER(D196)),7,1))&gt;=48,CODE(MID(TRIM(UPPER(D196)),7,1))&lt;=57,CODE(MID(TRIM(UPPER(D196)),8,1))&gt;=48,CODE(MID(TRIM(UPPER(D196)),8,1))&lt;=57,CODE(MID(TRIM(UPPER(D196)),9,1))&gt;=48,CODE(MID(TRIM(UPPER(D196)),9,1))&lt;=57),"N","Y"))</f>
      </c>
      <c r="F196" s="7">
        <f>IF($C196="","",IF(LEN(D196)&lt;4,"",IF(UPPER(MID(D196,4,1))="P","Individual",IF(UPPER(MID(D196,4,1))="H","HUF",IF(UPPER(MID(D196,4,1))="C","Company",IF(UPPER(MID(D196,4,1))="F","Firm",IF(UPPER(MID(D196,4,1))="L","LLP",IF(UPPER(MID(D196,4,1))="T","Trust",IF(UPPER(MID(D196,4,1))="A","AOP","")))))))))</f>
      </c>
      <c r="G196" s="8"/>
      <c r="H196" s="7">
        <f>IF($C196="","",IF(R196&lt;&gt;"",R196,IF(G196="","",IF(E196="Y",SUMPRODUCT(('Rate Lookup'!$A$1:$A$37=G196)*'Rate Lookup'!$D$1:$D$37),IF(OR(F196="Individual",F196="HUF"),SUMPRODUCT(('Rate Lookup'!$A$1:$A$37=G196)*'Rate Lookup'!$B$1:$B$37),SUMPRODUCT(('Rate Lookup'!$A$1:$A$37=G196)*'Rate Lookup'!$C$1:$C$37)))))))</f>
      </c>
      <c r="I196" s="8"/>
      <c r="J196" s="8"/>
      <c r="K196" s="7">
        <f>IF($C196="","",IF(OR(P196="B",P196="D",P196="E",P196="N",P196="O",P196="P",P196="Q",P196="S",P196="Y",P196="Z"),0,ROUND(J196*H196/100,0)))</f>
      </c>
      <c r="L196" s="7">
        <f>IF($C196="","",0)</f>
      </c>
      <c r="M196" s="7">
        <f>IF($C196="","",0)</f>
      </c>
      <c r="N196" s="7">
        <f>IF($C196="","",IF(OR(K196=0,I196="",IFERROR(INDEX('Challan Master'!$D$4:$D$207,MATCH($B196,'Challan Master'!$S$4:$S$207,0)),"")="",IFERROR(INDEX('Challan Master'!$D$4:$D$207,MATCH($B196,'Challan Master'!$S$4:$S$207,0)),"")&lt;=0),0,IF(IFERROR(INDEX('Challan Master'!$D$4:$D$207,MATCH($B196,'Challan Master'!$S$4:$S$207,0)),"")&lt;=DATE(YEAR(I196),MONTH(I196)+1,7),0,ROUND(K196*0.015*((YEAR(IFERROR(INDEX('Challan Master'!$D$4:$D$207,MATCH($B196,'Challan Master'!$S$4:$S$207,0)),""))-YEAR(I196))*12+(MONTH(IFERROR(INDEX('Challan Master'!$D$4:$D$207,MATCH($B196,'Challan Master'!$S$4:$S$207,0)),""))-MONTH(I196))+1),0))))</f>
      </c>
      <c r="O196" s="7">
        <f>IF($C196="","",0)</f>
      </c>
      <c r="P196" s="8"/>
      <c r="Q196" s="8"/>
      <c r="R196" s="8"/>
      <c r="S196" s="8"/>
      <c r="T196" s="8"/>
      <c r="U196" s="7">
        <f>IF($B196="","",IFERROR(INDEX('Challan Master'!$AA$4:$AA$207,MATCH($B196,'Challan Master'!$S$4:$S$207,0)),""))</f>
      </c>
    </row>
    <row r="197" spans="1:22" x14ac:dyDescent="0.25">
      <c r="A197" s="7">
        <f>IF($C197="","",COUNTIF($C$4:$C197,"&lt;&gt;"))</f>
      </c>
      <c r="B197" s="8"/>
      <c r="C197" s="8"/>
      <c r="D197" s="8"/>
      <c r="E197" s="7">
        <f>IF($C197="","",IF(AND(LEN(TRIM(UPPER(D197)))=10,CODE(MID(TRIM(UPPER(D197)),1,1))&gt;=65,CODE(MID(TRIM(UPPER(D197)),1,1))&lt;=90,CODE(MID(TRIM(UPPER(D197)),2,1))&gt;=65,CODE(MID(TRIM(UPPER(D197)),2,1))&lt;=90,CODE(MID(TRIM(UPPER(D197)),3,1))&gt;=65,CODE(MID(TRIM(UPPER(D197)),3,1))&lt;=90,CODE(MID(TRIM(UPPER(D197)),4,1))&gt;=65,CODE(MID(TRIM(UPPER(D197)),4,1))&lt;=90,CODE(MID(TRIM(UPPER(D197)),5,1))&gt;=65,CODE(MID(TRIM(UPPER(D197)),5,1))&lt;=90,CODE(MID(TRIM(UPPER(D197)),10,1))&gt;=65,CODE(MID(TRIM(UPPER(D197)),10,1))&lt;=90,CODE(MID(TRIM(UPPER(D197)),6,1))&gt;=48,CODE(MID(TRIM(UPPER(D197)),6,1))&lt;=57,CODE(MID(TRIM(UPPER(D197)),7,1))&gt;=48,CODE(MID(TRIM(UPPER(D197)),7,1))&lt;=57,CODE(MID(TRIM(UPPER(D197)),8,1))&gt;=48,CODE(MID(TRIM(UPPER(D197)),8,1))&lt;=57,CODE(MID(TRIM(UPPER(D197)),9,1))&gt;=48,CODE(MID(TRIM(UPPER(D197)),9,1))&lt;=57),"N","Y"))</f>
      </c>
      <c r="F197" s="7">
        <f>IF($C197="","",IF(LEN(D197)&lt;4,"",IF(UPPER(MID(D197,4,1))="P","Individual",IF(UPPER(MID(D197,4,1))="H","HUF",IF(UPPER(MID(D197,4,1))="C","Company",IF(UPPER(MID(D197,4,1))="F","Firm",IF(UPPER(MID(D197,4,1))="L","LLP",IF(UPPER(MID(D197,4,1))="T","Trust",IF(UPPER(MID(D197,4,1))="A","AOP","")))))))))</f>
      </c>
      <c r="G197" s="8"/>
      <c r="H197" s="7">
        <f>IF($C197="","",IF(R197&lt;&gt;"",R197,IF(G197="","",IF(E197="Y",SUMPRODUCT(('Rate Lookup'!$A$1:$A$37=G197)*'Rate Lookup'!$D$1:$D$37),IF(OR(F197="Individual",F197="HUF"),SUMPRODUCT(('Rate Lookup'!$A$1:$A$37=G197)*'Rate Lookup'!$B$1:$B$37),SUMPRODUCT(('Rate Lookup'!$A$1:$A$37=G197)*'Rate Lookup'!$C$1:$C$37)))))))</f>
      </c>
      <c r="I197" s="8"/>
      <c r="J197" s="8"/>
      <c r="K197" s="7">
        <f>IF($C197="","",IF(OR(P197="B",P197="D",P197="E",P197="N",P197="O",P197="P",P197="Q",P197="S",P197="Y",P197="Z"),0,ROUND(J197*H197/100,0)))</f>
      </c>
      <c r="L197" s="7">
        <f>IF($C197="","",0)</f>
      </c>
      <c r="M197" s="7">
        <f>IF($C197="","",0)</f>
      </c>
      <c r="N197" s="7">
        <f>IF($C197="","",IF(OR(K197=0,I197="",IFERROR(INDEX('Challan Master'!$D$4:$D$207,MATCH($B197,'Challan Master'!$S$4:$S$207,0)),"")="",IFERROR(INDEX('Challan Master'!$D$4:$D$207,MATCH($B197,'Challan Master'!$S$4:$S$207,0)),"")&lt;=0),0,IF(IFERROR(INDEX('Challan Master'!$D$4:$D$207,MATCH($B197,'Challan Master'!$S$4:$S$207,0)),"")&lt;=DATE(YEAR(I197),MONTH(I197)+1,7),0,ROUND(K197*0.015*((YEAR(IFERROR(INDEX('Challan Master'!$D$4:$D$207,MATCH($B197,'Challan Master'!$S$4:$S$207,0)),""))-YEAR(I197))*12+(MONTH(IFERROR(INDEX('Challan Master'!$D$4:$D$207,MATCH($B197,'Challan Master'!$S$4:$S$207,0)),""))-MONTH(I197))+1),0))))</f>
      </c>
      <c r="O197" s="7">
        <f>IF($C197="","",0)</f>
      </c>
      <c r="P197" s="8"/>
      <c r="Q197" s="8"/>
      <c r="R197" s="8"/>
      <c r="S197" s="8"/>
      <c r="T197" s="8"/>
      <c r="U197" s="7">
        <f>IF($B197="","",IFERROR(INDEX('Challan Master'!$AA$4:$AA$207,MATCH($B197,'Challan Master'!$S$4:$S$207,0)),""))</f>
      </c>
    </row>
    <row r="198" spans="1:22" x14ac:dyDescent="0.25">
      <c r="A198" s="7">
        <f>IF($C198="","",COUNTIF($C$4:$C198,"&lt;&gt;"))</f>
      </c>
      <c r="B198" s="8"/>
      <c r="C198" s="8"/>
      <c r="D198" s="8"/>
      <c r="E198" s="7">
        <f>IF($C198="","",IF(AND(LEN(TRIM(UPPER(D198)))=10,CODE(MID(TRIM(UPPER(D198)),1,1))&gt;=65,CODE(MID(TRIM(UPPER(D198)),1,1))&lt;=90,CODE(MID(TRIM(UPPER(D198)),2,1))&gt;=65,CODE(MID(TRIM(UPPER(D198)),2,1))&lt;=90,CODE(MID(TRIM(UPPER(D198)),3,1))&gt;=65,CODE(MID(TRIM(UPPER(D198)),3,1))&lt;=90,CODE(MID(TRIM(UPPER(D198)),4,1))&gt;=65,CODE(MID(TRIM(UPPER(D198)),4,1))&lt;=90,CODE(MID(TRIM(UPPER(D198)),5,1))&gt;=65,CODE(MID(TRIM(UPPER(D198)),5,1))&lt;=90,CODE(MID(TRIM(UPPER(D198)),10,1))&gt;=65,CODE(MID(TRIM(UPPER(D198)),10,1))&lt;=90,CODE(MID(TRIM(UPPER(D198)),6,1))&gt;=48,CODE(MID(TRIM(UPPER(D198)),6,1))&lt;=57,CODE(MID(TRIM(UPPER(D198)),7,1))&gt;=48,CODE(MID(TRIM(UPPER(D198)),7,1))&lt;=57,CODE(MID(TRIM(UPPER(D198)),8,1))&gt;=48,CODE(MID(TRIM(UPPER(D198)),8,1))&lt;=57,CODE(MID(TRIM(UPPER(D198)),9,1))&gt;=48,CODE(MID(TRIM(UPPER(D198)),9,1))&lt;=57),"N","Y"))</f>
      </c>
      <c r="F198" s="7">
        <f>IF($C198="","",IF(LEN(D198)&lt;4,"",IF(UPPER(MID(D198,4,1))="P","Individual",IF(UPPER(MID(D198,4,1))="H","HUF",IF(UPPER(MID(D198,4,1))="C","Company",IF(UPPER(MID(D198,4,1))="F","Firm",IF(UPPER(MID(D198,4,1))="L","LLP",IF(UPPER(MID(D198,4,1))="T","Trust",IF(UPPER(MID(D198,4,1))="A","AOP","")))))))))</f>
      </c>
      <c r="G198" s="8"/>
      <c r="H198" s="7">
        <f>IF($C198="","",IF(R198&lt;&gt;"",R198,IF(G198="","",IF(E198="Y",SUMPRODUCT(('Rate Lookup'!$A$1:$A$37=G198)*'Rate Lookup'!$D$1:$D$37),IF(OR(F198="Individual",F198="HUF"),SUMPRODUCT(('Rate Lookup'!$A$1:$A$37=G198)*'Rate Lookup'!$B$1:$B$37),SUMPRODUCT(('Rate Lookup'!$A$1:$A$37=G198)*'Rate Lookup'!$C$1:$C$37)))))))</f>
      </c>
      <c r="I198" s="8"/>
      <c r="J198" s="8"/>
      <c r="K198" s="7">
        <f>IF($C198="","",IF(OR(P198="B",P198="D",P198="E",P198="N",P198="O",P198="P",P198="Q",P198="S",P198="Y",P198="Z"),0,ROUND(J198*H198/100,0)))</f>
      </c>
      <c r="L198" s="7">
        <f>IF($C198="","",0)</f>
      </c>
      <c r="M198" s="7">
        <f>IF($C198="","",0)</f>
      </c>
      <c r="N198" s="7">
        <f>IF($C198="","",IF(OR(K198=0,I198="",IFERROR(INDEX('Challan Master'!$D$4:$D$207,MATCH($B198,'Challan Master'!$S$4:$S$207,0)),"")="",IFERROR(INDEX('Challan Master'!$D$4:$D$207,MATCH($B198,'Challan Master'!$S$4:$S$207,0)),"")&lt;=0),0,IF(IFERROR(INDEX('Challan Master'!$D$4:$D$207,MATCH($B198,'Challan Master'!$S$4:$S$207,0)),"")&lt;=DATE(YEAR(I198),MONTH(I198)+1,7),0,ROUND(K198*0.015*((YEAR(IFERROR(INDEX('Challan Master'!$D$4:$D$207,MATCH($B198,'Challan Master'!$S$4:$S$207,0)),""))-YEAR(I198))*12+(MONTH(IFERROR(INDEX('Challan Master'!$D$4:$D$207,MATCH($B198,'Challan Master'!$S$4:$S$207,0)),""))-MONTH(I198))+1),0))))</f>
      </c>
      <c r="O198" s="7">
        <f>IF($C198="","",0)</f>
      </c>
      <c r="P198" s="8"/>
      <c r="Q198" s="8"/>
      <c r="R198" s="8"/>
      <c r="S198" s="8"/>
      <c r="T198" s="8"/>
      <c r="U198" s="7">
        <f>IF($B198="","",IFERROR(INDEX('Challan Master'!$AA$4:$AA$207,MATCH($B198,'Challan Master'!$S$4:$S$207,0)),""))</f>
      </c>
    </row>
    <row r="199" spans="1:22" x14ac:dyDescent="0.25">
      <c r="A199" s="7">
        <f>IF($C199="","",COUNTIF($C$4:$C199,"&lt;&gt;"))</f>
      </c>
      <c r="B199" s="8"/>
      <c r="C199" s="8"/>
      <c r="D199" s="8"/>
      <c r="E199" s="7">
        <f>IF($C199="","",IF(AND(LEN(TRIM(UPPER(D199)))=10,CODE(MID(TRIM(UPPER(D199)),1,1))&gt;=65,CODE(MID(TRIM(UPPER(D199)),1,1))&lt;=90,CODE(MID(TRIM(UPPER(D199)),2,1))&gt;=65,CODE(MID(TRIM(UPPER(D199)),2,1))&lt;=90,CODE(MID(TRIM(UPPER(D199)),3,1))&gt;=65,CODE(MID(TRIM(UPPER(D199)),3,1))&lt;=90,CODE(MID(TRIM(UPPER(D199)),4,1))&gt;=65,CODE(MID(TRIM(UPPER(D199)),4,1))&lt;=90,CODE(MID(TRIM(UPPER(D199)),5,1))&gt;=65,CODE(MID(TRIM(UPPER(D199)),5,1))&lt;=90,CODE(MID(TRIM(UPPER(D199)),10,1))&gt;=65,CODE(MID(TRIM(UPPER(D199)),10,1))&lt;=90,CODE(MID(TRIM(UPPER(D199)),6,1))&gt;=48,CODE(MID(TRIM(UPPER(D199)),6,1))&lt;=57,CODE(MID(TRIM(UPPER(D199)),7,1))&gt;=48,CODE(MID(TRIM(UPPER(D199)),7,1))&lt;=57,CODE(MID(TRIM(UPPER(D199)),8,1))&gt;=48,CODE(MID(TRIM(UPPER(D199)),8,1))&lt;=57,CODE(MID(TRIM(UPPER(D199)),9,1))&gt;=48,CODE(MID(TRIM(UPPER(D199)),9,1))&lt;=57),"N","Y"))</f>
      </c>
      <c r="F199" s="7">
        <f>IF($C199="","",IF(LEN(D199)&lt;4,"",IF(UPPER(MID(D199,4,1))="P","Individual",IF(UPPER(MID(D199,4,1))="H","HUF",IF(UPPER(MID(D199,4,1))="C","Company",IF(UPPER(MID(D199,4,1))="F","Firm",IF(UPPER(MID(D199,4,1))="L","LLP",IF(UPPER(MID(D199,4,1))="T","Trust",IF(UPPER(MID(D199,4,1))="A","AOP","")))))))))</f>
      </c>
      <c r="G199" s="8"/>
      <c r="H199" s="7">
        <f>IF($C199="","",IF(R199&lt;&gt;"",R199,IF(G199="","",IF(E199="Y",SUMPRODUCT(('Rate Lookup'!$A$1:$A$37=G199)*'Rate Lookup'!$D$1:$D$37),IF(OR(F199="Individual",F199="HUF"),SUMPRODUCT(('Rate Lookup'!$A$1:$A$37=G199)*'Rate Lookup'!$B$1:$B$37),SUMPRODUCT(('Rate Lookup'!$A$1:$A$37=G199)*'Rate Lookup'!$C$1:$C$37)))))))</f>
      </c>
      <c r="I199" s="8"/>
      <c r="J199" s="8"/>
      <c r="K199" s="7">
        <f>IF($C199="","",IF(OR(P199="B",P199="D",P199="E",P199="N",P199="O",P199="P",P199="Q",P199="S",P199="Y",P199="Z"),0,ROUND(J199*H199/100,0)))</f>
      </c>
      <c r="L199" s="7">
        <f>IF($C199="","",0)</f>
      </c>
      <c r="M199" s="7">
        <f>IF($C199="","",0)</f>
      </c>
      <c r="N199" s="7">
        <f>IF($C199="","",IF(OR(K199=0,I199="",IFERROR(INDEX('Challan Master'!$D$4:$D$207,MATCH($B199,'Challan Master'!$S$4:$S$207,0)),"")="",IFERROR(INDEX('Challan Master'!$D$4:$D$207,MATCH($B199,'Challan Master'!$S$4:$S$207,0)),"")&lt;=0),0,IF(IFERROR(INDEX('Challan Master'!$D$4:$D$207,MATCH($B199,'Challan Master'!$S$4:$S$207,0)),"")&lt;=DATE(YEAR(I199),MONTH(I199)+1,7),0,ROUND(K199*0.015*((YEAR(IFERROR(INDEX('Challan Master'!$D$4:$D$207,MATCH($B199,'Challan Master'!$S$4:$S$207,0)),""))-YEAR(I199))*12+(MONTH(IFERROR(INDEX('Challan Master'!$D$4:$D$207,MATCH($B199,'Challan Master'!$S$4:$S$207,0)),""))-MONTH(I199))+1),0))))</f>
      </c>
      <c r="O199" s="7">
        <f>IF($C199="","",0)</f>
      </c>
      <c r="P199" s="8"/>
      <c r="Q199" s="8"/>
      <c r="R199" s="8"/>
      <c r="S199" s="8"/>
      <c r="T199" s="8"/>
      <c r="U199" s="7">
        <f>IF($B199="","",IFERROR(INDEX('Challan Master'!$AA$4:$AA$207,MATCH($B199,'Challan Master'!$S$4:$S$207,0)),""))</f>
      </c>
    </row>
    <row r="200" spans="1:22" x14ac:dyDescent="0.25">
      <c r="A200" s="7">
        <f>IF($C200="","",COUNTIF($C$4:$C200,"&lt;&gt;"))</f>
      </c>
      <c r="B200" s="8"/>
      <c r="C200" s="8"/>
      <c r="D200" s="8"/>
      <c r="E200" s="7">
        <f>IF($C200="","",IF(AND(LEN(TRIM(UPPER(D200)))=10,CODE(MID(TRIM(UPPER(D200)),1,1))&gt;=65,CODE(MID(TRIM(UPPER(D200)),1,1))&lt;=90,CODE(MID(TRIM(UPPER(D200)),2,1))&gt;=65,CODE(MID(TRIM(UPPER(D200)),2,1))&lt;=90,CODE(MID(TRIM(UPPER(D200)),3,1))&gt;=65,CODE(MID(TRIM(UPPER(D200)),3,1))&lt;=90,CODE(MID(TRIM(UPPER(D200)),4,1))&gt;=65,CODE(MID(TRIM(UPPER(D200)),4,1))&lt;=90,CODE(MID(TRIM(UPPER(D200)),5,1))&gt;=65,CODE(MID(TRIM(UPPER(D200)),5,1))&lt;=90,CODE(MID(TRIM(UPPER(D200)),10,1))&gt;=65,CODE(MID(TRIM(UPPER(D200)),10,1))&lt;=90,CODE(MID(TRIM(UPPER(D200)),6,1))&gt;=48,CODE(MID(TRIM(UPPER(D200)),6,1))&lt;=57,CODE(MID(TRIM(UPPER(D200)),7,1))&gt;=48,CODE(MID(TRIM(UPPER(D200)),7,1))&lt;=57,CODE(MID(TRIM(UPPER(D200)),8,1))&gt;=48,CODE(MID(TRIM(UPPER(D200)),8,1))&lt;=57,CODE(MID(TRIM(UPPER(D200)),9,1))&gt;=48,CODE(MID(TRIM(UPPER(D200)),9,1))&lt;=57),"N","Y"))</f>
      </c>
      <c r="F200" s="7">
        <f>IF($C200="","",IF(LEN(D200)&lt;4,"",IF(UPPER(MID(D200,4,1))="P","Individual",IF(UPPER(MID(D200,4,1))="H","HUF",IF(UPPER(MID(D200,4,1))="C","Company",IF(UPPER(MID(D200,4,1))="F","Firm",IF(UPPER(MID(D200,4,1))="L","LLP",IF(UPPER(MID(D200,4,1))="T","Trust",IF(UPPER(MID(D200,4,1))="A","AOP","")))))))))</f>
      </c>
      <c r="G200" s="8"/>
      <c r="H200" s="7">
        <f>IF($C200="","",IF(R200&lt;&gt;"",R200,IF(G200="","",IF(E200="Y",SUMPRODUCT(('Rate Lookup'!$A$1:$A$37=G200)*'Rate Lookup'!$D$1:$D$37),IF(OR(F200="Individual",F200="HUF"),SUMPRODUCT(('Rate Lookup'!$A$1:$A$37=G200)*'Rate Lookup'!$B$1:$B$37),SUMPRODUCT(('Rate Lookup'!$A$1:$A$37=G200)*'Rate Lookup'!$C$1:$C$37)))))))</f>
      </c>
      <c r="I200" s="8"/>
      <c r="J200" s="8"/>
      <c r="K200" s="7">
        <f>IF($C200="","",IF(OR(P200="B",P200="D",P200="E",P200="N",P200="O",P200="P",P200="Q",P200="S",P200="Y",P200="Z"),0,ROUND(J200*H200/100,0)))</f>
      </c>
      <c r="L200" s="7">
        <f>IF($C200="","",0)</f>
      </c>
      <c r="M200" s="7">
        <f>IF($C200="","",0)</f>
      </c>
      <c r="N200" s="7">
        <f>IF($C200="","",IF(OR(K200=0,I200="",IFERROR(INDEX('Challan Master'!$D$4:$D$207,MATCH($B200,'Challan Master'!$S$4:$S$207,0)),"")="",IFERROR(INDEX('Challan Master'!$D$4:$D$207,MATCH($B200,'Challan Master'!$S$4:$S$207,0)),"")&lt;=0),0,IF(IFERROR(INDEX('Challan Master'!$D$4:$D$207,MATCH($B200,'Challan Master'!$S$4:$S$207,0)),"")&lt;=DATE(YEAR(I200),MONTH(I200)+1,7),0,ROUND(K200*0.015*((YEAR(IFERROR(INDEX('Challan Master'!$D$4:$D$207,MATCH($B200,'Challan Master'!$S$4:$S$207,0)),""))-YEAR(I200))*12+(MONTH(IFERROR(INDEX('Challan Master'!$D$4:$D$207,MATCH($B200,'Challan Master'!$S$4:$S$207,0)),""))-MONTH(I200))+1),0))))</f>
      </c>
      <c r="O200" s="7">
        <f>IF($C200="","",0)</f>
      </c>
      <c r="P200" s="8"/>
      <c r="Q200" s="8"/>
      <c r="R200" s="8"/>
      <c r="S200" s="8"/>
      <c r="T200" s="8"/>
      <c r="U200" s="7">
        <f>IF($B200="","",IFERROR(INDEX('Challan Master'!$AA$4:$AA$207,MATCH($B200,'Challan Master'!$S$4:$S$207,0)),""))</f>
      </c>
    </row>
    <row r="201" spans="1:22" x14ac:dyDescent="0.25">
      <c r="A201" s="7">
        <f>IF($C201="","",COUNTIF($C$4:$C201,"&lt;&gt;"))</f>
      </c>
      <c r="B201" s="8"/>
      <c r="C201" s="8"/>
      <c r="D201" s="8"/>
      <c r="E201" s="7">
        <f>IF($C201="","",IF(AND(LEN(TRIM(UPPER(D201)))=10,CODE(MID(TRIM(UPPER(D201)),1,1))&gt;=65,CODE(MID(TRIM(UPPER(D201)),1,1))&lt;=90,CODE(MID(TRIM(UPPER(D201)),2,1))&gt;=65,CODE(MID(TRIM(UPPER(D201)),2,1))&lt;=90,CODE(MID(TRIM(UPPER(D201)),3,1))&gt;=65,CODE(MID(TRIM(UPPER(D201)),3,1))&lt;=90,CODE(MID(TRIM(UPPER(D201)),4,1))&gt;=65,CODE(MID(TRIM(UPPER(D201)),4,1))&lt;=90,CODE(MID(TRIM(UPPER(D201)),5,1))&gt;=65,CODE(MID(TRIM(UPPER(D201)),5,1))&lt;=90,CODE(MID(TRIM(UPPER(D201)),10,1))&gt;=65,CODE(MID(TRIM(UPPER(D201)),10,1))&lt;=90,CODE(MID(TRIM(UPPER(D201)),6,1))&gt;=48,CODE(MID(TRIM(UPPER(D201)),6,1))&lt;=57,CODE(MID(TRIM(UPPER(D201)),7,1))&gt;=48,CODE(MID(TRIM(UPPER(D201)),7,1))&lt;=57,CODE(MID(TRIM(UPPER(D201)),8,1))&gt;=48,CODE(MID(TRIM(UPPER(D201)),8,1))&lt;=57,CODE(MID(TRIM(UPPER(D201)),9,1))&gt;=48,CODE(MID(TRIM(UPPER(D201)),9,1))&lt;=57),"N","Y"))</f>
      </c>
      <c r="F201" s="7">
        <f>IF($C201="","",IF(LEN(D201)&lt;4,"",IF(UPPER(MID(D201,4,1))="P","Individual",IF(UPPER(MID(D201,4,1))="H","HUF",IF(UPPER(MID(D201,4,1))="C","Company",IF(UPPER(MID(D201,4,1))="F","Firm",IF(UPPER(MID(D201,4,1))="L","LLP",IF(UPPER(MID(D201,4,1))="T","Trust",IF(UPPER(MID(D201,4,1))="A","AOP","")))))))))</f>
      </c>
      <c r="G201" s="8"/>
      <c r="H201" s="7">
        <f>IF($C201="","",IF(R201&lt;&gt;"",R201,IF(G201="","",IF(E201="Y",SUMPRODUCT(('Rate Lookup'!$A$1:$A$37=G201)*'Rate Lookup'!$D$1:$D$37),IF(OR(F201="Individual",F201="HUF"),SUMPRODUCT(('Rate Lookup'!$A$1:$A$37=G201)*'Rate Lookup'!$B$1:$B$37),SUMPRODUCT(('Rate Lookup'!$A$1:$A$37=G201)*'Rate Lookup'!$C$1:$C$37)))))))</f>
      </c>
      <c r="I201" s="8"/>
      <c r="J201" s="8"/>
      <c r="K201" s="7">
        <f>IF($C201="","",IF(OR(P201="B",P201="D",P201="E",P201="N",P201="O",P201="P",P201="Q",P201="S",P201="Y",P201="Z"),0,ROUND(J201*H201/100,0)))</f>
      </c>
      <c r="L201" s="7">
        <f>IF($C201="","",0)</f>
      </c>
      <c r="M201" s="7">
        <f>IF($C201="","",0)</f>
      </c>
      <c r="N201" s="7">
        <f>IF($C201="","",IF(OR(K201=0,I201="",IFERROR(INDEX('Challan Master'!$D$4:$D$207,MATCH($B201,'Challan Master'!$S$4:$S$207,0)),"")="",IFERROR(INDEX('Challan Master'!$D$4:$D$207,MATCH($B201,'Challan Master'!$S$4:$S$207,0)),"")&lt;=0),0,IF(IFERROR(INDEX('Challan Master'!$D$4:$D$207,MATCH($B201,'Challan Master'!$S$4:$S$207,0)),"")&lt;=DATE(YEAR(I201),MONTH(I201)+1,7),0,ROUND(K201*0.015*((YEAR(IFERROR(INDEX('Challan Master'!$D$4:$D$207,MATCH($B201,'Challan Master'!$S$4:$S$207,0)),""))-YEAR(I201))*12+(MONTH(IFERROR(INDEX('Challan Master'!$D$4:$D$207,MATCH($B201,'Challan Master'!$S$4:$S$207,0)),""))-MONTH(I201))+1),0))))</f>
      </c>
      <c r="O201" s="7">
        <f>IF($C201="","",0)</f>
      </c>
      <c r="P201" s="8"/>
      <c r="Q201" s="8"/>
      <c r="R201" s="8"/>
      <c r="S201" s="8"/>
      <c r="T201" s="8"/>
      <c r="U201" s="7">
        <f>IF($B201="","",IFERROR(INDEX('Challan Master'!$AA$4:$AA$207,MATCH($B201,'Challan Master'!$S$4:$S$207,0)),""))</f>
      </c>
    </row>
    <row r="202" spans="1:22" x14ac:dyDescent="0.25">
      <c r="A202" s="7">
        <f>IF($C202="","",COUNTIF($C$4:$C202,"&lt;&gt;"))</f>
      </c>
      <c r="B202" s="8"/>
      <c r="C202" s="8"/>
      <c r="D202" s="8"/>
      <c r="E202" s="7">
        <f>IF($C202="","",IF(AND(LEN(TRIM(UPPER(D202)))=10,CODE(MID(TRIM(UPPER(D202)),1,1))&gt;=65,CODE(MID(TRIM(UPPER(D202)),1,1))&lt;=90,CODE(MID(TRIM(UPPER(D202)),2,1))&gt;=65,CODE(MID(TRIM(UPPER(D202)),2,1))&lt;=90,CODE(MID(TRIM(UPPER(D202)),3,1))&gt;=65,CODE(MID(TRIM(UPPER(D202)),3,1))&lt;=90,CODE(MID(TRIM(UPPER(D202)),4,1))&gt;=65,CODE(MID(TRIM(UPPER(D202)),4,1))&lt;=90,CODE(MID(TRIM(UPPER(D202)),5,1))&gt;=65,CODE(MID(TRIM(UPPER(D202)),5,1))&lt;=90,CODE(MID(TRIM(UPPER(D202)),10,1))&gt;=65,CODE(MID(TRIM(UPPER(D202)),10,1))&lt;=90,CODE(MID(TRIM(UPPER(D202)),6,1))&gt;=48,CODE(MID(TRIM(UPPER(D202)),6,1))&lt;=57,CODE(MID(TRIM(UPPER(D202)),7,1))&gt;=48,CODE(MID(TRIM(UPPER(D202)),7,1))&lt;=57,CODE(MID(TRIM(UPPER(D202)),8,1))&gt;=48,CODE(MID(TRIM(UPPER(D202)),8,1))&lt;=57,CODE(MID(TRIM(UPPER(D202)),9,1))&gt;=48,CODE(MID(TRIM(UPPER(D202)),9,1))&lt;=57),"N","Y"))</f>
      </c>
      <c r="F202" s="7">
        <f>IF($C202="","",IF(LEN(D202)&lt;4,"",IF(UPPER(MID(D202,4,1))="P","Individual",IF(UPPER(MID(D202,4,1))="H","HUF",IF(UPPER(MID(D202,4,1))="C","Company",IF(UPPER(MID(D202,4,1))="F","Firm",IF(UPPER(MID(D202,4,1))="L","LLP",IF(UPPER(MID(D202,4,1))="T","Trust",IF(UPPER(MID(D202,4,1))="A","AOP","")))))))))</f>
      </c>
      <c r="G202" s="8"/>
      <c r="H202" s="7">
        <f>IF($C202="","",IF(R202&lt;&gt;"",R202,IF(G202="","",IF(E202="Y",SUMPRODUCT(('Rate Lookup'!$A$1:$A$37=G202)*'Rate Lookup'!$D$1:$D$37),IF(OR(F202="Individual",F202="HUF"),SUMPRODUCT(('Rate Lookup'!$A$1:$A$37=G202)*'Rate Lookup'!$B$1:$B$37),SUMPRODUCT(('Rate Lookup'!$A$1:$A$37=G202)*'Rate Lookup'!$C$1:$C$37)))))))</f>
      </c>
      <c r="I202" s="8"/>
      <c r="J202" s="8"/>
      <c r="K202" s="7">
        <f>IF($C202="","",IF(OR(P202="B",P202="D",P202="E",P202="N",P202="O",P202="P",P202="Q",P202="S",P202="Y",P202="Z"),0,ROUND(J202*H202/100,0)))</f>
      </c>
      <c r="L202" s="7">
        <f>IF($C202="","",0)</f>
      </c>
      <c r="M202" s="7">
        <f>IF($C202="","",0)</f>
      </c>
      <c r="N202" s="7">
        <f>IF($C202="","",IF(OR(K202=0,I202="",IFERROR(INDEX('Challan Master'!$D$4:$D$207,MATCH($B202,'Challan Master'!$S$4:$S$207,0)),"")="",IFERROR(INDEX('Challan Master'!$D$4:$D$207,MATCH($B202,'Challan Master'!$S$4:$S$207,0)),"")&lt;=0),0,IF(IFERROR(INDEX('Challan Master'!$D$4:$D$207,MATCH($B202,'Challan Master'!$S$4:$S$207,0)),"")&lt;=DATE(YEAR(I202),MONTH(I202)+1,7),0,ROUND(K202*0.015*((YEAR(IFERROR(INDEX('Challan Master'!$D$4:$D$207,MATCH($B202,'Challan Master'!$S$4:$S$207,0)),""))-YEAR(I202))*12+(MONTH(IFERROR(INDEX('Challan Master'!$D$4:$D$207,MATCH($B202,'Challan Master'!$S$4:$S$207,0)),""))-MONTH(I202))+1),0))))</f>
      </c>
      <c r="O202" s="7">
        <f>IF($C202="","",0)</f>
      </c>
      <c r="P202" s="8"/>
      <c r="Q202" s="8"/>
      <c r="R202" s="8"/>
      <c r="S202" s="8"/>
      <c r="T202" s="8"/>
      <c r="U202" s="7">
        <f>IF($B202="","",IFERROR(INDEX('Challan Master'!$AA$4:$AA$207,MATCH($B202,'Challan Master'!$S$4:$S$207,0)),""))</f>
      </c>
    </row>
    <row r="203" spans="1:22" x14ac:dyDescent="0.25">
      <c r="A203" s="7">
        <f>IF($C203="","",COUNTIF($C$4:$C203,"&lt;&gt;"))</f>
      </c>
      <c r="B203" s="8"/>
      <c r="C203" s="8"/>
      <c r="D203" s="8"/>
      <c r="E203" s="7">
        <f>IF($C203="","",IF(AND(LEN(TRIM(UPPER(D203)))=10,CODE(MID(TRIM(UPPER(D203)),1,1))&gt;=65,CODE(MID(TRIM(UPPER(D203)),1,1))&lt;=90,CODE(MID(TRIM(UPPER(D203)),2,1))&gt;=65,CODE(MID(TRIM(UPPER(D203)),2,1))&lt;=90,CODE(MID(TRIM(UPPER(D203)),3,1))&gt;=65,CODE(MID(TRIM(UPPER(D203)),3,1))&lt;=90,CODE(MID(TRIM(UPPER(D203)),4,1))&gt;=65,CODE(MID(TRIM(UPPER(D203)),4,1))&lt;=90,CODE(MID(TRIM(UPPER(D203)),5,1))&gt;=65,CODE(MID(TRIM(UPPER(D203)),5,1))&lt;=90,CODE(MID(TRIM(UPPER(D203)),10,1))&gt;=65,CODE(MID(TRIM(UPPER(D203)),10,1))&lt;=90,CODE(MID(TRIM(UPPER(D203)),6,1))&gt;=48,CODE(MID(TRIM(UPPER(D203)),6,1))&lt;=57,CODE(MID(TRIM(UPPER(D203)),7,1))&gt;=48,CODE(MID(TRIM(UPPER(D203)),7,1))&lt;=57,CODE(MID(TRIM(UPPER(D203)),8,1))&gt;=48,CODE(MID(TRIM(UPPER(D203)),8,1))&lt;=57,CODE(MID(TRIM(UPPER(D203)),9,1))&gt;=48,CODE(MID(TRIM(UPPER(D203)),9,1))&lt;=57),"N","Y"))</f>
      </c>
      <c r="F203" s="7">
        <f>IF($C203="","",IF(LEN(D203)&lt;4,"",IF(UPPER(MID(D203,4,1))="P","Individual",IF(UPPER(MID(D203,4,1))="H","HUF",IF(UPPER(MID(D203,4,1))="C","Company",IF(UPPER(MID(D203,4,1))="F","Firm",IF(UPPER(MID(D203,4,1))="L","LLP",IF(UPPER(MID(D203,4,1))="T","Trust",IF(UPPER(MID(D203,4,1))="A","AOP","")))))))))</f>
      </c>
      <c r="G203" s="8"/>
      <c r="H203" s="7">
        <f>IF($C203="","",IF(R203&lt;&gt;"",R203,IF(G203="","",IF(E203="Y",SUMPRODUCT(('Rate Lookup'!$A$1:$A$37=G203)*'Rate Lookup'!$D$1:$D$37),IF(OR(F203="Individual",F203="HUF"),SUMPRODUCT(('Rate Lookup'!$A$1:$A$37=G203)*'Rate Lookup'!$B$1:$B$37),SUMPRODUCT(('Rate Lookup'!$A$1:$A$37=G203)*'Rate Lookup'!$C$1:$C$37)))))))</f>
      </c>
      <c r="I203" s="8"/>
      <c r="J203" s="8"/>
      <c r="K203" s="7">
        <f>IF($C203="","",IF(OR(P203="B",P203="D",P203="E",P203="N",P203="O",P203="P",P203="Q",P203="S",P203="Y",P203="Z"),0,ROUND(J203*H203/100,0)))</f>
      </c>
      <c r="L203" s="7">
        <f>IF($C203="","",0)</f>
      </c>
      <c r="M203" s="7">
        <f>IF($C203="","",0)</f>
      </c>
      <c r="N203" s="7">
        <f>IF($C203="","",IF(OR(K203=0,I203="",IFERROR(INDEX('Challan Master'!$D$4:$D$207,MATCH($B203,'Challan Master'!$S$4:$S$207,0)),"")="",IFERROR(INDEX('Challan Master'!$D$4:$D$207,MATCH($B203,'Challan Master'!$S$4:$S$207,0)),"")&lt;=0),0,IF(IFERROR(INDEX('Challan Master'!$D$4:$D$207,MATCH($B203,'Challan Master'!$S$4:$S$207,0)),"")&lt;=DATE(YEAR(I203),MONTH(I203)+1,7),0,ROUND(K203*0.015*((YEAR(IFERROR(INDEX('Challan Master'!$D$4:$D$207,MATCH($B203,'Challan Master'!$S$4:$S$207,0)),""))-YEAR(I203))*12+(MONTH(IFERROR(INDEX('Challan Master'!$D$4:$D$207,MATCH($B203,'Challan Master'!$S$4:$S$207,0)),""))-MONTH(I203))+1),0))))</f>
      </c>
      <c r="O203" s="7">
        <f>IF($C203="","",0)</f>
      </c>
      <c r="P203" s="8"/>
      <c r="Q203" s="8"/>
      <c r="R203" s="8"/>
      <c r="S203" s="8"/>
      <c r="T203" s="8"/>
      <c r="U203" s="7">
        <f>IF($B203="","",IFERROR(INDEX('Challan Master'!$AA$4:$AA$207,MATCH($B203,'Challan Master'!$S$4:$S$207,0)),""))</f>
      </c>
    </row>
    <row r="204" spans="1:22" x14ac:dyDescent="0.25">
      <c r="A204" s="7">
        <f>IF($C204="","",COUNTIF($C$4:$C204,"&lt;&gt;"))</f>
      </c>
      <c r="B204" s="8"/>
      <c r="C204" s="8"/>
      <c r="D204" s="8"/>
      <c r="E204" s="7">
        <f>IF($C204="","",IF(AND(LEN(TRIM(UPPER(D204)))=10,CODE(MID(TRIM(UPPER(D204)),1,1))&gt;=65,CODE(MID(TRIM(UPPER(D204)),1,1))&lt;=90,CODE(MID(TRIM(UPPER(D204)),2,1))&gt;=65,CODE(MID(TRIM(UPPER(D204)),2,1))&lt;=90,CODE(MID(TRIM(UPPER(D204)),3,1))&gt;=65,CODE(MID(TRIM(UPPER(D204)),3,1))&lt;=90,CODE(MID(TRIM(UPPER(D204)),4,1))&gt;=65,CODE(MID(TRIM(UPPER(D204)),4,1))&lt;=90,CODE(MID(TRIM(UPPER(D204)),5,1))&gt;=65,CODE(MID(TRIM(UPPER(D204)),5,1))&lt;=90,CODE(MID(TRIM(UPPER(D204)),10,1))&gt;=65,CODE(MID(TRIM(UPPER(D204)),10,1))&lt;=90,CODE(MID(TRIM(UPPER(D204)),6,1))&gt;=48,CODE(MID(TRIM(UPPER(D204)),6,1))&lt;=57,CODE(MID(TRIM(UPPER(D204)),7,1))&gt;=48,CODE(MID(TRIM(UPPER(D204)),7,1))&lt;=57,CODE(MID(TRIM(UPPER(D204)),8,1))&gt;=48,CODE(MID(TRIM(UPPER(D204)),8,1))&lt;=57,CODE(MID(TRIM(UPPER(D204)),9,1))&gt;=48,CODE(MID(TRIM(UPPER(D204)),9,1))&lt;=57),"N","Y"))</f>
      </c>
      <c r="F204" s="7">
        <f>IF($C204="","",IF(LEN(D204)&lt;4,"",IF(UPPER(MID(D204,4,1))="P","Individual",IF(UPPER(MID(D204,4,1))="H","HUF",IF(UPPER(MID(D204,4,1))="C","Company",IF(UPPER(MID(D204,4,1))="F","Firm",IF(UPPER(MID(D204,4,1))="L","LLP",IF(UPPER(MID(D204,4,1))="T","Trust",IF(UPPER(MID(D204,4,1))="A","AOP","")))))))))</f>
      </c>
      <c r="G204" s="8"/>
      <c r="H204" s="7">
        <f>IF($C204="","",IF(R204&lt;&gt;"",R204,IF(G204="","",IF(E204="Y",SUMPRODUCT(('Rate Lookup'!$A$1:$A$37=G204)*'Rate Lookup'!$D$1:$D$37),IF(OR(F204="Individual",F204="HUF"),SUMPRODUCT(('Rate Lookup'!$A$1:$A$37=G204)*'Rate Lookup'!$B$1:$B$37),SUMPRODUCT(('Rate Lookup'!$A$1:$A$37=G204)*'Rate Lookup'!$C$1:$C$37)))))))</f>
      </c>
      <c r="I204" s="8"/>
      <c r="J204" s="8"/>
      <c r="K204" s="7">
        <f>IF($C204="","",IF(OR(P204="B",P204="D",P204="E",P204="N",P204="O",P204="P",P204="Q",P204="S",P204="Y",P204="Z"),0,ROUND(J204*H204/100,0)))</f>
      </c>
      <c r="L204" s="7">
        <f>IF($C204="","",0)</f>
      </c>
      <c r="M204" s="7">
        <f>IF($C204="","",0)</f>
      </c>
      <c r="N204" s="7">
        <f>IF($C204="","",IF(OR(K204=0,I204="",IFERROR(INDEX('Challan Master'!$D$4:$D$207,MATCH($B204,'Challan Master'!$S$4:$S$207,0)),"")="",IFERROR(INDEX('Challan Master'!$D$4:$D$207,MATCH($B204,'Challan Master'!$S$4:$S$207,0)),"")&lt;=0),0,IF(IFERROR(INDEX('Challan Master'!$D$4:$D$207,MATCH($B204,'Challan Master'!$S$4:$S$207,0)),"")&lt;=DATE(YEAR(I204),MONTH(I204)+1,7),0,ROUND(K204*0.015*((YEAR(IFERROR(INDEX('Challan Master'!$D$4:$D$207,MATCH($B204,'Challan Master'!$S$4:$S$207,0)),""))-YEAR(I204))*12+(MONTH(IFERROR(INDEX('Challan Master'!$D$4:$D$207,MATCH($B204,'Challan Master'!$S$4:$S$207,0)),""))-MONTH(I204))+1),0))))</f>
      </c>
      <c r="O204" s="7">
        <f>IF($C204="","",0)</f>
      </c>
      <c r="P204" s="8"/>
      <c r="Q204" s="8"/>
      <c r="R204" s="8"/>
      <c r="S204" s="8"/>
      <c r="T204" s="8"/>
      <c r="U204" s="7">
        <f>IF($B204="","",IFERROR(INDEX('Challan Master'!$AA$4:$AA$207,MATCH($B204,'Challan Master'!$S$4:$S$207,0)),""))</f>
      </c>
    </row>
    <row r="205" spans="1:22" x14ac:dyDescent="0.25">
      <c r="A205" s="7">
        <f>IF($C205="","",COUNTIF($C$4:$C205,"&lt;&gt;"))</f>
      </c>
      <c r="B205" s="8"/>
      <c r="C205" s="8"/>
      <c r="D205" s="8"/>
      <c r="E205" s="7">
        <f>IF($C205="","",IF(AND(LEN(TRIM(UPPER(D205)))=10,CODE(MID(TRIM(UPPER(D205)),1,1))&gt;=65,CODE(MID(TRIM(UPPER(D205)),1,1))&lt;=90,CODE(MID(TRIM(UPPER(D205)),2,1))&gt;=65,CODE(MID(TRIM(UPPER(D205)),2,1))&lt;=90,CODE(MID(TRIM(UPPER(D205)),3,1))&gt;=65,CODE(MID(TRIM(UPPER(D205)),3,1))&lt;=90,CODE(MID(TRIM(UPPER(D205)),4,1))&gt;=65,CODE(MID(TRIM(UPPER(D205)),4,1))&lt;=90,CODE(MID(TRIM(UPPER(D205)),5,1))&gt;=65,CODE(MID(TRIM(UPPER(D205)),5,1))&lt;=90,CODE(MID(TRIM(UPPER(D205)),10,1))&gt;=65,CODE(MID(TRIM(UPPER(D205)),10,1))&lt;=90,CODE(MID(TRIM(UPPER(D205)),6,1))&gt;=48,CODE(MID(TRIM(UPPER(D205)),6,1))&lt;=57,CODE(MID(TRIM(UPPER(D205)),7,1))&gt;=48,CODE(MID(TRIM(UPPER(D205)),7,1))&lt;=57,CODE(MID(TRIM(UPPER(D205)),8,1))&gt;=48,CODE(MID(TRIM(UPPER(D205)),8,1))&lt;=57,CODE(MID(TRIM(UPPER(D205)),9,1))&gt;=48,CODE(MID(TRIM(UPPER(D205)),9,1))&lt;=57),"N","Y"))</f>
      </c>
      <c r="F205" s="7">
        <f>IF($C205="","",IF(LEN(D205)&lt;4,"",IF(UPPER(MID(D205,4,1))="P","Individual",IF(UPPER(MID(D205,4,1))="H","HUF",IF(UPPER(MID(D205,4,1))="C","Company",IF(UPPER(MID(D205,4,1))="F","Firm",IF(UPPER(MID(D205,4,1))="L","LLP",IF(UPPER(MID(D205,4,1))="T","Trust",IF(UPPER(MID(D205,4,1))="A","AOP","")))))))))</f>
      </c>
      <c r="G205" s="8"/>
      <c r="H205" s="7">
        <f>IF($C205="","",IF(R205&lt;&gt;"",R205,IF(G205="","",IF(E205="Y",SUMPRODUCT(('Rate Lookup'!$A$1:$A$37=G205)*'Rate Lookup'!$D$1:$D$37),IF(OR(F205="Individual",F205="HUF"),SUMPRODUCT(('Rate Lookup'!$A$1:$A$37=G205)*'Rate Lookup'!$B$1:$B$37),SUMPRODUCT(('Rate Lookup'!$A$1:$A$37=G205)*'Rate Lookup'!$C$1:$C$37)))))))</f>
      </c>
      <c r="I205" s="8"/>
      <c r="J205" s="8"/>
      <c r="K205" s="7">
        <f>IF($C205="","",IF(OR(P205="B",P205="D",P205="E",P205="N",P205="O",P205="P",P205="Q",P205="S",P205="Y",P205="Z"),0,ROUND(J205*H205/100,0)))</f>
      </c>
      <c r="L205" s="7">
        <f>IF($C205="","",0)</f>
      </c>
      <c r="M205" s="7">
        <f>IF($C205="","",0)</f>
      </c>
      <c r="N205" s="7">
        <f>IF($C205="","",IF(OR(K205=0,I205="",IFERROR(INDEX('Challan Master'!$D$4:$D$207,MATCH($B205,'Challan Master'!$S$4:$S$207,0)),"")="",IFERROR(INDEX('Challan Master'!$D$4:$D$207,MATCH($B205,'Challan Master'!$S$4:$S$207,0)),"")&lt;=0),0,IF(IFERROR(INDEX('Challan Master'!$D$4:$D$207,MATCH($B205,'Challan Master'!$S$4:$S$207,0)),"")&lt;=DATE(YEAR(I205),MONTH(I205)+1,7),0,ROUND(K205*0.015*((YEAR(IFERROR(INDEX('Challan Master'!$D$4:$D$207,MATCH($B205,'Challan Master'!$S$4:$S$207,0)),""))-YEAR(I205))*12+(MONTH(IFERROR(INDEX('Challan Master'!$D$4:$D$207,MATCH($B205,'Challan Master'!$S$4:$S$207,0)),""))-MONTH(I205))+1),0))))</f>
      </c>
      <c r="O205" s="7">
        <f>IF($C205="","",0)</f>
      </c>
      <c r="P205" s="8"/>
      <c r="Q205" s="8"/>
      <c r="R205" s="8"/>
      <c r="S205" s="8"/>
      <c r="T205" s="8"/>
      <c r="U205" s="7">
        <f>IF($B205="","",IFERROR(INDEX('Challan Master'!$AA$4:$AA$207,MATCH($B205,'Challan Master'!$S$4:$S$207,0)),""))</f>
      </c>
    </row>
    <row r="206" spans="1:22" x14ac:dyDescent="0.25">
      <c r="A206" s="7">
        <f>IF($C206="","",COUNTIF($C$4:$C206,"&lt;&gt;"))</f>
      </c>
      <c r="B206" s="8"/>
      <c r="C206" s="8"/>
      <c r="D206" s="8"/>
      <c r="E206" s="7">
        <f>IF($C206="","",IF(AND(LEN(TRIM(UPPER(D206)))=10,CODE(MID(TRIM(UPPER(D206)),1,1))&gt;=65,CODE(MID(TRIM(UPPER(D206)),1,1))&lt;=90,CODE(MID(TRIM(UPPER(D206)),2,1))&gt;=65,CODE(MID(TRIM(UPPER(D206)),2,1))&lt;=90,CODE(MID(TRIM(UPPER(D206)),3,1))&gt;=65,CODE(MID(TRIM(UPPER(D206)),3,1))&lt;=90,CODE(MID(TRIM(UPPER(D206)),4,1))&gt;=65,CODE(MID(TRIM(UPPER(D206)),4,1))&lt;=90,CODE(MID(TRIM(UPPER(D206)),5,1))&gt;=65,CODE(MID(TRIM(UPPER(D206)),5,1))&lt;=90,CODE(MID(TRIM(UPPER(D206)),10,1))&gt;=65,CODE(MID(TRIM(UPPER(D206)),10,1))&lt;=90,CODE(MID(TRIM(UPPER(D206)),6,1))&gt;=48,CODE(MID(TRIM(UPPER(D206)),6,1))&lt;=57,CODE(MID(TRIM(UPPER(D206)),7,1))&gt;=48,CODE(MID(TRIM(UPPER(D206)),7,1))&lt;=57,CODE(MID(TRIM(UPPER(D206)),8,1))&gt;=48,CODE(MID(TRIM(UPPER(D206)),8,1))&lt;=57,CODE(MID(TRIM(UPPER(D206)),9,1))&gt;=48,CODE(MID(TRIM(UPPER(D206)),9,1))&lt;=57),"N","Y"))</f>
      </c>
      <c r="F206" s="7">
        <f>IF($C206="","",IF(LEN(D206)&lt;4,"",IF(UPPER(MID(D206,4,1))="P","Individual",IF(UPPER(MID(D206,4,1))="H","HUF",IF(UPPER(MID(D206,4,1))="C","Company",IF(UPPER(MID(D206,4,1))="F","Firm",IF(UPPER(MID(D206,4,1))="L","LLP",IF(UPPER(MID(D206,4,1))="T","Trust",IF(UPPER(MID(D206,4,1))="A","AOP","")))))))))</f>
      </c>
      <c r="G206" s="8"/>
      <c r="H206" s="7">
        <f>IF($C206="","",IF(R206&lt;&gt;"",R206,IF(G206="","",IF(E206="Y",SUMPRODUCT(('Rate Lookup'!$A$1:$A$37=G206)*'Rate Lookup'!$D$1:$D$37),IF(OR(F206="Individual",F206="HUF"),SUMPRODUCT(('Rate Lookup'!$A$1:$A$37=G206)*'Rate Lookup'!$B$1:$B$37),SUMPRODUCT(('Rate Lookup'!$A$1:$A$37=G206)*'Rate Lookup'!$C$1:$C$37)))))))</f>
      </c>
      <c r="I206" s="8"/>
      <c r="J206" s="8"/>
      <c r="K206" s="7">
        <f>IF($C206="","",IF(OR(P206="B",P206="D",P206="E",P206="N",P206="O",P206="P",P206="Q",P206="S",P206="Y",P206="Z"),0,ROUND(J206*H206/100,0)))</f>
      </c>
      <c r="L206" s="7">
        <f>IF($C206="","",0)</f>
      </c>
      <c r="M206" s="7">
        <f>IF($C206="","",0)</f>
      </c>
      <c r="N206" s="7">
        <f>IF($C206="","",IF(OR(K206=0,I206="",IFERROR(INDEX('Challan Master'!$D$4:$D$207,MATCH($B206,'Challan Master'!$S$4:$S$207,0)),"")="",IFERROR(INDEX('Challan Master'!$D$4:$D$207,MATCH($B206,'Challan Master'!$S$4:$S$207,0)),"")&lt;=0),0,IF(IFERROR(INDEX('Challan Master'!$D$4:$D$207,MATCH($B206,'Challan Master'!$S$4:$S$207,0)),"")&lt;=DATE(YEAR(I206),MONTH(I206)+1,7),0,ROUND(K206*0.015*((YEAR(IFERROR(INDEX('Challan Master'!$D$4:$D$207,MATCH($B206,'Challan Master'!$S$4:$S$207,0)),""))-YEAR(I206))*12+(MONTH(IFERROR(INDEX('Challan Master'!$D$4:$D$207,MATCH($B206,'Challan Master'!$S$4:$S$207,0)),""))-MONTH(I206))+1),0))))</f>
      </c>
      <c r="O206" s="7">
        <f>IF($C206="","",0)</f>
      </c>
      <c r="P206" s="8"/>
      <c r="Q206" s="8"/>
      <c r="R206" s="8"/>
      <c r="S206" s="8"/>
      <c r="T206" s="8"/>
      <c r="U206" s="7">
        <f>IF($B206="","",IFERROR(INDEX('Challan Master'!$AA$4:$AA$207,MATCH($B206,'Challan Master'!$S$4:$S$207,0)),""))</f>
      </c>
    </row>
    <row r="207" spans="1:22" x14ac:dyDescent="0.25">
      <c r="A207" s="7">
        <f>IF($C207="","",COUNTIF($C$4:$C207,"&lt;&gt;"))</f>
      </c>
      <c r="B207" s="8"/>
      <c r="C207" s="8"/>
      <c r="D207" s="8"/>
      <c r="E207" s="7">
        <f>IF($C207="","",IF(AND(LEN(TRIM(UPPER(D207)))=10,CODE(MID(TRIM(UPPER(D207)),1,1))&gt;=65,CODE(MID(TRIM(UPPER(D207)),1,1))&lt;=90,CODE(MID(TRIM(UPPER(D207)),2,1))&gt;=65,CODE(MID(TRIM(UPPER(D207)),2,1))&lt;=90,CODE(MID(TRIM(UPPER(D207)),3,1))&gt;=65,CODE(MID(TRIM(UPPER(D207)),3,1))&lt;=90,CODE(MID(TRIM(UPPER(D207)),4,1))&gt;=65,CODE(MID(TRIM(UPPER(D207)),4,1))&lt;=90,CODE(MID(TRIM(UPPER(D207)),5,1))&gt;=65,CODE(MID(TRIM(UPPER(D207)),5,1))&lt;=90,CODE(MID(TRIM(UPPER(D207)),10,1))&gt;=65,CODE(MID(TRIM(UPPER(D207)),10,1))&lt;=90,CODE(MID(TRIM(UPPER(D207)),6,1))&gt;=48,CODE(MID(TRIM(UPPER(D207)),6,1))&lt;=57,CODE(MID(TRIM(UPPER(D207)),7,1))&gt;=48,CODE(MID(TRIM(UPPER(D207)),7,1))&lt;=57,CODE(MID(TRIM(UPPER(D207)),8,1))&gt;=48,CODE(MID(TRIM(UPPER(D207)),8,1))&lt;=57,CODE(MID(TRIM(UPPER(D207)),9,1))&gt;=48,CODE(MID(TRIM(UPPER(D207)),9,1))&lt;=57),"N","Y"))</f>
      </c>
      <c r="F207" s="7">
        <f>IF($C207="","",IF(LEN(D207)&lt;4,"",IF(UPPER(MID(D207,4,1))="P","Individual",IF(UPPER(MID(D207,4,1))="H","HUF",IF(UPPER(MID(D207,4,1))="C","Company",IF(UPPER(MID(D207,4,1))="F","Firm",IF(UPPER(MID(D207,4,1))="L","LLP",IF(UPPER(MID(D207,4,1))="T","Trust",IF(UPPER(MID(D207,4,1))="A","AOP","")))))))))</f>
      </c>
      <c r="G207" s="8"/>
      <c r="H207" s="7">
        <f>IF($C207="","",IF(R207&lt;&gt;"",R207,IF(G207="","",IF(E207="Y",SUMPRODUCT(('Rate Lookup'!$A$1:$A$37=G207)*'Rate Lookup'!$D$1:$D$37),IF(OR(F207="Individual",F207="HUF"),SUMPRODUCT(('Rate Lookup'!$A$1:$A$37=G207)*'Rate Lookup'!$B$1:$B$37),SUMPRODUCT(('Rate Lookup'!$A$1:$A$37=G207)*'Rate Lookup'!$C$1:$C$37)))))))</f>
      </c>
      <c r="I207" s="8"/>
      <c r="J207" s="8"/>
      <c r="K207" s="7">
        <f>IF($C207="","",IF(OR(P207="B",P207="D",P207="E",P207="N",P207="O",P207="P",P207="Q",P207="S",P207="Y",P207="Z"),0,ROUND(J207*H207/100,0)))</f>
      </c>
      <c r="L207" s="7">
        <f>IF($C207="","",0)</f>
      </c>
      <c r="M207" s="7">
        <f>IF($C207="","",0)</f>
      </c>
      <c r="N207" s="7">
        <f>IF($C207="","",IF(OR(K207=0,I207="",IFERROR(INDEX('Challan Master'!$D$4:$D$207,MATCH($B207,'Challan Master'!$S$4:$S$207,0)),"")="",IFERROR(INDEX('Challan Master'!$D$4:$D$207,MATCH($B207,'Challan Master'!$S$4:$S$207,0)),"")&lt;=0),0,IF(IFERROR(INDEX('Challan Master'!$D$4:$D$207,MATCH($B207,'Challan Master'!$S$4:$S$207,0)),"")&lt;=DATE(YEAR(I207),MONTH(I207)+1,7),0,ROUND(K207*0.015*((YEAR(IFERROR(INDEX('Challan Master'!$D$4:$D$207,MATCH($B207,'Challan Master'!$S$4:$S$207,0)),""))-YEAR(I207))*12+(MONTH(IFERROR(INDEX('Challan Master'!$D$4:$D$207,MATCH($B207,'Challan Master'!$S$4:$S$207,0)),""))-MONTH(I207))+1),0))))</f>
      </c>
      <c r="O207" s="7">
        <f>IF($C207="","",0)</f>
      </c>
      <c r="P207" s="8"/>
      <c r="Q207" s="8"/>
      <c r="R207" s="8"/>
      <c r="S207" s="8"/>
      <c r="T207" s="8"/>
      <c r="U207" s="7">
        <f>IF($B207="","",IFERROR(INDEX('Challan Master'!$AA$4:$AA$207,MATCH($B207,'Challan Master'!$S$4:$S$207,0)),""))</f>
      </c>
    </row>
  </sheetData>
  <sheetProtection sheet="1" formatCells="0" formatColumns="0" formatRows="0"/>
  <mergeCells count="2">
    <mergeCell ref="A1:U1"/>
    <mergeCell ref="A2:U2"/>
  </mergeCells>
  <conditionalFormatting sqref="A2:U2">
    <cfRule type="expression" dxfId="17" priority="1">
      <formula>ISNUMBER(SEARCH("VALIDATION FAILED",$A2))</formula>
    </cfRule>
    <cfRule type="expression" dxfId="18" priority="2">
      <formula>ISNUMBER(SEARCH("Validation Successful",$A2))</formula>
    </cfRule>
  </conditionalFormatting>
  <conditionalFormatting sqref="B4:B207">
    <cfRule type="expression" dxfId="19" priority="3">
      <formula>AND($C4&lt;&gt;"",$B4="")</formula>
    </cfRule>
  </conditionalFormatting>
  <conditionalFormatting sqref="D4:D207">
    <cfRule type="expression" dxfId="20" priority="4">
      <formula>$E4="Y"</formula>
    </cfRule>
  </conditionalFormatting>
  <conditionalFormatting sqref="A4:U207">
    <cfRule type="expression" dxfId="21" priority="5">
      <formula>$U4="Over-applied"</formula>
    </cfRule>
  </conditionalFormatting>
  <conditionalFormatting sqref="Q4:R207">
    <cfRule type="expression" dxfId="22" priority="6">
      <formula>AND($P4="A",OR($Q4="",$R4=""))</formula>
    </cfRule>
  </conditionalFormatting>
  <conditionalFormatting sqref="P4:P207">
    <cfRule type="expression" dxfId="23" priority="7">
      <formula>AND($P4="C",$E4&lt;&gt;"Y")</formula>
    </cfRule>
  </conditionalFormatting>
  <conditionalFormatting sqref="P4:P207">
    <cfRule type="expression" dxfId="24" priority="8">
      <formula>AND($P4="T",$E4="Y")</formula>
    </cfRule>
  </conditionalFormatting>
  <conditionalFormatting sqref="T4:T207">
    <cfRule type="expression" dxfId="25" priority="9">
      <formula>AND(OR($P4="D",$P4="E",$P4="N",$P4="O",$P4="P",$P4="Q",$P4="S",$P4="Z"),$T4="")</formula>
    </cfRule>
  </conditionalFormatting>
  <dataValidations count="10">
    <dataValidation type="list" allowBlank="1" showErrorMessage="1" errorTitle="Invalid Challan" error="Pick a challan from the dropdown — it must already exist on the Challan Master sheet." sqref="B10:B207">
      <formula1>'Challan Master'!$S$4:$S$207</formula1>
    </dataValidation>
    <dataValidation type="list" allowBlank="1" showErrorMessage="1" errorTitle="Invalid Challan" error="Pick a challan from the dropdown — it must already exist on the Challan Master sheet." sqref="B4:B207">
      <formula1>'Challan Master'!$S$4:$S$207</formula1>
    </dataValidation>
    <dataValidation type="list" allowBlank="1" showErrorMessage="1" errorTitle="Invalid Section" error="Pick a section from the dropdown list." sqref="G10:G207">
      <formula1>'Rate Lookup'!$A$1:$A$37</formula1>
    </dataValidation>
    <dataValidation type="list" allowBlank="1" showErrorMessage="1" errorTitle="Invalid Section" error="Pick a section from the dropdown list." sqref="G4:G207">
      <formula1>'Rate Lookup'!$A$1:$A$37</formula1>
    </dataValidation>
    <dataValidation type="date" allowBlank="1" showErrorMessage="1" errorTitle="Invalid Date" error="Enter a real date (use the date picker), between 01-Apr-2020 and 31-Mar-2030." sqref="I10:I207">
      <formula1>43922</formula1>
      <formula2>47573</formula2>
    </dataValidation>
    <dataValidation type="date" allowBlank="1" showErrorMessage="1" errorTitle="Invalid Date" error="Enter a real date (use the date picker), between 01-Apr-2020 and 31-Mar-2030." sqref="I4:I207">
      <formula1>43922</formula1>
      <formula2>47573</formula2>
    </dataValidation>
    <dataValidation type="decimal" operator="greaterThanOrEqual" allowBlank="1" showErrorMessage="1" errorTitle="Invalid Amount" error="Must be a number of 0 or more." sqref="J10:J207">
      <formula1>0</formula1>
    </dataValidation>
    <dataValidation type="decimal" operator="greaterThanOrEqual" allowBlank="1" showErrorMessage="1" errorTitle="Invalid Amount" error="Must be a number of 0 or more." sqref="J4:J207">
      <formula1>0</formula1>
    </dataValidation>
    <dataValidation type="list" allowBlank="1" showErrorMessage="1" errorTitle="Invalid Reason Code" error="Pick a Reason Code from the dropdown (A/B/C/D/E/N/O/P/Q/S/T/Y/Z)." sqref="P10:P207">
      <formula1>"A,B,C,D,E,N,O,P,Q,S,T,Y,Z"</formula1>
    </dataValidation>
    <dataValidation type="list" allowBlank="1" showErrorMessage="1" errorTitle="Invalid Reason Code" error="Pick a Reason Code from the dropdown (A/B/C/D/E/N/O/P/Q/S/T/Y/Z)." sqref="P4:P207">
      <formula1>"A,B,C,D,E,N,O,P,Q,S,T,Y,Z"</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7"/>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40" customWidth="1"/>
    <col min="3" max="3" width="26" customWidth="1"/>
    <col min="4" max="6" width="12" customWidth="1"/>
    <col min="7" max="7" width="40" customWidth="1"/>
    <col min="8" max="8" width="12" customWidth="1"/>
    <col min="9" max="15" width="13" customWidth="1"/>
    <col min="16" max="16" width="12" customWidth="1"/>
    <col min="17" max="17" width="20" customWidth="1"/>
    <col min="18" max="18" width="14" customWidth="1"/>
    <col min="19" max="19" width="16" customWidth="1"/>
    <col min="20" max="20" width="18" customWidth="1"/>
    <col min="21" max="21" width="14" customWidth="1"/>
  </cols>
  <sheetData>
    <row r="1" ht="22" customHeight="1" spans="1:22" x14ac:dyDescent="0.25">
      <c r="A1" s="3" t="s">
        <v>104</v>
      </c>
      <c r="B1" s="3"/>
      <c r="C1" s="3"/>
      <c r="D1" s="3"/>
      <c r="E1" s="3"/>
      <c r="F1" s="3"/>
      <c r="G1" s="3"/>
      <c r="H1" s="3"/>
      <c r="I1" s="3"/>
      <c r="J1" s="3"/>
      <c r="K1" s="3"/>
      <c r="L1" s="3"/>
      <c r="M1" s="3"/>
      <c r="N1" s="3"/>
      <c r="O1" s="3"/>
      <c r="P1" s="3"/>
      <c r="Q1" s="3"/>
      <c r="R1" s="3"/>
      <c r="S1" s="3"/>
      <c r="T1" s="3"/>
      <c r="U1" s="3"/>
    </row>
    <row r="2" ht="20" customHeight="1" spans="1:22" x14ac:dyDescent="0.25">
      <c r="A2" s="5">
        <f>IF(AND(SUMPRODUCT(($C$4:$C$207&lt;&gt;"")*($B$4:$B$207=""))=0,SUMPRODUCT(($C$4:$C$207&lt;&gt;"")*($U$4:$U$207="Over-applied"))=0),"✅ Validation Successful — every entry has a Challan selected, none reference an over-applied challan ("&amp;COUNTIF($C$4:$C$207,"&lt;&gt;")&amp;" entries checked).","❌ VALIDATION FAILED — "&amp;SUMPRODUCT(($C$4:$C$207&lt;&gt;"")*($B$4:$B$207=""))&amp;" entr(y/ies) missing a Challan selection, "&amp;SUMPRODUCT(($C$4:$C$207&lt;&gt;"")*($U$4:$U$207="Over-applied"))&amp;" entr(y/ies) posted against an Over-applied challan. See the pink/red-highlighted row(s) below.")</f>
      </c>
      <c r="B2" s="5"/>
      <c r="C2" s="5"/>
      <c r="D2" s="5"/>
      <c r="E2" s="5"/>
      <c r="F2" s="5"/>
      <c r="G2" s="5"/>
      <c r="H2" s="5"/>
      <c r="I2" s="5"/>
      <c r="J2" s="5"/>
      <c r="K2" s="5"/>
      <c r="L2" s="5"/>
      <c r="M2" s="5"/>
      <c r="N2" s="5"/>
      <c r="O2" s="5"/>
      <c r="P2" s="5"/>
      <c r="Q2" s="5"/>
      <c r="R2" s="5"/>
      <c r="S2" s="5"/>
      <c r="T2" s="5"/>
      <c r="U2" s="5"/>
    </row>
    <row r="3" ht="40" customHeight="1" spans="1:22" x14ac:dyDescent="0.25">
      <c r="A3" s="6" t="s">
        <v>56</v>
      </c>
      <c r="B3" s="6" t="s">
        <v>84</v>
      </c>
      <c r="C3" s="6" t="s">
        <v>85</v>
      </c>
      <c r="D3" s="6" t="s">
        <v>86</v>
      </c>
      <c r="E3" s="6" t="s">
        <v>87</v>
      </c>
      <c r="F3" s="6" t="s">
        <v>88</v>
      </c>
      <c r="G3" s="6" t="s">
        <v>89</v>
      </c>
      <c r="H3" s="6" t="s">
        <v>90</v>
      </c>
      <c r="I3" s="6" t="s">
        <v>91</v>
      </c>
      <c r="J3" s="6" t="s">
        <v>92</v>
      </c>
      <c r="K3" s="6" t="s">
        <v>93</v>
      </c>
      <c r="L3" s="6" t="s">
        <v>94</v>
      </c>
      <c r="M3" s="6" t="s">
        <v>95</v>
      </c>
      <c r="N3" s="6" t="s">
        <v>96</v>
      </c>
      <c r="O3" s="6" t="s">
        <v>97</v>
      </c>
      <c r="P3" s="6" t="s">
        <v>98</v>
      </c>
      <c r="Q3" s="6" t="s">
        <v>99</v>
      </c>
      <c r="R3" s="6" t="s">
        <v>100</v>
      </c>
      <c r="S3" s="6" t="s">
        <v>101</v>
      </c>
      <c r="T3" s="6" t="s">
        <v>73</v>
      </c>
      <c r="U3" s="6" t="s">
        <v>102</v>
      </c>
    </row>
    <row r="4" spans="1:22" x14ac:dyDescent="0.25">
      <c r="A4" s="7">
        <f>IF($C4="","",COUNTIF($C$4:$C4,"&lt;&gt;"))</f>
      </c>
      <c r="B4" s="8"/>
      <c r="C4" s="8"/>
      <c r="D4" s="8"/>
      <c r="E4" s="7">
        <f>IF($C4="","",IF(AND(LEN(TRIM(UPPER(D4)))=10,CODE(MID(TRIM(UPPER(D4)),1,1))&gt;=65,CODE(MID(TRIM(UPPER(D4)),1,1))&lt;=90,CODE(MID(TRIM(UPPER(D4)),2,1))&gt;=65,CODE(MID(TRIM(UPPER(D4)),2,1))&lt;=90,CODE(MID(TRIM(UPPER(D4)),3,1))&gt;=65,CODE(MID(TRIM(UPPER(D4)),3,1))&lt;=90,CODE(MID(TRIM(UPPER(D4)),4,1))&gt;=65,CODE(MID(TRIM(UPPER(D4)),4,1))&lt;=90,CODE(MID(TRIM(UPPER(D4)),5,1))&gt;=65,CODE(MID(TRIM(UPPER(D4)),5,1))&lt;=90,CODE(MID(TRIM(UPPER(D4)),10,1))&gt;=65,CODE(MID(TRIM(UPPER(D4)),10,1))&lt;=90,CODE(MID(TRIM(UPPER(D4)),6,1))&gt;=48,CODE(MID(TRIM(UPPER(D4)),6,1))&lt;=57,CODE(MID(TRIM(UPPER(D4)),7,1))&gt;=48,CODE(MID(TRIM(UPPER(D4)),7,1))&lt;=57,CODE(MID(TRIM(UPPER(D4)),8,1))&gt;=48,CODE(MID(TRIM(UPPER(D4)),8,1))&lt;=57,CODE(MID(TRIM(UPPER(D4)),9,1))&gt;=48,CODE(MID(TRIM(UPPER(D4)),9,1))&lt;=57),"N","Y"))</f>
      </c>
      <c r="F4" s="7">
        <f>IF($C4="","",IF(LEN(D4)&lt;4,"",IF(UPPER(MID(D4,4,1))="P","Individual",IF(UPPER(MID(D4,4,1))="H","HUF",IF(UPPER(MID(D4,4,1))="C","Company",IF(UPPER(MID(D4,4,1))="F","Firm",IF(UPPER(MID(D4,4,1))="L","LLP",IF(UPPER(MID(D4,4,1))="T","Trust",IF(UPPER(MID(D4,4,1))="A","AOP","")))))))))</f>
      </c>
      <c r="G4" s="8"/>
      <c r="H4" s="7">
        <f>IF($C4="","",IF(R4&lt;&gt;"",R4,IF(G4="","",IF(E4="Y",SUMPRODUCT(('Rate Lookup'!$A$1:$A$37=G4)*'Rate Lookup'!$D$1:$D$37),IF(OR(F4="Individual",F4="HUF"),SUMPRODUCT(('Rate Lookup'!$A$1:$A$37=G4)*'Rate Lookup'!$B$1:$B$37),SUMPRODUCT(('Rate Lookup'!$A$1:$A$37=G4)*'Rate Lookup'!$C$1:$C$37)))))))</f>
      </c>
      <c r="I4" s="8"/>
      <c r="J4" s="8"/>
      <c r="K4" s="7">
        <f>IF($C4="","",IF(OR(P4="B",P4="D",P4="E",P4="N",P4="O",P4="P",P4="Q",P4="S",P4="Y",P4="Z"),0,ROUND(J4*H4/100,0)))</f>
      </c>
      <c r="L4" s="7">
        <f>IF($C4="","",0)</f>
      </c>
      <c r="M4" s="7">
        <f>IF($C4="","",0)</f>
      </c>
      <c r="N4" s="7">
        <f>IF($C4="","",IF(OR(K4=0,I4="",IFERROR(INDEX('Challan Master'!$D$4:$D$207,MATCH($B4,'Challan Master'!$S$4:$S$207,0)),"")="",IFERROR(INDEX('Challan Master'!$D$4:$D$207,MATCH($B4,'Challan Master'!$S$4:$S$207,0)),"")&lt;=0),0,IF(IFERROR(INDEX('Challan Master'!$D$4:$D$207,MATCH($B4,'Challan Master'!$S$4:$S$207,0)),"")&lt;=DATE(YEAR(I4),MONTH(I4)+1,7),0,ROUND(K4*0.015*((YEAR(IFERROR(INDEX('Challan Master'!$D$4:$D$207,MATCH($B4,'Challan Master'!$S$4:$S$207,0)),""))-YEAR(I4))*12+(MONTH(IFERROR(INDEX('Challan Master'!$D$4:$D$207,MATCH($B4,'Challan Master'!$S$4:$S$207,0)),""))-MONTH(I4))+1),0))))</f>
      </c>
      <c r="O4" s="7">
        <f>IF($C4="","",0)</f>
      </c>
      <c r="P4" s="8"/>
      <c r="Q4" s="8"/>
      <c r="R4" s="8"/>
      <c r="S4" s="8"/>
      <c r="T4" s="8"/>
      <c r="U4" s="7">
        <f>IF($B4="","",IFERROR(INDEX('Challan Master'!$AA$4:$AA$207,MATCH($B4,'Challan Master'!$S$4:$S$207,0)),""))</f>
      </c>
    </row>
    <row r="5" spans="1:22" x14ac:dyDescent="0.25">
      <c r="A5" s="7">
        <f>IF($C5="","",COUNTIF($C$4:$C5,"&lt;&gt;"))</f>
      </c>
      <c r="B5" s="8"/>
      <c r="C5" s="8"/>
      <c r="D5" s="8"/>
      <c r="E5" s="7">
        <f>IF($C5="","",IF(AND(LEN(TRIM(UPPER(D5)))=10,CODE(MID(TRIM(UPPER(D5)),1,1))&gt;=65,CODE(MID(TRIM(UPPER(D5)),1,1))&lt;=90,CODE(MID(TRIM(UPPER(D5)),2,1))&gt;=65,CODE(MID(TRIM(UPPER(D5)),2,1))&lt;=90,CODE(MID(TRIM(UPPER(D5)),3,1))&gt;=65,CODE(MID(TRIM(UPPER(D5)),3,1))&lt;=90,CODE(MID(TRIM(UPPER(D5)),4,1))&gt;=65,CODE(MID(TRIM(UPPER(D5)),4,1))&lt;=90,CODE(MID(TRIM(UPPER(D5)),5,1))&gt;=65,CODE(MID(TRIM(UPPER(D5)),5,1))&lt;=90,CODE(MID(TRIM(UPPER(D5)),10,1))&gt;=65,CODE(MID(TRIM(UPPER(D5)),10,1))&lt;=90,CODE(MID(TRIM(UPPER(D5)),6,1))&gt;=48,CODE(MID(TRIM(UPPER(D5)),6,1))&lt;=57,CODE(MID(TRIM(UPPER(D5)),7,1))&gt;=48,CODE(MID(TRIM(UPPER(D5)),7,1))&lt;=57,CODE(MID(TRIM(UPPER(D5)),8,1))&gt;=48,CODE(MID(TRIM(UPPER(D5)),8,1))&lt;=57,CODE(MID(TRIM(UPPER(D5)),9,1))&gt;=48,CODE(MID(TRIM(UPPER(D5)),9,1))&lt;=57),"N","Y"))</f>
      </c>
      <c r="F5" s="7">
        <f>IF($C5="","",IF(LEN(D5)&lt;4,"",IF(UPPER(MID(D5,4,1))="P","Individual",IF(UPPER(MID(D5,4,1))="H","HUF",IF(UPPER(MID(D5,4,1))="C","Company",IF(UPPER(MID(D5,4,1))="F","Firm",IF(UPPER(MID(D5,4,1))="L","LLP",IF(UPPER(MID(D5,4,1))="T","Trust",IF(UPPER(MID(D5,4,1))="A","AOP","")))))))))</f>
      </c>
      <c r="G5" s="8"/>
      <c r="H5" s="7">
        <f>IF($C5="","",IF(R5&lt;&gt;"",R5,IF(G5="","",IF(E5="Y",SUMPRODUCT(('Rate Lookup'!$A$1:$A$37=G5)*'Rate Lookup'!$D$1:$D$37),IF(OR(F5="Individual",F5="HUF"),SUMPRODUCT(('Rate Lookup'!$A$1:$A$37=G5)*'Rate Lookup'!$B$1:$B$37),SUMPRODUCT(('Rate Lookup'!$A$1:$A$37=G5)*'Rate Lookup'!$C$1:$C$37)))))))</f>
      </c>
      <c r="I5" s="8"/>
      <c r="J5" s="8"/>
      <c r="K5" s="7">
        <f>IF($C5="","",IF(OR(P5="B",P5="D",P5="E",P5="N",P5="O",P5="P",P5="Q",P5="S",P5="Y",P5="Z"),0,ROUND(J5*H5/100,0)))</f>
      </c>
      <c r="L5" s="7">
        <f>IF($C5="","",0)</f>
      </c>
      <c r="M5" s="7">
        <f>IF($C5="","",0)</f>
      </c>
      <c r="N5" s="7">
        <f>IF($C5="","",IF(OR(K5=0,I5="",IFERROR(INDEX('Challan Master'!$D$4:$D$207,MATCH($B5,'Challan Master'!$S$4:$S$207,0)),"")="",IFERROR(INDEX('Challan Master'!$D$4:$D$207,MATCH($B5,'Challan Master'!$S$4:$S$207,0)),"")&lt;=0),0,IF(IFERROR(INDEX('Challan Master'!$D$4:$D$207,MATCH($B5,'Challan Master'!$S$4:$S$207,0)),"")&lt;=DATE(YEAR(I5),MONTH(I5)+1,7),0,ROUND(K5*0.015*((YEAR(IFERROR(INDEX('Challan Master'!$D$4:$D$207,MATCH($B5,'Challan Master'!$S$4:$S$207,0)),""))-YEAR(I5))*12+(MONTH(IFERROR(INDEX('Challan Master'!$D$4:$D$207,MATCH($B5,'Challan Master'!$S$4:$S$207,0)),""))-MONTH(I5))+1),0))))</f>
      </c>
      <c r="O5" s="7">
        <f>IF($C5="","",0)</f>
      </c>
      <c r="P5" s="8"/>
      <c r="Q5" s="8"/>
      <c r="R5" s="8"/>
      <c r="S5" s="8"/>
      <c r="T5" s="8"/>
      <c r="U5" s="7">
        <f>IF($B5="","",IFERROR(INDEX('Challan Master'!$AA$4:$AA$207,MATCH($B5,'Challan Master'!$S$4:$S$207,0)),""))</f>
      </c>
    </row>
    <row r="6" spans="1:22" x14ac:dyDescent="0.25">
      <c r="A6" s="7">
        <f>IF($C6="","",COUNTIF($C$4:$C6,"&lt;&gt;"))</f>
      </c>
      <c r="B6" s="8"/>
      <c r="C6" s="8"/>
      <c r="D6" s="8"/>
      <c r="E6" s="7">
        <f>IF($C6="","",IF(AND(LEN(TRIM(UPPER(D6)))=10,CODE(MID(TRIM(UPPER(D6)),1,1))&gt;=65,CODE(MID(TRIM(UPPER(D6)),1,1))&lt;=90,CODE(MID(TRIM(UPPER(D6)),2,1))&gt;=65,CODE(MID(TRIM(UPPER(D6)),2,1))&lt;=90,CODE(MID(TRIM(UPPER(D6)),3,1))&gt;=65,CODE(MID(TRIM(UPPER(D6)),3,1))&lt;=90,CODE(MID(TRIM(UPPER(D6)),4,1))&gt;=65,CODE(MID(TRIM(UPPER(D6)),4,1))&lt;=90,CODE(MID(TRIM(UPPER(D6)),5,1))&gt;=65,CODE(MID(TRIM(UPPER(D6)),5,1))&lt;=90,CODE(MID(TRIM(UPPER(D6)),10,1))&gt;=65,CODE(MID(TRIM(UPPER(D6)),10,1))&lt;=90,CODE(MID(TRIM(UPPER(D6)),6,1))&gt;=48,CODE(MID(TRIM(UPPER(D6)),6,1))&lt;=57,CODE(MID(TRIM(UPPER(D6)),7,1))&gt;=48,CODE(MID(TRIM(UPPER(D6)),7,1))&lt;=57,CODE(MID(TRIM(UPPER(D6)),8,1))&gt;=48,CODE(MID(TRIM(UPPER(D6)),8,1))&lt;=57,CODE(MID(TRIM(UPPER(D6)),9,1))&gt;=48,CODE(MID(TRIM(UPPER(D6)),9,1))&lt;=57),"N","Y"))</f>
      </c>
      <c r="F6" s="7">
        <f>IF($C6="","",IF(LEN(D6)&lt;4,"",IF(UPPER(MID(D6,4,1))="P","Individual",IF(UPPER(MID(D6,4,1))="H","HUF",IF(UPPER(MID(D6,4,1))="C","Company",IF(UPPER(MID(D6,4,1))="F","Firm",IF(UPPER(MID(D6,4,1))="L","LLP",IF(UPPER(MID(D6,4,1))="T","Trust",IF(UPPER(MID(D6,4,1))="A","AOP","")))))))))</f>
      </c>
      <c r="G6" s="8"/>
      <c r="H6" s="7">
        <f>IF($C6="","",IF(R6&lt;&gt;"",R6,IF(G6="","",IF(E6="Y",SUMPRODUCT(('Rate Lookup'!$A$1:$A$37=G6)*'Rate Lookup'!$D$1:$D$37),IF(OR(F6="Individual",F6="HUF"),SUMPRODUCT(('Rate Lookup'!$A$1:$A$37=G6)*'Rate Lookup'!$B$1:$B$37),SUMPRODUCT(('Rate Lookup'!$A$1:$A$37=G6)*'Rate Lookup'!$C$1:$C$37)))))))</f>
      </c>
      <c r="I6" s="8"/>
      <c r="J6" s="8"/>
      <c r="K6" s="7">
        <f>IF($C6="","",IF(OR(P6="B",P6="D",P6="E",P6="N",P6="O",P6="P",P6="Q",P6="S",P6="Y",P6="Z"),0,ROUND(J6*H6/100,0)))</f>
      </c>
      <c r="L6" s="7">
        <f>IF($C6="","",0)</f>
      </c>
      <c r="M6" s="7">
        <f>IF($C6="","",0)</f>
      </c>
      <c r="N6" s="7">
        <f>IF($C6="","",IF(OR(K6=0,I6="",IFERROR(INDEX('Challan Master'!$D$4:$D$207,MATCH($B6,'Challan Master'!$S$4:$S$207,0)),"")="",IFERROR(INDEX('Challan Master'!$D$4:$D$207,MATCH($B6,'Challan Master'!$S$4:$S$207,0)),"")&lt;=0),0,IF(IFERROR(INDEX('Challan Master'!$D$4:$D$207,MATCH($B6,'Challan Master'!$S$4:$S$207,0)),"")&lt;=DATE(YEAR(I6),MONTH(I6)+1,7),0,ROUND(K6*0.015*((YEAR(IFERROR(INDEX('Challan Master'!$D$4:$D$207,MATCH($B6,'Challan Master'!$S$4:$S$207,0)),""))-YEAR(I6))*12+(MONTH(IFERROR(INDEX('Challan Master'!$D$4:$D$207,MATCH($B6,'Challan Master'!$S$4:$S$207,0)),""))-MONTH(I6))+1),0))))</f>
      </c>
      <c r="O6" s="7">
        <f>IF($C6="","",0)</f>
      </c>
      <c r="P6" s="8"/>
      <c r="Q6" s="8"/>
      <c r="R6" s="8"/>
      <c r="S6" s="8"/>
      <c r="T6" s="8"/>
      <c r="U6" s="7">
        <f>IF($B6="","",IFERROR(INDEX('Challan Master'!$AA$4:$AA$207,MATCH($B6,'Challan Master'!$S$4:$S$207,0)),""))</f>
      </c>
    </row>
    <row r="7" spans="1:22" x14ac:dyDescent="0.25">
      <c r="A7" s="7">
        <f>IF($C7="","",COUNTIF($C$4:$C7,"&lt;&gt;"))</f>
      </c>
      <c r="B7" s="8"/>
      <c r="C7" s="8"/>
      <c r="D7" s="8"/>
      <c r="E7" s="7">
        <f>IF($C7="","",IF(AND(LEN(TRIM(UPPER(D7)))=10,CODE(MID(TRIM(UPPER(D7)),1,1))&gt;=65,CODE(MID(TRIM(UPPER(D7)),1,1))&lt;=90,CODE(MID(TRIM(UPPER(D7)),2,1))&gt;=65,CODE(MID(TRIM(UPPER(D7)),2,1))&lt;=90,CODE(MID(TRIM(UPPER(D7)),3,1))&gt;=65,CODE(MID(TRIM(UPPER(D7)),3,1))&lt;=90,CODE(MID(TRIM(UPPER(D7)),4,1))&gt;=65,CODE(MID(TRIM(UPPER(D7)),4,1))&lt;=90,CODE(MID(TRIM(UPPER(D7)),5,1))&gt;=65,CODE(MID(TRIM(UPPER(D7)),5,1))&lt;=90,CODE(MID(TRIM(UPPER(D7)),10,1))&gt;=65,CODE(MID(TRIM(UPPER(D7)),10,1))&lt;=90,CODE(MID(TRIM(UPPER(D7)),6,1))&gt;=48,CODE(MID(TRIM(UPPER(D7)),6,1))&lt;=57,CODE(MID(TRIM(UPPER(D7)),7,1))&gt;=48,CODE(MID(TRIM(UPPER(D7)),7,1))&lt;=57,CODE(MID(TRIM(UPPER(D7)),8,1))&gt;=48,CODE(MID(TRIM(UPPER(D7)),8,1))&lt;=57,CODE(MID(TRIM(UPPER(D7)),9,1))&gt;=48,CODE(MID(TRIM(UPPER(D7)),9,1))&lt;=57),"N","Y"))</f>
      </c>
      <c r="F7" s="7">
        <f>IF($C7="","",IF(LEN(D7)&lt;4,"",IF(UPPER(MID(D7,4,1))="P","Individual",IF(UPPER(MID(D7,4,1))="H","HUF",IF(UPPER(MID(D7,4,1))="C","Company",IF(UPPER(MID(D7,4,1))="F","Firm",IF(UPPER(MID(D7,4,1))="L","LLP",IF(UPPER(MID(D7,4,1))="T","Trust",IF(UPPER(MID(D7,4,1))="A","AOP","")))))))))</f>
      </c>
      <c r="G7" s="8"/>
      <c r="H7" s="7">
        <f>IF($C7="","",IF(R7&lt;&gt;"",R7,IF(G7="","",IF(E7="Y",SUMPRODUCT(('Rate Lookup'!$A$1:$A$37=G7)*'Rate Lookup'!$D$1:$D$37),IF(OR(F7="Individual",F7="HUF"),SUMPRODUCT(('Rate Lookup'!$A$1:$A$37=G7)*'Rate Lookup'!$B$1:$B$37),SUMPRODUCT(('Rate Lookup'!$A$1:$A$37=G7)*'Rate Lookup'!$C$1:$C$37)))))))</f>
      </c>
      <c r="I7" s="8"/>
      <c r="J7" s="8"/>
      <c r="K7" s="7">
        <f>IF($C7="","",IF(OR(P7="B",P7="D",P7="E",P7="N",P7="O",P7="P",P7="Q",P7="S",P7="Y",P7="Z"),0,ROUND(J7*H7/100,0)))</f>
      </c>
      <c r="L7" s="7">
        <f>IF($C7="","",0)</f>
      </c>
      <c r="M7" s="7">
        <f>IF($C7="","",0)</f>
      </c>
      <c r="N7" s="7">
        <f>IF($C7="","",IF(OR(K7=0,I7="",IFERROR(INDEX('Challan Master'!$D$4:$D$207,MATCH($B7,'Challan Master'!$S$4:$S$207,0)),"")="",IFERROR(INDEX('Challan Master'!$D$4:$D$207,MATCH($B7,'Challan Master'!$S$4:$S$207,0)),"")&lt;=0),0,IF(IFERROR(INDEX('Challan Master'!$D$4:$D$207,MATCH($B7,'Challan Master'!$S$4:$S$207,0)),"")&lt;=DATE(YEAR(I7),MONTH(I7)+1,7),0,ROUND(K7*0.015*((YEAR(IFERROR(INDEX('Challan Master'!$D$4:$D$207,MATCH($B7,'Challan Master'!$S$4:$S$207,0)),""))-YEAR(I7))*12+(MONTH(IFERROR(INDEX('Challan Master'!$D$4:$D$207,MATCH($B7,'Challan Master'!$S$4:$S$207,0)),""))-MONTH(I7))+1),0))))</f>
      </c>
      <c r="O7" s="7">
        <f>IF($C7="","",0)</f>
      </c>
      <c r="P7" s="8"/>
      <c r="Q7" s="8"/>
      <c r="R7" s="8"/>
      <c r="S7" s="8"/>
      <c r="T7" s="8"/>
      <c r="U7" s="7">
        <f>IF($B7="","",IFERROR(INDEX('Challan Master'!$AA$4:$AA$207,MATCH($B7,'Challan Master'!$S$4:$S$207,0)),""))</f>
      </c>
    </row>
    <row r="8" spans="1:22" x14ac:dyDescent="0.25">
      <c r="A8" s="7">
        <f>IF($C8="","",COUNTIF($C$4:$C8,"&lt;&gt;"))</f>
      </c>
      <c r="B8" s="8"/>
      <c r="C8" s="8"/>
      <c r="D8" s="8"/>
      <c r="E8" s="7">
        <f>IF($C8="","",IF(AND(LEN(TRIM(UPPER(D8)))=10,CODE(MID(TRIM(UPPER(D8)),1,1))&gt;=65,CODE(MID(TRIM(UPPER(D8)),1,1))&lt;=90,CODE(MID(TRIM(UPPER(D8)),2,1))&gt;=65,CODE(MID(TRIM(UPPER(D8)),2,1))&lt;=90,CODE(MID(TRIM(UPPER(D8)),3,1))&gt;=65,CODE(MID(TRIM(UPPER(D8)),3,1))&lt;=90,CODE(MID(TRIM(UPPER(D8)),4,1))&gt;=65,CODE(MID(TRIM(UPPER(D8)),4,1))&lt;=90,CODE(MID(TRIM(UPPER(D8)),5,1))&gt;=65,CODE(MID(TRIM(UPPER(D8)),5,1))&lt;=90,CODE(MID(TRIM(UPPER(D8)),10,1))&gt;=65,CODE(MID(TRIM(UPPER(D8)),10,1))&lt;=90,CODE(MID(TRIM(UPPER(D8)),6,1))&gt;=48,CODE(MID(TRIM(UPPER(D8)),6,1))&lt;=57,CODE(MID(TRIM(UPPER(D8)),7,1))&gt;=48,CODE(MID(TRIM(UPPER(D8)),7,1))&lt;=57,CODE(MID(TRIM(UPPER(D8)),8,1))&gt;=48,CODE(MID(TRIM(UPPER(D8)),8,1))&lt;=57,CODE(MID(TRIM(UPPER(D8)),9,1))&gt;=48,CODE(MID(TRIM(UPPER(D8)),9,1))&lt;=57),"N","Y"))</f>
      </c>
      <c r="F8" s="7">
        <f>IF($C8="","",IF(LEN(D8)&lt;4,"",IF(UPPER(MID(D8,4,1))="P","Individual",IF(UPPER(MID(D8,4,1))="H","HUF",IF(UPPER(MID(D8,4,1))="C","Company",IF(UPPER(MID(D8,4,1))="F","Firm",IF(UPPER(MID(D8,4,1))="L","LLP",IF(UPPER(MID(D8,4,1))="T","Trust",IF(UPPER(MID(D8,4,1))="A","AOP","")))))))))</f>
      </c>
      <c r="G8" s="8"/>
      <c r="H8" s="7">
        <f>IF($C8="","",IF(R8&lt;&gt;"",R8,IF(G8="","",IF(E8="Y",SUMPRODUCT(('Rate Lookup'!$A$1:$A$37=G8)*'Rate Lookup'!$D$1:$D$37),IF(OR(F8="Individual",F8="HUF"),SUMPRODUCT(('Rate Lookup'!$A$1:$A$37=G8)*'Rate Lookup'!$B$1:$B$37),SUMPRODUCT(('Rate Lookup'!$A$1:$A$37=G8)*'Rate Lookup'!$C$1:$C$37)))))))</f>
      </c>
      <c r="I8" s="8"/>
      <c r="J8" s="8"/>
      <c r="K8" s="7">
        <f>IF($C8="","",IF(OR(P8="B",P8="D",P8="E",P8="N",P8="O",P8="P",P8="Q",P8="S",P8="Y",P8="Z"),0,ROUND(J8*H8/100,0)))</f>
      </c>
      <c r="L8" s="7">
        <f>IF($C8="","",0)</f>
      </c>
      <c r="M8" s="7">
        <f>IF($C8="","",0)</f>
      </c>
      <c r="N8" s="7">
        <f>IF($C8="","",IF(OR(K8=0,I8="",IFERROR(INDEX('Challan Master'!$D$4:$D$207,MATCH($B8,'Challan Master'!$S$4:$S$207,0)),"")="",IFERROR(INDEX('Challan Master'!$D$4:$D$207,MATCH($B8,'Challan Master'!$S$4:$S$207,0)),"")&lt;=0),0,IF(IFERROR(INDEX('Challan Master'!$D$4:$D$207,MATCH($B8,'Challan Master'!$S$4:$S$207,0)),"")&lt;=DATE(YEAR(I8),MONTH(I8)+1,7),0,ROUND(K8*0.015*((YEAR(IFERROR(INDEX('Challan Master'!$D$4:$D$207,MATCH($B8,'Challan Master'!$S$4:$S$207,0)),""))-YEAR(I8))*12+(MONTH(IFERROR(INDEX('Challan Master'!$D$4:$D$207,MATCH($B8,'Challan Master'!$S$4:$S$207,0)),""))-MONTH(I8))+1),0))))</f>
      </c>
      <c r="O8" s="7">
        <f>IF($C8="","",0)</f>
      </c>
      <c r="P8" s="8"/>
      <c r="Q8" s="8"/>
      <c r="R8" s="8"/>
      <c r="S8" s="8"/>
      <c r="T8" s="8"/>
      <c r="U8" s="7">
        <f>IF($B8="","",IFERROR(INDEX('Challan Master'!$AA$4:$AA$207,MATCH($B8,'Challan Master'!$S$4:$S$207,0)),""))</f>
      </c>
    </row>
    <row r="9" spans="1:22" x14ac:dyDescent="0.25">
      <c r="A9" s="7">
        <f>IF($C9="","",COUNTIF($C$4:$C9,"&lt;&gt;"))</f>
      </c>
      <c r="B9" s="8"/>
      <c r="C9" s="8"/>
      <c r="D9" s="8"/>
      <c r="E9" s="7">
        <f>IF($C9="","",IF(AND(LEN(TRIM(UPPER(D9)))=10,CODE(MID(TRIM(UPPER(D9)),1,1))&gt;=65,CODE(MID(TRIM(UPPER(D9)),1,1))&lt;=90,CODE(MID(TRIM(UPPER(D9)),2,1))&gt;=65,CODE(MID(TRIM(UPPER(D9)),2,1))&lt;=90,CODE(MID(TRIM(UPPER(D9)),3,1))&gt;=65,CODE(MID(TRIM(UPPER(D9)),3,1))&lt;=90,CODE(MID(TRIM(UPPER(D9)),4,1))&gt;=65,CODE(MID(TRIM(UPPER(D9)),4,1))&lt;=90,CODE(MID(TRIM(UPPER(D9)),5,1))&gt;=65,CODE(MID(TRIM(UPPER(D9)),5,1))&lt;=90,CODE(MID(TRIM(UPPER(D9)),10,1))&gt;=65,CODE(MID(TRIM(UPPER(D9)),10,1))&lt;=90,CODE(MID(TRIM(UPPER(D9)),6,1))&gt;=48,CODE(MID(TRIM(UPPER(D9)),6,1))&lt;=57,CODE(MID(TRIM(UPPER(D9)),7,1))&gt;=48,CODE(MID(TRIM(UPPER(D9)),7,1))&lt;=57,CODE(MID(TRIM(UPPER(D9)),8,1))&gt;=48,CODE(MID(TRIM(UPPER(D9)),8,1))&lt;=57,CODE(MID(TRIM(UPPER(D9)),9,1))&gt;=48,CODE(MID(TRIM(UPPER(D9)),9,1))&lt;=57),"N","Y"))</f>
      </c>
      <c r="F9" s="7">
        <f>IF($C9="","",IF(LEN(D9)&lt;4,"",IF(UPPER(MID(D9,4,1))="P","Individual",IF(UPPER(MID(D9,4,1))="H","HUF",IF(UPPER(MID(D9,4,1))="C","Company",IF(UPPER(MID(D9,4,1))="F","Firm",IF(UPPER(MID(D9,4,1))="L","LLP",IF(UPPER(MID(D9,4,1))="T","Trust",IF(UPPER(MID(D9,4,1))="A","AOP","")))))))))</f>
      </c>
      <c r="G9" s="8"/>
      <c r="H9" s="7">
        <f>IF($C9="","",IF(R9&lt;&gt;"",R9,IF(G9="","",IF(E9="Y",SUMPRODUCT(('Rate Lookup'!$A$1:$A$37=G9)*'Rate Lookup'!$D$1:$D$37),IF(OR(F9="Individual",F9="HUF"),SUMPRODUCT(('Rate Lookup'!$A$1:$A$37=G9)*'Rate Lookup'!$B$1:$B$37),SUMPRODUCT(('Rate Lookup'!$A$1:$A$37=G9)*'Rate Lookup'!$C$1:$C$37)))))))</f>
      </c>
      <c r="I9" s="8"/>
      <c r="J9" s="8"/>
      <c r="K9" s="7">
        <f>IF($C9="","",IF(OR(P9="B",P9="D",P9="E",P9="N",P9="O",P9="P",P9="Q",P9="S",P9="Y",P9="Z"),0,ROUND(J9*H9/100,0)))</f>
      </c>
      <c r="L9" s="7">
        <f>IF($C9="","",0)</f>
      </c>
      <c r="M9" s="7">
        <f>IF($C9="","",0)</f>
      </c>
      <c r="N9" s="7">
        <f>IF($C9="","",IF(OR(K9=0,I9="",IFERROR(INDEX('Challan Master'!$D$4:$D$207,MATCH($B9,'Challan Master'!$S$4:$S$207,0)),"")="",IFERROR(INDEX('Challan Master'!$D$4:$D$207,MATCH($B9,'Challan Master'!$S$4:$S$207,0)),"")&lt;=0),0,IF(IFERROR(INDEX('Challan Master'!$D$4:$D$207,MATCH($B9,'Challan Master'!$S$4:$S$207,0)),"")&lt;=DATE(YEAR(I9),MONTH(I9)+1,7),0,ROUND(K9*0.015*((YEAR(IFERROR(INDEX('Challan Master'!$D$4:$D$207,MATCH($B9,'Challan Master'!$S$4:$S$207,0)),""))-YEAR(I9))*12+(MONTH(IFERROR(INDEX('Challan Master'!$D$4:$D$207,MATCH($B9,'Challan Master'!$S$4:$S$207,0)),""))-MONTH(I9))+1),0))))</f>
      </c>
      <c r="O9" s="7">
        <f>IF($C9="","",0)</f>
      </c>
      <c r="P9" s="8"/>
      <c r="Q9" s="8"/>
      <c r="R9" s="8"/>
      <c r="S9" s="8"/>
      <c r="T9" s="8"/>
      <c r="U9" s="7">
        <f>IF($B9="","",IFERROR(INDEX('Challan Master'!$AA$4:$AA$207,MATCH($B9,'Challan Master'!$S$4:$S$207,0)),""))</f>
      </c>
    </row>
    <row r="10" spans="1:22" x14ac:dyDescent="0.25">
      <c r="A10" s="7">
        <f>IF($C10="","",COUNTIF($C$4:$C10,"&lt;&gt;"))</f>
      </c>
      <c r="B10" s="8"/>
      <c r="C10" s="8"/>
      <c r="D10" s="8"/>
      <c r="E10" s="7">
        <f>IF($C10="","",IF(AND(LEN(TRIM(UPPER(D10)))=10,CODE(MID(TRIM(UPPER(D10)),1,1))&gt;=65,CODE(MID(TRIM(UPPER(D10)),1,1))&lt;=90,CODE(MID(TRIM(UPPER(D10)),2,1))&gt;=65,CODE(MID(TRIM(UPPER(D10)),2,1))&lt;=90,CODE(MID(TRIM(UPPER(D10)),3,1))&gt;=65,CODE(MID(TRIM(UPPER(D10)),3,1))&lt;=90,CODE(MID(TRIM(UPPER(D10)),4,1))&gt;=65,CODE(MID(TRIM(UPPER(D10)),4,1))&lt;=90,CODE(MID(TRIM(UPPER(D10)),5,1))&gt;=65,CODE(MID(TRIM(UPPER(D10)),5,1))&lt;=90,CODE(MID(TRIM(UPPER(D10)),10,1))&gt;=65,CODE(MID(TRIM(UPPER(D10)),10,1))&lt;=90,CODE(MID(TRIM(UPPER(D10)),6,1))&gt;=48,CODE(MID(TRIM(UPPER(D10)),6,1))&lt;=57,CODE(MID(TRIM(UPPER(D10)),7,1))&gt;=48,CODE(MID(TRIM(UPPER(D10)),7,1))&lt;=57,CODE(MID(TRIM(UPPER(D10)),8,1))&gt;=48,CODE(MID(TRIM(UPPER(D10)),8,1))&lt;=57,CODE(MID(TRIM(UPPER(D10)),9,1))&gt;=48,CODE(MID(TRIM(UPPER(D10)),9,1))&lt;=57),"N","Y"))</f>
      </c>
      <c r="F10" s="7">
        <f>IF($C10="","",IF(LEN(D10)&lt;4,"",IF(UPPER(MID(D10,4,1))="P","Individual",IF(UPPER(MID(D10,4,1))="H","HUF",IF(UPPER(MID(D10,4,1))="C","Company",IF(UPPER(MID(D10,4,1))="F","Firm",IF(UPPER(MID(D10,4,1))="L","LLP",IF(UPPER(MID(D10,4,1))="T","Trust",IF(UPPER(MID(D10,4,1))="A","AOP","")))))))))</f>
      </c>
      <c r="G10" s="8"/>
      <c r="H10" s="7">
        <f>IF($C10="","",IF(R10&lt;&gt;"",R10,IF(G10="","",IF(E10="Y",SUMPRODUCT(('Rate Lookup'!$A$1:$A$37=G10)*'Rate Lookup'!$D$1:$D$37),IF(OR(F10="Individual",F10="HUF"),SUMPRODUCT(('Rate Lookup'!$A$1:$A$37=G10)*'Rate Lookup'!$B$1:$B$37),SUMPRODUCT(('Rate Lookup'!$A$1:$A$37=G10)*'Rate Lookup'!$C$1:$C$37)))))))</f>
      </c>
      <c r="I10" s="8"/>
      <c r="J10" s="8"/>
      <c r="K10" s="7">
        <f>IF($C10="","",IF(OR(P10="B",P10="D",P10="E",P10="N",P10="O",P10="P",P10="Q",P10="S",P10="Y",P10="Z"),0,ROUND(J10*H10/100,0)))</f>
      </c>
      <c r="L10" s="7">
        <f>IF($C10="","",0)</f>
      </c>
      <c r="M10" s="7">
        <f>IF($C10="","",0)</f>
      </c>
      <c r="N10" s="7">
        <f>IF($C10="","",IF(OR(K10=0,I10="",IFERROR(INDEX('Challan Master'!$D$4:$D$207,MATCH($B10,'Challan Master'!$S$4:$S$207,0)),"")="",IFERROR(INDEX('Challan Master'!$D$4:$D$207,MATCH($B10,'Challan Master'!$S$4:$S$207,0)),"")&lt;=0),0,IF(IFERROR(INDEX('Challan Master'!$D$4:$D$207,MATCH($B10,'Challan Master'!$S$4:$S$207,0)),"")&lt;=DATE(YEAR(I10),MONTH(I10)+1,7),0,ROUND(K10*0.015*((YEAR(IFERROR(INDEX('Challan Master'!$D$4:$D$207,MATCH($B10,'Challan Master'!$S$4:$S$207,0)),""))-YEAR(I10))*12+(MONTH(IFERROR(INDEX('Challan Master'!$D$4:$D$207,MATCH($B10,'Challan Master'!$S$4:$S$207,0)),""))-MONTH(I10))+1),0))))</f>
      </c>
      <c r="O10" s="7">
        <f>IF($C10="","",0)</f>
      </c>
      <c r="P10" s="8"/>
      <c r="Q10" s="8"/>
      <c r="R10" s="8"/>
      <c r="S10" s="8"/>
      <c r="T10" s="8"/>
      <c r="U10" s="7">
        <f>IF($B10="","",IFERROR(INDEX('Challan Master'!$AA$4:$AA$207,MATCH($B10,'Challan Master'!$S$4:$S$207,0)),""))</f>
      </c>
    </row>
    <row r="11" spans="1:22" x14ac:dyDescent="0.25">
      <c r="A11" s="7">
        <f>IF($C11="","",COUNTIF($C$4:$C11,"&lt;&gt;"))</f>
      </c>
      <c r="B11" s="8"/>
      <c r="C11" s="8"/>
      <c r="D11" s="8"/>
      <c r="E11" s="7">
        <f>IF($C11="","",IF(AND(LEN(TRIM(UPPER(D11)))=10,CODE(MID(TRIM(UPPER(D11)),1,1))&gt;=65,CODE(MID(TRIM(UPPER(D11)),1,1))&lt;=90,CODE(MID(TRIM(UPPER(D11)),2,1))&gt;=65,CODE(MID(TRIM(UPPER(D11)),2,1))&lt;=90,CODE(MID(TRIM(UPPER(D11)),3,1))&gt;=65,CODE(MID(TRIM(UPPER(D11)),3,1))&lt;=90,CODE(MID(TRIM(UPPER(D11)),4,1))&gt;=65,CODE(MID(TRIM(UPPER(D11)),4,1))&lt;=90,CODE(MID(TRIM(UPPER(D11)),5,1))&gt;=65,CODE(MID(TRIM(UPPER(D11)),5,1))&lt;=90,CODE(MID(TRIM(UPPER(D11)),10,1))&gt;=65,CODE(MID(TRIM(UPPER(D11)),10,1))&lt;=90,CODE(MID(TRIM(UPPER(D11)),6,1))&gt;=48,CODE(MID(TRIM(UPPER(D11)),6,1))&lt;=57,CODE(MID(TRIM(UPPER(D11)),7,1))&gt;=48,CODE(MID(TRIM(UPPER(D11)),7,1))&lt;=57,CODE(MID(TRIM(UPPER(D11)),8,1))&gt;=48,CODE(MID(TRIM(UPPER(D11)),8,1))&lt;=57,CODE(MID(TRIM(UPPER(D11)),9,1))&gt;=48,CODE(MID(TRIM(UPPER(D11)),9,1))&lt;=57),"N","Y"))</f>
      </c>
      <c r="F11" s="7">
        <f>IF($C11="","",IF(LEN(D11)&lt;4,"",IF(UPPER(MID(D11,4,1))="P","Individual",IF(UPPER(MID(D11,4,1))="H","HUF",IF(UPPER(MID(D11,4,1))="C","Company",IF(UPPER(MID(D11,4,1))="F","Firm",IF(UPPER(MID(D11,4,1))="L","LLP",IF(UPPER(MID(D11,4,1))="T","Trust",IF(UPPER(MID(D11,4,1))="A","AOP","")))))))))</f>
      </c>
      <c r="G11" s="8"/>
      <c r="H11" s="7">
        <f>IF($C11="","",IF(R11&lt;&gt;"",R11,IF(G11="","",IF(E11="Y",SUMPRODUCT(('Rate Lookup'!$A$1:$A$37=G11)*'Rate Lookup'!$D$1:$D$37),IF(OR(F11="Individual",F11="HUF"),SUMPRODUCT(('Rate Lookup'!$A$1:$A$37=G11)*'Rate Lookup'!$B$1:$B$37),SUMPRODUCT(('Rate Lookup'!$A$1:$A$37=G11)*'Rate Lookup'!$C$1:$C$37)))))))</f>
      </c>
      <c r="I11" s="8"/>
      <c r="J11" s="8"/>
      <c r="K11" s="7">
        <f>IF($C11="","",IF(OR(P11="B",P11="D",P11="E",P11="N",P11="O",P11="P",P11="Q",P11="S",P11="Y",P11="Z"),0,ROUND(J11*H11/100,0)))</f>
      </c>
      <c r="L11" s="7">
        <f>IF($C11="","",0)</f>
      </c>
      <c r="M11" s="7">
        <f>IF($C11="","",0)</f>
      </c>
      <c r="N11" s="7">
        <f>IF($C11="","",IF(OR(K11=0,I11="",IFERROR(INDEX('Challan Master'!$D$4:$D$207,MATCH($B11,'Challan Master'!$S$4:$S$207,0)),"")="",IFERROR(INDEX('Challan Master'!$D$4:$D$207,MATCH($B11,'Challan Master'!$S$4:$S$207,0)),"")&lt;=0),0,IF(IFERROR(INDEX('Challan Master'!$D$4:$D$207,MATCH($B11,'Challan Master'!$S$4:$S$207,0)),"")&lt;=DATE(YEAR(I11),MONTH(I11)+1,7),0,ROUND(K11*0.015*((YEAR(IFERROR(INDEX('Challan Master'!$D$4:$D$207,MATCH($B11,'Challan Master'!$S$4:$S$207,0)),""))-YEAR(I11))*12+(MONTH(IFERROR(INDEX('Challan Master'!$D$4:$D$207,MATCH($B11,'Challan Master'!$S$4:$S$207,0)),""))-MONTH(I11))+1),0))))</f>
      </c>
      <c r="O11" s="7">
        <f>IF($C11="","",0)</f>
      </c>
      <c r="P11" s="8"/>
      <c r="Q11" s="8"/>
      <c r="R11" s="8"/>
      <c r="S11" s="8"/>
      <c r="T11" s="8"/>
      <c r="U11" s="7">
        <f>IF($B11="","",IFERROR(INDEX('Challan Master'!$AA$4:$AA$207,MATCH($B11,'Challan Master'!$S$4:$S$207,0)),""))</f>
      </c>
    </row>
    <row r="12" spans="1:22" x14ac:dyDescent="0.25">
      <c r="A12" s="7">
        <f>IF($C12="","",COUNTIF($C$4:$C12,"&lt;&gt;"))</f>
      </c>
      <c r="B12" s="8"/>
      <c r="C12" s="8"/>
      <c r="D12" s="8"/>
      <c r="E12" s="7">
        <f>IF($C12="","",IF(AND(LEN(TRIM(UPPER(D12)))=10,CODE(MID(TRIM(UPPER(D12)),1,1))&gt;=65,CODE(MID(TRIM(UPPER(D12)),1,1))&lt;=90,CODE(MID(TRIM(UPPER(D12)),2,1))&gt;=65,CODE(MID(TRIM(UPPER(D12)),2,1))&lt;=90,CODE(MID(TRIM(UPPER(D12)),3,1))&gt;=65,CODE(MID(TRIM(UPPER(D12)),3,1))&lt;=90,CODE(MID(TRIM(UPPER(D12)),4,1))&gt;=65,CODE(MID(TRIM(UPPER(D12)),4,1))&lt;=90,CODE(MID(TRIM(UPPER(D12)),5,1))&gt;=65,CODE(MID(TRIM(UPPER(D12)),5,1))&lt;=90,CODE(MID(TRIM(UPPER(D12)),10,1))&gt;=65,CODE(MID(TRIM(UPPER(D12)),10,1))&lt;=90,CODE(MID(TRIM(UPPER(D12)),6,1))&gt;=48,CODE(MID(TRIM(UPPER(D12)),6,1))&lt;=57,CODE(MID(TRIM(UPPER(D12)),7,1))&gt;=48,CODE(MID(TRIM(UPPER(D12)),7,1))&lt;=57,CODE(MID(TRIM(UPPER(D12)),8,1))&gt;=48,CODE(MID(TRIM(UPPER(D12)),8,1))&lt;=57,CODE(MID(TRIM(UPPER(D12)),9,1))&gt;=48,CODE(MID(TRIM(UPPER(D12)),9,1))&lt;=57),"N","Y"))</f>
      </c>
      <c r="F12" s="7">
        <f>IF($C12="","",IF(LEN(D12)&lt;4,"",IF(UPPER(MID(D12,4,1))="P","Individual",IF(UPPER(MID(D12,4,1))="H","HUF",IF(UPPER(MID(D12,4,1))="C","Company",IF(UPPER(MID(D12,4,1))="F","Firm",IF(UPPER(MID(D12,4,1))="L","LLP",IF(UPPER(MID(D12,4,1))="T","Trust",IF(UPPER(MID(D12,4,1))="A","AOP","")))))))))</f>
      </c>
      <c r="G12" s="8"/>
      <c r="H12" s="7">
        <f>IF($C12="","",IF(R12&lt;&gt;"",R12,IF(G12="","",IF(E12="Y",SUMPRODUCT(('Rate Lookup'!$A$1:$A$37=G12)*'Rate Lookup'!$D$1:$D$37),IF(OR(F12="Individual",F12="HUF"),SUMPRODUCT(('Rate Lookup'!$A$1:$A$37=G12)*'Rate Lookup'!$B$1:$B$37),SUMPRODUCT(('Rate Lookup'!$A$1:$A$37=G12)*'Rate Lookup'!$C$1:$C$37)))))))</f>
      </c>
      <c r="I12" s="8"/>
      <c r="J12" s="8"/>
      <c r="K12" s="7">
        <f>IF($C12="","",IF(OR(P12="B",P12="D",P12="E",P12="N",P12="O",P12="P",P12="Q",P12="S",P12="Y",P12="Z"),0,ROUND(J12*H12/100,0)))</f>
      </c>
      <c r="L12" s="7">
        <f>IF($C12="","",0)</f>
      </c>
      <c r="M12" s="7">
        <f>IF($C12="","",0)</f>
      </c>
      <c r="N12" s="7">
        <f>IF($C12="","",IF(OR(K12=0,I12="",IFERROR(INDEX('Challan Master'!$D$4:$D$207,MATCH($B12,'Challan Master'!$S$4:$S$207,0)),"")="",IFERROR(INDEX('Challan Master'!$D$4:$D$207,MATCH($B12,'Challan Master'!$S$4:$S$207,0)),"")&lt;=0),0,IF(IFERROR(INDEX('Challan Master'!$D$4:$D$207,MATCH($B12,'Challan Master'!$S$4:$S$207,0)),"")&lt;=DATE(YEAR(I12),MONTH(I12)+1,7),0,ROUND(K12*0.015*((YEAR(IFERROR(INDEX('Challan Master'!$D$4:$D$207,MATCH($B12,'Challan Master'!$S$4:$S$207,0)),""))-YEAR(I12))*12+(MONTH(IFERROR(INDEX('Challan Master'!$D$4:$D$207,MATCH($B12,'Challan Master'!$S$4:$S$207,0)),""))-MONTH(I12))+1),0))))</f>
      </c>
      <c r="O12" s="7">
        <f>IF($C12="","",0)</f>
      </c>
      <c r="P12" s="8"/>
      <c r="Q12" s="8"/>
      <c r="R12" s="8"/>
      <c r="S12" s="8"/>
      <c r="T12" s="8"/>
      <c r="U12" s="7">
        <f>IF($B12="","",IFERROR(INDEX('Challan Master'!$AA$4:$AA$207,MATCH($B12,'Challan Master'!$S$4:$S$207,0)),""))</f>
      </c>
    </row>
    <row r="13" spans="1:22" x14ac:dyDescent="0.25">
      <c r="A13" s="7">
        <f>IF($C13="","",COUNTIF($C$4:$C13,"&lt;&gt;"))</f>
      </c>
      <c r="B13" s="8"/>
      <c r="C13" s="8"/>
      <c r="D13" s="8"/>
      <c r="E13" s="7">
        <f>IF($C13="","",IF(AND(LEN(TRIM(UPPER(D13)))=10,CODE(MID(TRIM(UPPER(D13)),1,1))&gt;=65,CODE(MID(TRIM(UPPER(D13)),1,1))&lt;=90,CODE(MID(TRIM(UPPER(D13)),2,1))&gt;=65,CODE(MID(TRIM(UPPER(D13)),2,1))&lt;=90,CODE(MID(TRIM(UPPER(D13)),3,1))&gt;=65,CODE(MID(TRIM(UPPER(D13)),3,1))&lt;=90,CODE(MID(TRIM(UPPER(D13)),4,1))&gt;=65,CODE(MID(TRIM(UPPER(D13)),4,1))&lt;=90,CODE(MID(TRIM(UPPER(D13)),5,1))&gt;=65,CODE(MID(TRIM(UPPER(D13)),5,1))&lt;=90,CODE(MID(TRIM(UPPER(D13)),10,1))&gt;=65,CODE(MID(TRIM(UPPER(D13)),10,1))&lt;=90,CODE(MID(TRIM(UPPER(D13)),6,1))&gt;=48,CODE(MID(TRIM(UPPER(D13)),6,1))&lt;=57,CODE(MID(TRIM(UPPER(D13)),7,1))&gt;=48,CODE(MID(TRIM(UPPER(D13)),7,1))&lt;=57,CODE(MID(TRIM(UPPER(D13)),8,1))&gt;=48,CODE(MID(TRIM(UPPER(D13)),8,1))&lt;=57,CODE(MID(TRIM(UPPER(D13)),9,1))&gt;=48,CODE(MID(TRIM(UPPER(D13)),9,1))&lt;=57),"N","Y"))</f>
      </c>
      <c r="F13" s="7">
        <f>IF($C13="","",IF(LEN(D13)&lt;4,"",IF(UPPER(MID(D13,4,1))="P","Individual",IF(UPPER(MID(D13,4,1))="H","HUF",IF(UPPER(MID(D13,4,1))="C","Company",IF(UPPER(MID(D13,4,1))="F","Firm",IF(UPPER(MID(D13,4,1))="L","LLP",IF(UPPER(MID(D13,4,1))="T","Trust",IF(UPPER(MID(D13,4,1))="A","AOP","")))))))))</f>
      </c>
      <c r="G13" s="8"/>
      <c r="H13" s="7">
        <f>IF($C13="","",IF(R13&lt;&gt;"",R13,IF(G13="","",IF(E13="Y",SUMPRODUCT(('Rate Lookup'!$A$1:$A$37=G13)*'Rate Lookup'!$D$1:$D$37),IF(OR(F13="Individual",F13="HUF"),SUMPRODUCT(('Rate Lookup'!$A$1:$A$37=G13)*'Rate Lookup'!$B$1:$B$37),SUMPRODUCT(('Rate Lookup'!$A$1:$A$37=G13)*'Rate Lookup'!$C$1:$C$37)))))))</f>
      </c>
      <c r="I13" s="8"/>
      <c r="J13" s="8"/>
      <c r="K13" s="7">
        <f>IF($C13="","",IF(OR(P13="B",P13="D",P13="E",P13="N",P13="O",P13="P",P13="Q",P13="S",P13="Y",P13="Z"),0,ROUND(J13*H13/100,0)))</f>
      </c>
      <c r="L13" s="7">
        <f>IF($C13="","",0)</f>
      </c>
      <c r="M13" s="7">
        <f>IF($C13="","",0)</f>
      </c>
      <c r="N13" s="7">
        <f>IF($C13="","",IF(OR(K13=0,I13="",IFERROR(INDEX('Challan Master'!$D$4:$D$207,MATCH($B13,'Challan Master'!$S$4:$S$207,0)),"")="",IFERROR(INDEX('Challan Master'!$D$4:$D$207,MATCH($B13,'Challan Master'!$S$4:$S$207,0)),"")&lt;=0),0,IF(IFERROR(INDEX('Challan Master'!$D$4:$D$207,MATCH($B13,'Challan Master'!$S$4:$S$207,0)),"")&lt;=DATE(YEAR(I13),MONTH(I13)+1,7),0,ROUND(K13*0.015*((YEAR(IFERROR(INDEX('Challan Master'!$D$4:$D$207,MATCH($B13,'Challan Master'!$S$4:$S$207,0)),""))-YEAR(I13))*12+(MONTH(IFERROR(INDEX('Challan Master'!$D$4:$D$207,MATCH($B13,'Challan Master'!$S$4:$S$207,0)),""))-MONTH(I13))+1),0))))</f>
      </c>
      <c r="O13" s="7">
        <f>IF($C13="","",0)</f>
      </c>
      <c r="P13" s="8"/>
      <c r="Q13" s="8"/>
      <c r="R13" s="8"/>
      <c r="S13" s="8"/>
      <c r="T13" s="8"/>
      <c r="U13" s="7">
        <f>IF($B13="","",IFERROR(INDEX('Challan Master'!$AA$4:$AA$207,MATCH($B13,'Challan Master'!$S$4:$S$207,0)),""))</f>
      </c>
    </row>
    <row r="14" spans="1:22" x14ac:dyDescent="0.25">
      <c r="A14" s="7">
        <f>IF($C14="","",COUNTIF($C$4:$C14,"&lt;&gt;"))</f>
      </c>
      <c r="B14" s="8"/>
      <c r="C14" s="8"/>
      <c r="D14" s="8"/>
      <c r="E14" s="7">
        <f>IF($C14="","",IF(AND(LEN(TRIM(UPPER(D14)))=10,CODE(MID(TRIM(UPPER(D14)),1,1))&gt;=65,CODE(MID(TRIM(UPPER(D14)),1,1))&lt;=90,CODE(MID(TRIM(UPPER(D14)),2,1))&gt;=65,CODE(MID(TRIM(UPPER(D14)),2,1))&lt;=90,CODE(MID(TRIM(UPPER(D14)),3,1))&gt;=65,CODE(MID(TRIM(UPPER(D14)),3,1))&lt;=90,CODE(MID(TRIM(UPPER(D14)),4,1))&gt;=65,CODE(MID(TRIM(UPPER(D14)),4,1))&lt;=90,CODE(MID(TRIM(UPPER(D14)),5,1))&gt;=65,CODE(MID(TRIM(UPPER(D14)),5,1))&lt;=90,CODE(MID(TRIM(UPPER(D14)),10,1))&gt;=65,CODE(MID(TRIM(UPPER(D14)),10,1))&lt;=90,CODE(MID(TRIM(UPPER(D14)),6,1))&gt;=48,CODE(MID(TRIM(UPPER(D14)),6,1))&lt;=57,CODE(MID(TRIM(UPPER(D14)),7,1))&gt;=48,CODE(MID(TRIM(UPPER(D14)),7,1))&lt;=57,CODE(MID(TRIM(UPPER(D14)),8,1))&gt;=48,CODE(MID(TRIM(UPPER(D14)),8,1))&lt;=57,CODE(MID(TRIM(UPPER(D14)),9,1))&gt;=48,CODE(MID(TRIM(UPPER(D14)),9,1))&lt;=57),"N","Y"))</f>
      </c>
      <c r="F14" s="7">
        <f>IF($C14="","",IF(LEN(D14)&lt;4,"",IF(UPPER(MID(D14,4,1))="P","Individual",IF(UPPER(MID(D14,4,1))="H","HUF",IF(UPPER(MID(D14,4,1))="C","Company",IF(UPPER(MID(D14,4,1))="F","Firm",IF(UPPER(MID(D14,4,1))="L","LLP",IF(UPPER(MID(D14,4,1))="T","Trust",IF(UPPER(MID(D14,4,1))="A","AOP","")))))))))</f>
      </c>
      <c r="G14" s="8"/>
      <c r="H14" s="7">
        <f>IF($C14="","",IF(R14&lt;&gt;"",R14,IF(G14="","",IF(E14="Y",SUMPRODUCT(('Rate Lookup'!$A$1:$A$37=G14)*'Rate Lookup'!$D$1:$D$37),IF(OR(F14="Individual",F14="HUF"),SUMPRODUCT(('Rate Lookup'!$A$1:$A$37=G14)*'Rate Lookup'!$B$1:$B$37),SUMPRODUCT(('Rate Lookup'!$A$1:$A$37=G14)*'Rate Lookup'!$C$1:$C$37)))))))</f>
      </c>
      <c r="I14" s="8"/>
      <c r="J14" s="8"/>
      <c r="K14" s="7">
        <f>IF($C14="","",IF(OR(P14="B",P14="D",P14="E",P14="N",P14="O",P14="P",P14="Q",P14="S",P14="Y",P14="Z"),0,ROUND(J14*H14/100,0)))</f>
      </c>
      <c r="L14" s="7">
        <f>IF($C14="","",0)</f>
      </c>
      <c r="M14" s="7">
        <f>IF($C14="","",0)</f>
      </c>
      <c r="N14" s="7">
        <f>IF($C14="","",IF(OR(K14=0,I14="",IFERROR(INDEX('Challan Master'!$D$4:$D$207,MATCH($B14,'Challan Master'!$S$4:$S$207,0)),"")="",IFERROR(INDEX('Challan Master'!$D$4:$D$207,MATCH($B14,'Challan Master'!$S$4:$S$207,0)),"")&lt;=0),0,IF(IFERROR(INDEX('Challan Master'!$D$4:$D$207,MATCH($B14,'Challan Master'!$S$4:$S$207,0)),"")&lt;=DATE(YEAR(I14),MONTH(I14)+1,7),0,ROUND(K14*0.015*((YEAR(IFERROR(INDEX('Challan Master'!$D$4:$D$207,MATCH($B14,'Challan Master'!$S$4:$S$207,0)),""))-YEAR(I14))*12+(MONTH(IFERROR(INDEX('Challan Master'!$D$4:$D$207,MATCH($B14,'Challan Master'!$S$4:$S$207,0)),""))-MONTH(I14))+1),0))))</f>
      </c>
      <c r="O14" s="7">
        <f>IF($C14="","",0)</f>
      </c>
      <c r="P14" s="8"/>
      <c r="Q14" s="8"/>
      <c r="R14" s="8"/>
      <c r="S14" s="8"/>
      <c r="T14" s="8"/>
      <c r="U14" s="7">
        <f>IF($B14="","",IFERROR(INDEX('Challan Master'!$AA$4:$AA$207,MATCH($B14,'Challan Master'!$S$4:$S$207,0)),""))</f>
      </c>
    </row>
    <row r="15" spans="1:22" x14ac:dyDescent="0.25">
      <c r="A15" s="7">
        <f>IF($C15="","",COUNTIF($C$4:$C15,"&lt;&gt;"))</f>
      </c>
      <c r="B15" s="8"/>
      <c r="C15" s="8"/>
      <c r="D15" s="8"/>
      <c r="E15" s="7">
        <f>IF($C15="","",IF(AND(LEN(TRIM(UPPER(D15)))=10,CODE(MID(TRIM(UPPER(D15)),1,1))&gt;=65,CODE(MID(TRIM(UPPER(D15)),1,1))&lt;=90,CODE(MID(TRIM(UPPER(D15)),2,1))&gt;=65,CODE(MID(TRIM(UPPER(D15)),2,1))&lt;=90,CODE(MID(TRIM(UPPER(D15)),3,1))&gt;=65,CODE(MID(TRIM(UPPER(D15)),3,1))&lt;=90,CODE(MID(TRIM(UPPER(D15)),4,1))&gt;=65,CODE(MID(TRIM(UPPER(D15)),4,1))&lt;=90,CODE(MID(TRIM(UPPER(D15)),5,1))&gt;=65,CODE(MID(TRIM(UPPER(D15)),5,1))&lt;=90,CODE(MID(TRIM(UPPER(D15)),10,1))&gt;=65,CODE(MID(TRIM(UPPER(D15)),10,1))&lt;=90,CODE(MID(TRIM(UPPER(D15)),6,1))&gt;=48,CODE(MID(TRIM(UPPER(D15)),6,1))&lt;=57,CODE(MID(TRIM(UPPER(D15)),7,1))&gt;=48,CODE(MID(TRIM(UPPER(D15)),7,1))&lt;=57,CODE(MID(TRIM(UPPER(D15)),8,1))&gt;=48,CODE(MID(TRIM(UPPER(D15)),8,1))&lt;=57,CODE(MID(TRIM(UPPER(D15)),9,1))&gt;=48,CODE(MID(TRIM(UPPER(D15)),9,1))&lt;=57),"N","Y"))</f>
      </c>
      <c r="F15" s="7">
        <f>IF($C15="","",IF(LEN(D15)&lt;4,"",IF(UPPER(MID(D15,4,1))="P","Individual",IF(UPPER(MID(D15,4,1))="H","HUF",IF(UPPER(MID(D15,4,1))="C","Company",IF(UPPER(MID(D15,4,1))="F","Firm",IF(UPPER(MID(D15,4,1))="L","LLP",IF(UPPER(MID(D15,4,1))="T","Trust",IF(UPPER(MID(D15,4,1))="A","AOP","")))))))))</f>
      </c>
      <c r="G15" s="8"/>
      <c r="H15" s="7">
        <f>IF($C15="","",IF(R15&lt;&gt;"",R15,IF(G15="","",IF(E15="Y",SUMPRODUCT(('Rate Lookup'!$A$1:$A$37=G15)*'Rate Lookup'!$D$1:$D$37),IF(OR(F15="Individual",F15="HUF"),SUMPRODUCT(('Rate Lookup'!$A$1:$A$37=G15)*'Rate Lookup'!$B$1:$B$37),SUMPRODUCT(('Rate Lookup'!$A$1:$A$37=G15)*'Rate Lookup'!$C$1:$C$37)))))))</f>
      </c>
      <c r="I15" s="8"/>
      <c r="J15" s="8"/>
      <c r="K15" s="7">
        <f>IF($C15="","",IF(OR(P15="B",P15="D",P15="E",P15="N",P15="O",P15="P",P15="Q",P15="S",P15="Y",P15="Z"),0,ROUND(J15*H15/100,0)))</f>
      </c>
      <c r="L15" s="7">
        <f>IF($C15="","",0)</f>
      </c>
      <c r="M15" s="7">
        <f>IF($C15="","",0)</f>
      </c>
      <c r="N15" s="7">
        <f>IF($C15="","",IF(OR(K15=0,I15="",IFERROR(INDEX('Challan Master'!$D$4:$D$207,MATCH($B15,'Challan Master'!$S$4:$S$207,0)),"")="",IFERROR(INDEX('Challan Master'!$D$4:$D$207,MATCH($B15,'Challan Master'!$S$4:$S$207,0)),"")&lt;=0),0,IF(IFERROR(INDEX('Challan Master'!$D$4:$D$207,MATCH($B15,'Challan Master'!$S$4:$S$207,0)),"")&lt;=DATE(YEAR(I15),MONTH(I15)+1,7),0,ROUND(K15*0.015*((YEAR(IFERROR(INDEX('Challan Master'!$D$4:$D$207,MATCH($B15,'Challan Master'!$S$4:$S$207,0)),""))-YEAR(I15))*12+(MONTH(IFERROR(INDEX('Challan Master'!$D$4:$D$207,MATCH($B15,'Challan Master'!$S$4:$S$207,0)),""))-MONTH(I15))+1),0))))</f>
      </c>
      <c r="O15" s="7">
        <f>IF($C15="","",0)</f>
      </c>
      <c r="P15" s="8"/>
      <c r="Q15" s="8"/>
      <c r="R15" s="8"/>
      <c r="S15" s="8"/>
      <c r="T15" s="8"/>
      <c r="U15" s="7">
        <f>IF($B15="","",IFERROR(INDEX('Challan Master'!$AA$4:$AA$207,MATCH($B15,'Challan Master'!$S$4:$S$207,0)),""))</f>
      </c>
    </row>
    <row r="16" spans="1:22" x14ac:dyDescent="0.25">
      <c r="A16" s="7">
        <f>IF($C16="","",COUNTIF($C$4:$C16,"&lt;&gt;"))</f>
      </c>
      <c r="B16" s="8"/>
      <c r="C16" s="8"/>
      <c r="D16" s="8"/>
      <c r="E16" s="7">
        <f>IF($C16="","",IF(AND(LEN(TRIM(UPPER(D16)))=10,CODE(MID(TRIM(UPPER(D16)),1,1))&gt;=65,CODE(MID(TRIM(UPPER(D16)),1,1))&lt;=90,CODE(MID(TRIM(UPPER(D16)),2,1))&gt;=65,CODE(MID(TRIM(UPPER(D16)),2,1))&lt;=90,CODE(MID(TRIM(UPPER(D16)),3,1))&gt;=65,CODE(MID(TRIM(UPPER(D16)),3,1))&lt;=90,CODE(MID(TRIM(UPPER(D16)),4,1))&gt;=65,CODE(MID(TRIM(UPPER(D16)),4,1))&lt;=90,CODE(MID(TRIM(UPPER(D16)),5,1))&gt;=65,CODE(MID(TRIM(UPPER(D16)),5,1))&lt;=90,CODE(MID(TRIM(UPPER(D16)),10,1))&gt;=65,CODE(MID(TRIM(UPPER(D16)),10,1))&lt;=90,CODE(MID(TRIM(UPPER(D16)),6,1))&gt;=48,CODE(MID(TRIM(UPPER(D16)),6,1))&lt;=57,CODE(MID(TRIM(UPPER(D16)),7,1))&gt;=48,CODE(MID(TRIM(UPPER(D16)),7,1))&lt;=57,CODE(MID(TRIM(UPPER(D16)),8,1))&gt;=48,CODE(MID(TRIM(UPPER(D16)),8,1))&lt;=57,CODE(MID(TRIM(UPPER(D16)),9,1))&gt;=48,CODE(MID(TRIM(UPPER(D16)),9,1))&lt;=57),"N","Y"))</f>
      </c>
      <c r="F16" s="7">
        <f>IF($C16="","",IF(LEN(D16)&lt;4,"",IF(UPPER(MID(D16,4,1))="P","Individual",IF(UPPER(MID(D16,4,1))="H","HUF",IF(UPPER(MID(D16,4,1))="C","Company",IF(UPPER(MID(D16,4,1))="F","Firm",IF(UPPER(MID(D16,4,1))="L","LLP",IF(UPPER(MID(D16,4,1))="T","Trust",IF(UPPER(MID(D16,4,1))="A","AOP","")))))))))</f>
      </c>
      <c r="G16" s="8"/>
      <c r="H16" s="7">
        <f>IF($C16="","",IF(R16&lt;&gt;"",R16,IF(G16="","",IF(E16="Y",SUMPRODUCT(('Rate Lookup'!$A$1:$A$37=G16)*'Rate Lookup'!$D$1:$D$37),IF(OR(F16="Individual",F16="HUF"),SUMPRODUCT(('Rate Lookup'!$A$1:$A$37=G16)*'Rate Lookup'!$B$1:$B$37),SUMPRODUCT(('Rate Lookup'!$A$1:$A$37=G16)*'Rate Lookup'!$C$1:$C$37)))))))</f>
      </c>
      <c r="I16" s="8"/>
      <c r="J16" s="8"/>
      <c r="K16" s="7">
        <f>IF($C16="","",IF(OR(P16="B",P16="D",P16="E",P16="N",P16="O",P16="P",P16="Q",P16="S",P16="Y",P16="Z"),0,ROUND(J16*H16/100,0)))</f>
      </c>
      <c r="L16" s="7">
        <f>IF($C16="","",0)</f>
      </c>
      <c r="M16" s="7">
        <f>IF($C16="","",0)</f>
      </c>
      <c r="N16" s="7">
        <f>IF($C16="","",IF(OR(K16=0,I16="",IFERROR(INDEX('Challan Master'!$D$4:$D$207,MATCH($B16,'Challan Master'!$S$4:$S$207,0)),"")="",IFERROR(INDEX('Challan Master'!$D$4:$D$207,MATCH($B16,'Challan Master'!$S$4:$S$207,0)),"")&lt;=0),0,IF(IFERROR(INDEX('Challan Master'!$D$4:$D$207,MATCH($B16,'Challan Master'!$S$4:$S$207,0)),"")&lt;=DATE(YEAR(I16),MONTH(I16)+1,7),0,ROUND(K16*0.015*((YEAR(IFERROR(INDEX('Challan Master'!$D$4:$D$207,MATCH($B16,'Challan Master'!$S$4:$S$207,0)),""))-YEAR(I16))*12+(MONTH(IFERROR(INDEX('Challan Master'!$D$4:$D$207,MATCH($B16,'Challan Master'!$S$4:$S$207,0)),""))-MONTH(I16))+1),0))))</f>
      </c>
      <c r="O16" s="7">
        <f>IF($C16="","",0)</f>
      </c>
      <c r="P16" s="8"/>
      <c r="Q16" s="8"/>
      <c r="R16" s="8"/>
      <c r="S16" s="8"/>
      <c r="T16" s="8"/>
      <c r="U16" s="7">
        <f>IF($B16="","",IFERROR(INDEX('Challan Master'!$AA$4:$AA$207,MATCH($B16,'Challan Master'!$S$4:$S$207,0)),""))</f>
      </c>
    </row>
    <row r="17" spans="1:22" x14ac:dyDescent="0.25">
      <c r="A17" s="7">
        <f>IF($C17="","",COUNTIF($C$4:$C17,"&lt;&gt;"))</f>
      </c>
      <c r="B17" s="8"/>
      <c r="C17" s="8"/>
      <c r="D17" s="8"/>
      <c r="E17" s="7">
        <f>IF($C17="","",IF(AND(LEN(TRIM(UPPER(D17)))=10,CODE(MID(TRIM(UPPER(D17)),1,1))&gt;=65,CODE(MID(TRIM(UPPER(D17)),1,1))&lt;=90,CODE(MID(TRIM(UPPER(D17)),2,1))&gt;=65,CODE(MID(TRIM(UPPER(D17)),2,1))&lt;=90,CODE(MID(TRIM(UPPER(D17)),3,1))&gt;=65,CODE(MID(TRIM(UPPER(D17)),3,1))&lt;=90,CODE(MID(TRIM(UPPER(D17)),4,1))&gt;=65,CODE(MID(TRIM(UPPER(D17)),4,1))&lt;=90,CODE(MID(TRIM(UPPER(D17)),5,1))&gt;=65,CODE(MID(TRIM(UPPER(D17)),5,1))&lt;=90,CODE(MID(TRIM(UPPER(D17)),10,1))&gt;=65,CODE(MID(TRIM(UPPER(D17)),10,1))&lt;=90,CODE(MID(TRIM(UPPER(D17)),6,1))&gt;=48,CODE(MID(TRIM(UPPER(D17)),6,1))&lt;=57,CODE(MID(TRIM(UPPER(D17)),7,1))&gt;=48,CODE(MID(TRIM(UPPER(D17)),7,1))&lt;=57,CODE(MID(TRIM(UPPER(D17)),8,1))&gt;=48,CODE(MID(TRIM(UPPER(D17)),8,1))&lt;=57,CODE(MID(TRIM(UPPER(D17)),9,1))&gt;=48,CODE(MID(TRIM(UPPER(D17)),9,1))&lt;=57),"N","Y"))</f>
      </c>
      <c r="F17" s="7">
        <f>IF($C17="","",IF(LEN(D17)&lt;4,"",IF(UPPER(MID(D17,4,1))="P","Individual",IF(UPPER(MID(D17,4,1))="H","HUF",IF(UPPER(MID(D17,4,1))="C","Company",IF(UPPER(MID(D17,4,1))="F","Firm",IF(UPPER(MID(D17,4,1))="L","LLP",IF(UPPER(MID(D17,4,1))="T","Trust",IF(UPPER(MID(D17,4,1))="A","AOP","")))))))))</f>
      </c>
      <c r="G17" s="8"/>
      <c r="H17" s="7">
        <f>IF($C17="","",IF(R17&lt;&gt;"",R17,IF(G17="","",IF(E17="Y",SUMPRODUCT(('Rate Lookup'!$A$1:$A$37=G17)*'Rate Lookup'!$D$1:$D$37),IF(OR(F17="Individual",F17="HUF"),SUMPRODUCT(('Rate Lookup'!$A$1:$A$37=G17)*'Rate Lookup'!$B$1:$B$37),SUMPRODUCT(('Rate Lookup'!$A$1:$A$37=G17)*'Rate Lookup'!$C$1:$C$37)))))))</f>
      </c>
      <c r="I17" s="8"/>
      <c r="J17" s="8"/>
      <c r="K17" s="7">
        <f>IF($C17="","",IF(OR(P17="B",P17="D",P17="E",P17="N",P17="O",P17="P",P17="Q",P17="S",P17="Y",P17="Z"),0,ROUND(J17*H17/100,0)))</f>
      </c>
      <c r="L17" s="7">
        <f>IF($C17="","",0)</f>
      </c>
      <c r="M17" s="7">
        <f>IF($C17="","",0)</f>
      </c>
      <c r="N17" s="7">
        <f>IF($C17="","",IF(OR(K17=0,I17="",IFERROR(INDEX('Challan Master'!$D$4:$D$207,MATCH($B17,'Challan Master'!$S$4:$S$207,0)),"")="",IFERROR(INDEX('Challan Master'!$D$4:$D$207,MATCH($B17,'Challan Master'!$S$4:$S$207,0)),"")&lt;=0),0,IF(IFERROR(INDEX('Challan Master'!$D$4:$D$207,MATCH($B17,'Challan Master'!$S$4:$S$207,0)),"")&lt;=DATE(YEAR(I17),MONTH(I17)+1,7),0,ROUND(K17*0.015*((YEAR(IFERROR(INDEX('Challan Master'!$D$4:$D$207,MATCH($B17,'Challan Master'!$S$4:$S$207,0)),""))-YEAR(I17))*12+(MONTH(IFERROR(INDEX('Challan Master'!$D$4:$D$207,MATCH($B17,'Challan Master'!$S$4:$S$207,0)),""))-MONTH(I17))+1),0))))</f>
      </c>
      <c r="O17" s="7">
        <f>IF($C17="","",0)</f>
      </c>
      <c r="P17" s="8"/>
      <c r="Q17" s="8"/>
      <c r="R17" s="8"/>
      <c r="S17" s="8"/>
      <c r="T17" s="8"/>
      <c r="U17" s="7">
        <f>IF($B17="","",IFERROR(INDEX('Challan Master'!$AA$4:$AA$207,MATCH($B17,'Challan Master'!$S$4:$S$207,0)),""))</f>
      </c>
    </row>
    <row r="18" spans="1:22" x14ac:dyDescent="0.25">
      <c r="A18" s="7">
        <f>IF($C18="","",COUNTIF($C$4:$C18,"&lt;&gt;"))</f>
      </c>
      <c r="B18" s="8"/>
      <c r="C18" s="8"/>
      <c r="D18" s="8"/>
      <c r="E18" s="7">
        <f>IF($C18="","",IF(AND(LEN(TRIM(UPPER(D18)))=10,CODE(MID(TRIM(UPPER(D18)),1,1))&gt;=65,CODE(MID(TRIM(UPPER(D18)),1,1))&lt;=90,CODE(MID(TRIM(UPPER(D18)),2,1))&gt;=65,CODE(MID(TRIM(UPPER(D18)),2,1))&lt;=90,CODE(MID(TRIM(UPPER(D18)),3,1))&gt;=65,CODE(MID(TRIM(UPPER(D18)),3,1))&lt;=90,CODE(MID(TRIM(UPPER(D18)),4,1))&gt;=65,CODE(MID(TRIM(UPPER(D18)),4,1))&lt;=90,CODE(MID(TRIM(UPPER(D18)),5,1))&gt;=65,CODE(MID(TRIM(UPPER(D18)),5,1))&lt;=90,CODE(MID(TRIM(UPPER(D18)),10,1))&gt;=65,CODE(MID(TRIM(UPPER(D18)),10,1))&lt;=90,CODE(MID(TRIM(UPPER(D18)),6,1))&gt;=48,CODE(MID(TRIM(UPPER(D18)),6,1))&lt;=57,CODE(MID(TRIM(UPPER(D18)),7,1))&gt;=48,CODE(MID(TRIM(UPPER(D18)),7,1))&lt;=57,CODE(MID(TRIM(UPPER(D18)),8,1))&gt;=48,CODE(MID(TRIM(UPPER(D18)),8,1))&lt;=57,CODE(MID(TRIM(UPPER(D18)),9,1))&gt;=48,CODE(MID(TRIM(UPPER(D18)),9,1))&lt;=57),"N","Y"))</f>
      </c>
      <c r="F18" s="7">
        <f>IF($C18="","",IF(LEN(D18)&lt;4,"",IF(UPPER(MID(D18,4,1))="P","Individual",IF(UPPER(MID(D18,4,1))="H","HUF",IF(UPPER(MID(D18,4,1))="C","Company",IF(UPPER(MID(D18,4,1))="F","Firm",IF(UPPER(MID(D18,4,1))="L","LLP",IF(UPPER(MID(D18,4,1))="T","Trust",IF(UPPER(MID(D18,4,1))="A","AOP","")))))))))</f>
      </c>
      <c r="G18" s="8"/>
      <c r="H18" s="7">
        <f>IF($C18="","",IF(R18&lt;&gt;"",R18,IF(G18="","",IF(E18="Y",SUMPRODUCT(('Rate Lookup'!$A$1:$A$37=G18)*'Rate Lookup'!$D$1:$D$37),IF(OR(F18="Individual",F18="HUF"),SUMPRODUCT(('Rate Lookup'!$A$1:$A$37=G18)*'Rate Lookup'!$B$1:$B$37),SUMPRODUCT(('Rate Lookup'!$A$1:$A$37=G18)*'Rate Lookup'!$C$1:$C$37)))))))</f>
      </c>
      <c r="I18" s="8"/>
      <c r="J18" s="8"/>
      <c r="K18" s="7">
        <f>IF($C18="","",IF(OR(P18="B",P18="D",P18="E",P18="N",P18="O",P18="P",P18="Q",P18="S",P18="Y",P18="Z"),0,ROUND(J18*H18/100,0)))</f>
      </c>
      <c r="L18" s="7">
        <f>IF($C18="","",0)</f>
      </c>
      <c r="M18" s="7">
        <f>IF($C18="","",0)</f>
      </c>
      <c r="N18" s="7">
        <f>IF($C18="","",IF(OR(K18=0,I18="",IFERROR(INDEX('Challan Master'!$D$4:$D$207,MATCH($B18,'Challan Master'!$S$4:$S$207,0)),"")="",IFERROR(INDEX('Challan Master'!$D$4:$D$207,MATCH($B18,'Challan Master'!$S$4:$S$207,0)),"")&lt;=0),0,IF(IFERROR(INDEX('Challan Master'!$D$4:$D$207,MATCH($B18,'Challan Master'!$S$4:$S$207,0)),"")&lt;=DATE(YEAR(I18),MONTH(I18)+1,7),0,ROUND(K18*0.015*((YEAR(IFERROR(INDEX('Challan Master'!$D$4:$D$207,MATCH($B18,'Challan Master'!$S$4:$S$207,0)),""))-YEAR(I18))*12+(MONTH(IFERROR(INDEX('Challan Master'!$D$4:$D$207,MATCH($B18,'Challan Master'!$S$4:$S$207,0)),""))-MONTH(I18))+1),0))))</f>
      </c>
      <c r="O18" s="7">
        <f>IF($C18="","",0)</f>
      </c>
      <c r="P18" s="8"/>
      <c r="Q18" s="8"/>
      <c r="R18" s="8"/>
      <c r="S18" s="8"/>
      <c r="T18" s="8"/>
      <c r="U18" s="7">
        <f>IF($B18="","",IFERROR(INDEX('Challan Master'!$AA$4:$AA$207,MATCH($B18,'Challan Master'!$S$4:$S$207,0)),""))</f>
      </c>
    </row>
    <row r="19" spans="1:22" x14ac:dyDescent="0.25">
      <c r="A19" s="7">
        <f>IF($C19="","",COUNTIF($C$4:$C19,"&lt;&gt;"))</f>
      </c>
      <c r="B19" s="8"/>
      <c r="C19" s="8"/>
      <c r="D19" s="8"/>
      <c r="E19" s="7">
        <f>IF($C19="","",IF(AND(LEN(TRIM(UPPER(D19)))=10,CODE(MID(TRIM(UPPER(D19)),1,1))&gt;=65,CODE(MID(TRIM(UPPER(D19)),1,1))&lt;=90,CODE(MID(TRIM(UPPER(D19)),2,1))&gt;=65,CODE(MID(TRIM(UPPER(D19)),2,1))&lt;=90,CODE(MID(TRIM(UPPER(D19)),3,1))&gt;=65,CODE(MID(TRIM(UPPER(D19)),3,1))&lt;=90,CODE(MID(TRIM(UPPER(D19)),4,1))&gt;=65,CODE(MID(TRIM(UPPER(D19)),4,1))&lt;=90,CODE(MID(TRIM(UPPER(D19)),5,1))&gt;=65,CODE(MID(TRIM(UPPER(D19)),5,1))&lt;=90,CODE(MID(TRIM(UPPER(D19)),10,1))&gt;=65,CODE(MID(TRIM(UPPER(D19)),10,1))&lt;=90,CODE(MID(TRIM(UPPER(D19)),6,1))&gt;=48,CODE(MID(TRIM(UPPER(D19)),6,1))&lt;=57,CODE(MID(TRIM(UPPER(D19)),7,1))&gt;=48,CODE(MID(TRIM(UPPER(D19)),7,1))&lt;=57,CODE(MID(TRIM(UPPER(D19)),8,1))&gt;=48,CODE(MID(TRIM(UPPER(D19)),8,1))&lt;=57,CODE(MID(TRIM(UPPER(D19)),9,1))&gt;=48,CODE(MID(TRIM(UPPER(D19)),9,1))&lt;=57),"N","Y"))</f>
      </c>
      <c r="F19" s="7">
        <f>IF($C19="","",IF(LEN(D19)&lt;4,"",IF(UPPER(MID(D19,4,1))="P","Individual",IF(UPPER(MID(D19,4,1))="H","HUF",IF(UPPER(MID(D19,4,1))="C","Company",IF(UPPER(MID(D19,4,1))="F","Firm",IF(UPPER(MID(D19,4,1))="L","LLP",IF(UPPER(MID(D19,4,1))="T","Trust",IF(UPPER(MID(D19,4,1))="A","AOP","")))))))))</f>
      </c>
      <c r="G19" s="8"/>
      <c r="H19" s="7">
        <f>IF($C19="","",IF(R19&lt;&gt;"",R19,IF(G19="","",IF(E19="Y",SUMPRODUCT(('Rate Lookup'!$A$1:$A$37=G19)*'Rate Lookup'!$D$1:$D$37),IF(OR(F19="Individual",F19="HUF"),SUMPRODUCT(('Rate Lookup'!$A$1:$A$37=G19)*'Rate Lookup'!$B$1:$B$37),SUMPRODUCT(('Rate Lookup'!$A$1:$A$37=G19)*'Rate Lookup'!$C$1:$C$37)))))))</f>
      </c>
      <c r="I19" s="8"/>
      <c r="J19" s="8"/>
      <c r="K19" s="7">
        <f>IF($C19="","",IF(OR(P19="B",P19="D",P19="E",P19="N",P19="O",P19="P",P19="Q",P19="S",P19="Y",P19="Z"),0,ROUND(J19*H19/100,0)))</f>
      </c>
      <c r="L19" s="7">
        <f>IF($C19="","",0)</f>
      </c>
      <c r="M19" s="7">
        <f>IF($C19="","",0)</f>
      </c>
      <c r="N19" s="7">
        <f>IF($C19="","",IF(OR(K19=0,I19="",IFERROR(INDEX('Challan Master'!$D$4:$D$207,MATCH($B19,'Challan Master'!$S$4:$S$207,0)),"")="",IFERROR(INDEX('Challan Master'!$D$4:$D$207,MATCH($B19,'Challan Master'!$S$4:$S$207,0)),"")&lt;=0),0,IF(IFERROR(INDEX('Challan Master'!$D$4:$D$207,MATCH($B19,'Challan Master'!$S$4:$S$207,0)),"")&lt;=DATE(YEAR(I19),MONTH(I19)+1,7),0,ROUND(K19*0.015*((YEAR(IFERROR(INDEX('Challan Master'!$D$4:$D$207,MATCH($B19,'Challan Master'!$S$4:$S$207,0)),""))-YEAR(I19))*12+(MONTH(IFERROR(INDEX('Challan Master'!$D$4:$D$207,MATCH($B19,'Challan Master'!$S$4:$S$207,0)),""))-MONTH(I19))+1),0))))</f>
      </c>
      <c r="O19" s="7">
        <f>IF($C19="","",0)</f>
      </c>
      <c r="P19" s="8"/>
      <c r="Q19" s="8"/>
      <c r="R19" s="8"/>
      <c r="S19" s="8"/>
      <c r="T19" s="8"/>
      <c r="U19" s="7">
        <f>IF($B19="","",IFERROR(INDEX('Challan Master'!$AA$4:$AA$207,MATCH($B19,'Challan Master'!$S$4:$S$207,0)),""))</f>
      </c>
    </row>
    <row r="20" spans="1:22" x14ac:dyDescent="0.25">
      <c r="A20" s="7">
        <f>IF($C20="","",COUNTIF($C$4:$C20,"&lt;&gt;"))</f>
      </c>
      <c r="B20" s="8"/>
      <c r="C20" s="8"/>
      <c r="D20" s="8"/>
      <c r="E20" s="7">
        <f>IF($C20="","",IF(AND(LEN(TRIM(UPPER(D20)))=10,CODE(MID(TRIM(UPPER(D20)),1,1))&gt;=65,CODE(MID(TRIM(UPPER(D20)),1,1))&lt;=90,CODE(MID(TRIM(UPPER(D20)),2,1))&gt;=65,CODE(MID(TRIM(UPPER(D20)),2,1))&lt;=90,CODE(MID(TRIM(UPPER(D20)),3,1))&gt;=65,CODE(MID(TRIM(UPPER(D20)),3,1))&lt;=90,CODE(MID(TRIM(UPPER(D20)),4,1))&gt;=65,CODE(MID(TRIM(UPPER(D20)),4,1))&lt;=90,CODE(MID(TRIM(UPPER(D20)),5,1))&gt;=65,CODE(MID(TRIM(UPPER(D20)),5,1))&lt;=90,CODE(MID(TRIM(UPPER(D20)),10,1))&gt;=65,CODE(MID(TRIM(UPPER(D20)),10,1))&lt;=90,CODE(MID(TRIM(UPPER(D20)),6,1))&gt;=48,CODE(MID(TRIM(UPPER(D20)),6,1))&lt;=57,CODE(MID(TRIM(UPPER(D20)),7,1))&gt;=48,CODE(MID(TRIM(UPPER(D20)),7,1))&lt;=57,CODE(MID(TRIM(UPPER(D20)),8,1))&gt;=48,CODE(MID(TRIM(UPPER(D20)),8,1))&lt;=57,CODE(MID(TRIM(UPPER(D20)),9,1))&gt;=48,CODE(MID(TRIM(UPPER(D20)),9,1))&lt;=57),"N","Y"))</f>
      </c>
      <c r="F20" s="7">
        <f>IF($C20="","",IF(LEN(D20)&lt;4,"",IF(UPPER(MID(D20,4,1))="P","Individual",IF(UPPER(MID(D20,4,1))="H","HUF",IF(UPPER(MID(D20,4,1))="C","Company",IF(UPPER(MID(D20,4,1))="F","Firm",IF(UPPER(MID(D20,4,1))="L","LLP",IF(UPPER(MID(D20,4,1))="T","Trust",IF(UPPER(MID(D20,4,1))="A","AOP","")))))))))</f>
      </c>
      <c r="G20" s="8"/>
      <c r="H20" s="7">
        <f>IF($C20="","",IF(R20&lt;&gt;"",R20,IF(G20="","",IF(E20="Y",SUMPRODUCT(('Rate Lookup'!$A$1:$A$37=G20)*'Rate Lookup'!$D$1:$D$37),IF(OR(F20="Individual",F20="HUF"),SUMPRODUCT(('Rate Lookup'!$A$1:$A$37=G20)*'Rate Lookup'!$B$1:$B$37),SUMPRODUCT(('Rate Lookup'!$A$1:$A$37=G20)*'Rate Lookup'!$C$1:$C$37)))))))</f>
      </c>
      <c r="I20" s="8"/>
      <c r="J20" s="8"/>
      <c r="K20" s="7">
        <f>IF($C20="","",IF(OR(P20="B",P20="D",P20="E",P20="N",P20="O",P20="P",P20="Q",P20="S",P20="Y",P20="Z"),0,ROUND(J20*H20/100,0)))</f>
      </c>
      <c r="L20" s="7">
        <f>IF($C20="","",0)</f>
      </c>
      <c r="M20" s="7">
        <f>IF($C20="","",0)</f>
      </c>
      <c r="N20" s="7">
        <f>IF($C20="","",IF(OR(K20=0,I20="",IFERROR(INDEX('Challan Master'!$D$4:$D$207,MATCH($B20,'Challan Master'!$S$4:$S$207,0)),"")="",IFERROR(INDEX('Challan Master'!$D$4:$D$207,MATCH($B20,'Challan Master'!$S$4:$S$207,0)),"")&lt;=0),0,IF(IFERROR(INDEX('Challan Master'!$D$4:$D$207,MATCH($B20,'Challan Master'!$S$4:$S$207,0)),"")&lt;=DATE(YEAR(I20),MONTH(I20)+1,7),0,ROUND(K20*0.015*((YEAR(IFERROR(INDEX('Challan Master'!$D$4:$D$207,MATCH($B20,'Challan Master'!$S$4:$S$207,0)),""))-YEAR(I20))*12+(MONTH(IFERROR(INDEX('Challan Master'!$D$4:$D$207,MATCH($B20,'Challan Master'!$S$4:$S$207,0)),""))-MONTH(I20))+1),0))))</f>
      </c>
      <c r="O20" s="7">
        <f>IF($C20="","",0)</f>
      </c>
      <c r="P20" s="8"/>
      <c r="Q20" s="8"/>
      <c r="R20" s="8"/>
      <c r="S20" s="8"/>
      <c r="T20" s="8"/>
      <c r="U20" s="7">
        <f>IF($B20="","",IFERROR(INDEX('Challan Master'!$AA$4:$AA$207,MATCH($B20,'Challan Master'!$S$4:$S$207,0)),""))</f>
      </c>
    </row>
    <row r="21" spans="1:22" x14ac:dyDescent="0.25">
      <c r="A21" s="7">
        <f>IF($C21="","",COUNTIF($C$4:$C21,"&lt;&gt;"))</f>
      </c>
      <c r="B21" s="8"/>
      <c r="C21" s="8"/>
      <c r="D21" s="8"/>
      <c r="E21" s="7">
        <f>IF($C21="","",IF(AND(LEN(TRIM(UPPER(D21)))=10,CODE(MID(TRIM(UPPER(D21)),1,1))&gt;=65,CODE(MID(TRIM(UPPER(D21)),1,1))&lt;=90,CODE(MID(TRIM(UPPER(D21)),2,1))&gt;=65,CODE(MID(TRIM(UPPER(D21)),2,1))&lt;=90,CODE(MID(TRIM(UPPER(D21)),3,1))&gt;=65,CODE(MID(TRIM(UPPER(D21)),3,1))&lt;=90,CODE(MID(TRIM(UPPER(D21)),4,1))&gt;=65,CODE(MID(TRIM(UPPER(D21)),4,1))&lt;=90,CODE(MID(TRIM(UPPER(D21)),5,1))&gt;=65,CODE(MID(TRIM(UPPER(D21)),5,1))&lt;=90,CODE(MID(TRIM(UPPER(D21)),10,1))&gt;=65,CODE(MID(TRIM(UPPER(D21)),10,1))&lt;=90,CODE(MID(TRIM(UPPER(D21)),6,1))&gt;=48,CODE(MID(TRIM(UPPER(D21)),6,1))&lt;=57,CODE(MID(TRIM(UPPER(D21)),7,1))&gt;=48,CODE(MID(TRIM(UPPER(D21)),7,1))&lt;=57,CODE(MID(TRIM(UPPER(D21)),8,1))&gt;=48,CODE(MID(TRIM(UPPER(D21)),8,1))&lt;=57,CODE(MID(TRIM(UPPER(D21)),9,1))&gt;=48,CODE(MID(TRIM(UPPER(D21)),9,1))&lt;=57),"N","Y"))</f>
      </c>
      <c r="F21" s="7">
        <f>IF($C21="","",IF(LEN(D21)&lt;4,"",IF(UPPER(MID(D21,4,1))="P","Individual",IF(UPPER(MID(D21,4,1))="H","HUF",IF(UPPER(MID(D21,4,1))="C","Company",IF(UPPER(MID(D21,4,1))="F","Firm",IF(UPPER(MID(D21,4,1))="L","LLP",IF(UPPER(MID(D21,4,1))="T","Trust",IF(UPPER(MID(D21,4,1))="A","AOP","")))))))))</f>
      </c>
      <c r="G21" s="8"/>
      <c r="H21" s="7">
        <f>IF($C21="","",IF(R21&lt;&gt;"",R21,IF(G21="","",IF(E21="Y",SUMPRODUCT(('Rate Lookup'!$A$1:$A$37=G21)*'Rate Lookup'!$D$1:$D$37),IF(OR(F21="Individual",F21="HUF"),SUMPRODUCT(('Rate Lookup'!$A$1:$A$37=G21)*'Rate Lookup'!$B$1:$B$37),SUMPRODUCT(('Rate Lookup'!$A$1:$A$37=G21)*'Rate Lookup'!$C$1:$C$37)))))))</f>
      </c>
      <c r="I21" s="8"/>
      <c r="J21" s="8"/>
      <c r="K21" s="7">
        <f>IF($C21="","",IF(OR(P21="B",P21="D",P21="E",P21="N",P21="O",P21="P",P21="Q",P21="S",P21="Y",P21="Z"),0,ROUND(J21*H21/100,0)))</f>
      </c>
      <c r="L21" s="7">
        <f>IF($C21="","",0)</f>
      </c>
      <c r="M21" s="7">
        <f>IF($C21="","",0)</f>
      </c>
      <c r="N21" s="7">
        <f>IF($C21="","",IF(OR(K21=0,I21="",IFERROR(INDEX('Challan Master'!$D$4:$D$207,MATCH($B21,'Challan Master'!$S$4:$S$207,0)),"")="",IFERROR(INDEX('Challan Master'!$D$4:$D$207,MATCH($B21,'Challan Master'!$S$4:$S$207,0)),"")&lt;=0),0,IF(IFERROR(INDEX('Challan Master'!$D$4:$D$207,MATCH($B21,'Challan Master'!$S$4:$S$207,0)),"")&lt;=DATE(YEAR(I21),MONTH(I21)+1,7),0,ROUND(K21*0.015*((YEAR(IFERROR(INDEX('Challan Master'!$D$4:$D$207,MATCH($B21,'Challan Master'!$S$4:$S$207,0)),""))-YEAR(I21))*12+(MONTH(IFERROR(INDEX('Challan Master'!$D$4:$D$207,MATCH($B21,'Challan Master'!$S$4:$S$207,0)),""))-MONTH(I21))+1),0))))</f>
      </c>
      <c r="O21" s="7">
        <f>IF($C21="","",0)</f>
      </c>
      <c r="P21" s="8"/>
      <c r="Q21" s="8"/>
      <c r="R21" s="8"/>
      <c r="S21" s="8"/>
      <c r="T21" s="8"/>
      <c r="U21" s="7">
        <f>IF($B21="","",IFERROR(INDEX('Challan Master'!$AA$4:$AA$207,MATCH($B21,'Challan Master'!$S$4:$S$207,0)),""))</f>
      </c>
    </row>
    <row r="22" spans="1:22" x14ac:dyDescent="0.25">
      <c r="A22" s="7">
        <f>IF($C22="","",COUNTIF($C$4:$C22,"&lt;&gt;"))</f>
      </c>
      <c r="B22" s="8"/>
      <c r="C22" s="8"/>
      <c r="D22" s="8"/>
      <c r="E22" s="7">
        <f>IF($C22="","",IF(AND(LEN(TRIM(UPPER(D22)))=10,CODE(MID(TRIM(UPPER(D22)),1,1))&gt;=65,CODE(MID(TRIM(UPPER(D22)),1,1))&lt;=90,CODE(MID(TRIM(UPPER(D22)),2,1))&gt;=65,CODE(MID(TRIM(UPPER(D22)),2,1))&lt;=90,CODE(MID(TRIM(UPPER(D22)),3,1))&gt;=65,CODE(MID(TRIM(UPPER(D22)),3,1))&lt;=90,CODE(MID(TRIM(UPPER(D22)),4,1))&gt;=65,CODE(MID(TRIM(UPPER(D22)),4,1))&lt;=90,CODE(MID(TRIM(UPPER(D22)),5,1))&gt;=65,CODE(MID(TRIM(UPPER(D22)),5,1))&lt;=90,CODE(MID(TRIM(UPPER(D22)),10,1))&gt;=65,CODE(MID(TRIM(UPPER(D22)),10,1))&lt;=90,CODE(MID(TRIM(UPPER(D22)),6,1))&gt;=48,CODE(MID(TRIM(UPPER(D22)),6,1))&lt;=57,CODE(MID(TRIM(UPPER(D22)),7,1))&gt;=48,CODE(MID(TRIM(UPPER(D22)),7,1))&lt;=57,CODE(MID(TRIM(UPPER(D22)),8,1))&gt;=48,CODE(MID(TRIM(UPPER(D22)),8,1))&lt;=57,CODE(MID(TRIM(UPPER(D22)),9,1))&gt;=48,CODE(MID(TRIM(UPPER(D22)),9,1))&lt;=57),"N","Y"))</f>
      </c>
      <c r="F22" s="7">
        <f>IF($C22="","",IF(LEN(D22)&lt;4,"",IF(UPPER(MID(D22,4,1))="P","Individual",IF(UPPER(MID(D22,4,1))="H","HUF",IF(UPPER(MID(D22,4,1))="C","Company",IF(UPPER(MID(D22,4,1))="F","Firm",IF(UPPER(MID(D22,4,1))="L","LLP",IF(UPPER(MID(D22,4,1))="T","Trust",IF(UPPER(MID(D22,4,1))="A","AOP","")))))))))</f>
      </c>
      <c r="G22" s="8"/>
      <c r="H22" s="7">
        <f>IF($C22="","",IF(R22&lt;&gt;"",R22,IF(G22="","",IF(E22="Y",SUMPRODUCT(('Rate Lookup'!$A$1:$A$37=G22)*'Rate Lookup'!$D$1:$D$37),IF(OR(F22="Individual",F22="HUF"),SUMPRODUCT(('Rate Lookup'!$A$1:$A$37=G22)*'Rate Lookup'!$B$1:$B$37),SUMPRODUCT(('Rate Lookup'!$A$1:$A$37=G22)*'Rate Lookup'!$C$1:$C$37)))))))</f>
      </c>
      <c r="I22" s="8"/>
      <c r="J22" s="8"/>
      <c r="K22" s="7">
        <f>IF($C22="","",IF(OR(P22="B",P22="D",P22="E",P22="N",P22="O",P22="P",P22="Q",P22="S",P22="Y",P22="Z"),0,ROUND(J22*H22/100,0)))</f>
      </c>
      <c r="L22" s="7">
        <f>IF($C22="","",0)</f>
      </c>
      <c r="M22" s="7">
        <f>IF($C22="","",0)</f>
      </c>
      <c r="N22" s="7">
        <f>IF($C22="","",IF(OR(K22=0,I22="",IFERROR(INDEX('Challan Master'!$D$4:$D$207,MATCH($B22,'Challan Master'!$S$4:$S$207,0)),"")="",IFERROR(INDEX('Challan Master'!$D$4:$D$207,MATCH($B22,'Challan Master'!$S$4:$S$207,0)),"")&lt;=0),0,IF(IFERROR(INDEX('Challan Master'!$D$4:$D$207,MATCH($B22,'Challan Master'!$S$4:$S$207,0)),"")&lt;=DATE(YEAR(I22),MONTH(I22)+1,7),0,ROUND(K22*0.015*((YEAR(IFERROR(INDEX('Challan Master'!$D$4:$D$207,MATCH($B22,'Challan Master'!$S$4:$S$207,0)),""))-YEAR(I22))*12+(MONTH(IFERROR(INDEX('Challan Master'!$D$4:$D$207,MATCH($B22,'Challan Master'!$S$4:$S$207,0)),""))-MONTH(I22))+1),0))))</f>
      </c>
      <c r="O22" s="7">
        <f>IF($C22="","",0)</f>
      </c>
      <c r="P22" s="8"/>
      <c r="Q22" s="8"/>
      <c r="R22" s="8"/>
      <c r="S22" s="8"/>
      <c r="T22" s="8"/>
      <c r="U22" s="7">
        <f>IF($B22="","",IFERROR(INDEX('Challan Master'!$AA$4:$AA$207,MATCH($B22,'Challan Master'!$S$4:$S$207,0)),""))</f>
      </c>
    </row>
    <row r="23" spans="1:22" x14ac:dyDescent="0.25">
      <c r="A23" s="7">
        <f>IF($C23="","",COUNTIF($C$4:$C23,"&lt;&gt;"))</f>
      </c>
      <c r="B23" s="8"/>
      <c r="C23" s="8"/>
      <c r="D23" s="8"/>
      <c r="E23" s="7">
        <f>IF($C23="","",IF(AND(LEN(TRIM(UPPER(D23)))=10,CODE(MID(TRIM(UPPER(D23)),1,1))&gt;=65,CODE(MID(TRIM(UPPER(D23)),1,1))&lt;=90,CODE(MID(TRIM(UPPER(D23)),2,1))&gt;=65,CODE(MID(TRIM(UPPER(D23)),2,1))&lt;=90,CODE(MID(TRIM(UPPER(D23)),3,1))&gt;=65,CODE(MID(TRIM(UPPER(D23)),3,1))&lt;=90,CODE(MID(TRIM(UPPER(D23)),4,1))&gt;=65,CODE(MID(TRIM(UPPER(D23)),4,1))&lt;=90,CODE(MID(TRIM(UPPER(D23)),5,1))&gt;=65,CODE(MID(TRIM(UPPER(D23)),5,1))&lt;=90,CODE(MID(TRIM(UPPER(D23)),10,1))&gt;=65,CODE(MID(TRIM(UPPER(D23)),10,1))&lt;=90,CODE(MID(TRIM(UPPER(D23)),6,1))&gt;=48,CODE(MID(TRIM(UPPER(D23)),6,1))&lt;=57,CODE(MID(TRIM(UPPER(D23)),7,1))&gt;=48,CODE(MID(TRIM(UPPER(D23)),7,1))&lt;=57,CODE(MID(TRIM(UPPER(D23)),8,1))&gt;=48,CODE(MID(TRIM(UPPER(D23)),8,1))&lt;=57,CODE(MID(TRIM(UPPER(D23)),9,1))&gt;=48,CODE(MID(TRIM(UPPER(D23)),9,1))&lt;=57),"N","Y"))</f>
      </c>
      <c r="F23" s="7">
        <f>IF($C23="","",IF(LEN(D23)&lt;4,"",IF(UPPER(MID(D23,4,1))="P","Individual",IF(UPPER(MID(D23,4,1))="H","HUF",IF(UPPER(MID(D23,4,1))="C","Company",IF(UPPER(MID(D23,4,1))="F","Firm",IF(UPPER(MID(D23,4,1))="L","LLP",IF(UPPER(MID(D23,4,1))="T","Trust",IF(UPPER(MID(D23,4,1))="A","AOP","")))))))))</f>
      </c>
      <c r="G23" s="8"/>
      <c r="H23" s="7">
        <f>IF($C23="","",IF(R23&lt;&gt;"",R23,IF(G23="","",IF(E23="Y",SUMPRODUCT(('Rate Lookup'!$A$1:$A$37=G23)*'Rate Lookup'!$D$1:$D$37),IF(OR(F23="Individual",F23="HUF"),SUMPRODUCT(('Rate Lookup'!$A$1:$A$37=G23)*'Rate Lookup'!$B$1:$B$37),SUMPRODUCT(('Rate Lookup'!$A$1:$A$37=G23)*'Rate Lookup'!$C$1:$C$37)))))))</f>
      </c>
      <c r="I23" s="8"/>
      <c r="J23" s="8"/>
      <c r="K23" s="7">
        <f>IF($C23="","",IF(OR(P23="B",P23="D",P23="E",P23="N",P23="O",P23="P",P23="Q",P23="S",P23="Y",P23="Z"),0,ROUND(J23*H23/100,0)))</f>
      </c>
      <c r="L23" s="7">
        <f>IF($C23="","",0)</f>
      </c>
      <c r="M23" s="7">
        <f>IF($C23="","",0)</f>
      </c>
      <c r="N23" s="7">
        <f>IF($C23="","",IF(OR(K23=0,I23="",IFERROR(INDEX('Challan Master'!$D$4:$D$207,MATCH($B23,'Challan Master'!$S$4:$S$207,0)),"")="",IFERROR(INDEX('Challan Master'!$D$4:$D$207,MATCH($B23,'Challan Master'!$S$4:$S$207,0)),"")&lt;=0),0,IF(IFERROR(INDEX('Challan Master'!$D$4:$D$207,MATCH($B23,'Challan Master'!$S$4:$S$207,0)),"")&lt;=DATE(YEAR(I23),MONTH(I23)+1,7),0,ROUND(K23*0.015*((YEAR(IFERROR(INDEX('Challan Master'!$D$4:$D$207,MATCH($B23,'Challan Master'!$S$4:$S$207,0)),""))-YEAR(I23))*12+(MONTH(IFERROR(INDEX('Challan Master'!$D$4:$D$207,MATCH($B23,'Challan Master'!$S$4:$S$207,0)),""))-MONTH(I23))+1),0))))</f>
      </c>
      <c r="O23" s="7">
        <f>IF($C23="","",0)</f>
      </c>
      <c r="P23" s="8"/>
      <c r="Q23" s="8"/>
      <c r="R23" s="8"/>
      <c r="S23" s="8"/>
      <c r="T23" s="8"/>
      <c r="U23" s="7">
        <f>IF($B23="","",IFERROR(INDEX('Challan Master'!$AA$4:$AA$207,MATCH($B23,'Challan Master'!$S$4:$S$207,0)),""))</f>
      </c>
    </row>
    <row r="24" spans="1:22" x14ac:dyDescent="0.25">
      <c r="A24" s="7">
        <f>IF($C24="","",COUNTIF($C$4:$C24,"&lt;&gt;"))</f>
      </c>
      <c r="B24" s="8"/>
      <c r="C24" s="8"/>
      <c r="D24" s="8"/>
      <c r="E24" s="7">
        <f>IF($C24="","",IF(AND(LEN(TRIM(UPPER(D24)))=10,CODE(MID(TRIM(UPPER(D24)),1,1))&gt;=65,CODE(MID(TRIM(UPPER(D24)),1,1))&lt;=90,CODE(MID(TRIM(UPPER(D24)),2,1))&gt;=65,CODE(MID(TRIM(UPPER(D24)),2,1))&lt;=90,CODE(MID(TRIM(UPPER(D24)),3,1))&gt;=65,CODE(MID(TRIM(UPPER(D24)),3,1))&lt;=90,CODE(MID(TRIM(UPPER(D24)),4,1))&gt;=65,CODE(MID(TRIM(UPPER(D24)),4,1))&lt;=90,CODE(MID(TRIM(UPPER(D24)),5,1))&gt;=65,CODE(MID(TRIM(UPPER(D24)),5,1))&lt;=90,CODE(MID(TRIM(UPPER(D24)),10,1))&gt;=65,CODE(MID(TRIM(UPPER(D24)),10,1))&lt;=90,CODE(MID(TRIM(UPPER(D24)),6,1))&gt;=48,CODE(MID(TRIM(UPPER(D24)),6,1))&lt;=57,CODE(MID(TRIM(UPPER(D24)),7,1))&gt;=48,CODE(MID(TRIM(UPPER(D24)),7,1))&lt;=57,CODE(MID(TRIM(UPPER(D24)),8,1))&gt;=48,CODE(MID(TRIM(UPPER(D24)),8,1))&lt;=57,CODE(MID(TRIM(UPPER(D24)),9,1))&gt;=48,CODE(MID(TRIM(UPPER(D24)),9,1))&lt;=57),"N","Y"))</f>
      </c>
      <c r="F24" s="7">
        <f>IF($C24="","",IF(LEN(D24)&lt;4,"",IF(UPPER(MID(D24,4,1))="P","Individual",IF(UPPER(MID(D24,4,1))="H","HUF",IF(UPPER(MID(D24,4,1))="C","Company",IF(UPPER(MID(D24,4,1))="F","Firm",IF(UPPER(MID(D24,4,1))="L","LLP",IF(UPPER(MID(D24,4,1))="T","Trust",IF(UPPER(MID(D24,4,1))="A","AOP","")))))))))</f>
      </c>
      <c r="G24" s="8"/>
      <c r="H24" s="7">
        <f>IF($C24="","",IF(R24&lt;&gt;"",R24,IF(G24="","",IF(E24="Y",SUMPRODUCT(('Rate Lookup'!$A$1:$A$37=G24)*'Rate Lookup'!$D$1:$D$37),IF(OR(F24="Individual",F24="HUF"),SUMPRODUCT(('Rate Lookup'!$A$1:$A$37=G24)*'Rate Lookup'!$B$1:$B$37),SUMPRODUCT(('Rate Lookup'!$A$1:$A$37=G24)*'Rate Lookup'!$C$1:$C$37)))))))</f>
      </c>
      <c r="I24" s="8"/>
      <c r="J24" s="8"/>
      <c r="K24" s="7">
        <f>IF($C24="","",IF(OR(P24="B",P24="D",P24="E",P24="N",P24="O",P24="P",P24="Q",P24="S",P24="Y",P24="Z"),0,ROUND(J24*H24/100,0)))</f>
      </c>
      <c r="L24" s="7">
        <f>IF($C24="","",0)</f>
      </c>
      <c r="M24" s="7">
        <f>IF($C24="","",0)</f>
      </c>
      <c r="N24" s="7">
        <f>IF($C24="","",IF(OR(K24=0,I24="",IFERROR(INDEX('Challan Master'!$D$4:$D$207,MATCH($B24,'Challan Master'!$S$4:$S$207,0)),"")="",IFERROR(INDEX('Challan Master'!$D$4:$D$207,MATCH($B24,'Challan Master'!$S$4:$S$207,0)),"")&lt;=0),0,IF(IFERROR(INDEX('Challan Master'!$D$4:$D$207,MATCH($B24,'Challan Master'!$S$4:$S$207,0)),"")&lt;=DATE(YEAR(I24),MONTH(I24)+1,7),0,ROUND(K24*0.015*((YEAR(IFERROR(INDEX('Challan Master'!$D$4:$D$207,MATCH($B24,'Challan Master'!$S$4:$S$207,0)),""))-YEAR(I24))*12+(MONTH(IFERROR(INDEX('Challan Master'!$D$4:$D$207,MATCH($B24,'Challan Master'!$S$4:$S$207,0)),""))-MONTH(I24))+1),0))))</f>
      </c>
      <c r="O24" s="7">
        <f>IF($C24="","",0)</f>
      </c>
      <c r="P24" s="8"/>
      <c r="Q24" s="8"/>
      <c r="R24" s="8"/>
      <c r="S24" s="8"/>
      <c r="T24" s="8"/>
      <c r="U24" s="7">
        <f>IF($B24="","",IFERROR(INDEX('Challan Master'!$AA$4:$AA$207,MATCH($B24,'Challan Master'!$S$4:$S$207,0)),""))</f>
      </c>
    </row>
    <row r="25" spans="1:22" x14ac:dyDescent="0.25">
      <c r="A25" s="7">
        <f>IF($C25="","",COUNTIF($C$4:$C25,"&lt;&gt;"))</f>
      </c>
      <c r="B25" s="8"/>
      <c r="C25" s="8"/>
      <c r="D25" s="8"/>
      <c r="E25" s="7">
        <f>IF($C25="","",IF(AND(LEN(TRIM(UPPER(D25)))=10,CODE(MID(TRIM(UPPER(D25)),1,1))&gt;=65,CODE(MID(TRIM(UPPER(D25)),1,1))&lt;=90,CODE(MID(TRIM(UPPER(D25)),2,1))&gt;=65,CODE(MID(TRIM(UPPER(D25)),2,1))&lt;=90,CODE(MID(TRIM(UPPER(D25)),3,1))&gt;=65,CODE(MID(TRIM(UPPER(D25)),3,1))&lt;=90,CODE(MID(TRIM(UPPER(D25)),4,1))&gt;=65,CODE(MID(TRIM(UPPER(D25)),4,1))&lt;=90,CODE(MID(TRIM(UPPER(D25)),5,1))&gt;=65,CODE(MID(TRIM(UPPER(D25)),5,1))&lt;=90,CODE(MID(TRIM(UPPER(D25)),10,1))&gt;=65,CODE(MID(TRIM(UPPER(D25)),10,1))&lt;=90,CODE(MID(TRIM(UPPER(D25)),6,1))&gt;=48,CODE(MID(TRIM(UPPER(D25)),6,1))&lt;=57,CODE(MID(TRIM(UPPER(D25)),7,1))&gt;=48,CODE(MID(TRIM(UPPER(D25)),7,1))&lt;=57,CODE(MID(TRIM(UPPER(D25)),8,1))&gt;=48,CODE(MID(TRIM(UPPER(D25)),8,1))&lt;=57,CODE(MID(TRIM(UPPER(D25)),9,1))&gt;=48,CODE(MID(TRIM(UPPER(D25)),9,1))&lt;=57),"N","Y"))</f>
      </c>
      <c r="F25" s="7">
        <f>IF($C25="","",IF(LEN(D25)&lt;4,"",IF(UPPER(MID(D25,4,1))="P","Individual",IF(UPPER(MID(D25,4,1))="H","HUF",IF(UPPER(MID(D25,4,1))="C","Company",IF(UPPER(MID(D25,4,1))="F","Firm",IF(UPPER(MID(D25,4,1))="L","LLP",IF(UPPER(MID(D25,4,1))="T","Trust",IF(UPPER(MID(D25,4,1))="A","AOP","")))))))))</f>
      </c>
      <c r="G25" s="8"/>
      <c r="H25" s="7">
        <f>IF($C25="","",IF(R25&lt;&gt;"",R25,IF(G25="","",IF(E25="Y",SUMPRODUCT(('Rate Lookup'!$A$1:$A$37=G25)*'Rate Lookup'!$D$1:$D$37),IF(OR(F25="Individual",F25="HUF"),SUMPRODUCT(('Rate Lookup'!$A$1:$A$37=G25)*'Rate Lookup'!$B$1:$B$37),SUMPRODUCT(('Rate Lookup'!$A$1:$A$37=G25)*'Rate Lookup'!$C$1:$C$37)))))))</f>
      </c>
      <c r="I25" s="8"/>
      <c r="J25" s="8"/>
      <c r="K25" s="7">
        <f>IF($C25="","",IF(OR(P25="B",P25="D",P25="E",P25="N",P25="O",P25="P",P25="Q",P25="S",P25="Y",P25="Z"),0,ROUND(J25*H25/100,0)))</f>
      </c>
      <c r="L25" s="7">
        <f>IF($C25="","",0)</f>
      </c>
      <c r="M25" s="7">
        <f>IF($C25="","",0)</f>
      </c>
      <c r="N25" s="7">
        <f>IF($C25="","",IF(OR(K25=0,I25="",IFERROR(INDEX('Challan Master'!$D$4:$D$207,MATCH($B25,'Challan Master'!$S$4:$S$207,0)),"")="",IFERROR(INDEX('Challan Master'!$D$4:$D$207,MATCH($B25,'Challan Master'!$S$4:$S$207,0)),"")&lt;=0),0,IF(IFERROR(INDEX('Challan Master'!$D$4:$D$207,MATCH($B25,'Challan Master'!$S$4:$S$207,0)),"")&lt;=DATE(YEAR(I25),MONTH(I25)+1,7),0,ROUND(K25*0.015*((YEAR(IFERROR(INDEX('Challan Master'!$D$4:$D$207,MATCH($B25,'Challan Master'!$S$4:$S$207,0)),""))-YEAR(I25))*12+(MONTH(IFERROR(INDEX('Challan Master'!$D$4:$D$207,MATCH($B25,'Challan Master'!$S$4:$S$207,0)),""))-MONTH(I25))+1),0))))</f>
      </c>
      <c r="O25" s="7">
        <f>IF($C25="","",0)</f>
      </c>
      <c r="P25" s="8"/>
      <c r="Q25" s="8"/>
      <c r="R25" s="8"/>
      <c r="S25" s="8"/>
      <c r="T25" s="8"/>
      <c r="U25" s="7">
        <f>IF($B25="","",IFERROR(INDEX('Challan Master'!$AA$4:$AA$207,MATCH($B25,'Challan Master'!$S$4:$S$207,0)),""))</f>
      </c>
    </row>
    <row r="26" spans="1:22" x14ac:dyDescent="0.25">
      <c r="A26" s="7">
        <f>IF($C26="","",COUNTIF($C$4:$C26,"&lt;&gt;"))</f>
      </c>
      <c r="B26" s="8"/>
      <c r="C26" s="8"/>
      <c r="D26" s="8"/>
      <c r="E26" s="7">
        <f>IF($C26="","",IF(AND(LEN(TRIM(UPPER(D26)))=10,CODE(MID(TRIM(UPPER(D26)),1,1))&gt;=65,CODE(MID(TRIM(UPPER(D26)),1,1))&lt;=90,CODE(MID(TRIM(UPPER(D26)),2,1))&gt;=65,CODE(MID(TRIM(UPPER(D26)),2,1))&lt;=90,CODE(MID(TRIM(UPPER(D26)),3,1))&gt;=65,CODE(MID(TRIM(UPPER(D26)),3,1))&lt;=90,CODE(MID(TRIM(UPPER(D26)),4,1))&gt;=65,CODE(MID(TRIM(UPPER(D26)),4,1))&lt;=90,CODE(MID(TRIM(UPPER(D26)),5,1))&gt;=65,CODE(MID(TRIM(UPPER(D26)),5,1))&lt;=90,CODE(MID(TRIM(UPPER(D26)),10,1))&gt;=65,CODE(MID(TRIM(UPPER(D26)),10,1))&lt;=90,CODE(MID(TRIM(UPPER(D26)),6,1))&gt;=48,CODE(MID(TRIM(UPPER(D26)),6,1))&lt;=57,CODE(MID(TRIM(UPPER(D26)),7,1))&gt;=48,CODE(MID(TRIM(UPPER(D26)),7,1))&lt;=57,CODE(MID(TRIM(UPPER(D26)),8,1))&gt;=48,CODE(MID(TRIM(UPPER(D26)),8,1))&lt;=57,CODE(MID(TRIM(UPPER(D26)),9,1))&gt;=48,CODE(MID(TRIM(UPPER(D26)),9,1))&lt;=57),"N","Y"))</f>
      </c>
      <c r="F26" s="7">
        <f>IF($C26="","",IF(LEN(D26)&lt;4,"",IF(UPPER(MID(D26,4,1))="P","Individual",IF(UPPER(MID(D26,4,1))="H","HUF",IF(UPPER(MID(D26,4,1))="C","Company",IF(UPPER(MID(D26,4,1))="F","Firm",IF(UPPER(MID(D26,4,1))="L","LLP",IF(UPPER(MID(D26,4,1))="T","Trust",IF(UPPER(MID(D26,4,1))="A","AOP","")))))))))</f>
      </c>
      <c r="G26" s="8"/>
      <c r="H26" s="7">
        <f>IF($C26="","",IF(R26&lt;&gt;"",R26,IF(G26="","",IF(E26="Y",SUMPRODUCT(('Rate Lookup'!$A$1:$A$37=G26)*'Rate Lookup'!$D$1:$D$37),IF(OR(F26="Individual",F26="HUF"),SUMPRODUCT(('Rate Lookup'!$A$1:$A$37=G26)*'Rate Lookup'!$B$1:$B$37),SUMPRODUCT(('Rate Lookup'!$A$1:$A$37=G26)*'Rate Lookup'!$C$1:$C$37)))))))</f>
      </c>
      <c r="I26" s="8"/>
      <c r="J26" s="8"/>
      <c r="K26" s="7">
        <f>IF($C26="","",IF(OR(P26="B",P26="D",P26="E",P26="N",P26="O",P26="P",P26="Q",P26="S",P26="Y",P26="Z"),0,ROUND(J26*H26/100,0)))</f>
      </c>
      <c r="L26" s="7">
        <f>IF($C26="","",0)</f>
      </c>
      <c r="M26" s="7">
        <f>IF($C26="","",0)</f>
      </c>
      <c r="N26" s="7">
        <f>IF($C26="","",IF(OR(K26=0,I26="",IFERROR(INDEX('Challan Master'!$D$4:$D$207,MATCH($B26,'Challan Master'!$S$4:$S$207,0)),"")="",IFERROR(INDEX('Challan Master'!$D$4:$D$207,MATCH($B26,'Challan Master'!$S$4:$S$207,0)),"")&lt;=0),0,IF(IFERROR(INDEX('Challan Master'!$D$4:$D$207,MATCH($B26,'Challan Master'!$S$4:$S$207,0)),"")&lt;=DATE(YEAR(I26),MONTH(I26)+1,7),0,ROUND(K26*0.015*((YEAR(IFERROR(INDEX('Challan Master'!$D$4:$D$207,MATCH($B26,'Challan Master'!$S$4:$S$207,0)),""))-YEAR(I26))*12+(MONTH(IFERROR(INDEX('Challan Master'!$D$4:$D$207,MATCH($B26,'Challan Master'!$S$4:$S$207,0)),""))-MONTH(I26))+1),0))))</f>
      </c>
      <c r="O26" s="7">
        <f>IF($C26="","",0)</f>
      </c>
      <c r="P26" s="8"/>
      <c r="Q26" s="8"/>
      <c r="R26" s="8"/>
      <c r="S26" s="8"/>
      <c r="T26" s="8"/>
      <c r="U26" s="7">
        <f>IF($B26="","",IFERROR(INDEX('Challan Master'!$AA$4:$AA$207,MATCH($B26,'Challan Master'!$S$4:$S$207,0)),""))</f>
      </c>
    </row>
    <row r="27" spans="1:22" x14ac:dyDescent="0.25">
      <c r="A27" s="7">
        <f>IF($C27="","",COUNTIF($C$4:$C27,"&lt;&gt;"))</f>
      </c>
      <c r="B27" s="8"/>
      <c r="C27" s="8"/>
      <c r="D27" s="8"/>
      <c r="E27" s="7">
        <f>IF($C27="","",IF(AND(LEN(TRIM(UPPER(D27)))=10,CODE(MID(TRIM(UPPER(D27)),1,1))&gt;=65,CODE(MID(TRIM(UPPER(D27)),1,1))&lt;=90,CODE(MID(TRIM(UPPER(D27)),2,1))&gt;=65,CODE(MID(TRIM(UPPER(D27)),2,1))&lt;=90,CODE(MID(TRIM(UPPER(D27)),3,1))&gt;=65,CODE(MID(TRIM(UPPER(D27)),3,1))&lt;=90,CODE(MID(TRIM(UPPER(D27)),4,1))&gt;=65,CODE(MID(TRIM(UPPER(D27)),4,1))&lt;=90,CODE(MID(TRIM(UPPER(D27)),5,1))&gt;=65,CODE(MID(TRIM(UPPER(D27)),5,1))&lt;=90,CODE(MID(TRIM(UPPER(D27)),10,1))&gt;=65,CODE(MID(TRIM(UPPER(D27)),10,1))&lt;=90,CODE(MID(TRIM(UPPER(D27)),6,1))&gt;=48,CODE(MID(TRIM(UPPER(D27)),6,1))&lt;=57,CODE(MID(TRIM(UPPER(D27)),7,1))&gt;=48,CODE(MID(TRIM(UPPER(D27)),7,1))&lt;=57,CODE(MID(TRIM(UPPER(D27)),8,1))&gt;=48,CODE(MID(TRIM(UPPER(D27)),8,1))&lt;=57,CODE(MID(TRIM(UPPER(D27)),9,1))&gt;=48,CODE(MID(TRIM(UPPER(D27)),9,1))&lt;=57),"N","Y"))</f>
      </c>
      <c r="F27" s="7">
        <f>IF($C27="","",IF(LEN(D27)&lt;4,"",IF(UPPER(MID(D27,4,1))="P","Individual",IF(UPPER(MID(D27,4,1))="H","HUF",IF(UPPER(MID(D27,4,1))="C","Company",IF(UPPER(MID(D27,4,1))="F","Firm",IF(UPPER(MID(D27,4,1))="L","LLP",IF(UPPER(MID(D27,4,1))="T","Trust",IF(UPPER(MID(D27,4,1))="A","AOP","")))))))))</f>
      </c>
      <c r="G27" s="8"/>
      <c r="H27" s="7">
        <f>IF($C27="","",IF(R27&lt;&gt;"",R27,IF(G27="","",IF(E27="Y",SUMPRODUCT(('Rate Lookup'!$A$1:$A$37=G27)*'Rate Lookup'!$D$1:$D$37),IF(OR(F27="Individual",F27="HUF"),SUMPRODUCT(('Rate Lookup'!$A$1:$A$37=G27)*'Rate Lookup'!$B$1:$B$37),SUMPRODUCT(('Rate Lookup'!$A$1:$A$37=G27)*'Rate Lookup'!$C$1:$C$37)))))))</f>
      </c>
      <c r="I27" s="8"/>
      <c r="J27" s="8"/>
      <c r="K27" s="7">
        <f>IF($C27="","",IF(OR(P27="B",P27="D",P27="E",P27="N",P27="O",P27="P",P27="Q",P27="S",P27="Y",P27="Z"),0,ROUND(J27*H27/100,0)))</f>
      </c>
      <c r="L27" s="7">
        <f>IF($C27="","",0)</f>
      </c>
      <c r="M27" s="7">
        <f>IF($C27="","",0)</f>
      </c>
      <c r="N27" s="7">
        <f>IF($C27="","",IF(OR(K27=0,I27="",IFERROR(INDEX('Challan Master'!$D$4:$D$207,MATCH($B27,'Challan Master'!$S$4:$S$207,0)),"")="",IFERROR(INDEX('Challan Master'!$D$4:$D$207,MATCH($B27,'Challan Master'!$S$4:$S$207,0)),"")&lt;=0),0,IF(IFERROR(INDEX('Challan Master'!$D$4:$D$207,MATCH($B27,'Challan Master'!$S$4:$S$207,0)),"")&lt;=DATE(YEAR(I27),MONTH(I27)+1,7),0,ROUND(K27*0.015*((YEAR(IFERROR(INDEX('Challan Master'!$D$4:$D$207,MATCH($B27,'Challan Master'!$S$4:$S$207,0)),""))-YEAR(I27))*12+(MONTH(IFERROR(INDEX('Challan Master'!$D$4:$D$207,MATCH($B27,'Challan Master'!$S$4:$S$207,0)),""))-MONTH(I27))+1),0))))</f>
      </c>
      <c r="O27" s="7">
        <f>IF($C27="","",0)</f>
      </c>
      <c r="P27" s="8"/>
      <c r="Q27" s="8"/>
      <c r="R27" s="8"/>
      <c r="S27" s="8"/>
      <c r="T27" s="8"/>
      <c r="U27" s="7">
        <f>IF($B27="","",IFERROR(INDEX('Challan Master'!$AA$4:$AA$207,MATCH($B27,'Challan Master'!$S$4:$S$207,0)),""))</f>
      </c>
    </row>
    <row r="28" spans="1:22" x14ac:dyDescent="0.25">
      <c r="A28" s="7">
        <f>IF($C28="","",COUNTIF($C$4:$C28,"&lt;&gt;"))</f>
      </c>
      <c r="B28" s="8"/>
      <c r="C28" s="8"/>
      <c r="D28" s="8"/>
      <c r="E28" s="7">
        <f>IF($C28="","",IF(AND(LEN(TRIM(UPPER(D28)))=10,CODE(MID(TRIM(UPPER(D28)),1,1))&gt;=65,CODE(MID(TRIM(UPPER(D28)),1,1))&lt;=90,CODE(MID(TRIM(UPPER(D28)),2,1))&gt;=65,CODE(MID(TRIM(UPPER(D28)),2,1))&lt;=90,CODE(MID(TRIM(UPPER(D28)),3,1))&gt;=65,CODE(MID(TRIM(UPPER(D28)),3,1))&lt;=90,CODE(MID(TRIM(UPPER(D28)),4,1))&gt;=65,CODE(MID(TRIM(UPPER(D28)),4,1))&lt;=90,CODE(MID(TRIM(UPPER(D28)),5,1))&gt;=65,CODE(MID(TRIM(UPPER(D28)),5,1))&lt;=90,CODE(MID(TRIM(UPPER(D28)),10,1))&gt;=65,CODE(MID(TRIM(UPPER(D28)),10,1))&lt;=90,CODE(MID(TRIM(UPPER(D28)),6,1))&gt;=48,CODE(MID(TRIM(UPPER(D28)),6,1))&lt;=57,CODE(MID(TRIM(UPPER(D28)),7,1))&gt;=48,CODE(MID(TRIM(UPPER(D28)),7,1))&lt;=57,CODE(MID(TRIM(UPPER(D28)),8,1))&gt;=48,CODE(MID(TRIM(UPPER(D28)),8,1))&lt;=57,CODE(MID(TRIM(UPPER(D28)),9,1))&gt;=48,CODE(MID(TRIM(UPPER(D28)),9,1))&lt;=57),"N","Y"))</f>
      </c>
      <c r="F28" s="7">
        <f>IF($C28="","",IF(LEN(D28)&lt;4,"",IF(UPPER(MID(D28,4,1))="P","Individual",IF(UPPER(MID(D28,4,1))="H","HUF",IF(UPPER(MID(D28,4,1))="C","Company",IF(UPPER(MID(D28,4,1))="F","Firm",IF(UPPER(MID(D28,4,1))="L","LLP",IF(UPPER(MID(D28,4,1))="T","Trust",IF(UPPER(MID(D28,4,1))="A","AOP","")))))))))</f>
      </c>
      <c r="G28" s="8"/>
      <c r="H28" s="7">
        <f>IF($C28="","",IF(R28&lt;&gt;"",R28,IF(G28="","",IF(E28="Y",SUMPRODUCT(('Rate Lookup'!$A$1:$A$37=G28)*'Rate Lookup'!$D$1:$D$37),IF(OR(F28="Individual",F28="HUF"),SUMPRODUCT(('Rate Lookup'!$A$1:$A$37=G28)*'Rate Lookup'!$B$1:$B$37),SUMPRODUCT(('Rate Lookup'!$A$1:$A$37=G28)*'Rate Lookup'!$C$1:$C$37)))))))</f>
      </c>
      <c r="I28" s="8"/>
      <c r="J28" s="8"/>
      <c r="K28" s="7">
        <f>IF($C28="","",IF(OR(P28="B",P28="D",P28="E",P28="N",P28="O",P28="P",P28="Q",P28="S",P28="Y",P28="Z"),0,ROUND(J28*H28/100,0)))</f>
      </c>
      <c r="L28" s="7">
        <f>IF($C28="","",0)</f>
      </c>
      <c r="M28" s="7">
        <f>IF($C28="","",0)</f>
      </c>
      <c r="N28" s="7">
        <f>IF($C28="","",IF(OR(K28=0,I28="",IFERROR(INDEX('Challan Master'!$D$4:$D$207,MATCH($B28,'Challan Master'!$S$4:$S$207,0)),"")="",IFERROR(INDEX('Challan Master'!$D$4:$D$207,MATCH($B28,'Challan Master'!$S$4:$S$207,0)),"")&lt;=0),0,IF(IFERROR(INDEX('Challan Master'!$D$4:$D$207,MATCH($B28,'Challan Master'!$S$4:$S$207,0)),"")&lt;=DATE(YEAR(I28),MONTH(I28)+1,7),0,ROUND(K28*0.015*((YEAR(IFERROR(INDEX('Challan Master'!$D$4:$D$207,MATCH($B28,'Challan Master'!$S$4:$S$207,0)),""))-YEAR(I28))*12+(MONTH(IFERROR(INDEX('Challan Master'!$D$4:$D$207,MATCH($B28,'Challan Master'!$S$4:$S$207,0)),""))-MONTH(I28))+1),0))))</f>
      </c>
      <c r="O28" s="7">
        <f>IF($C28="","",0)</f>
      </c>
      <c r="P28" s="8"/>
      <c r="Q28" s="8"/>
      <c r="R28" s="8"/>
      <c r="S28" s="8"/>
      <c r="T28" s="8"/>
      <c r="U28" s="7">
        <f>IF($B28="","",IFERROR(INDEX('Challan Master'!$AA$4:$AA$207,MATCH($B28,'Challan Master'!$S$4:$S$207,0)),""))</f>
      </c>
    </row>
    <row r="29" spans="1:22" x14ac:dyDescent="0.25">
      <c r="A29" s="7">
        <f>IF($C29="","",COUNTIF($C$4:$C29,"&lt;&gt;"))</f>
      </c>
      <c r="B29" s="8"/>
      <c r="C29" s="8"/>
      <c r="D29" s="8"/>
      <c r="E29" s="7">
        <f>IF($C29="","",IF(AND(LEN(TRIM(UPPER(D29)))=10,CODE(MID(TRIM(UPPER(D29)),1,1))&gt;=65,CODE(MID(TRIM(UPPER(D29)),1,1))&lt;=90,CODE(MID(TRIM(UPPER(D29)),2,1))&gt;=65,CODE(MID(TRIM(UPPER(D29)),2,1))&lt;=90,CODE(MID(TRIM(UPPER(D29)),3,1))&gt;=65,CODE(MID(TRIM(UPPER(D29)),3,1))&lt;=90,CODE(MID(TRIM(UPPER(D29)),4,1))&gt;=65,CODE(MID(TRIM(UPPER(D29)),4,1))&lt;=90,CODE(MID(TRIM(UPPER(D29)),5,1))&gt;=65,CODE(MID(TRIM(UPPER(D29)),5,1))&lt;=90,CODE(MID(TRIM(UPPER(D29)),10,1))&gt;=65,CODE(MID(TRIM(UPPER(D29)),10,1))&lt;=90,CODE(MID(TRIM(UPPER(D29)),6,1))&gt;=48,CODE(MID(TRIM(UPPER(D29)),6,1))&lt;=57,CODE(MID(TRIM(UPPER(D29)),7,1))&gt;=48,CODE(MID(TRIM(UPPER(D29)),7,1))&lt;=57,CODE(MID(TRIM(UPPER(D29)),8,1))&gt;=48,CODE(MID(TRIM(UPPER(D29)),8,1))&lt;=57,CODE(MID(TRIM(UPPER(D29)),9,1))&gt;=48,CODE(MID(TRIM(UPPER(D29)),9,1))&lt;=57),"N","Y"))</f>
      </c>
      <c r="F29" s="7">
        <f>IF($C29="","",IF(LEN(D29)&lt;4,"",IF(UPPER(MID(D29,4,1))="P","Individual",IF(UPPER(MID(D29,4,1))="H","HUF",IF(UPPER(MID(D29,4,1))="C","Company",IF(UPPER(MID(D29,4,1))="F","Firm",IF(UPPER(MID(D29,4,1))="L","LLP",IF(UPPER(MID(D29,4,1))="T","Trust",IF(UPPER(MID(D29,4,1))="A","AOP","")))))))))</f>
      </c>
      <c r="G29" s="8"/>
      <c r="H29" s="7">
        <f>IF($C29="","",IF(R29&lt;&gt;"",R29,IF(G29="","",IF(E29="Y",SUMPRODUCT(('Rate Lookup'!$A$1:$A$37=G29)*'Rate Lookup'!$D$1:$D$37),IF(OR(F29="Individual",F29="HUF"),SUMPRODUCT(('Rate Lookup'!$A$1:$A$37=G29)*'Rate Lookup'!$B$1:$B$37),SUMPRODUCT(('Rate Lookup'!$A$1:$A$37=G29)*'Rate Lookup'!$C$1:$C$37)))))))</f>
      </c>
      <c r="I29" s="8"/>
      <c r="J29" s="8"/>
      <c r="K29" s="7">
        <f>IF($C29="","",IF(OR(P29="B",P29="D",P29="E",P29="N",P29="O",P29="P",P29="Q",P29="S",P29="Y",P29="Z"),0,ROUND(J29*H29/100,0)))</f>
      </c>
      <c r="L29" s="7">
        <f>IF($C29="","",0)</f>
      </c>
      <c r="M29" s="7">
        <f>IF($C29="","",0)</f>
      </c>
      <c r="N29" s="7">
        <f>IF($C29="","",IF(OR(K29=0,I29="",IFERROR(INDEX('Challan Master'!$D$4:$D$207,MATCH($B29,'Challan Master'!$S$4:$S$207,0)),"")="",IFERROR(INDEX('Challan Master'!$D$4:$D$207,MATCH($B29,'Challan Master'!$S$4:$S$207,0)),"")&lt;=0),0,IF(IFERROR(INDEX('Challan Master'!$D$4:$D$207,MATCH($B29,'Challan Master'!$S$4:$S$207,0)),"")&lt;=DATE(YEAR(I29),MONTH(I29)+1,7),0,ROUND(K29*0.015*((YEAR(IFERROR(INDEX('Challan Master'!$D$4:$D$207,MATCH($B29,'Challan Master'!$S$4:$S$207,0)),""))-YEAR(I29))*12+(MONTH(IFERROR(INDEX('Challan Master'!$D$4:$D$207,MATCH($B29,'Challan Master'!$S$4:$S$207,0)),""))-MONTH(I29))+1),0))))</f>
      </c>
      <c r="O29" s="7">
        <f>IF($C29="","",0)</f>
      </c>
      <c r="P29" s="8"/>
      <c r="Q29" s="8"/>
      <c r="R29" s="8"/>
      <c r="S29" s="8"/>
      <c r="T29" s="8"/>
      <c r="U29" s="7">
        <f>IF($B29="","",IFERROR(INDEX('Challan Master'!$AA$4:$AA$207,MATCH($B29,'Challan Master'!$S$4:$S$207,0)),""))</f>
      </c>
    </row>
    <row r="30" spans="1:22" x14ac:dyDescent="0.25">
      <c r="A30" s="7">
        <f>IF($C30="","",COUNTIF($C$4:$C30,"&lt;&gt;"))</f>
      </c>
      <c r="B30" s="8"/>
      <c r="C30" s="8"/>
      <c r="D30" s="8"/>
      <c r="E30" s="7">
        <f>IF($C30="","",IF(AND(LEN(TRIM(UPPER(D30)))=10,CODE(MID(TRIM(UPPER(D30)),1,1))&gt;=65,CODE(MID(TRIM(UPPER(D30)),1,1))&lt;=90,CODE(MID(TRIM(UPPER(D30)),2,1))&gt;=65,CODE(MID(TRIM(UPPER(D30)),2,1))&lt;=90,CODE(MID(TRIM(UPPER(D30)),3,1))&gt;=65,CODE(MID(TRIM(UPPER(D30)),3,1))&lt;=90,CODE(MID(TRIM(UPPER(D30)),4,1))&gt;=65,CODE(MID(TRIM(UPPER(D30)),4,1))&lt;=90,CODE(MID(TRIM(UPPER(D30)),5,1))&gt;=65,CODE(MID(TRIM(UPPER(D30)),5,1))&lt;=90,CODE(MID(TRIM(UPPER(D30)),10,1))&gt;=65,CODE(MID(TRIM(UPPER(D30)),10,1))&lt;=90,CODE(MID(TRIM(UPPER(D30)),6,1))&gt;=48,CODE(MID(TRIM(UPPER(D30)),6,1))&lt;=57,CODE(MID(TRIM(UPPER(D30)),7,1))&gt;=48,CODE(MID(TRIM(UPPER(D30)),7,1))&lt;=57,CODE(MID(TRIM(UPPER(D30)),8,1))&gt;=48,CODE(MID(TRIM(UPPER(D30)),8,1))&lt;=57,CODE(MID(TRIM(UPPER(D30)),9,1))&gt;=48,CODE(MID(TRIM(UPPER(D30)),9,1))&lt;=57),"N","Y"))</f>
      </c>
      <c r="F30" s="7">
        <f>IF($C30="","",IF(LEN(D30)&lt;4,"",IF(UPPER(MID(D30,4,1))="P","Individual",IF(UPPER(MID(D30,4,1))="H","HUF",IF(UPPER(MID(D30,4,1))="C","Company",IF(UPPER(MID(D30,4,1))="F","Firm",IF(UPPER(MID(D30,4,1))="L","LLP",IF(UPPER(MID(D30,4,1))="T","Trust",IF(UPPER(MID(D30,4,1))="A","AOP","")))))))))</f>
      </c>
      <c r="G30" s="8"/>
      <c r="H30" s="7">
        <f>IF($C30="","",IF(R30&lt;&gt;"",R30,IF(G30="","",IF(E30="Y",SUMPRODUCT(('Rate Lookup'!$A$1:$A$37=G30)*'Rate Lookup'!$D$1:$D$37),IF(OR(F30="Individual",F30="HUF"),SUMPRODUCT(('Rate Lookup'!$A$1:$A$37=G30)*'Rate Lookup'!$B$1:$B$37),SUMPRODUCT(('Rate Lookup'!$A$1:$A$37=G30)*'Rate Lookup'!$C$1:$C$37)))))))</f>
      </c>
      <c r="I30" s="8"/>
      <c r="J30" s="8"/>
      <c r="K30" s="7">
        <f>IF($C30="","",IF(OR(P30="B",P30="D",P30="E",P30="N",P30="O",P30="P",P30="Q",P30="S",P30="Y",P30="Z"),0,ROUND(J30*H30/100,0)))</f>
      </c>
      <c r="L30" s="7">
        <f>IF($C30="","",0)</f>
      </c>
      <c r="M30" s="7">
        <f>IF($C30="","",0)</f>
      </c>
      <c r="N30" s="7">
        <f>IF($C30="","",IF(OR(K30=0,I30="",IFERROR(INDEX('Challan Master'!$D$4:$D$207,MATCH($B30,'Challan Master'!$S$4:$S$207,0)),"")="",IFERROR(INDEX('Challan Master'!$D$4:$D$207,MATCH($B30,'Challan Master'!$S$4:$S$207,0)),"")&lt;=0),0,IF(IFERROR(INDEX('Challan Master'!$D$4:$D$207,MATCH($B30,'Challan Master'!$S$4:$S$207,0)),"")&lt;=DATE(YEAR(I30),MONTH(I30)+1,7),0,ROUND(K30*0.015*((YEAR(IFERROR(INDEX('Challan Master'!$D$4:$D$207,MATCH($B30,'Challan Master'!$S$4:$S$207,0)),""))-YEAR(I30))*12+(MONTH(IFERROR(INDEX('Challan Master'!$D$4:$D$207,MATCH($B30,'Challan Master'!$S$4:$S$207,0)),""))-MONTH(I30))+1),0))))</f>
      </c>
      <c r="O30" s="7">
        <f>IF($C30="","",0)</f>
      </c>
      <c r="P30" s="8"/>
      <c r="Q30" s="8"/>
      <c r="R30" s="8"/>
      <c r="S30" s="8"/>
      <c r="T30" s="8"/>
      <c r="U30" s="7">
        <f>IF($B30="","",IFERROR(INDEX('Challan Master'!$AA$4:$AA$207,MATCH($B30,'Challan Master'!$S$4:$S$207,0)),""))</f>
      </c>
    </row>
    <row r="31" spans="1:22" x14ac:dyDescent="0.25">
      <c r="A31" s="7">
        <f>IF($C31="","",COUNTIF($C$4:$C31,"&lt;&gt;"))</f>
      </c>
      <c r="B31" s="8"/>
      <c r="C31" s="8"/>
      <c r="D31" s="8"/>
      <c r="E31" s="7">
        <f>IF($C31="","",IF(AND(LEN(TRIM(UPPER(D31)))=10,CODE(MID(TRIM(UPPER(D31)),1,1))&gt;=65,CODE(MID(TRIM(UPPER(D31)),1,1))&lt;=90,CODE(MID(TRIM(UPPER(D31)),2,1))&gt;=65,CODE(MID(TRIM(UPPER(D31)),2,1))&lt;=90,CODE(MID(TRIM(UPPER(D31)),3,1))&gt;=65,CODE(MID(TRIM(UPPER(D31)),3,1))&lt;=90,CODE(MID(TRIM(UPPER(D31)),4,1))&gt;=65,CODE(MID(TRIM(UPPER(D31)),4,1))&lt;=90,CODE(MID(TRIM(UPPER(D31)),5,1))&gt;=65,CODE(MID(TRIM(UPPER(D31)),5,1))&lt;=90,CODE(MID(TRIM(UPPER(D31)),10,1))&gt;=65,CODE(MID(TRIM(UPPER(D31)),10,1))&lt;=90,CODE(MID(TRIM(UPPER(D31)),6,1))&gt;=48,CODE(MID(TRIM(UPPER(D31)),6,1))&lt;=57,CODE(MID(TRIM(UPPER(D31)),7,1))&gt;=48,CODE(MID(TRIM(UPPER(D31)),7,1))&lt;=57,CODE(MID(TRIM(UPPER(D31)),8,1))&gt;=48,CODE(MID(TRIM(UPPER(D31)),8,1))&lt;=57,CODE(MID(TRIM(UPPER(D31)),9,1))&gt;=48,CODE(MID(TRIM(UPPER(D31)),9,1))&lt;=57),"N","Y"))</f>
      </c>
      <c r="F31" s="7">
        <f>IF($C31="","",IF(LEN(D31)&lt;4,"",IF(UPPER(MID(D31,4,1))="P","Individual",IF(UPPER(MID(D31,4,1))="H","HUF",IF(UPPER(MID(D31,4,1))="C","Company",IF(UPPER(MID(D31,4,1))="F","Firm",IF(UPPER(MID(D31,4,1))="L","LLP",IF(UPPER(MID(D31,4,1))="T","Trust",IF(UPPER(MID(D31,4,1))="A","AOP","")))))))))</f>
      </c>
      <c r="G31" s="8"/>
      <c r="H31" s="7">
        <f>IF($C31="","",IF(R31&lt;&gt;"",R31,IF(G31="","",IF(E31="Y",SUMPRODUCT(('Rate Lookup'!$A$1:$A$37=G31)*'Rate Lookup'!$D$1:$D$37),IF(OR(F31="Individual",F31="HUF"),SUMPRODUCT(('Rate Lookup'!$A$1:$A$37=G31)*'Rate Lookup'!$B$1:$B$37),SUMPRODUCT(('Rate Lookup'!$A$1:$A$37=G31)*'Rate Lookup'!$C$1:$C$37)))))))</f>
      </c>
      <c r="I31" s="8"/>
      <c r="J31" s="8"/>
      <c r="K31" s="7">
        <f>IF($C31="","",IF(OR(P31="B",P31="D",P31="E",P31="N",P31="O",P31="P",P31="Q",P31="S",P31="Y",P31="Z"),0,ROUND(J31*H31/100,0)))</f>
      </c>
      <c r="L31" s="7">
        <f>IF($C31="","",0)</f>
      </c>
      <c r="M31" s="7">
        <f>IF($C31="","",0)</f>
      </c>
      <c r="N31" s="7">
        <f>IF($C31="","",IF(OR(K31=0,I31="",IFERROR(INDEX('Challan Master'!$D$4:$D$207,MATCH($B31,'Challan Master'!$S$4:$S$207,0)),"")="",IFERROR(INDEX('Challan Master'!$D$4:$D$207,MATCH($B31,'Challan Master'!$S$4:$S$207,0)),"")&lt;=0),0,IF(IFERROR(INDEX('Challan Master'!$D$4:$D$207,MATCH($B31,'Challan Master'!$S$4:$S$207,0)),"")&lt;=DATE(YEAR(I31),MONTH(I31)+1,7),0,ROUND(K31*0.015*((YEAR(IFERROR(INDEX('Challan Master'!$D$4:$D$207,MATCH($B31,'Challan Master'!$S$4:$S$207,0)),""))-YEAR(I31))*12+(MONTH(IFERROR(INDEX('Challan Master'!$D$4:$D$207,MATCH($B31,'Challan Master'!$S$4:$S$207,0)),""))-MONTH(I31))+1),0))))</f>
      </c>
      <c r="O31" s="7">
        <f>IF($C31="","",0)</f>
      </c>
      <c r="P31" s="8"/>
      <c r="Q31" s="8"/>
      <c r="R31" s="8"/>
      <c r="S31" s="8"/>
      <c r="T31" s="8"/>
      <c r="U31" s="7">
        <f>IF($B31="","",IFERROR(INDEX('Challan Master'!$AA$4:$AA$207,MATCH($B31,'Challan Master'!$S$4:$S$207,0)),""))</f>
      </c>
    </row>
    <row r="32" spans="1:22" x14ac:dyDescent="0.25">
      <c r="A32" s="7">
        <f>IF($C32="","",COUNTIF($C$4:$C32,"&lt;&gt;"))</f>
      </c>
      <c r="B32" s="8"/>
      <c r="C32" s="8"/>
      <c r="D32" s="8"/>
      <c r="E32" s="7">
        <f>IF($C32="","",IF(AND(LEN(TRIM(UPPER(D32)))=10,CODE(MID(TRIM(UPPER(D32)),1,1))&gt;=65,CODE(MID(TRIM(UPPER(D32)),1,1))&lt;=90,CODE(MID(TRIM(UPPER(D32)),2,1))&gt;=65,CODE(MID(TRIM(UPPER(D32)),2,1))&lt;=90,CODE(MID(TRIM(UPPER(D32)),3,1))&gt;=65,CODE(MID(TRIM(UPPER(D32)),3,1))&lt;=90,CODE(MID(TRIM(UPPER(D32)),4,1))&gt;=65,CODE(MID(TRIM(UPPER(D32)),4,1))&lt;=90,CODE(MID(TRIM(UPPER(D32)),5,1))&gt;=65,CODE(MID(TRIM(UPPER(D32)),5,1))&lt;=90,CODE(MID(TRIM(UPPER(D32)),10,1))&gt;=65,CODE(MID(TRIM(UPPER(D32)),10,1))&lt;=90,CODE(MID(TRIM(UPPER(D32)),6,1))&gt;=48,CODE(MID(TRIM(UPPER(D32)),6,1))&lt;=57,CODE(MID(TRIM(UPPER(D32)),7,1))&gt;=48,CODE(MID(TRIM(UPPER(D32)),7,1))&lt;=57,CODE(MID(TRIM(UPPER(D32)),8,1))&gt;=48,CODE(MID(TRIM(UPPER(D32)),8,1))&lt;=57,CODE(MID(TRIM(UPPER(D32)),9,1))&gt;=48,CODE(MID(TRIM(UPPER(D32)),9,1))&lt;=57),"N","Y"))</f>
      </c>
      <c r="F32" s="7">
        <f>IF($C32="","",IF(LEN(D32)&lt;4,"",IF(UPPER(MID(D32,4,1))="P","Individual",IF(UPPER(MID(D32,4,1))="H","HUF",IF(UPPER(MID(D32,4,1))="C","Company",IF(UPPER(MID(D32,4,1))="F","Firm",IF(UPPER(MID(D32,4,1))="L","LLP",IF(UPPER(MID(D32,4,1))="T","Trust",IF(UPPER(MID(D32,4,1))="A","AOP","")))))))))</f>
      </c>
      <c r="G32" s="8"/>
      <c r="H32" s="7">
        <f>IF($C32="","",IF(R32&lt;&gt;"",R32,IF(G32="","",IF(E32="Y",SUMPRODUCT(('Rate Lookup'!$A$1:$A$37=G32)*'Rate Lookup'!$D$1:$D$37),IF(OR(F32="Individual",F32="HUF"),SUMPRODUCT(('Rate Lookup'!$A$1:$A$37=G32)*'Rate Lookup'!$B$1:$B$37),SUMPRODUCT(('Rate Lookup'!$A$1:$A$37=G32)*'Rate Lookup'!$C$1:$C$37)))))))</f>
      </c>
      <c r="I32" s="8"/>
      <c r="J32" s="8"/>
      <c r="K32" s="7">
        <f>IF($C32="","",IF(OR(P32="B",P32="D",P32="E",P32="N",P32="O",P32="P",P32="Q",P32="S",P32="Y",P32="Z"),0,ROUND(J32*H32/100,0)))</f>
      </c>
      <c r="L32" s="7">
        <f>IF($C32="","",0)</f>
      </c>
      <c r="M32" s="7">
        <f>IF($C32="","",0)</f>
      </c>
      <c r="N32" s="7">
        <f>IF($C32="","",IF(OR(K32=0,I32="",IFERROR(INDEX('Challan Master'!$D$4:$D$207,MATCH($B32,'Challan Master'!$S$4:$S$207,0)),"")="",IFERROR(INDEX('Challan Master'!$D$4:$D$207,MATCH($B32,'Challan Master'!$S$4:$S$207,0)),"")&lt;=0),0,IF(IFERROR(INDEX('Challan Master'!$D$4:$D$207,MATCH($B32,'Challan Master'!$S$4:$S$207,0)),"")&lt;=DATE(YEAR(I32),MONTH(I32)+1,7),0,ROUND(K32*0.015*((YEAR(IFERROR(INDEX('Challan Master'!$D$4:$D$207,MATCH($B32,'Challan Master'!$S$4:$S$207,0)),""))-YEAR(I32))*12+(MONTH(IFERROR(INDEX('Challan Master'!$D$4:$D$207,MATCH($B32,'Challan Master'!$S$4:$S$207,0)),""))-MONTH(I32))+1),0))))</f>
      </c>
      <c r="O32" s="7">
        <f>IF($C32="","",0)</f>
      </c>
      <c r="P32" s="8"/>
      <c r="Q32" s="8"/>
      <c r="R32" s="8"/>
      <c r="S32" s="8"/>
      <c r="T32" s="8"/>
      <c r="U32" s="7">
        <f>IF($B32="","",IFERROR(INDEX('Challan Master'!$AA$4:$AA$207,MATCH($B32,'Challan Master'!$S$4:$S$207,0)),""))</f>
      </c>
    </row>
    <row r="33" spans="1:22" x14ac:dyDescent="0.25">
      <c r="A33" s="7">
        <f>IF($C33="","",COUNTIF($C$4:$C33,"&lt;&gt;"))</f>
      </c>
      <c r="B33" s="8"/>
      <c r="C33" s="8"/>
      <c r="D33" s="8"/>
      <c r="E33" s="7">
        <f>IF($C33="","",IF(AND(LEN(TRIM(UPPER(D33)))=10,CODE(MID(TRIM(UPPER(D33)),1,1))&gt;=65,CODE(MID(TRIM(UPPER(D33)),1,1))&lt;=90,CODE(MID(TRIM(UPPER(D33)),2,1))&gt;=65,CODE(MID(TRIM(UPPER(D33)),2,1))&lt;=90,CODE(MID(TRIM(UPPER(D33)),3,1))&gt;=65,CODE(MID(TRIM(UPPER(D33)),3,1))&lt;=90,CODE(MID(TRIM(UPPER(D33)),4,1))&gt;=65,CODE(MID(TRIM(UPPER(D33)),4,1))&lt;=90,CODE(MID(TRIM(UPPER(D33)),5,1))&gt;=65,CODE(MID(TRIM(UPPER(D33)),5,1))&lt;=90,CODE(MID(TRIM(UPPER(D33)),10,1))&gt;=65,CODE(MID(TRIM(UPPER(D33)),10,1))&lt;=90,CODE(MID(TRIM(UPPER(D33)),6,1))&gt;=48,CODE(MID(TRIM(UPPER(D33)),6,1))&lt;=57,CODE(MID(TRIM(UPPER(D33)),7,1))&gt;=48,CODE(MID(TRIM(UPPER(D33)),7,1))&lt;=57,CODE(MID(TRIM(UPPER(D33)),8,1))&gt;=48,CODE(MID(TRIM(UPPER(D33)),8,1))&lt;=57,CODE(MID(TRIM(UPPER(D33)),9,1))&gt;=48,CODE(MID(TRIM(UPPER(D33)),9,1))&lt;=57),"N","Y"))</f>
      </c>
      <c r="F33" s="7">
        <f>IF($C33="","",IF(LEN(D33)&lt;4,"",IF(UPPER(MID(D33,4,1))="P","Individual",IF(UPPER(MID(D33,4,1))="H","HUF",IF(UPPER(MID(D33,4,1))="C","Company",IF(UPPER(MID(D33,4,1))="F","Firm",IF(UPPER(MID(D33,4,1))="L","LLP",IF(UPPER(MID(D33,4,1))="T","Trust",IF(UPPER(MID(D33,4,1))="A","AOP","")))))))))</f>
      </c>
      <c r="G33" s="8"/>
      <c r="H33" s="7">
        <f>IF($C33="","",IF(R33&lt;&gt;"",R33,IF(G33="","",IF(E33="Y",SUMPRODUCT(('Rate Lookup'!$A$1:$A$37=G33)*'Rate Lookup'!$D$1:$D$37),IF(OR(F33="Individual",F33="HUF"),SUMPRODUCT(('Rate Lookup'!$A$1:$A$37=G33)*'Rate Lookup'!$B$1:$B$37),SUMPRODUCT(('Rate Lookup'!$A$1:$A$37=G33)*'Rate Lookup'!$C$1:$C$37)))))))</f>
      </c>
      <c r="I33" s="8"/>
      <c r="J33" s="8"/>
      <c r="K33" s="7">
        <f>IF($C33="","",IF(OR(P33="B",P33="D",P33="E",P33="N",P33="O",P33="P",P33="Q",P33="S",P33="Y",P33="Z"),0,ROUND(J33*H33/100,0)))</f>
      </c>
      <c r="L33" s="7">
        <f>IF($C33="","",0)</f>
      </c>
      <c r="M33" s="7">
        <f>IF($C33="","",0)</f>
      </c>
      <c r="N33" s="7">
        <f>IF($C33="","",IF(OR(K33=0,I33="",IFERROR(INDEX('Challan Master'!$D$4:$D$207,MATCH($B33,'Challan Master'!$S$4:$S$207,0)),"")="",IFERROR(INDEX('Challan Master'!$D$4:$D$207,MATCH($B33,'Challan Master'!$S$4:$S$207,0)),"")&lt;=0),0,IF(IFERROR(INDEX('Challan Master'!$D$4:$D$207,MATCH($B33,'Challan Master'!$S$4:$S$207,0)),"")&lt;=DATE(YEAR(I33),MONTH(I33)+1,7),0,ROUND(K33*0.015*((YEAR(IFERROR(INDEX('Challan Master'!$D$4:$D$207,MATCH($B33,'Challan Master'!$S$4:$S$207,0)),""))-YEAR(I33))*12+(MONTH(IFERROR(INDEX('Challan Master'!$D$4:$D$207,MATCH($B33,'Challan Master'!$S$4:$S$207,0)),""))-MONTH(I33))+1),0))))</f>
      </c>
      <c r="O33" s="7">
        <f>IF($C33="","",0)</f>
      </c>
      <c r="P33" s="8"/>
      <c r="Q33" s="8"/>
      <c r="R33" s="8"/>
      <c r="S33" s="8"/>
      <c r="T33" s="8"/>
      <c r="U33" s="7">
        <f>IF($B33="","",IFERROR(INDEX('Challan Master'!$AA$4:$AA$207,MATCH($B33,'Challan Master'!$S$4:$S$207,0)),""))</f>
      </c>
    </row>
    <row r="34" spans="1:22" x14ac:dyDescent="0.25">
      <c r="A34" s="7">
        <f>IF($C34="","",COUNTIF($C$4:$C34,"&lt;&gt;"))</f>
      </c>
      <c r="B34" s="8"/>
      <c r="C34" s="8"/>
      <c r="D34" s="8"/>
      <c r="E34" s="7">
        <f>IF($C34="","",IF(AND(LEN(TRIM(UPPER(D34)))=10,CODE(MID(TRIM(UPPER(D34)),1,1))&gt;=65,CODE(MID(TRIM(UPPER(D34)),1,1))&lt;=90,CODE(MID(TRIM(UPPER(D34)),2,1))&gt;=65,CODE(MID(TRIM(UPPER(D34)),2,1))&lt;=90,CODE(MID(TRIM(UPPER(D34)),3,1))&gt;=65,CODE(MID(TRIM(UPPER(D34)),3,1))&lt;=90,CODE(MID(TRIM(UPPER(D34)),4,1))&gt;=65,CODE(MID(TRIM(UPPER(D34)),4,1))&lt;=90,CODE(MID(TRIM(UPPER(D34)),5,1))&gt;=65,CODE(MID(TRIM(UPPER(D34)),5,1))&lt;=90,CODE(MID(TRIM(UPPER(D34)),10,1))&gt;=65,CODE(MID(TRIM(UPPER(D34)),10,1))&lt;=90,CODE(MID(TRIM(UPPER(D34)),6,1))&gt;=48,CODE(MID(TRIM(UPPER(D34)),6,1))&lt;=57,CODE(MID(TRIM(UPPER(D34)),7,1))&gt;=48,CODE(MID(TRIM(UPPER(D34)),7,1))&lt;=57,CODE(MID(TRIM(UPPER(D34)),8,1))&gt;=48,CODE(MID(TRIM(UPPER(D34)),8,1))&lt;=57,CODE(MID(TRIM(UPPER(D34)),9,1))&gt;=48,CODE(MID(TRIM(UPPER(D34)),9,1))&lt;=57),"N","Y"))</f>
      </c>
      <c r="F34" s="7">
        <f>IF($C34="","",IF(LEN(D34)&lt;4,"",IF(UPPER(MID(D34,4,1))="P","Individual",IF(UPPER(MID(D34,4,1))="H","HUF",IF(UPPER(MID(D34,4,1))="C","Company",IF(UPPER(MID(D34,4,1))="F","Firm",IF(UPPER(MID(D34,4,1))="L","LLP",IF(UPPER(MID(D34,4,1))="T","Trust",IF(UPPER(MID(D34,4,1))="A","AOP","")))))))))</f>
      </c>
      <c r="G34" s="8"/>
      <c r="H34" s="7">
        <f>IF($C34="","",IF(R34&lt;&gt;"",R34,IF(G34="","",IF(E34="Y",SUMPRODUCT(('Rate Lookup'!$A$1:$A$37=G34)*'Rate Lookup'!$D$1:$D$37),IF(OR(F34="Individual",F34="HUF"),SUMPRODUCT(('Rate Lookup'!$A$1:$A$37=G34)*'Rate Lookup'!$B$1:$B$37),SUMPRODUCT(('Rate Lookup'!$A$1:$A$37=G34)*'Rate Lookup'!$C$1:$C$37)))))))</f>
      </c>
      <c r="I34" s="8"/>
      <c r="J34" s="8"/>
      <c r="K34" s="7">
        <f>IF($C34="","",IF(OR(P34="B",P34="D",P34="E",P34="N",P34="O",P34="P",P34="Q",P34="S",P34="Y",P34="Z"),0,ROUND(J34*H34/100,0)))</f>
      </c>
      <c r="L34" s="7">
        <f>IF($C34="","",0)</f>
      </c>
      <c r="M34" s="7">
        <f>IF($C34="","",0)</f>
      </c>
      <c r="N34" s="7">
        <f>IF($C34="","",IF(OR(K34=0,I34="",IFERROR(INDEX('Challan Master'!$D$4:$D$207,MATCH($B34,'Challan Master'!$S$4:$S$207,0)),"")="",IFERROR(INDEX('Challan Master'!$D$4:$D$207,MATCH($B34,'Challan Master'!$S$4:$S$207,0)),"")&lt;=0),0,IF(IFERROR(INDEX('Challan Master'!$D$4:$D$207,MATCH($B34,'Challan Master'!$S$4:$S$207,0)),"")&lt;=DATE(YEAR(I34),MONTH(I34)+1,7),0,ROUND(K34*0.015*((YEAR(IFERROR(INDEX('Challan Master'!$D$4:$D$207,MATCH($B34,'Challan Master'!$S$4:$S$207,0)),""))-YEAR(I34))*12+(MONTH(IFERROR(INDEX('Challan Master'!$D$4:$D$207,MATCH($B34,'Challan Master'!$S$4:$S$207,0)),""))-MONTH(I34))+1),0))))</f>
      </c>
      <c r="O34" s="7">
        <f>IF($C34="","",0)</f>
      </c>
      <c r="P34" s="8"/>
      <c r="Q34" s="8"/>
      <c r="R34" s="8"/>
      <c r="S34" s="8"/>
      <c r="T34" s="8"/>
      <c r="U34" s="7">
        <f>IF($B34="","",IFERROR(INDEX('Challan Master'!$AA$4:$AA$207,MATCH($B34,'Challan Master'!$S$4:$S$207,0)),""))</f>
      </c>
    </row>
    <row r="35" spans="1:22" x14ac:dyDescent="0.25">
      <c r="A35" s="7">
        <f>IF($C35="","",COUNTIF($C$4:$C35,"&lt;&gt;"))</f>
      </c>
      <c r="B35" s="8"/>
      <c r="C35" s="8"/>
      <c r="D35" s="8"/>
      <c r="E35" s="7">
        <f>IF($C35="","",IF(AND(LEN(TRIM(UPPER(D35)))=10,CODE(MID(TRIM(UPPER(D35)),1,1))&gt;=65,CODE(MID(TRIM(UPPER(D35)),1,1))&lt;=90,CODE(MID(TRIM(UPPER(D35)),2,1))&gt;=65,CODE(MID(TRIM(UPPER(D35)),2,1))&lt;=90,CODE(MID(TRIM(UPPER(D35)),3,1))&gt;=65,CODE(MID(TRIM(UPPER(D35)),3,1))&lt;=90,CODE(MID(TRIM(UPPER(D35)),4,1))&gt;=65,CODE(MID(TRIM(UPPER(D35)),4,1))&lt;=90,CODE(MID(TRIM(UPPER(D35)),5,1))&gt;=65,CODE(MID(TRIM(UPPER(D35)),5,1))&lt;=90,CODE(MID(TRIM(UPPER(D35)),10,1))&gt;=65,CODE(MID(TRIM(UPPER(D35)),10,1))&lt;=90,CODE(MID(TRIM(UPPER(D35)),6,1))&gt;=48,CODE(MID(TRIM(UPPER(D35)),6,1))&lt;=57,CODE(MID(TRIM(UPPER(D35)),7,1))&gt;=48,CODE(MID(TRIM(UPPER(D35)),7,1))&lt;=57,CODE(MID(TRIM(UPPER(D35)),8,1))&gt;=48,CODE(MID(TRIM(UPPER(D35)),8,1))&lt;=57,CODE(MID(TRIM(UPPER(D35)),9,1))&gt;=48,CODE(MID(TRIM(UPPER(D35)),9,1))&lt;=57),"N","Y"))</f>
      </c>
      <c r="F35" s="7">
        <f>IF($C35="","",IF(LEN(D35)&lt;4,"",IF(UPPER(MID(D35,4,1))="P","Individual",IF(UPPER(MID(D35,4,1))="H","HUF",IF(UPPER(MID(D35,4,1))="C","Company",IF(UPPER(MID(D35,4,1))="F","Firm",IF(UPPER(MID(D35,4,1))="L","LLP",IF(UPPER(MID(D35,4,1))="T","Trust",IF(UPPER(MID(D35,4,1))="A","AOP","")))))))))</f>
      </c>
      <c r="G35" s="8"/>
      <c r="H35" s="7">
        <f>IF($C35="","",IF(R35&lt;&gt;"",R35,IF(G35="","",IF(E35="Y",SUMPRODUCT(('Rate Lookup'!$A$1:$A$37=G35)*'Rate Lookup'!$D$1:$D$37),IF(OR(F35="Individual",F35="HUF"),SUMPRODUCT(('Rate Lookup'!$A$1:$A$37=G35)*'Rate Lookup'!$B$1:$B$37),SUMPRODUCT(('Rate Lookup'!$A$1:$A$37=G35)*'Rate Lookup'!$C$1:$C$37)))))))</f>
      </c>
      <c r="I35" s="8"/>
      <c r="J35" s="8"/>
      <c r="K35" s="7">
        <f>IF($C35="","",IF(OR(P35="B",P35="D",P35="E",P35="N",P35="O",P35="P",P35="Q",P35="S",P35="Y",P35="Z"),0,ROUND(J35*H35/100,0)))</f>
      </c>
      <c r="L35" s="7">
        <f>IF($C35="","",0)</f>
      </c>
      <c r="M35" s="7">
        <f>IF($C35="","",0)</f>
      </c>
      <c r="N35" s="7">
        <f>IF($C35="","",IF(OR(K35=0,I35="",IFERROR(INDEX('Challan Master'!$D$4:$D$207,MATCH($B35,'Challan Master'!$S$4:$S$207,0)),"")="",IFERROR(INDEX('Challan Master'!$D$4:$D$207,MATCH($B35,'Challan Master'!$S$4:$S$207,0)),"")&lt;=0),0,IF(IFERROR(INDEX('Challan Master'!$D$4:$D$207,MATCH($B35,'Challan Master'!$S$4:$S$207,0)),"")&lt;=DATE(YEAR(I35),MONTH(I35)+1,7),0,ROUND(K35*0.015*((YEAR(IFERROR(INDEX('Challan Master'!$D$4:$D$207,MATCH($B35,'Challan Master'!$S$4:$S$207,0)),""))-YEAR(I35))*12+(MONTH(IFERROR(INDEX('Challan Master'!$D$4:$D$207,MATCH($B35,'Challan Master'!$S$4:$S$207,0)),""))-MONTH(I35))+1),0))))</f>
      </c>
      <c r="O35" s="7">
        <f>IF($C35="","",0)</f>
      </c>
      <c r="P35" s="8"/>
      <c r="Q35" s="8"/>
      <c r="R35" s="8"/>
      <c r="S35" s="8"/>
      <c r="T35" s="8"/>
      <c r="U35" s="7">
        <f>IF($B35="","",IFERROR(INDEX('Challan Master'!$AA$4:$AA$207,MATCH($B35,'Challan Master'!$S$4:$S$207,0)),""))</f>
      </c>
    </row>
    <row r="36" spans="1:22" x14ac:dyDescent="0.25">
      <c r="A36" s="7">
        <f>IF($C36="","",COUNTIF($C$4:$C36,"&lt;&gt;"))</f>
      </c>
      <c r="B36" s="8"/>
      <c r="C36" s="8"/>
      <c r="D36" s="8"/>
      <c r="E36" s="7">
        <f>IF($C36="","",IF(AND(LEN(TRIM(UPPER(D36)))=10,CODE(MID(TRIM(UPPER(D36)),1,1))&gt;=65,CODE(MID(TRIM(UPPER(D36)),1,1))&lt;=90,CODE(MID(TRIM(UPPER(D36)),2,1))&gt;=65,CODE(MID(TRIM(UPPER(D36)),2,1))&lt;=90,CODE(MID(TRIM(UPPER(D36)),3,1))&gt;=65,CODE(MID(TRIM(UPPER(D36)),3,1))&lt;=90,CODE(MID(TRIM(UPPER(D36)),4,1))&gt;=65,CODE(MID(TRIM(UPPER(D36)),4,1))&lt;=90,CODE(MID(TRIM(UPPER(D36)),5,1))&gt;=65,CODE(MID(TRIM(UPPER(D36)),5,1))&lt;=90,CODE(MID(TRIM(UPPER(D36)),10,1))&gt;=65,CODE(MID(TRIM(UPPER(D36)),10,1))&lt;=90,CODE(MID(TRIM(UPPER(D36)),6,1))&gt;=48,CODE(MID(TRIM(UPPER(D36)),6,1))&lt;=57,CODE(MID(TRIM(UPPER(D36)),7,1))&gt;=48,CODE(MID(TRIM(UPPER(D36)),7,1))&lt;=57,CODE(MID(TRIM(UPPER(D36)),8,1))&gt;=48,CODE(MID(TRIM(UPPER(D36)),8,1))&lt;=57,CODE(MID(TRIM(UPPER(D36)),9,1))&gt;=48,CODE(MID(TRIM(UPPER(D36)),9,1))&lt;=57),"N","Y"))</f>
      </c>
      <c r="F36" s="7">
        <f>IF($C36="","",IF(LEN(D36)&lt;4,"",IF(UPPER(MID(D36,4,1))="P","Individual",IF(UPPER(MID(D36,4,1))="H","HUF",IF(UPPER(MID(D36,4,1))="C","Company",IF(UPPER(MID(D36,4,1))="F","Firm",IF(UPPER(MID(D36,4,1))="L","LLP",IF(UPPER(MID(D36,4,1))="T","Trust",IF(UPPER(MID(D36,4,1))="A","AOP","")))))))))</f>
      </c>
      <c r="G36" s="8"/>
      <c r="H36" s="7">
        <f>IF($C36="","",IF(R36&lt;&gt;"",R36,IF(G36="","",IF(E36="Y",SUMPRODUCT(('Rate Lookup'!$A$1:$A$37=G36)*'Rate Lookup'!$D$1:$D$37),IF(OR(F36="Individual",F36="HUF"),SUMPRODUCT(('Rate Lookup'!$A$1:$A$37=G36)*'Rate Lookup'!$B$1:$B$37),SUMPRODUCT(('Rate Lookup'!$A$1:$A$37=G36)*'Rate Lookup'!$C$1:$C$37)))))))</f>
      </c>
      <c r="I36" s="8"/>
      <c r="J36" s="8"/>
      <c r="K36" s="7">
        <f>IF($C36="","",IF(OR(P36="B",P36="D",P36="E",P36="N",P36="O",P36="P",P36="Q",P36="S",P36="Y",P36="Z"),0,ROUND(J36*H36/100,0)))</f>
      </c>
      <c r="L36" s="7">
        <f>IF($C36="","",0)</f>
      </c>
      <c r="M36" s="7">
        <f>IF($C36="","",0)</f>
      </c>
      <c r="N36" s="7">
        <f>IF($C36="","",IF(OR(K36=0,I36="",IFERROR(INDEX('Challan Master'!$D$4:$D$207,MATCH($B36,'Challan Master'!$S$4:$S$207,0)),"")="",IFERROR(INDEX('Challan Master'!$D$4:$D$207,MATCH($B36,'Challan Master'!$S$4:$S$207,0)),"")&lt;=0),0,IF(IFERROR(INDEX('Challan Master'!$D$4:$D$207,MATCH($B36,'Challan Master'!$S$4:$S$207,0)),"")&lt;=DATE(YEAR(I36),MONTH(I36)+1,7),0,ROUND(K36*0.015*((YEAR(IFERROR(INDEX('Challan Master'!$D$4:$D$207,MATCH($B36,'Challan Master'!$S$4:$S$207,0)),""))-YEAR(I36))*12+(MONTH(IFERROR(INDEX('Challan Master'!$D$4:$D$207,MATCH($B36,'Challan Master'!$S$4:$S$207,0)),""))-MONTH(I36))+1),0))))</f>
      </c>
      <c r="O36" s="7">
        <f>IF($C36="","",0)</f>
      </c>
      <c r="P36" s="8"/>
      <c r="Q36" s="8"/>
      <c r="R36" s="8"/>
      <c r="S36" s="8"/>
      <c r="T36" s="8"/>
      <c r="U36" s="7">
        <f>IF($B36="","",IFERROR(INDEX('Challan Master'!$AA$4:$AA$207,MATCH($B36,'Challan Master'!$S$4:$S$207,0)),""))</f>
      </c>
    </row>
    <row r="37" spans="1:22" x14ac:dyDescent="0.25">
      <c r="A37" s="7">
        <f>IF($C37="","",COUNTIF($C$4:$C37,"&lt;&gt;"))</f>
      </c>
      <c r="B37" s="8"/>
      <c r="C37" s="8"/>
      <c r="D37" s="8"/>
      <c r="E37" s="7">
        <f>IF($C37="","",IF(AND(LEN(TRIM(UPPER(D37)))=10,CODE(MID(TRIM(UPPER(D37)),1,1))&gt;=65,CODE(MID(TRIM(UPPER(D37)),1,1))&lt;=90,CODE(MID(TRIM(UPPER(D37)),2,1))&gt;=65,CODE(MID(TRIM(UPPER(D37)),2,1))&lt;=90,CODE(MID(TRIM(UPPER(D37)),3,1))&gt;=65,CODE(MID(TRIM(UPPER(D37)),3,1))&lt;=90,CODE(MID(TRIM(UPPER(D37)),4,1))&gt;=65,CODE(MID(TRIM(UPPER(D37)),4,1))&lt;=90,CODE(MID(TRIM(UPPER(D37)),5,1))&gt;=65,CODE(MID(TRIM(UPPER(D37)),5,1))&lt;=90,CODE(MID(TRIM(UPPER(D37)),10,1))&gt;=65,CODE(MID(TRIM(UPPER(D37)),10,1))&lt;=90,CODE(MID(TRIM(UPPER(D37)),6,1))&gt;=48,CODE(MID(TRIM(UPPER(D37)),6,1))&lt;=57,CODE(MID(TRIM(UPPER(D37)),7,1))&gt;=48,CODE(MID(TRIM(UPPER(D37)),7,1))&lt;=57,CODE(MID(TRIM(UPPER(D37)),8,1))&gt;=48,CODE(MID(TRIM(UPPER(D37)),8,1))&lt;=57,CODE(MID(TRIM(UPPER(D37)),9,1))&gt;=48,CODE(MID(TRIM(UPPER(D37)),9,1))&lt;=57),"N","Y"))</f>
      </c>
      <c r="F37" s="7">
        <f>IF($C37="","",IF(LEN(D37)&lt;4,"",IF(UPPER(MID(D37,4,1))="P","Individual",IF(UPPER(MID(D37,4,1))="H","HUF",IF(UPPER(MID(D37,4,1))="C","Company",IF(UPPER(MID(D37,4,1))="F","Firm",IF(UPPER(MID(D37,4,1))="L","LLP",IF(UPPER(MID(D37,4,1))="T","Trust",IF(UPPER(MID(D37,4,1))="A","AOP","")))))))))</f>
      </c>
      <c r="G37" s="8"/>
      <c r="H37" s="7">
        <f>IF($C37="","",IF(R37&lt;&gt;"",R37,IF(G37="","",IF(E37="Y",SUMPRODUCT(('Rate Lookup'!$A$1:$A$37=G37)*'Rate Lookup'!$D$1:$D$37),IF(OR(F37="Individual",F37="HUF"),SUMPRODUCT(('Rate Lookup'!$A$1:$A$37=G37)*'Rate Lookup'!$B$1:$B$37),SUMPRODUCT(('Rate Lookup'!$A$1:$A$37=G37)*'Rate Lookup'!$C$1:$C$37)))))))</f>
      </c>
      <c r="I37" s="8"/>
      <c r="J37" s="8"/>
      <c r="K37" s="7">
        <f>IF($C37="","",IF(OR(P37="B",P37="D",P37="E",P37="N",P37="O",P37="P",P37="Q",P37="S",P37="Y",P37="Z"),0,ROUND(J37*H37/100,0)))</f>
      </c>
      <c r="L37" s="7">
        <f>IF($C37="","",0)</f>
      </c>
      <c r="M37" s="7">
        <f>IF($C37="","",0)</f>
      </c>
      <c r="N37" s="7">
        <f>IF($C37="","",IF(OR(K37=0,I37="",IFERROR(INDEX('Challan Master'!$D$4:$D$207,MATCH($B37,'Challan Master'!$S$4:$S$207,0)),"")="",IFERROR(INDEX('Challan Master'!$D$4:$D$207,MATCH($B37,'Challan Master'!$S$4:$S$207,0)),"")&lt;=0),0,IF(IFERROR(INDEX('Challan Master'!$D$4:$D$207,MATCH($B37,'Challan Master'!$S$4:$S$207,0)),"")&lt;=DATE(YEAR(I37),MONTH(I37)+1,7),0,ROUND(K37*0.015*((YEAR(IFERROR(INDEX('Challan Master'!$D$4:$D$207,MATCH($B37,'Challan Master'!$S$4:$S$207,0)),""))-YEAR(I37))*12+(MONTH(IFERROR(INDEX('Challan Master'!$D$4:$D$207,MATCH($B37,'Challan Master'!$S$4:$S$207,0)),""))-MONTH(I37))+1),0))))</f>
      </c>
      <c r="O37" s="7">
        <f>IF($C37="","",0)</f>
      </c>
      <c r="P37" s="8"/>
      <c r="Q37" s="8"/>
      <c r="R37" s="8"/>
      <c r="S37" s="8"/>
      <c r="T37" s="8"/>
      <c r="U37" s="7">
        <f>IF($B37="","",IFERROR(INDEX('Challan Master'!$AA$4:$AA$207,MATCH($B37,'Challan Master'!$S$4:$S$207,0)),""))</f>
      </c>
    </row>
    <row r="38" spans="1:22" x14ac:dyDescent="0.25">
      <c r="A38" s="7">
        <f>IF($C38="","",COUNTIF($C$4:$C38,"&lt;&gt;"))</f>
      </c>
      <c r="B38" s="8"/>
      <c r="C38" s="8"/>
      <c r="D38" s="8"/>
      <c r="E38" s="7">
        <f>IF($C38="","",IF(AND(LEN(TRIM(UPPER(D38)))=10,CODE(MID(TRIM(UPPER(D38)),1,1))&gt;=65,CODE(MID(TRIM(UPPER(D38)),1,1))&lt;=90,CODE(MID(TRIM(UPPER(D38)),2,1))&gt;=65,CODE(MID(TRIM(UPPER(D38)),2,1))&lt;=90,CODE(MID(TRIM(UPPER(D38)),3,1))&gt;=65,CODE(MID(TRIM(UPPER(D38)),3,1))&lt;=90,CODE(MID(TRIM(UPPER(D38)),4,1))&gt;=65,CODE(MID(TRIM(UPPER(D38)),4,1))&lt;=90,CODE(MID(TRIM(UPPER(D38)),5,1))&gt;=65,CODE(MID(TRIM(UPPER(D38)),5,1))&lt;=90,CODE(MID(TRIM(UPPER(D38)),10,1))&gt;=65,CODE(MID(TRIM(UPPER(D38)),10,1))&lt;=90,CODE(MID(TRIM(UPPER(D38)),6,1))&gt;=48,CODE(MID(TRIM(UPPER(D38)),6,1))&lt;=57,CODE(MID(TRIM(UPPER(D38)),7,1))&gt;=48,CODE(MID(TRIM(UPPER(D38)),7,1))&lt;=57,CODE(MID(TRIM(UPPER(D38)),8,1))&gt;=48,CODE(MID(TRIM(UPPER(D38)),8,1))&lt;=57,CODE(MID(TRIM(UPPER(D38)),9,1))&gt;=48,CODE(MID(TRIM(UPPER(D38)),9,1))&lt;=57),"N","Y"))</f>
      </c>
      <c r="F38" s="7">
        <f>IF($C38="","",IF(LEN(D38)&lt;4,"",IF(UPPER(MID(D38,4,1))="P","Individual",IF(UPPER(MID(D38,4,1))="H","HUF",IF(UPPER(MID(D38,4,1))="C","Company",IF(UPPER(MID(D38,4,1))="F","Firm",IF(UPPER(MID(D38,4,1))="L","LLP",IF(UPPER(MID(D38,4,1))="T","Trust",IF(UPPER(MID(D38,4,1))="A","AOP","")))))))))</f>
      </c>
      <c r="G38" s="8"/>
      <c r="H38" s="7">
        <f>IF($C38="","",IF(R38&lt;&gt;"",R38,IF(G38="","",IF(E38="Y",SUMPRODUCT(('Rate Lookup'!$A$1:$A$37=G38)*'Rate Lookup'!$D$1:$D$37),IF(OR(F38="Individual",F38="HUF"),SUMPRODUCT(('Rate Lookup'!$A$1:$A$37=G38)*'Rate Lookup'!$B$1:$B$37),SUMPRODUCT(('Rate Lookup'!$A$1:$A$37=G38)*'Rate Lookup'!$C$1:$C$37)))))))</f>
      </c>
      <c r="I38" s="8"/>
      <c r="J38" s="8"/>
      <c r="K38" s="7">
        <f>IF($C38="","",IF(OR(P38="B",P38="D",P38="E",P38="N",P38="O",P38="P",P38="Q",P38="S",P38="Y",P38="Z"),0,ROUND(J38*H38/100,0)))</f>
      </c>
      <c r="L38" s="7">
        <f>IF($C38="","",0)</f>
      </c>
      <c r="M38" s="7">
        <f>IF($C38="","",0)</f>
      </c>
      <c r="N38" s="7">
        <f>IF($C38="","",IF(OR(K38=0,I38="",IFERROR(INDEX('Challan Master'!$D$4:$D$207,MATCH($B38,'Challan Master'!$S$4:$S$207,0)),"")="",IFERROR(INDEX('Challan Master'!$D$4:$D$207,MATCH($B38,'Challan Master'!$S$4:$S$207,0)),"")&lt;=0),0,IF(IFERROR(INDEX('Challan Master'!$D$4:$D$207,MATCH($B38,'Challan Master'!$S$4:$S$207,0)),"")&lt;=DATE(YEAR(I38),MONTH(I38)+1,7),0,ROUND(K38*0.015*((YEAR(IFERROR(INDEX('Challan Master'!$D$4:$D$207,MATCH($B38,'Challan Master'!$S$4:$S$207,0)),""))-YEAR(I38))*12+(MONTH(IFERROR(INDEX('Challan Master'!$D$4:$D$207,MATCH($B38,'Challan Master'!$S$4:$S$207,0)),""))-MONTH(I38))+1),0))))</f>
      </c>
      <c r="O38" s="7">
        <f>IF($C38="","",0)</f>
      </c>
      <c r="P38" s="8"/>
      <c r="Q38" s="8"/>
      <c r="R38" s="8"/>
      <c r="S38" s="8"/>
      <c r="T38" s="8"/>
      <c r="U38" s="7">
        <f>IF($B38="","",IFERROR(INDEX('Challan Master'!$AA$4:$AA$207,MATCH($B38,'Challan Master'!$S$4:$S$207,0)),""))</f>
      </c>
    </row>
    <row r="39" spans="1:22" x14ac:dyDescent="0.25">
      <c r="A39" s="7">
        <f>IF($C39="","",COUNTIF($C$4:$C39,"&lt;&gt;"))</f>
      </c>
      <c r="B39" s="8"/>
      <c r="C39" s="8"/>
      <c r="D39" s="8"/>
      <c r="E39" s="7">
        <f>IF($C39="","",IF(AND(LEN(TRIM(UPPER(D39)))=10,CODE(MID(TRIM(UPPER(D39)),1,1))&gt;=65,CODE(MID(TRIM(UPPER(D39)),1,1))&lt;=90,CODE(MID(TRIM(UPPER(D39)),2,1))&gt;=65,CODE(MID(TRIM(UPPER(D39)),2,1))&lt;=90,CODE(MID(TRIM(UPPER(D39)),3,1))&gt;=65,CODE(MID(TRIM(UPPER(D39)),3,1))&lt;=90,CODE(MID(TRIM(UPPER(D39)),4,1))&gt;=65,CODE(MID(TRIM(UPPER(D39)),4,1))&lt;=90,CODE(MID(TRIM(UPPER(D39)),5,1))&gt;=65,CODE(MID(TRIM(UPPER(D39)),5,1))&lt;=90,CODE(MID(TRIM(UPPER(D39)),10,1))&gt;=65,CODE(MID(TRIM(UPPER(D39)),10,1))&lt;=90,CODE(MID(TRIM(UPPER(D39)),6,1))&gt;=48,CODE(MID(TRIM(UPPER(D39)),6,1))&lt;=57,CODE(MID(TRIM(UPPER(D39)),7,1))&gt;=48,CODE(MID(TRIM(UPPER(D39)),7,1))&lt;=57,CODE(MID(TRIM(UPPER(D39)),8,1))&gt;=48,CODE(MID(TRIM(UPPER(D39)),8,1))&lt;=57,CODE(MID(TRIM(UPPER(D39)),9,1))&gt;=48,CODE(MID(TRIM(UPPER(D39)),9,1))&lt;=57),"N","Y"))</f>
      </c>
      <c r="F39" s="7">
        <f>IF($C39="","",IF(LEN(D39)&lt;4,"",IF(UPPER(MID(D39,4,1))="P","Individual",IF(UPPER(MID(D39,4,1))="H","HUF",IF(UPPER(MID(D39,4,1))="C","Company",IF(UPPER(MID(D39,4,1))="F","Firm",IF(UPPER(MID(D39,4,1))="L","LLP",IF(UPPER(MID(D39,4,1))="T","Trust",IF(UPPER(MID(D39,4,1))="A","AOP","")))))))))</f>
      </c>
      <c r="G39" s="8"/>
      <c r="H39" s="7">
        <f>IF($C39="","",IF(R39&lt;&gt;"",R39,IF(G39="","",IF(E39="Y",SUMPRODUCT(('Rate Lookup'!$A$1:$A$37=G39)*'Rate Lookup'!$D$1:$D$37),IF(OR(F39="Individual",F39="HUF"),SUMPRODUCT(('Rate Lookup'!$A$1:$A$37=G39)*'Rate Lookup'!$B$1:$B$37),SUMPRODUCT(('Rate Lookup'!$A$1:$A$37=G39)*'Rate Lookup'!$C$1:$C$37)))))))</f>
      </c>
      <c r="I39" s="8"/>
      <c r="J39" s="8"/>
      <c r="K39" s="7">
        <f>IF($C39="","",IF(OR(P39="B",P39="D",P39="E",P39="N",P39="O",P39="P",P39="Q",P39="S",P39="Y",P39="Z"),0,ROUND(J39*H39/100,0)))</f>
      </c>
      <c r="L39" s="7">
        <f>IF($C39="","",0)</f>
      </c>
      <c r="M39" s="7">
        <f>IF($C39="","",0)</f>
      </c>
      <c r="N39" s="7">
        <f>IF($C39="","",IF(OR(K39=0,I39="",IFERROR(INDEX('Challan Master'!$D$4:$D$207,MATCH($B39,'Challan Master'!$S$4:$S$207,0)),"")="",IFERROR(INDEX('Challan Master'!$D$4:$D$207,MATCH($B39,'Challan Master'!$S$4:$S$207,0)),"")&lt;=0),0,IF(IFERROR(INDEX('Challan Master'!$D$4:$D$207,MATCH($B39,'Challan Master'!$S$4:$S$207,0)),"")&lt;=DATE(YEAR(I39),MONTH(I39)+1,7),0,ROUND(K39*0.015*((YEAR(IFERROR(INDEX('Challan Master'!$D$4:$D$207,MATCH($B39,'Challan Master'!$S$4:$S$207,0)),""))-YEAR(I39))*12+(MONTH(IFERROR(INDEX('Challan Master'!$D$4:$D$207,MATCH($B39,'Challan Master'!$S$4:$S$207,0)),""))-MONTH(I39))+1),0))))</f>
      </c>
      <c r="O39" s="7">
        <f>IF($C39="","",0)</f>
      </c>
      <c r="P39" s="8"/>
      <c r="Q39" s="8"/>
      <c r="R39" s="8"/>
      <c r="S39" s="8"/>
      <c r="T39" s="8"/>
      <c r="U39" s="7">
        <f>IF($B39="","",IFERROR(INDEX('Challan Master'!$AA$4:$AA$207,MATCH($B39,'Challan Master'!$S$4:$S$207,0)),""))</f>
      </c>
    </row>
    <row r="40" spans="1:22" x14ac:dyDescent="0.25">
      <c r="A40" s="7">
        <f>IF($C40="","",COUNTIF($C$4:$C40,"&lt;&gt;"))</f>
      </c>
      <c r="B40" s="8"/>
      <c r="C40" s="8"/>
      <c r="D40" s="8"/>
      <c r="E40" s="7">
        <f>IF($C40="","",IF(AND(LEN(TRIM(UPPER(D40)))=10,CODE(MID(TRIM(UPPER(D40)),1,1))&gt;=65,CODE(MID(TRIM(UPPER(D40)),1,1))&lt;=90,CODE(MID(TRIM(UPPER(D40)),2,1))&gt;=65,CODE(MID(TRIM(UPPER(D40)),2,1))&lt;=90,CODE(MID(TRIM(UPPER(D40)),3,1))&gt;=65,CODE(MID(TRIM(UPPER(D40)),3,1))&lt;=90,CODE(MID(TRIM(UPPER(D40)),4,1))&gt;=65,CODE(MID(TRIM(UPPER(D40)),4,1))&lt;=90,CODE(MID(TRIM(UPPER(D40)),5,1))&gt;=65,CODE(MID(TRIM(UPPER(D40)),5,1))&lt;=90,CODE(MID(TRIM(UPPER(D40)),10,1))&gt;=65,CODE(MID(TRIM(UPPER(D40)),10,1))&lt;=90,CODE(MID(TRIM(UPPER(D40)),6,1))&gt;=48,CODE(MID(TRIM(UPPER(D40)),6,1))&lt;=57,CODE(MID(TRIM(UPPER(D40)),7,1))&gt;=48,CODE(MID(TRIM(UPPER(D40)),7,1))&lt;=57,CODE(MID(TRIM(UPPER(D40)),8,1))&gt;=48,CODE(MID(TRIM(UPPER(D40)),8,1))&lt;=57,CODE(MID(TRIM(UPPER(D40)),9,1))&gt;=48,CODE(MID(TRIM(UPPER(D40)),9,1))&lt;=57),"N","Y"))</f>
      </c>
      <c r="F40" s="7">
        <f>IF($C40="","",IF(LEN(D40)&lt;4,"",IF(UPPER(MID(D40,4,1))="P","Individual",IF(UPPER(MID(D40,4,1))="H","HUF",IF(UPPER(MID(D40,4,1))="C","Company",IF(UPPER(MID(D40,4,1))="F","Firm",IF(UPPER(MID(D40,4,1))="L","LLP",IF(UPPER(MID(D40,4,1))="T","Trust",IF(UPPER(MID(D40,4,1))="A","AOP","")))))))))</f>
      </c>
      <c r="G40" s="8"/>
      <c r="H40" s="7">
        <f>IF($C40="","",IF(R40&lt;&gt;"",R40,IF(G40="","",IF(E40="Y",SUMPRODUCT(('Rate Lookup'!$A$1:$A$37=G40)*'Rate Lookup'!$D$1:$D$37),IF(OR(F40="Individual",F40="HUF"),SUMPRODUCT(('Rate Lookup'!$A$1:$A$37=G40)*'Rate Lookup'!$B$1:$B$37),SUMPRODUCT(('Rate Lookup'!$A$1:$A$37=G40)*'Rate Lookup'!$C$1:$C$37)))))))</f>
      </c>
      <c r="I40" s="8"/>
      <c r="J40" s="8"/>
      <c r="K40" s="7">
        <f>IF($C40="","",IF(OR(P40="B",P40="D",P40="E",P40="N",P40="O",P40="P",P40="Q",P40="S",P40="Y",P40="Z"),0,ROUND(J40*H40/100,0)))</f>
      </c>
      <c r="L40" s="7">
        <f>IF($C40="","",0)</f>
      </c>
      <c r="M40" s="7">
        <f>IF($C40="","",0)</f>
      </c>
      <c r="N40" s="7">
        <f>IF($C40="","",IF(OR(K40=0,I40="",IFERROR(INDEX('Challan Master'!$D$4:$D$207,MATCH($B40,'Challan Master'!$S$4:$S$207,0)),"")="",IFERROR(INDEX('Challan Master'!$D$4:$D$207,MATCH($B40,'Challan Master'!$S$4:$S$207,0)),"")&lt;=0),0,IF(IFERROR(INDEX('Challan Master'!$D$4:$D$207,MATCH($B40,'Challan Master'!$S$4:$S$207,0)),"")&lt;=DATE(YEAR(I40),MONTH(I40)+1,7),0,ROUND(K40*0.015*((YEAR(IFERROR(INDEX('Challan Master'!$D$4:$D$207,MATCH($B40,'Challan Master'!$S$4:$S$207,0)),""))-YEAR(I40))*12+(MONTH(IFERROR(INDEX('Challan Master'!$D$4:$D$207,MATCH($B40,'Challan Master'!$S$4:$S$207,0)),""))-MONTH(I40))+1),0))))</f>
      </c>
      <c r="O40" s="7">
        <f>IF($C40="","",0)</f>
      </c>
      <c r="P40" s="8"/>
      <c r="Q40" s="8"/>
      <c r="R40" s="8"/>
      <c r="S40" s="8"/>
      <c r="T40" s="8"/>
      <c r="U40" s="7">
        <f>IF($B40="","",IFERROR(INDEX('Challan Master'!$AA$4:$AA$207,MATCH($B40,'Challan Master'!$S$4:$S$207,0)),""))</f>
      </c>
    </row>
    <row r="41" spans="1:22" x14ac:dyDescent="0.25">
      <c r="A41" s="7">
        <f>IF($C41="","",COUNTIF($C$4:$C41,"&lt;&gt;"))</f>
      </c>
      <c r="B41" s="8"/>
      <c r="C41" s="8"/>
      <c r="D41" s="8"/>
      <c r="E41" s="7">
        <f>IF($C41="","",IF(AND(LEN(TRIM(UPPER(D41)))=10,CODE(MID(TRIM(UPPER(D41)),1,1))&gt;=65,CODE(MID(TRIM(UPPER(D41)),1,1))&lt;=90,CODE(MID(TRIM(UPPER(D41)),2,1))&gt;=65,CODE(MID(TRIM(UPPER(D41)),2,1))&lt;=90,CODE(MID(TRIM(UPPER(D41)),3,1))&gt;=65,CODE(MID(TRIM(UPPER(D41)),3,1))&lt;=90,CODE(MID(TRIM(UPPER(D41)),4,1))&gt;=65,CODE(MID(TRIM(UPPER(D41)),4,1))&lt;=90,CODE(MID(TRIM(UPPER(D41)),5,1))&gt;=65,CODE(MID(TRIM(UPPER(D41)),5,1))&lt;=90,CODE(MID(TRIM(UPPER(D41)),10,1))&gt;=65,CODE(MID(TRIM(UPPER(D41)),10,1))&lt;=90,CODE(MID(TRIM(UPPER(D41)),6,1))&gt;=48,CODE(MID(TRIM(UPPER(D41)),6,1))&lt;=57,CODE(MID(TRIM(UPPER(D41)),7,1))&gt;=48,CODE(MID(TRIM(UPPER(D41)),7,1))&lt;=57,CODE(MID(TRIM(UPPER(D41)),8,1))&gt;=48,CODE(MID(TRIM(UPPER(D41)),8,1))&lt;=57,CODE(MID(TRIM(UPPER(D41)),9,1))&gt;=48,CODE(MID(TRIM(UPPER(D41)),9,1))&lt;=57),"N","Y"))</f>
      </c>
      <c r="F41" s="7">
        <f>IF($C41="","",IF(LEN(D41)&lt;4,"",IF(UPPER(MID(D41,4,1))="P","Individual",IF(UPPER(MID(D41,4,1))="H","HUF",IF(UPPER(MID(D41,4,1))="C","Company",IF(UPPER(MID(D41,4,1))="F","Firm",IF(UPPER(MID(D41,4,1))="L","LLP",IF(UPPER(MID(D41,4,1))="T","Trust",IF(UPPER(MID(D41,4,1))="A","AOP","")))))))))</f>
      </c>
      <c r="G41" s="8"/>
      <c r="H41" s="7">
        <f>IF($C41="","",IF(R41&lt;&gt;"",R41,IF(G41="","",IF(E41="Y",SUMPRODUCT(('Rate Lookup'!$A$1:$A$37=G41)*'Rate Lookup'!$D$1:$D$37),IF(OR(F41="Individual",F41="HUF"),SUMPRODUCT(('Rate Lookup'!$A$1:$A$37=G41)*'Rate Lookup'!$B$1:$B$37),SUMPRODUCT(('Rate Lookup'!$A$1:$A$37=G41)*'Rate Lookup'!$C$1:$C$37)))))))</f>
      </c>
      <c r="I41" s="8"/>
      <c r="J41" s="8"/>
      <c r="K41" s="7">
        <f>IF($C41="","",IF(OR(P41="B",P41="D",P41="E",P41="N",P41="O",P41="P",P41="Q",P41="S",P41="Y",P41="Z"),0,ROUND(J41*H41/100,0)))</f>
      </c>
      <c r="L41" s="7">
        <f>IF($C41="","",0)</f>
      </c>
      <c r="M41" s="7">
        <f>IF($C41="","",0)</f>
      </c>
      <c r="N41" s="7">
        <f>IF($C41="","",IF(OR(K41=0,I41="",IFERROR(INDEX('Challan Master'!$D$4:$D$207,MATCH($B41,'Challan Master'!$S$4:$S$207,0)),"")="",IFERROR(INDEX('Challan Master'!$D$4:$D$207,MATCH($B41,'Challan Master'!$S$4:$S$207,0)),"")&lt;=0),0,IF(IFERROR(INDEX('Challan Master'!$D$4:$D$207,MATCH($B41,'Challan Master'!$S$4:$S$207,0)),"")&lt;=DATE(YEAR(I41),MONTH(I41)+1,7),0,ROUND(K41*0.015*((YEAR(IFERROR(INDEX('Challan Master'!$D$4:$D$207,MATCH($B41,'Challan Master'!$S$4:$S$207,0)),""))-YEAR(I41))*12+(MONTH(IFERROR(INDEX('Challan Master'!$D$4:$D$207,MATCH($B41,'Challan Master'!$S$4:$S$207,0)),""))-MONTH(I41))+1),0))))</f>
      </c>
      <c r="O41" s="7">
        <f>IF($C41="","",0)</f>
      </c>
      <c r="P41" s="8"/>
      <c r="Q41" s="8"/>
      <c r="R41" s="8"/>
      <c r="S41" s="8"/>
      <c r="T41" s="8"/>
      <c r="U41" s="7">
        <f>IF($B41="","",IFERROR(INDEX('Challan Master'!$AA$4:$AA$207,MATCH($B41,'Challan Master'!$S$4:$S$207,0)),""))</f>
      </c>
    </row>
    <row r="42" spans="1:22" x14ac:dyDescent="0.25">
      <c r="A42" s="7">
        <f>IF($C42="","",COUNTIF($C$4:$C42,"&lt;&gt;"))</f>
      </c>
      <c r="B42" s="8"/>
      <c r="C42" s="8"/>
      <c r="D42" s="8"/>
      <c r="E42" s="7">
        <f>IF($C42="","",IF(AND(LEN(TRIM(UPPER(D42)))=10,CODE(MID(TRIM(UPPER(D42)),1,1))&gt;=65,CODE(MID(TRIM(UPPER(D42)),1,1))&lt;=90,CODE(MID(TRIM(UPPER(D42)),2,1))&gt;=65,CODE(MID(TRIM(UPPER(D42)),2,1))&lt;=90,CODE(MID(TRIM(UPPER(D42)),3,1))&gt;=65,CODE(MID(TRIM(UPPER(D42)),3,1))&lt;=90,CODE(MID(TRIM(UPPER(D42)),4,1))&gt;=65,CODE(MID(TRIM(UPPER(D42)),4,1))&lt;=90,CODE(MID(TRIM(UPPER(D42)),5,1))&gt;=65,CODE(MID(TRIM(UPPER(D42)),5,1))&lt;=90,CODE(MID(TRIM(UPPER(D42)),10,1))&gt;=65,CODE(MID(TRIM(UPPER(D42)),10,1))&lt;=90,CODE(MID(TRIM(UPPER(D42)),6,1))&gt;=48,CODE(MID(TRIM(UPPER(D42)),6,1))&lt;=57,CODE(MID(TRIM(UPPER(D42)),7,1))&gt;=48,CODE(MID(TRIM(UPPER(D42)),7,1))&lt;=57,CODE(MID(TRIM(UPPER(D42)),8,1))&gt;=48,CODE(MID(TRIM(UPPER(D42)),8,1))&lt;=57,CODE(MID(TRIM(UPPER(D42)),9,1))&gt;=48,CODE(MID(TRIM(UPPER(D42)),9,1))&lt;=57),"N","Y"))</f>
      </c>
      <c r="F42" s="7">
        <f>IF($C42="","",IF(LEN(D42)&lt;4,"",IF(UPPER(MID(D42,4,1))="P","Individual",IF(UPPER(MID(D42,4,1))="H","HUF",IF(UPPER(MID(D42,4,1))="C","Company",IF(UPPER(MID(D42,4,1))="F","Firm",IF(UPPER(MID(D42,4,1))="L","LLP",IF(UPPER(MID(D42,4,1))="T","Trust",IF(UPPER(MID(D42,4,1))="A","AOP","")))))))))</f>
      </c>
      <c r="G42" s="8"/>
      <c r="H42" s="7">
        <f>IF($C42="","",IF(R42&lt;&gt;"",R42,IF(G42="","",IF(E42="Y",SUMPRODUCT(('Rate Lookup'!$A$1:$A$37=G42)*'Rate Lookup'!$D$1:$D$37),IF(OR(F42="Individual",F42="HUF"),SUMPRODUCT(('Rate Lookup'!$A$1:$A$37=G42)*'Rate Lookup'!$B$1:$B$37),SUMPRODUCT(('Rate Lookup'!$A$1:$A$37=G42)*'Rate Lookup'!$C$1:$C$37)))))))</f>
      </c>
      <c r="I42" s="8"/>
      <c r="J42" s="8"/>
      <c r="K42" s="7">
        <f>IF($C42="","",IF(OR(P42="B",P42="D",P42="E",P42="N",P42="O",P42="P",P42="Q",P42="S",P42="Y",P42="Z"),0,ROUND(J42*H42/100,0)))</f>
      </c>
      <c r="L42" s="7">
        <f>IF($C42="","",0)</f>
      </c>
      <c r="M42" s="7">
        <f>IF($C42="","",0)</f>
      </c>
      <c r="N42" s="7">
        <f>IF($C42="","",IF(OR(K42=0,I42="",IFERROR(INDEX('Challan Master'!$D$4:$D$207,MATCH($B42,'Challan Master'!$S$4:$S$207,0)),"")="",IFERROR(INDEX('Challan Master'!$D$4:$D$207,MATCH($B42,'Challan Master'!$S$4:$S$207,0)),"")&lt;=0),0,IF(IFERROR(INDEX('Challan Master'!$D$4:$D$207,MATCH($B42,'Challan Master'!$S$4:$S$207,0)),"")&lt;=DATE(YEAR(I42),MONTH(I42)+1,7),0,ROUND(K42*0.015*((YEAR(IFERROR(INDEX('Challan Master'!$D$4:$D$207,MATCH($B42,'Challan Master'!$S$4:$S$207,0)),""))-YEAR(I42))*12+(MONTH(IFERROR(INDEX('Challan Master'!$D$4:$D$207,MATCH($B42,'Challan Master'!$S$4:$S$207,0)),""))-MONTH(I42))+1),0))))</f>
      </c>
      <c r="O42" s="7">
        <f>IF($C42="","",0)</f>
      </c>
      <c r="P42" s="8"/>
      <c r="Q42" s="8"/>
      <c r="R42" s="8"/>
      <c r="S42" s="8"/>
      <c r="T42" s="8"/>
      <c r="U42" s="7">
        <f>IF($B42="","",IFERROR(INDEX('Challan Master'!$AA$4:$AA$207,MATCH($B42,'Challan Master'!$S$4:$S$207,0)),""))</f>
      </c>
    </row>
    <row r="43" spans="1:22" x14ac:dyDescent="0.25">
      <c r="A43" s="7">
        <f>IF($C43="","",COUNTIF($C$4:$C43,"&lt;&gt;"))</f>
      </c>
      <c r="B43" s="8"/>
      <c r="C43" s="8"/>
      <c r="D43" s="8"/>
      <c r="E43" s="7">
        <f>IF($C43="","",IF(AND(LEN(TRIM(UPPER(D43)))=10,CODE(MID(TRIM(UPPER(D43)),1,1))&gt;=65,CODE(MID(TRIM(UPPER(D43)),1,1))&lt;=90,CODE(MID(TRIM(UPPER(D43)),2,1))&gt;=65,CODE(MID(TRIM(UPPER(D43)),2,1))&lt;=90,CODE(MID(TRIM(UPPER(D43)),3,1))&gt;=65,CODE(MID(TRIM(UPPER(D43)),3,1))&lt;=90,CODE(MID(TRIM(UPPER(D43)),4,1))&gt;=65,CODE(MID(TRIM(UPPER(D43)),4,1))&lt;=90,CODE(MID(TRIM(UPPER(D43)),5,1))&gt;=65,CODE(MID(TRIM(UPPER(D43)),5,1))&lt;=90,CODE(MID(TRIM(UPPER(D43)),10,1))&gt;=65,CODE(MID(TRIM(UPPER(D43)),10,1))&lt;=90,CODE(MID(TRIM(UPPER(D43)),6,1))&gt;=48,CODE(MID(TRIM(UPPER(D43)),6,1))&lt;=57,CODE(MID(TRIM(UPPER(D43)),7,1))&gt;=48,CODE(MID(TRIM(UPPER(D43)),7,1))&lt;=57,CODE(MID(TRIM(UPPER(D43)),8,1))&gt;=48,CODE(MID(TRIM(UPPER(D43)),8,1))&lt;=57,CODE(MID(TRIM(UPPER(D43)),9,1))&gt;=48,CODE(MID(TRIM(UPPER(D43)),9,1))&lt;=57),"N","Y"))</f>
      </c>
      <c r="F43" s="7">
        <f>IF($C43="","",IF(LEN(D43)&lt;4,"",IF(UPPER(MID(D43,4,1))="P","Individual",IF(UPPER(MID(D43,4,1))="H","HUF",IF(UPPER(MID(D43,4,1))="C","Company",IF(UPPER(MID(D43,4,1))="F","Firm",IF(UPPER(MID(D43,4,1))="L","LLP",IF(UPPER(MID(D43,4,1))="T","Trust",IF(UPPER(MID(D43,4,1))="A","AOP","")))))))))</f>
      </c>
      <c r="G43" s="8"/>
      <c r="H43" s="7">
        <f>IF($C43="","",IF(R43&lt;&gt;"",R43,IF(G43="","",IF(E43="Y",SUMPRODUCT(('Rate Lookup'!$A$1:$A$37=G43)*'Rate Lookup'!$D$1:$D$37),IF(OR(F43="Individual",F43="HUF"),SUMPRODUCT(('Rate Lookup'!$A$1:$A$37=G43)*'Rate Lookup'!$B$1:$B$37),SUMPRODUCT(('Rate Lookup'!$A$1:$A$37=G43)*'Rate Lookup'!$C$1:$C$37)))))))</f>
      </c>
      <c r="I43" s="8"/>
      <c r="J43" s="8"/>
      <c r="K43" s="7">
        <f>IF($C43="","",IF(OR(P43="B",P43="D",P43="E",P43="N",P43="O",P43="P",P43="Q",P43="S",P43="Y",P43="Z"),0,ROUND(J43*H43/100,0)))</f>
      </c>
      <c r="L43" s="7">
        <f>IF($C43="","",0)</f>
      </c>
      <c r="M43" s="7">
        <f>IF($C43="","",0)</f>
      </c>
      <c r="N43" s="7">
        <f>IF($C43="","",IF(OR(K43=0,I43="",IFERROR(INDEX('Challan Master'!$D$4:$D$207,MATCH($B43,'Challan Master'!$S$4:$S$207,0)),"")="",IFERROR(INDEX('Challan Master'!$D$4:$D$207,MATCH($B43,'Challan Master'!$S$4:$S$207,0)),"")&lt;=0),0,IF(IFERROR(INDEX('Challan Master'!$D$4:$D$207,MATCH($B43,'Challan Master'!$S$4:$S$207,0)),"")&lt;=DATE(YEAR(I43),MONTH(I43)+1,7),0,ROUND(K43*0.015*((YEAR(IFERROR(INDEX('Challan Master'!$D$4:$D$207,MATCH($B43,'Challan Master'!$S$4:$S$207,0)),""))-YEAR(I43))*12+(MONTH(IFERROR(INDEX('Challan Master'!$D$4:$D$207,MATCH($B43,'Challan Master'!$S$4:$S$207,0)),""))-MONTH(I43))+1),0))))</f>
      </c>
      <c r="O43" s="7">
        <f>IF($C43="","",0)</f>
      </c>
      <c r="P43" s="8"/>
      <c r="Q43" s="8"/>
      <c r="R43" s="8"/>
      <c r="S43" s="8"/>
      <c r="T43" s="8"/>
      <c r="U43" s="7">
        <f>IF($B43="","",IFERROR(INDEX('Challan Master'!$AA$4:$AA$207,MATCH($B43,'Challan Master'!$S$4:$S$207,0)),""))</f>
      </c>
    </row>
    <row r="44" spans="1:22" x14ac:dyDescent="0.25">
      <c r="A44" s="7">
        <f>IF($C44="","",COUNTIF($C$4:$C44,"&lt;&gt;"))</f>
      </c>
      <c r="B44" s="8"/>
      <c r="C44" s="8"/>
      <c r="D44" s="8"/>
      <c r="E44" s="7">
        <f>IF($C44="","",IF(AND(LEN(TRIM(UPPER(D44)))=10,CODE(MID(TRIM(UPPER(D44)),1,1))&gt;=65,CODE(MID(TRIM(UPPER(D44)),1,1))&lt;=90,CODE(MID(TRIM(UPPER(D44)),2,1))&gt;=65,CODE(MID(TRIM(UPPER(D44)),2,1))&lt;=90,CODE(MID(TRIM(UPPER(D44)),3,1))&gt;=65,CODE(MID(TRIM(UPPER(D44)),3,1))&lt;=90,CODE(MID(TRIM(UPPER(D44)),4,1))&gt;=65,CODE(MID(TRIM(UPPER(D44)),4,1))&lt;=90,CODE(MID(TRIM(UPPER(D44)),5,1))&gt;=65,CODE(MID(TRIM(UPPER(D44)),5,1))&lt;=90,CODE(MID(TRIM(UPPER(D44)),10,1))&gt;=65,CODE(MID(TRIM(UPPER(D44)),10,1))&lt;=90,CODE(MID(TRIM(UPPER(D44)),6,1))&gt;=48,CODE(MID(TRIM(UPPER(D44)),6,1))&lt;=57,CODE(MID(TRIM(UPPER(D44)),7,1))&gt;=48,CODE(MID(TRIM(UPPER(D44)),7,1))&lt;=57,CODE(MID(TRIM(UPPER(D44)),8,1))&gt;=48,CODE(MID(TRIM(UPPER(D44)),8,1))&lt;=57,CODE(MID(TRIM(UPPER(D44)),9,1))&gt;=48,CODE(MID(TRIM(UPPER(D44)),9,1))&lt;=57),"N","Y"))</f>
      </c>
      <c r="F44" s="7">
        <f>IF($C44="","",IF(LEN(D44)&lt;4,"",IF(UPPER(MID(D44,4,1))="P","Individual",IF(UPPER(MID(D44,4,1))="H","HUF",IF(UPPER(MID(D44,4,1))="C","Company",IF(UPPER(MID(D44,4,1))="F","Firm",IF(UPPER(MID(D44,4,1))="L","LLP",IF(UPPER(MID(D44,4,1))="T","Trust",IF(UPPER(MID(D44,4,1))="A","AOP","")))))))))</f>
      </c>
      <c r="G44" s="8"/>
      <c r="H44" s="7">
        <f>IF($C44="","",IF(R44&lt;&gt;"",R44,IF(G44="","",IF(E44="Y",SUMPRODUCT(('Rate Lookup'!$A$1:$A$37=G44)*'Rate Lookup'!$D$1:$D$37),IF(OR(F44="Individual",F44="HUF"),SUMPRODUCT(('Rate Lookup'!$A$1:$A$37=G44)*'Rate Lookup'!$B$1:$B$37),SUMPRODUCT(('Rate Lookup'!$A$1:$A$37=G44)*'Rate Lookup'!$C$1:$C$37)))))))</f>
      </c>
      <c r="I44" s="8"/>
      <c r="J44" s="8"/>
      <c r="K44" s="7">
        <f>IF($C44="","",IF(OR(P44="B",P44="D",P44="E",P44="N",P44="O",P44="P",P44="Q",P44="S",P44="Y",P44="Z"),0,ROUND(J44*H44/100,0)))</f>
      </c>
      <c r="L44" s="7">
        <f>IF($C44="","",0)</f>
      </c>
      <c r="M44" s="7">
        <f>IF($C44="","",0)</f>
      </c>
      <c r="N44" s="7">
        <f>IF($C44="","",IF(OR(K44=0,I44="",IFERROR(INDEX('Challan Master'!$D$4:$D$207,MATCH($B44,'Challan Master'!$S$4:$S$207,0)),"")="",IFERROR(INDEX('Challan Master'!$D$4:$D$207,MATCH($B44,'Challan Master'!$S$4:$S$207,0)),"")&lt;=0),0,IF(IFERROR(INDEX('Challan Master'!$D$4:$D$207,MATCH($B44,'Challan Master'!$S$4:$S$207,0)),"")&lt;=DATE(YEAR(I44),MONTH(I44)+1,7),0,ROUND(K44*0.015*((YEAR(IFERROR(INDEX('Challan Master'!$D$4:$D$207,MATCH($B44,'Challan Master'!$S$4:$S$207,0)),""))-YEAR(I44))*12+(MONTH(IFERROR(INDEX('Challan Master'!$D$4:$D$207,MATCH($B44,'Challan Master'!$S$4:$S$207,0)),""))-MONTH(I44))+1),0))))</f>
      </c>
      <c r="O44" s="7">
        <f>IF($C44="","",0)</f>
      </c>
      <c r="P44" s="8"/>
      <c r="Q44" s="8"/>
      <c r="R44" s="8"/>
      <c r="S44" s="8"/>
      <c r="T44" s="8"/>
      <c r="U44" s="7">
        <f>IF($B44="","",IFERROR(INDEX('Challan Master'!$AA$4:$AA$207,MATCH($B44,'Challan Master'!$S$4:$S$207,0)),""))</f>
      </c>
    </row>
    <row r="45" spans="1:22" x14ac:dyDescent="0.25">
      <c r="A45" s="7">
        <f>IF($C45="","",COUNTIF($C$4:$C45,"&lt;&gt;"))</f>
      </c>
      <c r="B45" s="8"/>
      <c r="C45" s="8"/>
      <c r="D45" s="8"/>
      <c r="E45" s="7">
        <f>IF($C45="","",IF(AND(LEN(TRIM(UPPER(D45)))=10,CODE(MID(TRIM(UPPER(D45)),1,1))&gt;=65,CODE(MID(TRIM(UPPER(D45)),1,1))&lt;=90,CODE(MID(TRIM(UPPER(D45)),2,1))&gt;=65,CODE(MID(TRIM(UPPER(D45)),2,1))&lt;=90,CODE(MID(TRIM(UPPER(D45)),3,1))&gt;=65,CODE(MID(TRIM(UPPER(D45)),3,1))&lt;=90,CODE(MID(TRIM(UPPER(D45)),4,1))&gt;=65,CODE(MID(TRIM(UPPER(D45)),4,1))&lt;=90,CODE(MID(TRIM(UPPER(D45)),5,1))&gt;=65,CODE(MID(TRIM(UPPER(D45)),5,1))&lt;=90,CODE(MID(TRIM(UPPER(D45)),10,1))&gt;=65,CODE(MID(TRIM(UPPER(D45)),10,1))&lt;=90,CODE(MID(TRIM(UPPER(D45)),6,1))&gt;=48,CODE(MID(TRIM(UPPER(D45)),6,1))&lt;=57,CODE(MID(TRIM(UPPER(D45)),7,1))&gt;=48,CODE(MID(TRIM(UPPER(D45)),7,1))&lt;=57,CODE(MID(TRIM(UPPER(D45)),8,1))&gt;=48,CODE(MID(TRIM(UPPER(D45)),8,1))&lt;=57,CODE(MID(TRIM(UPPER(D45)),9,1))&gt;=48,CODE(MID(TRIM(UPPER(D45)),9,1))&lt;=57),"N","Y"))</f>
      </c>
      <c r="F45" s="7">
        <f>IF($C45="","",IF(LEN(D45)&lt;4,"",IF(UPPER(MID(D45,4,1))="P","Individual",IF(UPPER(MID(D45,4,1))="H","HUF",IF(UPPER(MID(D45,4,1))="C","Company",IF(UPPER(MID(D45,4,1))="F","Firm",IF(UPPER(MID(D45,4,1))="L","LLP",IF(UPPER(MID(D45,4,1))="T","Trust",IF(UPPER(MID(D45,4,1))="A","AOP","")))))))))</f>
      </c>
      <c r="G45" s="8"/>
      <c r="H45" s="7">
        <f>IF($C45="","",IF(R45&lt;&gt;"",R45,IF(G45="","",IF(E45="Y",SUMPRODUCT(('Rate Lookup'!$A$1:$A$37=G45)*'Rate Lookup'!$D$1:$D$37),IF(OR(F45="Individual",F45="HUF"),SUMPRODUCT(('Rate Lookup'!$A$1:$A$37=G45)*'Rate Lookup'!$B$1:$B$37),SUMPRODUCT(('Rate Lookup'!$A$1:$A$37=G45)*'Rate Lookup'!$C$1:$C$37)))))))</f>
      </c>
      <c r="I45" s="8"/>
      <c r="J45" s="8"/>
      <c r="K45" s="7">
        <f>IF($C45="","",IF(OR(P45="B",P45="D",P45="E",P45="N",P45="O",P45="P",P45="Q",P45="S",P45="Y",P45="Z"),0,ROUND(J45*H45/100,0)))</f>
      </c>
      <c r="L45" s="7">
        <f>IF($C45="","",0)</f>
      </c>
      <c r="M45" s="7">
        <f>IF($C45="","",0)</f>
      </c>
      <c r="N45" s="7">
        <f>IF($C45="","",IF(OR(K45=0,I45="",IFERROR(INDEX('Challan Master'!$D$4:$D$207,MATCH($B45,'Challan Master'!$S$4:$S$207,0)),"")="",IFERROR(INDEX('Challan Master'!$D$4:$D$207,MATCH($B45,'Challan Master'!$S$4:$S$207,0)),"")&lt;=0),0,IF(IFERROR(INDEX('Challan Master'!$D$4:$D$207,MATCH($B45,'Challan Master'!$S$4:$S$207,0)),"")&lt;=DATE(YEAR(I45),MONTH(I45)+1,7),0,ROUND(K45*0.015*((YEAR(IFERROR(INDEX('Challan Master'!$D$4:$D$207,MATCH($B45,'Challan Master'!$S$4:$S$207,0)),""))-YEAR(I45))*12+(MONTH(IFERROR(INDEX('Challan Master'!$D$4:$D$207,MATCH($B45,'Challan Master'!$S$4:$S$207,0)),""))-MONTH(I45))+1),0))))</f>
      </c>
      <c r="O45" s="7">
        <f>IF($C45="","",0)</f>
      </c>
      <c r="P45" s="8"/>
      <c r="Q45" s="8"/>
      <c r="R45" s="8"/>
      <c r="S45" s="8"/>
      <c r="T45" s="8"/>
      <c r="U45" s="7">
        <f>IF($B45="","",IFERROR(INDEX('Challan Master'!$AA$4:$AA$207,MATCH($B45,'Challan Master'!$S$4:$S$207,0)),""))</f>
      </c>
    </row>
    <row r="46" spans="1:22" x14ac:dyDescent="0.25">
      <c r="A46" s="7">
        <f>IF($C46="","",COUNTIF($C$4:$C46,"&lt;&gt;"))</f>
      </c>
      <c r="B46" s="8"/>
      <c r="C46" s="8"/>
      <c r="D46" s="8"/>
      <c r="E46" s="7">
        <f>IF($C46="","",IF(AND(LEN(TRIM(UPPER(D46)))=10,CODE(MID(TRIM(UPPER(D46)),1,1))&gt;=65,CODE(MID(TRIM(UPPER(D46)),1,1))&lt;=90,CODE(MID(TRIM(UPPER(D46)),2,1))&gt;=65,CODE(MID(TRIM(UPPER(D46)),2,1))&lt;=90,CODE(MID(TRIM(UPPER(D46)),3,1))&gt;=65,CODE(MID(TRIM(UPPER(D46)),3,1))&lt;=90,CODE(MID(TRIM(UPPER(D46)),4,1))&gt;=65,CODE(MID(TRIM(UPPER(D46)),4,1))&lt;=90,CODE(MID(TRIM(UPPER(D46)),5,1))&gt;=65,CODE(MID(TRIM(UPPER(D46)),5,1))&lt;=90,CODE(MID(TRIM(UPPER(D46)),10,1))&gt;=65,CODE(MID(TRIM(UPPER(D46)),10,1))&lt;=90,CODE(MID(TRIM(UPPER(D46)),6,1))&gt;=48,CODE(MID(TRIM(UPPER(D46)),6,1))&lt;=57,CODE(MID(TRIM(UPPER(D46)),7,1))&gt;=48,CODE(MID(TRIM(UPPER(D46)),7,1))&lt;=57,CODE(MID(TRIM(UPPER(D46)),8,1))&gt;=48,CODE(MID(TRIM(UPPER(D46)),8,1))&lt;=57,CODE(MID(TRIM(UPPER(D46)),9,1))&gt;=48,CODE(MID(TRIM(UPPER(D46)),9,1))&lt;=57),"N","Y"))</f>
      </c>
      <c r="F46" s="7">
        <f>IF($C46="","",IF(LEN(D46)&lt;4,"",IF(UPPER(MID(D46,4,1))="P","Individual",IF(UPPER(MID(D46,4,1))="H","HUF",IF(UPPER(MID(D46,4,1))="C","Company",IF(UPPER(MID(D46,4,1))="F","Firm",IF(UPPER(MID(D46,4,1))="L","LLP",IF(UPPER(MID(D46,4,1))="T","Trust",IF(UPPER(MID(D46,4,1))="A","AOP","")))))))))</f>
      </c>
      <c r="G46" s="8"/>
      <c r="H46" s="7">
        <f>IF($C46="","",IF(R46&lt;&gt;"",R46,IF(G46="","",IF(E46="Y",SUMPRODUCT(('Rate Lookup'!$A$1:$A$37=G46)*'Rate Lookup'!$D$1:$D$37),IF(OR(F46="Individual",F46="HUF"),SUMPRODUCT(('Rate Lookup'!$A$1:$A$37=G46)*'Rate Lookup'!$B$1:$B$37),SUMPRODUCT(('Rate Lookup'!$A$1:$A$37=G46)*'Rate Lookup'!$C$1:$C$37)))))))</f>
      </c>
      <c r="I46" s="8"/>
      <c r="J46" s="8"/>
      <c r="K46" s="7">
        <f>IF($C46="","",IF(OR(P46="B",P46="D",P46="E",P46="N",P46="O",P46="P",P46="Q",P46="S",P46="Y",P46="Z"),0,ROUND(J46*H46/100,0)))</f>
      </c>
      <c r="L46" s="7">
        <f>IF($C46="","",0)</f>
      </c>
      <c r="M46" s="7">
        <f>IF($C46="","",0)</f>
      </c>
      <c r="N46" s="7">
        <f>IF($C46="","",IF(OR(K46=0,I46="",IFERROR(INDEX('Challan Master'!$D$4:$D$207,MATCH($B46,'Challan Master'!$S$4:$S$207,0)),"")="",IFERROR(INDEX('Challan Master'!$D$4:$D$207,MATCH($B46,'Challan Master'!$S$4:$S$207,0)),"")&lt;=0),0,IF(IFERROR(INDEX('Challan Master'!$D$4:$D$207,MATCH($B46,'Challan Master'!$S$4:$S$207,0)),"")&lt;=DATE(YEAR(I46),MONTH(I46)+1,7),0,ROUND(K46*0.015*((YEAR(IFERROR(INDEX('Challan Master'!$D$4:$D$207,MATCH($B46,'Challan Master'!$S$4:$S$207,0)),""))-YEAR(I46))*12+(MONTH(IFERROR(INDEX('Challan Master'!$D$4:$D$207,MATCH($B46,'Challan Master'!$S$4:$S$207,0)),""))-MONTH(I46))+1),0))))</f>
      </c>
      <c r="O46" s="7">
        <f>IF($C46="","",0)</f>
      </c>
      <c r="P46" s="8"/>
      <c r="Q46" s="8"/>
      <c r="R46" s="8"/>
      <c r="S46" s="8"/>
      <c r="T46" s="8"/>
      <c r="U46" s="7">
        <f>IF($B46="","",IFERROR(INDEX('Challan Master'!$AA$4:$AA$207,MATCH($B46,'Challan Master'!$S$4:$S$207,0)),""))</f>
      </c>
    </row>
    <row r="47" spans="1:22" x14ac:dyDescent="0.25">
      <c r="A47" s="7">
        <f>IF($C47="","",COUNTIF($C$4:$C47,"&lt;&gt;"))</f>
      </c>
      <c r="B47" s="8"/>
      <c r="C47" s="8"/>
      <c r="D47" s="8"/>
      <c r="E47" s="7">
        <f>IF($C47="","",IF(AND(LEN(TRIM(UPPER(D47)))=10,CODE(MID(TRIM(UPPER(D47)),1,1))&gt;=65,CODE(MID(TRIM(UPPER(D47)),1,1))&lt;=90,CODE(MID(TRIM(UPPER(D47)),2,1))&gt;=65,CODE(MID(TRIM(UPPER(D47)),2,1))&lt;=90,CODE(MID(TRIM(UPPER(D47)),3,1))&gt;=65,CODE(MID(TRIM(UPPER(D47)),3,1))&lt;=90,CODE(MID(TRIM(UPPER(D47)),4,1))&gt;=65,CODE(MID(TRIM(UPPER(D47)),4,1))&lt;=90,CODE(MID(TRIM(UPPER(D47)),5,1))&gt;=65,CODE(MID(TRIM(UPPER(D47)),5,1))&lt;=90,CODE(MID(TRIM(UPPER(D47)),10,1))&gt;=65,CODE(MID(TRIM(UPPER(D47)),10,1))&lt;=90,CODE(MID(TRIM(UPPER(D47)),6,1))&gt;=48,CODE(MID(TRIM(UPPER(D47)),6,1))&lt;=57,CODE(MID(TRIM(UPPER(D47)),7,1))&gt;=48,CODE(MID(TRIM(UPPER(D47)),7,1))&lt;=57,CODE(MID(TRIM(UPPER(D47)),8,1))&gt;=48,CODE(MID(TRIM(UPPER(D47)),8,1))&lt;=57,CODE(MID(TRIM(UPPER(D47)),9,1))&gt;=48,CODE(MID(TRIM(UPPER(D47)),9,1))&lt;=57),"N","Y"))</f>
      </c>
      <c r="F47" s="7">
        <f>IF($C47="","",IF(LEN(D47)&lt;4,"",IF(UPPER(MID(D47,4,1))="P","Individual",IF(UPPER(MID(D47,4,1))="H","HUF",IF(UPPER(MID(D47,4,1))="C","Company",IF(UPPER(MID(D47,4,1))="F","Firm",IF(UPPER(MID(D47,4,1))="L","LLP",IF(UPPER(MID(D47,4,1))="T","Trust",IF(UPPER(MID(D47,4,1))="A","AOP","")))))))))</f>
      </c>
      <c r="G47" s="8"/>
      <c r="H47" s="7">
        <f>IF($C47="","",IF(R47&lt;&gt;"",R47,IF(G47="","",IF(E47="Y",SUMPRODUCT(('Rate Lookup'!$A$1:$A$37=G47)*'Rate Lookup'!$D$1:$D$37),IF(OR(F47="Individual",F47="HUF"),SUMPRODUCT(('Rate Lookup'!$A$1:$A$37=G47)*'Rate Lookup'!$B$1:$B$37),SUMPRODUCT(('Rate Lookup'!$A$1:$A$37=G47)*'Rate Lookup'!$C$1:$C$37)))))))</f>
      </c>
      <c r="I47" s="8"/>
      <c r="J47" s="8"/>
      <c r="K47" s="7">
        <f>IF($C47="","",IF(OR(P47="B",P47="D",P47="E",P47="N",P47="O",P47="P",P47="Q",P47="S",P47="Y",P47="Z"),0,ROUND(J47*H47/100,0)))</f>
      </c>
      <c r="L47" s="7">
        <f>IF($C47="","",0)</f>
      </c>
      <c r="M47" s="7">
        <f>IF($C47="","",0)</f>
      </c>
      <c r="N47" s="7">
        <f>IF($C47="","",IF(OR(K47=0,I47="",IFERROR(INDEX('Challan Master'!$D$4:$D$207,MATCH($B47,'Challan Master'!$S$4:$S$207,0)),"")="",IFERROR(INDEX('Challan Master'!$D$4:$D$207,MATCH($B47,'Challan Master'!$S$4:$S$207,0)),"")&lt;=0),0,IF(IFERROR(INDEX('Challan Master'!$D$4:$D$207,MATCH($B47,'Challan Master'!$S$4:$S$207,0)),"")&lt;=DATE(YEAR(I47),MONTH(I47)+1,7),0,ROUND(K47*0.015*((YEAR(IFERROR(INDEX('Challan Master'!$D$4:$D$207,MATCH($B47,'Challan Master'!$S$4:$S$207,0)),""))-YEAR(I47))*12+(MONTH(IFERROR(INDEX('Challan Master'!$D$4:$D$207,MATCH($B47,'Challan Master'!$S$4:$S$207,0)),""))-MONTH(I47))+1),0))))</f>
      </c>
      <c r="O47" s="7">
        <f>IF($C47="","",0)</f>
      </c>
      <c r="P47" s="8"/>
      <c r="Q47" s="8"/>
      <c r="R47" s="8"/>
      <c r="S47" s="8"/>
      <c r="T47" s="8"/>
      <c r="U47" s="7">
        <f>IF($B47="","",IFERROR(INDEX('Challan Master'!$AA$4:$AA$207,MATCH($B47,'Challan Master'!$S$4:$S$207,0)),""))</f>
      </c>
    </row>
    <row r="48" spans="1:22" x14ac:dyDescent="0.25">
      <c r="A48" s="7">
        <f>IF($C48="","",COUNTIF($C$4:$C48,"&lt;&gt;"))</f>
      </c>
      <c r="B48" s="8"/>
      <c r="C48" s="8"/>
      <c r="D48" s="8"/>
      <c r="E48" s="7">
        <f>IF($C48="","",IF(AND(LEN(TRIM(UPPER(D48)))=10,CODE(MID(TRIM(UPPER(D48)),1,1))&gt;=65,CODE(MID(TRIM(UPPER(D48)),1,1))&lt;=90,CODE(MID(TRIM(UPPER(D48)),2,1))&gt;=65,CODE(MID(TRIM(UPPER(D48)),2,1))&lt;=90,CODE(MID(TRIM(UPPER(D48)),3,1))&gt;=65,CODE(MID(TRIM(UPPER(D48)),3,1))&lt;=90,CODE(MID(TRIM(UPPER(D48)),4,1))&gt;=65,CODE(MID(TRIM(UPPER(D48)),4,1))&lt;=90,CODE(MID(TRIM(UPPER(D48)),5,1))&gt;=65,CODE(MID(TRIM(UPPER(D48)),5,1))&lt;=90,CODE(MID(TRIM(UPPER(D48)),10,1))&gt;=65,CODE(MID(TRIM(UPPER(D48)),10,1))&lt;=90,CODE(MID(TRIM(UPPER(D48)),6,1))&gt;=48,CODE(MID(TRIM(UPPER(D48)),6,1))&lt;=57,CODE(MID(TRIM(UPPER(D48)),7,1))&gt;=48,CODE(MID(TRIM(UPPER(D48)),7,1))&lt;=57,CODE(MID(TRIM(UPPER(D48)),8,1))&gt;=48,CODE(MID(TRIM(UPPER(D48)),8,1))&lt;=57,CODE(MID(TRIM(UPPER(D48)),9,1))&gt;=48,CODE(MID(TRIM(UPPER(D48)),9,1))&lt;=57),"N","Y"))</f>
      </c>
      <c r="F48" s="7">
        <f>IF($C48="","",IF(LEN(D48)&lt;4,"",IF(UPPER(MID(D48,4,1))="P","Individual",IF(UPPER(MID(D48,4,1))="H","HUF",IF(UPPER(MID(D48,4,1))="C","Company",IF(UPPER(MID(D48,4,1))="F","Firm",IF(UPPER(MID(D48,4,1))="L","LLP",IF(UPPER(MID(D48,4,1))="T","Trust",IF(UPPER(MID(D48,4,1))="A","AOP","")))))))))</f>
      </c>
      <c r="G48" s="8"/>
      <c r="H48" s="7">
        <f>IF($C48="","",IF(R48&lt;&gt;"",R48,IF(G48="","",IF(E48="Y",SUMPRODUCT(('Rate Lookup'!$A$1:$A$37=G48)*'Rate Lookup'!$D$1:$D$37),IF(OR(F48="Individual",F48="HUF"),SUMPRODUCT(('Rate Lookup'!$A$1:$A$37=G48)*'Rate Lookup'!$B$1:$B$37),SUMPRODUCT(('Rate Lookup'!$A$1:$A$37=G48)*'Rate Lookup'!$C$1:$C$37)))))))</f>
      </c>
      <c r="I48" s="8"/>
      <c r="J48" s="8"/>
      <c r="K48" s="7">
        <f>IF($C48="","",IF(OR(P48="B",P48="D",P48="E",P48="N",P48="O",P48="P",P48="Q",P48="S",P48="Y",P48="Z"),0,ROUND(J48*H48/100,0)))</f>
      </c>
      <c r="L48" s="7">
        <f>IF($C48="","",0)</f>
      </c>
      <c r="M48" s="7">
        <f>IF($C48="","",0)</f>
      </c>
      <c r="N48" s="7">
        <f>IF($C48="","",IF(OR(K48=0,I48="",IFERROR(INDEX('Challan Master'!$D$4:$D$207,MATCH($B48,'Challan Master'!$S$4:$S$207,0)),"")="",IFERROR(INDEX('Challan Master'!$D$4:$D$207,MATCH($B48,'Challan Master'!$S$4:$S$207,0)),"")&lt;=0),0,IF(IFERROR(INDEX('Challan Master'!$D$4:$D$207,MATCH($B48,'Challan Master'!$S$4:$S$207,0)),"")&lt;=DATE(YEAR(I48),MONTH(I48)+1,7),0,ROUND(K48*0.015*((YEAR(IFERROR(INDEX('Challan Master'!$D$4:$D$207,MATCH($B48,'Challan Master'!$S$4:$S$207,0)),""))-YEAR(I48))*12+(MONTH(IFERROR(INDEX('Challan Master'!$D$4:$D$207,MATCH($B48,'Challan Master'!$S$4:$S$207,0)),""))-MONTH(I48))+1),0))))</f>
      </c>
      <c r="O48" s="7">
        <f>IF($C48="","",0)</f>
      </c>
      <c r="P48" s="8"/>
      <c r="Q48" s="8"/>
      <c r="R48" s="8"/>
      <c r="S48" s="8"/>
      <c r="T48" s="8"/>
      <c r="U48" s="7">
        <f>IF($B48="","",IFERROR(INDEX('Challan Master'!$AA$4:$AA$207,MATCH($B48,'Challan Master'!$S$4:$S$207,0)),""))</f>
      </c>
    </row>
    <row r="49" spans="1:22" x14ac:dyDescent="0.25">
      <c r="A49" s="7">
        <f>IF($C49="","",COUNTIF($C$4:$C49,"&lt;&gt;"))</f>
      </c>
      <c r="B49" s="8"/>
      <c r="C49" s="8"/>
      <c r="D49" s="8"/>
      <c r="E49" s="7">
        <f>IF($C49="","",IF(AND(LEN(TRIM(UPPER(D49)))=10,CODE(MID(TRIM(UPPER(D49)),1,1))&gt;=65,CODE(MID(TRIM(UPPER(D49)),1,1))&lt;=90,CODE(MID(TRIM(UPPER(D49)),2,1))&gt;=65,CODE(MID(TRIM(UPPER(D49)),2,1))&lt;=90,CODE(MID(TRIM(UPPER(D49)),3,1))&gt;=65,CODE(MID(TRIM(UPPER(D49)),3,1))&lt;=90,CODE(MID(TRIM(UPPER(D49)),4,1))&gt;=65,CODE(MID(TRIM(UPPER(D49)),4,1))&lt;=90,CODE(MID(TRIM(UPPER(D49)),5,1))&gt;=65,CODE(MID(TRIM(UPPER(D49)),5,1))&lt;=90,CODE(MID(TRIM(UPPER(D49)),10,1))&gt;=65,CODE(MID(TRIM(UPPER(D49)),10,1))&lt;=90,CODE(MID(TRIM(UPPER(D49)),6,1))&gt;=48,CODE(MID(TRIM(UPPER(D49)),6,1))&lt;=57,CODE(MID(TRIM(UPPER(D49)),7,1))&gt;=48,CODE(MID(TRIM(UPPER(D49)),7,1))&lt;=57,CODE(MID(TRIM(UPPER(D49)),8,1))&gt;=48,CODE(MID(TRIM(UPPER(D49)),8,1))&lt;=57,CODE(MID(TRIM(UPPER(D49)),9,1))&gt;=48,CODE(MID(TRIM(UPPER(D49)),9,1))&lt;=57),"N","Y"))</f>
      </c>
      <c r="F49" s="7">
        <f>IF($C49="","",IF(LEN(D49)&lt;4,"",IF(UPPER(MID(D49,4,1))="P","Individual",IF(UPPER(MID(D49,4,1))="H","HUF",IF(UPPER(MID(D49,4,1))="C","Company",IF(UPPER(MID(D49,4,1))="F","Firm",IF(UPPER(MID(D49,4,1))="L","LLP",IF(UPPER(MID(D49,4,1))="T","Trust",IF(UPPER(MID(D49,4,1))="A","AOP","")))))))))</f>
      </c>
      <c r="G49" s="8"/>
      <c r="H49" s="7">
        <f>IF($C49="","",IF(R49&lt;&gt;"",R49,IF(G49="","",IF(E49="Y",SUMPRODUCT(('Rate Lookup'!$A$1:$A$37=G49)*'Rate Lookup'!$D$1:$D$37),IF(OR(F49="Individual",F49="HUF"),SUMPRODUCT(('Rate Lookup'!$A$1:$A$37=G49)*'Rate Lookup'!$B$1:$B$37),SUMPRODUCT(('Rate Lookup'!$A$1:$A$37=G49)*'Rate Lookup'!$C$1:$C$37)))))))</f>
      </c>
      <c r="I49" s="8"/>
      <c r="J49" s="8"/>
      <c r="K49" s="7">
        <f>IF($C49="","",IF(OR(P49="B",P49="D",P49="E",P49="N",P49="O",P49="P",P49="Q",P49="S",P49="Y",P49="Z"),0,ROUND(J49*H49/100,0)))</f>
      </c>
      <c r="L49" s="7">
        <f>IF($C49="","",0)</f>
      </c>
      <c r="M49" s="7">
        <f>IF($C49="","",0)</f>
      </c>
      <c r="N49" s="7">
        <f>IF($C49="","",IF(OR(K49=0,I49="",IFERROR(INDEX('Challan Master'!$D$4:$D$207,MATCH($B49,'Challan Master'!$S$4:$S$207,0)),"")="",IFERROR(INDEX('Challan Master'!$D$4:$D$207,MATCH($B49,'Challan Master'!$S$4:$S$207,0)),"")&lt;=0),0,IF(IFERROR(INDEX('Challan Master'!$D$4:$D$207,MATCH($B49,'Challan Master'!$S$4:$S$207,0)),"")&lt;=DATE(YEAR(I49),MONTH(I49)+1,7),0,ROUND(K49*0.015*((YEAR(IFERROR(INDEX('Challan Master'!$D$4:$D$207,MATCH($B49,'Challan Master'!$S$4:$S$207,0)),""))-YEAR(I49))*12+(MONTH(IFERROR(INDEX('Challan Master'!$D$4:$D$207,MATCH($B49,'Challan Master'!$S$4:$S$207,0)),""))-MONTH(I49))+1),0))))</f>
      </c>
      <c r="O49" s="7">
        <f>IF($C49="","",0)</f>
      </c>
      <c r="P49" s="8"/>
      <c r="Q49" s="8"/>
      <c r="R49" s="8"/>
      <c r="S49" s="8"/>
      <c r="T49" s="8"/>
      <c r="U49" s="7">
        <f>IF($B49="","",IFERROR(INDEX('Challan Master'!$AA$4:$AA$207,MATCH($B49,'Challan Master'!$S$4:$S$207,0)),""))</f>
      </c>
    </row>
    <row r="50" spans="1:22" x14ac:dyDescent="0.25">
      <c r="A50" s="7">
        <f>IF($C50="","",COUNTIF($C$4:$C50,"&lt;&gt;"))</f>
      </c>
      <c r="B50" s="8"/>
      <c r="C50" s="8"/>
      <c r="D50" s="8"/>
      <c r="E50" s="7">
        <f>IF($C50="","",IF(AND(LEN(TRIM(UPPER(D50)))=10,CODE(MID(TRIM(UPPER(D50)),1,1))&gt;=65,CODE(MID(TRIM(UPPER(D50)),1,1))&lt;=90,CODE(MID(TRIM(UPPER(D50)),2,1))&gt;=65,CODE(MID(TRIM(UPPER(D50)),2,1))&lt;=90,CODE(MID(TRIM(UPPER(D50)),3,1))&gt;=65,CODE(MID(TRIM(UPPER(D50)),3,1))&lt;=90,CODE(MID(TRIM(UPPER(D50)),4,1))&gt;=65,CODE(MID(TRIM(UPPER(D50)),4,1))&lt;=90,CODE(MID(TRIM(UPPER(D50)),5,1))&gt;=65,CODE(MID(TRIM(UPPER(D50)),5,1))&lt;=90,CODE(MID(TRIM(UPPER(D50)),10,1))&gt;=65,CODE(MID(TRIM(UPPER(D50)),10,1))&lt;=90,CODE(MID(TRIM(UPPER(D50)),6,1))&gt;=48,CODE(MID(TRIM(UPPER(D50)),6,1))&lt;=57,CODE(MID(TRIM(UPPER(D50)),7,1))&gt;=48,CODE(MID(TRIM(UPPER(D50)),7,1))&lt;=57,CODE(MID(TRIM(UPPER(D50)),8,1))&gt;=48,CODE(MID(TRIM(UPPER(D50)),8,1))&lt;=57,CODE(MID(TRIM(UPPER(D50)),9,1))&gt;=48,CODE(MID(TRIM(UPPER(D50)),9,1))&lt;=57),"N","Y"))</f>
      </c>
      <c r="F50" s="7">
        <f>IF($C50="","",IF(LEN(D50)&lt;4,"",IF(UPPER(MID(D50,4,1))="P","Individual",IF(UPPER(MID(D50,4,1))="H","HUF",IF(UPPER(MID(D50,4,1))="C","Company",IF(UPPER(MID(D50,4,1))="F","Firm",IF(UPPER(MID(D50,4,1))="L","LLP",IF(UPPER(MID(D50,4,1))="T","Trust",IF(UPPER(MID(D50,4,1))="A","AOP","")))))))))</f>
      </c>
      <c r="G50" s="8"/>
      <c r="H50" s="7">
        <f>IF($C50="","",IF(R50&lt;&gt;"",R50,IF(G50="","",IF(E50="Y",SUMPRODUCT(('Rate Lookup'!$A$1:$A$37=G50)*'Rate Lookup'!$D$1:$D$37),IF(OR(F50="Individual",F50="HUF"),SUMPRODUCT(('Rate Lookup'!$A$1:$A$37=G50)*'Rate Lookup'!$B$1:$B$37),SUMPRODUCT(('Rate Lookup'!$A$1:$A$37=G50)*'Rate Lookup'!$C$1:$C$37)))))))</f>
      </c>
      <c r="I50" s="8"/>
      <c r="J50" s="8"/>
      <c r="K50" s="7">
        <f>IF($C50="","",IF(OR(P50="B",P50="D",P50="E",P50="N",P50="O",P50="P",P50="Q",P50="S",P50="Y",P50="Z"),0,ROUND(J50*H50/100,0)))</f>
      </c>
      <c r="L50" s="7">
        <f>IF($C50="","",0)</f>
      </c>
      <c r="M50" s="7">
        <f>IF($C50="","",0)</f>
      </c>
      <c r="N50" s="7">
        <f>IF($C50="","",IF(OR(K50=0,I50="",IFERROR(INDEX('Challan Master'!$D$4:$D$207,MATCH($B50,'Challan Master'!$S$4:$S$207,0)),"")="",IFERROR(INDEX('Challan Master'!$D$4:$D$207,MATCH($B50,'Challan Master'!$S$4:$S$207,0)),"")&lt;=0),0,IF(IFERROR(INDEX('Challan Master'!$D$4:$D$207,MATCH($B50,'Challan Master'!$S$4:$S$207,0)),"")&lt;=DATE(YEAR(I50),MONTH(I50)+1,7),0,ROUND(K50*0.015*((YEAR(IFERROR(INDEX('Challan Master'!$D$4:$D$207,MATCH($B50,'Challan Master'!$S$4:$S$207,0)),""))-YEAR(I50))*12+(MONTH(IFERROR(INDEX('Challan Master'!$D$4:$D$207,MATCH($B50,'Challan Master'!$S$4:$S$207,0)),""))-MONTH(I50))+1),0))))</f>
      </c>
      <c r="O50" s="7">
        <f>IF($C50="","",0)</f>
      </c>
      <c r="P50" s="8"/>
      <c r="Q50" s="8"/>
      <c r="R50" s="8"/>
      <c r="S50" s="8"/>
      <c r="T50" s="8"/>
      <c r="U50" s="7">
        <f>IF($B50="","",IFERROR(INDEX('Challan Master'!$AA$4:$AA$207,MATCH($B50,'Challan Master'!$S$4:$S$207,0)),""))</f>
      </c>
    </row>
    <row r="51" spans="1:22" x14ac:dyDescent="0.25">
      <c r="A51" s="7">
        <f>IF($C51="","",COUNTIF($C$4:$C51,"&lt;&gt;"))</f>
      </c>
      <c r="B51" s="8"/>
      <c r="C51" s="8"/>
      <c r="D51" s="8"/>
      <c r="E51" s="7">
        <f>IF($C51="","",IF(AND(LEN(TRIM(UPPER(D51)))=10,CODE(MID(TRIM(UPPER(D51)),1,1))&gt;=65,CODE(MID(TRIM(UPPER(D51)),1,1))&lt;=90,CODE(MID(TRIM(UPPER(D51)),2,1))&gt;=65,CODE(MID(TRIM(UPPER(D51)),2,1))&lt;=90,CODE(MID(TRIM(UPPER(D51)),3,1))&gt;=65,CODE(MID(TRIM(UPPER(D51)),3,1))&lt;=90,CODE(MID(TRIM(UPPER(D51)),4,1))&gt;=65,CODE(MID(TRIM(UPPER(D51)),4,1))&lt;=90,CODE(MID(TRIM(UPPER(D51)),5,1))&gt;=65,CODE(MID(TRIM(UPPER(D51)),5,1))&lt;=90,CODE(MID(TRIM(UPPER(D51)),10,1))&gt;=65,CODE(MID(TRIM(UPPER(D51)),10,1))&lt;=90,CODE(MID(TRIM(UPPER(D51)),6,1))&gt;=48,CODE(MID(TRIM(UPPER(D51)),6,1))&lt;=57,CODE(MID(TRIM(UPPER(D51)),7,1))&gt;=48,CODE(MID(TRIM(UPPER(D51)),7,1))&lt;=57,CODE(MID(TRIM(UPPER(D51)),8,1))&gt;=48,CODE(MID(TRIM(UPPER(D51)),8,1))&lt;=57,CODE(MID(TRIM(UPPER(D51)),9,1))&gt;=48,CODE(MID(TRIM(UPPER(D51)),9,1))&lt;=57),"N","Y"))</f>
      </c>
      <c r="F51" s="7">
        <f>IF($C51="","",IF(LEN(D51)&lt;4,"",IF(UPPER(MID(D51,4,1))="P","Individual",IF(UPPER(MID(D51,4,1))="H","HUF",IF(UPPER(MID(D51,4,1))="C","Company",IF(UPPER(MID(D51,4,1))="F","Firm",IF(UPPER(MID(D51,4,1))="L","LLP",IF(UPPER(MID(D51,4,1))="T","Trust",IF(UPPER(MID(D51,4,1))="A","AOP","")))))))))</f>
      </c>
      <c r="G51" s="8"/>
      <c r="H51" s="7">
        <f>IF($C51="","",IF(R51&lt;&gt;"",R51,IF(G51="","",IF(E51="Y",SUMPRODUCT(('Rate Lookup'!$A$1:$A$37=G51)*'Rate Lookup'!$D$1:$D$37),IF(OR(F51="Individual",F51="HUF"),SUMPRODUCT(('Rate Lookup'!$A$1:$A$37=G51)*'Rate Lookup'!$B$1:$B$37),SUMPRODUCT(('Rate Lookup'!$A$1:$A$37=G51)*'Rate Lookup'!$C$1:$C$37)))))))</f>
      </c>
      <c r="I51" s="8"/>
      <c r="J51" s="8"/>
      <c r="K51" s="7">
        <f>IF($C51="","",IF(OR(P51="B",P51="D",P51="E",P51="N",P51="O",P51="P",P51="Q",P51="S",P51="Y",P51="Z"),0,ROUND(J51*H51/100,0)))</f>
      </c>
      <c r="L51" s="7">
        <f>IF($C51="","",0)</f>
      </c>
      <c r="M51" s="7">
        <f>IF($C51="","",0)</f>
      </c>
      <c r="N51" s="7">
        <f>IF($C51="","",IF(OR(K51=0,I51="",IFERROR(INDEX('Challan Master'!$D$4:$D$207,MATCH($B51,'Challan Master'!$S$4:$S$207,0)),"")="",IFERROR(INDEX('Challan Master'!$D$4:$D$207,MATCH($B51,'Challan Master'!$S$4:$S$207,0)),"")&lt;=0),0,IF(IFERROR(INDEX('Challan Master'!$D$4:$D$207,MATCH($B51,'Challan Master'!$S$4:$S$207,0)),"")&lt;=DATE(YEAR(I51),MONTH(I51)+1,7),0,ROUND(K51*0.015*((YEAR(IFERROR(INDEX('Challan Master'!$D$4:$D$207,MATCH($B51,'Challan Master'!$S$4:$S$207,0)),""))-YEAR(I51))*12+(MONTH(IFERROR(INDEX('Challan Master'!$D$4:$D$207,MATCH($B51,'Challan Master'!$S$4:$S$207,0)),""))-MONTH(I51))+1),0))))</f>
      </c>
      <c r="O51" s="7">
        <f>IF($C51="","",0)</f>
      </c>
      <c r="P51" s="8"/>
      <c r="Q51" s="8"/>
      <c r="R51" s="8"/>
      <c r="S51" s="8"/>
      <c r="T51" s="8"/>
      <c r="U51" s="7">
        <f>IF($B51="","",IFERROR(INDEX('Challan Master'!$AA$4:$AA$207,MATCH($B51,'Challan Master'!$S$4:$S$207,0)),""))</f>
      </c>
    </row>
    <row r="52" spans="1:22" x14ac:dyDescent="0.25">
      <c r="A52" s="7">
        <f>IF($C52="","",COUNTIF($C$4:$C52,"&lt;&gt;"))</f>
      </c>
      <c r="B52" s="8"/>
      <c r="C52" s="8"/>
      <c r="D52" s="8"/>
      <c r="E52" s="7">
        <f>IF($C52="","",IF(AND(LEN(TRIM(UPPER(D52)))=10,CODE(MID(TRIM(UPPER(D52)),1,1))&gt;=65,CODE(MID(TRIM(UPPER(D52)),1,1))&lt;=90,CODE(MID(TRIM(UPPER(D52)),2,1))&gt;=65,CODE(MID(TRIM(UPPER(D52)),2,1))&lt;=90,CODE(MID(TRIM(UPPER(D52)),3,1))&gt;=65,CODE(MID(TRIM(UPPER(D52)),3,1))&lt;=90,CODE(MID(TRIM(UPPER(D52)),4,1))&gt;=65,CODE(MID(TRIM(UPPER(D52)),4,1))&lt;=90,CODE(MID(TRIM(UPPER(D52)),5,1))&gt;=65,CODE(MID(TRIM(UPPER(D52)),5,1))&lt;=90,CODE(MID(TRIM(UPPER(D52)),10,1))&gt;=65,CODE(MID(TRIM(UPPER(D52)),10,1))&lt;=90,CODE(MID(TRIM(UPPER(D52)),6,1))&gt;=48,CODE(MID(TRIM(UPPER(D52)),6,1))&lt;=57,CODE(MID(TRIM(UPPER(D52)),7,1))&gt;=48,CODE(MID(TRIM(UPPER(D52)),7,1))&lt;=57,CODE(MID(TRIM(UPPER(D52)),8,1))&gt;=48,CODE(MID(TRIM(UPPER(D52)),8,1))&lt;=57,CODE(MID(TRIM(UPPER(D52)),9,1))&gt;=48,CODE(MID(TRIM(UPPER(D52)),9,1))&lt;=57),"N","Y"))</f>
      </c>
      <c r="F52" s="7">
        <f>IF($C52="","",IF(LEN(D52)&lt;4,"",IF(UPPER(MID(D52,4,1))="P","Individual",IF(UPPER(MID(D52,4,1))="H","HUF",IF(UPPER(MID(D52,4,1))="C","Company",IF(UPPER(MID(D52,4,1))="F","Firm",IF(UPPER(MID(D52,4,1))="L","LLP",IF(UPPER(MID(D52,4,1))="T","Trust",IF(UPPER(MID(D52,4,1))="A","AOP","")))))))))</f>
      </c>
      <c r="G52" s="8"/>
      <c r="H52" s="7">
        <f>IF($C52="","",IF(R52&lt;&gt;"",R52,IF(G52="","",IF(E52="Y",SUMPRODUCT(('Rate Lookup'!$A$1:$A$37=G52)*'Rate Lookup'!$D$1:$D$37),IF(OR(F52="Individual",F52="HUF"),SUMPRODUCT(('Rate Lookup'!$A$1:$A$37=G52)*'Rate Lookup'!$B$1:$B$37),SUMPRODUCT(('Rate Lookup'!$A$1:$A$37=G52)*'Rate Lookup'!$C$1:$C$37)))))))</f>
      </c>
      <c r="I52" s="8"/>
      <c r="J52" s="8"/>
      <c r="K52" s="7">
        <f>IF($C52="","",IF(OR(P52="B",P52="D",P52="E",P52="N",P52="O",P52="P",P52="Q",P52="S",P52="Y",P52="Z"),0,ROUND(J52*H52/100,0)))</f>
      </c>
      <c r="L52" s="7">
        <f>IF($C52="","",0)</f>
      </c>
      <c r="M52" s="7">
        <f>IF($C52="","",0)</f>
      </c>
      <c r="N52" s="7">
        <f>IF($C52="","",IF(OR(K52=0,I52="",IFERROR(INDEX('Challan Master'!$D$4:$D$207,MATCH($B52,'Challan Master'!$S$4:$S$207,0)),"")="",IFERROR(INDEX('Challan Master'!$D$4:$D$207,MATCH($B52,'Challan Master'!$S$4:$S$207,0)),"")&lt;=0),0,IF(IFERROR(INDEX('Challan Master'!$D$4:$D$207,MATCH($B52,'Challan Master'!$S$4:$S$207,0)),"")&lt;=DATE(YEAR(I52),MONTH(I52)+1,7),0,ROUND(K52*0.015*((YEAR(IFERROR(INDEX('Challan Master'!$D$4:$D$207,MATCH($B52,'Challan Master'!$S$4:$S$207,0)),""))-YEAR(I52))*12+(MONTH(IFERROR(INDEX('Challan Master'!$D$4:$D$207,MATCH($B52,'Challan Master'!$S$4:$S$207,0)),""))-MONTH(I52))+1),0))))</f>
      </c>
      <c r="O52" s="7">
        <f>IF($C52="","",0)</f>
      </c>
      <c r="P52" s="8"/>
      <c r="Q52" s="8"/>
      <c r="R52" s="8"/>
      <c r="S52" s="8"/>
      <c r="T52" s="8"/>
      <c r="U52" s="7">
        <f>IF($B52="","",IFERROR(INDEX('Challan Master'!$AA$4:$AA$207,MATCH($B52,'Challan Master'!$S$4:$S$207,0)),""))</f>
      </c>
    </row>
    <row r="53" spans="1:22" x14ac:dyDescent="0.25">
      <c r="A53" s="7">
        <f>IF($C53="","",COUNTIF($C$4:$C53,"&lt;&gt;"))</f>
      </c>
      <c r="B53" s="8"/>
      <c r="C53" s="8"/>
      <c r="D53" s="8"/>
      <c r="E53" s="7">
        <f>IF($C53="","",IF(AND(LEN(TRIM(UPPER(D53)))=10,CODE(MID(TRIM(UPPER(D53)),1,1))&gt;=65,CODE(MID(TRIM(UPPER(D53)),1,1))&lt;=90,CODE(MID(TRIM(UPPER(D53)),2,1))&gt;=65,CODE(MID(TRIM(UPPER(D53)),2,1))&lt;=90,CODE(MID(TRIM(UPPER(D53)),3,1))&gt;=65,CODE(MID(TRIM(UPPER(D53)),3,1))&lt;=90,CODE(MID(TRIM(UPPER(D53)),4,1))&gt;=65,CODE(MID(TRIM(UPPER(D53)),4,1))&lt;=90,CODE(MID(TRIM(UPPER(D53)),5,1))&gt;=65,CODE(MID(TRIM(UPPER(D53)),5,1))&lt;=90,CODE(MID(TRIM(UPPER(D53)),10,1))&gt;=65,CODE(MID(TRIM(UPPER(D53)),10,1))&lt;=90,CODE(MID(TRIM(UPPER(D53)),6,1))&gt;=48,CODE(MID(TRIM(UPPER(D53)),6,1))&lt;=57,CODE(MID(TRIM(UPPER(D53)),7,1))&gt;=48,CODE(MID(TRIM(UPPER(D53)),7,1))&lt;=57,CODE(MID(TRIM(UPPER(D53)),8,1))&gt;=48,CODE(MID(TRIM(UPPER(D53)),8,1))&lt;=57,CODE(MID(TRIM(UPPER(D53)),9,1))&gt;=48,CODE(MID(TRIM(UPPER(D53)),9,1))&lt;=57),"N","Y"))</f>
      </c>
      <c r="F53" s="7">
        <f>IF($C53="","",IF(LEN(D53)&lt;4,"",IF(UPPER(MID(D53,4,1))="P","Individual",IF(UPPER(MID(D53,4,1))="H","HUF",IF(UPPER(MID(D53,4,1))="C","Company",IF(UPPER(MID(D53,4,1))="F","Firm",IF(UPPER(MID(D53,4,1))="L","LLP",IF(UPPER(MID(D53,4,1))="T","Trust",IF(UPPER(MID(D53,4,1))="A","AOP","")))))))))</f>
      </c>
      <c r="G53" s="8"/>
      <c r="H53" s="7">
        <f>IF($C53="","",IF(R53&lt;&gt;"",R53,IF(G53="","",IF(E53="Y",SUMPRODUCT(('Rate Lookup'!$A$1:$A$37=G53)*'Rate Lookup'!$D$1:$D$37),IF(OR(F53="Individual",F53="HUF"),SUMPRODUCT(('Rate Lookup'!$A$1:$A$37=G53)*'Rate Lookup'!$B$1:$B$37),SUMPRODUCT(('Rate Lookup'!$A$1:$A$37=G53)*'Rate Lookup'!$C$1:$C$37)))))))</f>
      </c>
      <c r="I53" s="8"/>
      <c r="J53" s="8"/>
      <c r="K53" s="7">
        <f>IF($C53="","",IF(OR(P53="B",P53="D",P53="E",P53="N",P53="O",P53="P",P53="Q",P53="S",P53="Y",P53="Z"),0,ROUND(J53*H53/100,0)))</f>
      </c>
      <c r="L53" s="7">
        <f>IF($C53="","",0)</f>
      </c>
      <c r="M53" s="7">
        <f>IF($C53="","",0)</f>
      </c>
      <c r="N53" s="7">
        <f>IF($C53="","",IF(OR(K53=0,I53="",IFERROR(INDEX('Challan Master'!$D$4:$D$207,MATCH($B53,'Challan Master'!$S$4:$S$207,0)),"")="",IFERROR(INDEX('Challan Master'!$D$4:$D$207,MATCH($B53,'Challan Master'!$S$4:$S$207,0)),"")&lt;=0),0,IF(IFERROR(INDEX('Challan Master'!$D$4:$D$207,MATCH($B53,'Challan Master'!$S$4:$S$207,0)),"")&lt;=DATE(YEAR(I53),MONTH(I53)+1,7),0,ROUND(K53*0.015*((YEAR(IFERROR(INDEX('Challan Master'!$D$4:$D$207,MATCH($B53,'Challan Master'!$S$4:$S$207,0)),""))-YEAR(I53))*12+(MONTH(IFERROR(INDEX('Challan Master'!$D$4:$D$207,MATCH($B53,'Challan Master'!$S$4:$S$207,0)),""))-MONTH(I53))+1),0))))</f>
      </c>
      <c r="O53" s="7">
        <f>IF($C53="","",0)</f>
      </c>
      <c r="P53" s="8"/>
      <c r="Q53" s="8"/>
      <c r="R53" s="8"/>
      <c r="S53" s="8"/>
      <c r="T53" s="8"/>
      <c r="U53" s="7">
        <f>IF($B53="","",IFERROR(INDEX('Challan Master'!$AA$4:$AA$207,MATCH($B53,'Challan Master'!$S$4:$S$207,0)),""))</f>
      </c>
    </row>
    <row r="54" spans="1:22" x14ac:dyDescent="0.25">
      <c r="A54" s="7">
        <f>IF($C54="","",COUNTIF($C$4:$C54,"&lt;&gt;"))</f>
      </c>
      <c r="B54" s="8"/>
      <c r="C54" s="8"/>
      <c r="D54" s="8"/>
      <c r="E54" s="7">
        <f>IF($C54="","",IF(AND(LEN(TRIM(UPPER(D54)))=10,CODE(MID(TRIM(UPPER(D54)),1,1))&gt;=65,CODE(MID(TRIM(UPPER(D54)),1,1))&lt;=90,CODE(MID(TRIM(UPPER(D54)),2,1))&gt;=65,CODE(MID(TRIM(UPPER(D54)),2,1))&lt;=90,CODE(MID(TRIM(UPPER(D54)),3,1))&gt;=65,CODE(MID(TRIM(UPPER(D54)),3,1))&lt;=90,CODE(MID(TRIM(UPPER(D54)),4,1))&gt;=65,CODE(MID(TRIM(UPPER(D54)),4,1))&lt;=90,CODE(MID(TRIM(UPPER(D54)),5,1))&gt;=65,CODE(MID(TRIM(UPPER(D54)),5,1))&lt;=90,CODE(MID(TRIM(UPPER(D54)),10,1))&gt;=65,CODE(MID(TRIM(UPPER(D54)),10,1))&lt;=90,CODE(MID(TRIM(UPPER(D54)),6,1))&gt;=48,CODE(MID(TRIM(UPPER(D54)),6,1))&lt;=57,CODE(MID(TRIM(UPPER(D54)),7,1))&gt;=48,CODE(MID(TRIM(UPPER(D54)),7,1))&lt;=57,CODE(MID(TRIM(UPPER(D54)),8,1))&gt;=48,CODE(MID(TRIM(UPPER(D54)),8,1))&lt;=57,CODE(MID(TRIM(UPPER(D54)),9,1))&gt;=48,CODE(MID(TRIM(UPPER(D54)),9,1))&lt;=57),"N","Y"))</f>
      </c>
      <c r="F54" s="7">
        <f>IF($C54="","",IF(LEN(D54)&lt;4,"",IF(UPPER(MID(D54,4,1))="P","Individual",IF(UPPER(MID(D54,4,1))="H","HUF",IF(UPPER(MID(D54,4,1))="C","Company",IF(UPPER(MID(D54,4,1))="F","Firm",IF(UPPER(MID(D54,4,1))="L","LLP",IF(UPPER(MID(D54,4,1))="T","Trust",IF(UPPER(MID(D54,4,1))="A","AOP","")))))))))</f>
      </c>
      <c r="G54" s="8"/>
      <c r="H54" s="7">
        <f>IF($C54="","",IF(R54&lt;&gt;"",R54,IF(G54="","",IF(E54="Y",SUMPRODUCT(('Rate Lookup'!$A$1:$A$37=G54)*'Rate Lookup'!$D$1:$D$37),IF(OR(F54="Individual",F54="HUF"),SUMPRODUCT(('Rate Lookup'!$A$1:$A$37=G54)*'Rate Lookup'!$B$1:$B$37),SUMPRODUCT(('Rate Lookup'!$A$1:$A$37=G54)*'Rate Lookup'!$C$1:$C$37)))))))</f>
      </c>
      <c r="I54" s="8"/>
      <c r="J54" s="8"/>
      <c r="K54" s="7">
        <f>IF($C54="","",IF(OR(P54="B",P54="D",P54="E",P54="N",P54="O",P54="P",P54="Q",P54="S",P54="Y",P54="Z"),0,ROUND(J54*H54/100,0)))</f>
      </c>
      <c r="L54" s="7">
        <f>IF($C54="","",0)</f>
      </c>
      <c r="M54" s="7">
        <f>IF($C54="","",0)</f>
      </c>
      <c r="N54" s="7">
        <f>IF($C54="","",IF(OR(K54=0,I54="",IFERROR(INDEX('Challan Master'!$D$4:$D$207,MATCH($B54,'Challan Master'!$S$4:$S$207,0)),"")="",IFERROR(INDEX('Challan Master'!$D$4:$D$207,MATCH($B54,'Challan Master'!$S$4:$S$207,0)),"")&lt;=0),0,IF(IFERROR(INDEX('Challan Master'!$D$4:$D$207,MATCH($B54,'Challan Master'!$S$4:$S$207,0)),"")&lt;=DATE(YEAR(I54),MONTH(I54)+1,7),0,ROUND(K54*0.015*((YEAR(IFERROR(INDEX('Challan Master'!$D$4:$D$207,MATCH($B54,'Challan Master'!$S$4:$S$207,0)),""))-YEAR(I54))*12+(MONTH(IFERROR(INDEX('Challan Master'!$D$4:$D$207,MATCH($B54,'Challan Master'!$S$4:$S$207,0)),""))-MONTH(I54))+1),0))))</f>
      </c>
      <c r="O54" s="7">
        <f>IF($C54="","",0)</f>
      </c>
      <c r="P54" s="8"/>
      <c r="Q54" s="8"/>
      <c r="R54" s="8"/>
      <c r="S54" s="8"/>
      <c r="T54" s="8"/>
      <c r="U54" s="7">
        <f>IF($B54="","",IFERROR(INDEX('Challan Master'!$AA$4:$AA$207,MATCH($B54,'Challan Master'!$S$4:$S$207,0)),""))</f>
      </c>
    </row>
    <row r="55" spans="1:22" x14ac:dyDescent="0.25">
      <c r="A55" s="7">
        <f>IF($C55="","",COUNTIF($C$4:$C55,"&lt;&gt;"))</f>
      </c>
      <c r="B55" s="8"/>
      <c r="C55" s="8"/>
      <c r="D55" s="8"/>
      <c r="E55" s="7">
        <f>IF($C55="","",IF(AND(LEN(TRIM(UPPER(D55)))=10,CODE(MID(TRIM(UPPER(D55)),1,1))&gt;=65,CODE(MID(TRIM(UPPER(D55)),1,1))&lt;=90,CODE(MID(TRIM(UPPER(D55)),2,1))&gt;=65,CODE(MID(TRIM(UPPER(D55)),2,1))&lt;=90,CODE(MID(TRIM(UPPER(D55)),3,1))&gt;=65,CODE(MID(TRIM(UPPER(D55)),3,1))&lt;=90,CODE(MID(TRIM(UPPER(D55)),4,1))&gt;=65,CODE(MID(TRIM(UPPER(D55)),4,1))&lt;=90,CODE(MID(TRIM(UPPER(D55)),5,1))&gt;=65,CODE(MID(TRIM(UPPER(D55)),5,1))&lt;=90,CODE(MID(TRIM(UPPER(D55)),10,1))&gt;=65,CODE(MID(TRIM(UPPER(D55)),10,1))&lt;=90,CODE(MID(TRIM(UPPER(D55)),6,1))&gt;=48,CODE(MID(TRIM(UPPER(D55)),6,1))&lt;=57,CODE(MID(TRIM(UPPER(D55)),7,1))&gt;=48,CODE(MID(TRIM(UPPER(D55)),7,1))&lt;=57,CODE(MID(TRIM(UPPER(D55)),8,1))&gt;=48,CODE(MID(TRIM(UPPER(D55)),8,1))&lt;=57,CODE(MID(TRIM(UPPER(D55)),9,1))&gt;=48,CODE(MID(TRIM(UPPER(D55)),9,1))&lt;=57),"N","Y"))</f>
      </c>
      <c r="F55" s="7">
        <f>IF($C55="","",IF(LEN(D55)&lt;4,"",IF(UPPER(MID(D55,4,1))="P","Individual",IF(UPPER(MID(D55,4,1))="H","HUF",IF(UPPER(MID(D55,4,1))="C","Company",IF(UPPER(MID(D55,4,1))="F","Firm",IF(UPPER(MID(D55,4,1))="L","LLP",IF(UPPER(MID(D55,4,1))="T","Trust",IF(UPPER(MID(D55,4,1))="A","AOP","")))))))))</f>
      </c>
      <c r="G55" s="8"/>
      <c r="H55" s="7">
        <f>IF($C55="","",IF(R55&lt;&gt;"",R55,IF(G55="","",IF(E55="Y",SUMPRODUCT(('Rate Lookup'!$A$1:$A$37=G55)*'Rate Lookup'!$D$1:$D$37),IF(OR(F55="Individual",F55="HUF"),SUMPRODUCT(('Rate Lookup'!$A$1:$A$37=G55)*'Rate Lookup'!$B$1:$B$37),SUMPRODUCT(('Rate Lookup'!$A$1:$A$37=G55)*'Rate Lookup'!$C$1:$C$37)))))))</f>
      </c>
      <c r="I55" s="8"/>
      <c r="J55" s="8"/>
      <c r="K55" s="7">
        <f>IF($C55="","",IF(OR(P55="B",P55="D",P55="E",P55="N",P55="O",P55="P",P55="Q",P55="S",P55="Y",P55="Z"),0,ROUND(J55*H55/100,0)))</f>
      </c>
      <c r="L55" s="7">
        <f>IF($C55="","",0)</f>
      </c>
      <c r="M55" s="7">
        <f>IF($C55="","",0)</f>
      </c>
      <c r="N55" s="7">
        <f>IF($C55="","",IF(OR(K55=0,I55="",IFERROR(INDEX('Challan Master'!$D$4:$D$207,MATCH($B55,'Challan Master'!$S$4:$S$207,0)),"")="",IFERROR(INDEX('Challan Master'!$D$4:$D$207,MATCH($B55,'Challan Master'!$S$4:$S$207,0)),"")&lt;=0),0,IF(IFERROR(INDEX('Challan Master'!$D$4:$D$207,MATCH($B55,'Challan Master'!$S$4:$S$207,0)),"")&lt;=DATE(YEAR(I55),MONTH(I55)+1,7),0,ROUND(K55*0.015*((YEAR(IFERROR(INDEX('Challan Master'!$D$4:$D$207,MATCH($B55,'Challan Master'!$S$4:$S$207,0)),""))-YEAR(I55))*12+(MONTH(IFERROR(INDEX('Challan Master'!$D$4:$D$207,MATCH($B55,'Challan Master'!$S$4:$S$207,0)),""))-MONTH(I55))+1),0))))</f>
      </c>
      <c r="O55" s="7">
        <f>IF($C55="","",0)</f>
      </c>
      <c r="P55" s="8"/>
      <c r="Q55" s="8"/>
      <c r="R55" s="8"/>
      <c r="S55" s="8"/>
      <c r="T55" s="8"/>
      <c r="U55" s="7">
        <f>IF($B55="","",IFERROR(INDEX('Challan Master'!$AA$4:$AA$207,MATCH($B55,'Challan Master'!$S$4:$S$207,0)),""))</f>
      </c>
    </row>
    <row r="56" spans="1:22" x14ac:dyDescent="0.25">
      <c r="A56" s="7">
        <f>IF($C56="","",COUNTIF($C$4:$C56,"&lt;&gt;"))</f>
      </c>
      <c r="B56" s="8"/>
      <c r="C56" s="8"/>
      <c r="D56" s="8"/>
      <c r="E56" s="7">
        <f>IF($C56="","",IF(AND(LEN(TRIM(UPPER(D56)))=10,CODE(MID(TRIM(UPPER(D56)),1,1))&gt;=65,CODE(MID(TRIM(UPPER(D56)),1,1))&lt;=90,CODE(MID(TRIM(UPPER(D56)),2,1))&gt;=65,CODE(MID(TRIM(UPPER(D56)),2,1))&lt;=90,CODE(MID(TRIM(UPPER(D56)),3,1))&gt;=65,CODE(MID(TRIM(UPPER(D56)),3,1))&lt;=90,CODE(MID(TRIM(UPPER(D56)),4,1))&gt;=65,CODE(MID(TRIM(UPPER(D56)),4,1))&lt;=90,CODE(MID(TRIM(UPPER(D56)),5,1))&gt;=65,CODE(MID(TRIM(UPPER(D56)),5,1))&lt;=90,CODE(MID(TRIM(UPPER(D56)),10,1))&gt;=65,CODE(MID(TRIM(UPPER(D56)),10,1))&lt;=90,CODE(MID(TRIM(UPPER(D56)),6,1))&gt;=48,CODE(MID(TRIM(UPPER(D56)),6,1))&lt;=57,CODE(MID(TRIM(UPPER(D56)),7,1))&gt;=48,CODE(MID(TRIM(UPPER(D56)),7,1))&lt;=57,CODE(MID(TRIM(UPPER(D56)),8,1))&gt;=48,CODE(MID(TRIM(UPPER(D56)),8,1))&lt;=57,CODE(MID(TRIM(UPPER(D56)),9,1))&gt;=48,CODE(MID(TRIM(UPPER(D56)),9,1))&lt;=57),"N","Y"))</f>
      </c>
      <c r="F56" s="7">
        <f>IF($C56="","",IF(LEN(D56)&lt;4,"",IF(UPPER(MID(D56,4,1))="P","Individual",IF(UPPER(MID(D56,4,1))="H","HUF",IF(UPPER(MID(D56,4,1))="C","Company",IF(UPPER(MID(D56,4,1))="F","Firm",IF(UPPER(MID(D56,4,1))="L","LLP",IF(UPPER(MID(D56,4,1))="T","Trust",IF(UPPER(MID(D56,4,1))="A","AOP","")))))))))</f>
      </c>
      <c r="G56" s="8"/>
      <c r="H56" s="7">
        <f>IF($C56="","",IF(R56&lt;&gt;"",R56,IF(G56="","",IF(E56="Y",SUMPRODUCT(('Rate Lookup'!$A$1:$A$37=G56)*'Rate Lookup'!$D$1:$D$37),IF(OR(F56="Individual",F56="HUF"),SUMPRODUCT(('Rate Lookup'!$A$1:$A$37=G56)*'Rate Lookup'!$B$1:$B$37),SUMPRODUCT(('Rate Lookup'!$A$1:$A$37=G56)*'Rate Lookup'!$C$1:$C$37)))))))</f>
      </c>
      <c r="I56" s="8"/>
      <c r="J56" s="8"/>
      <c r="K56" s="7">
        <f>IF($C56="","",IF(OR(P56="B",P56="D",P56="E",P56="N",P56="O",P56="P",P56="Q",P56="S",P56="Y",P56="Z"),0,ROUND(J56*H56/100,0)))</f>
      </c>
      <c r="L56" s="7">
        <f>IF($C56="","",0)</f>
      </c>
      <c r="M56" s="7">
        <f>IF($C56="","",0)</f>
      </c>
      <c r="N56" s="7">
        <f>IF($C56="","",IF(OR(K56=0,I56="",IFERROR(INDEX('Challan Master'!$D$4:$D$207,MATCH($B56,'Challan Master'!$S$4:$S$207,0)),"")="",IFERROR(INDEX('Challan Master'!$D$4:$D$207,MATCH($B56,'Challan Master'!$S$4:$S$207,0)),"")&lt;=0),0,IF(IFERROR(INDEX('Challan Master'!$D$4:$D$207,MATCH($B56,'Challan Master'!$S$4:$S$207,0)),"")&lt;=DATE(YEAR(I56),MONTH(I56)+1,7),0,ROUND(K56*0.015*((YEAR(IFERROR(INDEX('Challan Master'!$D$4:$D$207,MATCH($B56,'Challan Master'!$S$4:$S$207,0)),""))-YEAR(I56))*12+(MONTH(IFERROR(INDEX('Challan Master'!$D$4:$D$207,MATCH($B56,'Challan Master'!$S$4:$S$207,0)),""))-MONTH(I56))+1),0))))</f>
      </c>
      <c r="O56" s="7">
        <f>IF($C56="","",0)</f>
      </c>
      <c r="P56" s="8"/>
      <c r="Q56" s="8"/>
      <c r="R56" s="8"/>
      <c r="S56" s="8"/>
      <c r="T56" s="8"/>
      <c r="U56" s="7">
        <f>IF($B56="","",IFERROR(INDEX('Challan Master'!$AA$4:$AA$207,MATCH($B56,'Challan Master'!$S$4:$S$207,0)),""))</f>
      </c>
    </row>
    <row r="57" spans="1:22" x14ac:dyDescent="0.25">
      <c r="A57" s="7">
        <f>IF($C57="","",COUNTIF($C$4:$C57,"&lt;&gt;"))</f>
      </c>
      <c r="B57" s="8"/>
      <c r="C57" s="8"/>
      <c r="D57" s="8"/>
      <c r="E57" s="7">
        <f>IF($C57="","",IF(AND(LEN(TRIM(UPPER(D57)))=10,CODE(MID(TRIM(UPPER(D57)),1,1))&gt;=65,CODE(MID(TRIM(UPPER(D57)),1,1))&lt;=90,CODE(MID(TRIM(UPPER(D57)),2,1))&gt;=65,CODE(MID(TRIM(UPPER(D57)),2,1))&lt;=90,CODE(MID(TRIM(UPPER(D57)),3,1))&gt;=65,CODE(MID(TRIM(UPPER(D57)),3,1))&lt;=90,CODE(MID(TRIM(UPPER(D57)),4,1))&gt;=65,CODE(MID(TRIM(UPPER(D57)),4,1))&lt;=90,CODE(MID(TRIM(UPPER(D57)),5,1))&gt;=65,CODE(MID(TRIM(UPPER(D57)),5,1))&lt;=90,CODE(MID(TRIM(UPPER(D57)),10,1))&gt;=65,CODE(MID(TRIM(UPPER(D57)),10,1))&lt;=90,CODE(MID(TRIM(UPPER(D57)),6,1))&gt;=48,CODE(MID(TRIM(UPPER(D57)),6,1))&lt;=57,CODE(MID(TRIM(UPPER(D57)),7,1))&gt;=48,CODE(MID(TRIM(UPPER(D57)),7,1))&lt;=57,CODE(MID(TRIM(UPPER(D57)),8,1))&gt;=48,CODE(MID(TRIM(UPPER(D57)),8,1))&lt;=57,CODE(MID(TRIM(UPPER(D57)),9,1))&gt;=48,CODE(MID(TRIM(UPPER(D57)),9,1))&lt;=57),"N","Y"))</f>
      </c>
      <c r="F57" s="7">
        <f>IF($C57="","",IF(LEN(D57)&lt;4,"",IF(UPPER(MID(D57,4,1))="P","Individual",IF(UPPER(MID(D57,4,1))="H","HUF",IF(UPPER(MID(D57,4,1))="C","Company",IF(UPPER(MID(D57,4,1))="F","Firm",IF(UPPER(MID(D57,4,1))="L","LLP",IF(UPPER(MID(D57,4,1))="T","Trust",IF(UPPER(MID(D57,4,1))="A","AOP","")))))))))</f>
      </c>
      <c r="G57" s="8"/>
      <c r="H57" s="7">
        <f>IF($C57="","",IF(R57&lt;&gt;"",R57,IF(G57="","",IF(E57="Y",SUMPRODUCT(('Rate Lookup'!$A$1:$A$37=G57)*'Rate Lookup'!$D$1:$D$37),IF(OR(F57="Individual",F57="HUF"),SUMPRODUCT(('Rate Lookup'!$A$1:$A$37=G57)*'Rate Lookup'!$B$1:$B$37),SUMPRODUCT(('Rate Lookup'!$A$1:$A$37=G57)*'Rate Lookup'!$C$1:$C$37)))))))</f>
      </c>
      <c r="I57" s="8"/>
      <c r="J57" s="8"/>
      <c r="K57" s="7">
        <f>IF($C57="","",IF(OR(P57="B",P57="D",P57="E",P57="N",P57="O",P57="P",P57="Q",P57="S",P57="Y",P57="Z"),0,ROUND(J57*H57/100,0)))</f>
      </c>
      <c r="L57" s="7">
        <f>IF($C57="","",0)</f>
      </c>
      <c r="M57" s="7">
        <f>IF($C57="","",0)</f>
      </c>
      <c r="N57" s="7">
        <f>IF($C57="","",IF(OR(K57=0,I57="",IFERROR(INDEX('Challan Master'!$D$4:$D$207,MATCH($B57,'Challan Master'!$S$4:$S$207,0)),"")="",IFERROR(INDEX('Challan Master'!$D$4:$D$207,MATCH($B57,'Challan Master'!$S$4:$S$207,0)),"")&lt;=0),0,IF(IFERROR(INDEX('Challan Master'!$D$4:$D$207,MATCH($B57,'Challan Master'!$S$4:$S$207,0)),"")&lt;=DATE(YEAR(I57),MONTH(I57)+1,7),0,ROUND(K57*0.015*((YEAR(IFERROR(INDEX('Challan Master'!$D$4:$D$207,MATCH($B57,'Challan Master'!$S$4:$S$207,0)),""))-YEAR(I57))*12+(MONTH(IFERROR(INDEX('Challan Master'!$D$4:$D$207,MATCH($B57,'Challan Master'!$S$4:$S$207,0)),""))-MONTH(I57))+1),0))))</f>
      </c>
      <c r="O57" s="7">
        <f>IF($C57="","",0)</f>
      </c>
      <c r="P57" s="8"/>
      <c r="Q57" s="8"/>
      <c r="R57" s="8"/>
      <c r="S57" s="8"/>
      <c r="T57" s="8"/>
      <c r="U57" s="7">
        <f>IF($B57="","",IFERROR(INDEX('Challan Master'!$AA$4:$AA$207,MATCH($B57,'Challan Master'!$S$4:$S$207,0)),""))</f>
      </c>
    </row>
    <row r="58" spans="1:22" x14ac:dyDescent="0.25">
      <c r="A58" s="7">
        <f>IF($C58="","",COUNTIF($C$4:$C58,"&lt;&gt;"))</f>
      </c>
      <c r="B58" s="8"/>
      <c r="C58" s="8"/>
      <c r="D58" s="8"/>
      <c r="E58" s="7">
        <f>IF($C58="","",IF(AND(LEN(TRIM(UPPER(D58)))=10,CODE(MID(TRIM(UPPER(D58)),1,1))&gt;=65,CODE(MID(TRIM(UPPER(D58)),1,1))&lt;=90,CODE(MID(TRIM(UPPER(D58)),2,1))&gt;=65,CODE(MID(TRIM(UPPER(D58)),2,1))&lt;=90,CODE(MID(TRIM(UPPER(D58)),3,1))&gt;=65,CODE(MID(TRIM(UPPER(D58)),3,1))&lt;=90,CODE(MID(TRIM(UPPER(D58)),4,1))&gt;=65,CODE(MID(TRIM(UPPER(D58)),4,1))&lt;=90,CODE(MID(TRIM(UPPER(D58)),5,1))&gt;=65,CODE(MID(TRIM(UPPER(D58)),5,1))&lt;=90,CODE(MID(TRIM(UPPER(D58)),10,1))&gt;=65,CODE(MID(TRIM(UPPER(D58)),10,1))&lt;=90,CODE(MID(TRIM(UPPER(D58)),6,1))&gt;=48,CODE(MID(TRIM(UPPER(D58)),6,1))&lt;=57,CODE(MID(TRIM(UPPER(D58)),7,1))&gt;=48,CODE(MID(TRIM(UPPER(D58)),7,1))&lt;=57,CODE(MID(TRIM(UPPER(D58)),8,1))&gt;=48,CODE(MID(TRIM(UPPER(D58)),8,1))&lt;=57,CODE(MID(TRIM(UPPER(D58)),9,1))&gt;=48,CODE(MID(TRIM(UPPER(D58)),9,1))&lt;=57),"N","Y"))</f>
      </c>
      <c r="F58" s="7">
        <f>IF($C58="","",IF(LEN(D58)&lt;4,"",IF(UPPER(MID(D58,4,1))="P","Individual",IF(UPPER(MID(D58,4,1))="H","HUF",IF(UPPER(MID(D58,4,1))="C","Company",IF(UPPER(MID(D58,4,1))="F","Firm",IF(UPPER(MID(D58,4,1))="L","LLP",IF(UPPER(MID(D58,4,1))="T","Trust",IF(UPPER(MID(D58,4,1))="A","AOP","")))))))))</f>
      </c>
      <c r="G58" s="8"/>
      <c r="H58" s="7">
        <f>IF($C58="","",IF(R58&lt;&gt;"",R58,IF(G58="","",IF(E58="Y",SUMPRODUCT(('Rate Lookup'!$A$1:$A$37=G58)*'Rate Lookup'!$D$1:$D$37),IF(OR(F58="Individual",F58="HUF"),SUMPRODUCT(('Rate Lookup'!$A$1:$A$37=G58)*'Rate Lookup'!$B$1:$B$37),SUMPRODUCT(('Rate Lookup'!$A$1:$A$37=G58)*'Rate Lookup'!$C$1:$C$37)))))))</f>
      </c>
      <c r="I58" s="8"/>
      <c r="J58" s="8"/>
      <c r="K58" s="7">
        <f>IF($C58="","",IF(OR(P58="B",P58="D",P58="E",P58="N",P58="O",P58="P",P58="Q",P58="S",P58="Y",P58="Z"),0,ROUND(J58*H58/100,0)))</f>
      </c>
      <c r="L58" s="7">
        <f>IF($C58="","",0)</f>
      </c>
      <c r="M58" s="7">
        <f>IF($C58="","",0)</f>
      </c>
      <c r="N58" s="7">
        <f>IF($C58="","",IF(OR(K58=0,I58="",IFERROR(INDEX('Challan Master'!$D$4:$D$207,MATCH($B58,'Challan Master'!$S$4:$S$207,0)),"")="",IFERROR(INDEX('Challan Master'!$D$4:$D$207,MATCH($B58,'Challan Master'!$S$4:$S$207,0)),"")&lt;=0),0,IF(IFERROR(INDEX('Challan Master'!$D$4:$D$207,MATCH($B58,'Challan Master'!$S$4:$S$207,0)),"")&lt;=DATE(YEAR(I58),MONTH(I58)+1,7),0,ROUND(K58*0.015*((YEAR(IFERROR(INDEX('Challan Master'!$D$4:$D$207,MATCH($B58,'Challan Master'!$S$4:$S$207,0)),""))-YEAR(I58))*12+(MONTH(IFERROR(INDEX('Challan Master'!$D$4:$D$207,MATCH($B58,'Challan Master'!$S$4:$S$207,0)),""))-MONTH(I58))+1),0))))</f>
      </c>
      <c r="O58" s="7">
        <f>IF($C58="","",0)</f>
      </c>
      <c r="P58" s="8"/>
      <c r="Q58" s="8"/>
      <c r="R58" s="8"/>
      <c r="S58" s="8"/>
      <c r="T58" s="8"/>
      <c r="U58" s="7">
        <f>IF($B58="","",IFERROR(INDEX('Challan Master'!$AA$4:$AA$207,MATCH($B58,'Challan Master'!$S$4:$S$207,0)),""))</f>
      </c>
    </row>
    <row r="59" spans="1:22" x14ac:dyDescent="0.25">
      <c r="A59" s="7">
        <f>IF($C59="","",COUNTIF($C$4:$C59,"&lt;&gt;"))</f>
      </c>
      <c r="B59" s="8"/>
      <c r="C59" s="8"/>
      <c r="D59" s="8"/>
      <c r="E59" s="7">
        <f>IF($C59="","",IF(AND(LEN(TRIM(UPPER(D59)))=10,CODE(MID(TRIM(UPPER(D59)),1,1))&gt;=65,CODE(MID(TRIM(UPPER(D59)),1,1))&lt;=90,CODE(MID(TRIM(UPPER(D59)),2,1))&gt;=65,CODE(MID(TRIM(UPPER(D59)),2,1))&lt;=90,CODE(MID(TRIM(UPPER(D59)),3,1))&gt;=65,CODE(MID(TRIM(UPPER(D59)),3,1))&lt;=90,CODE(MID(TRIM(UPPER(D59)),4,1))&gt;=65,CODE(MID(TRIM(UPPER(D59)),4,1))&lt;=90,CODE(MID(TRIM(UPPER(D59)),5,1))&gt;=65,CODE(MID(TRIM(UPPER(D59)),5,1))&lt;=90,CODE(MID(TRIM(UPPER(D59)),10,1))&gt;=65,CODE(MID(TRIM(UPPER(D59)),10,1))&lt;=90,CODE(MID(TRIM(UPPER(D59)),6,1))&gt;=48,CODE(MID(TRIM(UPPER(D59)),6,1))&lt;=57,CODE(MID(TRIM(UPPER(D59)),7,1))&gt;=48,CODE(MID(TRIM(UPPER(D59)),7,1))&lt;=57,CODE(MID(TRIM(UPPER(D59)),8,1))&gt;=48,CODE(MID(TRIM(UPPER(D59)),8,1))&lt;=57,CODE(MID(TRIM(UPPER(D59)),9,1))&gt;=48,CODE(MID(TRIM(UPPER(D59)),9,1))&lt;=57),"N","Y"))</f>
      </c>
      <c r="F59" s="7">
        <f>IF($C59="","",IF(LEN(D59)&lt;4,"",IF(UPPER(MID(D59,4,1))="P","Individual",IF(UPPER(MID(D59,4,1))="H","HUF",IF(UPPER(MID(D59,4,1))="C","Company",IF(UPPER(MID(D59,4,1))="F","Firm",IF(UPPER(MID(D59,4,1))="L","LLP",IF(UPPER(MID(D59,4,1))="T","Trust",IF(UPPER(MID(D59,4,1))="A","AOP","")))))))))</f>
      </c>
      <c r="G59" s="8"/>
      <c r="H59" s="7">
        <f>IF($C59="","",IF(R59&lt;&gt;"",R59,IF(G59="","",IF(E59="Y",SUMPRODUCT(('Rate Lookup'!$A$1:$A$37=G59)*'Rate Lookup'!$D$1:$D$37),IF(OR(F59="Individual",F59="HUF"),SUMPRODUCT(('Rate Lookup'!$A$1:$A$37=G59)*'Rate Lookup'!$B$1:$B$37),SUMPRODUCT(('Rate Lookup'!$A$1:$A$37=G59)*'Rate Lookup'!$C$1:$C$37)))))))</f>
      </c>
      <c r="I59" s="8"/>
      <c r="J59" s="8"/>
      <c r="K59" s="7">
        <f>IF($C59="","",IF(OR(P59="B",P59="D",P59="E",P59="N",P59="O",P59="P",P59="Q",P59="S",P59="Y",P59="Z"),0,ROUND(J59*H59/100,0)))</f>
      </c>
      <c r="L59" s="7">
        <f>IF($C59="","",0)</f>
      </c>
      <c r="M59" s="7">
        <f>IF($C59="","",0)</f>
      </c>
      <c r="N59" s="7">
        <f>IF($C59="","",IF(OR(K59=0,I59="",IFERROR(INDEX('Challan Master'!$D$4:$D$207,MATCH($B59,'Challan Master'!$S$4:$S$207,0)),"")="",IFERROR(INDEX('Challan Master'!$D$4:$D$207,MATCH($B59,'Challan Master'!$S$4:$S$207,0)),"")&lt;=0),0,IF(IFERROR(INDEX('Challan Master'!$D$4:$D$207,MATCH($B59,'Challan Master'!$S$4:$S$207,0)),"")&lt;=DATE(YEAR(I59),MONTH(I59)+1,7),0,ROUND(K59*0.015*((YEAR(IFERROR(INDEX('Challan Master'!$D$4:$D$207,MATCH($B59,'Challan Master'!$S$4:$S$207,0)),""))-YEAR(I59))*12+(MONTH(IFERROR(INDEX('Challan Master'!$D$4:$D$207,MATCH($B59,'Challan Master'!$S$4:$S$207,0)),""))-MONTH(I59))+1),0))))</f>
      </c>
      <c r="O59" s="7">
        <f>IF($C59="","",0)</f>
      </c>
      <c r="P59" s="8"/>
      <c r="Q59" s="8"/>
      <c r="R59" s="8"/>
      <c r="S59" s="8"/>
      <c r="T59" s="8"/>
      <c r="U59" s="7">
        <f>IF($B59="","",IFERROR(INDEX('Challan Master'!$AA$4:$AA$207,MATCH($B59,'Challan Master'!$S$4:$S$207,0)),""))</f>
      </c>
    </row>
    <row r="60" spans="1:22" x14ac:dyDescent="0.25">
      <c r="A60" s="7">
        <f>IF($C60="","",COUNTIF($C$4:$C60,"&lt;&gt;"))</f>
      </c>
      <c r="B60" s="8"/>
      <c r="C60" s="8"/>
      <c r="D60" s="8"/>
      <c r="E60" s="7">
        <f>IF($C60="","",IF(AND(LEN(TRIM(UPPER(D60)))=10,CODE(MID(TRIM(UPPER(D60)),1,1))&gt;=65,CODE(MID(TRIM(UPPER(D60)),1,1))&lt;=90,CODE(MID(TRIM(UPPER(D60)),2,1))&gt;=65,CODE(MID(TRIM(UPPER(D60)),2,1))&lt;=90,CODE(MID(TRIM(UPPER(D60)),3,1))&gt;=65,CODE(MID(TRIM(UPPER(D60)),3,1))&lt;=90,CODE(MID(TRIM(UPPER(D60)),4,1))&gt;=65,CODE(MID(TRIM(UPPER(D60)),4,1))&lt;=90,CODE(MID(TRIM(UPPER(D60)),5,1))&gt;=65,CODE(MID(TRIM(UPPER(D60)),5,1))&lt;=90,CODE(MID(TRIM(UPPER(D60)),10,1))&gt;=65,CODE(MID(TRIM(UPPER(D60)),10,1))&lt;=90,CODE(MID(TRIM(UPPER(D60)),6,1))&gt;=48,CODE(MID(TRIM(UPPER(D60)),6,1))&lt;=57,CODE(MID(TRIM(UPPER(D60)),7,1))&gt;=48,CODE(MID(TRIM(UPPER(D60)),7,1))&lt;=57,CODE(MID(TRIM(UPPER(D60)),8,1))&gt;=48,CODE(MID(TRIM(UPPER(D60)),8,1))&lt;=57,CODE(MID(TRIM(UPPER(D60)),9,1))&gt;=48,CODE(MID(TRIM(UPPER(D60)),9,1))&lt;=57),"N","Y"))</f>
      </c>
      <c r="F60" s="7">
        <f>IF($C60="","",IF(LEN(D60)&lt;4,"",IF(UPPER(MID(D60,4,1))="P","Individual",IF(UPPER(MID(D60,4,1))="H","HUF",IF(UPPER(MID(D60,4,1))="C","Company",IF(UPPER(MID(D60,4,1))="F","Firm",IF(UPPER(MID(D60,4,1))="L","LLP",IF(UPPER(MID(D60,4,1))="T","Trust",IF(UPPER(MID(D60,4,1))="A","AOP","")))))))))</f>
      </c>
      <c r="G60" s="8"/>
      <c r="H60" s="7">
        <f>IF($C60="","",IF(R60&lt;&gt;"",R60,IF(G60="","",IF(E60="Y",SUMPRODUCT(('Rate Lookup'!$A$1:$A$37=G60)*'Rate Lookup'!$D$1:$D$37),IF(OR(F60="Individual",F60="HUF"),SUMPRODUCT(('Rate Lookup'!$A$1:$A$37=G60)*'Rate Lookup'!$B$1:$B$37),SUMPRODUCT(('Rate Lookup'!$A$1:$A$37=G60)*'Rate Lookup'!$C$1:$C$37)))))))</f>
      </c>
      <c r="I60" s="8"/>
      <c r="J60" s="8"/>
      <c r="K60" s="7">
        <f>IF($C60="","",IF(OR(P60="B",P60="D",P60="E",P60="N",P60="O",P60="P",P60="Q",P60="S",P60="Y",P60="Z"),0,ROUND(J60*H60/100,0)))</f>
      </c>
      <c r="L60" s="7">
        <f>IF($C60="","",0)</f>
      </c>
      <c r="M60" s="7">
        <f>IF($C60="","",0)</f>
      </c>
      <c r="N60" s="7">
        <f>IF($C60="","",IF(OR(K60=0,I60="",IFERROR(INDEX('Challan Master'!$D$4:$D$207,MATCH($B60,'Challan Master'!$S$4:$S$207,0)),"")="",IFERROR(INDEX('Challan Master'!$D$4:$D$207,MATCH($B60,'Challan Master'!$S$4:$S$207,0)),"")&lt;=0),0,IF(IFERROR(INDEX('Challan Master'!$D$4:$D$207,MATCH($B60,'Challan Master'!$S$4:$S$207,0)),"")&lt;=DATE(YEAR(I60),MONTH(I60)+1,7),0,ROUND(K60*0.015*((YEAR(IFERROR(INDEX('Challan Master'!$D$4:$D$207,MATCH($B60,'Challan Master'!$S$4:$S$207,0)),""))-YEAR(I60))*12+(MONTH(IFERROR(INDEX('Challan Master'!$D$4:$D$207,MATCH($B60,'Challan Master'!$S$4:$S$207,0)),""))-MONTH(I60))+1),0))))</f>
      </c>
      <c r="O60" s="7">
        <f>IF($C60="","",0)</f>
      </c>
      <c r="P60" s="8"/>
      <c r="Q60" s="8"/>
      <c r="R60" s="8"/>
      <c r="S60" s="8"/>
      <c r="T60" s="8"/>
      <c r="U60" s="7">
        <f>IF($B60="","",IFERROR(INDEX('Challan Master'!$AA$4:$AA$207,MATCH($B60,'Challan Master'!$S$4:$S$207,0)),""))</f>
      </c>
    </row>
    <row r="61" spans="1:22" x14ac:dyDescent="0.25">
      <c r="A61" s="7">
        <f>IF($C61="","",COUNTIF($C$4:$C61,"&lt;&gt;"))</f>
      </c>
      <c r="B61" s="8"/>
      <c r="C61" s="8"/>
      <c r="D61" s="8"/>
      <c r="E61" s="7">
        <f>IF($C61="","",IF(AND(LEN(TRIM(UPPER(D61)))=10,CODE(MID(TRIM(UPPER(D61)),1,1))&gt;=65,CODE(MID(TRIM(UPPER(D61)),1,1))&lt;=90,CODE(MID(TRIM(UPPER(D61)),2,1))&gt;=65,CODE(MID(TRIM(UPPER(D61)),2,1))&lt;=90,CODE(MID(TRIM(UPPER(D61)),3,1))&gt;=65,CODE(MID(TRIM(UPPER(D61)),3,1))&lt;=90,CODE(MID(TRIM(UPPER(D61)),4,1))&gt;=65,CODE(MID(TRIM(UPPER(D61)),4,1))&lt;=90,CODE(MID(TRIM(UPPER(D61)),5,1))&gt;=65,CODE(MID(TRIM(UPPER(D61)),5,1))&lt;=90,CODE(MID(TRIM(UPPER(D61)),10,1))&gt;=65,CODE(MID(TRIM(UPPER(D61)),10,1))&lt;=90,CODE(MID(TRIM(UPPER(D61)),6,1))&gt;=48,CODE(MID(TRIM(UPPER(D61)),6,1))&lt;=57,CODE(MID(TRIM(UPPER(D61)),7,1))&gt;=48,CODE(MID(TRIM(UPPER(D61)),7,1))&lt;=57,CODE(MID(TRIM(UPPER(D61)),8,1))&gt;=48,CODE(MID(TRIM(UPPER(D61)),8,1))&lt;=57,CODE(MID(TRIM(UPPER(D61)),9,1))&gt;=48,CODE(MID(TRIM(UPPER(D61)),9,1))&lt;=57),"N","Y"))</f>
      </c>
      <c r="F61" s="7">
        <f>IF($C61="","",IF(LEN(D61)&lt;4,"",IF(UPPER(MID(D61,4,1))="P","Individual",IF(UPPER(MID(D61,4,1))="H","HUF",IF(UPPER(MID(D61,4,1))="C","Company",IF(UPPER(MID(D61,4,1))="F","Firm",IF(UPPER(MID(D61,4,1))="L","LLP",IF(UPPER(MID(D61,4,1))="T","Trust",IF(UPPER(MID(D61,4,1))="A","AOP","")))))))))</f>
      </c>
      <c r="G61" s="8"/>
      <c r="H61" s="7">
        <f>IF($C61="","",IF(R61&lt;&gt;"",R61,IF(G61="","",IF(E61="Y",SUMPRODUCT(('Rate Lookup'!$A$1:$A$37=G61)*'Rate Lookup'!$D$1:$D$37),IF(OR(F61="Individual",F61="HUF"),SUMPRODUCT(('Rate Lookup'!$A$1:$A$37=G61)*'Rate Lookup'!$B$1:$B$37),SUMPRODUCT(('Rate Lookup'!$A$1:$A$37=G61)*'Rate Lookup'!$C$1:$C$37)))))))</f>
      </c>
      <c r="I61" s="8"/>
      <c r="J61" s="8"/>
      <c r="K61" s="7">
        <f>IF($C61="","",IF(OR(P61="B",P61="D",P61="E",P61="N",P61="O",P61="P",P61="Q",P61="S",P61="Y",P61="Z"),0,ROUND(J61*H61/100,0)))</f>
      </c>
      <c r="L61" s="7">
        <f>IF($C61="","",0)</f>
      </c>
      <c r="M61" s="7">
        <f>IF($C61="","",0)</f>
      </c>
      <c r="N61" s="7">
        <f>IF($C61="","",IF(OR(K61=0,I61="",IFERROR(INDEX('Challan Master'!$D$4:$D$207,MATCH($B61,'Challan Master'!$S$4:$S$207,0)),"")="",IFERROR(INDEX('Challan Master'!$D$4:$D$207,MATCH($B61,'Challan Master'!$S$4:$S$207,0)),"")&lt;=0),0,IF(IFERROR(INDEX('Challan Master'!$D$4:$D$207,MATCH($B61,'Challan Master'!$S$4:$S$207,0)),"")&lt;=DATE(YEAR(I61),MONTH(I61)+1,7),0,ROUND(K61*0.015*((YEAR(IFERROR(INDEX('Challan Master'!$D$4:$D$207,MATCH($B61,'Challan Master'!$S$4:$S$207,0)),""))-YEAR(I61))*12+(MONTH(IFERROR(INDEX('Challan Master'!$D$4:$D$207,MATCH($B61,'Challan Master'!$S$4:$S$207,0)),""))-MONTH(I61))+1),0))))</f>
      </c>
      <c r="O61" s="7">
        <f>IF($C61="","",0)</f>
      </c>
      <c r="P61" s="8"/>
      <c r="Q61" s="8"/>
      <c r="R61" s="8"/>
      <c r="S61" s="8"/>
      <c r="T61" s="8"/>
      <c r="U61" s="7">
        <f>IF($B61="","",IFERROR(INDEX('Challan Master'!$AA$4:$AA$207,MATCH($B61,'Challan Master'!$S$4:$S$207,0)),""))</f>
      </c>
    </row>
    <row r="62" spans="1:22" x14ac:dyDescent="0.25">
      <c r="A62" s="7">
        <f>IF($C62="","",COUNTIF($C$4:$C62,"&lt;&gt;"))</f>
      </c>
      <c r="B62" s="8"/>
      <c r="C62" s="8"/>
      <c r="D62" s="8"/>
      <c r="E62" s="7">
        <f>IF($C62="","",IF(AND(LEN(TRIM(UPPER(D62)))=10,CODE(MID(TRIM(UPPER(D62)),1,1))&gt;=65,CODE(MID(TRIM(UPPER(D62)),1,1))&lt;=90,CODE(MID(TRIM(UPPER(D62)),2,1))&gt;=65,CODE(MID(TRIM(UPPER(D62)),2,1))&lt;=90,CODE(MID(TRIM(UPPER(D62)),3,1))&gt;=65,CODE(MID(TRIM(UPPER(D62)),3,1))&lt;=90,CODE(MID(TRIM(UPPER(D62)),4,1))&gt;=65,CODE(MID(TRIM(UPPER(D62)),4,1))&lt;=90,CODE(MID(TRIM(UPPER(D62)),5,1))&gt;=65,CODE(MID(TRIM(UPPER(D62)),5,1))&lt;=90,CODE(MID(TRIM(UPPER(D62)),10,1))&gt;=65,CODE(MID(TRIM(UPPER(D62)),10,1))&lt;=90,CODE(MID(TRIM(UPPER(D62)),6,1))&gt;=48,CODE(MID(TRIM(UPPER(D62)),6,1))&lt;=57,CODE(MID(TRIM(UPPER(D62)),7,1))&gt;=48,CODE(MID(TRIM(UPPER(D62)),7,1))&lt;=57,CODE(MID(TRIM(UPPER(D62)),8,1))&gt;=48,CODE(MID(TRIM(UPPER(D62)),8,1))&lt;=57,CODE(MID(TRIM(UPPER(D62)),9,1))&gt;=48,CODE(MID(TRIM(UPPER(D62)),9,1))&lt;=57),"N","Y"))</f>
      </c>
      <c r="F62" s="7">
        <f>IF($C62="","",IF(LEN(D62)&lt;4,"",IF(UPPER(MID(D62,4,1))="P","Individual",IF(UPPER(MID(D62,4,1))="H","HUF",IF(UPPER(MID(D62,4,1))="C","Company",IF(UPPER(MID(D62,4,1))="F","Firm",IF(UPPER(MID(D62,4,1))="L","LLP",IF(UPPER(MID(D62,4,1))="T","Trust",IF(UPPER(MID(D62,4,1))="A","AOP","")))))))))</f>
      </c>
      <c r="G62" s="8"/>
      <c r="H62" s="7">
        <f>IF($C62="","",IF(R62&lt;&gt;"",R62,IF(G62="","",IF(E62="Y",SUMPRODUCT(('Rate Lookup'!$A$1:$A$37=G62)*'Rate Lookup'!$D$1:$D$37),IF(OR(F62="Individual",F62="HUF"),SUMPRODUCT(('Rate Lookup'!$A$1:$A$37=G62)*'Rate Lookup'!$B$1:$B$37),SUMPRODUCT(('Rate Lookup'!$A$1:$A$37=G62)*'Rate Lookup'!$C$1:$C$37)))))))</f>
      </c>
      <c r="I62" s="8"/>
      <c r="J62" s="8"/>
      <c r="K62" s="7">
        <f>IF($C62="","",IF(OR(P62="B",P62="D",P62="E",P62="N",P62="O",P62="P",P62="Q",P62="S",P62="Y",P62="Z"),0,ROUND(J62*H62/100,0)))</f>
      </c>
      <c r="L62" s="7">
        <f>IF($C62="","",0)</f>
      </c>
      <c r="M62" s="7">
        <f>IF($C62="","",0)</f>
      </c>
      <c r="N62" s="7">
        <f>IF($C62="","",IF(OR(K62=0,I62="",IFERROR(INDEX('Challan Master'!$D$4:$D$207,MATCH($B62,'Challan Master'!$S$4:$S$207,0)),"")="",IFERROR(INDEX('Challan Master'!$D$4:$D$207,MATCH($B62,'Challan Master'!$S$4:$S$207,0)),"")&lt;=0),0,IF(IFERROR(INDEX('Challan Master'!$D$4:$D$207,MATCH($B62,'Challan Master'!$S$4:$S$207,0)),"")&lt;=DATE(YEAR(I62),MONTH(I62)+1,7),0,ROUND(K62*0.015*((YEAR(IFERROR(INDEX('Challan Master'!$D$4:$D$207,MATCH($B62,'Challan Master'!$S$4:$S$207,0)),""))-YEAR(I62))*12+(MONTH(IFERROR(INDEX('Challan Master'!$D$4:$D$207,MATCH($B62,'Challan Master'!$S$4:$S$207,0)),""))-MONTH(I62))+1),0))))</f>
      </c>
      <c r="O62" s="7">
        <f>IF($C62="","",0)</f>
      </c>
      <c r="P62" s="8"/>
      <c r="Q62" s="8"/>
      <c r="R62" s="8"/>
      <c r="S62" s="8"/>
      <c r="T62" s="8"/>
      <c r="U62" s="7">
        <f>IF($B62="","",IFERROR(INDEX('Challan Master'!$AA$4:$AA$207,MATCH($B62,'Challan Master'!$S$4:$S$207,0)),""))</f>
      </c>
    </row>
    <row r="63" spans="1:22" x14ac:dyDescent="0.25">
      <c r="A63" s="7">
        <f>IF($C63="","",COUNTIF($C$4:$C63,"&lt;&gt;"))</f>
      </c>
      <c r="B63" s="8"/>
      <c r="C63" s="8"/>
      <c r="D63" s="8"/>
      <c r="E63" s="7">
        <f>IF($C63="","",IF(AND(LEN(TRIM(UPPER(D63)))=10,CODE(MID(TRIM(UPPER(D63)),1,1))&gt;=65,CODE(MID(TRIM(UPPER(D63)),1,1))&lt;=90,CODE(MID(TRIM(UPPER(D63)),2,1))&gt;=65,CODE(MID(TRIM(UPPER(D63)),2,1))&lt;=90,CODE(MID(TRIM(UPPER(D63)),3,1))&gt;=65,CODE(MID(TRIM(UPPER(D63)),3,1))&lt;=90,CODE(MID(TRIM(UPPER(D63)),4,1))&gt;=65,CODE(MID(TRIM(UPPER(D63)),4,1))&lt;=90,CODE(MID(TRIM(UPPER(D63)),5,1))&gt;=65,CODE(MID(TRIM(UPPER(D63)),5,1))&lt;=90,CODE(MID(TRIM(UPPER(D63)),10,1))&gt;=65,CODE(MID(TRIM(UPPER(D63)),10,1))&lt;=90,CODE(MID(TRIM(UPPER(D63)),6,1))&gt;=48,CODE(MID(TRIM(UPPER(D63)),6,1))&lt;=57,CODE(MID(TRIM(UPPER(D63)),7,1))&gt;=48,CODE(MID(TRIM(UPPER(D63)),7,1))&lt;=57,CODE(MID(TRIM(UPPER(D63)),8,1))&gt;=48,CODE(MID(TRIM(UPPER(D63)),8,1))&lt;=57,CODE(MID(TRIM(UPPER(D63)),9,1))&gt;=48,CODE(MID(TRIM(UPPER(D63)),9,1))&lt;=57),"N","Y"))</f>
      </c>
      <c r="F63" s="7">
        <f>IF($C63="","",IF(LEN(D63)&lt;4,"",IF(UPPER(MID(D63,4,1))="P","Individual",IF(UPPER(MID(D63,4,1))="H","HUF",IF(UPPER(MID(D63,4,1))="C","Company",IF(UPPER(MID(D63,4,1))="F","Firm",IF(UPPER(MID(D63,4,1))="L","LLP",IF(UPPER(MID(D63,4,1))="T","Trust",IF(UPPER(MID(D63,4,1))="A","AOP","")))))))))</f>
      </c>
      <c r="G63" s="8"/>
      <c r="H63" s="7">
        <f>IF($C63="","",IF(R63&lt;&gt;"",R63,IF(G63="","",IF(E63="Y",SUMPRODUCT(('Rate Lookup'!$A$1:$A$37=G63)*'Rate Lookup'!$D$1:$D$37),IF(OR(F63="Individual",F63="HUF"),SUMPRODUCT(('Rate Lookup'!$A$1:$A$37=G63)*'Rate Lookup'!$B$1:$B$37),SUMPRODUCT(('Rate Lookup'!$A$1:$A$37=G63)*'Rate Lookup'!$C$1:$C$37)))))))</f>
      </c>
      <c r="I63" s="8"/>
      <c r="J63" s="8"/>
      <c r="K63" s="7">
        <f>IF($C63="","",IF(OR(P63="B",P63="D",P63="E",P63="N",P63="O",P63="P",P63="Q",P63="S",P63="Y",P63="Z"),0,ROUND(J63*H63/100,0)))</f>
      </c>
      <c r="L63" s="7">
        <f>IF($C63="","",0)</f>
      </c>
      <c r="M63" s="7">
        <f>IF($C63="","",0)</f>
      </c>
      <c r="N63" s="7">
        <f>IF($C63="","",IF(OR(K63=0,I63="",IFERROR(INDEX('Challan Master'!$D$4:$D$207,MATCH($B63,'Challan Master'!$S$4:$S$207,0)),"")="",IFERROR(INDEX('Challan Master'!$D$4:$D$207,MATCH($B63,'Challan Master'!$S$4:$S$207,0)),"")&lt;=0),0,IF(IFERROR(INDEX('Challan Master'!$D$4:$D$207,MATCH($B63,'Challan Master'!$S$4:$S$207,0)),"")&lt;=DATE(YEAR(I63),MONTH(I63)+1,7),0,ROUND(K63*0.015*((YEAR(IFERROR(INDEX('Challan Master'!$D$4:$D$207,MATCH($B63,'Challan Master'!$S$4:$S$207,0)),""))-YEAR(I63))*12+(MONTH(IFERROR(INDEX('Challan Master'!$D$4:$D$207,MATCH($B63,'Challan Master'!$S$4:$S$207,0)),""))-MONTH(I63))+1),0))))</f>
      </c>
      <c r="O63" s="7">
        <f>IF($C63="","",0)</f>
      </c>
      <c r="P63" s="8"/>
      <c r="Q63" s="8"/>
      <c r="R63" s="8"/>
      <c r="S63" s="8"/>
      <c r="T63" s="8"/>
      <c r="U63" s="7">
        <f>IF($B63="","",IFERROR(INDEX('Challan Master'!$AA$4:$AA$207,MATCH($B63,'Challan Master'!$S$4:$S$207,0)),""))</f>
      </c>
    </row>
    <row r="64" spans="1:22" x14ac:dyDescent="0.25">
      <c r="A64" s="7">
        <f>IF($C64="","",COUNTIF($C$4:$C64,"&lt;&gt;"))</f>
      </c>
      <c r="B64" s="8"/>
      <c r="C64" s="8"/>
      <c r="D64" s="8"/>
      <c r="E64" s="7">
        <f>IF($C64="","",IF(AND(LEN(TRIM(UPPER(D64)))=10,CODE(MID(TRIM(UPPER(D64)),1,1))&gt;=65,CODE(MID(TRIM(UPPER(D64)),1,1))&lt;=90,CODE(MID(TRIM(UPPER(D64)),2,1))&gt;=65,CODE(MID(TRIM(UPPER(D64)),2,1))&lt;=90,CODE(MID(TRIM(UPPER(D64)),3,1))&gt;=65,CODE(MID(TRIM(UPPER(D64)),3,1))&lt;=90,CODE(MID(TRIM(UPPER(D64)),4,1))&gt;=65,CODE(MID(TRIM(UPPER(D64)),4,1))&lt;=90,CODE(MID(TRIM(UPPER(D64)),5,1))&gt;=65,CODE(MID(TRIM(UPPER(D64)),5,1))&lt;=90,CODE(MID(TRIM(UPPER(D64)),10,1))&gt;=65,CODE(MID(TRIM(UPPER(D64)),10,1))&lt;=90,CODE(MID(TRIM(UPPER(D64)),6,1))&gt;=48,CODE(MID(TRIM(UPPER(D64)),6,1))&lt;=57,CODE(MID(TRIM(UPPER(D64)),7,1))&gt;=48,CODE(MID(TRIM(UPPER(D64)),7,1))&lt;=57,CODE(MID(TRIM(UPPER(D64)),8,1))&gt;=48,CODE(MID(TRIM(UPPER(D64)),8,1))&lt;=57,CODE(MID(TRIM(UPPER(D64)),9,1))&gt;=48,CODE(MID(TRIM(UPPER(D64)),9,1))&lt;=57),"N","Y"))</f>
      </c>
      <c r="F64" s="7">
        <f>IF($C64="","",IF(LEN(D64)&lt;4,"",IF(UPPER(MID(D64,4,1))="P","Individual",IF(UPPER(MID(D64,4,1))="H","HUF",IF(UPPER(MID(D64,4,1))="C","Company",IF(UPPER(MID(D64,4,1))="F","Firm",IF(UPPER(MID(D64,4,1))="L","LLP",IF(UPPER(MID(D64,4,1))="T","Trust",IF(UPPER(MID(D64,4,1))="A","AOP","")))))))))</f>
      </c>
      <c r="G64" s="8"/>
      <c r="H64" s="7">
        <f>IF($C64="","",IF(R64&lt;&gt;"",R64,IF(G64="","",IF(E64="Y",SUMPRODUCT(('Rate Lookup'!$A$1:$A$37=G64)*'Rate Lookup'!$D$1:$D$37),IF(OR(F64="Individual",F64="HUF"),SUMPRODUCT(('Rate Lookup'!$A$1:$A$37=G64)*'Rate Lookup'!$B$1:$B$37),SUMPRODUCT(('Rate Lookup'!$A$1:$A$37=G64)*'Rate Lookup'!$C$1:$C$37)))))))</f>
      </c>
      <c r="I64" s="8"/>
      <c r="J64" s="8"/>
      <c r="K64" s="7">
        <f>IF($C64="","",IF(OR(P64="B",P64="D",P64="E",P64="N",P64="O",P64="P",P64="Q",P64="S",P64="Y",P64="Z"),0,ROUND(J64*H64/100,0)))</f>
      </c>
      <c r="L64" s="7">
        <f>IF($C64="","",0)</f>
      </c>
      <c r="M64" s="7">
        <f>IF($C64="","",0)</f>
      </c>
      <c r="N64" s="7">
        <f>IF($C64="","",IF(OR(K64=0,I64="",IFERROR(INDEX('Challan Master'!$D$4:$D$207,MATCH($B64,'Challan Master'!$S$4:$S$207,0)),"")="",IFERROR(INDEX('Challan Master'!$D$4:$D$207,MATCH($B64,'Challan Master'!$S$4:$S$207,0)),"")&lt;=0),0,IF(IFERROR(INDEX('Challan Master'!$D$4:$D$207,MATCH($B64,'Challan Master'!$S$4:$S$207,0)),"")&lt;=DATE(YEAR(I64),MONTH(I64)+1,7),0,ROUND(K64*0.015*((YEAR(IFERROR(INDEX('Challan Master'!$D$4:$D$207,MATCH($B64,'Challan Master'!$S$4:$S$207,0)),""))-YEAR(I64))*12+(MONTH(IFERROR(INDEX('Challan Master'!$D$4:$D$207,MATCH($B64,'Challan Master'!$S$4:$S$207,0)),""))-MONTH(I64))+1),0))))</f>
      </c>
      <c r="O64" s="7">
        <f>IF($C64="","",0)</f>
      </c>
      <c r="P64" s="8"/>
      <c r="Q64" s="8"/>
      <c r="R64" s="8"/>
      <c r="S64" s="8"/>
      <c r="T64" s="8"/>
      <c r="U64" s="7">
        <f>IF($B64="","",IFERROR(INDEX('Challan Master'!$AA$4:$AA$207,MATCH($B64,'Challan Master'!$S$4:$S$207,0)),""))</f>
      </c>
    </row>
    <row r="65" spans="1:22" x14ac:dyDescent="0.25">
      <c r="A65" s="7">
        <f>IF($C65="","",COUNTIF($C$4:$C65,"&lt;&gt;"))</f>
      </c>
      <c r="B65" s="8"/>
      <c r="C65" s="8"/>
      <c r="D65" s="8"/>
      <c r="E65" s="7">
        <f>IF($C65="","",IF(AND(LEN(TRIM(UPPER(D65)))=10,CODE(MID(TRIM(UPPER(D65)),1,1))&gt;=65,CODE(MID(TRIM(UPPER(D65)),1,1))&lt;=90,CODE(MID(TRIM(UPPER(D65)),2,1))&gt;=65,CODE(MID(TRIM(UPPER(D65)),2,1))&lt;=90,CODE(MID(TRIM(UPPER(D65)),3,1))&gt;=65,CODE(MID(TRIM(UPPER(D65)),3,1))&lt;=90,CODE(MID(TRIM(UPPER(D65)),4,1))&gt;=65,CODE(MID(TRIM(UPPER(D65)),4,1))&lt;=90,CODE(MID(TRIM(UPPER(D65)),5,1))&gt;=65,CODE(MID(TRIM(UPPER(D65)),5,1))&lt;=90,CODE(MID(TRIM(UPPER(D65)),10,1))&gt;=65,CODE(MID(TRIM(UPPER(D65)),10,1))&lt;=90,CODE(MID(TRIM(UPPER(D65)),6,1))&gt;=48,CODE(MID(TRIM(UPPER(D65)),6,1))&lt;=57,CODE(MID(TRIM(UPPER(D65)),7,1))&gt;=48,CODE(MID(TRIM(UPPER(D65)),7,1))&lt;=57,CODE(MID(TRIM(UPPER(D65)),8,1))&gt;=48,CODE(MID(TRIM(UPPER(D65)),8,1))&lt;=57,CODE(MID(TRIM(UPPER(D65)),9,1))&gt;=48,CODE(MID(TRIM(UPPER(D65)),9,1))&lt;=57),"N","Y"))</f>
      </c>
      <c r="F65" s="7">
        <f>IF($C65="","",IF(LEN(D65)&lt;4,"",IF(UPPER(MID(D65,4,1))="P","Individual",IF(UPPER(MID(D65,4,1))="H","HUF",IF(UPPER(MID(D65,4,1))="C","Company",IF(UPPER(MID(D65,4,1))="F","Firm",IF(UPPER(MID(D65,4,1))="L","LLP",IF(UPPER(MID(D65,4,1))="T","Trust",IF(UPPER(MID(D65,4,1))="A","AOP","")))))))))</f>
      </c>
      <c r="G65" s="8"/>
      <c r="H65" s="7">
        <f>IF($C65="","",IF(R65&lt;&gt;"",R65,IF(G65="","",IF(E65="Y",SUMPRODUCT(('Rate Lookup'!$A$1:$A$37=G65)*'Rate Lookup'!$D$1:$D$37),IF(OR(F65="Individual",F65="HUF"),SUMPRODUCT(('Rate Lookup'!$A$1:$A$37=G65)*'Rate Lookup'!$B$1:$B$37),SUMPRODUCT(('Rate Lookup'!$A$1:$A$37=G65)*'Rate Lookup'!$C$1:$C$37)))))))</f>
      </c>
      <c r="I65" s="8"/>
      <c r="J65" s="8"/>
      <c r="K65" s="7">
        <f>IF($C65="","",IF(OR(P65="B",P65="D",P65="E",P65="N",P65="O",P65="P",P65="Q",P65="S",P65="Y",P65="Z"),0,ROUND(J65*H65/100,0)))</f>
      </c>
      <c r="L65" s="7">
        <f>IF($C65="","",0)</f>
      </c>
      <c r="M65" s="7">
        <f>IF($C65="","",0)</f>
      </c>
      <c r="N65" s="7">
        <f>IF($C65="","",IF(OR(K65=0,I65="",IFERROR(INDEX('Challan Master'!$D$4:$D$207,MATCH($B65,'Challan Master'!$S$4:$S$207,0)),"")="",IFERROR(INDEX('Challan Master'!$D$4:$D$207,MATCH($B65,'Challan Master'!$S$4:$S$207,0)),"")&lt;=0),0,IF(IFERROR(INDEX('Challan Master'!$D$4:$D$207,MATCH($B65,'Challan Master'!$S$4:$S$207,0)),"")&lt;=DATE(YEAR(I65),MONTH(I65)+1,7),0,ROUND(K65*0.015*((YEAR(IFERROR(INDEX('Challan Master'!$D$4:$D$207,MATCH($B65,'Challan Master'!$S$4:$S$207,0)),""))-YEAR(I65))*12+(MONTH(IFERROR(INDEX('Challan Master'!$D$4:$D$207,MATCH($B65,'Challan Master'!$S$4:$S$207,0)),""))-MONTH(I65))+1),0))))</f>
      </c>
      <c r="O65" s="7">
        <f>IF($C65="","",0)</f>
      </c>
      <c r="P65" s="8"/>
      <c r="Q65" s="8"/>
      <c r="R65" s="8"/>
      <c r="S65" s="8"/>
      <c r="T65" s="8"/>
      <c r="U65" s="7">
        <f>IF($B65="","",IFERROR(INDEX('Challan Master'!$AA$4:$AA$207,MATCH($B65,'Challan Master'!$S$4:$S$207,0)),""))</f>
      </c>
    </row>
    <row r="66" spans="1:22" x14ac:dyDescent="0.25">
      <c r="A66" s="7">
        <f>IF($C66="","",COUNTIF($C$4:$C66,"&lt;&gt;"))</f>
      </c>
      <c r="B66" s="8"/>
      <c r="C66" s="8"/>
      <c r="D66" s="8"/>
      <c r="E66" s="7">
        <f>IF($C66="","",IF(AND(LEN(TRIM(UPPER(D66)))=10,CODE(MID(TRIM(UPPER(D66)),1,1))&gt;=65,CODE(MID(TRIM(UPPER(D66)),1,1))&lt;=90,CODE(MID(TRIM(UPPER(D66)),2,1))&gt;=65,CODE(MID(TRIM(UPPER(D66)),2,1))&lt;=90,CODE(MID(TRIM(UPPER(D66)),3,1))&gt;=65,CODE(MID(TRIM(UPPER(D66)),3,1))&lt;=90,CODE(MID(TRIM(UPPER(D66)),4,1))&gt;=65,CODE(MID(TRIM(UPPER(D66)),4,1))&lt;=90,CODE(MID(TRIM(UPPER(D66)),5,1))&gt;=65,CODE(MID(TRIM(UPPER(D66)),5,1))&lt;=90,CODE(MID(TRIM(UPPER(D66)),10,1))&gt;=65,CODE(MID(TRIM(UPPER(D66)),10,1))&lt;=90,CODE(MID(TRIM(UPPER(D66)),6,1))&gt;=48,CODE(MID(TRIM(UPPER(D66)),6,1))&lt;=57,CODE(MID(TRIM(UPPER(D66)),7,1))&gt;=48,CODE(MID(TRIM(UPPER(D66)),7,1))&lt;=57,CODE(MID(TRIM(UPPER(D66)),8,1))&gt;=48,CODE(MID(TRIM(UPPER(D66)),8,1))&lt;=57,CODE(MID(TRIM(UPPER(D66)),9,1))&gt;=48,CODE(MID(TRIM(UPPER(D66)),9,1))&lt;=57),"N","Y"))</f>
      </c>
      <c r="F66" s="7">
        <f>IF($C66="","",IF(LEN(D66)&lt;4,"",IF(UPPER(MID(D66,4,1))="P","Individual",IF(UPPER(MID(D66,4,1))="H","HUF",IF(UPPER(MID(D66,4,1))="C","Company",IF(UPPER(MID(D66,4,1))="F","Firm",IF(UPPER(MID(D66,4,1))="L","LLP",IF(UPPER(MID(D66,4,1))="T","Trust",IF(UPPER(MID(D66,4,1))="A","AOP","")))))))))</f>
      </c>
      <c r="G66" s="8"/>
      <c r="H66" s="7">
        <f>IF($C66="","",IF(R66&lt;&gt;"",R66,IF(G66="","",IF(E66="Y",SUMPRODUCT(('Rate Lookup'!$A$1:$A$37=G66)*'Rate Lookup'!$D$1:$D$37),IF(OR(F66="Individual",F66="HUF"),SUMPRODUCT(('Rate Lookup'!$A$1:$A$37=G66)*'Rate Lookup'!$B$1:$B$37),SUMPRODUCT(('Rate Lookup'!$A$1:$A$37=G66)*'Rate Lookup'!$C$1:$C$37)))))))</f>
      </c>
      <c r="I66" s="8"/>
      <c r="J66" s="8"/>
      <c r="K66" s="7">
        <f>IF($C66="","",IF(OR(P66="B",P66="D",P66="E",P66="N",P66="O",P66="P",P66="Q",P66="S",P66="Y",P66="Z"),0,ROUND(J66*H66/100,0)))</f>
      </c>
      <c r="L66" s="7">
        <f>IF($C66="","",0)</f>
      </c>
      <c r="M66" s="7">
        <f>IF($C66="","",0)</f>
      </c>
      <c r="N66" s="7">
        <f>IF($C66="","",IF(OR(K66=0,I66="",IFERROR(INDEX('Challan Master'!$D$4:$D$207,MATCH($B66,'Challan Master'!$S$4:$S$207,0)),"")="",IFERROR(INDEX('Challan Master'!$D$4:$D$207,MATCH($B66,'Challan Master'!$S$4:$S$207,0)),"")&lt;=0),0,IF(IFERROR(INDEX('Challan Master'!$D$4:$D$207,MATCH($B66,'Challan Master'!$S$4:$S$207,0)),"")&lt;=DATE(YEAR(I66),MONTH(I66)+1,7),0,ROUND(K66*0.015*((YEAR(IFERROR(INDEX('Challan Master'!$D$4:$D$207,MATCH($B66,'Challan Master'!$S$4:$S$207,0)),""))-YEAR(I66))*12+(MONTH(IFERROR(INDEX('Challan Master'!$D$4:$D$207,MATCH($B66,'Challan Master'!$S$4:$S$207,0)),""))-MONTH(I66))+1),0))))</f>
      </c>
      <c r="O66" s="7">
        <f>IF($C66="","",0)</f>
      </c>
      <c r="P66" s="8"/>
      <c r="Q66" s="8"/>
      <c r="R66" s="8"/>
      <c r="S66" s="8"/>
      <c r="T66" s="8"/>
      <c r="U66" s="7">
        <f>IF($B66="","",IFERROR(INDEX('Challan Master'!$AA$4:$AA$207,MATCH($B66,'Challan Master'!$S$4:$S$207,0)),""))</f>
      </c>
    </row>
    <row r="67" spans="1:22" x14ac:dyDescent="0.25">
      <c r="A67" s="7">
        <f>IF($C67="","",COUNTIF($C$4:$C67,"&lt;&gt;"))</f>
      </c>
      <c r="B67" s="8"/>
      <c r="C67" s="8"/>
      <c r="D67" s="8"/>
      <c r="E67" s="7">
        <f>IF($C67="","",IF(AND(LEN(TRIM(UPPER(D67)))=10,CODE(MID(TRIM(UPPER(D67)),1,1))&gt;=65,CODE(MID(TRIM(UPPER(D67)),1,1))&lt;=90,CODE(MID(TRIM(UPPER(D67)),2,1))&gt;=65,CODE(MID(TRIM(UPPER(D67)),2,1))&lt;=90,CODE(MID(TRIM(UPPER(D67)),3,1))&gt;=65,CODE(MID(TRIM(UPPER(D67)),3,1))&lt;=90,CODE(MID(TRIM(UPPER(D67)),4,1))&gt;=65,CODE(MID(TRIM(UPPER(D67)),4,1))&lt;=90,CODE(MID(TRIM(UPPER(D67)),5,1))&gt;=65,CODE(MID(TRIM(UPPER(D67)),5,1))&lt;=90,CODE(MID(TRIM(UPPER(D67)),10,1))&gt;=65,CODE(MID(TRIM(UPPER(D67)),10,1))&lt;=90,CODE(MID(TRIM(UPPER(D67)),6,1))&gt;=48,CODE(MID(TRIM(UPPER(D67)),6,1))&lt;=57,CODE(MID(TRIM(UPPER(D67)),7,1))&gt;=48,CODE(MID(TRIM(UPPER(D67)),7,1))&lt;=57,CODE(MID(TRIM(UPPER(D67)),8,1))&gt;=48,CODE(MID(TRIM(UPPER(D67)),8,1))&lt;=57,CODE(MID(TRIM(UPPER(D67)),9,1))&gt;=48,CODE(MID(TRIM(UPPER(D67)),9,1))&lt;=57),"N","Y"))</f>
      </c>
      <c r="F67" s="7">
        <f>IF($C67="","",IF(LEN(D67)&lt;4,"",IF(UPPER(MID(D67,4,1))="P","Individual",IF(UPPER(MID(D67,4,1))="H","HUF",IF(UPPER(MID(D67,4,1))="C","Company",IF(UPPER(MID(D67,4,1))="F","Firm",IF(UPPER(MID(D67,4,1))="L","LLP",IF(UPPER(MID(D67,4,1))="T","Trust",IF(UPPER(MID(D67,4,1))="A","AOP","")))))))))</f>
      </c>
      <c r="G67" s="8"/>
      <c r="H67" s="7">
        <f>IF($C67="","",IF(R67&lt;&gt;"",R67,IF(G67="","",IF(E67="Y",SUMPRODUCT(('Rate Lookup'!$A$1:$A$37=G67)*'Rate Lookup'!$D$1:$D$37),IF(OR(F67="Individual",F67="HUF"),SUMPRODUCT(('Rate Lookup'!$A$1:$A$37=G67)*'Rate Lookup'!$B$1:$B$37),SUMPRODUCT(('Rate Lookup'!$A$1:$A$37=G67)*'Rate Lookup'!$C$1:$C$37)))))))</f>
      </c>
      <c r="I67" s="8"/>
      <c r="J67" s="8"/>
      <c r="K67" s="7">
        <f>IF($C67="","",IF(OR(P67="B",P67="D",P67="E",P67="N",P67="O",P67="P",P67="Q",P67="S",P67="Y",P67="Z"),0,ROUND(J67*H67/100,0)))</f>
      </c>
      <c r="L67" s="7">
        <f>IF($C67="","",0)</f>
      </c>
      <c r="M67" s="7">
        <f>IF($C67="","",0)</f>
      </c>
      <c r="N67" s="7">
        <f>IF($C67="","",IF(OR(K67=0,I67="",IFERROR(INDEX('Challan Master'!$D$4:$D$207,MATCH($B67,'Challan Master'!$S$4:$S$207,0)),"")="",IFERROR(INDEX('Challan Master'!$D$4:$D$207,MATCH($B67,'Challan Master'!$S$4:$S$207,0)),"")&lt;=0),0,IF(IFERROR(INDEX('Challan Master'!$D$4:$D$207,MATCH($B67,'Challan Master'!$S$4:$S$207,0)),"")&lt;=DATE(YEAR(I67),MONTH(I67)+1,7),0,ROUND(K67*0.015*((YEAR(IFERROR(INDEX('Challan Master'!$D$4:$D$207,MATCH($B67,'Challan Master'!$S$4:$S$207,0)),""))-YEAR(I67))*12+(MONTH(IFERROR(INDEX('Challan Master'!$D$4:$D$207,MATCH($B67,'Challan Master'!$S$4:$S$207,0)),""))-MONTH(I67))+1),0))))</f>
      </c>
      <c r="O67" s="7">
        <f>IF($C67="","",0)</f>
      </c>
      <c r="P67" s="8"/>
      <c r="Q67" s="8"/>
      <c r="R67" s="8"/>
      <c r="S67" s="8"/>
      <c r="T67" s="8"/>
      <c r="U67" s="7">
        <f>IF($B67="","",IFERROR(INDEX('Challan Master'!$AA$4:$AA$207,MATCH($B67,'Challan Master'!$S$4:$S$207,0)),""))</f>
      </c>
    </row>
    <row r="68" spans="1:22" x14ac:dyDescent="0.25">
      <c r="A68" s="7">
        <f>IF($C68="","",COUNTIF($C$4:$C68,"&lt;&gt;"))</f>
      </c>
      <c r="B68" s="8"/>
      <c r="C68" s="8"/>
      <c r="D68" s="8"/>
      <c r="E68" s="7">
        <f>IF($C68="","",IF(AND(LEN(TRIM(UPPER(D68)))=10,CODE(MID(TRIM(UPPER(D68)),1,1))&gt;=65,CODE(MID(TRIM(UPPER(D68)),1,1))&lt;=90,CODE(MID(TRIM(UPPER(D68)),2,1))&gt;=65,CODE(MID(TRIM(UPPER(D68)),2,1))&lt;=90,CODE(MID(TRIM(UPPER(D68)),3,1))&gt;=65,CODE(MID(TRIM(UPPER(D68)),3,1))&lt;=90,CODE(MID(TRIM(UPPER(D68)),4,1))&gt;=65,CODE(MID(TRIM(UPPER(D68)),4,1))&lt;=90,CODE(MID(TRIM(UPPER(D68)),5,1))&gt;=65,CODE(MID(TRIM(UPPER(D68)),5,1))&lt;=90,CODE(MID(TRIM(UPPER(D68)),10,1))&gt;=65,CODE(MID(TRIM(UPPER(D68)),10,1))&lt;=90,CODE(MID(TRIM(UPPER(D68)),6,1))&gt;=48,CODE(MID(TRIM(UPPER(D68)),6,1))&lt;=57,CODE(MID(TRIM(UPPER(D68)),7,1))&gt;=48,CODE(MID(TRIM(UPPER(D68)),7,1))&lt;=57,CODE(MID(TRIM(UPPER(D68)),8,1))&gt;=48,CODE(MID(TRIM(UPPER(D68)),8,1))&lt;=57,CODE(MID(TRIM(UPPER(D68)),9,1))&gt;=48,CODE(MID(TRIM(UPPER(D68)),9,1))&lt;=57),"N","Y"))</f>
      </c>
      <c r="F68" s="7">
        <f>IF($C68="","",IF(LEN(D68)&lt;4,"",IF(UPPER(MID(D68,4,1))="P","Individual",IF(UPPER(MID(D68,4,1))="H","HUF",IF(UPPER(MID(D68,4,1))="C","Company",IF(UPPER(MID(D68,4,1))="F","Firm",IF(UPPER(MID(D68,4,1))="L","LLP",IF(UPPER(MID(D68,4,1))="T","Trust",IF(UPPER(MID(D68,4,1))="A","AOP","")))))))))</f>
      </c>
      <c r="G68" s="8"/>
      <c r="H68" s="7">
        <f>IF($C68="","",IF(R68&lt;&gt;"",R68,IF(G68="","",IF(E68="Y",SUMPRODUCT(('Rate Lookup'!$A$1:$A$37=G68)*'Rate Lookup'!$D$1:$D$37),IF(OR(F68="Individual",F68="HUF"),SUMPRODUCT(('Rate Lookup'!$A$1:$A$37=G68)*'Rate Lookup'!$B$1:$B$37),SUMPRODUCT(('Rate Lookup'!$A$1:$A$37=G68)*'Rate Lookup'!$C$1:$C$37)))))))</f>
      </c>
      <c r="I68" s="8"/>
      <c r="J68" s="8"/>
      <c r="K68" s="7">
        <f>IF($C68="","",IF(OR(P68="B",P68="D",P68="E",P68="N",P68="O",P68="P",P68="Q",P68="S",P68="Y",P68="Z"),0,ROUND(J68*H68/100,0)))</f>
      </c>
      <c r="L68" s="7">
        <f>IF($C68="","",0)</f>
      </c>
      <c r="M68" s="7">
        <f>IF($C68="","",0)</f>
      </c>
      <c r="N68" s="7">
        <f>IF($C68="","",IF(OR(K68=0,I68="",IFERROR(INDEX('Challan Master'!$D$4:$D$207,MATCH($B68,'Challan Master'!$S$4:$S$207,0)),"")="",IFERROR(INDEX('Challan Master'!$D$4:$D$207,MATCH($B68,'Challan Master'!$S$4:$S$207,0)),"")&lt;=0),0,IF(IFERROR(INDEX('Challan Master'!$D$4:$D$207,MATCH($B68,'Challan Master'!$S$4:$S$207,0)),"")&lt;=DATE(YEAR(I68),MONTH(I68)+1,7),0,ROUND(K68*0.015*((YEAR(IFERROR(INDEX('Challan Master'!$D$4:$D$207,MATCH($B68,'Challan Master'!$S$4:$S$207,0)),""))-YEAR(I68))*12+(MONTH(IFERROR(INDEX('Challan Master'!$D$4:$D$207,MATCH($B68,'Challan Master'!$S$4:$S$207,0)),""))-MONTH(I68))+1),0))))</f>
      </c>
      <c r="O68" s="7">
        <f>IF($C68="","",0)</f>
      </c>
      <c r="P68" s="8"/>
      <c r="Q68" s="8"/>
      <c r="R68" s="8"/>
      <c r="S68" s="8"/>
      <c r="T68" s="8"/>
      <c r="U68" s="7">
        <f>IF($B68="","",IFERROR(INDEX('Challan Master'!$AA$4:$AA$207,MATCH($B68,'Challan Master'!$S$4:$S$207,0)),""))</f>
      </c>
    </row>
    <row r="69" spans="1:22" x14ac:dyDescent="0.25">
      <c r="A69" s="7">
        <f>IF($C69="","",COUNTIF($C$4:$C69,"&lt;&gt;"))</f>
      </c>
      <c r="B69" s="8"/>
      <c r="C69" s="8"/>
      <c r="D69" s="8"/>
      <c r="E69" s="7">
        <f>IF($C69="","",IF(AND(LEN(TRIM(UPPER(D69)))=10,CODE(MID(TRIM(UPPER(D69)),1,1))&gt;=65,CODE(MID(TRIM(UPPER(D69)),1,1))&lt;=90,CODE(MID(TRIM(UPPER(D69)),2,1))&gt;=65,CODE(MID(TRIM(UPPER(D69)),2,1))&lt;=90,CODE(MID(TRIM(UPPER(D69)),3,1))&gt;=65,CODE(MID(TRIM(UPPER(D69)),3,1))&lt;=90,CODE(MID(TRIM(UPPER(D69)),4,1))&gt;=65,CODE(MID(TRIM(UPPER(D69)),4,1))&lt;=90,CODE(MID(TRIM(UPPER(D69)),5,1))&gt;=65,CODE(MID(TRIM(UPPER(D69)),5,1))&lt;=90,CODE(MID(TRIM(UPPER(D69)),10,1))&gt;=65,CODE(MID(TRIM(UPPER(D69)),10,1))&lt;=90,CODE(MID(TRIM(UPPER(D69)),6,1))&gt;=48,CODE(MID(TRIM(UPPER(D69)),6,1))&lt;=57,CODE(MID(TRIM(UPPER(D69)),7,1))&gt;=48,CODE(MID(TRIM(UPPER(D69)),7,1))&lt;=57,CODE(MID(TRIM(UPPER(D69)),8,1))&gt;=48,CODE(MID(TRIM(UPPER(D69)),8,1))&lt;=57,CODE(MID(TRIM(UPPER(D69)),9,1))&gt;=48,CODE(MID(TRIM(UPPER(D69)),9,1))&lt;=57),"N","Y"))</f>
      </c>
      <c r="F69" s="7">
        <f>IF($C69="","",IF(LEN(D69)&lt;4,"",IF(UPPER(MID(D69,4,1))="P","Individual",IF(UPPER(MID(D69,4,1))="H","HUF",IF(UPPER(MID(D69,4,1))="C","Company",IF(UPPER(MID(D69,4,1))="F","Firm",IF(UPPER(MID(D69,4,1))="L","LLP",IF(UPPER(MID(D69,4,1))="T","Trust",IF(UPPER(MID(D69,4,1))="A","AOP","")))))))))</f>
      </c>
      <c r="G69" s="8"/>
      <c r="H69" s="7">
        <f>IF($C69="","",IF(R69&lt;&gt;"",R69,IF(G69="","",IF(E69="Y",SUMPRODUCT(('Rate Lookup'!$A$1:$A$37=G69)*'Rate Lookup'!$D$1:$D$37),IF(OR(F69="Individual",F69="HUF"),SUMPRODUCT(('Rate Lookup'!$A$1:$A$37=G69)*'Rate Lookup'!$B$1:$B$37),SUMPRODUCT(('Rate Lookup'!$A$1:$A$37=G69)*'Rate Lookup'!$C$1:$C$37)))))))</f>
      </c>
      <c r="I69" s="8"/>
      <c r="J69" s="8"/>
      <c r="K69" s="7">
        <f>IF($C69="","",IF(OR(P69="B",P69="D",P69="E",P69="N",P69="O",P69="P",P69="Q",P69="S",P69="Y",P69="Z"),0,ROUND(J69*H69/100,0)))</f>
      </c>
      <c r="L69" s="7">
        <f>IF($C69="","",0)</f>
      </c>
      <c r="M69" s="7">
        <f>IF($C69="","",0)</f>
      </c>
      <c r="N69" s="7">
        <f>IF($C69="","",IF(OR(K69=0,I69="",IFERROR(INDEX('Challan Master'!$D$4:$D$207,MATCH($B69,'Challan Master'!$S$4:$S$207,0)),"")="",IFERROR(INDEX('Challan Master'!$D$4:$D$207,MATCH($B69,'Challan Master'!$S$4:$S$207,0)),"")&lt;=0),0,IF(IFERROR(INDEX('Challan Master'!$D$4:$D$207,MATCH($B69,'Challan Master'!$S$4:$S$207,0)),"")&lt;=DATE(YEAR(I69),MONTH(I69)+1,7),0,ROUND(K69*0.015*((YEAR(IFERROR(INDEX('Challan Master'!$D$4:$D$207,MATCH($B69,'Challan Master'!$S$4:$S$207,0)),""))-YEAR(I69))*12+(MONTH(IFERROR(INDEX('Challan Master'!$D$4:$D$207,MATCH($B69,'Challan Master'!$S$4:$S$207,0)),""))-MONTH(I69))+1),0))))</f>
      </c>
      <c r="O69" s="7">
        <f>IF($C69="","",0)</f>
      </c>
      <c r="P69" s="8"/>
      <c r="Q69" s="8"/>
      <c r="R69" s="8"/>
      <c r="S69" s="8"/>
      <c r="T69" s="8"/>
      <c r="U69" s="7">
        <f>IF($B69="","",IFERROR(INDEX('Challan Master'!$AA$4:$AA$207,MATCH($B69,'Challan Master'!$S$4:$S$207,0)),""))</f>
      </c>
    </row>
    <row r="70" spans="1:22" x14ac:dyDescent="0.25">
      <c r="A70" s="7">
        <f>IF($C70="","",COUNTIF($C$4:$C70,"&lt;&gt;"))</f>
      </c>
      <c r="B70" s="8"/>
      <c r="C70" s="8"/>
      <c r="D70" s="8"/>
      <c r="E70" s="7">
        <f>IF($C70="","",IF(AND(LEN(TRIM(UPPER(D70)))=10,CODE(MID(TRIM(UPPER(D70)),1,1))&gt;=65,CODE(MID(TRIM(UPPER(D70)),1,1))&lt;=90,CODE(MID(TRIM(UPPER(D70)),2,1))&gt;=65,CODE(MID(TRIM(UPPER(D70)),2,1))&lt;=90,CODE(MID(TRIM(UPPER(D70)),3,1))&gt;=65,CODE(MID(TRIM(UPPER(D70)),3,1))&lt;=90,CODE(MID(TRIM(UPPER(D70)),4,1))&gt;=65,CODE(MID(TRIM(UPPER(D70)),4,1))&lt;=90,CODE(MID(TRIM(UPPER(D70)),5,1))&gt;=65,CODE(MID(TRIM(UPPER(D70)),5,1))&lt;=90,CODE(MID(TRIM(UPPER(D70)),10,1))&gt;=65,CODE(MID(TRIM(UPPER(D70)),10,1))&lt;=90,CODE(MID(TRIM(UPPER(D70)),6,1))&gt;=48,CODE(MID(TRIM(UPPER(D70)),6,1))&lt;=57,CODE(MID(TRIM(UPPER(D70)),7,1))&gt;=48,CODE(MID(TRIM(UPPER(D70)),7,1))&lt;=57,CODE(MID(TRIM(UPPER(D70)),8,1))&gt;=48,CODE(MID(TRIM(UPPER(D70)),8,1))&lt;=57,CODE(MID(TRIM(UPPER(D70)),9,1))&gt;=48,CODE(MID(TRIM(UPPER(D70)),9,1))&lt;=57),"N","Y"))</f>
      </c>
      <c r="F70" s="7">
        <f>IF($C70="","",IF(LEN(D70)&lt;4,"",IF(UPPER(MID(D70,4,1))="P","Individual",IF(UPPER(MID(D70,4,1))="H","HUF",IF(UPPER(MID(D70,4,1))="C","Company",IF(UPPER(MID(D70,4,1))="F","Firm",IF(UPPER(MID(D70,4,1))="L","LLP",IF(UPPER(MID(D70,4,1))="T","Trust",IF(UPPER(MID(D70,4,1))="A","AOP","")))))))))</f>
      </c>
      <c r="G70" s="8"/>
      <c r="H70" s="7">
        <f>IF($C70="","",IF(R70&lt;&gt;"",R70,IF(G70="","",IF(E70="Y",SUMPRODUCT(('Rate Lookup'!$A$1:$A$37=G70)*'Rate Lookup'!$D$1:$D$37),IF(OR(F70="Individual",F70="HUF"),SUMPRODUCT(('Rate Lookup'!$A$1:$A$37=G70)*'Rate Lookup'!$B$1:$B$37),SUMPRODUCT(('Rate Lookup'!$A$1:$A$37=G70)*'Rate Lookup'!$C$1:$C$37)))))))</f>
      </c>
      <c r="I70" s="8"/>
      <c r="J70" s="8"/>
      <c r="K70" s="7">
        <f>IF($C70="","",IF(OR(P70="B",P70="D",P70="E",P70="N",P70="O",P70="P",P70="Q",P70="S",P70="Y",P70="Z"),0,ROUND(J70*H70/100,0)))</f>
      </c>
      <c r="L70" s="7">
        <f>IF($C70="","",0)</f>
      </c>
      <c r="M70" s="7">
        <f>IF($C70="","",0)</f>
      </c>
      <c r="N70" s="7">
        <f>IF($C70="","",IF(OR(K70=0,I70="",IFERROR(INDEX('Challan Master'!$D$4:$D$207,MATCH($B70,'Challan Master'!$S$4:$S$207,0)),"")="",IFERROR(INDEX('Challan Master'!$D$4:$D$207,MATCH($B70,'Challan Master'!$S$4:$S$207,0)),"")&lt;=0),0,IF(IFERROR(INDEX('Challan Master'!$D$4:$D$207,MATCH($B70,'Challan Master'!$S$4:$S$207,0)),"")&lt;=DATE(YEAR(I70),MONTH(I70)+1,7),0,ROUND(K70*0.015*((YEAR(IFERROR(INDEX('Challan Master'!$D$4:$D$207,MATCH($B70,'Challan Master'!$S$4:$S$207,0)),""))-YEAR(I70))*12+(MONTH(IFERROR(INDEX('Challan Master'!$D$4:$D$207,MATCH($B70,'Challan Master'!$S$4:$S$207,0)),""))-MONTH(I70))+1),0))))</f>
      </c>
      <c r="O70" s="7">
        <f>IF($C70="","",0)</f>
      </c>
      <c r="P70" s="8"/>
      <c r="Q70" s="8"/>
      <c r="R70" s="8"/>
      <c r="S70" s="8"/>
      <c r="T70" s="8"/>
      <c r="U70" s="7">
        <f>IF($B70="","",IFERROR(INDEX('Challan Master'!$AA$4:$AA$207,MATCH($B70,'Challan Master'!$S$4:$S$207,0)),""))</f>
      </c>
    </row>
    <row r="71" spans="1:22" x14ac:dyDescent="0.25">
      <c r="A71" s="7">
        <f>IF($C71="","",COUNTIF($C$4:$C71,"&lt;&gt;"))</f>
      </c>
      <c r="B71" s="8"/>
      <c r="C71" s="8"/>
      <c r="D71" s="8"/>
      <c r="E71" s="7">
        <f>IF($C71="","",IF(AND(LEN(TRIM(UPPER(D71)))=10,CODE(MID(TRIM(UPPER(D71)),1,1))&gt;=65,CODE(MID(TRIM(UPPER(D71)),1,1))&lt;=90,CODE(MID(TRIM(UPPER(D71)),2,1))&gt;=65,CODE(MID(TRIM(UPPER(D71)),2,1))&lt;=90,CODE(MID(TRIM(UPPER(D71)),3,1))&gt;=65,CODE(MID(TRIM(UPPER(D71)),3,1))&lt;=90,CODE(MID(TRIM(UPPER(D71)),4,1))&gt;=65,CODE(MID(TRIM(UPPER(D71)),4,1))&lt;=90,CODE(MID(TRIM(UPPER(D71)),5,1))&gt;=65,CODE(MID(TRIM(UPPER(D71)),5,1))&lt;=90,CODE(MID(TRIM(UPPER(D71)),10,1))&gt;=65,CODE(MID(TRIM(UPPER(D71)),10,1))&lt;=90,CODE(MID(TRIM(UPPER(D71)),6,1))&gt;=48,CODE(MID(TRIM(UPPER(D71)),6,1))&lt;=57,CODE(MID(TRIM(UPPER(D71)),7,1))&gt;=48,CODE(MID(TRIM(UPPER(D71)),7,1))&lt;=57,CODE(MID(TRIM(UPPER(D71)),8,1))&gt;=48,CODE(MID(TRIM(UPPER(D71)),8,1))&lt;=57,CODE(MID(TRIM(UPPER(D71)),9,1))&gt;=48,CODE(MID(TRIM(UPPER(D71)),9,1))&lt;=57),"N","Y"))</f>
      </c>
      <c r="F71" s="7">
        <f>IF($C71="","",IF(LEN(D71)&lt;4,"",IF(UPPER(MID(D71,4,1))="P","Individual",IF(UPPER(MID(D71,4,1))="H","HUF",IF(UPPER(MID(D71,4,1))="C","Company",IF(UPPER(MID(D71,4,1))="F","Firm",IF(UPPER(MID(D71,4,1))="L","LLP",IF(UPPER(MID(D71,4,1))="T","Trust",IF(UPPER(MID(D71,4,1))="A","AOP","")))))))))</f>
      </c>
      <c r="G71" s="8"/>
      <c r="H71" s="7">
        <f>IF($C71="","",IF(R71&lt;&gt;"",R71,IF(G71="","",IF(E71="Y",SUMPRODUCT(('Rate Lookup'!$A$1:$A$37=G71)*'Rate Lookup'!$D$1:$D$37),IF(OR(F71="Individual",F71="HUF"),SUMPRODUCT(('Rate Lookup'!$A$1:$A$37=G71)*'Rate Lookup'!$B$1:$B$37),SUMPRODUCT(('Rate Lookup'!$A$1:$A$37=G71)*'Rate Lookup'!$C$1:$C$37)))))))</f>
      </c>
      <c r="I71" s="8"/>
      <c r="J71" s="8"/>
      <c r="K71" s="7">
        <f>IF($C71="","",IF(OR(P71="B",P71="D",P71="E",P71="N",P71="O",P71="P",P71="Q",P71="S",P71="Y",P71="Z"),0,ROUND(J71*H71/100,0)))</f>
      </c>
      <c r="L71" s="7">
        <f>IF($C71="","",0)</f>
      </c>
      <c r="M71" s="7">
        <f>IF($C71="","",0)</f>
      </c>
      <c r="N71" s="7">
        <f>IF($C71="","",IF(OR(K71=0,I71="",IFERROR(INDEX('Challan Master'!$D$4:$D$207,MATCH($B71,'Challan Master'!$S$4:$S$207,0)),"")="",IFERROR(INDEX('Challan Master'!$D$4:$D$207,MATCH($B71,'Challan Master'!$S$4:$S$207,0)),"")&lt;=0),0,IF(IFERROR(INDEX('Challan Master'!$D$4:$D$207,MATCH($B71,'Challan Master'!$S$4:$S$207,0)),"")&lt;=DATE(YEAR(I71),MONTH(I71)+1,7),0,ROUND(K71*0.015*((YEAR(IFERROR(INDEX('Challan Master'!$D$4:$D$207,MATCH($B71,'Challan Master'!$S$4:$S$207,0)),""))-YEAR(I71))*12+(MONTH(IFERROR(INDEX('Challan Master'!$D$4:$D$207,MATCH($B71,'Challan Master'!$S$4:$S$207,0)),""))-MONTH(I71))+1),0))))</f>
      </c>
      <c r="O71" s="7">
        <f>IF($C71="","",0)</f>
      </c>
      <c r="P71" s="8"/>
      <c r="Q71" s="8"/>
      <c r="R71" s="8"/>
      <c r="S71" s="8"/>
      <c r="T71" s="8"/>
      <c r="U71" s="7">
        <f>IF($B71="","",IFERROR(INDEX('Challan Master'!$AA$4:$AA$207,MATCH($B71,'Challan Master'!$S$4:$S$207,0)),""))</f>
      </c>
    </row>
    <row r="72" spans="1:22" x14ac:dyDescent="0.25">
      <c r="A72" s="7">
        <f>IF($C72="","",COUNTIF($C$4:$C72,"&lt;&gt;"))</f>
      </c>
      <c r="B72" s="8"/>
      <c r="C72" s="8"/>
      <c r="D72" s="8"/>
      <c r="E72" s="7">
        <f>IF($C72="","",IF(AND(LEN(TRIM(UPPER(D72)))=10,CODE(MID(TRIM(UPPER(D72)),1,1))&gt;=65,CODE(MID(TRIM(UPPER(D72)),1,1))&lt;=90,CODE(MID(TRIM(UPPER(D72)),2,1))&gt;=65,CODE(MID(TRIM(UPPER(D72)),2,1))&lt;=90,CODE(MID(TRIM(UPPER(D72)),3,1))&gt;=65,CODE(MID(TRIM(UPPER(D72)),3,1))&lt;=90,CODE(MID(TRIM(UPPER(D72)),4,1))&gt;=65,CODE(MID(TRIM(UPPER(D72)),4,1))&lt;=90,CODE(MID(TRIM(UPPER(D72)),5,1))&gt;=65,CODE(MID(TRIM(UPPER(D72)),5,1))&lt;=90,CODE(MID(TRIM(UPPER(D72)),10,1))&gt;=65,CODE(MID(TRIM(UPPER(D72)),10,1))&lt;=90,CODE(MID(TRIM(UPPER(D72)),6,1))&gt;=48,CODE(MID(TRIM(UPPER(D72)),6,1))&lt;=57,CODE(MID(TRIM(UPPER(D72)),7,1))&gt;=48,CODE(MID(TRIM(UPPER(D72)),7,1))&lt;=57,CODE(MID(TRIM(UPPER(D72)),8,1))&gt;=48,CODE(MID(TRIM(UPPER(D72)),8,1))&lt;=57,CODE(MID(TRIM(UPPER(D72)),9,1))&gt;=48,CODE(MID(TRIM(UPPER(D72)),9,1))&lt;=57),"N","Y"))</f>
      </c>
      <c r="F72" s="7">
        <f>IF($C72="","",IF(LEN(D72)&lt;4,"",IF(UPPER(MID(D72,4,1))="P","Individual",IF(UPPER(MID(D72,4,1))="H","HUF",IF(UPPER(MID(D72,4,1))="C","Company",IF(UPPER(MID(D72,4,1))="F","Firm",IF(UPPER(MID(D72,4,1))="L","LLP",IF(UPPER(MID(D72,4,1))="T","Trust",IF(UPPER(MID(D72,4,1))="A","AOP","")))))))))</f>
      </c>
      <c r="G72" s="8"/>
      <c r="H72" s="7">
        <f>IF($C72="","",IF(R72&lt;&gt;"",R72,IF(G72="","",IF(E72="Y",SUMPRODUCT(('Rate Lookup'!$A$1:$A$37=G72)*'Rate Lookup'!$D$1:$D$37),IF(OR(F72="Individual",F72="HUF"),SUMPRODUCT(('Rate Lookup'!$A$1:$A$37=G72)*'Rate Lookup'!$B$1:$B$37),SUMPRODUCT(('Rate Lookup'!$A$1:$A$37=G72)*'Rate Lookup'!$C$1:$C$37)))))))</f>
      </c>
      <c r="I72" s="8"/>
      <c r="J72" s="8"/>
      <c r="K72" s="7">
        <f>IF($C72="","",IF(OR(P72="B",P72="D",P72="E",P72="N",P72="O",P72="P",P72="Q",P72="S",P72="Y",P72="Z"),0,ROUND(J72*H72/100,0)))</f>
      </c>
      <c r="L72" s="7">
        <f>IF($C72="","",0)</f>
      </c>
      <c r="M72" s="7">
        <f>IF($C72="","",0)</f>
      </c>
      <c r="N72" s="7">
        <f>IF($C72="","",IF(OR(K72=0,I72="",IFERROR(INDEX('Challan Master'!$D$4:$D$207,MATCH($B72,'Challan Master'!$S$4:$S$207,0)),"")="",IFERROR(INDEX('Challan Master'!$D$4:$D$207,MATCH($B72,'Challan Master'!$S$4:$S$207,0)),"")&lt;=0),0,IF(IFERROR(INDEX('Challan Master'!$D$4:$D$207,MATCH($B72,'Challan Master'!$S$4:$S$207,0)),"")&lt;=DATE(YEAR(I72),MONTH(I72)+1,7),0,ROUND(K72*0.015*((YEAR(IFERROR(INDEX('Challan Master'!$D$4:$D$207,MATCH($B72,'Challan Master'!$S$4:$S$207,0)),""))-YEAR(I72))*12+(MONTH(IFERROR(INDEX('Challan Master'!$D$4:$D$207,MATCH($B72,'Challan Master'!$S$4:$S$207,0)),""))-MONTH(I72))+1),0))))</f>
      </c>
      <c r="O72" s="7">
        <f>IF($C72="","",0)</f>
      </c>
      <c r="P72" s="8"/>
      <c r="Q72" s="8"/>
      <c r="R72" s="8"/>
      <c r="S72" s="8"/>
      <c r="T72" s="8"/>
      <c r="U72" s="7">
        <f>IF($B72="","",IFERROR(INDEX('Challan Master'!$AA$4:$AA$207,MATCH($B72,'Challan Master'!$S$4:$S$207,0)),""))</f>
      </c>
    </row>
    <row r="73" spans="1:22" x14ac:dyDescent="0.25">
      <c r="A73" s="7">
        <f>IF($C73="","",COUNTIF($C$4:$C73,"&lt;&gt;"))</f>
      </c>
      <c r="B73" s="8"/>
      <c r="C73" s="8"/>
      <c r="D73" s="8"/>
      <c r="E73" s="7">
        <f>IF($C73="","",IF(AND(LEN(TRIM(UPPER(D73)))=10,CODE(MID(TRIM(UPPER(D73)),1,1))&gt;=65,CODE(MID(TRIM(UPPER(D73)),1,1))&lt;=90,CODE(MID(TRIM(UPPER(D73)),2,1))&gt;=65,CODE(MID(TRIM(UPPER(D73)),2,1))&lt;=90,CODE(MID(TRIM(UPPER(D73)),3,1))&gt;=65,CODE(MID(TRIM(UPPER(D73)),3,1))&lt;=90,CODE(MID(TRIM(UPPER(D73)),4,1))&gt;=65,CODE(MID(TRIM(UPPER(D73)),4,1))&lt;=90,CODE(MID(TRIM(UPPER(D73)),5,1))&gt;=65,CODE(MID(TRIM(UPPER(D73)),5,1))&lt;=90,CODE(MID(TRIM(UPPER(D73)),10,1))&gt;=65,CODE(MID(TRIM(UPPER(D73)),10,1))&lt;=90,CODE(MID(TRIM(UPPER(D73)),6,1))&gt;=48,CODE(MID(TRIM(UPPER(D73)),6,1))&lt;=57,CODE(MID(TRIM(UPPER(D73)),7,1))&gt;=48,CODE(MID(TRIM(UPPER(D73)),7,1))&lt;=57,CODE(MID(TRIM(UPPER(D73)),8,1))&gt;=48,CODE(MID(TRIM(UPPER(D73)),8,1))&lt;=57,CODE(MID(TRIM(UPPER(D73)),9,1))&gt;=48,CODE(MID(TRIM(UPPER(D73)),9,1))&lt;=57),"N","Y"))</f>
      </c>
      <c r="F73" s="7">
        <f>IF($C73="","",IF(LEN(D73)&lt;4,"",IF(UPPER(MID(D73,4,1))="P","Individual",IF(UPPER(MID(D73,4,1))="H","HUF",IF(UPPER(MID(D73,4,1))="C","Company",IF(UPPER(MID(D73,4,1))="F","Firm",IF(UPPER(MID(D73,4,1))="L","LLP",IF(UPPER(MID(D73,4,1))="T","Trust",IF(UPPER(MID(D73,4,1))="A","AOP","")))))))))</f>
      </c>
      <c r="G73" s="8"/>
      <c r="H73" s="7">
        <f>IF($C73="","",IF(R73&lt;&gt;"",R73,IF(G73="","",IF(E73="Y",SUMPRODUCT(('Rate Lookup'!$A$1:$A$37=G73)*'Rate Lookup'!$D$1:$D$37),IF(OR(F73="Individual",F73="HUF"),SUMPRODUCT(('Rate Lookup'!$A$1:$A$37=G73)*'Rate Lookup'!$B$1:$B$37),SUMPRODUCT(('Rate Lookup'!$A$1:$A$37=G73)*'Rate Lookup'!$C$1:$C$37)))))))</f>
      </c>
      <c r="I73" s="8"/>
      <c r="J73" s="8"/>
      <c r="K73" s="7">
        <f>IF($C73="","",IF(OR(P73="B",P73="D",P73="E",P73="N",P73="O",P73="P",P73="Q",P73="S",P73="Y",P73="Z"),0,ROUND(J73*H73/100,0)))</f>
      </c>
      <c r="L73" s="7">
        <f>IF($C73="","",0)</f>
      </c>
      <c r="M73" s="7">
        <f>IF($C73="","",0)</f>
      </c>
      <c r="N73" s="7">
        <f>IF($C73="","",IF(OR(K73=0,I73="",IFERROR(INDEX('Challan Master'!$D$4:$D$207,MATCH($B73,'Challan Master'!$S$4:$S$207,0)),"")="",IFERROR(INDEX('Challan Master'!$D$4:$D$207,MATCH($B73,'Challan Master'!$S$4:$S$207,0)),"")&lt;=0),0,IF(IFERROR(INDEX('Challan Master'!$D$4:$D$207,MATCH($B73,'Challan Master'!$S$4:$S$207,0)),"")&lt;=DATE(YEAR(I73),MONTH(I73)+1,7),0,ROUND(K73*0.015*((YEAR(IFERROR(INDEX('Challan Master'!$D$4:$D$207,MATCH($B73,'Challan Master'!$S$4:$S$207,0)),""))-YEAR(I73))*12+(MONTH(IFERROR(INDEX('Challan Master'!$D$4:$D$207,MATCH($B73,'Challan Master'!$S$4:$S$207,0)),""))-MONTH(I73))+1),0))))</f>
      </c>
      <c r="O73" s="7">
        <f>IF($C73="","",0)</f>
      </c>
      <c r="P73" s="8"/>
      <c r="Q73" s="8"/>
      <c r="R73" s="8"/>
      <c r="S73" s="8"/>
      <c r="T73" s="8"/>
      <c r="U73" s="7">
        <f>IF($B73="","",IFERROR(INDEX('Challan Master'!$AA$4:$AA$207,MATCH($B73,'Challan Master'!$S$4:$S$207,0)),""))</f>
      </c>
    </row>
    <row r="74" spans="1:22" x14ac:dyDescent="0.25">
      <c r="A74" s="7">
        <f>IF($C74="","",COUNTIF($C$4:$C74,"&lt;&gt;"))</f>
      </c>
      <c r="B74" s="8"/>
      <c r="C74" s="8"/>
      <c r="D74" s="8"/>
      <c r="E74" s="7">
        <f>IF($C74="","",IF(AND(LEN(TRIM(UPPER(D74)))=10,CODE(MID(TRIM(UPPER(D74)),1,1))&gt;=65,CODE(MID(TRIM(UPPER(D74)),1,1))&lt;=90,CODE(MID(TRIM(UPPER(D74)),2,1))&gt;=65,CODE(MID(TRIM(UPPER(D74)),2,1))&lt;=90,CODE(MID(TRIM(UPPER(D74)),3,1))&gt;=65,CODE(MID(TRIM(UPPER(D74)),3,1))&lt;=90,CODE(MID(TRIM(UPPER(D74)),4,1))&gt;=65,CODE(MID(TRIM(UPPER(D74)),4,1))&lt;=90,CODE(MID(TRIM(UPPER(D74)),5,1))&gt;=65,CODE(MID(TRIM(UPPER(D74)),5,1))&lt;=90,CODE(MID(TRIM(UPPER(D74)),10,1))&gt;=65,CODE(MID(TRIM(UPPER(D74)),10,1))&lt;=90,CODE(MID(TRIM(UPPER(D74)),6,1))&gt;=48,CODE(MID(TRIM(UPPER(D74)),6,1))&lt;=57,CODE(MID(TRIM(UPPER(D74)),7,1))&gt;=48,CODE(MID(TRIM(UPPER(D74)),7,1))&lt;=57,CODE(MID(TRIM(UPPER(D74)),8,1))&gt;=48,CODE(MID(TRIM(UPPER(D74)),8,1))&lt;=57,CODE(MID(TRIM(UPPER(D74)),9,1))&gt;=48,CODE(MID(TRIM(UPPER(D74)),9,1))&lt;=57),"N","Y"))</f>
      </c>
      <c r="F74" s="7">
        <f>IF($C74="","",IF(LEN(D74)&lt;4,"",IF(UPPER(MID(D74,4,1))="P","Individual",IF(UPPER(MID(D74,4,1))="H","HUF",IF(UPPER(MID(D74,4,1))="C","Company",IF(UPPER(MID(D74,4,1))="F","Firm",IF(UPPER(MID(D74,4,1))="L","LLP",IF(UPPER(MID(D74,4,1))="T","Trust",IF(UPPER(MID(D74,4,1))="A","AOP","")))))))))</f>
      </c>
      <c r="G74" s="8"/>
      <c r="H74" s="7">
        <f>IF($C74="","",IF(R74&lt;&gt;"",R74,IF(G74="","",IF(E74="Y",SUMPRODUCT(('Rate Lookup'!$A$1:$A$37=G74)*'Rate Lookup'!$D$1:$D$37),IF(OR(F74="Individual",F74="HUF"),SUMPRODUCT(('Rate Lookup'!$A$1:$A$37=G74)*'Rate Lookup'!$B$1:$B$37),SUMPRODUCT(('Rate Lookup'!$A$1:$A$37=G74)*'Rate Lookup'!$C$1:$C$37)))))))</f>
      </c>
      <c r="I74" s="8"/>
      <c r="J74" s="8"/>
      <c r="K74" s="7">
        <f>IF($C74="","",IF(OR(P74="B",P74="D",P74="E",P74="N",P74="O",P74="P",P74="Q",P74="S",P74="Y",P74="Z"),0,ROUND(J74*H74/100,0)))</f>
      </c>
      <c r="L74" s="7">
        <f>IF($C74="","",0)</f>
      </c>
      <c r="M74" s="7">
        <f>IF($C74="","",0)</f>
      </c>
      <c r="N74" s="7">
        <f>IF($C74="","",IF(OR(K74=0,I74="",IFERROR(INDEX('Challan Master'!$D$4:$D$207,MATCH($B74,'Challan Master'!$S$4:$S$207,0)),"")="",IFERROR(INDEX('Challan Master'!$D$4:$D$207,MATCH($B74,'Challan Master'!$S$4:$S$207,0)),"")&lt;=0),0,IF(IFERROR(INDEX('Challan Master'!$D$4:$D$207,MATCH($B74,'Challan Master'!$S$4:$S$207,0)),"")&lt;=DATE(YEAR(I74),MONTH(I74)+1,7),0,ROUND(K74*0.015*((YEAR(IFERROR(INDEX('Challan Master'!$D$4:$D$207,MATCH($B74,'Challan Master'!$S$4:$S$207,0)),""))-YEAR(I74))*12+(MONTH(IFERROR(INDEX('Challan Master'!$D$4:$D$207,MATCH($B74,'Challan Master'!$S$4:$S$207,0)),""))-MONTH(I74))+1),0))))</f>
      </c>
      <c r="O74" s="7">
        <f>IF($C74="","",0)</f>
      </c>
      <c r="P74" s="8"/>
      <c r="Q74" s="8"/>
      <c r="R74" s="8"/>
      <c r="S74" s="8"/>
      <c r="T74" s="8"/>
      <c r="U74" s="7">
        <f>IF($B74="","",IFERROR(INDEX('Challan Master'!$AA$4:$AA$207,MATCH($B74,'Challan Master'!$S$4:$S$207,0)),""))</f>
      </c>
    </row>
    <row r="75" spans="1:22" x14ac:dyDescent="0.25">
      <c r="A75" s="7">
        <f>IF($C75="","",COUNTIF($C$4:$C75,"&lt;&gt;"))</f>
      </c>
      <c r="B75" s="8"/>
      <c r="C75" s="8"/>
      <c r="D75" s="8"/>
      <c r="E75" s="7">
        <f>IF($C75="","",IF(AND(LEN(TRIM(UPPER(D75)))=10,CODE(MID(TRIM(UPPER(D75)),1,1))&gt;=65,CODE(MID(TRIM(UPPER(D75)),1,1))&lt;=90,CODE(MID(TRIM(UPPER(D75)),2,1))&gt;=65,CODE(MID(TRIM(UPPER(D75)),2,1))&lt;=90,CODE(MID(TRIM(UPPER(D75)),3,1))&gt;=65,CODE(MID(TRIM(UPPER(D75)),3,1))&lt;=90,CODE(MID(TRIM(UPPER(D75)),4,1))&gt;=65,CODE(MID(TRIM(UPPER(D75)),4,1))&lt;=90,CODE(MID(TRIM(UPPER(D75)),5,1))&gt;=65,CODE(MID(TRIM(UPPER(D75)),5,1))&lt;=90,CODE(MID(TRIM(UPPER(D75)),10,1))&gt;=65,CODE(MID(TRIM(UPPER(D75)),10,1))&lt;=90,CODE(MID(TRIM(UPPER(D75)),6,1))&gt;=48,CODE(MID(TRIM(UPPER(D75)),6,1))&lt;=57,CODE(MID(TRIM(UPPER(D75)),7,1))&gt;=48,CODE(MID(TRIM(UPPER(D75)),7,1))&lt;=57,CODE(MID(TRIM(UPPER(D75)),8,1))&gt;=48,CODE(MID(TRIM(UPPER(D75)),8,1))&lt;=57,CODE(MID(TRIM(UPPER(D75)),9,1))&gt;=48,CODE(MID(TRIM(UPPER(D75)),9,1))&lt;=57),"N","Y"))</f>
      </c>
      <c r="F75" s="7">
        <f>IF($C75="","",IF(LEN(D75)&lt;4,"",IF(UPPER(MID(D75,4,1))="P","Individual",IF(UPPER(MID(D75,4,1))="H","HUF",IF(UPPER(MID(D75,4,1))="C","Company",IF(UPPER(MID(D75,4,1))="F","Firm",IF(UPPER(MID(D75,4,1))="L","LLP",IF(UPPER(MID(D75,4,1))="T","Trust",IF(UPPER(MID(D75,4,1))="A","AOP","")))))))))</f>
      </c>
      <c r="G75" s="8"/>
      <c r="H75" s="7">
        <f>IF($C75="","",IF(R75&lt;&gt;"",R75,IF(G75="","",IF(E75="Y",SUMPRODUCT(('Rate Lookup'!$A$1:$A$37=G75)*'Rate Lookup'!$D$1:$D$37),IF(OR(F75="Individual",F75="HUF"),SUMPRODUCT(('Rate Lookup'!$A$1:$A$37=G75)*'Rate Lookup'!$B$1:$B$37),SUMPRODUCT(('Rate Lookup'!$A$1:$A$37=G75)*'Rate Lookup'!$C$1:$C$37)))))))</f>
      </c>
      <c r="I75" s="8"/>
      <c r="J75" s="8"/>
      <c r="K75" s="7">
        <f>IF($C75="","",IF(OR(P75="B",P75="D",P75="E",P75="N",P75="O",P75="P",P75="Q",P75="S",P75="Y",P75="Z"),0,ROUND(J75*H75/100,0)))</f>
      </c>
      <c r="L75" s="7">
        <f>IF($C75="","",0)</f>
      </c>
      <c r="M75" s="7">
        <f>IF($C75="","",0)</f>
      </c>
      <c r="N75" s="7">
        <f>IF($C75="","",IF(OR(K75=0,I75="",IFERROR(INDEX('Challan Master'!$D$4:$D$207,MATCH($B75,'Challan Master'!$S$4:$S$207,0)),"")="",IFERROR(INDEX('Challan Master'!$D$4:$D$207,MATCH($B75,'Challan Master'!$S$4:$S$207,0)),"")&lt;=0),0,IF(IFERROR(INDEX('Challan Master'!$D$4:$D$207,MATCH($B75,'Challan Master'!$S$4:$S$207,0)),"")&lt;=DATE(YEAR(I75),MONTH(I75)+1,7),0,ROUND(K75*0.015*((YEAR(IFERROR(INDEX('Challan Master'!$D$4:$D$207,MATCH($B75,'Challan Master'!$S$4:$S$207,0)),""))-YEAR(I75))*12+(MONTH(IFERROR(INDEX('Challan Master'!$D$4:$D$207,MATCH($B75,'Challan Master'!$S$4:$S$207,0)),""))-MONTH(I75))+1),0))))</f>
      </c>
      <c r="O75" s="7">
        <f>IF($C75="","",0)</f>
      </c>
      <c r="P75" s="8"/>
      <c r="Q75" s="8"/>
      <c r="R75" s="8"/>
      <c r="S75" s="8"/>
      <c r="T75" s="8"/>
      <c r="U75" s="7">
        <f>IF($B75="","",IFERROR(INDEX('Challan Master'!$AA$4:$AA$207,MATCH($B75,'Challan Master'!$S$4:$S$207,0)),""))</f>
      </c>
    </row>
    <row r="76" spans="1:22" x14ac:dyDescent="0.25">
      <c r="A76" s="7">
        <f>IF($C76="","",COUNTIF($C$4:$C76,"&lt;&gt;"))</f>
      </c>
      <c r="B76" s="8"/>
      <c r="C76" s="8"/>
      <c r="D76" s="8"/>
      <c r="E76" s="7">
        <f>IF($C76="","",IF(AND(LEN(TRIM(UPPER(D76)))=10,CODE(MID(TRIM(UPPER(D76)),1,1))&gt;=65,CODE(MID(TRIM(UPPER(D76)),1,1))&lt;=90,CODE(MID(TRIM(UPPER(D76)),2,1))&gt;=65,CODE(MID(TRIM(UPPER(D76)),2,1))&lt;=90,CODE(MID(TRIM(UPPER(D76)),3,1))&gt;=65,CODE(MID(TRIM(UPPER(D76)),3,1))&lt;=90,CODE(MID(TRIM(UPPER(D76)),4,1))&gt;=65,CODE(MID(TRIM(UPPER(D76)),4,1))&lt;=90,CODE(MID(TRIM(UPPER(D76)),5,1))&gt;=65,CODE(MID(TRIM(UPPER(D76)),5,1))&lt;=90,CODE(MID(TRIM(UPPER(D76)),10,1))&gt;=65,CODE(MID(TRIM(UPPER(D76)),10,1))&lt;=90,CODE(MID(TRIM(UPPER(D76)),6,1))&gt;=48,CODE(MID(TRIM(UPPER(D76)),6,1))&lt;=57,CODE(MID(TRIM(UPPER(D76)),7,1))&gt;=48,CODE(MID(TRIM(UPPER(D76)),7,1))&lt;=57,CODE(MID(TRIM(UPPER(D76)),8,1))&gt;=48,CODE(MID(TRIM(UPPER(D76)),8,1))&lt;=57,CODE(MID(TRIM(UPPER(D76)),9,1))&gt;=48,CODE(MID(TRIM(UPPER(D76)),9,1))&lt;=57),"N","Y"))</f>
      </c>
      <c r="F76" s="7">
        <f>IF($C76="","",IF(LEN(D76)&lt;4,"",IF(UPPER(MID(D76,4,1))="P","Individual",IF(UPPER(MID(D76,4,1))="H","HUF",IF(UPPER(MID(D76,4,1))="C","Company",IF(UPPER(MID(D76,4,1))="F","Firm",IF(UPPER(MID(D76,4,1))="L","LLP",IF(UPPER(MID(D76,4,1))="T","Trust",IF(UPPER(MID(D76,4,1))="A","AOP","")))))))))</f>
      </c>
      <c r="G76" s="8"/>
      <c r="H76" s="7">
        <f>IF($C76="","",IF(R76&lt;&gt;"",R76,IF(G76="","",IF(E76="Y",SUMPRODUCT(('Rate Lookup'!$A$1:$A$37=G76)*'Rate Lookup'!$D$1:$D$37),IF(OR(F76="Individual",F76="HUF"),SUMPRODUCT(('Rate Lookup'!$A$1:$A$37=G76)*'Rate Lookup'!$B$1:$B$37),SUMPRODUCT(('Rate Lookup'!$A$1:$A$37=G76)*'Rate Lookup'!$C$1:$C$37)))))))</f>
      </c>
      <c r="I76" s="8"/>
      <c r="J76" s="8"/>
      <c r="K76" s="7">
        <f>IF($C76="","",IF(OR(P76="B",P76="D",P76="E",P76="N",P76="O",P76="P",P76="Q",P76="S",P76="Y",P76="Z"),0,ROUND(J76*H76/100,0)))</f>
      </c>
      <c r="L76" s="7">
        <f>IF($C76="","",0)</f>
      </c>
      <c r="M76" s="7">
        <f>IF($C76="","",0)</f>
      </c>
      <c r="N76" s="7">
        <f>IF($C76="","",IF(OR(K76=0,I76="",IFERROR(INDEX('Challan Master'!$D$4:$D$207,MATCH($B76,'Challan Master'!$S$4:$S$207,0)),"")="",IFERROR(INDEX('Challan Master'!$D$4:$D$207,MATCH($B76,'Challan Master'!$S$4:$S$207,0)),"")&lt;=0),0,IF(IFERROR(INDEX('Challan Master'!$D$4:$D$207,MATCH($B76,'Challan Master'!$S$4:$S$207,0)),"")&lt;=DATE(YEAR(I76),MONTH(I76)+1,7),0,ROUND(K76*0.015*((YEAR(IFERROR(INDEX('Challan Master'!$D$4:$D$207,MATCH($B76,'Challan Master'!$S$4:$S$207,0)),""))-YEAR(I76))*12+(MONTH(IFERROR(INDEX('Challan Master'!$D$4:$D$207,MATCH($B76,'Challan Master'!$S$4:$S$207,0)),""))-MONTH(I76))+1),0))))</f>
      </c>
      <c r="O76" s="7">
        <f>IF($C76="","",0)</f>
      </c>
      <c r="P76" s="8"/>
      <c r="Q76" s="8"/>
      <c r="R76" s="8"/>
      <c r="S76" s="8"/>
      <c r="T76" s="8"/>
      <c r="U76" s="7">
        <f>IF($B76="","",IFERROR(INDEX('Challan Master'!$AA$4:$AA$207,MATCH($B76,'Challan Master'!$S$4:$S$207,0)),""))</f>
      </c>
    </row>
    <row r="77" spans="1:22" x14ac:dyDescent="0.25">
      <c r="A77" s="7">
        <f>IF($C77="","",COUNTIF($C$4:$C77,"&lt;&gt;"))</f>
      </c>
      <c r="B77" s="8"/>
      <c r="C77" s="8"/>
      <c r="D77" s="8"/>
      <c r="E77" s="7">
        <f>IF($C77="","",IF(AND(LEN(TRIM(UPPER(D77)))=10,CODE(MID(TRIM(UPPER(D77)),1,1))&gt;=65,CODE(MID(TRIM(UPPER(D77)),1,1))&lt;=90,CODE(MID(TRIM(UPPER(D77)),2,1))&gt;=65,CODE(MID(TRIM(UPPER(D77)),2,1))&lt;=90,CODE(MID(TRIM(UPPER(D77)),3,1))&gt;=65,CODE(MID(TRIM(UPPER(D77)),3,1))&lt;=90,CODE(MID(TRIM(UPPER(D77)),4,1))&gt;=65,CODE(MID(TRIM(UPPER(D77)),4,1))&lt;=90,CODE(MID(TRIM(UPPER(D77)),5,1))&gt;=65,CODE(MID(TRIM(UPPER(D77)),5,1))&lt;=90,CODE(MID(TRIM(UPPER(D77)),10,1))&gt;=65,CODE(MID(TRIM(UPPER(D77)),10,1))&lt;=90,CODE(MID(TRIM(UPPER(D77)),6,1))&gt;=48,CODE(MID(TRIM(UPPER(D77)),6,1))&lt;=57,CODE(MID(TRIM(UPPER(D77)),7,1))&gt;=48,CODE(MID(TRIM(UPPER(D77)),7,1))&lt;=57,CODE(MID(TRIM(UPPER(D77)),8,1))&gt;=48,CODE(MID(TRIM(UPPER(D77)),8,1))&lt;=57,CODE(MID(TRIM(UPPER(D77)),9,1))&gt;=48,CODE(MID(TRIM(UPPER(D77)),9,1))&lt;=57),"N","Y"))</f>
      </c>
      <c r="F77" s="7">
        <f>IF($C77="","",IF(LEN(D77)&lt;4,"",IF(UPPER(MID(D77,4,1))="P","Individual",IF(UPPER(MID(D77,4,1))="H","HUF",IF(UPPER(MID(D77,4,1))="C","Company",IF(UPPER(MID(D77,4,1))="F","Firm",IF(UPPER(MID(D77,4,1))="L","LLP",IF(UPPER(MID(D77,4,1))="T","Trust",IF(UPPER(MID(D77,4,1))="A","AOP","")))))))))</f>
      </c>
      <c r="G77" s="8"/>
      <c r="H77" s="7">
        <f>IF($C77="","",IF(R77&lt;&gt;"",R77,IF(G77="","",IF(E77="Y",SUMPRODUCT(('Rate Lookup'!$A$1:$A$37=G77)*'Rate Lookup'!$D$1:$D$37),IF(OR(F77="Individual",F77="HUF"),SUMPRODUCT(('Rate Lookup'!$A$1:$A$37=G77)*'Rate Lookup'!$B$1:$B$37),SUMPRODUCT(('Rate Lookup'!$A$1:$A$37=G77)*'Rate Lookup'!$C$1:$C$37)))))))</f>
      </c>
      <c r="I77" s="8"/>
      <c r="J77" s="8"/>
      <c r="K77" s="7">
        <f>IF($C77="","",IF(OR(P77="B",P77="D",P77="E",P77="N",P77="O",P77="P",P77="Q",P77="S",P77="Y",P77="Z"),0,ROUND(J77*H77/100,0)))</f>
      </c>
      <c r="L77" s="7">
        <f>IF($C77="","",0)</f>
      </c>
      <c r="M77" s="7">
        <f>IF($C77="","",0)</f>
      </c>
      <c r="N77" s="7">
        <f>IF($C77="","",IF(OR(K77=0,I77="",IFERROR(INDEX('Challan Master'!$D$4:$D$207,MATCH($B77,'Challan Master'!$S$4:$S$207,0)),"")="",IFERROR(INDEX('Challan Master'!$D$4:$D$207,MATCH($B77,'Challan Master'!$S$4:$S$207,0)),"")&lt;=0),0,IF(IFERROR(INDEX('Challan Master'!$D$4:$D$207,MATCH($B77,'Challan Master'!$S$4:$S$207,0)),"")&lt;=DATE(YEAR(I77),MONTH(I77)+1,7),0,ROUND(K77*0.015*((YEAR(IFERROR(INDEX('Challan Master'!$D$4:$D$207,MATCH($B77,'Challan Master'!$S$4:$S$207,0)),""))-YEAR(I77))*12+(MONTH(IFERROR(INDEX('Challan Master'!$D$4:$D$207,MATCH($B77,'Challan Master'!$S$4:$S$207,0)),""))-MONTH(I77))+1),0))))</f>
      </c>
      <c r="O77" s="7">
        <f>IF($C77="","",0)</f>
      </c>
      <c r="P77" s="8"/>
      <c r="Q77" s="8"/>
      <c r="R77" s="8"/>
      <c r="S77" s="8"/>
      <c r="T77" s="8"/>
      <c r="U77" s="7">
        <f>IF($B77="","",IFERROR(INDEX('Challan Master'!$AA$4:$AA$207,MATCH($B77,'Challan Master'!$S$4:$S$207,0)),""))</f>
      </c>
    </row>
    <row r="78" spans="1:22" x14ac:dyDescent="0.25">
      <c r="A78" s="7">
        <f>IF($C78="","",COUNTIF($C$4:$C78,"&lt;&gt;"))</f>
      </c>
      <c r="B78" s="8"/>
      <c r="C78" s="8"/>
      <c r="D78" s="8"/>
      <c r="E78" s="7">
        <f>IF($C78="","",IF(AND(LEN(TRIM(UPPER(D78)))=10,CODE(MID(TRIM(UPPER(D78)),1,1))&gt;=65,CODE(MID(TRIM(UPPER(D78)),1,1))&lt;=90,CODE(MID(TRIM(UPPER(D78)),2,1))&gt;=65,CODE(MID(TRIM(UPPER(D78)),2,1))&lt;=90,CODE(MID(TRIM(UPPER(D78)),3,1))&gt;=65,CODE(MID(TRIM(UPPER(D78)),3,1))&lt;=90,CODE(MID(TRIM(UPPER(D78)),4,1))&gt;=65,CODE(MID(TRIM(UPPER(D78)),4,1))&lt;=90,CODE(MID(TRIM(UPPER(D78)),5,1))&gt;=65,CODE(MID(TRIM(UPPER(D78)),5,1))&lt;=90,CODE(MID(TRIM(UPPER(D78)),10,1))&gt;=65,CODE(MID(TRIM(UPPER(D78)),10,1))&lt;=90,CODE(MID(TRIM(UPPER(D78)),6,1))&gt;=48,CODE(MID(TRIM(UPPER(D78)),6,1))&lt;=57,CODE(MID(TRIM(UPPER(D78)),7,1))&gt;=48,CODE(MID(TRIM(UPPER(D78)),7,1))&lt;=57,CODE(MID(TRIM(UPPER(D78)),8,1))&gt;=48,CODE(MID(TRIM(UPPER(D78)),8,1))&lt;=57,CODE(MID(TRIM(UPPER(D78)),9,1))&gt;=48,CODE(MID(TRIM(UPPER(D78)),9,1))&lt;=57),"N","Y"))</f>
      </c>
      <c r="F78" s="7">
        <f>IF($C78="","",IF(LEN(D78)&lt;4,"",IF(UPPER(MID(D78,4,1))="P","Individual",IF(UPPER(MID(D78,4,1))="H","HUF",IF(UPPER(MID(D78,4,1))="C","Company",IF(UPPER(MID(D78,4,1))="F","Firm",IF(UPPER(MID(D78,4,1))="L","LLP",IF(UPPER(MID(D78,4,1))="T","Trust",IF(UPPER(MID(D78,4,1))="A","AOP","")))))))))</f>
      </c>
      <c r="G78" s="8"/>
      <c r="H78" s="7">
        <f>IF($C78="","",IF(R78&lt;&gt;"",R78,IF(G78="","",IF(E78="Y",SUMPRODUCT(('Rate Lookup'!$A$1:$A$37=G78)*'Rate Lookup'!$D$1:$D$37),IF(OR(F78="Individual",F78="HUF"),SUMPRODUCT(('Rate Lookup'!$A$1:$A$37=G78)*'Rate Lookup'!$B$1:$B$37),SUMPRODUCT(('Rate Lookup'!$A$1:$A$37=G78)*'Rate Lookup'!$C$1:$C$37)))))))</f>
      </c>
      <c r="I78" s="8"/>
      <c r="J78" s="8"/>
      <c r="K78" s="7">
        <f>IF($C78="","",IF(OR(P78="B",P78="D",P78="E",P78="N",P78="O",P78="P",P78="Q",P78="S",P78="Y",P78="Z"),0,ROUND(J78*H78/100,0)))</f>
      </c>
      <c r="L78" s="7">
        <f>IF($C78="","",0)</f>
      </c>
      <c r="M78" s="7">
        <f>IF($C78="","",0)</f>
      </c>
      <c r="N78" s="7">
        <f>IF($C78="","",IF(OR(K78=0,I78="",IFERROR(INDEX('Challan Master'!$D$4:$D$207,MATCH($B78,'Challan Master'!$S$4:$S$207,0)),"")="",IFERROR(INDEX('Challan Master'!$D$4:$D$207,MATCH($B78,'Challan Master'!$S$4:$S$207,0)),"")&lt;=0),0,IF(IFERROR(INDEX('Challan Master'!$D$4:$D$207,MATCH($B78,'Challan Master'!$S$4:$S$207,0)),"")&lt;=DATE(YEAR(I78),MONTH(I78)+1,7),0,ROUND(K78*0.015*((YEAR(IFERROR(INDEX('Challan Master'!$D$4:$D$207,MATCH($B78,'Challan Master'!$S$4:$S$207,0)),""))-YEAR(I78))*12+(MONTH(IFERROR(INDEX('Challan Master'!$D$4:$D$207,MATCH($B78,'Challan Master'!$S$4:$S$207,0)),""))-MONTH(I78))+1),0))))</f>
      </c>
      <c r="O78" s="7">
        <f>IF($C78="","",0)</f>
      </c>
      <c r="P78" s="8"/>
      <c r="Q78" s="8"/>
      <c r="R78" s="8"/>
      <c r="S78" s="8"/>
      <c r="T78" s="8"/>
      <c r="U78" s="7">
        <f>IF($B78="","",IFERROR(INDEX('Challan Master'!$AA$4:$AA$207,MATCH($B78,'Challan Master'!$S$4:$S$207,0)),""))</f>
      </c>
    </row>
    <row r="79" spans="1:22" x14ac:dyDescent="0.25">
      <c r="A79" s="7">
        <f>IF($C79="","",COUNTIF($C$4:$C79,"&lt;&gt;"))</f>
      </c>
      <c r="B79" s="8"/>
      <c r="C79" s="8"/>
      <c r="D79" s="8"/>
      <c r="E79" s="7">
        <f>IF($C79="","",IF(AND(LEN(TRIM(UPPER(D79)))=10,CODE(MID(TRIM(UPPER(D79)),1,1))&gt;=65,CODE(MID(TRIM(UPPER(D79)),1,1))&lt;=90,CODE(MID(TRIM(UPPER(D79)),2,1))&gt;=65,CODE(MID(TRIM(UPPER(D79)),2,1))&lt;=90,CODE(MID(TRIM(UPPER(D79)),3,1))&gt;=65,CODE(MID(TRIM(UPPER(D79)),3,1))&lt;=90,CODE(MID(TRIM(UPPER(D79)),4,1))&gt;=65,CODE(MID(TRIM(UPPER(D79)),4,1))&lt;=90,CODE(MID(TRIM(UPPER(D79)),5,1))&gt;=65,CODE(MID(TRIM(UPPER(D79)),5,1))&lt;=90,CODE(MID(TRIM(UPPER(D79)),10,1))&gt;=65,CODE(MID(TRIM(UPPER(D79)),10,1))&lt;=90,CODE(MID(TRIM(UPPER(D79)),6,1))&gt;=48,CODE(MID(TRIM(UPPER(D79)),6,1))&lt;=57,CODE(MID(TRIM(UPPER(D79)),7,1))&gt;=48,CODE(MID(TRIM(UPPER(D79)),7,1))&lt;=57,CODE(MID(TRIM(UPPER(D79)),8,1))&gt;=48,CODE(MID(TRIM(UPPER(D79)),8,1))&lt;=57,CODE(MID(TRIM(UPPER(D79)),9,1))&gt;=48,CODE(MID(TRIM(UPPER(D79)),9,1))&lt;=57),"N","Y"))</f>
      </c>
      <c r="F79" s="7">
        <f>IF($C79="","",IF(LEN(D79)&lt;4,"",IF(UPPER(MID(D79,4,1))="P","Individual",IF(UPPER(MID(D79,4,1))="H","HUF",IF(UPPER(MID(D79,4,1))="C","Company",IF(UPPER(MID(D79,4,1))="F","Firm",IF(UPPER(MID(D79,4,1))="L","LLP",IF(UPPER(MID(D79,4,1))="T","Trust",IF(UPPER(MID(D79,4,1))="A","AOP","")))))))))</f>
      </c>
      <c r="G79" s="8"/>
      <c r="H79" s="7">
        <f>IF($C79="","",IF(R79&lt;&gt;"",R79,IF(G79="","",IF(E79="Y",SUMPRODUCT(('Rate Lookup'!$A$1:$A$37=G79)*'Rate Lookup'!$D$1:$D$37),IF(OR(F79="Individual",F79="HUF"),SUMPRODUCT(('Rate Lookup'!$A$1:$A$37=G79)*'Rate Lookup'!$B$1:$B$37),SUMPRODUCT(('Rate Lookup'!$A$1:$A$37=G79)*'Rate Lookup'!$C$1:$C$37)))))))</f>
      </c>
      <c r="I79" s="8"/>
      <c r="J79" s="8"/>
      <c r="K79" s="7">
        <f>IF($C79="","",IF(OR(P79="B",P79="D",P79="E",P79="N",P79="O",P79="P",P79="Q",P79="S",P79="Y",P79="Z"),0,ROUND(J79*H79/100,0)))</f>
      </c>
      <c r="L79" s="7">
        <f>IF($C79="","",0)</f>
      </c>
      <c r="M79" s="7">
        <f>IF($C79="","",0)</f>
      </c>
      <c r="N79" s="7">
        <f>IF($C79="","",IF(OR(K79=0,I79="",IFERROR(INDEX('Challan Master'!$D$4:$D$207,MATCH($B79,'Challan Master'!$S$4:$S$207,0)),"")="",IFERROR(INDEX('Challan Master'!$D$4:$D$207,MATCH($B79,'Challan Master'!$S$4:$S$207,0)),"")&lt;=0),0,IF(IFERROR(INDEX('Challan Master'!$D$4:$D$207,MATCH($B79,'Challan Master'!$S$4:$S$207,0)),"")&lt;=DATE(YEAR(I79),MONTH(I79)+1,7),0,ROUND(K79*0.015*((YEAR(IFERROR(INDEX('Challan Master'!$D$4:$D$207,MATCH($B79,'Challan Master'!$S$4:$S$207,0)),""))-YEAR(I79))*12+(MONTH(IFERROR(INDEX('Challan Master'!$D$4:$D$207,MATCH($B79,'Challan Master'!$S$4:$S$207,0)),""))-MONTH(I79))+1),0))))</f>
      </c>
      <c r="O79" s="7">
        <f>IF($C79="","",0)</f>
      </c>
      <c r="P79" s="8"/>
      <c r="Q79" s="8"/>
      <c r="R79" s="8"/>
      <c r="S79" s="8"/>
      <c r="T79" s="8"/>
      <c r="U79" s="7">
        <f>IF($B79="","",IFERROR(INDEX('Challan Master'!$AA$4:$AA$207,MATCH($B79,'Challan Master'!$S$4:$S$207,0)),""))</f>
      </c>
    </row>
    <row r="80" spans="1:22" x14ac:dyDescent="0.25">
      <c r="A80" s="7">
        <f>IF($C80="","",COUNTIF($C$4:$C80,"&lt;&gt;"))</f>
      </c>
      <c r="B80" s="8"/>
      <c r="C80" s="8"/>
      <c r="D80" s="8"/>
      <c r="E80" s="7">
        <f>IF($C80="","",IF(AND(LEN(TRIM(UPPER(D80)))=10,CODE(MID(TRIM(UPPER(D80)),1,1))&gt;=65,CODE(MID(TRIM(UPPER(D80)),1,1))&lt;=90,CODE(MID(TRIM(UPPER(D80)),2,1))&gt;=65,CODE(MID(TRIM(UPPER(D80)),2,1))&lt;=90,CODE(MID(TRIM(UPPER(D80)),3,1))&gt;=65,CODE(MID(TRIM(UPPER(D80)),3,1))&lt;=90,CODE(MID(TRIM(UPPER(D80)),4,1))&gt;=65,CODE(MID(TRIM(UPPER(D80)),4,1))&lt;=90,CODE(MID(TRIM(UPPER(D80)),5,1))&gt;=65,CODE(MID(TRIM(UPPER(D80)),5,1))&lt;=90,CODE(MID(TRIM(UPPER(D80)),10,1))&gt;=65,CODE(MID(TRIM(UPPER(D80)),10,1))&lt;=90,CODE(MID(TRIM(UPPER(D80)),6,1))&gt;=48,CODE(MID(TRIM(UPPER(D80)),6,1))&lt;=57,CODE(MID(TRIM(UPPER(D80)),7,1))&gt;=48,CODE(MID(TRIM(UPPER(D80)),7,1))&lt;=57,CODE(MID(TRIM(UPPER(D80)),8,1))&gt;=48,CODE(MID(TRIM(UPPER(D80)),8,1))&lt;=57,CODE(MID(TRIM(UPPER(D80)),9,1))&gt;=48,CODE(MID(TRIM(UPPER(D80)),9,1))&lt;=57),"N","Y"))</f>
      </c>
      <c r="F80" s="7">
        <f>IF($C80="","",IF(LEN(D80)&lt;4,"",IF(UPPER(MID(D80,4,1))="P","Individual",IF(UPPER(MID(D80,4,1))="H","HUF",IF(UPPER(MID(D80,4,1))="C","Company",IF(UPPER(MID(D80,4,1))="F","Firm",IF(UPPER(MID(D80,4,1))="L","LLP",IF(UPPER(MID(D80,4,1))="T","Trust",IF(UPPER(MID(D80,4,1))="A","AOP","")))))))))</f>
      </c>
      <c r="G80" s="8"/>
      <c r="H80" s="7">
        <f>IF($C80="","",IF(R80&lt;&gt;"",R80,IF(G80="","",IF(E80="Y",SUMPRODUCT(('Rate Lookup'!$A$1:$A$37=G80)*'Rate Lookup'!$D$1:$D$37),IF(OR(F80="Individual",F80="HUF"),SUMPRODUCT(('Rate Lookup'!$A$1:$A$37=G80)*'Rate Lookup'!$B$1:$B$37),SUMPRODUCT(('Rate Lookup'!$A$1:$A$37=G80)*'Rate Lookup'!$C$1:$C$37)))))))</f>
      </c>
      <c r="I80" s="8"/>
      <c r="J80" s="8"/>
      <c r="K80" s="7">
        <f>IF($C80="","",IF(OR(P80="B",P80="D",P80="E",P80="N",P80="O",P80="P",P80="Q",P80="S",P80="Y",P80="Z"),0,ROUND(J80*H80/100,0)))</f>
      </c>
      <c r="L80" s="7">
        <f>IF($C80="","",0)</f>
      </c>
      <c r="M80" s="7">
        <f>IF($C80="","",0)</f>
      </c>
      <c r="N80" s="7">
        <f>IF($C80="","",IF(OR(K80=0,I80="",IFERROR(INDEX('Challan Master'!$D$4:$D$207,MATCH($B80,'Challan Master'!$S$4:$S$207,0)),"")="",IFERROR(INDEX('Challan Master'!$D$4:$D$207,MATCH($B80,'Challan Master'!$S$4:$S$207,0)),"")&lt;=0),0,IF(IFERROR(INDEX('Challan Master'!$D$4:$D$207,MATCH($B80,'Challan Master'!$S$4:$S$207,0)),"")&lt;=DATE(YEAR(I80),MONTH(I80)+1,7),0,ROUND(K80*0.015*((YEAR(IFERROR(INDEX('Challan Master'!$D$4:$D$207,MATCH($B80,'Challan Master'!$S$4:$S$207,0)),""))-YEAR(I80))*12+(MONTH(IFERROR(INDEX('Challan Master'!$D$4:$D$207,MATCH($B80,'Challan Master'!$S$4:$S$207,0)),""))-MONTH(I80))+1),0))))</f>
      </c>
      <c r="O80" s="7">
        <f>IF($C80="","",0)</f>
      </c>
      <c r="P80" s="8"/>
      <c r="Q80" s="8"/>
      <c r="R80" s="8"/>
      <c r="S80" s="8"/>
      <c r="T80" s="8"/>
      <c r="U80" s="7">
        <f>IF($B80="","",IFERROR(INDEX('Challan Master'!$AA$4:$AA$207,MATCH($B80,'Challan Master'!$S$4:$S$207,0)),""))</f>
      </c>
    </row>
    <row r="81" spans="1:22" x14ac:dyDescent="0.25">
      <c r="A81" s="7">
        <f>IF($C81="","",COUNTIF($C$4:$C81,"&lt;&gt;"))</f>
      </c>
      <c r="B81" s="8"/>
      <c r="C81" s="8"/>
      <c r="D81" s="8"/>
      <c r="E81" s="7">
        <f>IF($C81="","",IF(AND(LEN(TRIM(UPPER(D81)))=10,CODE(MID(TRIM(UPPER(D81)),1,1))&gt;=65,CODE(MID(TRIM(UPPER(D81)),1,1))&lt;=90,CODE(MID(TRIM(UPPER(D81)),2,1))&gt;=65,CODE(MID(TRIM(UPPER(D81)),2,1))&lt;=90,CODE(MID(TRIM(UPPER(D81)),3,1))&gt;=65,CODE(MID(TRIM(UPPER(D81)),3,1))&lt;=90,CODE(MID(TRIM(UPPER(D81)),4,1))&gt;=65,CODE(MID(TRIM(UPPER(D81)),4,1))&lt;=90,CODE(MID(TRIM(UPPER(D81)),5,1))&gt;=65,CODE(MID(TRIM(UPPER(D81)),5,1))&lt;=90,CODE(MID(TRIM(UPPER(D81)),10,1))&gt;=65,CODE(MID(TRIM(UPPER(D81)),10,1))&lt;=90,CODE(MID(TRIM(UPPER(D81)),6,1))&gt;=48,CODE(MID(TRIM(UPPER(D81)),6,1))&lt;=57,CODE(MID(TRIM(UPPER(D81)),7,1))&gt;=48,CODE(MID(TRIM(UPPER(D81)),7,1))&lt;=57,CODE(MID(TRIM(UPPER(D81)),8,1))&gt;=48,CODE(MID(TRIM(UPPER(D81)),8,1))&lt;=57,CODE(MID(TRIM(UPPER(D81)),9,1))&gt;=48,CODE(MID(TRIM(UPPER(D81)),9,1))&lt;=57),"N","Y"))</f>
      </c>
      <c r="F81" s="7">
        <f>IF($C81="","",IF(LEN(D81)&lt;4,"",IF(UPPER(MID(D81,4,1))="P","Individual",IF(UPPER(MID(D81,4,1))="H","HUF",IF(UPPER(MID(D81,4,1))="C","Company",IF(UPPER(MID(D81,4,1))="F","Firm",IF(UPPER(MID(D81,4,1))="L","LLP",IF(UPPER(MID(D81,4,1))="T","Trust",IF(UPPER(MID(D81,4,1))="A","AOP","")))))))))</f>
      </c>
      <c r="G81" s="8"/>
      <c r="H81" s="7">
        <f>IF($C81="","",IF(R81&lt;&gt;"",R81,IF(G81="","",IF(E81="Y",SUMPRODUCT(('Rate Lookup'!$A$1:$A$37=G81)*'Rate Lookup'!$D$1:$D$37),IF(OR(F81="Individual",F81="HUF"),SUMPRODUCT(('Rate Lookup'!$A$1:$A$37=G81)*'Rate Lookup'!$B$1:$B$37),SUMPRODUCT(('Rate Lookup'!$A$1:$A$37=G81)*'Rate Lookup'!$C$1:$C$37)))))))</f>
      </c>
      <c r="I81" s="8"/>
      <c r="J81" s="8"/>
      <c r="K81" s="7">
        <f>IF($C81="","",IF(OR(P81="B",P81="D",P81="E",P81="N",P81="O",P81="P",P81="Q",P81="S",P81="Y",P81="Z"),0,ROUND(J81*H81/100,0)))</f>
      </c>
      <c r="L81" s="7">
        <f>IF($C81="","",0)</f>
      </c>
      <c r="M81" s="7">
        <f>IF($C81="","",0)</f>
      </c>
      <c r="N81" s="7">
        <f>IF($C81="","",IF(OR(K81=0,I81="",IFERROR(INDEX('Challan Master'!$D$4:$D$207,MATCH($B81,'Challan Master'!$S$4:$S$207,0)),"")="",IFERROR(INDEX('Challan Master'!$D$4:$D$207,MATCH($B81,'Challan Master'!$S$4:$S$207,0)),"")&lt;=0),0,IF(IFERROR(INDEX('Challan Master'!$D$4:$D$207,MATCH($B81,'Challan Master'!$S$4:$S$207,0)),"")&lt;=DATE(YEAR(I81),MONTH(I81)+1,7),0,ROUND(K81*0.015*((YEAR(IFERROR(INDEX('Challan Master'!$D$4:$D$207,MATCH($B81,'Challan Master'!$S$4:$S$207,0)),""))-YEAR(I81))*12+(MONTH(IFERROR(INDEX('Challan Master'!$D$4:$D$207,MATCH($B81,'Challan Master'!$S$4:$S$207,0)),""))-MONTH(I81))+1),0))))</f>
      </c>
      <c r="O81" s="7">
        <f>IF($C81="","",0)</f>
      </c>
      <c r="P81" s="8"/>
      <c r="Q81" s="8"/>
      <c r="R81" s="8"/>
      <c r="S81" s="8"/>
      <c r="T81" s="8"/>
      <c r="U81" s="7">
        <f>IF($B81="","",IFERROR(INDEX('Challan Master'!$AA$4:$AA$207,MATCH($B81,'Challan Master'!$S$4:$S$207,0)),""))</f>
      </c>
    </row>
    <row r="82" spans="1:22" x14ac:dyDescent="0.25">
      <c r="A82" s="7">
        <f>IF($C82="","",COUNTIF($C$4:$C82,"&lt;&gt;"))</f>
      </c>
      <c r="B82" s="8"/>
      <c r="C82" s="8"/>
      <c r="D82" s="8"/>
      <c r="E82" s="7">
        <f>IF($C82="","",IF(AND(LEN(TRIM(UPPER(D82)))=10,CODE(MID(TRIM(UPPER(D82)),1,1))&gt;=65,CODE(MID(TRIM(UPPER(D82)),1,1))&lt;=90,CODE(MID(TRIM(UPPER(D82)),2,1))&gt;=65,CODE(MID(TRIM(UPPER(D82)),2,1))&lt;=90,CODE(MID(TRIM(UPPER(D82)),3,1))&gt;=65,CODE(MID(TRIM(UPPER(D82)),3,1))&lt;=90,CODE(MID(TRIM(UPPER(D82)),4,1))&gt;=65,CODE(MID(TRIM(UPPER(D82)),4,1))&lt;=90,CODE(MID(TRIM(UPPER(D82)),5,1))&gt;=65,CODE(MID(TRIM(UPPER(D82)),5,1))&lt;=90,CODE(MID(TRIM(UPPER(D82)),10,1))&gt;=65,CODE(MID(TRIM(UPPER(D82)),10,1))&lt;=90,CODE(MID(TRIM(UPPER(D82)),6,1))&gt;=48,CODE(MID(TRIM(UPPER(D82)),6,1))&lt;=57,CODE(MID(TRIM(UPPER(D82)),7,1))&gt;=48,CODE(MID(TRIM(UPPER(D82)),7,1))&lt;=57,CODE(MID(TRIM(UPPER(D82)),8,1))&gt;=48,CODE(MID(TRIM(UPPER(D82)),8,1))&lt;=57,CODE(MID(TRIM(UPPER(D82)),9,1))&gt;=48,CODE(MID(TRIM(UPPER(D82)),9,1))&lt;=57),"N","Y"))</f>
      </c>
      <c r="F82" s="7">
        <f>IF($C82="","",IF(LEN(D82)&lt;4,"",IF(UPPER(MID(D82,4,1))="P","Individual",IF(UPPER(MID(D82,4,1))="H","HUF",IF(UPPER(MID(D82,4,1))="C","Company",IF(UPPER(MID(D82,4,1))="F","Firm",IF(UPPER(MID(D82,4,1))="L","LLP",IF(UPPER(MID(D82,4,1))="T","Trust",IF(UPPER(MID(D82,4,1))="A","AOP","")))))))))</f>
      </c>
      <c r="G82" s="8"/>
      <c r="H82" s="7">
        <f>IF($C82="","",IF(R82&lt;&gt;"",R82,IF(G82="","",IF(E82="Y",SUMPRODUCT(('Rate Lookup'!$A$1:$A$37=G82)*'Rate Lookup'!$D$1:$D$37),IF(OR(F82="Individual",F82="HUF"),SUMPRODUCT(('Rate Lookup'!$A$1:$A$37=G82)*'Rate Lookup'!$B$1:$B$37),SUMPRODUCT(('Rate Lookup'!$A$1:$A$37=G82)*'Rate Lookup'!$C$1:$C$37)))))))</f>
      </c>
      <c r="I82" s="8"/>
      <c r="J82" s="8"/>
      <c r="K82" s="7">
        <f>IF($C82="","",IF(OR(P82="B",P82="D",P82="E",P82="N",P82="O",P82="P",P82="Q",P82="S",P82="Y",P82="Z"),0,ROUND(J82*H82/100,0)))</f>
      </c>
      <c r="L82" s="7">
        <f>IF($C82="","",0)</f>
      </c>
      <c r="M82" s="7">
        <f>IF($C82="","",0)</f>
      </c>
      <c r="N82" s="7">
        <f>IF($C82="","",IF(OR(K82=0,I82="",IFERROR(INDEX('Challan Master'!$D$4:$D$207,MATCH($B82,'Challan Master'!$S$4:$S$207,0)),"")="",IFERROR(INDEX('Challan Master'!$D$4:$D$207,MATCH($B82,'Challan Master'!$S$4:$S$207,0)),"")&lt;=0),0,IF(IFERROR(INDEX('Challan Master'!$D$4:$D$207,MATCH($B82,'Challan Master'!$S$4:$S$207,0)),"")&lt;=DATE(YEAR(I82),MONTH(I82)+1,7),0,ROUND(K82*0.015*((YEAR(IFERROR(INDEX('Challan Master'!$D$4:$D$207,MATCH($B82,'Challan Master'!$S$4:$S$207,0)),""))-YEAR(I82))*12+(MONTH(IFERROR(INDEX('Challan Master'!$D$4:$D$207,MATCH($B82,'Challan Master'!$S$4:$S$207,0)),""))-MONTH(I82))+1),0))))</f>
      </c>
      <c r="O82" s="7">
        <f>IF($C82="","",0)</f>
      </c>
      <c r="P82" s="8"/>
      <c r="Q82" s="8"/>
      <c r="R82" s="8"/>
      <c r="S82" s="8"/>
      <c r="T82" s="8"/>
      <c r="U82" s="7">
        <f>IF($B82="","",IFERROR(INDEX('Challan Master'!$AA$4:$AA$207,MATCH($B82,'Challan Master'!$S$4:$S$207,0)),""))</f>
      </c>
    </row>
    <row r="83" spans="1:22" x14ac:dyDescent="0.25">
      <c r="A83" s="7">
        <f>IF($C83="","",COUNTIF($C$4:$C83,"&lt;&gt;"))</f>
      </c>
      <c r="B83" s="8"/>
      <c r="C83" s="8"/>
      <c r="D83" s="8"/>
      <c r="E83" s="7">
        <f>IF($C83="","",IF(AND(LEN(TRIM(UPPER(D83)))=10,CODE(MID(TRIM(UPPER(D83)),1,1))&gt;=65,CODE(MID(TRIM(UPPER(D83)),1,1))&lt;=90,CODE(MID(TRIM(UPPER(D83)),2,1))&gt;=65,CODE(MID(TRIM(UPPER(D83)),2,1))&lt;=90,CODE(MID(TRIM(UPPER(D83)),3,1))&gt;=65,CODE(MID(TRIM(UPPER(D83)),3,1))&lt;=90,CODE(MID(TRIM(UPPER(D83)),4,1))&gt;=65,CODE(MID(TRIM(UPPER(D83)),4,1))&lt;=90,CODE(MID(TRIM(UPPER(D83)),5,1))&gt;=65,CODE(MID(TRIM(UPPER(D83)),5,1))&lt;=90,CODE(MID(TRIM(UPPER(D83)),10,1))&gt;=65,CODE(MID(TRIM(UPPER(D83)),10,1))&lt;=90,CODE(MID(TRIM(UPPER(D83)),6,1))&gt;=48,CODE(MID(TRIM(UPPER(D83)),6,1))&lt;=57,CODE(MID(TRIM(UPPER(D83)),7,1))&gt;=48,CODE(MID(TRIM(UPPER(D83)),7,1))&lt;=57,CODE(MID(TRIM(UPPER(D83)),8,1))&gt;=48,CODE(MID(TRIM(UPPER(D83)),8,1))&lt;=57,CODE(MID(TRIM(UPPER(D83)),9,1))&gt;=48,CODE(MID(TRIM(UPPER(D83)),9,1))&lt;=57),"N","Y"))</f>
      </c>
      <c r="F83" s="7">
        <f>IF($C83="","",IF(LEN(D83)&lt;4,"",IF(UPPER(MID(D83,4,1))="P","Individual",IF(UPPER(MID(D83,4,1))="H","HUF",IF(UPPER(MID(D83,4,1))="C","Company",IF(UPPER(MID(D83,4,1))="F","Firm",IF(UPPER(MID(D83,4,1))="L","LLP",IF(UPPER(MID(D83,4,1))="T","Trust",IF(UPPER(MID(D83,4,1))="A","AOP","")))))))))</f>
      </c>
      <c r="G83" s="8"/>
      <c r="H83" s="7">
        <f>IF($C83="","",IF(R83&lt;&gt;"",R83,IF(G83="","",IF(E83="Y",SUMPRODUCT(('Rate Lookup'!$A$1:$A$37=G83)*'Rate Lookup'!$D$1:$D$37),IF(OR(F83="Individual",F83="HUF"),SUMPRODUCT(('Rate Lookup'!$A$1:$A$37=G83)*'Rate Lookup'!$B$1:$B$37),SUMPRODUCT(('Rate Lookup'!$A$1:$A$37=G83)*'Rate Lookup'!$C$1:$C$37)))))))</f>
      </c>
      <c r="I83" s="8"/>
      <c r="J83" s="8"/>
      <c r="K83" s="7">
        <f>IF($C83="","",IF(OR(P83="B",P83="D",P83="E",P83="N",P83="O",P83="P",P83="Q",P83="S",P83="Y",P83="Z"),0,ROUND(J83*H83/100,0)))</f>
      </c>
      <c r="L83" s="7">
        <f>IF($C83="","",0)</f>
      </c>
      <c r="M83" s="7">
        <f>IF($C83="","",0)</f>
      </c>
      <c r="N83" s="7">
        <f>IF($C83="","",IF(OR(K83=0,I83="",IFERROR(INDEX('Challan Master'!$D$4:$D$207,MATCH($B83,'Challan Master'!$S$4:$S$207,0)),"")="",IFERROR(INDEX('Challan Master'!$D$4:$D$207,MATCH($B83,'Challan Master'!$S$4:$S$207,0)),"")&lt;=0),0,IF(IFERROR(INDEX('Challan Master'!$D$4:$D$207,MATCH($B83,'Challan Master'!$S$4:$S$207,0)),"")&lt;=DATE(YEAR(I83),MONTH(I83)+1,7),0,ROUND(K83*0.015*((YEAR(IFERROR(INDEX('Challan Master'!$D$4:$D$207,MATCH($B83,'Challan Master'!$S$4:$S$207,0)),""))-YEAR(I83))*12+(MONTH(IFERROR(INDEX('Challan Master'!$D$4:$D$207,MATCH($B83,'Challan Master'!$S$4:$S$207,0)),""))-MONTH(I83))+1),0))))</f>
      </c>
      <c r="O83" s="7">
        <f>IF($C83="","",0)</f>
      </c>
      <c r="P83" s="8"/>
      <c r="Q83" s="8"/>
      <c r="R83" s="8"/>
      <c r="S83" s="8"/>
      <c r="T83" s="8"/>
      <c r="U83" s="7">
        <f>IF($B83="","",IFERROR(INDEX('Challan Master'!$AA$4:$AA$207,MATCH($B83,'Challan Master'!$S$4:$S$207,0)),""))</f>
      </c>
    </row>
    <row r="84" spans="1:22" x14ac:dyDescent="0.25">
      <c r="A84" s="7">
        <f>IF($C84="","",COUNTIF($C$4:$C84,"&lt;&gt;"))</f>
      </c>
      <c r="B84" s="8"/>
      <c r="C84" s="8"/>
      <c r="D84" s="8"/>
      <c r="E84" s="7">
        <f>IF($C84="","",IF(AND(LEN(TRIM(UPPER(D84)))=10,CODE(MID(TRIM(UPPER(D84)),1,1))&gt;=65,CODE(MID(TRIM(UPPER(D84)),1,1))&lt;=90,CODE(MID(TRIM(UPPER(D84)),2,1))&gt;=65,CODE(MID(TRIM(UPPER(D84)),2,1))&lt;=90,CODE(MID(TRIM(UPPER(D84)),3,1))&gt;=65,CODE(MID(TRIM(UPPER(D84)),3,1))&lt;=90,CODE(MID(TRIM(UPPER(D84)),4,1))&gt;=65,CODE(MID(TRIM(UPPER(D84)),4,1))&lt;=90,CODE(MID(TRIM(UPPER(D84)),5,1))&gt;=65,CODE(MID(TRIM(UPPER(D84)),5,1))&lt;=90,CODE(MID(TRIM(UPPER(D84)),10,1))&gt;=65,CODE(MID(TRIM(UPPER(D84)),10,1))&lt;=90,CODE(MID(TRIM(UPPER(D84)),6,1))&gt;=48,CODE(MID(TRIM(UPPER(D84)),6,1))&lt;=57,CODE(MID(TRIM(UPPER(D84)),7,1))&gt;=48,CODE(MID(TRIM(UPPER(D84)),7,1))&lt;=57,CODE(MID(TRIM(UPPER(D84)),8,1))&gt;=48,CODE(MID(TRIM(UPPER(D84)),8,1))&lt;=57,CODE(MID(TRIM(UPPER(D84)),9,1))&gt;=48,CODE(MID(TRIM(UPPER(D84)),9,1))&lt;=57),"N","Y"))</f>
      </c>
      <c r="F84" s="7">
        <f>IF($C84="","",IF(LEN(D84)&lt;4,"",IF(UPPER(MID(D84,4,1))="P","Individual",IF(UPPER(MID(D84,4,1))="H","HUF",IF(UPPER(MID(D84,4,1))="C","Company",IF(UPPER(MID(D84,4,1))="F","Firm",IF(UPPER(MID(D84,4,1))="L","LLP",IF(UPPER(MID(D84,4,1))="T","Trust",IF(UPPER(MID(D84,4,1))="A","AOP","")))))))))</f>
      </c>
      <c r="G84" s="8"/>
      <c r="H84" s="7">
        <f>IF($C84="","",IF(R84&lt;&gt;"",R84,IF(G84="","",IF(E84="Y",SUMPRODUCT(('Rate Lookup'!$A$1:$A$37=G84)*'Rate Lookup'!$D$1:$D$37),IF(OR(F84="Individual",F84="HUF"),SUMPRODUCT(('Rate Lookup'!$A$1:$A$37=G84)*'Rate Lookup'!$B$1:$B$37),SUMPRODUCT(('Rate Lookup'!$A$1:$A$37=G84)*'Rate Lookup'!$C$1:$C$37)))))))</f>
      </c>
      <c r="I84" s="8"/>
      <c r="J84" s="8"/>
      <c r="K84" s="7">
        <f>IF($C84="","",IF(OR(P84="B",P84="D",P84="E",P84="N",P84="O",P84="P",P84="Q",P84="S",P84="Y",P84="Z"),0,ROUND(J84*H84/100,0)))</f>
      </c>
      <c r="L84" s="7">
        <f>IF($C84="","",0)</f>
      </c>
      <c r="M84" s="7">
        <f>IF($C84="","",0)</f>
      </c>
      <c r="N84" s="7">
        <f>IF($C84="","",IF(OR(K84=0,I84="",IFERROR(INDEX('Challan Master'!$D$4:$D$207,MATCH($B84,'Challan Master'!$S$4:$S$207,0)),"")="",IFERROR(INDEX('Challan Master'!$D$4:$D$207,MATCH($B84,'Challan Master'!$S$4:$S$207,0)),"")&lt;=0),0,IF(IFERROR(INDEX('Challan Master'!$D$4:$D$207,MATCH($B84,'Challan Master'!$S$4:$S$207,0)),"")&lt;=DATE(YEAR(I84),MONTH(I84)+1,7),0,ROUND(K84*0.015*((YEAR(IFERROR(INDEX('Challan Master'!$D$4:$D$207,MATCH($B84,'Challan Master'!$S$4:$S$207,0)),""))-YEAR(I84))*12+(MONTH(IFERROR(INDEX('Challan Master'!$D$4:$D$207,MATCH($B84,'Challan Master'!$S$4:$S$207,0)),""))-MONTH(I84))+1),0))))</f>
      </c>
      <c r="O84" s="7">
        <f>IF($C84="","",0)</f>
      </c>
      <c r="P84" s="8"/>
      <c r="Q84" s="8"/>
      <c r="R84" s="8"/>
      <c r="S84" s="8"/>
      <c r="T84" s="8"/>
      <c r="U84" s="7">
        <f>IF($B84="","",IFERROR(INDEX('Challan Master'!$AA$4:$AA$207,MATCH($B84,'Challan Master'!$S$4:$S$207,0)),""))</f>
      </c>
    </row>
    <row r="85" spans="1:22" x14ac:dyDescent="0.25">
      <c r="A85" s="7">
        <f>IF($C85="","",COUNTIF($C$4:$C85,"&lt;&gt;"))</f>
      </c>
      <c r="B85" s="8"/>
      <c r="C85" s="8"/>
      <c r="D85" s="8"/>
      <c r="E85" s="7">
        <f>IF($C85="","",IF(AND(LEN(TRIM(UPPER(D85)))=10,CODE(MID(TRIM(UPPER(D85)),1,1))&gt;=65,CODE(MID(TRIM(UPPER(D85)),1,1))&lt;=90,CODE(MID(TRIM(UPPER(D85)),2,1))&gt;=65,CODE(MID(TRIM(UPPER(D85)),2,1))&lt;=90,CODE(MID(TRIM(UPPER(D85)),3,1))&gt;=65,CODE(MID(TRIM(UPPER(D85)),3,1))&lt;=90,CODE(MID(TRIM(UPPER(D85)),4,1))&gt;=65,CODE(MID(TRIM(UPPER(D85)),4,1))&lt;=90,CODE(MID(TRIM(UPPER(D85)),5,1))&gt;=65,CODE(MID(TRIM(UPPER(D85)),5,1))&lt;=90,CODE(MID(TRIM(UPPER(D85)),10,1))&gt;=65,CODE(MID(TRIM(UPPER(D85)),10,1))&lt;=90,CODE(MID(TRIM(UPPER(D85)),6,1))&gt;=48,CODE(MID(TRIM(UPPER(D85)),6,1))&lt;=57,CODE(MID(TRIM(UPPER(D85)),7,1))&gt;=48,CODE(MID(TRIM(UPPER(D85)),7,1))&lt;=57,CODE(MID(TRIM(UPPER(D85)),8,1))&gt;=48,CODE(MID(TRIM(UPPER(D85)),8,1))&lt;=57,CODE(MID(TRIM(UPPER(D85)),9,1))&gt;=48,CODE(MID(TRIM(UPPER(D85)),9,1))&lt;=57),"N","Y"))</f>
      </c>
      <c r="F85" s="7">
        <f>IF($C85="","",IF(LEN(D85)&lt;4,"",IF(UPPER(MID(D85,4,1))="P","Individual",IF(UPPER(MID(D85,4,1))="H","HUF",IF(UPPER(MID(D85,4,1))="C","Company",IF(UPPER(MID(D85,4,1))="F","Firm",IF(UPPER(MID(D85,4,1))="L","LLP",IF(UPPER(MID(D85,4,1))="T","Trust",IF(UPPER(MID(D85,4,1))="A","AOP","")))))))))</f>
      </c>
      <c r="G85" s="8"/>
      <c r="H85" s="7">
        <f>IF($C85="","",IF(R85&lt;&gt;"",R85,IF(G85="","",IF(E85="Y",SUMPRODUCT(('Rate Lookup'!$A$1:$A$37=G85)*'Rate Lookup'!$D$1:$D$37),IF(OR(F85="Individual",F85="HUF"),SUMPRODUCT(('Rate Lookup'!$A$1:$A$37=G85)*'Rate Lookup'!$B$1:$B$37),SUMPRODUCT(('Rate Lookup'!$A$1:$A$37=G85)*'Rate Lookup'!$C$1:$C$37)))))))</f>
      </c>
      <c r="I85" s="8"/>
      <c r="J85" s="8"/>
      <c r="K85" s="7">
        <f>IF($C85="","",IF(OR(P85="B",P85="D",P85="E",P85="N",P85="O",P85="P",P85="Q",P85="S",P85="Y",P85="Z"),0,ROUND(J85*H85/100,0)))</f>
      </c>
      <c r="L85" s="7">
        <f>IF($C85="","",0)</f>
      </c>
      <c r="M85" s="7">
        <f>IF($C85="","",0)</f>
      </c>
      <c r="N85" s="7">
        <f>IF($C85="","",IF(OR(K85=0,I85="",IFERROR(INDEX('Challan Master'!$D$4:$D$207,MATCH($B85,'Challan Master'!$S$4:$S$207,0)),"")="",IFERROR(INDEX('Challan Master'!$D$4:$D$207,MATCH($B85,'Challan Master'!$S$4:$S$207,0)),"")&lt;=0),0,IF(IFERROR(INDEX('Challan Master'!$D$4:$D$207,MATCH($B85,'Challan Master'!$S$4:$S$207,0)),"")&lt;=DATE(YEAR(I85),MONTH(I85)+1,7),0,ROUND(K85*0.015*((YEAR(IFERROR(INDEX('Challan Master'!$D$4:$D$207,MATCH($B85,'Challan Master'!$S$4:$S$207,0)),""))-YEAR(I85))*12+(MONTH(IFERROR(INDEX('Challan Master'!$D$4:$D$207,MATCH($B85,'Challan Master'!$S$4:$S$207,0)),""))-MONTH(I85))+1),0))))</f>
      </c>
      <c r="O85" s="7">
        <f>IF($C85="","",0)</f>
      </c>
      <c r="P85" s="8"/>
      <c r="Q85" s="8"/>
      <c r="R85" s="8"/>
      <c r="S85" s="8"/>
      <c r="T85" s="8"/>
      <c r="U85" s="7">
        <f>IF($B85="","",IFERROR(INDEX('Challan Master'!$AA$4:$AA$207,MATCH($B85,'Challan Master'!$S$4:$S$207,0)),""))</f>
      </c>
    </row>
    <row r="86" spans="1:22" x14ac:dyDescent="0.25">
      <c r="A86" s="7">
        <f>IF($C86="","",COUNTIF($C$4:$C86,"&lt;&gt;"))</f>
      </c>
      <c r="B86" s="8"/>
      <c r="C86" s="8"/>
      <c r="D86" s="8"/>
      <c r="E86" s="7">
        <f>IF($C86="","",IF(AND(LEN(TRIM(UPPER(D86)))=10,CODE(MID(TRIM(UPPER(D86)),1,1))&gt;=65,CODE(MID(TRIM(UPPER(D86)),1,1))&lt;=90,CODE(MID(TRIM(UPPER(D86)),2,1))&gt;=65,CODE(MID(TRIM(UPPER(D86)),2,1))&lt;=90,CODE(MID(TRIM(UPPER(D86)),3,1))&gt;=65,CODE(MID(TRIM(UPPER(D86)),3,1))&lt;=90,CODE(MID(TRIM(UPPER(D86)),4,1))&gt;=65,CODE(MID(TRIM(UPPER(D86)),4,1))&lt;=90,CODE(MID(TRIM(UPPER(D86)),5,1))&gt;=65,CODE(MID(TRIM(UPPER(D86)),5,1))&lt;=90,CODE(MID(TRIM(UPPER(D86)),10,1))&gt;=65,CODE(MID(TRIM(UPPER(D86)),10,1))&lt;=90,CODE(MID(TRIM(UPPER(D86)),6,1))&gt;=48,CODE(MID(TRIM(UPPER(D86)),6,1))&lt;=57,CODE(MID(TRIM(UPPER(D86)),7,1))&gt;=48,CODE(MID(TRIM(UPPER(D86)),7,1))&lt;=57,CODE(MID(TRIM(UPPER(D86)),8,1))&gt;=48,CODE(MID(TRIM(UPPER(D86)),8,1))&lt;=57,CODE(MID(TRIM(UPPER(D86)),9,1))&gt;=48,CODE(MID(TRIM(UPPER(D86)),9,1))&lt;=57),"N","Y"))</f>
      </c>
      <c r="F86" s="7">
        <f>IF($C86="","",IF(LEN(D86)&lt;4,"",IF(UPPER(MID(D86,4,1))="P","Individual",IF(UPPER(MID(D86,4,1))="H","HUF",IF(UPPER(MID(D86,4,1))="C","Company",IF(UPPER(MID(D86,4,1))="F","Firm",IF(UPPER(MID(D86,4,1))="L","LLP",IF(UPPER(MID(D86,4,1))="T","Trust",IF(UPPER(MID(D86,4,1))="A","AOP","")))))))))</f>
      </c>
      <c r="G86" s="8"/>
      <c r="H86" s="7">
        <f>IF($C86="","",IF(R86&lt;&gt;"",R86,IF(G86="","",IF(E86="Y",SUMPRODUCT(('Rate Lookup'!$A$1:$A$37=G86)*'Rate Lookup'!$D$1:$D$37),IF(OR(F86="Individual",F86="HUF"),SUMPRODUCT(('Rate Lookup'!$A$1:$A$37=G86)*'Rate Lookup'!$B$1:$B$37),SUMPRODUCT(('Rate Lookup'!$A$1:$A$37=G86)*'Rate Lookup'!$C$1:$C$37)))))))</f>
      </c>
      <c r="I86" s="8"/>
      <c r="J86" s="8"/>
      <c r="K86" s="7">
        <f>IF($C86="","",IF(OR(P86="B",P86="D",P86="E",P86="N",P86="O",P86="P",P86="Q",P86="S",P86="Y",P86="Z"),0,ROUND(J86*H86/100,0)))</f>
      </c>
      <c r="L86" s="7">
        <f>IF($C86="","",0)</f>
      </c>
      <c r="M86" s="7">
        <f>IF($C86="","",0)</f>
      </c>
      <c r="N86" s="7">
        <f>IF($C86="","",IF(OR(K86=0,I86="",IFERROR(INDEX('Challan Master'!$D$4:$D$207,MATCH($B86,'Challan Master'!$S$4:$S$207,0)),"")="",IFERROR(INDEX('Challan Master'!$D$4:$D$207,MATCH($B86,'Challan Master'!$S$4:$S$207,0)),"")&lt;=0),0,IF(IFERROR(INDEX('Challan Master'!$D$4:$D$207,MATCH($B86,'Challan Master'!$S$4:$S$207,0)),"")&lt;=DATE(YEAR(I86),MONTH(I86)+1,7),0,ROUND(K86*0.015*((YEAR(IFERROR(INDEX('Challan Master'!$D$4:$D$207,MATCH($B86,'Challan Master'!$S$4:$S$207,0)),""))-YEAR(I86))*12+(MONTH(IFERROR(INDEX('Challan Master'!$D$4:$D$207,MATCH($B86,'Challan Master'!$S$4:$S$207,0)),""))-MONTH(I86))+1),0))))</f>
      </c>
      <c r="O86" s="7">
        <f>IF($C86="","",0)</f>
      </c>
      <c r="P86" s="8"/>
      <c r="Q86" s="8"/>
      <c r="R86" s="8"/>
      <c r="S86" s="8"/>
      <c r="T86" s="8"/>
      <c r="U86" s="7">
        <f>IF($B86="","",IFERROR(INDEX('Challan Master'!$AA$4:$AA$207,MATCH($B86,'Challan Master'!$S$4:$S$207,0)),""))</f>
      </c>
    </row>
    <row r="87" spans="1:22" x14ac:dyDescent="0.25">
      <c r="A87" s="7">
        <f>IF($C87="","",COUNTIF($C$4:$C87,"&lt;&gt;"))</f>
      </c>
      <c r="B87" s="8"/>
      <c r="C87" s="8"/>
      <c r="D87" s="8"/>
      <c r="E87" s="7">
        <f>IF($C87="","",IF(AND(LEN(TRIM(UPPER(D87)))=10,CODE(MID(TRIM(UPPER(D87)),1,1))&gt;=65,CODE(MID(TRIM(UPPER(D87)),1,1))&lt;=90,CODE(MID(TRIM(UPPER(D87)),2,1))&gt;=65,CODE(MID(TRIM(UPPER(D87)),2,1))&lt;=90,CODE(MID(TRIM(UPPER(D87)),3,1))&gt;=65,CODE(MID(TRIM(UPPER(D87)),3,1))&lt;=90,CODE(MID(TRIM(UPPER(D87)),4,1))&gt;=65,CODE(MID(TRIM(UPPER(D87)),4,1))&lt;=90,CODE(MID(TRIM(UPPER(D87)),5,1))&gt;=65,CODE(MID(TRIM(UPPER(D87)),5,1))&lt;=90,CODE(MID(TRIM(UPPER(D87)),10,1))&gt;=65,CODE(MID(TRIM(UPPER(D87)),10,1))&lt;=90,CODE(MID(TRIM(UPPER(D87)),6,1))&gt;=48,CODE(MID(TRIM(UPPER(D87)),6,1))&lt;=57,CODE(MID(TRIM(UPPER(D87)),7,1))&gt;=48,CODE(MID(TRIM(UPPER(D87)),7,1))&lt;=57,CODE(MID(TRIM(UPPER(D87)),8,1))&gt;=48,CODE(MID(TRIM(UPPER(D87)),8,1))&lt;=57,CODE(MID(TRIM(UPPER(D87)),9,1))&gt;=48,CODE(MID(TRIM(UPPER(D87)),9,1))&lt;=57),"N","Y"))</f>
      </c>
      <c r="F87" s="7">
        <f>IF($C87="","",IF(LEN(D87)&lt;4,"",IF(UPPER(MID(D87,4,1))="P","Individual",IF(UPPER(MID(D87,4,1))="H","HUF",IF(UPPER(MID(D87,4,1))="C","Company",IF(UPPER(MID(D87,4,1))="F","Firm",IF(UPPER(MID(D87,4,1))="L","LLP",IF(UPPER(MID(D87,4,1))="T","Trust",IF(UPPER(MID(D87,4,1))="A","AOP","")))))))))</f>
      </c>
      <c r="G87" s="8"/>
      <c r="H87" s="7">
        <f>IF($C87="","",IF(R87&lt;&gt;"",R87,IF(G87="","",IF(E87="Y",SUMPRODUCT(('Rate Lookup'!$A$1:$A$37=G87)*'Rate Lookup'!$D$1:$D$37),IF(OR(F87="Individual",F87="HUF"),SUMPRODUCT(('Rate Lookup'!$A$1:$A$37=G87)*'Rate Lookup'!$B$1:$B$37),SUMPRODUCT(('Rate Lookup'!$A$1:$A$37=G87)*'Rate Lookup'!$C$1:$C$37)))))))</f>
      </c>
      <c r="I87" s="8"/>
      <c r="J87" s="8"/>
      <c r="K87" s="7">
        <f>IF($C87="","",IF(OR(P87="B",P87="D",P87="E",P87="N",P87="O",P87="P",P87="Q",P87="S",P87="Y",P87="Z"),0,ROUND(J87*H87/100,0)))</f>
      </c>
      <c r="L87" s="7">
        <f>IF($C87="","",0)</f>
      </c>
      <c r="M87" s="7">
        <f>IF($C87="","",0)</f>
      </c>
      <c r="N87" s="7">
        <f>IF($C87="","",IF(OR(K87=0,I87="",IFERROR(INDEX('Challan Master'!$D$4:$D$207,MATCH($B87,'Challan Master'!$S$4:$S$207,0)),"")="",IFERROR(INDEX('Challan Master'!$D$4:$D$207,MATCH($B87,'Challan Master'!$S$4:$S$207,0)),"")&lt;=0),0,IF(IFERROR(INDEX('Challan Master'!$D$4:$D$207,MATCH($B87,'Challan Master'!$S$4:$S$207,0)),"")&lt;=DATE(YEAR(I87),MONTH(I87)+1,7),0,ROUND(K87*0.015*((YEAR(IFERROR(INDEX('Challan Master'!$D$4:$D$207,MATCH($B87,'Challan Master'!$S$4:$S$207,0)),""))-YEAR(I87))*12+(MONTH(IFERROR(INDEX('Challan Master'!$D$4:$D$207,MATCH($B87,'Challan Master'!$S$4:$S$207,0)),""))-MONTH(I87))+1),0))))</f>
      </c>
      <c r="O87" s="7">
        <f>IF($C87="","",0)</f>
      </c>
      <c r="P87" s="8"/>
      <c r="Q87" s="8"/>
      <c r="R87" s="8"/>
      <c r="S87" s="8"/>
      <c r="T87" s="8"/>
      <c r="U87" s="7">
        <f>IF($B87="","",IFERROR(INDEX('Challan Master'!$AA$4:$AA$207,MATCH($B87,'Challan Master'!$S$4:$S$207,0)),""))</f>
      </c>
    </row>
    <row r="88" spans="1:22" x14ac:dyDescent="0.25">
      <c r="A88" s="7">
        <f>IF($C88="","",COUNTIF($C$4:$C88,"&lt;&gt;"))</f>
      </c>
      <c r="B88" s="8"/>
      <c r="C88" s="8"/>
      <c r="D88" s="8"/>
      <c r="E88" s="7">
        <f>IF($C88="","",IF(AND(LEN(TRIM(UPPER(D88)))=10,CODE(MID(TRIM(UPPER(D88)),1,1))&gt;=65,CODE(MID(TRIM(UPPER(D88)),1,1))&lt;=90,CODE(MID(TRIM(UPPER(D88)),2,1))&gt;=65,CODE(MID(TRIM(UPPER(D88)),2,1))&lt;=90,CODE(MID(TRIM(UPPER(D88)),3,1))&gt;=65,CODE(MID(TRIM(UPPER(D88)),3,1))&lt;=90,CODE(MID(TRIM(UPPER(D88)),4,1))&gt;=65,CODE(MID(TRIM(UPPER(D88)),4,1))&lt;=90,CODE(MID(TRIM(UPPER(D88)),5,1))&gt;=65,CODE(MID(TRIM(UPPER(D88)),5,1))&lt;=90,CODE(MID(TRIM(UPPER(D88)),10,1))&gt;=65,CODE(MID(TRIM(UPPER(D88)),10,1))&lt;=90,CODE(MID(TRIM(UPPER(D88)),6,1))&gt;=48,CODE(MID(TRIM(UPPER(D88)),6,1))&lt;=57,CODE(MID(TRIM(UPPER(D88)),7,1))&gt;=48,CODE(MID(TRIM(UPPER(D88)),7,1))&lt;=57,CODE(MID(TRIM(UPPER(D88)),8,1))&gt;=48,CODE(MID(TRIM(UPPER(D88)),8,1))&lt;=57,CODE(MID(TRIM(UPPER(D88)),9,1))&gt;=48,CODE(MID(TRIM(UPPER(D88)),9,1))&lt;=57),"N","Y"))</f>
      </c>
      <c r="F88" s="7">
        <f>IF($C88="","",IF(LEN(D88)&lt;4,"",IF(UPPER(MID(D88,4,1))="P","Individual",IF(UPPER(MID(D88,4,1))="H","HUF",IF(UPPER(MID(D88,4,1))="C","Company",IF(UPPER(MID(D88,4,1))="F","Firm",IF(UPPER(MID(D88,4,1))="L","LLP",IF(UPPER(MID(D88,4,1))="T","Trust",IF(UPPER(MID(D88,4,1))="A","AOP","")))))))))</f>
      </c>
      <c r="G88" s="8"/>
      <c r="H88" s="7">
        <f>IF($C88="","",IF(R88&lt;&gt;"",R88,IF(G88="","",IF(E88="Y",SUMPRODUCT(('Rate Lookup'!$A$1:$A$37=G88)*'Rate Lookup'!$D$1:$D$37),IF(OR(F88="Individual",F88="HUF"),SUMPRODUCT(('Rate Lookup'!$A$1:$A$37=G88)*'Rate Lookup'!$B$1:$B$37),SUMPRODUCT(('Rate Lookup'!$A$1:$A$37=G88)*'Rate Lookup'!$C$1:$C$37)))))))</f>
      </c>
      <c r="I88" s="8"/>
      <c r="J88" s="8"/>
      <c r="K88" s="7">
        <f>IF($C88="","",IF(OR(P88="B",P88="D",P88="E",P88="N",P88="O",P88="P",P88="Q",P88="S",P88="Y",P88="Z"),0,ROUND(J88*H88/100,0)))</f>
      </c>
      <c r="L88" s="7">
        <f>IF($C88="","",0)</f>
      </c>
      <c r="M88" s="7">
        <f>IF($C88="","",0)</f>
      </c>
      <c r="N88" s="7">
        <f>IF($C88="","",IF(OR(K88=0,I88="",IFERROR(INDEX('Challan Master'!$D$4:$D$207,MATCH($B88,'Challan Master'!$S$4:$S$207,0)),"")="",IFERROR(INDEX('Challan Master'!$D$4:$D$207,MATCH($B88,'Challan Master'!$S$4:$S$207,0)),"")&lt;=0),0,IF(IFERROR(INDEX('Challan Master'!$D$4:$D$207,MATCH($B88,'Challan Master'!$S$4:$S$207,0)),"")&lt;=DATE(YEAR(I88),MONTH(I88)+1,7),0,ROUND(K88*0.015*((YEAR(IFERROR(INDEX('Challan Master'!$D$4:$D$207,MATCH($B88,'Challan Master'!$S$4:$S$207,0)),""))-YEAR(I88))*12+(MONTH(IFERROR(INDEX('Challan Master'!$D$4:$D$207,MATCH($B88,'Challan Master'!$S$4:$S$207,0)),""))-MONTH(I88))+1),0))))</f>
      </c>
      <c r="O88" s="7">
        <f>IF($C88="","",0)</f>
      </c>
      <c r="P88" s="8"/>
      <c r="Q88" s="8"/>
      <c r="R88" s="8"/>
      <c r="S88" s="8"/>
      <c r="T88" s="8"/>
      <c r="U88" s="7">
        <f>IF($B88="","",IFERROR(INDEX('Challan Master'!$AA$4:$AA$207,MATCH($B88,'Challan Master'!$S$4:$S$207,0)),""))</f>
      </c>
    </row>
    <row r="89" spans="1:22" x14ac:dyDescent="0.25">
      <c r="A89" s="7">
        <f>IF($C89="","",COUNTIF($C$4:$C89,"&lt;&gt;"))</f>
      </c>
      <c r="B89" s="8"/>
      <c r="C89" s="8"/>
      <c r="D89" s="8"/>
      <c r="E89" s="7">
        <f>IF($C89="","",IF(AND(LEN(TRIM(UPPER(D89)))=10,CODE(MID(TRIM(UPPER(D89)),1,1))&gt;=65,CODE(MID(TRIM(UPPER(D89)),1,1))&lt;=90,CODE(MID(TRIM(UPPER(D89)),2,1))&gt;=65,CODE(MID(TRIM(UPPER(D89)),2,1))&lt;=90,CODE(MID(TRIM(UPPER(D89)),3,1))&gt;=65,CODE(MID(TRIM(UPPER(D89)),3,1))&lt;=90,CODE(MID(TRIM(UPPER(D89)),4,1))&gt;=65,CODE(MID(TRIM(UPPER(D89)),4,1))&lt;=90,CODE(MID(TRIM(UPPER(D89)),5,1))&gt;=65,CODE(MID(TRIM(UPPER(D89)),5,1))&lt;=90,CODE(MID(TRIM(UPPER(D89)),10,1))&gt;=65,CODE(MID(TRIM(UPPER(D89)),10,1))&lt;=90,CODE(MID(TRIM(UPPER(D89)),6,1))&gt;=48,CODE(MID(TRIM(UPPER(D89)),6,1))&lt;=57,CODE(MID(TRIM(UPPER(D89)),7,1))&gt;=48,CODE(MID(TRIM(UPPER(D89)),7,1))&lt;=57,CODE(MID(TRIM(UPPER(D89)),8,1))&gt;=48,CODE(MID(TRIM(UPPER(D89)),8,1))&lt;=57,CODE(MID(TRIM(UPPER(D89)),9,1))&gt;=48,CODE(MID(TRIM(UPPER(D89)),9,1))&lt;=57),"N","Y"))</f>
      </c>
      <c r="F89" s="7">
        <f>IF($C89="","",IF(LEN(D89)&lt;4,"",IF(UPPER(MID(D89,4,1))="P","Individual",IF(UPPER(MID(D89,4,1))="H","HUF",IF(UPPER(MID(D89,4,1))="C","Company",IF(UPPER(MID(D89,4,1))="F","Firm",IF(UPPER(MID(D89,4,1))="L","LLP",IF(UPPER(MID(D89,4,1))="T","Trust",IF(UPPER(MID(D89,4,1))="A","AOP","")))))))))</f>
      </c>
      <c r="G89" s="8"/>
      <c r="H89" s="7">
        <f>IF($C89="","",IF(R89&lt;&gt;"",R89,IF(G89="","",IF(E89="Y",SUMPRODUCT(('Rate Lookup'!$A$1:$A$37=G89)*'Rate Lookup'!$D$1:$D$37),IF(OR(F89="Individual",F89="HUF"),SUMPRODUCT(('Rate Lookup'!$A$1:$A$37=G89)*'Rate Lookup'!$B$1:$B$37),SUMPRODUCT(('Rate Lookup'!$A$1:$A$37=G89)*'Rate Lookup'!$C$1:$C$37)))))))</f>
      </c>
      <c r="I89" s="8"/>
      <c r="J89" s="8"/>
      <c r="K89" s="7">
        <f>IF($C89="","",IF(OR(P89="B",P89="D",P89="E",P89="N",P89="O",P89="P",P89="Q",P89="S",P89="Y",P89="Z"),0,ROUND(J89*H89/100,0)))</f>
      </c>
      <c r="L89" s="7">
        <f>IF($C89="","",0)</f>
      </c>
      <c r="M89" s="7">
        <f>IF($C89="","",0)</f>
      </c>
      <c r="N89" s="7">
        <f>IF($C89="","",IF(OR(K89=0,I89="",IFERROR(INDEX('Challan Master'!$D$4:$D$207,MATCH($B89,'Challan Master'!$S$4:$S$207,0)),"")="",IFERROR(INDEX('Challan Master'!$D$4:$D$207,MATCH($B89,'Challan Master'!$S$4:$S$207,0)),"")&lt;=0),0,IF(IFERROR(INDEX('Challan Master'!$D$4:$D$207,MATCH($B89,'Challan Master'!$S$4:$S$207,0)),"")&lt;=DATE(YEAR(I89),MONTH(I89)+1,7),0,ROUND(K89*0.015*((YEAR(IFERROR(INDEX('Challan Master'!$D$4:$D$207,MATCH($B89,'Challan Master'!$S$4:$S$207,0)),""))-YEAR(I89))*12+(MONTH(IFERROR(INDEX('Challan Master'!$D$4:$D$207,MATCH($B89,'Challan Master'!$S$4:$S$207,0)),""))-MONTH(I89))+1),0))))</f>
      </c>
      <c r="O89" s="7">
        <f>IF($C89="","",0)</f>
      </c>
      <c r="P89" s="8"/>
      <c r="Q89" s="8"/>
      <c r="R89" s="8"/>
      <c r="S89" s="8"/>
      <c r="T89" s="8"/>
      <c r="U89" s="7">
        <f>IF($B89="","",IFERROR(INDEX('Challan Master'!$AA$4:$AA$207,MATCH($B89,'Challan Master'!$S$4:$S$207,0)),""))</f>
      </c>
    </row>
    <row r="90" spans="1:22" x14ac:dyDescent="0.25">
      <c r="A90" s="7">
        <f>IF($C90="","",COUNTIF($C$4:$C90,"&lt;&gt;"))</f>
      </c>
      <c r="B90" s="8"/>
      <c r="C90" s="8"/>
      <c r="D90" s="8"/>
      <c r="E90" s="7">
        <f>IF($C90="","",IF(AND(LEN(TRIM(UPPER(D90)))=10,CODE(MID(TRIM(UPPER(D90)),1,1))&gt;=65,CODE(MID(TRIM(UPPER(D90)),1,1))&lt;=90,CODE(MID(TRIM(UPPER(D90)),2,1))&gt;=65,CODE(MID(TRIM(UPPER(D90)),2,1))&lt;=90,CODE(MID(TRIM(UPPER(D90)),3,1))&gt;=65,CODE(MID(TRIM(UPPER(D90)),3,1))&lt;=90,CODE(MID(TRIM(UPPER(D90)),4,1))&gt;=65,CODE(MID(TRIM(UPPER(D90)),4,1))&lt;=90,CODE(MID(TRIM(UPPER(D90)),5,1))&gt;=65,CODE(MID(TRIM(UPPER(D90)),5,1))&lt;=90,CODE(MID(TRIM(UPPER(D90)),10,1))&gt;=65,CODE(MID(TRIM(UPPER(D90)),10,1))&lt;=90,CODE(MID(TRIM(UPPER(D90)),6,1))&gt;=48,CODE(MID(TRIM(UPPER(D90)),6,1))&lt;=57,CODE(MID(TRIM(UPPER(D90)),7,1))&gt;=48,CODE(MID(TRIM(UPPER(D90)),7,1))&lt;=57,CODE(MID(TRIM(UPPER(D90)),8,1))&gt;=48,CODE(MID(TRIM(UPPER(D90)),8,1))&lt;=57,CODE(MID(TRIM(UPPER(D90)),9,1))&gt;=48,CODE(MID(TRIM(UPPER(D90)),9,1))&lt;=57),"N","Y"))</f>
      </c>
      <c r="F90" s="7">
        <f>IF($C90="","",IF(LEN(D90)&lt;4,"",IF(UPPER(MID(D90,4,1))="P","Individual",IF(UPPER(MID(D90,4,1))="H","HUF",IF(UPPER(MID(D90,4,1))="C","Company",IF(UPPER(MID(D90,4,1))="F","Firm",IF(UPPER(MID(D90,4,1))="L","LLP",IF(UPPER(MID(D90,4,1))="T","Trust",IF(UPPER(MID(D90,4,1))="A","AOP","")))))))))</f>
      </c>
      <c r="G90" s="8"/>
      <c r="H90" s="7">
        <f>IF($C90="","",IF(R90&lt;&gt;"",R90,IF(G90="","",IF(E90="Y",SUMPRODUCT(('Rate Lookup'!$A$1:$A$37=G90)*'Rate Lookup'!$D$1:$D$37),IF(OR(F90="Individual",F90="HUF"),SUMPRODUCT(('Rate Lookup'!$A$1:$A$37=G90)*'Rate Lookup'!$B$1:$B$37),SUMPRODUCT(('Rate Lookup'!$A$1:$A$37=G90)*'Rate Lookup'!$C$1:$C$37)))))))</f>
      </c>
      <c r="I90" s="8"/>
      <c r="J90" s="8"/>
      <c r="K90" s="7">
        <f>IF($C90="","",IF(OR(P90="B",P90="D",P90="E",P90="N",P90="O",P90="P",P90="Q",P90="S",P90="Y",P90="Z"),0,ROUND(J90*H90/100,0)))</f>
      </c>
      <c r="L90" s="7">
        <f>IF($C90="","",0)</f>
      </c>
      <c r="M90" s="7">
        <f>IF($C90="","",0)</f>
      </c>
      <c r="N90" s="7">
        <f>IF($C90="","",IF(OR(K90=0,I90="",IFERROR(INDEX('Challan Master'!$D$4:$D$207,MATCH($B90,'Challan Master'!$S$4:$S$207,0)),"")="",IFERROR(INDEX('Challan Master'!$D$4:$D$207,MATCH($B90,'Challan Master'!$S$4:$S$207,0)),"")&lt;=0),0,IF(IFERROR(INDEX('Challan Master'!$D$4:$D$207,MATCH($B90,'Challan Master'!$S$4:$S$207,0)),"")&lt;=DATE(YEAR(I90),MONTH(I90)+1,7),0,ROUND(K90*0.015*((YEAR(IFERROR(INDEX('Challan Master'!$D$4:$D$207,MATCH($B90,'Challan Master'!$S$4:$S$207,0)),""))-YEAR(I90))*12+(MONTH(IFERROR(INDEX('Challan Master'!$D$4:$D$207,MATCH($B90,'Challan Master'!$S$4:$S$207,0)),""))-MONTH(I90))+1),0))))</f>
      </c>
      <c r="O90" s="7">
        <f>IF($C90="","",0)</f>
      </c>
      <c r="P90" s="8"/>
      <c r="Q90" s="8"/>
      <c r="R90" s="8"/>
      <c r="S90" s="8"/>
      <c r="T90" s="8"/>
      <c r="U90" s="7">
        <f>IF($B90="","",IFERROR(INDEX('Challan Master'!$AA$4:$AA$207,MATCH($B90,'Challan Master'!$S$4:$S$207,0)),""))</f>
      </c>
    </row>
    <row r="91" spans="1:22" x14ac:dyDescent="0.25">
      <c r="A91" s="7">
        <f>IF($C91="","",COUNTIF($C$4:$C91,"&lt;&gt;"))</f>
      </c>
      <c r="B91" s="8"/>
      <c r="C91" s="8"/>
      <c r="D91" s="8"/>
      <c r="E91" s="7">
        <f>IF($C91="","",IF(AND(LEN(TRIM(UPPER(D91)))=10,CODE(MID(TRIM(UPPER(D91)),1,1))&gt;=65,CODE(MID(TRIM(UPPER(D91)),1,1))&lt;=90,CODE(MID(TRIM(UPPER(D91)),2,1))&gt;=65,CODE(MID(TRIM(UPPER(D91)),2,1))&lt;=90,CODE(MID(TRIM(UPPER(D91)),3,1))&gt;=65,CODE(MID(TRIM(UPPER(D91)),3,1))&lt;=90,CODE(MID(TRIM(UPPER(D91)),4,1))&gt;=65,CODE(MID(TRIM(UPPER(D91)),4,1))&lt;=90,CODE(MID(TRIM(UPPER(D91)),5,1))&gt;=65,CODE(MID(TRIM(UPPER(D91)),5,1))&lt;=90,CODE(MID(TRIM(UPPER(D91)),10,1))&gt;=65,CODE(MID(TRIM(UPPER(D91)),10,1))&lt;=90,CODE(MID(TRIM(UPPER(D91)),6,1))&gt;=48,CODE(MID(TRIM(UPPER(D91)),6,1))&lt;=57,CODE(MID(TRIM(UPPER(D91)),7,1))&gt;=48,CODE(MID(TRIM(UPPER(D91)),7,1))&lt;=57,CODE(MID(TRIM(UPPER(D91)),8,1))&gt;=48,CODE(MID(TRIM(UPPER(D91)),8,1))&lt;=57,CODE(MID(TRIM(UPPER(D91)),9,1))&gt;=48,CODE(MID(TRIM(UPPER(D91)),9,1))&lt;=57),"N","Y"))</f>
      </c>
      <c r="F91" s="7">
        <f>IF($C91="","",IF(LEN(D91)&lt;4,"",IF(UPPER(MID(D91,4,1))="P","Individual",IF(UPPER(MID(D91,4,1))="H","HUF",IF(UPPER(MID(D91,4,1))="C","Company",IF(UPPER(MID(D91,4,1))="F","Firm",IF(UPPER(MID(D91,4,1))="L","LLP",IF(UPPER(MID(D91,4,1))="T","Trust",IF(UPPER(MID(D91,4,1))="A","AOP","")))))))))</f>
      </c>
      <c r="G91" s="8"/>
      <c r="H91" s="7">
        <f>IF($C91="","",IF(R91&lt;&gt;"",R91,IF(G91="","",IF(E91="Y",SUMPRODUCT(('Rate Lookup'!$A$1:$A$37=G91)*'Rate Lookup'!$D$1:$D$37),IF(OR(F91="Individual",F91="HUF"),SUMPRODUCT(('Rate Lookup'!$A$1:$A$37=G91)*'Rate Lookup'!$B$1:$B$37),SUMPRODUCT(('Rate Lookup'!$A$1:$A$37=G91)*'Rate Lookup'!$C$1:$C$37)))))))</f>
      </c>
      <c r="I91" s="8"/>
      <c r="J91" s="8"/>
      <c r="K91" s="7">
        <f>IF($C91="","",IF(OR(P91="B",P91="D",P91="E",P91="N",P91="O",P91="P",P91="Q",P91="S",P91="Y",P91="Z"),0,ROUND(J91*H91/100,0)))</f>
      </c>
      <c r="L91" s="7">
        <f>IF($C91="","",0)</f>
      </c>
      <c r="M91" s="7">
        <f>IF($C91="","",0)</f>
      </c>
      <c r="N91" s="7">
        <f>IF($C91="","",IF(OR(K91=0,I91="",IFERROR(INDEX('Challan Master'!$D$4:$D$207,MATCH($B91,'Challan Master'!$S$4:$S$207,0)),"")="",IFERROR(INDEX('Challan Master'!$D$4:$D$207,MATCH($B91,'Challan Master'!$S$4:$S$207,0)),"")&lt;=0),0,IF(IFERROR(INDEX('Challan Master'!$D$4:$D$207,MATCH($B91,'Challan Master'!$S$4:$S$207,0)),"")&lt;=DATE(YEAR(I91),MONTH(I91)+1,7),0,ROUND(K91*0.015*((YEAR(IFERROR(INDEX('Challan Master'!$D$4:$D$207,MATCH($B91,'Challan Master'!$S$4:$S$207,0)),""))-YEAR(I91))*12+(MONTH(IFERROR(INDEX('Challan Master'!$D$4:$D$207,MATCH($B91,'Challan Master'!$S$4:$S$207,0)),""))-MONTH(I91))+1),0))))</f>
      </c>
      <c r="O91" s="7">
        <f>IF($C91="","",0)</f>
      </c>
      <c r="P91" s="8"/>
      <c r="Q91" s="8"/>
      <c r="R91" s="8"/>
      <c r="S91" s="8"/>
      <c r="T91" s="8"/>
      <c r="U91" s="7">
        <f>IF($B91="","",IFERROR(INDEX('Challan Master'!$AA$4:$AA$207,MATCH($B91,'Challan Master'!$S$4:$S$207,0)),""))</f>
      </c>
    </row>
    <row r="92" spans="1:22" x14ac:dyDescent="0.25">
      <c r="A92" s="7">
        <f>IF($C92="","",COUNTIF($C$4:$C92,"&lt;&gt;"))</f>
      </c>
      <c r="B92" s="8"/>
      <c r="C92" s="8"/>
      <c r="D92" s="8"/>
      <c r="E92" s="7">
        <f>IF($C92="","",IF(AND(LEN(TRIM(UPPER(D92)))=10,CODE(MID(TRIM(UPPER(D92)),1,1))&gt;=65,CODE(MID(TRIM(UPPER(D92)),1,1))&lt;=90,CODE(MID(TRIM(UPPER(D92)),2,1))&gt;=65,CODE(MID(TRIM(UPPER(D92)),2,1))&lt;=90,CODE(MID(TRIM(UPPER(D92)),3,1))&gt;=65,CODE(MID(TRIM(UPPER(D92)),3,1))&lt;=90,CODE(MID(TRIM(UPPER(D92)),4,1))&gt;=65,CODE(MID(TRIM(UPPER(D92)),4,1))&lt;=90,CODE(MID(TRIM(UPPER(D92)),5,1))&gt;=65,CODE(MID(TRIM(UPPER(D92)),5,1))&lt;=90,CODE(MID(TRIM(UPPER(D92)),10,1))&gt;=65,CODE(MID(TRIM(UPPER(D92)),10,1))&lt;=90,CODE(MID(TRIM(UPPER(D92)),6,1))&gt;=48,CODE(MID(TRIM(UPPER(D92)),6,1))&lt;=57,CODE(MID(TRIM(UPPER(D92)),7,1))&gt;=48,CODE(MID(TRIM(UPPER(D92)),7,1))&lt;=57,CODE(MID(TRIM(UPPER(D92)),8,1))&gt;=48,CODE(MID(TRIM(UPPER(D92)),8,1))&lt;=57,CODE(MID(TRIM(UPPER(D92)),9,1))&gt;=48,CODE(MID(TRIM(UPPER(D92)),9,1))&lt;=57),"N","Y"))</f>
      </c>
      <c r="F92" s="7">
        <f>IF($C92="","",IF(LEN(D92)&lt;4,"",IF(UPPER(MID(D92,4,1))="P","Individual",IF(UPPER(MID(D92,4,1))="H","HUF",IF(UPPER(MID(D92,4,1))="C","Company",IF(UPPER(MID(D92,4,1))="F","Firm",IF(UPPER(MID(D92,4,1))="L","LLP",IF(UPPER(MID(D92,4,1))="T","Trust",IF(UPPER(MID(D92,4,1))="A","AOP","")))))))))</f>
      </c>
      <c r="G92" s="8"/>
      <c r="H92" s="7">
        <f>IF($C92="","",IF(R92&lt;&gt;"",R92,IF(G92="","",IF(E92="Y",SUMPRODUCT(('Rate Lookup'!$A$1:$A$37=G92)*'Rate Lookup'!$D$1:$D$37),IF(OR(F92="Individual",F92="HUF"),SUMPRODUCT(('Rate Lookup'!$A$1:$A$37=G92)*'Rate Lookup'!$B$1:$B$37),SUMPRODUCT(('Rate Lookup'!$A$1:$A$37=G92)*'Rate Lookup'!$C$1:$C$37)))))))</f>
      </c>
      <c r="I92" s="8"/>
      <c r="J92" s="8"/>
      <c r="K92" s="7">
        <f>IF($C92="","",IF(OR(P92="B",P92="D",P92="E",P92="N",P92="O",P92="P",P92="Q",P92="S",P92="Y",P92="Z"),0,ROUND(J92*H92/100,0)))</f>
      </c>
      <c r="L92" s="7">
        <f>IF($C92="","",0)</f>
      </c>
      <c r="M92" s="7">
        <f>IF($C92="","",0)</f>
      </c>
      <c r="N92" s="7">
        <f>IF($C92="","",IF(OR(K92=0,I92="",IFERROR(INDEX('Challan Master'!$D$4:$D$207,MATCH($B92,'Challan Master'!$S$4:$S$207,0)),"")="",IFERROR(INDEX('Challan Master'!$D$4:$D$207,MATCH($B92,'Challan Master'!$S$4:$S$207,0)),"")&lt;=0),0,IF(IFERROR(INDEX('Challan Master'!$D$4:$D$207,MATCH($B92,'Challan Master'!$S$4:$S$207,0)),"")&lt;=DATE(YEAR(I92),MONTH(I92)+1,7),0,ROUND(K92*0.015*((YEAR(IFERROR(INDEX('Challan Master'!$D$4:$D$207,MATCH($B92,'Challan Master'!$S$4:$S$207,0)),""))-YEAR(I92))*12+(MONTH(IFERROR(INDEX('Challan Master'!$D$4:$D$207,MATCH($B92,'Challan Master'!$S$4:$S$207,0)),""))-MONTH(I92))+1),0))))</f>
      </c>
      <c r="O92" s="7">
        <f>IF($C92="","",0)</f>
      </c>
      <c r="P92" s="8"/>
      <c r="Q92" s="8"/>
      <c r="R92" s="8"/>
      <c r="S92" s="8"/>
      <c r="T92" s="8"/>
      <c r="U92" s="7">
        <f>IF($B92="","",IFERROR(INDEX('Challan Master'!$AA$4:$AA$207,MATCH($B92,'Challan Master'!$S$4:$S$207,0)),""))</f>
      </c>
    </row>
    <row r="93" spans="1:22" x14ac:dyDescent="0.25">
      <c r="A93" s="7">
        <f>IF($C93="","",COUNTIF($C$4:$C93,"&lt;&gt;"))</f>
      </c>
      <c r="B93" s="8"/>
      <c r="C93" s="8"/>
      <c r="D93" s="8"/>
      <c r="E93" s="7">
        <f>IF($C93="","",IF(AND(LEN(TRIM(UPPER(D93)))=10,CODE(MID(TRIM(UPPER(D93)),1,1))&gt;=65,CODE(MID(TRIM(UPPER(D93)),1,1))&lt;=90,CODE(MID(TRIM(UPPER(D93)),2,1))&gt;=65,CODE(MID(TRIM(UPPER(D93)),2,1))&lt;=90,CODE(MID(TRIM(UPPER(D93)),3,1))&gt;=65,CODE(MID(TRIM(UPPER(D93)),3,1))&lt;=90,CODE(MID(TRIM(UPPER(D93)),4,1))&gt;=65,CODE(MID(TRIM(UPPER(D93)),4,1))&lt;=90,CODE(MID(TRIM(UPPER(D93)),5,1))&gt;=65,CODE(MID(TRIM(UPPER(D93)),5,1))&lt;=90,CODE(MID(TRIM(UPPER(D93)),10,1))&gt;=65,CODE(MID(TRIM(UPPER(D93)),10,1))&lt;=90,CODE(MID(TRIM(UPPER(D93)),6,1))&gt;=48,CODE(MID(TRIM(UPPER(D93)),6,1))&lt;=57,CODE(MID(TRIM(UPPER(D93)),7,1))&gt;=48,CODE(MID(TRIM(UPPER(D93)),7,1))&lt;=57,CODE(MID(TRIM(UPPER(D93)),8,1))&gt;=48,CODE(MID(TRIM(UPPER(D93)),8,1))&lt;=57,CODE(MID(TRIM(UPPER(D93)),9,1))&gt;=48,CODE(MID(TRIM(UPPER(D93)),9,1))&lt;=57),"N","Y"))</f>
      </c>
      <c r="F93" s="7">
        <f>IF($C93="","",IF(LEN(D93)&lt;4,"",IF(UPPER(MID(D93,4,1))="P","Individual",IF(UPPER(MID(D93,4,1))="H","HUF",IF(UPPER(MID(D93,4,1))="C","Company",IF(UPPER(MID(D93,4,1))="F","Firm",IF(UPPER(MID(D93,4,1))="L","LLP",IF(UPPER(MID(D93,4,1))="T","Trust",IF(UPPER(MID(D93,4,1))="A","AOP","")))))))))</f>
      </c>
      <c r="G93" s="8"/>
      <c r="H93" s="7">
        <f>IF($C93="","",IF(R93&lt;&gt;"",R93,IF(G93="","",IF(E93="Y",SUMPRODUCT(('Rate Lookup'!$A$1:$A$37=G93)*'Rate Lookup'!$D$1:$D$37),IF(OR(F93="Individual",F93="HUF"),SUMPRODUCT(('Rate Lookup'!$A$1:$A$37=G93)*'Rate Lookup'!$B$1:$B$37),SUMPRODUCT(('Rate Lookup'!$A$1:$A$37=G93)*'Rate Lookup'!$C$1:$C$37)))))))</f>
      </c>
      <c r="I93" s="8"/>
      <c r="J93" s="8"/>
      <c r="K93" s="7">
        <f>IF($C93="","",IF(OR(P93="B",P93="D",P93="E",P93="N",P93="O",P93="P",P93="Q",P93="S",P93="Y",P93="Z"),0,ROUND(J93*H93/100,0)))</f>
      </c>
      <c r="L93" s="7">
        <f>IF($C93="","",0)</f>
      </c>
      <c r="M93" s="7">
        <f>IF($C93="","",0)</f>
      </c>
      <c r="N93" s="7">
        <f>IF($C93="","",IF(OR(K93=0,I93="",IFERROR(INDEX('Challan Master'!$D$4:$D$207,MATCH($B93,'Challan Master'!$S$4:$S$207,0)),"")="",IFERROR(INDEX('Challan Master'!$D$4:$D$207,MATCH($B93,'Challan Master'!$S$4:$S$207,0)),"")&lt;=0),0,IF(IFERROR(INDEX('Challan Master'!$D$4:$D$207,MATCH($B93,'Challan Master'!$S$4:$S$207,0)),"")&lt;=DATE(YEAR(I93),MONTH(I93)+1,7),0,ROUND(K93*0.015*((YEAR(IFERROR(INDEX('Challan Master'!$D$4:$D$207,MATCH($B93,'Challan Master'!$S$4:$S$207,0)),""))-YEAR(I93))*12+(MONTH(IFERROR(INDEX('Challan Master'!$D$4:$D$207,MATCH($B93,'Challan Master'!$S$4:$S$207,0)),""))-MONTH(I93))+1),0))))</f>
      </c>
      <c r="O93" s="7">
        <f>IF($C93="","",0)</f>
      </c>
      <c r="P93" s="8"/>
      <c r="Q93" s="8"/>
      <c r="R93" s="8"/>
      <c r="S93" s="8"/>
      <c r="T93" s="8"/>
      <c r="U93" s="7">
        <f>IF($B93="","",IFERROR(INDEX('Challan Master'!$AA$4:$AA$207,MATCH($B93,'Challan Master'!$S$4:$S$207,0)),""))</f>
      </c>
    </row>
    <row r="94" spans="1:22" x14ac:dyDescent="0.25">
      <c r="A94" s="7">
        <f>IF($C94="","",COUNTIF($C$4:$C94,"&lt;&gt;"))</f>
      </c>
      <c r="B94" s="8"/>
      <c r="C94" s="8"/>
      <c r="D94" s="8"/>
      <c r="E94" s="7">
        <f>IF($C94="","",IF(AND(LEN(TRIM(UPPER(D94)))=10,CODE(MID(TRIM(UPPER(D94)),1,1))&gt;=65,CODE(MID(TRIM(UPPER(D94)),1,1))&lt;=90,CODE(MID(TRIM(UPPER(D94)),2,1))&gt;=65,CODE(MID(TRIM(UPPER(D94)),2,1))&lt;=90,CODE(MID(TRIM(UPPER(D94)),3,1))&gt;=65,CODE(MID(TRIM(UPPER(D94)),3,1))&lt;=90,CODE(MID(TRIM(UPPER(D94)),4,1))&gt;=65,CODE(MID(TRIM(UPPER(D94)),4,1))&lt;=90,CODE(MID(TRIM(UPPER(D94)),5,1))&gt;=65,CODE(MID(TRIM(UPPER(D94)),5,1))&lt;=90,CODE(MID(TRIM(UPPER(D94)),10,1))&gt;=65,CODE(MID(TRIM(UPPER(D94)),10,1))&lt;=90,CODE(MID(TRIM(UPPER(D94)),6,1))&gt;=48,CODE(MID(TRIM(UPPER(D94)),6,1))&lt;=57,CODE(MID(TRIM(UPPER(D94)),7,1))&gt;=48,CODE(MID(TRIM(UPPER(D94)),7,1))&lt;=57,CODE(MID(TRIM(UPPER(D94)),8,1))&gt;=48,CODE(MID(TRIM(UPPER(D94)),8,1))&lt;=57,CODE(MID(TRIM(UPPER(D94)),9,1))&gt;=48,CODE(MID(TRIM(UPPER(D94)),9,1))&lt;=57),"N","Y"))</f>
      </c>
      <c r="F94" s="7">
        <f>IF($C94="","",IF(LEN(D94)&lt;4,"",IF(UPPER(MID(D94,4,1))="P","Individual",IF(UPPER(MID(D94,4,1))="H","HUF",IF(UPPER(MID(D94,4,1))="C","Company",IF(UPPER(MID(D94,4,1))="F","Firm",IF(UPPER(MID(D94,4,1))="L","LLP",IF(UPPER(MID(D94,4,1))="T","Trust",IF(UPPER(MID(D94,4,1))="A","AOP","")))))))))</f>
      </c>
      <c r="G94" s="8"/>
      <c r="H94" s="7">
        <f>IF($C94="","",IF(R94&lt;&gt;"",R94,IF(G94="","",IF(E94="Y",SUMPRODUCT(('Rate Lookup'!$A$1:$A$37=G94)*'Rate Lookup'!$D$1:$D$37),IF(OR(F94="Individual",F94="HUF"),SUMPRODUCT(('Rate Lookup'!$A$1:$A$37=G94)*'Rate Lookup'!$B$1:$B$37),SUMPRODUCT(('Rate Lookup'!$A$1:$A$37=G94)*'Rate Lookup'!$C$1:$C$37)))))))</f>
      </c>
      <c r="I94" s="8"/>
      <c r="J94" s="8"/>
      <c r="K94" s="7">
        <f>IF($C94="","",IF(OR(P94="B",P94="D",P94="E",P94="N",P94="O",P94="P",P94="Q",P94="S",P94="Y",P94="Z"),0,ROUND(J94*H94/100,0)))</f>
      </c>
      <c r="L94" s="7">
        <f>IF($C94="","",0)</f>
      </c>
      <c r="M94" s="7">
        <f>IF($C94="","",0)</f>
      </c>
      <c r="N94" s="7">
        <f>IF($C94="","",IF(OR(K94=0,I94="",IFERROR(INDEX('Challan Master'!$D$4:$D$207,MATCH($B94,'Challan Master'!$S$4:$S$207,0)),"")="",IFERROR(INDEX('Challan Master'!$D$4:$D$207,MATCH($B94,'Challan Master'!$S$4:$S$207,0)),"")&lt;=0),0,IF(IFERROR(INDEX('Challan Master'!$D$4:$D$207,MATCH($B94,'Challan Master'!$S$4:$S$207,0)),"")&lt;=DATE(YEAR(I94),MONTH(I94)+1,7),0,ROUND(K94*0.015*((YEAR(IFERROR(INDEX('Challan Master'!$D$4:$D$207,MATCH($B94,'Challan Master'!$S$4:$S$207,0)),""))-YEAR(I94))*12+(MONTH(IFERROR(INDEX('Challan Master'!$D$4:$D$207,MATCH($B94,'Challan Master'!$S$4:$S$207,0)),""))-MONTH(I94))+1),0))))</f>
      </c>
      <c r="O94" s="7">
        <f>IF($C94="","",0)</f>
      </c>
      <c r="P94" s="8"/>
      <c r="Q94" s="8"/>
      <c r="R94" s="8"/>
      <c r="S94" s="8"/>
      <c r="T94" s="8"/>
      <c r="U94" s="7">
        <f>IF($B94="","",IFERROR(INDEX('Challan Master'!$AA$4:$AA$207,MATCH($B94,'Challan Master'!$S$4:$S$207,0)),""))</f>
      </c>
    </row>
    <row r="95" spans="1:22" x14ac:dyDescent="0.25">
      <c r="A95" s="7">
        <f>IF($C95="","",COUNTIF($C$4:$C95,"&lt;&gt;"))</f>
      </c>
      <c r="B95" s="8"/>
      <c r="C95" s="8"/>
      <c r="D95" s="8"/>
      <c r="E95" s="7">
        <f>IF($C95="","",IF(AND(LEN(TRIM(UPPER(D95)))=10,CODE(MID(TRIM(UPPER(D95)),1,1))&gt;=65,CODE(MID(TRIM(UPPER(D95)),1,1))&lt;=90,CODE(MID(TRIM(UPPER(D95)),2,1))&gt;=65,CODE(MID(TRIM(UPPER(D95)),2,1))&lt;=90,CODE(MID(TRIM(UPPER(D95)),3,1))&gt;=65,CODE(MID(TRIM(UPPER(D95)),3,1))&lt;=90,CODE(MID(TRIM(UPPER(D95)),4,1))&gt;=65,CODE(MID(TRIM(UPPER(D95)),4,1))&lt;=90,CODE(MID(TRIM(UPPER(D95)),5,1))&gt;=65,CODE(MID(TRIM(UPPER(D95)),5,1))&lt;=90,CODE(MID(TRIM(UPPER(D95)),10,1))&gt;=65,CODE(MID(TRIM(UPPER(D95)),10,1))&lt;=90,CODE(MID(TRIM(UPPER(D95)),6,1))&gt;=48,CODE(MID(TRIM(UPPER(D95)),6,1))&lt;=57,CODE(MID(TRIM(UPPER(D95)),7,1))&gt;=48,CODE(MID(TRIM(UPPER(D95)),7,1))&lt;=57,CODE(MID(TRIM(UPPER(D95)),8,1))&gt;=48,CODE(MID(TRIM(UPPER(D95)),8,1))&lt;=57,CODE(MID(TRIM(UPPER(D95)),9,1))&gt;=48,CODE(MID(TRIM(UPPER(D95)),9,1))&lt;=57),"N","Y"))</f>
      </c>
      <c r="F95" s="7">
        <f>IF($C95="","",IF(LEN(D95)&lt;4,"",IF(UPPER(MID(D95,4,1))="P","Individual",IF(UPPER(MID(D95,4,1))="H","HUF",IF(UPPER(MID(D95,4,1))="C","Company",IF(UPPER(MID(D95,4,1))="F","Firm",IF(UPPER(MID(D95,4,1))="L","LLP",IF(UPPER(MID(D95,4,1))="T","Trust",IF(UPPER(MID(D95,4,1))="A","AOP","")))))))))</f>
      </c>
      <c r="G95" s="8"/>
      <c r="H95" s="7">
        <f>IF($C95="","",IF(R95&lt;&gt;"",R95,IF(G95="","",IF(E95="Y",SUMPRODUCT(('Rate Lookup'!$A$1:$A$37=G95)*'Rate Lookup'!$D$1:$D$37),IF(OR(F95="Individual",F95="HUF"),SUMPRODUCT(('Rate Lookup'!$A$1:$A$37=G95)*'Rate Lookup'!$B$1:$B$37),SUMPRODUCT(('Rate Lookup'!$A$1:$A$37=G95)*'Rate Lookup'!$C$1:$C$37)))))))</f>
      </c>
      <c r="I95" s="8"/>
      <c r="J95" s="8"/>
      <c r="K95" s="7">
        <f>IF($C95="","",IF(OR(P95="B",P95="D",P95="E",P95="N",P95="O",P95="P",P95="Q",P95="S",P95="Y",P95="Z"),0,ROUND(J95*H95/100,0)))</f>
      </c>
      <c r="L95" s="7">
        <f>IF($C95="","",0)</f>
      </c>
      <c r="M95" s="7">
        <f>IF($C95="","",0)</f>
      </c>
      <c r="N95" s="7">
        <f>IF($C95="","",IF(OR(K95=0,I95="",IFERROR(INDEX('Challan Master'!$D$4:$D$207,MATCH($B95,'Challan Master'!$S$4:$S$207,0)),"")="",IFERROR(INDEX('Challan Master'!$D$4:$D$207,MATCH($B95,'Challan Master'!$S$4:$S$207,0)),"")&lt;=0),0,IF(IFERROR(INDEX('Challan Master'!$D$4:$D$207,MATCH($B95,'Challan Master'!$S$4:$S$207,0)),"")&lt;=DATE(YEAR(I95),MONTH(I95)+1,7),0,ROUND(K95*0.015*((YEAR(IFERROR(INDEX('Challan Master'!$D$4:$D$207,MATCH($B95,'Challan Master'!$S$4:$S$207,0)),""))-YEAR(I95))*12+(MONTH(IFERROR(INDEX('Challan Master'!$D$4:$D$207,MATCH($B95,'Challan Master'!$S$4:$S$207,0)),""))-MONTH(I95))+1),0))))</f>
      </c>
      <c r="O95" s="7">
        <f>IF($C95="","",0)</f>
      </c>
      <c r="P95" s="8"/>
      <c r="Q95" s="8"/>
      <c r="R95" s="8"/>
      <c r="S95" s="8"/>
      <c r="T95" s="8"/>
      <c r="U95" s="7">
        <f>IF($B95="","",IFERROR(INDEX('Challan Master'!$AA$4:$AA$207,MATCH($B95,'Challan Master'!$S$4:$S$207,0)),""))</f>
      </c>
    </row>
    <row r="96" spans="1:22" x14ac:dyDescent="0.25">
      <c r="A96" s="7">
        <f>IF($C96="","",COUNTIF($C$4:$C96,"&lt;&gt;"))</f>
      </c>
      <c r="B96" s="8"/>
      <c r="C96" s="8"/>
      <c r="D96" s="8"/>
      <c r="E96" s="7">
        <f>IF($C96="","",IF(AND(LEN(TRIM(UPPER(D96)))=10,CODE(MID(TRIM(UPPER(D96)),1,1))&gt;=65,CODE(MID(TRIM(UPPER(D96)),1,1))&lt;=90,CODE(MID(TRIM(UPPER(D96)),2,1))&gt;=65,CODE(MID(TRIM(UPPER(D96)),2,1))&lt;=90,CODE(MID(TRIM(UPPER(D96)),3,1))&gt;=65,CODE(MID(TRIM(UPPER(D96)),3,1))&lt;=90,CODE(MID(TRIM(UPPER(D96)),4,1))&gt;=65,CODE(MID(TRIM(UPPER(D96)),4,1))&lt;=90,CODE(MID(TRIM(UPPER(D96)),5,1))&gt;=65,CODE(MID(TRIM(UPPER(D96)),5,1))&lt;=90,CODE(MID(TRIM(UPPER(D96)),10,1))&gt;=65,CODE(MID(TRIM(UPPER(D96)),10,1))&lt;=90,CODE(MID(TRIM(UPPER(D96)),6,1))&gt;=48,CODE(MID(TRIM(UPPER(D96)),6,1))&lt;=57,CODE(MID(TRIM(UPPER(D96)),7,1))&gt;=48,CODE(MID(TRIM(UPPER(D96)),7,1))&lt;=57,CODE(MID(TRIM(UPPER(D96)),8,1))&gt;=48,CODE(MID(TRIM(UPPER(D96)),8,1))&lt;=57,CODE(MID(TRIM(UPPER(D96)),9,1))&gt;=48,CODE(MID(TRIM(UPPER(D96)),9,1))&lt;=57),"N","Y"))</f>
      </c>
      <c r="F96" s="7">
        <f>IF($C96="","",IF(LEN(D96)&lt;4,"",IF(UPPER(MID(D96,4,1))="P","Individual",IF(UPPER(MID(D96,4,1))="H","HUF",IF(UPPER(MID(D96,4,1))="C","Company",IF(UPPER(MID(D96,4,1))="F","Firm",IF(UPPER(MID(D96,4,1))="L","LLP",IF(UPPER(MID(D96,4,1))="T","Trust",IF(UPPER(MID(D96,4,1))="A","AOP","")))))))))</f>
      </c>
      <c r="G96" s="8"/>
      <c r="H96" s="7">
        <f>IF($C96="","",IF(R96&lt;&gt;"",R96,IF(G96="","",IF(E96="Y",SUMPRODUCT(('Rate Lookup'!$A$1:$A$37=G96)*'Rate Lookup'!$D$1:$D$37),IF(OR(F96="Individual",F96="HUF"),SUMPRODUCT(('Rate Lookup'!$A$1:$A$37=G96)*'Rate Lookup'!$B$1:$B$37),SUMPRODUCT(('Rate Lookup'!$A$1:$A$37=G96)*'Rate Lookup'!$C$1:$C$37)))))))</f>
      </c>
      <c r="I96" s="8"/>
      <c r="J96" s="8"/>
      <c r="K96" s="7">
        <f>IF($C96="","",IF(OR(P96="B",P96="D",P96="E",P96="N",P96="O",P96="P",P96="Q",P96="S",P96="Y",P96="Z"),0,ROUND(J96*H96/100,0)))</f>
      </c>
      <c r="L96" s="7">
        <f>IF($C96="","",0)</f>
      </c>
      <c r="M96" s="7">
        <f>IF($C96="","",0)</f>
      </c>
      <c r="N96" s="7">
        <f>IF($C96="","",IF(OR(K96=0,I96="",IFERROR(INDEX('Challan Master'!$D$4:$D$207,MATCH($B96,'Challan Master'!$S$4:$S$207,0)),"")="",IFERROR(INDEX('Challan Master'!$D$4:$D$207,MATCH($B96,'Challan Master'!$S$4:$S$207,0)),"")&lt;=0),0,IF(IFERROR(INDEX('Challan Master'!$D$4:$D$207,MATCH($B96,'Challan Master'!$S$4:$S$207,0)),"")&lt;=DATE(YEAR(I96),MONTH(I96)+1,7),0,ROUND(K96*0.015*((YEAR(IFERROR(INDEX('Challan Master'!$D$4:$D$207,MATCH($B96,'Challan Master'!$S$4:$S$207,0)),""))-YEAR(I96))*12+(MONTH(IFERROR(INDEX('Challan Master'!$D$4:$D$207,MATCH($B96,'Challan Master'!$S$4:$S$207,0)),""))-MONTH(I96))+1),0))))</f>
      </c>
      <c r="O96" s="7">
        <f>IF($C96="","",0)</f>
      </c>
      <c r="P96" s="8"/>
      <c r="Q96" s="8"/>
      <c r="R96" s="8"/>
      <c r="S96" s="8"/>
      <c r="T96" s="8"/>
      <c r="U96" s="7">
        <f>IF($B96="","",IFERROR(INDEX('Challan Master'!$AA$4:$AA$207,MATCH($B96,'Challan Master'!$S$4:$S$207,0)),""))</f>
      </c>
    </row>
    <row r="97" spans="1:22" x14ac:dyDescent="0.25">
      <c r="A97" s="7">
        <f>IF($C97="","",COUNTIF($C$4:$C97,"&lt;&gt;"))</f>
      </c>
      <c r="B97" s="8"/>
      <c r="C97" s="8"/>
      <c r="D97" s="8"/>
      <c r="E97" s="7">
        <f>IF($C97="","",IF(AND(LEN(TRIM(UPPER(D97)))=10,CODE(MID(TRIM(UPPER(D97)),1,1))&gt;=65,CODE(MID(TRIM(UPPER(D97)),1,1))&lt;=90,CODE(MID(TRIM(UPPER(D97)),2,1))&gt;=65,CODE(MID(TRIM(UPPER(D97)),2,1))&lt;=90,CODE(MID(TRIM(UPPER(D97)),3,1))&gt;=65,CODE(MID(TRIM(UPPER(D97)),3,1))&lt;=90,CODE(MID(TRIM(UPPER(D97)),4,1))&gt;=65,CODE(MID(TRIM(UPPER(D97)),4,1))&lt;=90,CODE(MID(TRIM(UPPER(D97)),5,1))&gt;=65,CODE(MID(TRIM(UPPER(D97)),5,1))&lt;=90,CODE(MID(TRIM(UPPER(D97)),10,1))&gt;=65,CODE(MID(TRIM(UPPER(D97)),10,1))&lt;=90,CODE(MID(TRIM(UPPER(D97)),6,1))&gt;=48,CODE(MID(TRIM(UPPER(D97)),6,1))&lt;=57,CODE(MID(TRIM(UPPER(D97)),7,1))&gt;=48,CODE(MID(TRIM(UPPER(D97)),7,1))&lt;=57,CODE(MID(TRIM(UPPER(D97)),8,1))&gt;=48,CODE(MID(TRIM(UPPER(D97)),8,1))&lt;=57,CODE(MID(TRIM(UPPER(D97)),9,1))&gt;=48,CODE(MID(TRIM(UPPER(D97)),9,1))&lt;=57),"N","Y"))</f>
      </c>
      <c r="F97" s="7">
        <f>IF($C97="","",IF(LEN(D97)&lt;4,"",IF(UPPER(MID(D97,4,1))="P","Individual",IF(UPPER(MID(D97,4,1))="H","HUF",IF(UPPER(MID(D97,4,1))="C","Company",IF(UPPER(MID(D97,4,1))="F","Firm",IF(UPPER(MID(D97,4,1))="L","LLP",IF(UPPER(MID(D97,4,1))="T","Trust",IF(UPPER(MID(D97,4,1))="A","AOP","")))))))))</f>
      </c>
      <c r="G97" s="8"/>
      <c r="H97" s="7">
        <f>IF($C97="","",IF(R97&lt;&gt;"",R97,IF(G97="","",IF(E97="Y",SUMPRODUCT(('Rate Lookup'!$A$1:$A$37=G97)*'Rate Lookup'!$D$1:$D$37),IF(OR(F97="Individual",F97="HUF"),SUMPRODUCT(('Rate Lookup'!$A$1:$A$37=G97)*'Rate Lookup'!$B$1:$B$37),SUMPRODUCT(('Rate Lookup'!$A$1:$A$37=G97)*'Rate Lookup'!$C$1:$C$37)))))))</f>
      </c>
      <c r="I97" s="8"/>
      <c r="J97" s="8"/>
      <c r="K97" s="7">
        <f>IF($C97="","",IF(OR(P97="B",P97="D",P97="E",P97="N",P97="O",P97="P",P97="Q",P97="S",P97="Y",P97="Z"),0,ROUND(J97*H97/100,0)))</f>
      </c>
      <c r="L97" s="7">
        <f>IF($C97="","",0)</f>
      </c>
      <c r="M97" s="7">
        <f>IF($C97="","",0)</f>
      </c>
      <c r="N97" s="7">
        <f>IF($C97="","",IF(OR(K97=0,I97="",IFERROR(INDEX('Challan Master'!$D$4:$D$207,MATCH($B97,'Challan Master'!$S$4:$S$207,0)),"")="",IFERROR(INDEX('Challan Master'!$D$4:$D$207,MATCH($B97,'Challan Master'!$S$4:$S$207,0)),"")&lt;=0),0,IF(IFERROR(INDEX('Challan Master'!$D$4:$D$207,MATCH($B97,'Challan Master'!$S$4:$S$207,0)),"")&lt;=DATE(YEAR(I97),MONTH(I97)+1,7),0,ROUND(K97*0.015*((YEAR(IFERROR(INDEX('Challan Master'!$D$4:$D$207,MATCH($B97,'Challan Master'!$S$4:$S$207,0)),""))-YEAR(I97))*12+(MONTH(IFERROR(INDEX('Challan Master'!$D$4:$D$207,MATCH($B97,'Challan Master'!$S$4:$S$207,0)),""))-MONTH(I97))+1),0))))</f>
      </c>
      <c r="O97" s="7">
        <f>IF($C97="","",0)</f>
      </c>
      <c r="P97" s="8"/>
      <c r="Q97" s="8"/>
      <c r="R97" s="8"/>
      <c r="S97" s="8"/>
      <c r="T97" s="8"/>
      <c r="U97" s="7">
        <f>IF($B97="","",IFERROR(INDEX('Challan Master'!$AA$4:$AA$207,MATCH($B97,'Challan Master'!$S$4:$S$207,0)),""))</f>
      </c>
    </row>
    <row r="98" spans="1:22" x14ac:dyDescent="0.25">
      <c r="A98" s="7">
        <f>IF($C98="","",COUNTIF($C$4:$C98,"&lt;&gt;"))</f>
      </c>
      <c r="B98" s="8"/>
      <c r="C98" s="8"/>
      <c r="D98" s="8"/>
      <c r="E98" s="7">
        <f>IF($C98="","",IF(AND(LEN(TRIM(UPPER(D98)))=10,CODE(MID(TRIM(UPPER(D98)),1,1))&gt;=65,CODE(MID(TRIM(UPPER(D98)),1,1))&lt;=90,CODE(MID(TRIM(UPPER(D98)),2,1))&gt;=65,CODE(MID(TRIM(UPPER(D98)),2,1))&lt;=90,CODE(MID(TRIM(UPPER(D98)),3,1))&gt;=65,CODE(MID(TRIM(UPPER(D98)),3,1))&lt;=90,CODE(MID(TRIM(UPPER(D98)),4,1))&gt;=65,CODE(MID(TRIM(UPPER(D98)),4,1))&lt;=90,CODE(MID(TRIM(UPPER(D98)),5,1))&gt;=65,CODE(MID(TRIM(UPPER(D98)),5,1))&lt;=90,CODE(MID(TRIM(UPPER(D98)),10,1))&gt;=65,CODE(MID(TRIM(UPPER(D98)),10,1))&lt;=90,CODE(MID(TRIM(UPPER(D98)),6,1))&gt;=48,CODE(MID(TRIM(UPPER(D98)),6,1))&lt;=57,CODE(MID(TRIM(UPPER(D98)),7,1))&gt;=48,CODE(MID(TRIM(UPPER(D98)),7,1))&lt;=57,CODE(MID(TRIM(UPPER(D98)),8,1))&gt;=48,CODE(MID(TRIM(UPPER(D98)),8,1))&lt;=57,CODE(MID(TRIM(UPPER(D98)),9,1))&gt;=48,CODE(MID(TRIM(UPPER(D98)),9,1))&lt;=57),"N","Y"))</f>
      </c>
      <c r="F98" s="7">
        <f>IF($C98="","",IF(LEN(D98)&lt;4,"",IF(UPPER(MID(D98,4,1))="P","Individual",IF(UPPER(MID(D98,4,1))="H","HUF",IF(UPPER(MID(D98,4,1))="C","Company",IF(UPPER(MID(D98,4,1))="F","Firm",IF(UPPER(MID(D98,4,1))="L","LLP",IF(UPPER(MID(D98,4,1))="T","Trust",IF(UPPER(MID(D98,4,1))="A","AOP","")))))))))</f>
      </c>
      <c r="G98" s="8"/>
      <c r="H98" s="7">
        <f>IF($C98="","",IF(R98&lt;&gt;"",R98,IF(G98="","",IF(E98="Y",SUMPRODUCT(('Rate Lookup'!$A$1:$A$37=G98)*'Rate Lookup'!$D$1:$D$37),IF(OR(F98="Individual",F98="HUF"),SUMPRODUCT(('Rate Lookup'!$A$1:$A$37=G98)*'Rate Lookup'!$B$1:$B$37),SUMPRODUCT(('Rate Lookup'!$A$1:$A$37=G98)*'Rate Lookup'!$C$1:$C$37)))))))</f>
      </c>
      <c r="I98" s="8"/>
      <c r="J98" s="8"/>
      <c r="K98" s="7">
        <f>IF($C98="","",IF(OR(P98="B",P98="D",P98="E",P98="N",P98="O",P98="P",P98="Q",P98="S",P98="Y",P98="Z"),0,ROUND(J98*H98/100,0)))</f>
      </c>
      <c r="L98" s="7">
        <f>IF($C98="","",0)</f>
      </c>
      <c r="M98" s="7">
        <f>IF($C98="","",0)</f>
      </c>
      <c r="N98" s="7">
        <f>IF($C98="","",IF(OR(K98=0,I98="",IFERROR(INDEX('Challan Master'!$D$4:$D$207,MATCH($B98,'Challan Master'!$S$4:$S$207,0)),"")="",IFERROR(INDEX('Challan Master'!$D$4:$D$207,MATCH($B98,'Challan Master'!$S$4:$S$207,0)),"")&lt;=0),0,IF(IFERROR(INDEX('Challan Master'!$D$4:$D$207,MATCH($B98,'Challan Master'!$S$4:$S$207,0)),"")&lt;=DATE(YEAR(I98),MONTH(I98)+1,7),0,ROUND(K98*0.015*((YEAR(IFERROR(INDEX('Challan Master'!$D$4:$D$207,MATCH($B98,'Challan Master'!$S$4:$S$207,0)),""))-YEAR(I98))*12+(MONTH(IFERROR(INDEX('Challan Master'!$D$4:$D$207,MATCH($B98,'Challan Master'!$S$4:$S$207,0)),""))-MONTH(I98))+1),0))))</f>
      </c>
      <c r="O98" s="7">
        <f>IF($C98="","",0)</f>
      </c>
      <c r="P98" s="8"/>
      <c r="Q98" s="8"/>
      <c r="R98" s="8"/>
      <c r="S98" s="8"/>
      <c r="T98" s="8"/>
      <c r="U98" s="7">
        <f>IF($B98="","",IFERROR(INDEX('Challan Master'!$AA$4:$AA$207,MATCH($B98,'Challan Master'!$S$4:$S$207,0)),""))</f>
      </c>
    </row>
    <row r="99" spans="1:22" x14ac:dyDescent="0.25">
      <c r="A99" s="7">
        <f>IF($C99="","",COUNTIF($C$4:$C99,"&lt;&gt;"))</f>
      </c>
      <c r="B99" s="8"/>
      <c r="C99" s="8"/>
      <c r="D99" s="8"/>
      <c r="E99" s="7">
        <f>IF($C99="","",IF(AND(LEN(TRIM(UPPER(D99)))=10,CODE(MID(TRIM(UPPER(D99)),1,1))&gt;=65,CODE(MID(TRIM(UPPER(D99)),1,1))&lt;=90,CODE(MID(TRIM(UPPER(D99)),2,1))&gt;=65,CODE(MID(TRIM(UPPER(D99)),2,1))&lt;=90,CODE(MID(TRIM(UPPER(D99)),3,1))&gt;=65,CODE(MID(TRIM(UPPER(D99)),3,1))&lt;=90,CODE(MID(TRIM(UPPER(D99)),4,1))&gt;=65,CODE(MID(TRIM(UPPER(D99)),4,1))&lt;=90,CODE(MID(TRIM(UPPER(D99)),5,1))&gt;=65,CODE(MID(TRIM(UPPER(D99)),5,1))&lt;=90,CODE(MID(TRIM(UPPER(D99)),10,1))&gt;=65,CODE(MID(TRIM(UPPER(D99)),10,1))&lt;=90,CODE(MID(TRIM(UPPER(D99)),6,1))&gt;=48,CODE(MID(TRIM(UPPER(D99)),6,1))&lt;=57,CODE(MID(TRIM(UPPER(D99)),7,1))&gt;=48,CODE(MID(TRIM(UPPER(D99)),7,1))&lt;=57,CODE(MID(TRIM(UPPER(D99)),8,1))&gt;=48,CODE(MID(TRIM(UPPER(D99)),8,1))&lt;=57,CODE(MID(TRIM(UPPER(D99)),9,1))&gt;=48,CODE(MID(TRIM(UPPER(D99)),9,1))&lt;=57),"N","Y"))</f>
      </c>
      <c r="F99" s="7">
        <f>IF($C99="","",IF(LEN(D99)&lt;4,"",IF(UPPER(MID(D99,4,1))="P","Individual",IF(UPPER(MID(D99,4,1))="H","HUF",IF(UPPER(MID(D99,4,1))="C","Company",IF(UPPER(MID(D99,4,1))="F","Firm",IF(UPPER(MID(D99,4,1))="L","LLP",IF(UPPER(MID(D99,4,1))="T","Trust",IF(UPPER(MID(D99,4,1))="A","AOP","")))))))))</f>
      </c>
      <c r="G99" s="8"/>
      <c r="H99" s="7">
        <f>IF($C99="","",IF(R99&lt;&gt;"",R99,IF(G99="","",IF(E99="Y",SUMPRODUCT(('Rate Lookup'!$A$1:$A$37=G99)*'Rate Lookup'!$D$1:$D$37),IF(OR(F99="Individual",F99="HUF"),SUMPRODUCT(('Rate Lookup'!$A$1:$A$37=G99)*'Rate Lookup'!$B$1:$B$37),SUMPRODUCT(('Rate Lookup'!$A$1:$A$37=G99)*'Rate Lookup'!$C$1:$C$37)))))))</f>
      </c>
      <c r="I99" s="8"/>
      <c r="J99" s="8"/>
      <c r="K99" s="7">
        <f>IF($C99="","",IF(OR(P99="B",P99="D",P99="E",P99="N",P99="O",P99="P",P99="Q",P99="S",P99="Y",P99="Z"),0,ROUND(J99*H99/100,0)))</f>
      </c>
      <c r="L99" s="7">
        <f>IF($C99="","",0)</f>
      </c>
      <c r="M99" s="7">
        <f>IF($C99="","",0)</f>
      </c>
      <c r="N99" s="7">
        <f>IF($C99="","",IF(OR(K99=0,I99="",IFERROR(INDEX('Challan Master'!$D$4:$D$207,MATCH($B99,'Challan Master'!$S$4:$S$207,0)),"")="",IFERROR(INDEX('Challan Master'!$D$4:$D$207,MATCH($B99,'Challan Master'!$S$4:$S$207,0)),"")&lt;=0),0,IF(IFERROR(INDEX('Challan Master'!$D$4:$D$207,MATCH($B99,'Challan Master'!$S$4:$S$207,0)),"")&lt;=DATE(YEAR(I99),MONTH(I99)+1,7),0,ROUND(K99*0.015*((YEAR(IFERROR(INDEX('Challan Master'!$D$4:$D$207,MATCH($B99,'Challan Master'!$S$4:$S$207,0)),""))-YEAR(I99))*12+(MONTH(IFERROR(INDEX('Challan Master'!$D$4:$D$207,MATCH($B99,'Challan Master'!$S$4:$S$207,0)),""))-MONTH(I99))+1),0))))</f>
      </c>
      <c r="O99" s="7">
        <f>IF($C99="","",0)</f>
      </c>
      <c r="P99" s="8"/>
      <c r="Q99" s="8"/>
      <c r="R99" s="8"/>
      <c r="S99" s="8"/>
      <c r="T99" s="8"/>
      <c r="U99" s="7">
        <f>IF($B99="","",IFERROR(INDEX('Challan Master'!$AA$4:$AA$207,MATCH($B99,'Challan Master'!$S$4:$S$207,0)),""))</f>
      </c>
    </row>
    <row r="100" spans="1:22" x14ac:dyDescent="0.25">
      <c r="A100" s="7">
        <f>IF($C100="","",COUNTIF($C$4:$C100,"&lt;&gt;"))</f>
      </c>
      <c r="B100" s="8"/>
      <c r="C100" s="8"/>
      <c r="D100" s="8"/>
      <c r="E100" s="7">
        <f>IF($C100="","",IF(AND(LEN(TRIM(UPPER(D100)))=10,CODE(MID(TRIM(UPPER(D100)),1,1))&gt;=65,CODE(MID(TRIM(UPPER(D100)),1,1))&lt;=90,CODE(MID(TRIM(UPPER(D100)),2,1))&gt;=65,CODE(MID(TRIM(UPPER(D100)),2,1))&lt;=90,CODE(MID(TRIM(UPPER(D100)),3,1))&gt;=65,CODE(MID(TRIM(UPPER(D100)),3,1))&lt;=90,CODE(MID(TRIM(UPPER(D100)),4,1))&gt;=65,CODE(MID(TRIM(UPPER(D100)),4,1))&lt;=90,CODE(MID(TRIM(UPPER(D100)),5,1))&gt;=65,CODE(MID(TRIM(UPPER(D100)),5,1))&lt;=90,CODE(MID(TRIM(UPPER(D100)),10,1))&gt;=65,CODE(MID(TRIM(UPPER(D100)),10,1))&lt;=90,CODE(MID(TRIM(UPPER(D100)),6,1))&gt;=48,CODE(MID(TRIM(UPPER(D100)),6,1))&lt;=57,CODE(MID(TRIM(UPPER(D100)),7,1))&gt;=48,CODE(MID(TRIM(UPPER(D100)),7,1))&lt;=57,CODE(MID(TRIM(UPPER(D100)),8,1))&gt;=48,CODE(MID(TRIM(UPPER(D100)),8,1))&lt;=57,CODE(MID(TRIM(UPPER(D100)),9,1))&gt;=48,CODE(MID(TRIM(UPPER(D100)),9,1))&lt;=57),"N","Y"))</f>
      </c>
      <c r="F100" s="7">
        <f>IF($C100="","",IF(LEN(D100)&lt;4,"",IF(UPPER(MID(D100,4,1))="P","Individual",IF(UPPER(MID(D100,4,1))="H","HUF",IF(UPPER(MID(D100,4,1))="C","Company",IF(UPPER(MID(D100,4,1))="F","Firm",IF(UPPER(MID(D100,4,1))="L","LLP",IF(UPPER(MID(D100,4,1))="T","Trust",IF(UPPER(MID(D100,4,1))="A","AOP","")))))))))</f>
      </c>
      <c r="G100" s="8"/>
      <c r="H100" s="7">
        <f>IF($C100="","",IF(R100&lt;&gt;"",R100,IF(G100="","",IF(E100="Y",SUMPRODUCT(('Rate Lookup'!$A$1:$A$37=G100)*'Rate Lookup'!$D$1:$D$37),IF(OR(F100="Individual",F100="HUF"),SUMPRODUCT(('Rate Lookup'!$A$1:$A$37=G100)*'Rate Lookup'!$B$1:$B$37),SUMPRODUCT(('Rate Lookup'!$A$1:$A$37=G100)*'Rate Lookup'!$C$1:$C$37)))))))</f>
      </c>
      <c r="I100" s="8"/>
      <c r="J100" s="8"/>
      <c r="K100" s="7">
        <f>IF($C100="","",IF(OR(P100="B",P100="D",P100="E",P100="N",P100="O",P100="P",P100="Q",P100="S",P100="Y",P100="Z"),0,ROUND(J100*H100/100,0)))</f>
      </c>
      <c r="L100" s="7">
        <f>IF($C100="","",0)</f>
      </c>
      <c r="M100" s="7">
        <f>IF($C100="","",0)</f>
      </c>
      <c r="N100" s="7">
        <f>IF($C100="","",IF(OR(K100=0,I100="",IFERROR(INDEX('Challan Master'!$D$4:$D$207,MATCH($B100,'Challan Master'!$S$4:$S$207,0)),"")="",IFERROR(INDEX('Challan Master'!$D$4:$D$207,MATCH($B100,'Challan Master'!$S$4:$S$207,0)),"")&lt;=0),0,IF(IFERROR(INDEX('Challan Master'!$D$4:$D$207,MATCH($B100,'Challan Master'!$S$4:$S$207,0)),"")&lt;=DATE(YEAR(I100),MONTH(I100)+1,7),0,ROUND(K100*0.015*((YEAR(IFERROR(INDEX('Challan Master'!$D$4:$D$207,MATCH($B100,'Challan Master'!$S$4:$S$207,0)),""))-YEAR(I100))*12+(MONTH(IFERROR(INDEX('Challan Master'!$D$4:$D$207,MATCH($B100,'Challan Master'!$S$4:$S$207,0)),""))-MONTH(I100))+1),0))))</f>
      </c>
      <c r="O100" s="7">
        <f>IF($C100="","",0)</f>
      </c>
      <c r="P100" s="8"/>
      <c r="Q100" s="8"/>
      <c r="R100" s="8"/>
      <c r="S100" s="8"/>
      <c r="T100" s="8"/>
      <c r="U100" s="7">
        <f>IF($B100="","",IFERROR(INDEX('Challan Master'!$AA$4:$AA$207,MATCH($B100,'Challan Master'!$S$4:$S$207,0)),""))</f>
      </c>
    </row>
    <row r="101" spans="1:22" x14ac:dyDescent="0.25">
      <c r="A101" s="7">
        <f>IF($C101="","",COUNTIF($C$4:$C101,"&lt;&gt;"))</f>
      </c>
      <c r="B101" s="8"/>
      <c r="C101" s="8"/>
      <c r="D101" s="8"/>
      <c r="E101" s="7">
        <f>IF($C101="","",IF(AND(LEN(TRIM(UPPER(D101)))=10,CODE(MID(TRIM(UPPER(D101)),1,1))&gt;=65,CODE(MID(TRIM(UPPER(D101)),1,1))&lt;=90,CODE(MID(TRIM(UPPER(D101)),2,1))&gt;=65,CODE(MID(TRIM(UPPER(D101)),2,1))&lt;=90,CODE(MID(TRIM(UPPER(D101)),3,1))&gt;=65,CODE(MID(TRIM(UPPER(D101)),3,1))&lt;=90,CODE(MID(TRIM(UPPER(D101)),4,1))&gt;=65,CODE(MID(TRIM(UPPER(D101)),4,1))&lt;=90,CODE(MID(TRIM(UPPER(D101)),5,1))&gt;=65,CODE(MID(TRIM(UPPER(D101)),5,1))&lt;=90,CODE(MID(TRIM(UPPER(D101)),10,1))&gt;=65,CODE(MID(TRIM(UPPER(D101)),10,1))&lt;=90,CODE(MID(TRIM(UPPER(D101)),6,1))&gt;=48,CODE(MID(TRIM(UPPER(D101)),6,1))&lt;=57,CODE(MID(TRIM(UPPER(D101)),7,1))&gt;=48,CODE(MID(TRIM(UPPER(D101)),7,1))&lt;=57,CODE(MID(TRIM(UPPER(D101)),8,1))&gt;=48,CODE(MID(TRIM(UPPER(D101)),8,1))&lt;=57,CODE(MID(TRIM(UPPER(D101)),9,1))&gt;=48,CODE(MID(TRIM(UPPER(D101)),9,1))&lt;=57),"N","Y"))</f>
      </c>
      <c r="F101" s="7">
        <f>IF($C101="","",IF(LEN(D101)&lt;4,"",IF(UPPER(MID(D101,4,1))="P","Individual",IF(UPPER(MID(D101,4,1))="H","HUF",IF(UPPER(MID(D101,4,1))="C","Company",IF(UPPER(MID(D101,4,1))="F","Firm",IF(UPPER(MID(D101,4,1))="L","LLP",IF(UPPER(MID(D101,4,1))="T","Trust",IF(UPPER(MID(D101,4,1))="A","AOP","")))))))))</f>
      </c>
      <c r="G101" s="8"/>
      <c r="H101" s="7">
        <f>IF($C101="","",IF(R101&lt;&gt;"",R101,IF(G101="","",IF(E101="Y",SUMPRODUCT(('Rate Lookup'!$A$1:$A$37=G101)*'Rate Lookup'!$D$1:$D$37),IF(OR(F101="Individual",F101="HUF"),SUMPRODUCT(('Rate Lookup'!$A$1:$A$37=G101)*'Rate Lookup'!$B$1:$B$37),SUMPRODUCT(('Rate Lookup'!$A$1:$A$37=G101)*'Rate Lookup'!$C$1:$C$37)))))))</f>
      </c>
      <c r="I101" s="8"/>
      <c r="J101" s="8"/>
      <c r="K101" s="7">
        <f>IF($C101="","",IF(OR(P101="B",P101="D",P101="E",P101="N",P101="O",P101="P",P101="Q",P101="S",P101="Y",P101="Z"),0,ROUND(J101*H101/100,0)))</f>
      </c>
      <c r="L101" s="7">
        <f>IF($C101="","",0)</f>
      </c>
      <c r="M101" s="7">
        <f>IF($C101="","",0)</f>
      </c>
      <c r="N101" s="7">
        <f>IF($C101="","",IF(OR(K101=0,I101="",IFERROR(INDEX('Challan Master'!$D$4:$D$207,MATCH($B101,'Challan Master'!$S$4:$S$207,0)),"")="",IFERROR(INDEX('Challan Master'!$D$4:$D$207,MATCH($B101,'Challan Master'!$S$4:$S$207,0)),"")&lt;=0),0,IF(IFERROR(INDEX('Challan Master'!$D$4:$D$207,MATCH($B101,'Challan Master'!$S$4:$S$207,0)),"")&lt;=DATE(YEAR(I101),MONTH(I101)+1,7),0,ROUND(K101*0.015*((YEAR(IFERROR(INDEX('Challan Master'!$D$4:$D$207,MATCH($B101,'Challan Master'!$S$4:$S$207,0)),""))-YEAR(I101))*12+(MONTH(IFERROR(INDEX('Challan Master'!$D$4:$D$207,MATCH($B101,'Challan Master'!$S$4:$S$207,0)),""))-MONTH(I101))+1),0))))</f>
      </c>
      <c r="O101" s="7">
        <f>IF($C101="","",0)</f>
      </c>
      <c r="P101" s="8"/>
      <c r="Q101" s="8"/>
      <c r="R101" s="8"/>
      <c r="S101" s="8"/>
      <c r="T101" s="8"/>
      <c r="U101" s="7">
        <f>IF($B101="","",IFERROR(INDEX('Challan Master'!$AA$4:$AA$207,MATCH($B101,'Challan Master'!$S$4:$S$207,0)),""))</f>
      </c>
    </row>
    <row r="102" spans="1:22" x14ac:dyDescent="0.25">
      <c r="A102" s="7">
        <f>IF($C102="","",COUNTIF($C$4:$C102,"&lt;&gt;"))</f>
      </c>
      <c r="B102" s="8"/>
      <c r="C102" s="8"/>
      <c r="D102" s="8"/>
      <c r="E102" s="7">
        <f>IF($C102="","",IF(AND(LEN(TRIM(UPPER(D102)))=10,CODE(MID(TRIM(UPPER(D102)),1,1))&gt;=65,CODE(MID(TRIM(UPPER(D102)),1,1))&lt;=90,CODE(MID(TRIM(UPPER(D102)),2,1))&gt;=65,CODE(MID(TRIM(UPPER(D102)),2,1))&lt;=90,CODE(MID(TRIM(UPPER(D102)),3,1))&gt;=65,CODE(MID(TRIM(UPPER(D102)),3,1))&lt;=90,CODE(MID(TRIM(UPPER(D102)),4,1))&gt;=65,CODE(MID(TRIM(UPPER(D102)),4,1))&lt;=90,CODE(MID(TRIM(UPPER(D102)),5,1))&gt;=65,CODE(MID(TRIM(UPPER(D102)),5,1))&lt;=90,CODE(MID(TRIM(UPPER(D102)),10,1))&gt;=65,CODE(MID(TRIM(UPPER(D102)),10,1))&lt;=90,CODE(MID(TRIM(UPPER(D102)),6,1))&gt;=48,CODE(MID(TRIM(UPPER(D102)),6,1))&lt;=57,CODE(MID(TRIM(UPPER(D102)),7,1))&gt;=48,CODE(MID(TRIM(UPPER(D102)),7,1))&lt;=57,CODE(MID(TRIM(UPPER(D102)),8,1))&gt;=48,CODE(MID(TRIM(UPPER(D102)),8,1))&lt;=57,CODE(MID(TRIM(UPPER(D102)),9,1))&gt;=48,CODE(MID(TRIM(UPPER(D102)),9,1))&lt;=57),"N","Y"))</f>
      </c>
      <c r="F102" s="7">
        <f>IF($C102="","",IF(LEN(D102)&lt;4,"",IF(UPPER(MID(D102,4,1))="P","Individual",IF(UPPER(MID(D102,4,1))="H","HUF",IF(UPPER(MID(D102,4,1))="C","Company",IF(UPPER(MID(D102,4,1))="F","Firm",IF(UPPER(MID(D102,4,1))="L","LLP",IF(UPPER(MID(D102,4,1))="T","Trust",IF(UPPER(MID(D102,4,1))="A","AOP","")))))))))</f>
      </c>
      <c r="G102" s="8"/>
      <c r="H102" s="7">
        <f>IF($C102="","",IF(R102&lt;&gt;"",R102,IF(G102="","",IF(E102="Y",SUMPRODUCT(('Rate Lookup'!$A$1:$A$37=G102)*'Rate Lookup'!$D$1:$D$37),IF(OR(F102="Individual",F102="HUF"),SUMPRODUCT(('Rate Lookup'!$A$1:$A$37=G102)*'Rate Lookup'!$B$1:$B$37),SUMPRODUCT(('Rate Lookup'!$A$1:$A$37=G102)*'Rate Lookup'!$C$1:$C$37)))))))</f>
      </c>
      <c r="I102" s="8"/>
      <c r="J102" s="8"/>
      <c r="K102" s="7">
        <f>IF($C102="","",IF(OR(P102="B",P102="D",P102="E",P102="N",P102="O",P102="P",P102="Q",P102="S",P102="Y",P102="Z"),0,ROUND(J102*H102/100,0)))</f>
      </c>
      <c r="L102" s="7">
        <f>IF($C102="","",0)</f>
      </c>
      <c r="M102" s="7">
        <f>IF($C102="","",0)</f>
      </c>
      <c r="N102" s="7">
        <f>IF($C102="","",IF(OR(K102=0,I102="",IFERROR(INDEX('Challan Master'!$D$4:$D$207,MATCH($B102,'Challan Master'!$S$4:$S$207,0)),"")="",IFERROR(INDEX('Challan Master'!$D$4:$D$207,MATCH($B102,'Challan Master'!$S$4:$S$207,0)),"")&lt;=0),0,IF(IFERROR(INDEX('Challan Master'!$D$4:$D$207,MATCH($B102,'Challan Master'!$S$4:$S$207,0)),"")&lt;=DATE(YEAR(I102),MONTH(I102)+1,7),0,ROUND(K102*0.015*((YEAR(IFERROR(INDEX('Challan Master'!$D$4:$D$207,MATCH($B102,'Challan Master'!$S$4:$S$207,0)),""))-YEAR(I102))*12+(MONTH(IFERROR(INDEX('Challan Master'!$D$4:$D$207,MATCH($B102,'Challan Master'!$S$4:$S$207,0)),""))-MONTH(I102))+1),0))))</f>
      </c>
      <c r="O102" s="7">
        <f>IF($C102="","",0)</f>
      </c>
      <c r="P102" s="8"/>
      <c r="Q102" s="8"/>
      <c r="R102" s="8"/>
      <c r="S102" s="8"/>
      <c r="T102" s="8"/>
      <c r="U102" s="7">
        <f>IF($B102="","",IFERROR(INDEX('Challan Master'!$AA$4:$AA$207,MATCH($B102,'Challan Master'!$S$4:$S$207,0)),""))</f>
      </c>
    </row>
    <row r="103" spans="1:22" x14ac:dyDescent="0.25">
      <c r="A103" s="7">
        <f>IF($C103="","",COUNTIF($C$4:$C103,"&lt;&gt;"))</f>
      </c>
      <c r="B103" s="8"/>
      <c r="C103" s="8"/>
      <c r="D103" s="8"/>
      <c r="E103" s="7">
        <f>IF($C103="","",IF(AND(LEN(TRIM(UPPER(D103)))=10,CODE(MID(TRIM(UPPER(D103)),1,1))&gt;=65,CODE(MID(TRIM(UPPER(D103)),1,1))&lt;=90,CODE(MID(TRIM(UPPER(D103)),2,1))&gt;=65,CODE(MID(TRIM(UPPER(D103)),2,1))&lt;=90,CODE(MID(TRIM(UPPER(D103)),3,1))&gt;=65,CODE(MID(TRIM(UPPER(D103)),3,1))&lt;=90,CODE(MID(TRIM(UPPER(D103)),4,1))&gt;=65,CODE(MID(TRIM(UPPER(D103)),4,1))&lt;=90,CODE(MID(TRIM(UPPER(D103)),5,1))&gt;=65,CODE(MID(TRIM(UPPER(D103)),5,1))&lt;=90,CODE(MID(TRIM(UPPER(D103)),10,1))&gt;=65,CODE(MID(TRIM(UPPER(D103)),10,1))&lt;=90,CODE(MID(TRIM(UPPER(D103)),6,1))&gt;=48,CODE(MID(TRIM(UPPER(D103)),6,1))&lt;=57,CODE(MID(TRIM(UPPER(D103)),7,1))&gt;=48,CODE(MID(TRIM(UPPER(D103)),7,1))&lt;=57,CODE(MID(TRIM(UPPER(D103)),8,1))&gt;=48,CODE(MID(TRIM(UPPER(D103)),8,1))&lt;=57,CODE(MID(TRIM(UPPER(D103)),9,1))&gt;=48,CODE(MID(TRIM(UPPER(D103)),9,1))&lt;=57),"N","Y"))</f>
      </c>
      <c r="F103" s="7">
        <f>IF($C103="","",IF(LEN(D103)&lt;4,"",IF(UPPER(MID(D103,4,1))="P","Individual",IF(UPPER(MID(D103,4,1))="H","HUF",IF(UPPER(MID(D103,4,1))="C","Company",IF(UPPER(MID(D103,4,1))="F","Firm",IF(UPPER(MID(D103,4,1))="L","LLP",IF(UPPER(MID(D103,4,1))="T","Trust",IF(UPPER(MID(D103,4,1))="A","AOP","")))))))))</f>
      </c>
      <c r="G103" s="8"/>
      <c r="H103" s="7">
        <f>IF($C103="","",IF(R103&lt;&gt;"",R103,IF(G103="","",IF(E103="Y",SUMPRODUCT(('Rate Lookup'!$A$1:$A$37=G103)*'Rate Lookup'!$D$1:$D$37),IF(OR(F103="Individual",F103="HUF"),SUMPRODUCT(('Rate Lookup'!$A$1:$A$37=G103)*'Rate Lookup'!$B$1:$B$37),SUMPRODUCT(('Rate Lookup'!$A$1:$A$37=G103)*'Rate Lookup'!$C$1:$C$37)))))))</f>
      </c>
      <c r="I103" s="8"/>
      <c r="J103" s="8"/>
      <c r="K103" s="7">
        <f>IF($C103="","",IF(OR(P103="B",P103="D",P103="E",P103="N",P103="O",P103="P",P103="Q",P103="S",P103="Y",P103="Z"),0,ROUND(J103*H103/100,0)))</f>
      </c>
      <c r="L103" s="7">
        <f>IF($C103="","",0)</f>
      </c>
      <c r="M103" s="7">
        <f>IF($C103="","",0)</f>
      </c>
      <c r="N103" s="7">
        <f>IF($C103="","",IF(OR(K103=0,I103="",IFERROR(INDEX('Challan Master'!$D$4:$D$207,MATCH($B103,'Challan Master'!$S$4:$S$207,0)),"")="",IFERROR(INDEX('Challan Master'!$D$4:$D$207,MATCH($B103,'Challan Master'!$S$4:$S$207,0)),"")&lt;=0),0,IF(IFERROR(INDEX('Challan Master'!$D$4:$D$207,MATCH($B103,'Challan Master'!$S$4:$S$207,0)),"")&lt;=DATE(YEAR(I103),MONTH(I103)+1,7),0,ROUND(K103*0.015*((YEAR(IFERROR(INDEX('Challan Master'!$D$4:$D$207,MATCH($B103,'Challan Master'!$S$4:$S$207,0)),""))-YEAR(I103))*12+(MONTH(IFERROR(INDEX('Challan Master'!$D$4:$D$207,MATCH($B103,'Challan Master'!$S$4:$S$207,0)),""))-MONTH(I103))+1),0))))</f>
      </c>
      <c r="O103" s="7">
        <f>IF($C103="","",0)</f>
      </c>
      <c r="P103" s="8"/>
      <c r="Q103" s="8"/>
      <c r="R103" s="8"/>
      <c r="S103" s="8"/>
      <c r="T103" s="8"/>
      <c r="U103" s="7">
        <f>IF($B103="","",IFERROR(INDEX('Challan Master'!$AA$4:$AA$207,MATCH($B103,'Challan Master'!$S$4:$S$207,0)),""))</f>
      </c>
    </row>
    <row r="104" spans="1:22" x14ac:dyDescent="0.25">
      <c r="A104" s="7">
        <f>IF($C104="","",COUNTIF($C$4:$C104,"&lt;&gt;"))</f>
      </c>
      <c r="B104" s="8"/>
      <c r="C104" s="8"/>
      <c r="D104" s="8"/>
      <c r="E104" s="7">
        <f>IF($C104="","",IF(AND(LEN(TRIM(UPPER(D104)))=10,CODE(MID(TRIM(UPPER(D104)),1,1))&gt;=65,CODE(MID(TRIM(UPPER(D104)),1,1))&lt;=90,CODE(MID(TRIM(UPPER(D104)),2,1))&gt;=65,CODE(MID(TRIM(UPPER(D104)),2,1))&lt;=90,CODE(MID(TRIM(UPPER(D104)),3,1))&gt;=65,CODE(MID(TRIM(UPPER(D104)),3,1))&lt;=90,CODE(MID(TRIM(UPPER(D104)),4,1))&gt;=65,CODE(MID(TRIM(UPPER(D104)),4,1))&lt;=90,CODE(MID(TRIM(UPPER(D104)),5,1))&gt;=65,CODE(MID(TRIM(UPPER(D104)),5,1))&lt;=90,CODE(MID(TRIM(UPPER(D104)),10,1))&gt;=65,CODE(MID(TRIM(UPPER(D104)),10,1))&lt;=90,CODE(MID(TRIM(UPPER(D104)),6,1))&gt;=48,CODE(MID(TRIM(UPPER(D104)),6,1))&lt;=57,CODE(MID(TRIM(UPPER(D104)),7,1))&gt;=48,CODE(MID(TRIM(UPPER(D104)),7,1))&lt;=57,CODE(MID(TRIM(UPPER(D104)),8,1))&gt;=48,CODE(MID(TRIM(UPPER(D104)),8,1))&lt;=57,CODE(MID(TRIM(UPPER(D104)),9,1))&gt;=48,CODE(MID(TRIM(UPPER(D104)),9,1))&lt;=57),"N","Y"))</f>
      </c>
      <c r="F104" s="7">
        <f>IF($C104="","",IF(LEN(D104)&lt;4,"",IF(UPPER(MID(D104,4,1))="P","Individual",IF(UPPER(MID(D104,4,1))="H","HUF",IF(UPPER(MID(D104,4,1))="C","Company",IF(UPPER(MID(D104,4,1))="F","Firm",IF(UPPER(MID(D104,4,1))="L","LLP",IF(UPPER(MID(D104,4,1))="T","Trust",IF(UPPER(MID(D104,4,1))="A","AOP","")))))))))</f>
      </c>
      <c r="G104" s="8"/>
      <c r="H104" s="7">
        <f>IF($C104="","",IF(R104&lt;&gt;"",R104,IF(G104="","",IF(E104="Y",SUMPRODUCT(('Rate Lookup'!$A$1:$A$37=G104)*'Rate Lookup'!$D$1:$D$37),IF(OR(F104="Individual",F104="HUF"),SUMPRODUCT(('Rate Lookup'!$A$1:$A$37=G104)*'Rate Lookup'!$B$1:$B$37),SUMPRODUCT(('Rate Lookup'!$A$1:$A$37=G104)*'Rate Lookup'!$C$1:$C$37)))))))</f>
      </c>
      <c r="I104" s="8"/>
      <c r="J104" s="8"/>
      <c r="K104" s="7">
        <f>IF($C104="","",IF(OR(P104="B",P104="D",P104="E",P104="N",P104="O",P104="P",P104="Q",P104="S",P104="Y",P104="Z"),0,ROUND(J104*H104/100,0)))</f>
      </c>
      <c r="L104" s="7">
        <f>IF($C104="","",0)</f>
      </c>
      <c r="M104" s="7">
        <f>IF($C104="","",0)</f>
      </c>
      <c r="N104" s="7">
        <f>IF($C104="","",IF(OR(K104=0,I104="",IFERROR(INDEX('Challan Master'!$D$4:$D$207,MATCH($B104,'Challan Master'!$S$4:$S$207,0)),"")="",IFERROR(INDEX('Challan Master'!$D$4:$D$207,MATCH($B104,'Challan Master'!$S$4:$S$207,0)),"")&lt;=0),0,IF(IFERROR(INDEX('Challan Master'!$D$4:$D$207,MATCH($B104,'Challan Master'!$S$4:$S$207,0)),"")&lt;=DATE(YEAR(I104),MONTH(I104)+1,7),0,ROUND(K104*0.015*((YEAR(IFERROR(INDEX('Challan Master'!$D$4:$D$207,MATCH($B104,'Challan Master'!$S$4:$S$207,0)),""))-YEAR(I104))*12+(MONTH(IFERROR(INDEX('Challan Master'!$D$4:$D$207,MATCH($B104,'Challan Master'!$S$4:$S$207,0)),""))-MONTH(I104))+1),0))))</f>
      </c>
      <c r="O104" s="7">
        <f>IF($C104="","",0)</f>
      </c>
      <c r="P104" s="8"/>
      <c r="Q104" s="8"/>
      <c r="R104" s="8"/>
      <c r="S104" s="8"/>
      <c r="T104" s="8"/>
      <c r="U104" s="7">
        <f>IF($B104="","",IFERROR(INDEX('Challan Master'!$AA$4:$AA$207,MATCH($B104,'Challan Master'!$S$4:$S$207,0)),""))</f>
      </c>
    </row>
    <row r="105" spans="1:22" x14ac:dyDescent="0.25">
      <c r="A105" s="7">
        <f>IF($C105="","",COUNTIF($C$4:$C105,"&lt;&gt;"))</f>
      </c>
      <c r="B105" s="8"/>
      <c r="C105" s="8"/>
      <c r="D105" s="8"/>
      <c r="E105" s="7">
        <f>IF($C105="","",IF(AND(LEN(TRIM(UPPER(D105)))=10,CODE(MID(TRIM(UPPER(D105)),1,1))&gt;=65,CODE(MID(TRIM(UPPER(D105)),1,1))&lt;=90,CODE(MID(TRIM(UPPER(D105)),2,1))&gt;=65,CODE(MID(TRIM(UPPER(D105)),2,1))&lt;=90,CODE(MID(TRIM(UPPER(D105)),3,1))&gt;=65,CODE(MID(TRIM(UPPER(D105)),3,1))&lt;=90,CODE(MID(TRIM(UPPER(D105)),4,1))&gt;=65,CODE(MID(TRIM(UPPER(D105)),4,1))&lt;=90,CODE(MID(TRIM(UPPER(D105)),5,1))&gt;=65,CODE(MID(TRIM(UPPER(D105)),5,1))&lt;=90,CODE(MID(TRIM(UPPER(D105)),10,1))&gt;=65,CODE(MID(TRIM(UPPER(D105)),10,1))&lt;=90,CODE(MID(TRIM(UPPER(D105)),6,1))&gt;=48,CODE(MID(TRIM(UPPER(D105)),6,1))&lt;=57,CODE(MID(TRIM(UPPER(D105)),7,1))&gt;=48,CODE(MID(TRIM(UPPER(D105)),7,1))&lt;=57,CODE(MID(TRIM(UPPER(D105)),8,1))&gt;=48,CODE(MID(TRIM(UPPER(D105)),8,1))&lt;=57,CODE(MID(TRIM(UPPER(D105)),9,1))&gt;=48,CODE(MID(TRIM(UPPER(D105)),9,1))&lt;=57),"N","Y"))</f>
      </c>
      <c r="F105" s="7">
        <f>IF($C105="","",IF(LEN(D105)&lt;4,"",IF(UPPER(MID(D105,4,1))="P","Individual",IF(UPPER(MID(D105,4,1))="H","HUF",IF(UPPER(MID(D105,4,1))="C","Company",IF(UPPER(MID(D105,4,1))="F","Firm",IF(UPPER(MID(D105,4,1))="L","LLP",IF(UPPER(MID(D105,4,1))="T","Trust",IF(UPPER(MID(D105,4,1))="A","AOP","")))))))))</f>
      </c>
      <c r="G105" s="8"/>
      <c r="H105" s="7">
        <f>IF($C105="","",IF(R105&lt;&gt;"",R105,IF(G105="","",IF(E105="Y",SUMPRODUCT(('Rate Lookup'!$A$1:$A$37=G105)*'Rate Lookup'!$D$1:$D$37),IF(OR(F105="Individual",F105="HUF"),SUMPRODUCT(('Rate Lookup'!$A$1:$A$37=G105)*'Rate Lookup'!$B$1:$B$37),SUMPRODUCT(('Rate Lookup'!$A$1:$A$37=G105)*'Rate Lookup'!$C$1:$C$37)))))))</f>
      </c>
      <c r="I105" s="8"/>
      <c r="J105" s="8"/>
      <c r="K105" s="7">
        <f>IF($C105="","",IF(OR(P105="B",P105="D",P105="E",P105="N",P105="O",P105="P",P105="Q",P105="S",P105="Y",P105="Z"),0,ROUND(J105*H105/100,0)))</f>
      </c>
      <c r="L105" s="7">
        <f>IF($C105="","",0)</f>
      </c>
      <c r="M105" s="7">
        <f>IF($C105="","",0)</f>
      </c>
      <c r="N105" s="7">
        <f>IF($C105="","",IF(OR(K105=0,I105="",IFERROR(INDEX('Challan Master'!$D$4:$D$207,MATCH($B105,'Challan Master'!$S$4:$S$207,0)),"")="",IFERROR(INDEX('Challan Master'!$D$4:$D$207,MATCH($B105,'Challan Master'!$S$4:$S$207,0)),"")&lt;=0),0,IF(IFERROR(INDEX('Challan Master'!$D$4:$D$207,MATCH($B105,'Challan Master'!$S$4:$S$207,0)),"")&lt;=DATE(YEAR(I105),MONTH(I105)+1,7),0,ROUND(K105*0.015*((YEAR(IFERROR(INDEX('Challan Master'!$D$4:$D$207,MATCH($B105,'Challan Master'!$S$4:$S$207,0)),""))-YEAR(I105))*12+(MONTH(IFERROR(INDEX('Challan Master'!$D$4:$D$207,MATCH($B105,'Challan Master'!$S$4:$S$207,0)),""))-MONTH(I105))+1),0))))</f>
      </c>
      <c r="O105" s="7">
        <f>IF($C105="","",0)</f>
      </c>
      <c r="P105" s="8"/>
      <c r="Q105" s="8"/>
      <c r="R105" s="8"/>
      <c r="S105" s="8"/>
      <c r="T105" s="8"/>
      <c r="U105" s="7">
        <f>IF($B105="","",IFERROR(INDEX('Challan Master'!$AA$4:$AA$207,MATCH($B105,'Challan Master'!$S$4:$S$207,0)),""))</f>
      </c>
    </row>
    <row r="106" spans="1:22" x14ac:dyDescent="0.25">
      <c r="A106" s="7">
        <f>IF($C106="","",COUNTIF($C$4:$C106,"&lt;&gt;"))</f>
      </c>
      <c r="B106" s="8"/>
      <c r="C106" s="8"/>
      <c r="D106" s="8"/>
      <c r="E106" s="7">
        <f>IF($C106="","",IF(AND(LEN(TRIM(UPPER(D106)))=10,CODE(MID(TRIM(UPPER(D106)),1,1))&gt;=65,CODE(MID(TRIM(UPPER(D106)),1,1))&lt;=90,CODE(MID(TRIM(UPPER(D106)),2,1))&gt;=65,CODE(MID(TRIM(UPPER(D106)),2,1))&lt;=90,CODE(MID(TRIM(UPPER(D106)),3,1))&gt;=65,CODE(MID(TRIM(UPPER(D106)),3,1))&lt;=90,CODE(MID(TRIM(UPPER(D106)),4,1))&gt;=65,CODE(MID(TRIM(UPPER(D106)),4,1))&lt;=90,CODE(MID(TRIM(UPPER(D106)),5,1))&gt;=65,CODE(MID(TRIM(UPPER(D106)),5,1))&lt;=90,CODE(MID(TRIM(UPPER(D106)),10,1))&gt;=65,CODE(MID(TRIM(UPPER(D106)),10,1))&lt;=90,CODE(MID(TRIM(UPPER(D106)),6,1))&gt;=48,CODE(MID(TRIM(UPPER(D106)),6,1))&lt;=57,CODE(MID(TRIM(UPPER(D106)),7,1))&gt;=48,CODE(MID(TRIM(UPPER(D106)),7,1))&lt;=57,CODE(MID(TRIM(UPPER(D106)),8,1))&gt;=48,CODE(MID(TRIM(UPPER(D106)),8,1))&lt;=57,CODE(MID(TRIM(UPPER(D106)),9,1))&gt;=48,CODE(MID(TRIM(UPPER(D106)),9,1))&lt;=57),"N","Y"))</f>
      </c>
      <c r="F106" s="7">
        <f>IF($C106="","",IF(LEN(D106)&lt;4,"",IF(UPPER(MID(D106,4,1))="P","Individual",IF(UPPER(MID(D106,4,1))="H","HUF",IF(UPPER(MID(D106,4,1))="C","Company",IF(UPPER(MID(D106,4,1))="F","Firm",IF(UPPER(MID(D106,4,1))="L","LLP",IF(UPPER(MID(D106,4,1))="T","Trust",IF(UPPER(MID(D106,4,1))="A","AOP","")))))))))</f>
      </c>
      <c r="G106" s="8"/>
      <c r="H106" s="7">
        <f>IF($C106="","",IF(R106&lt;&gt;"",R106,IF(G106="","",IF(E106="Y",SUMPRODUCT(('Rate Lookup'!$A$1:$A$37=G106)*'Rate Lookup'!$D$1:$D$37),IF(OR(F106="Individual",F106="HUF"),SUMPRODUCT(('Rate Lookup'!$A$1:$A$37=G106)*'Rate Lookup'!$B$1:$B$37),SUMPRODUCT(('Rate Lookup'!$A$1:$A$37=G106)*'Rate Lookup'!$C$1:$C$37)))))))</f>
      </c>
      <c r="I106" s="8"/>
      <c r="J106" s="8"/>
      <c r="K106" s="7">
        <f>IF($C106="","",IF(OR(P106="B",P106="D",P106="E",P106="N",P106="O",P106="P",P106="Q",P106="S",P106="Y",P106="Z"),0,ROUND(J106*H106/100,0)))</f>
      </c>
      <c r="L106" s="7">
        <f>IF($C106="","",0)</f>
      </c>
      <c r="M106" s="7">
        <f>IF($C106="","",0)</f>
      </c>
      <c r="N106" s="7">
        <f>IF($C106="","",IF(OR(K106=0,I106="",IFERROR(INDEX('Challan Master'!$D$4:$D$207,MATCH($B106,'Challan Master'!$S$4:$S$207,0)),"")="",IFERROR(INDEX('Challan Master'!$D$4:$D$207,MATCH($B106,'Challan Master'!$S$4:$S$207,0)),"")&lt;=0),0,IF(IFERROR(INDEX('Challan Master'!$D$4:$D$207,MATCH($B106,'Challan Master'!$S$4:$S$207,0)),"")&lt;=DATE(YEAR(I106),MONTH(I106)+1,7),0,ROUND(K106*0.015*((YEAR(IFERROR(INDEX('Challan Master'!$D$4:$D$207,MATCH($B106,'Challan Master'!$S$4:$S$207,0)),""))-YEAR(I106))*12+(MONTH(IFERROR(INDEX('Challan Master'!$D$4:$D$207,MATCH($B106,'Challan Master'!$S$4:$S$207,0)),""))-MONTH(I106))+1),0))))</f>
      </c>
      <c r="O106" s="7">
        <f>IF($C106="","",0)</f>
      </c>
      <c r="P106" s="8"/>
      <c r="Q106" s="8"/>
      <c r="R106" s="8"/>
      <c r="S106" s="8"/>
      <c r="T106" s="8"/>
      <c r="U106" s="7">
        <f>IF($B106="","",IFERROR(INDEX('Challan Master'!$AA$4:$AA$207,MATCH($B106,'Challan Master'!$S$4:$S$207,0)),""))</f>
      </c>
    </row>
    <row r="107" spans="1:22" x14ac:dyDescent="0.25">
      <c r="A107" s="7">
        <f>IF($C107="","",COUNTIF($C$4:$C107,"&lt;&gt;"))</f>
      </c>
      <c r="B107" s="8"/>
      <c r="C107" s="8"/>
      <c r="D107" s="8"/>
      <c r="E107" s="7">
        <f>IF($C107="","",IF(AND(LEN(TRIM(UPPER(D107)))=10,CODE(MID(TRIM(UPPER(D107)),1,1))&gt;=65,CODE(MID(TRIM(UPPER(D107)),1,1))&lt;=90,CODE(MID(TRIM(UPPER(D107)),2,1))&gt;=65,CODE(MID(TRIM(UPPER(D107)),2,1))&lt;=90,CODE(MID(TRIM(UPPER(D107)),3,1))&gt;=65,CODE(MID(TRIM(UPPER(D107)),3,1))&lt;=90,CODE(MID(TRIM(UPPER(D107)),4,1))&gt;=65,CODE(MID(TRIM(UPPER(D107)),4,1))&lt;=90,CODE(MID(TRIM(UPPER(D107)),5,1))&gt;=65,CODE(MID(TRIM(UPPER(D107)),5,1))&lt;=90,CODE(MID(TRIM(UPPER(D107)),10,1))&gt;=65,CODE(MID(TRIM(UPPER(D107)),10,1))&lt;=90,CODE(MID(TRIM(UPPER(D107)),6,1))&gt;=48,CODE(MID(TRIM(UPPER(D107)),6,1))&lt;=57,CODE(MID(TRIM(UPPER(D107)),7,1))&gt;=48,CODE(MID(TRIM(UPPER(D107)),7,1))&lt;=57,CODE(MID(TRIM(UPPER(D107)),8,1))&gt;=48,CODE(MID(TRIM(UPPER(D107)),8,1))&lt;=57,CODE(MID(TRIM(UPPER(D107)),9,1))&gt;=48,CODE(MID(TRIM(UPPER(D107)),9,1))&lt;=57),"N","Y"))</f>
      </c>
      <c r="F107" s="7">
        <f>IF($C107="","",IF(LEN(D107)&lt;4,"",IF(UPPER(MID(D107,4,1))="P","Individual",IF(UPPER(MID(D107,4,1))="H","HUF",IF(UPPER(MID(D107,4,1))="C","Company",IF(UPPER(MID(D107,4,1))="F","Firm",IF(UPPER(MID(D107,4,1))="L","LLP",IF(UPPER(MID(D107,4,1))="T","Trust",IF(UPPER(MID(D107,4,1))="A","AOP","")))))))))</f>
      </c>
      <c r="G107" s="8"/>
      <c r="H107" s="7">
        <f>IF($C107="","",IF(R107&lt;&gt;"",R107,IF(G107="","",IF(E107="Y",SUMPRODUCT(('Rate Lookup'!$A$1:$A$37=G107)*'Rate Lookup'!$D$1:$D$37),IF(OR(F107="Individual",F107="HUF"),SUMPRODUCT(('Rate Lookup'!$A$1:$A$37=G107)*'Rate Lookup'!$B$1:$B$37),SUMPRODUCT(('Rate Lookup'!$A$1:$A$37=G107)*'Rate Lookup'!$C$1:$C$37)))))))</f>
      </c>
      <c r="I107" s="8"/>
      <c r="J107" s="8"/>
      <c r="K107" s="7">
        <f>IF($C107="","",IF(OR(P107="B",P107="D",P107="E",P107="N",P107="O",P107="P",P107="Q",P107="S",P107="Y",P107="Z"),0,ROUND(J107*H107/100,0)))</f>
      </c>
      <c r="L107" s="7">
        <f>IF($C107="","",0)</f>
      </c>
      <c r="M107" s="7">
        <f>IF($C107="","",0)</f>
      </c>
      <c r="N107" s="7">
        <f>IF($C107="","",IF(OR(K107=0,I107="",IFERROR(INDEX('Challan Master'!$D$4:$D$207,MATCH($B107,'Challan Master'!$S$4:$S$207,0)),"")="",IFERROR(INDEX('Challan Master'!$D$4:$D$207,MATCH($B107,'Challan Master'!$S$4:$S$207,0)),"")&lt;=0),0,IF(IFERROR(INDEX('Challan Master'!$D$4:$D$207,MATCH($B107,'Challan Master'!$S$4:$S$207,0)),"")&lt;=DATE(YEAR(I107),MONTH(I107)+1,7),0,ROUND(K107*0.015*((YEAR(IFERROR(INDEX('Challan Master'!$D$4:$D$207,MATCH($B107,'Challan Master'!$S$4:$S$207,0)),""))-YEAR(I107))*12+(MONTH(IFERROR(INDEX('Challan Master'!$D$4:$D$207,MATCH($B107,'Challan Master'!$S$4:$S$207,0)),""))-MONTH(I107))+1),0))))</f>
      </c>
      <c r="O107" s="7">
        <f>IF($C107="","",0)</f>
      </c>
      <c r="P107" s="8"/>
      <c r="Q107" s="8"/>
      <c r="R107" s="8"/>
      <c r="S107" s="8"/>
      <c r="T107" s="8"/>
      <c r="U107" s="7">
        <f>IF($B107="","",IFERROR(INDEX('Challan Master'!$AA$4:$AA$207,MATCH($B107,'Challan Master'!$S$4:$S$207,0)),""))</f>
      </c>
    </row>
    <row r="108" spans="1:22" x14ac:dyDescent="0.25">
      <c r="A108" s="7">
        <f>IF($C108="","",COUNTIF($C$4:$C108,"&lt;&gt;"))</f>
      </c>
      <c r="B108" s="8"/>
      <c r="C108" s="8"/>
      <c r="D108" s="8"/>
      <c r="E108" s="7">
        <f>IF($C108="","",IF(AND(LEN(TRIM(UPPER(D108)))=10,CODE(MID(TRIM(UPPER(D108)),1,1))&gt;=65,CODE(MID(TRIM(UPPER(D108)),1,1))&lt;=90,CODE(MID(TRIM(UPPER(D108)),2,1))&gt;=65,CODE(MID(TRIM(UPPER(D108)),2,1))&lt;=90,CODE(MID(TRIM(UPPER(D108)),3,1))&gt;=65,CODE(MID(TRIM(UPPER(D108)),3,1))&lt;=90,CODE(MID(TRIM(UPPER(D108)),4,1))&gt;=65,CODE(MID(TRIM(UPPER(D108)),4,1))&lt;=90,CODE(MID(TRIM(UPPER(D108)),5,1))&gt;=65,CODE(MID(TRIM(UPPER(D108)),5,1))&lt;=90,CODE(MID(TRIM(UPPER(D108)),10,1))&gt;=65,CODE(MID(TRIM(UPPER(D108)),10,1))&lt;=90,CODE(MID(TRIM(UPPER(D108)),6,1))&gt;=48,CODE(MID(TRIM(UPPER(D108)),6,1))&lt;=57,CODE(MID(TRIM(UPPER(D108)),7,1))&gt;=48,CODE(MID(TRIM(UPPER(D108)),7,1))&lt;=57,CODE(MID(TRIM(UPPER(D108)),8,1))&gt;=48,CODE(MID(TRIM(UPPER(D108)),8,1))&lt;=57,CODE(MID(TRIM(UPPER(D108)),9,1))&gt;=48,CODE(MID(TRIM(UPPER(D108)),9,1))&lt;=57),"N","Y"))</f>
      </c>
      <c r="F108" s="7">
        <f>IF($C108="","",IF(LEN(D108)&lt;4,"",IF(UPPER(MID(D108,4,1))="P","Individual",IF(UPPER(MID(D108,4,1))="H","HUF",IF(UPPER(MID(D108,4,1))="C","Company",IF(UPPER(MID(D108,4,1))="F","Firm",IF(UPPER(MID(D108,4,1))="L","LLP",IF(UPPER(MID(D108,4,1))="T","Trust",IF(UPPER(MID(D108,4,1))="A","AOP","")))))))))</f>
      </c>
      <c r="G108" s="8"/>
      <c r="H108" s="7">
        <f>IF($C108="","",IF(R108&lt;&gt;"",R108,IF(G108="","",IF(E108="Y",SUMPRODUCT(('Rate Lookup'!$A$1:$A$37=G108)*'Rate Lookup'!$D$1:$D$37),IF(OR(F108="Individual",F108="HUF"),SUMPRODUCT(('Rate Lookup'!$A$1:$A$37=G108)*'Rate Lookup'!$B$1:$B$37),SUMPRODUCT(('Rate Lookup'!$A$1:$A$37=G108)*'Rate Lookup'!$C$1:$C$37)))))))</f>
      </c>
      <c r="I108" s="8"/>
      <c r="J108" s="8"/>
      <c r="K108" s="7">
        <f>IF($C108="","",IF(OR(P108="B",P108="D",P108="E",P108="N",P108="O",P108="P",P108="Q",P108="S",P108="Y",P108="Z"),0,ROUND(J108*H108/100,0)))</f>
      </c>
      <c r="L108" s="7">
        <f>IF($C108="","",0)</f>
      </c>
      <c r="M108" s="7">
        <f>IF($C108="","",0)</f>
      </c>
      <c r="N108" s="7">
        <f>IF($C108="","",IF(OR(K108=0,I108="",IFERROR(INDEX('Challan Master'!$D$4:$D$207,MATCH($B108,'Challan Master'!$S$4:$S$207,0)),"")="",IFERROR(INDEX('Challan Master'!$D$4:$D$207,MATCH($B108,'Challan Master'!$S$4:$S$207,0)),"")&lt;=0),0,IF(IFERROR(INDEX('Challan Master'!$D$4:$D$207,MATCH($B108,'Challan Master'!$S$4:$S$207,0)),"")&lt;=DATE(YEAR(I108),MONTH(I108)+1,7),0,ROUND(K108*0.015*((YEAR(IFERROR(INDEX('Challan Master'!$D$4:$D$207,MATCH($B108,'Challan Master'!$S$4:$S$207,0)),""))-YEAR(I108))*12+(MONTH(IFERROR(INDEX('Challan Master'!$D$4:$D$207,MATCH($B108,'Challan Master'!$S$4:$S$207,0)),""))-MONTH(I108))+1),0))))</f>
      </c>
      <c r="O108" s="7">
        <f>IF($C108="","",0)</f>
      </c>
      <c r="P108" s="8"/>
      <c r="Q108" s="8"/>
      <c r="R108" s="8"/>
      <c r="S108" s="8"/>
      <c r="T108" s="8"/>
      <c r="U108" s="7">
        <f>IF($B108="","",IFERROR(INDEX('Challan Master'!$AA$4:$AA$207,MATCH($B108,'Challan Master'!$S$4:$S$207,0)),""))</f>
      </c>
    </row>
    <row r="109" spans="1:22" x14ac:dyDescent="0.25">
      <c r="A109" s="7">
        <f>IF($C109="","",COUNTIF($C$4:$C109,"&lt;&gt;"))</f>
      </c>
      <c r="B109" s="8"/>
      <c r="C109" s="8"/>
      <c r="D109" s="8"/>
      <c r="E109" s="7">
        <f>IF($C109="","",IF(AND(LEN(TRIM(UPPER(D109)))=10,CODE(MID(TRIM(UPPER(D109)),1,1))&gt;=65,CODE(MID(TRIM(UPPER(D109)),1,1))&lt;=90,CODE(MID(TRIM(UPPER(D109)),2,1))&gt;=65,CODE(MID(TRIM(UPPER(D109)),2,1))&lt;=90,CODE(MID(TRIM(UPPER(D109)),3,1))&gt;=65,CODE(MID(TRIM(UPPER(D109)),3,1))&lt;=90,CODE(MID(TRIM(UPPER(D109)),4,1))&gt;=65,CODE(MID(TRIM(UPPER(D109)),4,1))&lt;=90,CODE(MID(TRIM(UPPER(D109)),5,1))&gt;=65,CODE(MID(TRIM(UPPER(D109)),5,1))&lt;=90,CODE(MID(TRIM(UPPER(D109)),10,1))&gt;=65,CODE(MID(TRIM(UPPER(D109)),10,1))&lt;=90,CODE(MID(TRIM(UPPER(D109)),6,1))&gt;=48,CODE(MID(TRIM(UPPER(D109)),6,1))&lt;=57,CODE(MID(TRIM(UPPER(D109)),7,1))&gt;=48,CODE(MID(TRIM(UPPER(D109)),7,1))&lt;=57,CODE(MID(TRIM(UPPER(D109)),8,1))&gt;=48,CODE(MID(TRIM(UPPER(D109)),8,1))&lt;=57,CODE(MID(TRIM(UPPER(D109)),9,1))&gt;=48,CODE(MID(TRIM(UPPER(D109)),9,1))&lt;=57),"N","Y"))</f>
      </c>
      <c r="F109" s="7">
        <f>IF($C109="","",IF(LEN(D109)&lt;4,"",IF(UPPER(MID(D109,4,1))="P","Individual",IF(UPPER(MID(D109,4,1))="H","HUF",IF(UPPER(MID(D109,4,1))="C","Company",IF(UPPER(MID(D109,4,1))="F","Firm",IF(UPPER(MID(D109,4,1))="L","LLP",IF(UPPER(MID(D109,4,1))="T","Trust",IF(UPPER(MID(D109,4,1))="A","AOP","")))))))))</f>
      </c>
      <c r="G109" s="8"/>
      <c r="H109" s="7">
        <f>IF($C109="","",IF(R109&lt;&gt;"",R109,IF(G109="","",IF(E109="Y",SUMPRODUCT(('Rate Lookup'!$A$1:$A$37=G109)*'Rate Lookup'!$D$1:$D$37),IF(OR(F109="Individual",F109="HUF"),SUMPRODUCT(('Rate Lookup'!$A$1:$A$37=G109)*'Rate Lookup'!$B$1:$B$37),SUMPRODUCT(('Rate Lookup'!$A$1:$A$37=G109)*'Rate Lookup'!$C$1:$C$37)))))))</f>
      </c>
      <c r="I109" s="8"/>
      <c r="J109" s="8"/>
      <c r="K109" s="7">
        <f>IF($C109="","",IF(OR(P109="B",P109="D",P109="E",P109="N",P109="O",P109="P",P109="Q",P109="S",P109="Y",P109="Z"),0,ROUND(J109*H109/100,0)))</f>
      </c>
      <c r="L109" s="7">
        <f>IF($C109="","",0)</f>
      </c>
      <c r="M109" s="7">
        <f>IF($C109="","",0)</f>
      </c>
      <c r="N109" s="7">
        <f>IF($C109="","",IF(OR(K109=0,I109="",IFERROR(INDEX('Challan Master'!$D$4:$D$207,MATCH($B109,'Challan Master'!$S$4:$S$207,0)),"")="",IFERROR(INDEX('Challan Master'!$D$4:$D$207,MATCH($B109,'Challan Master'!$S$4:$S$207,0)),"")&lt;=0),0,IF(IFERROR(INDEX('Challan Master'!$D$4:$D$207,MATCH($B109,'Challan Master'!$S$4:$S$207,0)),"")&lt;=DATE(YEAR(I109),MONTH(I109)+1,7),0,ROUND(K109*0.015*((YEAR(IFERROR(INDEX('Challan Master'!$D$4:$D$207,MATCH($B109,'Challan Master'!$S$4:$S$207,0)),""))-YEAR(I109))*12+(MONTH(IFERROR(INDEX('Challan Master'!$D$4:$D$207,MATCH($B109,'Challan Master'!$S$4:$S$207,0)),""))-MONTH(I109))+1),0))))</f>
      </c>
      <c r="O109" s="7">
        <f>IF($C109="","",0)</f>
      </c>
      <c r="P109" s="8"/>
      <c r="Q109" s="8"/>
      <c r="R109" s="8"/>
      <c r="S109" s="8"/>
      <c r="T109" s="8"/>
      <c r="U109" s="7">
        <f>IF($B109="","",IFERROR(INDEX('Challan Master'!$AA$4:$AA$207,MATCH($B109,'Challan Master'!$S$4:$S$207,0)),""))</f>
      </c>
    </row>
    <row r="110" spans="1:22" x14ac:dyDescent="0.25">
      <c r="A110" s="7">
        <f>IF($C110="","",COUNTIF($C$4:$C110,"&lt;&gt;"))</f>
      </c>
      <c r="B110" s="8"/>
      <c r="C110" s="8"/>
      <c r="D110" s="8"/>
      <c r="E110" s="7">
        <f>IF($C110="","",IF(AND(LEN(TRIM(UPPER(D110)))=10,CODE(MID(TRIM(UPPER(D110)),1,1))&gt;=65,CODE(MID(TRIM(UPPER(D110)),1,1))&lt;=90,CODE(MID(TRIM(UPPER(D110)),2,1))&gt;=65,CODE(MID(TRIM(UPPER(D110)),2,1))&lt;=90,CODE(MID(TRIM(UPPER(D110)),3,1))&gt;=65,CODE(MID(TRIM(UPPER(D110)),3,1))&lt;=90,CODE(MID(TRIM(UPPER(D110)),4,1))&gt;=65,CODE(MID(TRIM(UPPER(D110)),4,1))&lt;=90,CODE(MID(TRIM(UPPER(D110)),5,1))&gt;=65,CODE(MID(TRIM(UPPER(D110)),5,1))&lt;=90,CODE(MID(TRIM(UPPER(D110)),10,1))&gt;=65,CODE(MID(TRIM(UPPER(D110)),10,1))&lt;=90,CODE(MID(TRIM(UPPER(D110)),6,1))&gt;=48,CODE(MID(TRIM(UPPER(D110)),6,1))&lt;=57,CODE(MID(TRIM(UPPER(D110)),7,1))&gt;=48,CODE(MID(TRIM(UPPER(D110)),7,1))&lt;=57,CODE(MID(TRIM(UPPER(D110)),8,1))&gt;=48,CODE(MID(TRIM(UPPER(D110)),8,1))&lt;=57,CODE(MID(TRIM(UPPER(D110)),9,1))&gt;=48,CODE(MID(TRIM(UPPER(D110)),9,1))&lt;=57),"N","Y"))</f>
      </c>
      <c r="F110" s="7">
        <f>IF($C110="","",IF(LEN(D110)&lt;4,"",IF(UPPER(MID(D110,4,1))="P","Individual",IF(UPPER(MID(D110,4,1))="H","HUF",IF(UPPER(MID(D110,4,1))="C","Company",IF(UPPER(MID(D110,4,1))="F","Firm",IF(UPPER(MID(D110,4,1))="L","LLP",IF(UPPER(MID(D110,4,1))="T","Trust",IF(UPPER(MID(D110,4,1))="A","AOP","")))))))))</f>
      </c>
      <c r="G110" s="8"/>
      <c r="H110" s="7">
        <f>IF($C110="","",IF(R110&lt;&gt;"",R110,IF(G110="","",IF(E110="Y",SUMPRODUCT(('Rate Lookup'!$A$1:$A$37=G110)*'Rate Lookup'!$D$1:$D$37),IF(OR(F110="Individual",F110="HUF"),SUMPRODUCT(('Rate Lookup'!$A$1:$A$37=G110)*'Rate Lookup'!$B$1:$B$37),SUMPRODUCT(('Rate Lookup'!$A$1:$A$37=G110)*'Rate Lookup'!$C$1:$C$37)))))))</f>
      </c>
      <c r="I110" s="8"/>
      <c r="J110" s="8"/>
      <c r="K110" s="7">
        <f>IF($C110="","",IF(OR(P110="B",P110="D",P110="E",P110="N",P110="O",P110="P",P110="Q",P110="S",P110="Y",P110="Z"),0,ROUND(J110*H110/100,0)))</f>
      </c>
      <c r="L110" s="7">
        <f>IF($C110="","",0)</f>
      </c>
      <c r="M110" s="7">
        <f>IF($C110="","",0)</f>
      </c>
      <c r="N110" s="7">
        <f>IF($C110="","",IF(OR(K110=0,I110="",IFERROR(INDEX('Challan Master'!$D$4:$D$207,MATCH($B110,'Challan Master'!$S$4:$S$207,0)),"")="",IFERROR(INDEX('Challan Master'!$D$4:$D$207,MATCH($B110,'Challan Master'!$S$4:$S$207,0)),"")&lt;=0),0,IF(IFERROR(INDEX('Challan Master'!$D$4:$D$207,MATCH($B110,'Challan Master'!$S$4:$S$207,0)),"")&lt;=DATE(YEAR(I110),MONTH(I110)+1,7),0,ROUND(K110*0.015*((YEAR(IFERROR(INDEX('Challan Master'!$D$4:$D$207,MATCH($B110,'Challan Master'!$S$4:$S$207,0)),""))-YEAR(I110))*12+(MONTH(IFERROR(INDEX('Challan Master'!$D$4:$D$207,MATCH($B110,'Challan Master'!$S$4:$S$207,0)),""))-MONTH(I110))+1),0))))</f>
      </c>
      <c r="O110" s="7">
        <f>IF($C110="","",0)</f>
      </c>
      <c r="P110" s="8"/>
      <c r="Q110" s="8"/>
      <c r="R110" s="8"/>
      <c r="S110" s="8"/>
      <c r="T110" s="8"/>
      <c r="U110" s="7">
        <f>IF($B110="","",IFERROR(INDEX('Challan Master'!$AA$4:$AA$207,MATCH($B110,'Challan Master'!$S$4:$S$207,0)),""))</f>
      </c>
    </row>
    <row r="111" spans="1:22" x14ac:dyDescent="0.25">
      <c r="A111" s="7">
        <f>IF($C111="","",COUNTIF($C$4:$C111,"&lt;&gt;"))</f>
      </c>
      <c r="B111" s="8"/>
      <c r="C111" s="8"/>
      <c r="D111" s="8"/>
      <c r="E111" s="7">
        <f>IF($C111="","",IF(AND(LEN(TRIM(UPPER(D111)))=10,CODE(MID(TRIM(UPPER(D111)),1,1))&gt;=65,CODE(MID(TRIM(UPPER(D111)),1,1))&lt;=90,CODE(MID(TRIM(UPPER(D111)),2,1))&gt;=65,CODE(MID(TRIM(UPPER(D111)),2,1))&lt;=90,CODE(MID(TRIM(UPPER(D111)),3,1))&gt;=65,CODE(MID(TRIM(UPPER(D111)),3,1))&lt;=90,CODE(MID(TRIM(UPPER(D111)),4,1))&gt;=65,CODE(MID(TRIM(UPPER(D111)),4,1))&lt;=90,CODE(MID(TRIM(UPPER(D111)),5,1))&gt;=65,CODE(MID(TRIM(UPPER(D111)),5,1))&lt;=90,CODE(MID(TRIM(UPPER(D111)),10,1))&gt;=65,CODE(MID(TRIM(UPPER(D111)),10,1))&lt;=90,CODE(MID(TRIM(UPPER(D111)),6,1))&gt;=48,CODE(MID(TRIM(UPPER(D111)),6,1))&lt;=57,CODE(MID(TRIM(UPPER(D111)),7,1))&gt;=48,CODE(MID(TRIM(UPPER(D111)),7,1))&lt;=57,CODE(MID(TRIM(UPPER(D111)),8,1))&gt;=48,CODE(MID(TRIM(UPPER(D111)),8,1))&lt;=57,CODE(MID(TRIM(UPPER(D111)),9,1))&gt;=48,CODE(MID(TRIM(UPPER(D111)),9,1))&lt;=57),"N","Y"))</f>
      </c>
      <c r="F111" s="7">
        <f>IF($C111="","",IF(LEN(D111)&lt;4,"",IF(UPPER(MID(D111,4,1))="P","Individual",IF(UPPER(MID(D111,4,1))="H","HUF",IF(UPPER(MID(D111,4,1))="C","Company",IF(UPPER(MID(D111,4,1))="F","Firm",IF(UPPER(MID(D111,4,1))="L","LLP",IF(UPPER(MID(D111,4,1))="T","Trust",IF(UPPER(MID(D111,4,1))="A","AOP","")))))))))</f>
      </c>
      <c r="G111" s="8"/>
      <c r="H111" s="7">
        <f>IF($C111="","",IF(R111&lt;&gt;"",R111,IF(G111="","",IF(E111="Y",SUMPRODUCT(('Rate Lookup'!$A$1:$A$37=G111)*'Rate Lookup'!$D$1:$D$37),IF(OR(F111="Individual",F111="HUF"),SUMPRODUCT(('Rate Lookup'!$A$1:$A$37=G111)*'Rate Lookup'!$B$1:$B$37),SUMPRODUCT(('Rate Lookup'!$A$1:$A$37=G111)*'Rate Lookup'!$C$1:$C$37)))))))</f>
      </c>
      <c r="I111" s="8"/>
      <c r="J111" s="8"/>
      <c r="K111" s="7">
        <f>IF($C111="","",IF(OR(P111="B",P111="D",P111="E",P111="N",P111="O",P111="P",P111="Q",P111="S",P111="Y",P111="Z"),0,ROUND(J111*H111/100,0)))</f>
      </c>
      <c r="L111" s="7">
        <f>IF($C111="","",0)</f>
      </c>
      <c r="M111" s="7">
        <f>IF($C111="","",0)</f>
      </c>
      <c r="N111" s="7">
        <f>IF($C111="","",IF(OR(K111=0,I111="",IFERROR(INDEX('Challan Master'!$D$4:$D$207,MATCH($B111,'Challan Master'!$S$4:$S$207,0)),"")="",IFERROR(INDEX('Challan Master'!$D$4:$D$207,MATCH($B111,'Challan Master'!$S$4:$S$207,0)),"")&lt;=0),0,IF(IFERROR(INDEX('Challan Master'!$D$4:$D$207,MATCH($B111,'Challan Master'!$S$4:$S$207,0)),"")&lt;=DATE(YEAR(I111),MONTH(I111)+1,7),0,ROUND(K111*0.015*((YEAR(IFERROR(INDEX('Challan Master'!$D$4:$D$207,MATCH($B111,'Challan Master'!$S$4:$S$207,0)),""))-YEAR(I111))*12+(MONTH(IFERROR(INDEX('Challan Master'!$D$4:$D$207,MATCH($B111,'Challan Master'!$S$4:$S$207,0)),""))-MONTH(I111))+1),0))))</f>
      </c>
      <c r="O111" s="7">
        <f>IF($C111="","",0)</f>
      </c>
      <c r="P111" s="8"/>
      <c r="Q111" s="8"/>
      <c r="R111" s="8"/>
      <c r="S111" s="8"/>
      <c r="T111" s="8"/>
      <c r="U111" s="7">
        <f>IF($B111="","",IFERROR(INDEX('Challan Master'!$AA$4:$AA$207,MATCH($B111,'Challan Master'!$S$4:$S$207,0)),""))</f>
      </c>
    </row>
    <row r="112" spans="1:22" x14ac:dyDescent="0.25">
      <c r="A112" s="7">
        <f>IF($C112="","",COUNTIF($C$4:$C112,"&lt;&gt;"))</f>
      </c>
      <c r="B112" s="8"/>
      <c r="C112" s="8"/>
      <c r="D112" s="8"/>
      <c r="E112" s="7">
        <f>IF($C112="","",IF(AND(LEN(TRIM(UPPER(D112)))=10,CODE(MID(TRIM(UPPER(D112)),1,1))&gt;=65,CODE(MID(TRIM(UPPER(D112)),1,1))&lt;=90,CODE(MID(TRIM(UPPER(D112)),2,1))&gt;=65,CODE(MID(TRIM(UPPER(D112)),2,1))&lt;=90,CODE(MID(TRIM(UPPER(D112)),3,1))&gt;=65,CODE(MID(TRIM(UPPER(D112)),3,1))&lt;=90,CODE(MID(TRIM(UPPER(D112)),4,1))&gt;=65,CODE(MID(TRIM(UPPER(D112)),4,1))&lt;=90,CODE(MID(TRIM(UPPER(D112)),5,1))&gt;=65,CODE(MID(TRIM(UPPER(D112)),5,1))&lt;=90,CODE(MID(TRIM(UPPER(D112)),10,1))&gt;=65,CODE(MID(TRIM(UPPER(D112)),10,1))&lt;=90,CODE(MID(TRIM(UPPER(D112)),6,1))&gt;=48,CODE(MID(TRIM(UPPER(D112)),6,1))&lt;=57,CODE(MID(TRIM(UPPER(D112)),7,1))&gt;=48,CODE(MID(TRIM(UPPER(D112)),7,1))&lt;=57,CODE(MID(TRIM(UPPER(D112)),8,1))&gt;=48,CODE(MID(TRIM(UPPER(D112)),8,1))&lt;=57,CODE(MID(TRIM(UPPER(D112)),9,1))&gt;=48,CODE(MID(TRIM(UPPER(D112)),9,1))&lt;=57),"N","Y"))</f>
      </c>
      <c r="F112" s="7">
        <f>IF($C112="","",IF(LEN(D112)&lt;4,"",IF(UPPER(MID(D112,4,1))="P","Individual",IF(UPPER(MID(D112,4,1))="H","HUF",IF(UPPER(MID(D112,4,1))="C","Company",IF(UPPER(MID(D112,4,1))="F","Firm",IF(UPPER(MID(D112,4,1))="L","LLP",IF(UPPER(MID(D112,4,1))="T","Trust",IF(UPPER(MID(D112,4,1))="A","AOP","")))))))))</f>
      </c>
      <c r="G112" s="8"/>
      <c r="H112" s="7">
        <f>IF($C112="","",IF(R112&lt;&gt;"",R112,IF(G112="","",IF(E112="Y",SUMPRODUCT(('Rate Lookup'!$A$1:$A$37=G112)*'Rate Lookup'!$D$1:$D$37),IF(OR(F112="Individual",F112="HUF"),SUMPRODUCT(('Rate Lookup'!$A$1:$A$37=G112)*'Rate Lookup'!$B$1:$B$37),SUMPRODUCT(('Rate Lookup'!$A$1:$A$37=G112)*'Rate Lookup'!$C$1:$C$37)))))))</f>
      </c>
      <c r="I112" s="8"/>
      <c r="J112" s="8"/>
      <c r="K112" s="7">
        <f>IF($C112="","",IF(OR(P112="B",P112="D",P112="E",P112="N",P112="O",P112="P",P112="Q",P112="S",P112="Y",P112="Z"),0,ROUND(J112*H112/100,0)))</f>
      </c>
      <c r="L112" s="7">
        <f>IF($C112="","",0)</f>
      </c>
      <c r="M112" s="7">
        <f>IF($C112="","",0)</f>
      </c>
      <c r="N112" s="7">
        <f>IF($C112="","",IF(OR(K112=0,I112="",IFERROR(INDEX('Challan Master'!$D$4:$D$207,MATCH($B112,'Challan Master'!$S$4:$S$207,0)),"")="",IFERROR(INDEX('Challan Master'!$D$4:$D$207,MATCH($B112,'Challan Master'!$S$4:$S$207,0)),"")&lt;=0),0,IF(IFERROR(INDEX('Challan Master'!$D$4:$D$207,MATCH($B112,'Challan Master'!$S$4:$S$207,0)),"")&lt;=DATE(YEAR(I112),MONTH(I112)+1,7),0,ROUND(K112*0.015*((YEAR(IFERROR(INDEX('Challan Master'!$D$4:$D$207,MATCH($B112,'Challan Master'!$S$4:$S$207,0)),""))-YEAR(I112))*12+(MONTH(IFERROR(INDEX('Challan Master'!$D$4:$D$207,MATCH($B112,'Challan Master'!$S$4:$S$207,0)),""))-MONTH(I112))+1),0))))</f>
      </c>
      <c r="O112" s="7">
        <f>IF($C112="","",0)</f>
      </c>
      <c r="P112" s="8"/>
      <c r="Q112" s="8"/>
      <c r="R112" s="8"/>
      <c r="S112" s="8"/>
      <c r="T112" s="8"/>
      <c r="U112" s="7">
        <f>IF($B112="","",IFERROR(INDEX('Challan Master'!$AA$4:$AA$207,MATCH($B112,'Challan Master'!$S$4:$S$207,0)),""))</f>
      </c>
    </row>
    <row r="113" spans="1:22" x14ac:dyDescent="0.25">
      <c r="A113" s="7">
        <f>IF($C113="","",COUNTIF($C$4:$C113,"&lt;&gt;"))</f>
      </c>
      <c r="B113" s="8"/>
      <c r="C113" s="8"/>
      <c r="D113" s="8"/>
      <c r="E113" s="7">
        <f>IF($C113="","",IF(AND(LEN(TRIM(UPPER(D113)))=10,CODE(MID(TRIM(UPPER(D113)),1,1))&gt;=65,CODE(MID(TRIM(UPPER(D113)),1,1))&lt;=90,CODE(MID(TRIM(UPPER(D113)),2,1))&gt;=65,CODE(MID(TRIM(UPPER(D113)),2,1))&lt;=90,CODE(MID(TRIM(UPPER(D113)),3,1))&gt;=65,CODE(MID(TRIM(UPPER(D113)),3,1))&lt;=90,CODE(MID(TRIM(UPPER(D113)),4,1))&gt;=65,CODE(MID(TRIM(UPPER(D113)),4,1))&lt;=90,CODE(MID(TRIM(UPPER(D113)),5,1))&gt;=65,CODE(MID(TRIM(UPPER(D113)),5,1))&lt;=90,CODE(MID(TRIM(UPPER(D113)),10,1))&gt;=65,CODE(MID(TRIM(UPPER(D113)),10,1))&lt;=90,CODE(MID(TRIM(UPPER(D113)),6,1))&gt;=48,CODE(MID(TRIM(UPPER(D113)),6,1))&lt;=57,CODE(MID(TRIM(UPPER(D113)),7,1))&gt;=48,CODE(MID(TRIM(UPPER(D113)),7,1))&lt;=57,CODE(MID(TRIM(UPPER(D113)),8,1))&gt;=48,CODE(MID(TRIM(UPPER(D113)),8,1))&lt;=57,CODE(MID(TRIM(UPPER(D113)),9,1))&gt;=48,CODE(MID(TRIM(UPPER(D113)),9,1))&lt;=57),"N","Y"))</f>
      </c>
      <c r="F113" s="7">
        <f>IF($C113="","",IF(LEN(D113)&lt;4,"",IF(UPPER(MID(D113,4,1))="P","Individual",IF(UPPER(MID(D113,4,1))="H","HUF",IF(UPPER(MID(D113,4,1))="C","Company",IF(UPPER(MID(D113,4,1))="F","Firm",IF(UPPER(MID(D113,4,1))="L","LLP",IF(UPPER(MID(D113,4,1))="T","Trust",IF(UPPER(MID(D113,4,1))="A","AOP","")))))))))</f>
      </c>
      <c r="G113" s="8"/>
      <c r="H113" s="7">
        <f>IF($C113="","",IF(R113&lt;&gt;"",R113,IF(G113="","",IF(E113="Y",SUMPRODUCT(('Rate Lookup'!$A$1:$A$37=G113)*'Rate Lookup'!$D$1:$D$37),IF(OR(F113="Individual",F113="HUF"),SUMPRODUCT(('Rate Lookup'!$A$1:$A$37=G113)*'Rate Lookup'!$B$1:$B$37),SUMPRODUCT(('Rate Lookup'!$A$1:$A$37=G113)*'Rate Lookup'!$C$1:$C$37)))))))</f>
      </c>
      <c r="I113" s="8"/>
      <c r="J113" s="8"/>
      <c r="K113" s="7">
        <f>IF($C113="","",IF(OR(P113="B",P113="D",P113="E",P113="N",P113="O",P113="P",P113="Q",P113="S",P113="Y",P113="Z"),0,ROUND(J113*H113/100,0)))</f>
      </c>
      <c r="L113" s="7">
        <f>IF($C113="","",0)</f>
      </c>
      <c r="M113" s="7">
        <f>IF($C113="","",0)</f>
      </c>
      <c r="N113" s="7">
        <f>IF($C113="","",IF(OR(K113=0,I113="",IFERROR(INDEX('Challan Master'!$D$4:$D$207,MATCH($B113,'Challan Master'!$S$4:$S$207,0)),"")="",IFERROR(INDEX('Challan Master'!$D$4:$D$207,MATCH($B113,'Challan Master'!$S$4:$S$207,0)),"")&lt;=0),0,IF(IFERROR(INDEX('Challan Master'!$D$4:$D$207,MATCH($B113,'Challan Master'!$S$4:$S$207,0)),"")&lt;=DATE(YEAR(I113),MONTH(I113)+1,7),0,ROUND(K113*0.015*((YEAR(IFERROR(INDEX('Challan Master'!$D$4:$D$207,MATCH($B113,'Challan Master'!$S$4:$S$207,0)),""))-YEAR(I113))*12+(MONTH(IFERROR(INDEX('Challan Master'!$D$4:$D$207,MATCH($B113,'Challan Master'!$S$4:$S$207,0)),""))-MONTH(I113))+1),0))))</f>
      </c>
      <c r="O113" s="7">
        <f>IF($C113="","",0)</f>
      </c>
      <c r="P113" s="8"/>
      <c r="Q113" s="8"/>
      <c r="R113" s="8"/>
      <c r="S113" s="8"/>
      <c r="T113" s="8"/>
      <c r="U113" s="7">
        <f>IF($B113="","",IFERROR(INDEX('Challan Master'!$AA$4:$AA$207,MATCH($B113,'Challan Master'!$S$4:$S$207,0)),""))</f>
      </c>
    </row>
    <row r="114" spans="1:22" x14ac:dyDescent="0.25">
      <c r="A114" s="7">
        <f>IF($C114="","",COUNTIF($C$4:$C114,"&lt;&gt;"))</f>
      </c>
      <c r="B114" s="8"/>
      <c r="C114" s="8"/>
      <c r="D114" s="8"/>
      <c r="E114" s="7">
        <f>IF($C114="","",IF(AND(LEN(TRIM(UPPER(D114)))=10,CODE(MID(TRIM(UPPER(D114)),1,1))&gt;=65,CODE(MID(TRIM(UPPER(D114)),1,1))&lt;=90,CODE(MID(TRIM(UPPER(D114)),2,1))&gt;=65,CODE(MID(TRIM(UPPER(D114)),2,1))&lt;=90,CODE(MID(TRIM(UPPER(D114)),3,1))&gt;=65,CODE(MID(TRIM(UPPER(D114)),3,1))&lt;=90,CODE(MID(TRIM(UPPER(D114)),4,1))&gt;=65,CODE(MID(TRIM(UPPER(D114)),4,1))&lt;=90,CODE(MID(TRIM(UPPER(D114)),5,1))&gt;=65,CODE(MID(TRIM(UPPER(D114)),5,1))&lt;=90,CODE(MID(TRIM(UPPER(D114)),10,1))&gt;=65,CODE(MID(TRIM(UPPER(D114)),10,1))&lt;=90,CODE(MID(TRIM(UPPER(D114)),6,1))&gt;=48,CODE(MID(TRIM(UPPER(D114)),6,1))&lt;=57,CODE(MID(TRIM(UPPER(D114)),7,1))&gt;=48,CODE(MID(TRIM(UPPER(D114)),7,1))&lt;=57,CODE(MID(TRIM(UPPER(D114)),8,1))&gt;=48,CODE(MID(TRIM(UPPER(D114)),8,1))&lt;=57,CODE(MID(TRIM(UPPER(D114)),9,1))&gt;=48,CODE(MID(TRIM(UPPER(D114)),9,1))&lt;=57),"N","Y"))</f>
      </c>
      <c r="F114" s="7">
        <f>IF($C114="","",IF(LEN(D114)&lt;4,"",IF(UPPER(MID(D114,4,1))="P","Individual",IF(UPPER(MID(D114,4,1))="H","HUF",IF(UPPER(MID(D114,4,1))="C","Company",IF(UPPER(MID(D114,4,1))="F","Firm",IF(UPPER(MID(D114,4,1))="L","LLP",IF(UPPER(MID(D114,4,1))="T","Trust",IF(UPPER(MID(D114,4,1))="A","AOP","")))))))))</f>
      </c>
      <c r="G114" s="8"/>
      <c r="H114" s="7">
        <f>IF($C114="","",IF(R114&lt;&gt;"",R114,IF(G114="","",IF(E114="Y",SUMPRODUCT(('Rate Lookup'!$A$1:$A$37=G114)*'Rate Lookup'!$D$1:$D$37),IF(OR(F114="Individual",F114="HUF"),SUMPRODUCT(('Rate Lookup'!$A$1:$A$37=G114)*'Rate Lookup'!$B$1:$B$37),SUMPRODUCT(('Rate Lookup'!$A$1:$A$37=G114)*'Rate Lookup'!$C$1:$C$37)))))))</f>
      </c>
      <c r="I114" s="8"/>
      <c r="J114" s="8"/>
      <c r="K114" s="7">
        <f>IF($C114="","",IF(OR(P114="B",P114="D",P114="E",P114="N",P114="O",P114="P",P114="Q",P114="S",P114="Y",P114="Z"),0,ROUND(J114*H114/100,0)))</f>
      </c>
      <c r="L114" s="7">
        <f>IF($C114="","",0)</f>
      </c>
      <c r="M114" s="7">
        <f>IF($C114="","",0)</f>
      </c>
      <c r="N114" s="7">
        <f>IF($C114="","",IF(OR(K114=0,I114="",IFERROR(INDEX('Challan Master'!$D$4:$D$207,MATCH($B114,'Challan Master'!$S$4:$S$207,0)),"")="",IFERROR(INDEX('Challan Master'!$D$4:$D$207,MATCH($B114,'Challan Master'!$S$4:$S$207,0)),"")&lt;=0),0,IF(IFERROR(INDEX('Challan Master'!$D$4:$D$207,MATCH($B114,'Challan Master'!$S$4:$S$207,0)),"")&lt;=DATE(YEAR(I114),MONTH(I114)+1,7),0,ROUND(K114*0.015*((YEAR(IFERROR(INDEX('Challan Master'!$D$4:$D$207,MATCH($B114,'Challan Master'!$S$4:$S$207,0)),""))-YEAR(I114))*12+(MONTH(IFERROR(INDEX('Challan Master'!$D$4:$D$207,MATCH($B114,'Challan Master'!$S$4:$S$207,0)),""))-MONTH(I114))+1),0))))</f>
      </c>
      <c r="O114" s="7">
        <f>IF($C114="","",0)</f>
      </c>
      <c r="P114" s="8"/>
      <c r="Q114" s="8"/>
      <c r="R114" s="8"/>
      <c r="S114" s="8"/>
      <c r="T114" s="8"/>
      <c r="U114" s="7">
        <f>IF($B114="","",IFERROR(INDEX('Challan Master'!$AA$4:$AA$207,MATCH($B114,'Challan Master'!$S$4:$S$207,0)),""))</f>
      </c>
    </row>
    <row r="115" spans="1:22" x14ac:dyDescent="0.25">
      <c r="A115" s="7">
        <f>IF($C115="","",COUNTIF($C$4:$C115,"&lt;&gt;"))</f>
      </c>
      <c r="B115" s="8"/>
      <c r="C115" s="8"/>
      <c r="D115" s="8"/>
      <c r="E115" s="7">
        <f>IF($C115="","",IF(AND(LEN(TRIM(UPPER(D115)))=10,CODE(MID(TRIM(UPPER(D115)),1,1))&gt;=65,CODE(MID(TRIM(UPPER(D115)),1,1))&lt;=90,CODE(MID(TRIM(UPPER(D115)),2,1))&gt;=65,CODE(MID(TRIM(UPPER(D115)),2,1))&lt;=90,CODE(MID(TRIM(UPPER(D115)),3,1))&gt;=65,CODE(MID(TRIM(UPPER(D115)),3,1))&lt;=90,CODE(MID(TRIM(UPPER(D115)),4,1))&gt;=65,CODE(MID(TRIM(UPPER(D115)),4,1))&lt;=90,CODE(MID(TRIM(UPPER(D115)),5,1))&gt;=65,CODE(MID(TRIM(UPPER(D115)),5,1))&lt;=90,CODE(MID(TRIM(UPPER(D115)),10,1))&gt;=65,CODE(MID(TRIM(UPPER(D115)),10,1))&lt;=90,CODE(MID(TRIM(UPPER(D115)),6,1))&gt;=48,CODE(MID(TRIM(UPPER(D115)),6,1))&lt;=57,CODE(MID(TRIM(UPPER(D115)),7,1))&gt;=48,CODE(MID(TRIM(UPPER(D115)),7,1))&lt;=57,CODE(MID(TRIM(UPPER(D115)),8,1))&gt;=48,CODE(MID(TRIM(UPPER(D115)),8,1))&lt;=57,CODE(MID(TRIM(UPPER(D115)),9,1))&gt;=48,CODE(MID(TRIM(UPPER(D115)),9,1))&lt;=57),"N","Y"))</f>
      </c>
      <c r="F115" s="7">
        <f>IF($C115="","",IF(LEN(D115)&lt;4,"",IF(UPPER(MID(D115,4,1))="P","Individual",IF(UPPER(MID(D115,4,1))="H","HUF",IF(UPPER(MID(D115,4,1))="C","Company",IF(UPPER(MID(D115,4,1))="F","Firm",IF(UPPER(MID(D115,4,1))="L","LLP",IF(UPPER(MID(D115,4,1))="T","Trust",IF(UPPER(MID(D115,4,1))="A","AOP","")))))))))</f>
      </c>
      <c r="G115" s="8"/>
      <c r="H115" s="7">
        <f>IF($C115="","",IF(R115&lt;&gt;"",R115,IF(G115="","",IF(E115="Y",SUMPRODUCT(('Rate Lookup'!$A$1:$A$37=G115)*'Rate Lookup'!$D$1:$D$37),IF(OR(F115="Individual",F115="HUF"),SUMPRODUCT(('Rate Lookup'!$A$1:$A$37=G115)*'Rate Lookup'!$B$1:$B$37),SUMPRODUCT(('Rate Lookup'!$A$1:$A$37=G115)*'Rate Lookup'!$C$1:$C$37)))))))</f>
      </c>
      <c r="I115" s="8"/>
      <c r="J115" s="8"/>
      <c r="K115" s="7">
        <f>IF($C115="","",IF(OR(P115="B",P115="D",P115="E",P115="N",P115="O",P115="P",P115="Q",P115="S",P115="Y",P115="Z"),0,ROUND(J115*H115/100,0)))</f>
      </c>
      <c r="L115" s="7">
        <f>IF($C115="","",0)</f>
      </c>
      <c r="M115" s="7">
        <f>IF($C115="","",0)</f>
      </c>
      <c r="N115" s="7">
        <f>IF($C115="","",IF(OR(K115=0,I115="",IFERROR(INDEX('Challan Master'!$D$4:$D$207,MATCH($B115,'Challan Master'!$S$4:$S$207,0)),"")="",IFERROR(INDEX('Challan Master'!$D$4:$D$207,MATCH($B115,'Challan Master'!$S$4:$S$207,0)),"")&lt;=0),0,IF(IFERROR(INDEX('Challan Master'!$D$4:$D$207,MATCH($B115,'Challan Master'!$S$4:$S$207,0)),"")&lt;=DATE(YEAR(I115),MONTH(I115)+1,7),0,ROUND(K115*0.015*((YEAR(IFERROR(INDEX('Challan Master'!$D$4:$D$207,MATCH($B115,'Challan Master'!$S$4:$S$207,0)),""))-YEAR(I115))*12+(MONTH(IFERROR(INDEX('Challan Master'!$D$4:$D$207,MATCH($B115,'Challan Master'!$S$4:$S$207,0)),""))-MONTH(I115))+1),0))))</f>
      </c>
      <c r="O115" s="7">
        <f>IF($C115="","",0)</f>
      </c>
      <c r="P115" s="8"/>
      <c r="Q115" s="8"/>
      <c r="R115" s="8"/>
      <c r="S115" s="8"/>
      <c r="T115" s="8"/>
      <c r="U115" s="7">
        <f>IF($B115="","",IFERROR(INDEX('Challan Master'!$AA$4:$AA$207,MATCH($B115,'Challan Master'!$S$4:$S$207,0)),""))</f>
      </c>
    </row>
    <row r="116" spans="1:22" x14ac:dyDescent="0.25">
      <c r="A116" s="7">
        <f>IF($C116="","",COUNTIF($C$4:$C116,"&lt;&gt;"))</f>
      </c>
      <c r="B116" s="8"/>
      <c r="C116" s="8"/>
      <c r="D116" s="8"/>
      <c r="E116" s="7">
        <f>IF($C116="","",IF(AND(LEN(TRIM(UPPER(D116)))=10,CODE(MID(TRIM(UPPER(D116)),1,1))&gt;=65,CODE(MID(TRIM(UPPER(D116)),1,1))&lt;=90,CODE(MID(TRIM(UPPER(D116)),2,1))&gt;=65,CODE(MID(TRIM(UPPER(D116)),2,1))&lt;=90,CODE(MID(TRIM(UPPER(D116)),3,1))&gt;=65,CODE(MID(TRIM(UPPER(D116)),3,1))&lt;=90,CODE(MID(TRIM(UPPER(D116)),4,1))&gt;=65,CODE(MID(TRIM(UPPER(D116)),4,1))&lt;=90,CODE(MID(TRIM(UPPER(D116)),5,1))&gt;=65,CODE(MID(TRIM(UPPER(D116)),5,1))&lt;=90,CODE(MID(TRIM(UPPER(D116)),10,1))&gt;=65,CODE(MID(TRIM(UPPER(D116)),10,1))&lt;=90,CODE(MID(TRIM(UPPER(D116)),6,1))&gt;=48,CODE(MID(TRIM(UPPER(D116)),6,1))&lt;=57,CODE(MID(TRIM(UPPER(D116)),7,1))&gt;=48,CODE(MID(TRIM(UPPER(D116)),7,1))&lt;=57,CODE(MID(TRIM(UPPER(D116)),8,1))&gt;=48,CODE(MID(TRIM(UPPER(D116)),8,1))&lt;=57,CODE(MID(TRIM(UPPER(D116)),9,1))&gt;=48,CODE(MID(TRIM(UPPER(D116)),9,1))&lt;=57),"N","Y"))</f>
      </c>
      <c r="F116" s="7">
        <f>IF($C116="","",IF(LEN(D116)&lt;4,"",IF(UPPER(MID(D116,4,1))="P","Individual",IF(UPPER(MID(D116,4,1))="H","HUF",IF(UPPER(MID(D116,4,1))="C","Company",IF(UPPER(MID(D116,4,1))="F","Firm",IF(UPPER(MID(D116,4,1))="L","LLP",IF(UPPER(MID(D116,4,1))="T","Trust",IF(UPPER(MID(D116,4,1))="A","AOP","")))))))))</f>
      </c>
      <c r="G116" s="8"/>
      <c r="H116" s="7">
        <f>IF($C116="","",IF(R116&lt;&gt;"",R116,IF(G116="","",IF(E116="Y",SUMPRODUCT(('Rate Lookup'!$A$1:$A$37=G116)*'Rate Lookup'!$D$1:$D$37),IF(OR(F116="Individual",F116="HUF"),SUMPRODUCT(('Rate Lookup'!$A$1:$A$37=G116)*'Rate Lookup'!$B$1:$B$37),SUMPRODUCT(('Rate Lookup'!$A$1:$A$37=G116)*'Rate Lookup'!$C$1:$C$37)))))))</f>
      </c>
      <c r="I116" s="8"/>
      <c r="J116" s="8"/>
      <c r="K116" s="7">
        <f>IF($C116="","",IF(OR(P116="B",P116="D",P116="E",P116="N",P116="O",P116="P",P116="Q",P116="S",P116="Y",P116="Z"),0,ROUND(J116*H116/100,0)))</f>
      </c>
      <c r="L116" s="7">
        <f>IF($C116="","",0)</f>
      </c>
      <c r="M116" s="7">
        <f>IF($C116="","",0)</f>
      </c>
      <c r="N116" s="7">
        <f>IF($C116="","",IF(OR(K116=0,I116="",IFERROR(INDEX('Challan Master'!$D$4:$D$207,MATCH($B116,'Challan Master'!$S$4:$S$207,0)),"")="",IFERROR(INDEX('Challan Master'!$D$4:$D$207,MATCH($B116,'Challan Master'!$S$4:$S$207,0)),"")&lt;=0),0,IF(IFERROR(INDEX('Challan Master'!$D$4:$D$207,MATCH($B116,'Challan Master'!$S$4:$S$207,0)),"")&lt;=DATE(YEAR(I116),MONTH(I116)+1,7),0,ROUND(K116*0.015*((YEAR(IFERROR(INDEX('Challan Master'!$D$4:$D$207,MATCH($B116,'Challan Master'!$S$4:$S$207,0)),""))-YEAR(I116))*12+(MONTH(IFERROR(INDEX('Challan Master'!$D$4:$D$207,MATCH($B116,'Challan Master'!$S$4:$S$207,0)),""))-MONTH(I116))+1),0))))</f>
      </c>
      <c r="O116" s="7">
        <f>IF($C116="","",0)</f>
      </c>
      <c r="P116" s="8"/>
      <c r="Q116" s="8"/>
      <c r="R116" s="8"/>
      <c r="S116" s="8"/>
      <c r="T116" s="8"/>
      <c r="U116" s="7">
        <f>IF($B116="","",IFERROR(INDEX('Challan Master'!$AA$4:$AA$207,MATCH($B116,'Challan Master'!$S$4:$S$207,0)),""))</f>
      </c>
    </row>
    <row r="117" spans="1:22" x14ac:dyDescent="0.25">
      <c r="A117" s="7">
        <f>IF($C117="","",COUNTIF($C$4:$C117,"&lt;&gt;"))</f>
      </c>
      <c r="B117" s="8"/>
      <c r="C117" s="8"/>
      <c r="D117" s="8"/>
      <c r="E117" s="7">
        <f>IF($C117="","",IF(AND(LEN(TRIM(UPPER(D117)))=10,CODE(MID(TRIM(UPPER(D117)),1,1))&gt;=65,CODE(MID(TRIM(UPPER(D117)),1,1))&lt;=90,CODE(MID(TRIM(UPPER(D117)),2,1))&gt;=65,CODE(MID(TRIM(UPPER(D117)),2,1))&lt;=90,CODE(MID(TRIM(UPPER(D117)),3,1))&gt;=65,CODE(MID(TRIM(UPPER(D117)),3,1))&lt;=90,CODE(MID(TRIM(UPPER(D117)),4,1))&gt;=65,CODE(MID(TRIM(UPPER(D117)),4,1))&lt;=90,CODE(MID(TRIM(UPPER(D117)),5,1))&gt;=65,CODE(MID(TRIM(UPPER(D117)),5,1))&lt;=90,CODE(MID(TRIM(UPPER(D117)),10,1))&gt;=65,CODE(MID(TRIM(UPPER(D117)),10,1))&lt;=90,CODE(MID(TRIM(UPPER(D117)),6,1))&gt;=48,CODE(MID(TRIM(UPPER(D117)),6,1))&lt;=57,CODE(MID(TRIM(UPPER(D117)),7,1))&gt;=48,CODE(MID(TRIM(UPPER(D117)),7,1))&lt;=57,CODE(MID(TRIM(UPPER(D117)),8,1))&gt;=48,CODE(MID(TRIM(UPPER(D117)),8,1))&lt;=57,CODE(MID(TRIM(UPPER(D117)),9,1))&gt;=48,CODE(MID(TRIM(UPPER(D117)),9,1))&lt;=57),"N","Y"))</f>
      </c>
      <c r="F117" s="7">
        <f>IF($C117="","",IF(LEN(D117)&lt;4,"",IF(UPPER(MID(D117,4,1))="P","Individual",IF(UPPER(MID(D117,4,1))="H","HUF",IF(UPPER(MID(D117,4,1))="C","Company",IF(UPPER(MID(D117,4,1))="F","Firm",IF(UPPER(MID(D117,4,1))="L","LLP",IF(UPPER(MID(D117,4,1))="T","Trust",IF(UPPER(MID(D117,4,1))="A","AOP","")))))))))</f>
      </c>
      <c r="G117" s="8"/>
      <c r="H117" s="7">
        <f>IF($C117="","",IF(R117&lt;&gt;"",R117,IF(G117="","",IF(E117="Y",SUMPRODUCT(('Rate Lookup'!$A$1:$A$37=G117)*'Rate Lookup'!$D$1:$D$37),IF(OR(F117="Individual",F117="HUF"),SUMPRODUCT(('Rate Lookup'!$A$1:$A$37=G117)*'Rate Lookup'!$B$1:$B$37),SUMPRODUCT(('Rate Lookup'!$A$1:$A$37=G117)*'Rate Lookup'!$C$1:$C$37)))))))</f>
      </c>
      <c r="I117" s="8"/>
      <c r="J117" s="8"/>
      <c r="K117" s="7">
        <f>IF($C117="","",IF(OR(P117="B",P117="D",P117="E",P117="N",P117="O",P117="P",P117="Q",P117="S",P117="Y",P117="Z"),0,ROUND(J117*H117/100,0)))</f>
      </c>
      <c r="L117" s="7">
        <f>IF($C117="","",0)</f>
      </c>
      <c r="M117" s="7">
        <f>IF($C117="","",0)</f>
      </c>
      <c r="N117" s="7">
        <f>IF($C117="","",IF(OR(K117=0,I117="",IFERROR(INDEX('Challan Master'!$D$4:$D$207,MATCH($B117,'Challan Master'!$S$4:$S$207,0)),"")="",IFERROR(INDEX('Challan Master'!$D$4:$D$207,MATCH($B117,'Challan Master'!$S$4:$S$207,0)),"")&lt;=0),0,IF(IFERROR(INDEX('Challan Master'!$D$4:$D$207,MATCH($B117,'Challan Master'!$S$4:$S$207,0)),"")&lt;=DATE(YEAR(I117),MONTH(I117)+1,7),0,ROUND(K117*0.015*((YEAR(IFERROR(INDEX('Challan Master'!$D$4:$D$207,MATCH($B117,'Challan Master'!$S$4:$S$207,0)),""))-YEAR(I117))*12+(MONTH(IFERROR(INDEX('Challan Master'!$D$4:$D$207,MATCH($B117,'Challan Master'!$S$4:$S$207,0)),""))-MONTH(I117))+1),0))))</f>
      </c>
      <c r="O117" s="7">
        <f>IF($C117="","",0)</f>
      </c>
      <c r="P117" s="8"/>
      <c r="Q117" s="8"/>
      <c r="R117" s="8"/>
      <c r="S117" s="8"/>
      <c r="T117" s="8"/>
      <c r="U117" s="7">
        <f>IF($B117="","",IFERROR(INDEX('Challan Master'!$AA$4:$AA$207,MATCH($B117,'Challan Master'!$S$4:$S$207,0)),""))</f>
      </c>
    </row>
    <row r="118" spans="1:22" x14ac:dyDescent="0.25">
      <c r="A118" s="7">
        <f>IF($C118="","",COUNTIF($C$4:$C118,"&lt;&gt;"))</f>
      </c>
      <c r="B118" s="8"/>
      <c r="C118" s="8"/>
      <c r="D118" s="8"/>
      <c r="E118" s="7">
        <f>IF($C118="","",IF(AND(LEN(TRIM(UPPER(D118)))=10,CODE(MID(TRIM(UPPER(D118)),1,1))&gt;=65,CODE(MID(TRIM(UPPER(D118)),1,1))&lt;=90,CODE(MID(TRIM(UPPER(D118)),2,1))&gt;=65,CODE(MID(TRIM(UPPER(D118)),2,1))&lt;=90,CODE(MID(TRIM(UPPER(D118)),3,1))&gt;=65,CODE(MID(TRIM(UPPER(D118)),3,1))&lt;=90,CODE(MID(TRIM(UPPER(D118)),4,1))&gt;=65,CODE(MID(TRIM(UPPER(D118)),4,1))&lt;=90,CODE(MID(TRIM(UPPER(D118)),5,1))&gt;=65,CODE(MID(TRIM(UPPER(D118)),5,1))&lt;=90,CODE(MID(TRIM(UPPER(D118)),10,1))&gt;=65,CODE(MID(TRIM(UPPER(D118)),10,1))&lt;=90,CODE(MID(TRIM(UPPER(D118)),6,1))&gt;=48,CODE(MID(TRIM(UPPER(D118)),6,1))&lt;=57,CODE(MID(TRIM(UPPER(D118)),7,1))&gt;=48,CODE(MID(TRIM(UPPER(D118)),7,1))&lt;=57,CODE(MID(TRIM(UPPER(D118)),8,1))&gt;=48,CODE(MID(TRIM(UPPER(D118)),8,1))&lt;=57,CODE(MID(TRIM(UPPER(D118)),9,1))&gt;=48,CODE(MID(TRIM(UPPER(D118)),9,1))&lt;=57),"N","Y"))</f>
      </c>
      <c r="F118" s="7">
        <f>IF($C118="","",IF(LEN(D118)&lt;4,"",IF(UPPER(MID(D118,4,1))="P","Individual",IF(UPPER(MID(D118,4,1))="H","HUF",IF(UPPER(MID(D118,4,1))="C","Company",IF(UPPER(MID(D118,4,1))="F","Firm",IF(UPPER(MID(D118,4,1))="L","LLP",IF(UPPER(MID(D118,4,1))="T","Trust",IF(UPPER(MID(D118,4,1))="A","AOP","")))))))))</f>
      </c>
      <c r="G118" s="8"/>
      <c r="H118" s="7">
        <f>IF($C118="","",IF(R118&lt;&gt;"",R118,IF(G118="","",IF(E118="Y",SUMPRODUCT(('Rate Lookup'!$A$1:$A$37=G118)*'Rate Lookup'!$D$1:$D$37),IF(OR(F118="Individual",F118="HUF"),SUMPRODUCT(('Rate Lookup'!$A$1:$A$37=G118)*'Rate Lookup'!$B$1:$B$37),SUMPRODUCT(('Rate Lookup'!$A$1:$A$37=G118)*'Rate Lookup'!$C$1:$C$37)))))))</f>
      </c>
      <c r="I118" s="8"/>
      <c r="J118" s="8"/>
      <c r="K118" s="7">
        <f>IF($C118="","",IF(OR(P118="B",P118="D",P118="E",P118="N",P118="O",P118="P",P118="Q",P118="S",P118="Y",P118="Z"),0,ROUND(J118*H118/100,0)))</f>
      </c>
      <c r="L118" s="7">
        <f>IF($C118="","",0)</f>
      </c>
      <c r="M118" s="7">
        <f>IF($C118="","",0)</f>
      </c>
      <c r="N118" s="7">
        <f>IF($C118="","",IF(OR(K118=0,I118="",IFERROR(INDEX('Challan Master'!$D$4:$D$207,MATCH($B118,'Challan Master'!$S$4:$S$207,0)),"")="",IFERROR(INDEX('Challan Master'!$D$4:$D$207,MATCH($B118,'Challan Master'!$S$4:$S$207,0)),"")&lt;=0),0,IF(IFERROR(INDEX('Challan Master'!$D$4:$D$207,MATCH($B118,'Challan Master'!$S$4:$S$207,0)),"")&lt;=DATE(YEAR(I118),MONTH(I118)+1,7),0,ROUND(K118*0.015*((YEAR(IFERROR(INDEX('Challan Master'!$D$4:$D$207,MATCH($B118,'Challan Master'!$S$4:$S$207,0)),""))-YEAR(I118))*12+(MONTH(IFERROR(INDEX('Challan Master'!$D$4:$D$207,MATCH($B118,'Challan Master'!$S$4:$S$207,0)),""))-MONTH(I118))+1),0))))</f>
      </c>
      <c r="O118" s="7">
        <f>IF($C118="","",0)</f>
      </c>
      <c r="P118" s="8"/>
      <c r="Q118" s="8"/>
      <c r="R118" s="8"/>
      <c r="S118" s="8"/>
      <c r="T118" s="8"/>
      <c r="U118" s="7">
        <f>IF($B118="","",IFERROR(INDEX('Challan Master'!$AA$4:$AA$207,MATCH($B118,'Challan Master'!$S$4:$S$207,0)),""))</f>
      </c>
    </row>
    <row r="119" spans="1:22" x14ac:dyDescent="0.25">
      <c r="A119" s="7">
        <f>IF($C119="","",COUNTIF($C$4:$C119,"&lt;&gt;"))</f>
      </c>
      <c r="B119" s="8"/>
      <c r="C119" s="8"/>
      <c r="D119" s="8"/>
      <c r="E119" s="7">
        <f>IF($C119="","",IF(AND(LEN(TRIM(UPPER(D119)))=10,CODE(MID(TRIM(UPPER(D119)),1,1))&gt;=65,CODE(MID(TRIM(UPPER(D119)),1,1))&lt;=90,CODE(MID(TRIM(UPPER(D119)),2,1))&gt;=65,CODE(MID(TRIM(UPPER(D119)),2,1))&lt;=90,CODE(MID(TRIM(UPPER(D119)),3,1))&gt;=65,CODE(MID(TRIM(UPPER(D119)),3,1))&lt;=90,CODE(MID(TRIM(UPPER(D119)),4,1))&gt;=65,CODE(MID(TRIM(UPPER(D119)),4,1))&lt;=90,CODE(MID(TRIM(UPPER(D119)),5,1))&gt;=65,CODE(MID(TRIM(UPPER(D119)),5,1))&lt;=90,CODE(MID(TRIM(UPPER(D119)),10,1))&gt;=65,CODE(MID(TRIM(UPPER(D119)),10,1))&lt;=90,CODE(MID(TRIM(UPPER(D119)),6,1))&gt;=48,CODE(MID(TRIM(UPPER(D119)),6,1))&lt;=57,CODE(MID(TRIM(UPPER(D119)),7,1))&gt;=48,CODE(MID(TRIM(UPPER(D119)),7,1))&lt;=57,CODE(MID(TRIM(UPPER(D119)),8,1))&gt;=48,CODE(MID(TRIM(UPPER(D119)),8,1))&lt;=57,CODE(MID(TRIM(UPPER(D119)),9,1))&gt;=48,CODE(MID(TRIM(UPPER(D119)),9,1))&lt;=57),"N","Y"))</f>
      </c>
      <c r="F119" s="7">
        <f>IF($C119="","",IF(LEN(D119)&lt;4,"",IF(UPPER(MID(D119,4,1))="P","Individual",IF(UPPER(MID(D119,4,1))="H","HUF",IF(UPPER(MID(D119,4,1))="C","Company",IF(UPPER(MID(D119,4,1))="F","Firm",IF(UPPER(MID(D119,4,1))="L","LLP",IF(UPPER(MID(D119,4,1))="T","Trust",IF(UPPER(MID(D119,4,1))="A","AOP","")))))))))</f>
      </c>
      <c r="G119" s="8"/>
      <c r="H119" s="7">
        <f>IF($C119="","",IF(R119&lt;&gt;"",R119,IF(G119="","",IF(E119="Y",SUMPRODUCT(('Rate Lookup'!$A$1:$A$37=G119)*'Rate Lookup'!$D$1:$D$37),IF(OR(F119="Individual",F119="HUF"),SUMPRODUCT(('Rate Lookup'!$A$1:$A$37=G119)*'Rate Lookup'!$B$1:$B$37),SUMPRODUCT(('Rate Lookup'!$A$1:$A$37=G119)*'Rate Lookup'!$C$1:$C$37)))))))</f>
      </c>
      <c r="I119" s="8"/>
      <c r="J119" s="8"/>
      <c r="K119" s="7">
        <f>IF($C119="","",IF(OR(P119="B",P119="D",P119="E",P119="N",P119="O",P119="P",P119="Q",P119="S",P119="Y",P119="Z"),0,ROUND(J119*H119/100,0)))</f>
      </c>
      <c r="L119" s="7">
        <f>IF($C119="","",0)</f>
      </c>
      <c r="M119" s="7">
        <f>IF($C119="","",0)</f>
      </c>
      <c r="N119" s="7">
        <f>IF($C119="","",IF(OR(K119=0,I119="",IFERROR(INDEX('Challan Master'!$D$4:$D$207,MATCH($B119,'Challan Master'!$S$4:$S$207,0)),"")="",IFERROR(INDEX('Challan Master'!$D$4:$D$207,MATCH($B119,'Challan Master'!$S$4:$S$207,0)),"")&lt;=0),0,IF(IFERROR(INDEX('Challan Master'!$D$4:$D$207,MATCH($B119,'Challan Master'!$S$4:$S$207,0)),"")&lt;=DATE(YEAR(I119),MONTH(I119)+1,7),0,ROUND(K119*0.015*((YEAR(IFERROR(INDEX('Challan Master'!$D$4:$D$207,MATCH($B119,'Challan Master'!$S$4:$S$207,0)),""))-YEAR(I119))*12+(MONTH(IFERROR(INDEX('Challan Master'!$D$4:$D$207,MATCH($B119,'Challan Master'!$S$4:$S$207,0)),""))-MONTH(I119))+1),0))))</f>
      </c>
      <c r="O119" s="7">
        <f>IF($C119="","",0)</f>
      </c>
      <c r="P119" s="8"/>
      <c r="Q119" s="8"/>
      <c r="R119" s="8"/>
      <c r="S119" s="8"/>
      <c r="T119" s="8"/>
      <c r="U119" s="7">
        <f>IF($B119="","",IFERROR(INDEX('Challan Master'!$AA$4:$AA$207,MATCH($B119,'Challan Master'!$S$4:$S$207,0)),""))</f>
      </c>
    </row>
    <row r="120" spans="1:22" x14ac:dyDescent="0.25">
      <c r="A120" s="7">
        <f>IF($C120="","",COUNTIF($C$4:$C120,"&lt;&gt;"))</f>
      </c>
      <c r="B120" s="8"/>
      <c r="C120" s="8"/>
      <c r="D120" s="8"/>
      <c r="E120" s="7">
        <f>IF($C120="","",IF(AND(LEN(TRIM(UPPER(D120)))=10,CODE(MID(TRIM(UPPER(D120)),1,1))&gt;=65,CODE(MID(TRIM(UPPER(D120)),1,1))&lt;=90,CODE(MID(TRIM(UPPER(D120)),2,1))&gt;=65,CODE(MID(TRIM(UPPER(D120)),2,1))&lt;=90,CODE(MID(TRIM(UPPER(D120)),3,1))&gt;=65,CODE(MID(TRIM(UPPER(D120)),3,1))&lt;=90,CODE(MID(TRIM(UPPER(D120)),4,1))&gt;=65,CODE(MID(TRIM(UPPER(D120)),4,1))&lt;=90,CODE(MID(TRIM(UPPER(D120)),5,1))&gt;=65,CODE(MID(TRIM(UPPER(D120)),5,1))&lt;=90,CODE(MID(TRIM(UPPER(D120)),10,1))&gt;=65,CODE(MID(TRIM(UPPER(D120)),10,1))&lt;=90,CODE(MID(TRIM(UPPER(D120)),6,1))&gt;=48,CODE(MID(TRIM(UPPER(D120)),6,1))&lt;=57,CODE(MID(TRIM(UPPER(D120)),7,1))&gt;=48,CODE(MID(TRIM(UPPER(D120)),7,1))&lt;=57,CODE(MID(TRIM(UPPER(D120)),8,1))&gt;=48,CODE(MID(TRIM(UPPER(D120)),8,1))&lt;=57,CODE(MID(TRIM(UPPER(D120)),9,1))&gt;=48,CODE(MID(TRIM(UPPER(D120)),9,1))&lt;=57),"N","Y"))</f>
      </c>
      <c r="F120" s="7">
        <f>IF($C120="","",IF(LEN(D120)&lt;4,"",IF(UPPER(MID(D120,4,1))="P","Individual",IF(UPPER(MID(D120,4,1))="H","HUF",IF(UPPER(MID(D120,4,1))="C","Company",IF(UPPER(MID(D120,4,1))="F","Firm",IF(UPPER(MID(D120,4,1))="L","LLP",IF(UPPER(MID(D120,4,1))="T","Trust",IF(UPPER(MID(D120,4,1))="A","AOP","")))))))))</f>
      </c>
      <c r="G120" s="8"/>
      <c r="H120" s="7">
        <f>IF($C120="","",IF(R120&lt;&gt;"",R120,IF(G120="","",IF(E120="Y",SUMPRODUCT(('Rate Lookup'!$A$1:$A$37=G120)*'Rate Lookup'!$D$1:$D$37),IF(OR(F120="Individual",F120="HUF"),SUMPRODUCT(('Rate Lookup'!$A$1:$A$37=G120)*'Rate Lookup'!$B$1:$B$37),SUMPRODUCT(('Rate Lookup'!$A$1:$A$37=G120)*'Rate Lookup'!$C$1:$C$37)))))))</f>
      </c>
      <c r="I120" s="8"/>
      <c r="J120" s="8"/>
      <c r="K120" s="7">
        <f>IF($C120="","",IF(OR(P120="B",P120="D",P120="E",P120="N",P120="O",P120="P",P120="Q",P120="S",P120="Y",P120="Z"),0,ROUND(J120*H120/100,0)))</f>
      </c>
      <c r="L120" s="7">
        <f>IF($C120="","",0)</f>
      </c>
      <c r="M120" s="7">
        <f>IF($C120="","",0)</f>
      </c>
      <c r="N120" s="7">
        <f>IF($C120="","",IF(OR(K120=0,I120="",IFERROR(INDEX('Challan Master'!$D$4:$D$207,MATCH($B120,'Challan Master'!$S$4:$S$207,0)),"")="",IFERROR(INDEX('Challan Master'!$D$4:$D$207,MATCH($B120,'Challan Master'!$S$4:$S$207,0)),"")&lt;=0),0,IF(IFERROR(INDEX('Challan Master'!$D$4:$D$207,MATCH($B120,'Challan Master'!$S$4:$S$207,0)),"")&lt;=DATE(YEAR(I120),MONTH(I120)+1,7),0,ROUND(K120*0.015*((YEAR(IFERROR(INDEX('Challan Master'!$D$4:$D$207,MATCH($B120,'Challan Master'!$S$4:$S$207,0)),""))-YEAR(I120))*12+(MONTH(IFERROR(INDEX('Challan Master'!$D$4:$D$207,MATCH($B120,'Challan Master'!$S$4:$S$207,0)),""))-MONTH(I120))+1),0))))</f>
      </c>
      <c r="O120" s="7">
        <f>IF($C120="","",0)</f>
      </c>
      <c r="P120" s="8"/>
      <c r="Q120" s="8"/>
      <c r="R120" s="8"/>
      <c r="S120" s="8"/>
      <c r="T120" s="8"/>
      <c r="U120" s="7">
        <f>IF($B120="","",IFERROR(INDEX('Challan Master'!$AA$4:$AA$207,MATCH($B120,'Challan Master'!$S$4:$S$207,0)),""))</f>
      </c>
    </row>
    <row r="121" spans="1:22" x14ac:dyDescent="0.25">
      <c r="A121" s="7">
        <f>IF($C121="","",COUNTIF($C$4:$C121,"&lt;&gt;"))</f>
      </c>
      <c r="B121" s="8"/>
      <c r="C121" s="8"/>
      <c r="D121" s="8"/>
      <c r="E121" s="7">
        <f>IF($C121="","",IF(AND(LEN(TRIM(UPPER(D121)))=10,CODE(MID(TRIM(UPPER(D121)),1,1))&gt;=65,CODE(MID(TRIM(UPPER(D121)),1,1))&lt;=90,CODE(MID(TRIM(UPPER(D121)),2,1))&gt;=65,CODE(MID(TRIM(UPPER(D121)),2,1))&lt;=90,CODE(MID(TRIM(UPPER(D121)),3,1))&gt;=65,CODE(MID(TRIM(UPPER(D121)),3,1))&lt;=90,CODE(MID(TRIM(UPPER(D121)),4,1))&gt;=65,CODE(MID(TRIM(UPPER(D121)),4,1))&lt;=90,CODE(MID(TRIM(UPPER(D121)),5,1))&gt;=65,CODE(MID(TRIM(UPPER(D121)),5,1))&lt;=90,CODE(MID(TRIM(UPPER(D121)),10,1))&gt;=65,CODE(MID(TRIM(UPPER(D121)),10,1))&lt;=90,CODE(MID(TRIM(UPPER(D121)),6,1))&gt;=48,CODE(MID(TRIM(UPPER(D121)),6,1))&lt;=57,CODE(MID(TRIM(UPPER(D121)),7,1))&gt;=48,CODE(MID(TRIM(UPPER(D121)),7,1))&lt;=57,CODE(MID(TRIM(UPPER(D121)),8,1))&gt;=48,CODE(MID(TRIM(UPPER(D121)),8,1))&lt;=57,CODE(MID(TRIM(UPPER(D121)),9,1))&gt;=48,CODE(MID(TRIM(UPPER(D121)),9,1))&lt;=57),"N","Y"))</f>
      </c>
      <c r="F121" s="7">
        <f>IF($C121="","",IF(LEN(D121)&lt;4,"",IF(UPPER(MID(D121,4,1))="P","Individual",IF(UPPER(MID(D121,4,1))="H","HUF",IF(UPPER(MID(D121,4,1))="C","Company",IF(UPPER(MID(D121,4,1))="F","Firm",IF(UPPER(MID(D121,4,1))="L","LLP",IF(UPPER(MID(D121,4,1))="T","Trust",IF(UPPER(MID(D121,4,1))="A","AOP","")))))))))</f>
      </c>
      <c r="G121" s="8"/>
      <c r="H121" s="7">
        <f>IF($C121="","",IF(R121&lt;&gt;"",R121,IF(G121="","",IF(E121="Y",SUMPRODUCT(('Rate Lookup'!$A$1:$A$37=G121)*'Rate Lookup'!$D$1:$D$37),IF(OR(F121="Individual",F121="HUF"),SUMPRODUCT(('Rate Lookup'!$A$1:$A$37=G121)*'Rate Lookup'!$B$1:$B$37),SUMPRODUCT(('Rate Lookup'!$A$1:$A$37=G121)*'Rate Lookup'!$C$1:$C$37)))))))</f>
      </c>
      <c r="I121" s="8"/>
      <c r="J121" s="8"/>
      <c r="K121" s="7">
        <f>IF($C121="","",IF(OR(P121="B",P121="D",P121="E",P121="N",P121="O",P121="P",P121="Q",P121="S",P121="Y",P121="Z"),0,ROUND(J121*H121/100,0)))</f>
      </c>
      <c r="L121" s="7">
        <f>IF($C121="","",0)</f>
      </c>
      <c r="M121" s="7">
        <f>IF($C121="","",0)</f>
      </c>
      <c r="N121" s="7">
        <f>IF($C121="","",IF(OR(K121=0,I121="",IFERROR(INDEX('Challan Master'!$D$4:$D$207,MATCH($B121,'Challan Master'!$S$4:$S$207,0)),"")="",IFERROR(INDEX('Challan Master'!$D$4:$D$207,MATCH($B121,'Challan Master'!$S$4:$S$207,0)),"")&lt;=0),0,IF(IFERROR(INDEX('Challan Master'!$D$4:$D$207,MATCH($B121,'Challan Master'!$S$4:$S$207,0)),"")&lt;=DATE(YEAR(I121),MONTH(I121)+1,7),0,ROUND(K121*0.015*((YEAR(IFERROR(INDEX('Challan Master'!$D$4:$D$207,MATCH($B121,'Challan Master'!$S$4:$S$207,0)),""))-YEAR(I121))*12+(MONTH(IFERROR(INDEX('Challan Master'!$D$4:$D$207,MATCH($B121,'Challan Master'!$S$4:$S$207,0)),""))-MONTH(I121))+1),0))))</f>
      </c>
      <c r="O121" s="7">
        <f>IF($C121="","",0)</f>
      </c>
      <c r="P121" s="8"/>
      <c r="Q121" s="8"/>
      <c r="R121" s="8"/>
      <c r="S121" s="8"/>
      <c r="T121" s="8"/>
      <c r="U121" s="7">
        <f>IF($B121="","",IFERROR(INDEX('Challan Master'!$AA$4:$AA$207,MATCH($B121,'Challan Master'!$S$4:$S$207,0)),""))</f>
      </c>
    </row>
    <row r="122" spans="1:22" x14ac:dyDescent="0.25">
      <c r="A122" s="7">
        <f>IF($C122="","",COUNTIF($C$4:$C122,"&lt;&gt;"))</f>
      </c>
      <c r="B122" s="8"/>
      <c r="C122" s="8"/>
      <c r="D122" s="8"/>
      <c r="E122" s="7">
        <f>IF($C122="","",IF(AND(LEN(TRIM(UPPER(D122)))=10,CODE(MID(TRIM(UPPER(D122)),1,1))&gt;=65,CODE(MID(TRIM(UPPER(D122)),1,1))&lt;=90,CODE(MID(TRIM(UPPER(D122)),2,1))&gt;=65,CODE(MID(TRIM(UPPER(D122)),2,1))&lt;=90,CODE(MID(TRIM(UPPER(D122)),3,1))&gt;=65,CODE(MID(TRIM(UPPER(D122)),3,1))&lt;=90,CODE(MID(TRIM(UPPER(D122)),4,1))&gt;=65,CODE(MID(TRIM(UPPER(D122)),4,1))&lt;=90,CODE(MID(TRIM(UPPER(D122)),5,1))&gt;=65,CODE(MID(TRIM(UPPER(D122)),5,1))&lt;=90,CODE(MID(TRIM(UPPER(D122)),10,1))&gt;=65,CODE(MID(TRIM(UPPER(D122)),10,1))&lt;=90,CODE(MID(TRIM(UPPER(D122)),6,1))&gt;=48,CODE(MID(TRIM(UPPER(D122)),6,1))&lt;=57,CODE(MID(TRIM(UPPER(D122)),7,1))&gt;=48,CODE(MID(TRIM(UPPER(D122)),7,1))&lt;=57,CODE(MID(TRIM(UPPER(D122)),8,1))&gt;=48,CODE(MID(TRIM(UPPER(D122)),8,1))&lt;=57,CODE(MID(TRIM(UPPER(D122)),9,1))&gt;=48,CODE(MID(TRIM(UPPER(D122)),9,1))&lt;=57),"N","Y"))</f>
      </c>
      <c r="F122" s="7">
        <f>IF($C122="","",IF(LEN(D122)&lt;4,"",IF(UPPER(MID(D122,4,1))="P","Individual",IF(UPPER(MID(D122,4,1))="H","HUF",IF(UPPER(MID(D122,4,1))="C","Company",IF(UPPER(MID(D122,4,1))="F","Firm",IF(UPPER(MID(D122,4,1))="L","LLP",IF(UPPER(MID(D122,4,1))="T","Trust",IF(UPPER(MID(D122,4,1))="A","AOP","")))))))))</f>
      </c>
      <c r="G122" s="8"/>
      <c r="H122" s="7">
        <f>IF($C122="","",IF(R122&lt;&gt;"",R122,IF(G122="","",IF(E122="Y",SUMPRODUCT(('Rate Lookup'!$A$1:$A$37=G122)*'Rate Lookup'!$D$1:$D$37),IF(OR(F122="Individual",F122="HUF"),SUMPRODUCT(('Rate Lookup'!$A$1:$A$37=G122)*'Rate Lookup'!$B$1:$B$37),SUMPRODUCT(('Rate Lookup'!$A$1:$A$37=G122)*'Rate Lookup'!$C$1:$C$37)))))))</f>
      </c>
      <c r="I122" s="8"/>
      <c r="J122" s="8"/>
      <c r="K122" s="7">
        <f>IF($C122="","",IF(OR(P122="B",P122="D",P122="E",P122="N",P122="O",P122="P",P122="Q",P122="S",P122="Y",P122="Z"),0,ROUND(J122*H122/100,0)))</f>
      </c>
      <c r="L122" s="7">
        <f>IF($C122="","",0)</f>
      </c>
      <c r="M122" s="7">
        <f>IF($C122="","",0)</f>
      </c>
      <c r="N122" s="7">
        <f>IF($C122="","",IF(OR(K122=0,I122="",IFERROR(INDEX('Challan Master'!$D$4:$D$207,MATCH($B122,'Challan Master'!$S$4:$S$207,0)),"")="",IFERROR(INDEX('Challan Master'!$D$4:$D$207,MATCH($B122,'Challan Master'!$S$4:$S$207,0)),"")&lt;=0),0,IF(IFERROR(INDEX('Challan Master'!$D$4:$D$207,MATCH($B122,'Challan Master'!$S$4:$S$207,0)),"")&lt;=DATE(YEAR(I122),MONTH(I122)+1,7),0,ROUND(K122*0.015*((YEAR(IFERROR(INDEX('Challan Master'!$D$4:$D$207,MATCH($B122,'Challan Master'!$S$4:$S$207,0)),""))-YEAR(I122))*12+(MONTH(IFERROR(INDEX('Challan Master'!$D$4:$D$207,MATCH($B122,'Challan Master'!$S$4:$S$207,0)),""))-MONTH(I122))+1),0))))</f>
      </c>
      <c r="O122" s="7">
        <f>IF($C122="","",0)</f>
      </c>
      <c r="P122" s="8"/>
      <c r="Q122" s="8"/>
      <c r="R122" s="8"/>
      <c r="S122" s="8"/>
      <c r="T122" s="8"/>
      <c r="U122" s="7">
        <f>IF($B122="","",IFERROR(INDEX('Challan Master'!$AA$4:$AA$207,MATCH($B122,'Challan Master'!$S$4:$S$207,0)),""))</f>
      </c>
    </row>
    <row r="123" spans="1:22" x14ac:dyDescent="0.25">
      <c r="A123" s="7">
        <f>IF($C123="","",COUNTIF($C$4:$C123,"&lt;&gt;"))</f>
      </c>
      <c r="B123" s="8"/>
      <c r="C123" s="8"/>
      <c r="D123" s="8"/>
      <c r="E123" s="7">
        <f>IF($C123="","",IF(AND(LEN(TRIM(UPPER(D123)))=10,CODE(MID(TRIM(UPPER(D123)),1,1))&gt;=65,CODE(MID(TRIM(UPPER(D123)),1,1))&lt;=90,CODE(MID(TRIM(UPPER(D123)),2,1))&gt;=65,CODE(MID(TRIM(UPPER(D123)),2,1))&lt;=90,CODE(MID(TRIM(UPPER(D123)),3,1))&gt;=65,CODE(MID(TRIM(UPPER(D123)),3,1))&lt;=90,CODE(MID(TRIM(UPPER(D123)),4,1))&gt;=65,CODE(MID(TRIM(UPPER(D123)),4,1))&lt;=90,CODE(MID(TRIM(UPPER(D123)),5,1))&gt;=65,CODE(MID(TRIM(UPPER(D123)),5,1))&lt;=90,CODE(MID(TRIM(UPPER(D123)),10,1))&gt;=65,CODE(MID(TRIM(UPPER(D123)),10,1))&lt;=90,CODE(MID(TRIM(UPPER(D123)),6,1))&gt;=48,CODE(MID(TRIM(UPPER(D123)),6,1))&lt;=57,CODE(MID(TRIM(UPPER(D123)),7,1))&gt;=48,CODE(MID(TRIM(UPPER(D123)),7,1))&lt;=57,CODE(MID(TRIM(UPPER(D123)),8,1))&gt;=48,CODE(MID(TRIM(UPPER(D123)),8,1))&lt;=57,CODE(MID(TRIM(UPPER(D123)),9,1))&gt;=48,CODE(MID(TRIM(UPPER(D123)),9,1))&lt;=57),"N","Y"))</f>
      </c>
      <c r="F123" s="7">
        <f>IF($C123="","",IF(LEN(D123)&lt;4,"",IF(UPPER(MID(D123,4,1))="P","Individual",IF(UPPER(MID(D123,4,1))="H","HUF",IF(UPPER(MID(D123,4,1))="C","Company",IF(UPPER(MID(D123,4,1))="F","Firm",IF(UPPER(MID(D123,4,1))="L","LLP",IF(UPPER(MID(D123,4,1))="T","Trust",IF(UPPER(MID(D123,4,1))="A","AOP","")))))))))</f>
      </c>
      <c r="G123" s="8"/>
      <c r="H123" s="7">
        <f>IF($C123="","",IF(R123&lt;&gt;"",R123,IF(G123="","",IF(E123="Y",SUMPRODUCT(('Rate Lookup'!$A$1:$A$37=G123)*'Rate Lookup'!$D$1:$D$37),IF(OR(F123="Individual",F123="HUF"),SUMPRODUCT(('Rate Lookup'!$A$1:$A$37=G123)*'Rate Lookup'!$B$1:$B$37),SUMPRODUCT(('Rate Lookup'!$A$1:$A$37=G123)*'Rate Lookup'!$C$1:$C$37)))))))</f>
      </c>
      <c r="I123" s="8"/>
      <c r="J123" s="8"/>
      <c r="K123" s="7">
        <f>IF($C123="","",IF(OR(P123="B",P123="D",P123="E",P123="N",P123="O",P123="P",P123="Q",P123="S",P123="Y",P123="Z"),0,ROUND(J123*H123/100,0)))</f>
      </c>
      <c r="L123" s="7">
        <f>IF($C123="","",0)</f>
      </c>
      <c r="M123" s="7">
        <f>IF($C123="","",0)</f>
      </c>
      <c r="N123" s="7">
        <f>IF($C123="","",IF(OR(K123=0,I123="",IFERROR(INDEX('Challan Master'!$D$4:$D$207,MATCH($B123,'Challan Master'!$S$4:$S$207,0)),"")="",IFERROR(INDEX('Challan Master'!$D$4:$D$207,MATCH($B123,'Challan Master'!$S$4:$S$207,0)),"")&lt;=0),0,IF(IFERROR(INDEX('Challan Master'!$D$4:$D$207,MATCH($B123,'Challan Master'!$S$4:$S$207,0)),"")&lt;=DATE(YEAR(I123),MONTH(I123)+1,7),0,ROUND(K123*0.015*((YEAR(IFERROR(INDEX('Challan Master'!$D$4:$D$207,MATCH($B123,'Challan Master'!$S$4:$S$207,0)),""))-YEAR(I123))*12+(MONTH(IFERROR(INDEX('Challan Master'!$D$4:$D$207,MATCH($B123,'Challan Master'!$S$4:$S$207,0)),""))-MONTH(I123))+1),0))))</f>
      </c>
      <c r="O123" s="7">
        <f>IF($C123="","",0)</f>
      </c>
      <c r="P123" s="8"/>
      <c r="Q123" s="8"/>
      <c r="R123" s="8"/>
      <c r="S123" s="8"/>
      <c r="T123" s="8"/>
      <c r="U123" s="7">
        <f>IF($B123="","",IFERROR(INDEX('Challan Master'!$AA$4:$AA$207,MATCH($B123,'Challan Master'!$S$4:$S$207,0)),""))</f>
      </c>
    </row>
    <row r="124" spans="1:22" x14ac:dyDescent="0.25">
      <c r="A124" s="7">
        <f>IF($C124="","",COUNTIF($C$4:$C124,"&lt;&gt;"))</f>
      </c>
      <c r="B124" s="8"/>
      <c r="C124" s="8"/>
      <c r="D124" s="8"/>
      <c r="E124" s="7">
        <f>IF($C124="","",IF(AND(LEN(TRIM(UPPER(D124)))=10,CODE(MID(TRIM(UPPER(D124)),1,1))&gt;=65,CODE(MID(TRIM(UPPER(D124)),1,1))&lt;=90,CODE(MID(TRIM(UPPER(D124)),2,1))&gt;=65,CODE(MID(TRIM(UPPER(D124)),2,1))&lt;=90,CODE(MID(TRIM(UPPER(D124)),3,1))&gt;=65,CODE(MID(TRIM(UPPER(D124)),3,1))&lt;=90,CODE(MID(TRIM(UPPER(D124)),4,1))&gt;=65,CODE(MID(TRIM(UPPER(D124)),4,1))&lt;=90,CODE(MID(TRIM(UPPER(D124)),5,1))&gt;=65,CODE(MID(TRIM(UPPER(D124)),5,1))&lt;=90,CODE(MID(TRIM(UPPER(D124)),10,1))&gt;=65,CODE(MID(TRIM(UPPER(D124)),10,1))&lt;=90,CODE(MID(TRIM(UPPER(D124)),6,1))&gt;=48,CODE(MID(TRIM(UPPER(D124)),6,1))&lt;=57,CODE(MID(TRIM(UPPER(D124)),7,1))&gt;=48,CODE(MID(TRIM(UPPER(D124)),7,1))&lt;=57,CODE(MID(TRIM(UPPER(D124)),8,1))&gt;=48,CODE(MID(TRIM(UPPER(D124)),8,1))&lt;=57,CODE(MID(TRIM(UPPER(D124)),9,1))&gt;=48,CODE(MID(TRIM(UPPER(D124)),9,1))&lt;=57),"N","Y"))</f>
      </c>
      <c r="F124" s="7">
        <f>IF($C124="","",IF(LEN(D124)&lt;4,"",IF(UPPER(MID(D124,4,1))="P","Individual",IF(UPPER(MID(D124,4,1))="H","HUF",IF(UPPER(MID(D124,4,1))="C","Company",IF(UPPER(MID(D124,4,1))="F","Firm",IF(UPPER(MID(D124,4,1))="L","LLP",IF(UPPER(MID(D124,4,1))="T","Trust",IF(UPPER(MID(D124,4,1))="A","AOP","")))))))))</f>
      </c>
      <c r="G124" s="8"/>
      <c r="H124" s="7">
        <f>IF($C124="","",IF(R124&lt;&gt;"",R124,IF(G124="","",IF(E124="Y",SUMPRODUCT(('Rate Lookup'!$A$1:$A$37=G124)*'Rate Lookup'!$D$1:$D$37),IF(OR(F124="Individual",F124="HUF"),SUMPRODUCT(('Rate Lookup'!$A$1:$A$37=G124)*'Rate Lookup'!$B$1:$B$37),SUMPRODUCT(('Rate Lookup'!$A$1:$A$37=G124)*'Rate Lookup'!$C$1:$C$37)))))))</f>
      </c>
      <c r="I124" s="8"/>
      <c r="J124" s="8"/>
      <c r="K124" s="7">
        <f>IF($C124="","",IF(OR(P124="B",P124="D",P124="E",P124="N",P124="O",P124="P",P124="Q",P124="S",P124="Y",P124="Z"),0,ROUND(J124*H124/100,0)))</f>
      </c>
      <c r="L124" s="7">
        <f>IF($C124="","",0)</f>
      </c>
      <c r="M124" s="7">
        <f>IF($C124="","",0)</f>
      </c>
      <c r="N124" s="7">
        <f>IF($C124="","",IF(OR(K124=0,I124="",IFERROR(INDEX('Challan Master'!$D$4:$D$207,MATCH($B124,'Challan Master'!$S$4:$S$207,0)),"")="",IFERROR(INDEX('Challan Master'!$D$4:$D$207,MATCH($B124,'Challan Master'!$S$4:$S$207,0)),"")&lt;=0),0,IF(IFERROR(INDEX('Challan Master'!$D$4:$D$207,MATCH($B124,'Challan Master'!$S$4:$S$207,0)),"")&lt;=DATE(YEAR(I124),MONTH(I124)+1,7),0,ROUND(K124*0.015*((YEAR(IFERROR(INDEX('Challan Master'!$D$4:$D$207,MATCH($B124,'Challan Master'!$S$4:$S$207,0)),""))-YEAR(I124))*12+(MONTH(IFERROR(INDEX('Challan Master'!$D$4:$D$207,MATCH($B124,'Challan Master'!$S$4:$S$207,0)),""))-MONTH(I124))+1),0))))</f>
      </c>
      <c r="O124" s="7">
        <f>IF($C124="","",0)</f>
      </c>
      <c r="P124" s="8"/>
      <c r="Q124" s="8"/>
      <c r="R124" s="8"/>
      <c r="S124" s="8"/>
      <c r="T124" s="8"/>
      <c r="U124" s="7">
        <f>IF($B124="","",IFERROR(INDEX('Challan Master'!$AA$4:$AA$207,MATCH($B124,'Challan Master'!$S$4:$S$207,0)),""))</f>
      </c>
    </row>
    <row r="125" spans="1:22" x14ac:dyDescent="0.25">
      <c r="A125" s="7">
        <f>IF($C125="","",COUNTIF($C$4:$C125,"&lt;&gt;"))</f>
      </c>
      <c r="B125" s="8"/>
      <c r="C125" s="8"/>
      <c r="D125" s="8"/>
      <c r="E125" s="7">
        <f>IF($C125="","",IF(AND(LEN(TRIM(UPPER(D125)))=10,CODE(MID(TRIM(UPPER(D125)),1,1))&gt;=65,CODE(MID(TRIM(UPPER(D125)),1,1))&lt;=90,CODE(MID(TRIM(UPPER(D125)),2,1))&gt;=65,CODE(MID(TRIM(UPPER(D125)),2,1))&lt;=90,CODE(MID(TRIM(UPPER(D125)),3,1))&gt;=65,CODE(MID(TRIM(UPPER(D125)),3,1))&lt;=90,CODE(MID(TRIM(UPPER(D125)),4,1))&gt;=65,CODE(MID(TRIM(UPPER(D125)),4,1))&lt;=90,CODE(MID(TRIM(UPPER(D125)),5,1))&gt;=65,CODE(MID(TRIM(UPPER(D125)),5,1))&lt;=90,CODE(MID(TRIM(UPPER(D125)),10,1))&gt;=65,CODE(MID(TRIM(UPPER(D125)),10,1))&lt;=90,CODE(MID(TRIM(UPPER(D125)),6,1))&gt;=48,CODE(MID(TRIM(UPPER(D125)),6,1))&lt;=57,CODE(MID(TRIM(UPPER(D125)),7,1))&gt;=48,CODE(MID(TRIM(UPPER(D125)),7,1))&lt;=57,CODE(MID(TRIM(UPPER(D125)),8,1))&gt;=48,CODE(MID(TRIM(UPPER(D125)),8,1))&lt;=57,CODE(MID(TRIM(UPPER(D125)),9,1))&gt;=48,CODE(MID(TRIM(UPPER(D125)),9,1))&lt;=57),"N","Y"))</f>
      </c>
      <c r="F125" s="7">
        <f>IF($C125="","",IF(LEN(D125)&lt;4,"",IF(UPPER(MID(D125,4,1))="P","Individual",IF(UPPER(MID(D125,4,1))="H","HUF",IF(UPPER(MID(D125,4,1))="C","Company",IF(UPPER(MID(D125,4,1))="F","Firm",IF(UPPER(MID(D125,4,1))="L","LLP",IF(UPPER(MID(D125,4,1))="T","Trust",IF(UPPER(MID(D125,4,1))="A","AOP","")))))))))</f>
      </c>
      <c r="G125" s="8"/>
      <c r="H125" s="7">
        <f>IF($C125="","",IF(R125&lt;&gt;"",R125,IF(G125="","",IF(E125="Y",SUMPRODUCT(('Rate Lookup'!$A$1:$A$37=G125)*'Rate Lookup'!$D$1:$D$37),IF(OR(F125="Individual",F125="HUF"),SUMPRODUCT(('Rate Lookup'!$A$1:$A$37=G125)*'Rate Lookup'!$B$1:$B$37),SUMPRODUCT(('Rate Lookup'!$A$1:$A$37=G125)*'Rate Lookup'!$C$1:$C$37)))))))</f>
      </c>
      <c r="I125" s="8"/>
      <c r="J125" s="8"/>
      <c r="K125" s="7">
        <f>IF($C125="","",IF(OR(P125="B",P125="D",P125="E",P125="N",P125="O",P125="P",P125="Q",P125="S",P125="Y",P125="Z"),0,ROUND(J125*H125/100,0)))</f>
      </c>
      <c r="L125" s="7">
        <f>IF($C125="","",0)</f>
      </c>
      <c r="M125" s="7">
        <f>IF($C125="","",0)</f>
      </c>
      <c r="N125" s="7">
        <f>IF($C125="","",IF(OR(K125=0,I125="",IFERROR(INDEX('Challan Master'!$D$4:$D$207,MATCH($B125,'Challan Master'!$S$4:$S$207,0)),"")="",IFERROR(INDEX('Challan Master'!$D$4:$D$207,MATCH($B125,'Challan Master'!$S$4:$S$207,0)),"")&lt;=0),0,IF(IFERROR(INDEX('Challan Master'!$D$4:$D$207,MATCH($B125,'Challan Master'!$S$4:$S$207,0)),"")&lt;=DATE(YEAR(I125),MONTH(I125)+1,7),0,ROUND(K125*0.015*((YEAR(IFERROR(INDEX('Challan Master'!$D$4:$D$207,MATCH($B125,'Challan Master'!$S$4:$S$207,0)),""))-YEAR(I125))*12+(MONTH(IFERROR(INDEX('Challan Master'!$D$4:$D$207,MATCH($B125,'Challan Master'!$S$4:$S$207,0)),""))-MONTH(I125))+1),0))))</f>
      </c>
      <c r="O125" s="7">
        <f>IF($C125="","",0)</f>
      </c>
      <c r="P125" s="8"/>
      <c r="Q125" s="8"/>
      <c r="R125" s="8"/>
      <c r="S125" s="8"/>
      <c r="T125" s="8"/>
      <c r="U125" s="7">
        <f>IF($B125="","",IFERROR(INDEX('Challan Master'!$AA$4:$AA$207,MATCH($B125,'Challan Master'!$S$4:$S$207,0)),""))</f>
      </c>
    </row>
    <row r="126" spans="1:22" x14ac:dyDescent="0.25">
      <c r="A126" s="7">
        <f>IF($C126="","",COUNTIF($C$4:$C126,"&lt;&gt;"))</f>
      </c>
      <c r="B126" s="8"/>
      <c r="C126" s="8"/>
      <c r="D126" s="8"/>
      <c r="E126" s="7">
        <f>IF($C126="","",IF(AND(LEN(TRIM(UPPER(D126)))=10,CODE(MID(TRIM(UPPER(D126)),1,1))&gt;=65,CODE(MID(TRIM(UPPER(D126)),1,1))&lt;=90,CODE(MID(TRIM(UPPER(D126)),2,1))&gt;=65,CODE(MID(TRIM(UPPER(D126)),2,1))&lt;=90,CODE(MID(TRIM(UPPER(D126)),3,1))&gt;=65,CODE(MID(TRIM(UPPER(D126)),3,1))&lt;=90,CODE(MID(TRIM(UPPER(D126)),4,1))&gt;=65,CODE(MID(TRIM(UPPER(D126)),4,1))&lt;=90,CODE(MID(TRIM(UPPER(D126)),5,1))&gt;=65,CODE(MID(TRIM(UPPER(D126)),5,1))&lt;=90,CODE(MID(TRIM(UPPER(D126)),10,1))&gt;=65,CODE(MID(TRIM(UPPER(D126)),10,1))&lt;=90,CODE(MID(TRIM(UPPER(D126)),6,1))&gt;=48,CODE(MID(TRIM(UPPER(D126)),6,1))&lt;=57,CODE(MID(TRIM(UPPER(D126)),7,1))&gt;=48,CODE(MID(TRIM(UPPER(D126)),7,1))&lt;=57,CODE(MID(TRIM(UPPER(D126)),8,1))&gt;=48,CODE(MID(TRIM(UPPER(D126)),8,1))&lt;=57,CODE(MID(TRIM(UPPER(D126)),9,1))&gt;=48,CODE(MID(TRIM(UPPER(D126)),9,1))&lt;=57),"N","Y"))</f>
      </c>
      <c r="F126" s="7">
        <f>IF($C126="","",IF(LEN(D126)&lt;4,"",IF(UPPER(MID(D126,4,1))="P","Individual",IF(UPPER(MID(D126,4,1))="H","HUF",IF(UPPER(MID(D126,4,1))="C","Company",IF(UPPER(MID(D126,4,1))="F","Firm",IF(UPPER(MID(D126,4,1))="L","LLP",IF(UPPER(MID(D126,4,1))="T","Trust",IF(UPPER(MID(D126,4,1))="A","AOP","")))))))))</f>
      </c>
      <c r="G126" s="8"/>
      <c r="H126" s="7">
        <f>IF($C126="","",IF(R126&lt;&gt;"",R126,IF(G126="","",IF(E126="Y",SUMPRODUCT(('Rate Lookup'!$A$1:$A$37=G126)*'Rate Lookup'!$D$1:$D$37),IF(OR(F126="Individual",F126="HUF"),SUMPRODUCT(('Rate Lookup'!$A$1:$A$37=G126)*'Rate Lookup'!$B$1:$B$37),SUMPRODUCT(('Rate Lookup'!$A$1:$A$37=G126)*'Rate Lookup'!$C$1:$C$37)))))))</f>
      </c>
      <c r="I126" s="8"/>
      <c r="J126" s="8"/>
      <c r="K126" s="7">
        <f>IF($C126="","",IF(OR(P126="B",P126="D",P126="E",P126="N",P126="O",P126="P",P126="Q",P126="S",P126="Y",P126="Z"),0,ROUND(J126*H126/100,0)))</f>
      </c>
      <c r="L126" s="7">
        <f>IF($C126="","",0)</f>
      </c>
      <c r="M126" s="7">
        <f>IF($C126="","",0)</f>
      </c>
      <c r="N126" s="7">
        <f>IF($C126="","",IF(OR(K126=0,I126="",IFERROR(INDEX('Challan Master'!$D$4:$D$207,MATCH($B126,'Challan Master'!$S$4:$S$207,0)),"")="",IFERROR(INDEX('Challan Master'!$D$4:$D$207,MATCH($B126,'Challan Master'!$S$4:$S$207,0)),"")&lt;=0),0,IF(IFERROR(INDEX('Challan Master'!$D$4:$D$207,MATCH($B126,'Challan Master'!$S$4:$S$207,0)),"")&lt;=DATE(YEAR(I126),MONTH(I126)+1,7),0,ROUND(K126*0.015*((YEAR(IFERROR(INDEX('Challan Master'!$D$4:$D$207,MATCH($B126,'Challan Master'!$S$4:$S$207,0)),""))-YEAR(I126))*12+(MONTH(IFERROR(INDEX('Challan Master'!$D$4:$D$207,MATCH($B126,'Challan Master'!$S$4:$S$207,0)),""))-MONTH(I126))+1),0))))</f>
      </c>
      <c r="O126" s="7">
        <f>IF($C126="","",0)</f>
      </c>
      <c r="P126" s="8"/>
      <c r="Q126" s="8"/>
      <c r="R126" s="8"/>
      <c r="S126" s="8"/>
      <c r="T126" s="8"/>
      <c r="U126" s="7">
        <f>IF($B126="","",IFERROR(INDEX('Challan Master'!$AA$4:$AA$207,MATCH($B126,'Challan Master'!$S$4:$S$207,0)),""))</f>
      </c>
    </row>
    <row r="127" spans="1:22" x14ac:dyDescent="0.25">
      <c r="A127" s="7">
        <f>IF($C127="","",COUNTIF($C$4:$C127,"&lt;&gt;"))</f>
      </c>
      <c r="B127" s="8"/>
      <c r="C127" s="8"/>
      <c r="D127" s="8"/>
      <c r="E127" s="7">
        <f>IF($C127="","",IF(AND(LEN(TRIM(UPPER(D127)))=10,CODE(MID(TRIM(UPPER(D127)),1,1))&gt;=65,CODE(MID(TRIM(UPPER(D127)),1,1))&lt;=90,CODE(MID(TRIM(UPPER(D127)),2,1))&gt;=65,CODE(MID(TRIM(UPPER(D127)),2,1))&lt;=90,CODE(MID(TRIM(UPPER(D127)),3,1))&gt;=65,CODE(MID(TRIM(UPPER(D127)),3,1))&lt;=90,CODE(MID(TRIM(UPPER(D127)),4,1))&gt;=65,CODE(MID(TRIM(UPPER(D127)),4,1))&lt;=90,CODE(MID(TRIM(UPPER(D127)),5,1))&gt;=65,CODE(MID(TRIM(UPPER(D127)),5,1))&lt;=90,CODE(MID(TRIM(UPPER(D127)),10,1))&gt;=65,CODE(MID(TRIM(UPPER(D127)),10,1))&lt;=90,CODE(MID(TRIM(UPPER(D127)),6,1))&gt;=48,CODE(MID(TRIM(UPPER(D127)),6,1))&lt;=57,CODE(MID(TRIM(UPPER(D127)),7,1))&gt;=48,CODE(MID(TRIM(UPPER(D127)),7,1))&lt;=57,CODE(MID(TRIM(UPPER(D127)),8,1))&gt;=48,CODE(MID(TRIM(UPPER(D127)),8,1))&lt;=57,CODE(MID(TRIM(UPPER(D127)),9,1))&gt;=48,CODE(MID(TRIM(UPPER(D127)),9,1))&lt;=57),"N","Y"))</f>
      </c>
      <c r="F127" s="7">
        <f>IF($C127="","",IF(LEN(D127)&lt;4,"",IF(UPPER(MID(D127,4,1))="P","Individual",IF(UPPER(MID(D127,4,1))="H","HUF",IF(UPPER(MID(D127,4,1))="C","Company",IF(UPPER(MID(D127,4,1))="F","Firm",IF(UPPER(MID(D127,4,1))="L","LLP",IF(UPPER(MID(D127,4,1))="T","Trust",IF(UPPER(MID(D127,4,1))="A","AOP","")))))))))</f>
      </c>
      <c r="G127" s="8"/>
      <c r="H127" s="7">
        <f>IF($C127="","",IF(R127&lt;&gt;"",R127,IF(G127="","",IF(E127="Y",SUMPRODUCT(('Rate Lookup'!$A$1:$A$37=G127)*'Rate Lookup'!$D$1:$D$37),IF(OR(F127="Individual",F127="HUF"),SUMPRODUCT(('Rate Lookup'!$A$1:$A$37=G127)*'Rate Lookup'!$B$1:$B$37),SUMPRODUCT(('Rate Lookup'!$A$1:$A$37=G127)*'Rate Lookup'!$C$1:$C$37)))))))</f>
      </c>
      <c r="I127" s="8"/>
      <c r="J127" s="8"/>
      <c r="K127" s="7">
        <f>IF($C127="","",IF(OR(P127="B",P127="D",P127="E",P127="N",P127="O",P127="P",P127="Q",P127="S",P127="Y",P127="Z"),0,ROUND(J127*H127/100,0)))</f>
      </c>
      <c r="L127" s="7">
        <f>IF($C127="","",0)</f>
      </c>
      <c r="M127" s="7">
        <f>IF($C127="","",0)</f>
      </c>
      <c r="N127" s="7">
        <f>IF($C127="","",IF(OR(K127=0,I127="",IFERROR(INDEX('Challan Master'!$D$4:$D$207,MATCH($B127,'Challan Master'!$S$4:$S$207,0)),"")="",IFERROR(INDEX('Challan Master'!$D$4:$D$207,MATCH($B127,'Challan Master'!$S$4:$S$207,0)),"")&lt;=0),0,IF(IFERROR(INDEX('Challan Master'!$D$4:$D$207,MATCH($B127,'Challan Master'!$S$4:$S$207,0)),"")&lt;=DATE(YEAR(I127),MONTH(I127)+1,7),0,ROUND(K127*0.015*((YEAR(IFERROR(INDEX('Challan Master'!$D$4:$D$207,MATCH($B127,'Challan Master'!$S$4:$S$207,0)),""))-YEAR(I127))*12+(MONTH(IFERROR(INDEX('Challan Master'!$D$4:$D$207,MATCH($B127,'Challan Master'!$S$4:$S$207,0)),""))-MONTH(I127))+1),0))))</f>
      </c>
      <c r="O127" s="7">
        <f>IF($C127="","",0)</f>
      </c>
      <c r="P127" s="8"/>
      <c r="Q127" s="8"/>
      <c r="R127" s="8"/>
      <c r="S127" s="8"/>
      <c r="T127" s="8"/>
      <c r="U127" s="7">
        <f>IF($B127="","",IFERROR(INDEX('Challan Master'!$AA$4:$AA$207,MATCH($B127,'Challan Master'!$S$4:$S$207,0)),""))</f>
      </c>
    </row>
    <row r="128" spans="1:22" x14ac:dyDescent="0.25">
      <c r="A128" s="7">
        <f>IF($C128="","",COUNTIF($C$4:$C128,"&lt;&gt;"))</f>
      </c>
      <c r="B128" s="8"/>
      <c r="C128" s="8"/>
      <c r="D128" s="8"/>
      <c r="E128" s="7">
        <f>IF($C128="","",IF(AND(LEN(TRIM(UPPER(D128)))=10,CODE(MID(TRIM(UPPER(D128)),1,1))&gt;=65,CODE(MID(TRIM(UPPER(D128)),1,1))&lt;=90,CODE(MID(TRIM(UPPER(D128)),2,1))&gt;=65,CODE(MID(TRIM(UPPER(D128)),2,1))&lt;=90,CODE(MID(TRIM(UPPER(D128)),3,1))&gt;=65,CODE(MID(TRIM(UPPER(D128)),3,1))&lt;=90,CODE(MID(TRIM(UPPER(D128)),4,1))&gt;=65,CODE(MID(TRIM(UPPER(D128)),4,1))&lt;=90,CODE(MID(TRIM(UPPER(D128)),5,1))&gt;=65,CODE(MID(TRIM(UPPER(D128)),5,1))&lt;=90,CODE(MID(TRIM(UPPER(D128)),10,1))&gt;=65,CODE(MID(TRIM(UPPER(D128)),10,1))&lt;=90,CODE(MID(TRIM(UPPER(D128)),6,1))&gt;=48,CODE(MID(TRIM(UPPER(D128)),6,1))&lt;=57,CODE(MID(TRIM(UPPER(D128)),7,1))&gt;=48,CODE(MID(TRIM(UPPER(D128)),7,1))&lt;=57,CODE(MID(TRIM(UPPER(D128)),8,1))&gt;=48,CODE(MID(TRIM(UPPER(D128)),8,1))&lt;=57,CODE(MID(TRIM(UPPER(D128)),9,1))&gt;=48,CODE(MID(TRIM(UPPER(D128)),9,1))&lt;=57),"N","Y"))</f>
      </c>
      <c r="F128" s="7">
        <f>IF($C128="","",IF(LEN(D128)&lt;4,"",IF(UPPER(MID(D128,4,1))="P","Individual",IF(UPPER(MID(D128,4,1))="H","HUF",IF(UPPER(MID(D128,4,1))="C","Company",IF(UPPER(MID(D128,4,1))="F","Firm",IF(UPPER(MID(D128,4,1))="L","LLP",IF(UPPER(MID(D128,4,1))="T","Trust",IF(UPPER(MID(D128,4,1))="A","AOP","")))))))))</f>
      </c>
      <c r="G128" s="8"/>
      <c r="H128" s="7">
        <f>IF($C128="","",IF(R128&lt;&gt;"",R128,IF(G128="","",IF(E128="Y",SUMPRODUCT(('Rate Lookup'!$A$1:$A$37=G128)*'Rate Lookup'!$D$1:$D$37),IF(OR(F128="Individual",F128="HUF"),SUMPRODUCT(('Rate Lookup'!$A$1:$A$37=G128)*'Rate Lookup'!$B$1:$B$37),SUMPRODUCT(('Rate Lookup'!$A$1:$A$37=G128)*'Rate Lookup'!$C$1:$C$37)))))))</f>
      </c>
      <c r="I128" s="8"/>
      <c r="J128" s="8"/>
      <c r="K128" s="7">
        <f>IF($C128="","",IF(OR(P128="B",P128="D",P128="E",P128="N",P128="O",P128="P",P128="Q",P128="S",P128="Y",P128="Z"),0,ROUND(J128*H128/100,0)))</f>
      </c>
      <c r="L128" s="7">
        <f>IF($C128="","",0)</f>
      </c>
      <c r="M128" s="7">
        <f>IF($C128="","",0)</f>
      </c>
      <c r="N128" s="7">
        <f>IF($C128="","",IF(OR(K128=0,I128="",IFERROR(INDEX('Challan Master'!$D$4:$D$207,MATCH($B128,'Challan Master'!$S$4:$S$207,0)),"")="",IFERROR(INDEX('Challan Master'!$D$4:$D$207,MATCH($B128,'Challan Master'!$S$4:$S$207,0)),"")&lt;=0),0,IF(IFERROR(INDEX('Challan Master'!$D$4:$D$207,MATCH($B128,'Challan Master'!$S$4:$S$207,0)),"")&lt;=DATE(YEAR(I128),MONTH(I128)+1,7),0,ROUND(K128*0.015*((YEAR(IFERROR(INDEX('Challan Master'!$D$4:$D$207,MATCH($B128,'Challan Master'!$S$4:$S$207,0)),""))-YEAR(I128))*12+(MONTH(IFERROR(INDEX('Challan Master'!$D$4:$D$207,MATCH($B128,'Challan Master'!$S$4:$S$207,0)),""))-MONTH(I128))+1),0))))</f>
      </c>
      <c r="O128" s="7">
        <f>IF($C128="","",0)</f>
      </c>
      <c r="P128" s="8"/>
      <c r="Q128" s="8"/>
      <c r="R128" s="8"/>
      <c r="S128" s="8"/>
      <c r="T128" s="8"/>
      <c r="U128" s="7">
        <f>IF($B128="","",IFERROR(INDEX('Challan Master'!$AA$4:$AA$207,MATCH($B128,'Challan Master'!$S$4:$S$207,0)),""))</f>
      </c>
    </row>
    <row r="129" spans="1:22" x14ac:dyDescent="0.25">
      <c r="A129" s="7">
        <f>IF($C129="","",COUNTIF($C$4:$C129,"&lt;&gt;"))</f>
      </c>
      <c r="B129" s="8"/>
      <c r="C129" s="8"/>
      <c r="D129" s="8"/>
      <c r="E129" s="7">
        <f>IF($C129="","",IF(AND(LEN(TRIM(UPPER(D129)))=10,CODE(MID(TRIM(UPPER(D129)),1,1))&gt;=65,CODE(MID(TRIM(UPPER(D129)),1,1))&lt;=90,CODE(MID(TRIM(UPPER(D129)),2,1))&gt;=65,CODE(MID(TRIM(UPPER(D129)),2,1))&lt;=90,CODE(MID(TRIM(UPPER(D129)),3,1))&gt;=65,CODE(MID(TRIM(UPPER(D129)),3,1))&lt;=90,CODE(MID(TRIM(UPPER(D129)),4,1))&gt;=65,CODE(MID(TRIM(UPPER(D129)),4,1))&lt;=90,CODE(MID(TRIM(UPPER(D129)),5,1))&gt;=65,CODE(MID(TRIM(UPPER(D129)),5,1))&lt;=90,CODE(MID(TRIM(UPPER(D129)),10,1))&gt;=65,CODE(MID(TRIM(UPPER(D129)),10,1))&lt;=90,CODE(MID(TRIM(UPPER(D129)),6,1))&gt;=48,CODE(MID(TRIM(UPPER(D129)),6,1))&lt;=57,CODE(MID(TRIM(UPPER(D129)),7,1))&gt;=48,CODE(MID(TRIM(UPPER(D129)),7,1))&lt;=57,CODE(MID(TRIM(UPPER(D129)),8,1))&gt;=48,CODE(MID(TRIM(UPPER(D129)),8,1))&lt;=57,CODE(MID(TRIM(UPPER(D129)),9,1))&gt;=48,CODE(MID(TRIM(UPPER(D129)),9,1))&lt;=57),"N","Y"))</f>
      </c>
      <c r="F129" s="7">
        <f>IF($C129="","",IF(LEN(D129)&lt;4,"",IF(UPPER(MID(D129,4,1))="P","Individual",IF(UPPER(MID(D129,4,1))="H","HUF",IF(UPPER(MID(D129,4,1))="C","Company",IF(UPPER(MID(D129,4,1))="F","Firm",IF(UPPER(MID(D129,4,1))="L","LLP",IF(UPPER(MID(D129,4,1))="T","Trust",IF(UPPER(MID(D129,4,1))="A","AOP","")))))))))</f>
      </c>
      <c r="G129" s="8"/>
      <c r="H129" s="7">
        <f>IF($C129="","",IF(R129&lt;&gt;"",R129,IF(G129="","",IF(E129="Y",SUMPRODUCT(('Rate Lookup'!$A$1:$A$37=G129)*'Rate Lookup'!$D$1:$D$37),IF(OR(F129="Individual",F129="HUF"),SUMPRODUCT(('Rate Lookup'!$A$1:$A$37=G129)*'Rate Lookup'!$B$1:$B$37),SUMPRODUCT(('Rate Lookup'!$A$1:$A$37=G129)*'Rate Lookup'!$C$1:$C$37)))))))</f>
      </c>
      <c r="I129" s="8"/>
      <c r="J129" s="8"/>
      <c r="K129" s="7">
        <f>IF($C129="","",IF(OR(P129="B",P129="D",P129="E",P129="N",P129="O",P129="P",P129="Q",P129="S",P129="Y",P129="Z"),0,ROUND(J129*H129/100,0)))</f>
      </c>
      <c r="L129" s="7">
        <f>IF($C129="","",0)</f>
      </c>
      <c r="M129" s="7">
        <f>IF($C129="","",0)</f>
      </c>
      <c r="N129" s="7">
        <f>IF($C129="","",IF(OR(K129=0,I129="",IFERROR(INDEX('Challan Master'!$D$4:$D$207,MATCH($B129,'Challan Master'!$S$4:$S$207,0)),"")="",IFERROR(INDEX('Challan Master'!$D$4:$D$207,MATCH($B129,'Challan Master'!$S$4:$S$207,0)),"")&lt;=0),0,IF(IFERROR(INDEX('Challan Master'!$D$4:$D$207,MATCH($B129,'Challan Master'!$S$4:$S$207,0)),"")&lt;=DATE(YEAR(I129),MONTH(I129)+1,7),0,ROUND(K129*0.015*((YEAR(IFERROR(INDEX('Challan Master'!$D$4:$D$207,MATCH($B129,'Challan Master'!$S$4:$S$207,0)),""))-YEAR(I129))*12+(MONTH(IFERROR(INDEX('Challan Master'!$D$4:$D$207,MATCH($B129,'Challan Master'!$S$4:$S$207,0)),""))-MONTH(I129))+1),0))))</f>
      </c>
      <c r="O129" s="7">
        <f>IF($C129="","",0)</f>
      </c>
      <c r="P129" s="8"/>
      <c r="Q129" s="8"/>
      <c r="R129" s="8"/>
      <c r="S129" s="8"/>
      <c r="T129" s="8"/>
      <c r="U129" s="7">
        <f>IF($B129="","",IFERROR(INDEX('Challan Master'!$AA$4:$AA$207,MATCH($B129,'Challan Master'!$S$4:$S$207,0)),""))</f>
      </c>
    </row>
    <row r="130" spans="1:22" x14ac:dyDescent="0.25">
      <c r="A130" s="7">
        <f>IF($C130="","",COUNTIF($C$4:$C130,"&lt;&gt;"))</f>
      </c>
      <c r="B130" s="8"/>
      <c r="C130" s="8"/>
      <c r="D130" s="8"/>
      <c r="E130" s="7">
        <f>IF($C130="","",IF(AND(LEN(TRIM(UPPER(D130)))=10,CODE(MID(TRIM(UPPER(D130)),1,1))&gt;=65,CODE(MID(TRIM(UPPER(D130)),1,1))&lt;=90,CODE(MID(TRIM(UPPER(D130)),2,1))&gt;=65,CODE(MID(TRIM(UPPER(D130)),2,1))&lt;=90,CODE(MID(TRIM(UPPER(D130)),3,1))&gt;=65,CODE(MID(TRIM(UPPER(D130)),3,1))&lt;=90,CODE(MID(TRIM(UPPER(D130)),4,1))&gt;=65,CODE(MID(TRIM(UPPER(D130)),4,1))&lt;=90,CODE(MID(TRIM(UPPER(D130)),5,1))&gt;=65,CODE(MID(TRIM(UPPER(D130)),5,1))&lt;=90,CODE(MID(TRIM(UPPER(D130)),10,1))&gt;=65,CODE(MID(TRIM(UPPER(D130)),10,1))&lt;=90,CODE(MID(TRIM(UPPER(D130)),6,1))&gt;=48,CODE(MID(TRIM(UPPER(D130)),6,1))&lt;=57,CODE(MID(TRIM(UPPER(D130)),7,1))&gt;=48,CODE(MID(TRIM(UPPER(D130)),7,1))&lt;=57,CODE(MID(TRIM(UPPER(D130)),8,1))&gt;=48,CODE(MID(TRIM(UPPER(D130)),8,1))&lt;=57,CODE(MID(TRIM(UPPER(D130)),9,1))&gt;=48,CODE(MID(TRIM(UPPER(D130)),9,1))&lt;=57),"N","Y"))</f>
      </c>
      <c r="F130" s="7">
        <f>IF($C130="","",IF(LEN(D130)&lt;4,"",IF(UPPER(MID(D130,4,1))="P","Individual",IF(UPPER(MID(D130,4,1))="H","HUF",IF(UPPER(MID(D130,4,1))="C","Company",IF(UPPER(MID(D130,4,1))="F","Firm",IF(UPPER(MID(D130,4,1))="L","LLP",IF(UPPER(MID(D130,4,1))="T","Trust",IF(UPPER(MID(D130,4,1))="A","AOP","")))))))))</f>
      </c>
      <c r="G130" s="8"/>
      <c r="H130" s="7">
        <f>IF($C130="","",IF(R130&lt;&gt;"",R130,IF(G130="","",IF(E130="Y",SUMPRODUCT(('Rate Lookup'!$A$1:$A$37=G130)*'Rate Lookup'!$D$1:$D$37),IF(OR(F130="Individual",F130="HUF"),SUMPRODUCT(('Rate Lookup'!$A$1:$A$37=G130)*'Rate Lookup'!$B$1:$B$37),SUMPRODUCT(('Rate Lookup'!$A$1:$A$37=G130)*'Rate Lookup'!$C$1:$C$37)))))))</f>
      </c>
      <c r="I130" s="8"/>
      <c r="J130" s="8"/>
      <c r="K130" s="7">
        <f>IF($C130="","",IF(OR(P130="B",P130="D",P130="E",P130="N",P130="O",P130="P",P130="Q",P130="S",P130="Y",P130="Z"),0,ROUND(J130*H130/100,0)))</f>
      </c>
      <c r="L130" s="7">
        <f>IF($C130="","",0)</f>
      </c>
      <c r="M130" s="7">
        <f>IF($C130="","",0)</f>
      </c>
      <c r="N130" s="7">
        <f>IF($C130="","",IF(OR(K130=0,I130="",IFERROR(INDEX('Challan Master'!$D$4:$D$207,MATCH($B130,'Challan Master'!$S$4:$S$207,0)),"")="",IFERROR(INDEX('Challan Master'!$D$4:$D$207,MATCH($B130,'Challan Master'!$S$4:$S$207,0)),"")&lt;=0),0,IF(IFERROR(INDEX('Challan Master'!$D$4:$D$207,MATCH($B130,'Challan Master'!$S$4:$S$207,0)),"")&lt;=DATE(YEAR(I130),MONTH(I130)+1,7),0,ROUND(K130*0.015*((YEAR(IFERROR(INDEX('Challan Master'!$D$4:$D$207,MATCH($B130,'Challan Master'!$S$4:$S$207,0)),""))-YEAR(I130))*12+(MONTH(IFERROR(INDEX('Challan Master'!$D$4:$D$207,MATCH($B130,'Challan Master'!$S$4:$S$207,0)),""))-MONTH(I130))+1),0))))</f>
      </c>
      <c r="O130" s="7">
        <f>IF($C130="","",0)</f>
      </c>
      <c r="P130" s="8"/>
      <c r="Q130" s="8"/>
      <c r="R130" s="8"/>
      <c r="S130" s="8"/>
      <c r="T130" s="8"/>
      <c r="U130" s="7">
        <f>IF($B130="","",IFERROR(INDEX('Challan Master'!$AA$4:$AA$207,MATCH($B130,'Challan Master'!$S$4:$S$207,0)),""))</f>
      </c>
    </row>
    <row r="131" spans="1:22" x14ac:dyDescent="0.25">
      <c r="A131" s="7">
        <f>IF($C131="","",COUNTIF($C$4:$C131,"&lt;&gt;"))</f>
      </c>
      <c r="B131" s="8"/>
      <c r="C131" s="8"/>
      <c r="D131" s="8"/>
      <c r="E131" s="7">
        <f>IF($C131="","",IF(AND(LEN(TRIM(UPPER(D131)))=10,CODE(MID(TRIM(UPPER(D131)),1,1))&gt;=65,CODE(MID(TRIM(UPPER(D131)),1,1))&lt;=90,CODE(MID(TRIM(UPPER(D131)),2,1))&gt;=65,CODE(MID(TRIM(UPPER(D131)),2,1))&lt;=90,CODE(MID(TRIM(UPPER(D131)),3,1))&gt;=65,CODE(MID(TRIM(UPPER(D131)),3,1))&lt;=90,CODE(MID(TRIM(UPPER(D131)),4,1))&gt;=65,CODE(MID(TRIM(UPPER(D131)),4,1))&lt;=90,CODE(MID(TRIM(UPPER(D131)),5,1))&gt;=65,CODE(MID(TRIM(UPPER(D131)),5,1))&lt;=90,CODE(MID(TRIM(UPPER(D131)),10,1))&gt;=65,CODE(MID(TRIM(UPPER(D131)),10,1))&lt;=90,CODE(MID(TRIM(UPPER(D131)),6,1))&gt;=48,CODE(MID(TRIM(UPPER(D131)),6,1))&lt;=57,CODE(MID(TRIM(UPPER(D131)),7,1))&gt;=48,CODE(MID(TRIM(UPPER(D131)),7,1))&lt;=57,CODE(MID(TRIM(UPPER(D131)),8,1))&gt;=48,CODE(MID(TRIM(UPPER(D131)),8,1))&lt;=57,CODE(MID(TRIM(UPPER(D131)),9,1))&gt;=48,CODE(MID(TRIM(UPPER(D131)),9,1))&lt;=57),"N","Y"))</f>
      </c>
      <c r="F131" s="7">
        <f>IF($C131="","",IF(LEN(D131)&lt;4,"",IF(UPPER(MID(D131,4,1))="P","Individual",IF(UPPER(MID(D131,4,1))="H","HUF",IF(UPPER(MID(D131,4,1))="C","Company",IF(UPPER(MID(D131,4,1))="F","Firm",IF(UPPER(MID(D131,4,1))="L","LLP",IF(UPPER(MID(D131,4,1))="T","Trust",IF(UPPER(MID(D131,4,1))="A","AOP","")))))))))</f>
      </c>
      <c r="G131" s="8"/>
      <c r="H131" s="7">
        <f>IF($C131="","",IF(R131&lt;&gt;"",R131,IF(G131="","",IF(E131="Y",SUMPRODUCT(('Rate Lookup'!$A$1:$A$37=G131)*'Rate Lookup'!$D$1:$D$37),IF(OR(F131="Individual",F131="HUF"),SUMPRODUCT(('Rate Lookup'!$A$1:$A$37=G131)*'Rate Lookup'!$B$1:$B$37),SUMPRODUCT(('Rate Lookup'!$A$1:$A$37=G131)*'Rate Lookup'!$C$1:$C$37)))))))</f>
      </c>
      <c r="I131" s="8"/>
      <c r="J131" s="8"/>
      <c r="K131" s="7">
        <f>IF($C131="","",IF(OR(P131="B",P131="D",P131="E",P131="N",P131="O",P131="P",P131="Q",P131="S",P131="Y",P131="Z"),0,ROUND(J131*H131/100,0)))</f>
      </c>
      <c r="L131" s="7">
        <f>IF($C131="","",0)</f>
      </c>
      <c r="M131" s="7">
        <f>IF($C131="","",0)</f>
      </c>
      <c r="N131" s="7">
        <f>IF($C131="","",IF(OR(K131=0,I131="",IFERROR(INDEX('Challan Master'!$D$4:$D$207,MATCH($B131,'Challan Master'!$S$4:$S$207,0)),"")="",IFERROR(INDEX('Challan Master'!$D$4:$D$207,MATCH($B131,'Challan Master'!$S$4:$S$207,0)),"")&lt;=0),0,IF(IFERROR(INDEX('Challan Master'!$D$4:$D$207,MATCH($B131,'Challan Master'!$S$4:$S$207,0)),"")&lt;=DATE(YEAR(I131),MONTH(I131)+1,7),0,ROUND(K131*0.015*((YEAR(IFERROR(INDEX('Challan Master'!$D$4:$D$207,MATCH($B131,'Challan Master'!$S$4:$S$207,0)),""))-YEAR(I131))*12+(MONTH(IFERROR(INDEX('Challan Master'!$D$4:$D$207,MATCH($B131,'Challan Master'!$S$4:$S$207,0)),""))-MONTH(I131))+1),0))))</f>
      </c>
      <c r="O131" s="7">
        <f>IF($C131="","",0)</f>
      </c>
      <c r="P131" s="8"/>
      <c r="Q131" s="8"/>
      <c r="R131" s="8"/>
      <c r="S131" s="8"/>
      <c r="T131" s="8"/>
      <c r="U131" s="7">
        <f>IF($B131="","",IFERROR(INDEX('Challan Master'!$AA$4:$AA$207,MATCH($B131,'Challan Master'!$S$4:$S$207,0)),""))</f>
      </c>
    </row>
    <row r="132" spans="1:22" x14ac:dyDescent="0.25">
      <c r="A132" s="7">
        <f>IF($C132="","",COUNTIF($C$4:$C132,"&lt;&gt;"))</f>
      </c>
      <c r="B132" s="8"/>
      <c r="C132" s="8"/>
      <c r="D132" s="8"/>
      <c r="E132" s="7">
        <f>IF($C132="","",IF(AND(LEN(TRIM(UPPER(D132)))=10,CODE(MID(TRIM(UPPER(D132)),1,1))&gt;=65,CODE(MID(TRIM(UPPER(D132)),1,1))&lt;=90,CODE(MID(TRIM(UPPER(D132)),2,1))&gt;=65,CODE(MID(TRIM(UPPER(D132)),2,1))&lt;=90,CODE(MID(TRIM(UPPER(D132)),3,1))&gt;=65,CODE(MID(TRIM(UPPER(D132)),3,1))&lt;=90,CODE(MID(TRIM(UPPER(D132)),4,1))&gt;=65,CODE(MID(TRIM(UPPER(D132)),4,1))&lt;=90,CODE(MID(TRIM(UPPER(D132)),5,1))&gt;=65,CODE(MID(TRIM(UPPER(D132)),5,1))&lt;=90,CODE(MID(TRIM(UPPER(D132)),10,1))&gt;=65,CODE(MID(TRIM(UPPER(D132)),10,1))&lt;=90,CODE(MID(TRIM(UPPER(D132)),6,1))&gt;=48,CODE(MID(TRIM(UPPER(D132)),6,1))&lt;=57,CODE(MID(TRIM(UPPER(D132)),7,1))&gt;=48,CODE(MID(TRIM(UPPER(D132)),7,1))&lt;=57,CODE(MID(TRIM(UPPER(D132)),8,1))&gt;=48,CODE(MID(TRIM(UPPER(D132)),8,1))&lt;=57,CODE(MID(TRIM(UPPER(D132)),9,1))&gt;=48,CODE(MID(TRIM(UPPER(D132)),9,1))&lt;=57),"N","Y"))</f>
      </c>
      <c r="F132" s="7">
        <f>IF($C132="","",IF(LEN(D132)&lt;4,"",IF(UPPER(MID(D132,4,1))="P","Individual",IF(UPPER(MID(D132,4,1))="H","HUF",IF(UPPER(MID(D132,4,1))="C","Company",IF(UPPER(MID(D132,4,1))="F","Firm",IF(UPPER(MID(D132,4,1))="L","LLP",IF(UPPER(MID(D132,4,1))="T","Trust",IF(UPPER(MID(D132,4,1))="A","AOP","")))))))))</f>
      </c>
      <c r="G132" s="8"/>
      <c r="H132" s="7">
        <f>IF($C132="","",IF(R132&lt;&gt;"",R132,IF(G132="","",IF(E132="Y",SUMPRODUCT(('Rate Lookup'!$A$1:$A$37=G132)*'Rate Lookup'!$D$1:$D$37),IF(OR(F132="Individual",F132="HUF"),SUMPRODUCT(('Rate Lookup'!$A$1:$A$37=G132)*'Rate Lookup'!$B$1:$B$37),SUMPRODUCT(('Rate Lookup'!$A$1:$A$37=G132)*'Rate Lookup'!$C$1:$C$37)))))))</f>
      </c>
      <c r="I132" s="8"/>
      <c r="J132" s="8"/>
      <c r="K132" s="7">
        <f>IF($C132="","",IF(OR(P132="B",P132="D",P132="E",P132="N",P132="O",P132="P",P132="Q",P132="S",P132="Y",P132="Z"),0,ROUND(J132*H132/100,0)))</f>
      </c>
      <c r="L132" s="7">
        <f>IF($C132="","",0)</f>
      </c>
      <c r="M132" s="7">
        <f>IF($C132="","",0)</f>
      </c>
      <c r="N132" s="7">
        <f>IF($C132="","",IF(OR(K132=0,I132="",IFERROR(INDEX('Challan Master'!$D$4:$D$207,MATCH($B132,'Challan Master'!$S$4:$S$207,0)),"")="",IFERROR(INDEX('Challan Master'!$D$4:$D$207,MATCH($B132,'Challan Master'!$S$4:$S$207,0)),"")&lt;=0),0,IF(IFERROR(INDEX('Challan Master'!$D$4:$D$207,MATCH($B132,'Challan Master'!$S$4:$S$207,0)),"")&lt;=DATE(YEAR(I132),MONTH(I132)+1,7),0,ROUND(K132*0.015*((YEAR(IFERROR(INDEX('Challan Master'!$D$4:$D$207,MATCH($B132,'Challan Master'!$S$4:$S$207,0)),""))-YEAR(I132))*12+(MONTH(IFERROR(INDEX('Challan Master'!$D$4:$D$207,MATCH($B132,'Challan Master'!$S$4:$S$207,0)),""))-MONTH(I132))+1),0))))</f>
      </c>
      <c r="O132" s="7">
        <f>IF($C132="","",0)</f>
      </c>
      <c r="P132" s="8"/>
      <c r="Q132" s="8"/>
      <c r="R132" s="8"/>
      <c r="S132" s="8"/>
      <c r="T132" s="8"/>
      <c r="U132" s="7">
        <f>IF($B132="","",IFERROR(INDEX('Challan Master'!$AA$4:$AA$207,MATCH($B132,'Challan Master'!$S$4:$S$207,0)),""))</f>
      </c>
    </row>
    <row r="133" spans="1:22" x14ac:dyDescent="0.25">
      <c r="A133" s="7">
        <f>IF($C133="","",COUNTIF($C$4:$C133,"&lt;&gt;"))</f>
      </c>
      <c r="B133" s="8"/>
      <c r="C133" s="8"/>
      <c r="D133" s="8"/>
      <c r="E133" s="7">
        <f>IF($C133="","",IF(AND(LEN(TRIM(UPPER(D133)))=10,CODE(MID(TRIM(UPPER(D133)),1,1))&gt;=65,CODE(MID(TRIM(UPPER(D133)),1,1))&lt;=90,CODE(MID(TRIM(UPPER(D133)),2,1))&gt;=65,CODE(MID(TRIM(UPPER(D133)),2,1))&lt;=90,CODE(MID(TRIM(UPPER(D133)),3,1))&gt;=65,CODE(MID(TRIM(UPPER(D133)),3,1))&lt;=90,CODE(MID(TRIM(UPPER(D133)),4,1))&gt;=65,CODE(MID(TRIM(UPPER(D133)),4,1))&lt;=90,CODE(MID(TRIM(UPPER(D133)),5,1))&gt;=65,CODE(MID(TRIM(UPPER(D133)),5,1))&lt;=90,CODE(MID(TRIM(UPPER(D133)),10,1))&gt;=65,CODE(MID(TRIM(UPPER(D133)),10,1))&lt;=90,CODE(MID(TRIM(UPPER(D133)),6,1))&gt;=48,CODE(MID(TRIM(UPPER(D133)),6,1))&lt;=57,CODE(MID(TRIM(UPPER(D133)),7,1))&gt;=48,CODE(MID(TRIM(UPPER(D133)),7,1))&lt;=57,CODE(MID(TRIM(UPPER(D133)),8,1))&gt;=48,CODE(MID(TRIM(UPPER(D133)),8,1))&lt;=57,CODE(MID(TRIM(UPPER(D133)),9,1))&gt;=48,CODE(MID(TRIM(UPPER(D133)),9,1))&lt;=57),"N","Y"))</f>
      </c>
      <c r="F133" s="7">
        <f>IF($C133="","",IF(LEN(D133)&lt;4,"",IF(UPPER(MID(D133,4,1))="P","Individual",IF(UPPER(MID(D133,4,1))="H","HUF",IF(UPPER(MID(D133,4,1))="C","Company",IF(UPPER(MID(D133,4,1))="F","Firm",IF(UPPER(MID(D133,4,1))="L","LLP",IF(UPPER(MID(D133,4,1))="T","Trust",IF(UPPER(MID(D133,4,1))="A","AOP","")))))))))</f>
      </c>
      <c r="G133" s="8"/>
      <c r="H133" s="7">
        <f>IF($C133="","",IF(R133&lt;&gt;"",R133,IF(G133="","",IF(E133="Y",SUMPRODUCT(('Rate Lookup'!$A$1:$A$37=G133)*'Rate Lookup'!$D$1:$D$37),IF(OR(F133="Individual",F133="HUF"),SUMPRODUCT(('Rate Lookup'!$A$1:$A$37=G133)*'Rate Lookup'!$B$1:$B$37),SUMPRODUCT(('Rate Lookup'!$A$1:$A$37=G133)*'Rate Lookup'!$C$1:$C$37)))))))</f>
      </c>
      <c r="I133" s="8"/>
      <c r="J133" s="8"/>
      <c r="K133" s="7">
        <f>IF($C133="","",IF(OR(P133="B",P133="D",P133="E",P133="N",P133="O",P133="P",P133="Q",P133="S",P133="Y",P133="Z"),0,ROUND(J133*H133/100,0)))</f>
      </c>
      <c r="L133" s="7">
        <f>IF($C133="","",0)</f>
      </c>
      <c r="M133" s="7">
        <f>IF($C133="","",0)</f>
      </c>
      <c r="N133" s="7">
        <f>IF($C133="","",IF(OR(K133=0,I133="",IFERROR(INDEX('Challan Master'!$D$4:$D$207,MATCH($B133,'Challan Master'!$S$4:$S$207,0)),"")="",IFERROR(INDEX('Challan Master'!$D$4:$D$207,MATCH($B133,'Challan Master'!$S$4:$S$207,0)),"")&lt;=0),0,IF(IFERROR(INDEX('Challan Master'!$D$4:$D$207,MATCH($B133,'Challan Master'!$S$4:$S$207,0)),"")&lt;=DATE(YEAR(I133),MONTH(I133)+1,7),0,ROUND(K133*0.015*((YEAR(IFERROR(INDEX('Challan Master'!$D$4:$D$207,MATCH($B133,'Challan Master'!$S$4:$S$207,0)),""))-YEAR(I133))*12+(MONTH(IFERROR(INDEX('Challan Master'!$D$4:$D$207,MATCH($B133,'Challan Master'!$S$4:$S$207,0)),""))-MONTH(I133))+1),0))))</f>
      </c>
      <c r="O133" s="7">
        <f>IF($C133="","",0)</f>
      </c>
      <c r="P133" s="8"/>
      <c r="Q133" s="8"/>
      <c r="R133" s="8"/>
      <c r="S133" s="8"/>
      <c r="T133" s="8"/>
      <c r="U133" s="7">
        <f>IF($B133="","",IFERROR(INDEX('Challan Master'!$AA$4:$AA$207,MATCH($B133,'Challan Master'!$S$4:$S$207,0)),""))</f>
      </c>
    </row>
    <row r="134" spans="1:22" x14ac:dyDescent="0.25">
      <c r="A134" s="7">
        <f>IF($C134="","",COUNTIF($C$4:$C134,"&lt;&gt;"))</f>
      </c>
      <c r="B134" s="8"/>
      <c r="C134" s="8"/>
      <c r="D134" s="8"/>
      <c r="E134" s="7">
        <f>IF($C134="","",IF(AND(LEN(TRIM(UPPER(D134)))=10,CODE(MID(TRIM(UPPER(D134)),1,1))&gt;=65,CODE(MID(TRIM(UPPER(D134)),1,1))&lt;=90,CODE(MID(TRIM(UPPER(D134)),2,1))&gt;=65,CODE(MID(TRIM(UPPER(D134)),2,1))&lt;=90,CODE(MID(TRIM(UPPER(D134)),3,1))&gt;=65,CODE(MID(TRIM(UPPER(D134)),3,1))&lt;=90,CODE(MID(TRIM(UPPER(D134)),4,1))&gt;=65,CODE(MID(TRIM(UPPER(D134)),4,1))&lt;=90,CODE(MID(TRIM(UPPER(D134)),5,1))&gt;=65,CODE(MID(TRIM(UPPER(D134)),5,1))&lt;=90,CODE(MID(TRIM(UPPER(D134)),10,1))&gt;=65,CODE(MID(TRIM(UPPER(D134)),10,1))&lt;=90,CODE(MID(TRIM(UPPER(D134)),6,1))&gt;=48,CODE(MID(TRIM(UPPER(D134)),6,1))&lt;=57,CODE(MID(TRIM(UPPER(D134)),7,1))&gt;=48,CODE(MID(TRIM(UPPER(D134)),7,1))&lt;=57,CODE(MID(TRIM(UPPER(D134)),8,1))&gt;=48,CODE(MID(TRIM(UPPER(D134)),8,1))&lt;=57,CODE(MID(TRIM(UPPER(D134)),9,1))&gt;=48,CODE(MID(TRIM(UPPER(D134)),9,1))&lt;=57),"N","Y"))</f>
      </c>
      <c r="F134" s="7">
        <f>IF($C134="","",IF(LEN(D134)&lt;4,"",IF(UPPER(MID(D134,4,1))="P","Individual",IF(UPPER(MID(D134,4,1))="H","HUF",IF(UPPER(MID(D134,4,1))="C","Company",IF(UPPER(MID(D134,4,1))="F","Firm",IF(UPPER(MID(D134,4,1))="L","LLP",IF(UPPER(MID(D134,4,1))="T","Trust",IF(UPPER(MID(D134,4,1))="A","AOP","")))))))))</f>
      </c>
      <c r="G134" s="8"/>
      <c r="H134" s="7">
        <f>IF($C134="","",IF(R134&lt;&gt;"",R134,IF(G134="","",IF(E134="Y",SUMPRODUCT(('Rate Lookup'!$A$1:$A$37=G134)*'Rate Lookup'!$D$1:$D$37),IF(OR(F134="Individual",F134="HUF"),SUMPRODUCT(('Rate Lookup'!$A$1:$A$37=G134)*'Rate Lookup'!$B$1:$B$37),SUMPRODUCT(('Rate Lookup'!$A$1:$A$37=G134)*'Rate Lookup'!$C$1:$C$37)))))))</f>
      </c>
      <c r="I134" s="8"/>
      <c r="J134" s="8"/>
      <c r="K134" s="7">
        <f>IF($C134="","",IF(OR(P134="B",P134="D",P134="E",P134="N",P134="O",P134="P",P134="Q",P134="S",P134="Y",P134="Z"),0,ROUND(J134*H134/100,0)))</f>
      </c>
      <c r="L134" s="7">
        <f>IF($C134="","",0)</f>
      </c>
      <c r="M134" s="7">
        <f>IF($C134="","",0)</f>
      </c>
      <c r="N134" s="7">
        <f>IF($C134="","",IF(OR(K134=0,I134="",IFERROR(INDEX('Challan Master'!$D$4:$D$207,MATCH($B134,'Challan Master'!$S$4:$S$207,0)),"")="",IFERROR(INDEX('Challan Master'!$D$4:$D$207,MATCH($B134,'Challan Master'!$S$4:$S$207,0)),"")&lt;=0),0,IF(IFERROR(INDEX('Challan Master'!$D$4:$D$207,MATCH($B134,'Challan Master'!$S$4:$S$207,0)),"")&lt;=DATE(YEAR(I134),MONTH(I134)+1,7),0,ROUND(K134*0.015*((YEAR(IFERROR(INDEX('Challan Master'!$D$4:$D$207,MATCH($B134,'Challan Master'!$S$4:$S$207,0)),""))-YEAR(I134))*12+(MONTH(IFERROR(INDEX('Challan Master'!$D$4:$D$207,MATCH($B134,'Challan Master'!$S$4:$S$207,0)),""))-MONTH(I134))+1),0))))</f>
      </c>
      <c r="O134" s="7">
        <f>IF($C134="","",0)</f>
      </c>
      <c r="P134" s="8"/>
      <c r="Q134" s="8"/>
      <c r="R134" s="8"/>
      <c r="S134" s="8"/>
      <c r="T134" s="8"/>
      <c r="U134" s="7">
        <f>IF($B134="","",IFERROR(INDEX('Challan Master'!$AA$4:$AA$207,MATCH($B134,'Challan Master'!$S$4:$S$207,0)),""))</f>
      </c>
    </row>
    <row r="135" spans="1:22" x14ac:dyDescent="0.25">
      <c r="A135" s="7">
        <f>IF($C135="","",COUNTIF($C$4:$C135,"&lt;&gt;"))</f>
      </c>
      <c r="B135" s="8"/>
      <c r="C135" s="8"/>
      <c r="D135" s="8"/>
      <c r="E135" s="7">
        <f>IF($C135="","",IF(AND(LEN(TRIM(UPPER(D135)))=10,CODE(MID(TRIM(UPPER(D135)),1,1))&gt;=65,CODE(MID(TRIM(UPPER(D135)),1,1))&lt;=90,CODE(MID(TRIM(UPPER(D135)),2,1))&gt;=65,CODE(MID(TRIM(UPPER(D135)),2,1))&lt;=90,CODE(MID(TRIM(UPPER(D135)),3,1))&gt;=65,CODE(MID(TRIM(UPPER(D135)),3,1))&lt;=90,CODE(MID(TRIM(UPPER(D135)),4,1))&gt;=65,CODE(MID(TRIM(UPPER(D135)),4,1))&lt;=90,CODE(MID(TRIM(UPPER(D135)),5,1))&gt;=65,CODE(MID(TRIM(UPPER(D135)),5,1))&lt;=90,CODE(MID(TRIM(UPPER(D135)),10,1))&gt;=65,CODE(MID(TRIM(UPPER(D135)),10,1))&lt;=90,CODE(MID(TRIM(UPPER(D135)),6,1))&gt;=48,CODE(MID(TRIM(UPPER(D135)),6,1))&lt;=57,CODE(MID(TRIM(UPPER(D135)),7,1))&gt;=48,CODE(MID(TRIM(UPPER(D135)),7,1))&lt;=57,CODE(MID(TRIM(UPPER(D135)),8,1))&gt;=48,CODE(MID(TRIM(UPPER(D135)),8,1))&lt;=57,CODE(MID(TRIM(UPPER(D135)),9,1))&gt;=48,CODE(MID(TRIM(UPPER(D135)),9,1))&lt;=57),"N","Y"))</f>
      </c>
      <c r="F135" s="7">
        <f>IF($C135="","",IF(LEN(D135)&lt;4,"",IF(UPPER(MID(D135,4,1))="P","Individual",IF(UPPER(MID(D135,4,1))="H","HUF",IF(UPPER(MID(D135,4,1))="C","Company",IF(UPPER(MID(D135,4,1))="F","Firm",IF(UPPER(MID(D135,4,1))="L","LLP",IF(UPPER(MID(D135,4,1))="T","Trust",IF(UPPER(MID(D135,4,1))="A","AOP","")))))))))</f>
      </c>
      <c r="G135" s="8"/>
      <c r="H135" s="7">
        <f>IF($C135="","",IF(R135&lt;&gt;"",R135,IF(G135="","",IF(E135="Y",SUMPRODUCT(('Rate Lookup'!$A$1:$A$37=G135)*'Rate Lookup'!$D$1:$D$37),IF(OR(F135="Individual",F135="HUF"),SUMPRODUCT(('Rate Lookup'!$A$1:$A$37=G135)*'Rate Lookup'!$B$1:$B$37),SUMPRODUCT(('Rate Lookup'!$A$1:$A$37=G135)*'Rate Lookup'!$C$1:$C$37)))))))</f>
      </c>
      <c r="I135" s="8"/>
      <c r="J135" s="8"/>
      <c r="K135" s="7">
        <f>IF($C135="","",IF(OR(P135="B",P135="D",P135="E",P135="N",P135="O",P135="P",P135="Q",P135="S",P135="Y",P135="Z"),0,ROUND(J135*H135/100,0)))</f>
      </c>
      <c r="L135" s="7">
        <f>IF($C135="","",0)</f>
      </c>
      <c r="M135" s="7">
        <f>IF($C135="","",0)</f>
      </c>
      <c r="N135" s="7">
        <f>IF($C135="","",IF(OR(K135=0,I135="",IFERROR(INDEX('Challan Master'!$D$4:$D$207,MATCH($B135,'Challan Master'!$S$4:$S$207,0)),"")="",IFERROR(INDEX('Challan Master'!$D$4:$D$207,MATCH($B135,'Challan Master'!$S$4:$S$207,0)),"")&lt;=0),0,IF(IFERROR(INDEX('Challan Master'!$D$4:$D$207,MATCH($B135,'Challan Master'!$S$4:$S$207,0)),"")&lt;=DATE(YEAR(I135),MONTH(I135)+1,7),0,ROUND(K135*0.015*((YEAR(IFERROR(INDEX('Challan Master'!$D$4:$D$207,MATCH($B135,'Challan Master'!$S$4:$S$207,0)),""))-YEAR(I135))*12+(MONTH(IFERROR(INDEX('Challan Master'!$D$4:$D$207,MATCH($B135,'Challan Master'!$S$4:$S$207,0)),""))-MONTH(I135))+1),0))))</f>
      </c>
      <c r="O135" s="7">
        <f>IF($C135="","",0)</f>
      </c>
      <c r="P135" s="8"/>
      <c r="Q135" s="8"/>
      <c r="R135" s="8"/>
      <c r="S135" s="8"/>
      <c r="T135" s="8"/>
      <c r="U135" s="7">
        <f>IF($B135="","",IFERROR(INDEX('Challan Master'!$AA$4:$AA$207,MATCH($B135,'Challan Master'!$S$4:$S$207,0)),""))</f>
      </c>
    </row>
    <row r="136" spans="1:22" x14ac:dyDescent="0.25">
      <c r="A136" s="7">
        <f>IF($C136="","",COUNTIF($C$4:$C136,"&lt;&gt;"))</f>
      </c>
      <c r="B136" s="8"/>
      <c r="C136" s="8"/>
      <c r="D136" s="8"/>
      <c r="E136" s="7">
        <f>IF($C136="","",IF(AND(LEN(TRIM(UPPER(D136)))=10,CODE(MID(TRIM(UPPER(D136)),1,1))&gt;=65,CODE(MID(TRIM(UPPER(D136)),1,1))&lt;=90,CODE(MID(TRIM(UPPER(D136)),2,1))&gt;=65,CODE(MID(TRIM(UPPER(D136)),2,1))&lt;=90,CODE(MID(TRIM(UPPER(D136)),3,1))&gt;=65,CODE(MID(TRIM(UPPER(D136)),3,1))&lt;=90,CODE(MID(TRIM(UPPER(D136)),4,1))&gt;=65,CODE(MID(TRIM(UPPER(D136)),4,1))&lt;=90,CODE(MID(TRIM(UPPER(D136)),5,1))&gt;=65,CODE(MID(TRIM(UPPER(D136)),5,1))&lt;=90,CODE(MID(TRIM(UPPER(D136)),10,1))&gt;=65,CODE(MID(TRIM(UPPER(D136)),10,1))&lt;=90,CODE(MID(TRIM(UPPER(D136)),6,1))&gt;=48,CODE(MID(TRIM(UPPER(D136)),6,1))&lt;=57,CODE(MID(TRIM(UPPER(D136)),7,1))&gt;=48,CODE(MID(TRIM(UPPER(D136)),7,1))&lt;=57,CODE(MID(TRIM(UPPER(D136)),8,1))&gt;=48,CODE(MID(TRIM(UPPER(D136)),8,1))&lt;=57,CODE(MID(TRIM(UPPER(D136)),9,1))&gt;=48,CODE(MID(TRIM(UPPER(D136)),9,1))&lt;=57),"N","Y"))</f>
      </c>
      <c r="F136" s="7">
        <f>IF($C136="","",IF(LEN(D136)&lt;4,"",IF(UPPER(MID(D136,4,1))="P","Individual",IF(UPPER(MID(D136,4,1))="H","HUF",IF(UPPER(MID(D136,4,1))="C","Company",IF(UPPER(MID(D136,4,1))="F","Firm",IF(UPPER(MID(D136,4,1))="L","LLP",IF(UPPER(MID(D136,4,1))="T","Trust",IF(UPPER(MID(D136,4,1))="A","AOP","")))))))))</f>
      </c>
      <c r="G136" s="8"/>
      <c r="H136" s="7">
        <f>IF($C136="","",IF(R136&lt;&gt;"",R136,IF(G136="","",IF(E136="Y",SUMPRODUCT(('Rate Lookup'!$A$1:$A$37=G136)*'Rate Lookup'!$D$1:$D$37),IF(OR(F136="Individual",F136="HUF"),SUMPRODUCT(('Rate Lookup'!$A$1:$A$37=G136)*'Rate Lookup'!$B$1:$B$37),SUMPRODUCT(('Rate Lookup'!$A$1:$A$37=G136)*'Rate Lookup'!$C$1:$C$37)))))))</f>
      </c>
      <c r="I136" s="8"/>
      <c r="J136" s="8"/>
      <c r="K136" s="7">
        <f>IF($C136="","",IF(OR(P136="B",P136="D",P136="E",P136="N",P136="O",P136="P",P136="Q",P136="S",P136="Y",P136="Z"),0,ROUND(J136*H136/100,0)))</f>
      </c>
      <c r="L136" s="7">
        <f>IF($C136="","",0)</f>
      </c>
      <c r="M136" s="7">
        <f>IF($C136="","",0)</f>
      </c>
      <c r="N136" s="7">
        <f>IF($C136="","",IF(OR(K136=0,I136="",IFERROR(INDEX('Challan Master'!$D$4:$D$207,MATCH($B136,'Challan Master'!$S$4:$S$207,0)),"")="",IFERROR(INDEX('Challan Master'!$D$4:$D$207,MATCH($B136,'Challan Master'!$S$4:$S$207,0)),"")&lt;=0),0,IF(IFERROR(INDEX('Challan Master'!$D$4:$D$207,MATCH($B136,'Challan Master'!$S$4:$S$207,0)),"")&lt;=DATE(YEAR(I136),MONTH(I136)+1,7),0,ROUND(K136*0.015*((YEAR(IFERROR(INDEX('Challan Master'!$D$4:$D$207,MATCH($B136,'Challan Master'!$S$4:$S$207,0)),""))-YEAR(I136))*12+(MONTH(IFERROR(INDEX('Challan Master'!$D$4:$D$207,MATCH($B136,'Challan Master'!$S$4:$S$207,0)),""))-MONTH(I136))+1),0))))</f>
      </c>
      <c r="O136" s="7">
        <f>IF($C136="","",0)</f>
      </c>
      <c r="P136" s="8"/>
      <c r="Q136" s="8"/>
      <c r="R136" s="8"/>
      <c r="S136" s="8"/>
      <c r="T136" s="8"/>
      <c r="U136" s="7">
        <f>IF($B136="","",IFERROR(INDEX('Challan Master'!$AA$4:$AA$207,MATCH($B136,'Challan Master'!$S$4:$S$207,0)),""))</f>
      </c>
    </row>
    <row r="137" spans="1:22" x14ac:dyDescent="0.25">
      <c r="A137" s="7">
        <f>IF($C137="","",COUNTIF($C$4:$C137,"&lt;&gt;"))</f>
      </c>
      <c r="B137" s="8"/>
      <c r="C137" s="8"/>
      <c r="D137" s="8"/>
      <c r="E137" s="7">
        <f>IF($C137="","",IF(AND(LEN(TRIM(UPPER(D137)))=10,CODE(MID(TRIM(UPPER(D137)),1,1))&gt;=65,CODE(MID(TRIM(UPPER(D137)),1,1))&lt;=90,CODE(MID(TRIM(UPPER(D137)),2,1))&gt;=65,CODE(MID(TRIM(UPPER(D137)),2,1))&lt;=90,CODE(MID(TRIM(UPPER(D137)),3,1))&gt;=65,CODE(MID(TRIM(UPPER(D137)),3,1))&lt;=90,CODE(MID(TRIM(UPPER(D137)),4,1))&gt;=65,CODE(MID(TRIM(UPPER(D137)),4,1))&lt;=90,CODE(MID(TRIM(UPPER(D137)),5,1))&gt;=65,CODE(MID(TRIM(UPPER(D137)),5,1))&lt;=90,CODE(MID(TRIM(UPPER(D137)),10,1))&gt;=65,CODE(MID(TRIM(UPPER(D137)),10,1))&lt;=90,CODE(MID(TRIM(UPPER(D137)),6,1))&gt;=48,CODE(MID(TRIM(UPPER(D137)),6,1))&lt;=57,CODE(MID(TRIM(UPPER(D137)),7,1))&gt;=48,CODE(MID(TRIM(UPPER(D137)),7,1))&lt;=57,CODE(MID(TRIM(UPPER(D137)),8,1))&gt;=48,CODE(MID(TRIM(UPPER(D137)),8,1))&lt;=57,CODE(MID(TRIM(UPPER(D137)),9,1))&gt;=48,CODE(MID(TRIM(UPPER(D137)),9,1))&lt;=57),"N","Y"))</f>
      </c>
      <c r="F137" s="7">
        <f>IF($C137="","",IF(LEN(D137)&lt;4,"",IF(UPPER(MID(D137,4,1))="P","Individual",IF(UPPER(MID(D137,4,1))="H","HUF",IF(UPPER(MID(D137,4,1))="C","Company",IF(UPPER(MID(D137,4,1))="F","Firm",IF(UPPER(MID(D137,4,1))="L","LLP",IF(UPPER(MID(D137,4,1))="T","Trust",IF(UPPER(MID(D137,4,1))="A","AOP","")))))))))</f>
      </c>
      <c r="G137" s="8"/>
      <c r="H137" s="7">
        <f>IF($C137="","",IF(R137&lt;&gt;"",R137,IF(G137="","",IF(E137="Y",SUMPRODUCT(('Rate Lookup'!$A$1:$A$37=G137)*'Rate Lookup'!$D$1:$D$37),IF(OR(F137="Individual",F137="HUF"),SUMPRODUCT(('Rate Lookup'!$A$1:$A$37=G137)*'Rate Lookup'!$B$1:$B$37),SUMPRODUCT(('Rate Lookup'!$A$1:$A$37=G137)*'Rate Lookup'!$C$1:$C$37)))))))</f>
      </c>
      <c r="I137" s="8"/>
      <c r="J137" s="8"/>
      <c r="K137" s="7">
        <f>IF($C137="","",IF(OR(P137="B",P137="D",P137="E",P137="N",P137="O",P137="P",P137="Q",P137="S",P137="Y",P137="Z"),0,ROUND(J137*H137/100,0)))</f>
      </c>
      <c r="L137" s="7">
        <f>IF($C137="","",0)</f>
      </c>
      <c r="M137" s="7">
        <f>IF($C137="","",0)</f>
      </c>
      <c r="N137" s="7">
        <f>IF($C137="","",IF(OR(K137=0,I137="",IFERROR(INDEX('Challan Master'!$D$4:$D$207,MATCH($B137,'Challan Master'!$S$4:$S$207,0)),"")="",IFERROR(INDEX('Challan Master'!$D$4:$D$207,MATCH($B137,'Challan Master'!$S$4:$S$207,0)),"")&lt;=0),0,IF(IFERROR(INDEX('Challan Master'!$D$4:$D$207,MATCH($B137,'Challan Master'!$S$4:$S$207,0)),"")&lt;=DATE(YEAR(I137),MONTH(I137)+1,7),0,ROUND(K137*0.015*((YEAR(IFERROR(INDEX('Challan Master'!$D$4:$D$207,MATCH($B137,'Challan Master'!$S$4:$S$207,0)),""))-YEAR(I137))*12+(MONTH(IFERROR(INDEX('Challan Master'!$D$4:$D$207,MATCH($B137,'Challan Master'!$S$4:$S$207,0)),""))-MONTH(I137))+1),0))))</f>
      </c>
      <c r="O137" s="7">
        <f>IF($C137="","",0)</f>
      </c>
      <c r="P137" s="8"/>
      <c r="Q137" s="8"/>
      <c r="R137" s="8"/>
      <c r="S137" s="8"/>
      <c r="T137" s="8"/>
      <c r="U137" s="7">
        <f>IF($B137="","",IFERROR(INDEX('Challan Master'!$AA$4:$AA$207,MATCH($B137,'Challan Master'!$S$4:$S$207,0)),""))</f>
      </c>
    </row>
    <row r="138" spans="1:22" x14ac:dyDescent="0.25">
      <c r="A138" s="7">
        <f>IF($C138="","",COUNTIF($C$4:$C138,"&lt;&gt;"))</f>
      </c>
      <c r="B138" s="8"/>
      <c r="C138" s="8"/>
      <c r="D138" s="8"/>
      <c r="E138" s="7">
        <f>IF($C138="","",IF(AND(LEN(TRIM(UPPER(D138)))=10,CODE(MID(TRIM(UPPER(D138)),1,1))&gt;=65,CODE(MID(TRIM(UPPER(D138)),1,1))&lt;=90,CODE(MID(TRIM(UPPER(D138)),2,1))&gt;=65,CODE(MID(TRIM(UPPER(D138)),2,1))&lt;=90,CODE(MID(TRIM(UPPER(D138)),3,1))&gt;=65,CODE(MID(TRIM(UPPER(D138)),3,1))&lt;=90,CODE(MID(TRIM(UPPER(D138)),4,1))&gt;=65,CODE(MID(TRIM(UPPER(D138)),4,1))&lt;=90,CODE(MID(TRIM(UPPER(D138)),5,1))&gt;=65,CODE(MID(TRIM(UPPER(D138)),5,1))&lt;=90,CODE(MID(TRIM(UPPER(D138)),10,1))&gt;=65,CODE(MID(TRIM(UPPER(D138)),10,1))&lt;=90,CODE(MID(TRIM(UPPER(D138)),6,1))&gt;=48,CODE(MID(TRIM(UPPER(D138)),6,1))&lt;=57,CODE(MID(TRIM(UPPER(D138)),7,1))&gt;=48,CODE(MID(TRIM(UPPER(D138)),7,1))&lt;=57,CODE(MID(TRIM(UPPER(D138)),8,1))&gt;=48,CODE(MID(TRIM(UPPER(D138)),8,1))&lt;=57,CODE(MID(TRIM(UPPER(D138)),9,1))&gt;=48,CODE(MID(TRIM(UPPER(D138)),9,1))&lt;=57),"N","Y"))</f>
      </c>
      <c r="F138" s="7">
        <f>IF($C138="","",IF(LEN(D138)&lt;4,"",IF(UPPER(MID(D138,4,1))="P","Individual",IF(UPPER(MID(D138,4,1))="H","HUF",IF(UPPER(MID(D138,4,1))="C","Company",IF(UPPER(MID(D138,4,1))="F","Firm",IF(UPPER(MID(D138,4,1))="L","LLP",IF(UPPER(MID(D138,4,1))="T","Trust",IF(UPPER(MID(D138,4,1))="A","AOP","")))))))))</f>
      </c>
      <c r="G138" s="8"/>
      <c r="H138" s="7">
        <f>IF($C138="","",IF(R138&lt;&gt;"",R138,IF(G138="","",IF(E138="Y",SUMPRODUCT(('Rate Lookup'!$A$1:$A$37=G138)*'Rate Lookup'!$D$1:$D$37),IF(OR(F138="Individual",F138="HUF"),SUMPRODUCT(('Rate Lookup'!$A$1:$A$37=G138)*'Rate Lookup'!$B$1:$B$37),SUMPRODUCT(('Rate Lookup'!$A$1:$A$37=G138)*'Rate Lookup'!$C$1:$C$37)))))))</f>
      </c>
      <c r="I138" s="8"/>
      <c r="J138" s="8"/>
      <c r="K138" s="7">
        <f>IF($C138="","",IF(OR(P138="B",P138="D",P138="E",P138="N",P138="O",P138="P",P138="Q",P138="S",P138="Y",P138="Z"),0,ROUND(J138*H138/100,0)))</f>
      </c>
      <c r="L138" s="7">
        <f>IF($C138="","",0)</f>
      </c>
      <c r="M138" s="7">
        <f>IF($C138="","",0)</f>
      </c>
      <c r="N138" s="7">
        <f>IF($C138="","",IF(OR(K138=0,I138="",IFERROR(INDEX('Challan Master'!$D$4:$D$207,MATCH($B138,'Challan Master'!$S$4:$S$207,0)),"")="",IFERROR(INDEX('Challan Master'!$D$4:$D$207,MATCH($B138,'Challan Master'!$S$4:$S$207,0)),"")&lt;=0),0,IF(IFERROR(INDEX('Challan Master'!$D$4:$D$207,MATCH($B138,'Challan Master'!$S$4:$S$207,0)),"")&lt;=DATE(YEAR(I138),MONTH(I138)+1,7),0,ROUND(K138*0.015*((YEAR(IFERROR(INDEX('Challan Master'!$D$4:$D$207,MATCH($B138,'Challan Master'!$S$4:$S$207,0)),""))-YEAR(I138))*12+(MONTH(IFERROR(INDEX('Challan Master'!$D$4:$D$207,MATCH($B138,'Challan Master'!$S$4:$S$207,0)),""))-MONTH(I138))+1),0))))</f>
      </c>
      <c r="O138" s="7">
        <f>IF($C138="","",0)</f>
      </c>
      <c r="P138" s="8"/>
      <c r="Q138" s="8"/>
      <c r="R138" s="8"/>
      <c r="S138" s="8"/>
      <c r="T138" s="8"/>
      <c r="U138" s="7">
        <f>IF($B138="","",IFERROR(INDEX('Challan Master'!$AA$4:$AA$207,MATCH($B138,'Challan Master'!$S$4:$S$207,0)),""))</f>
      </c>
    </row>
    <row r="139" spans="1:22" x14ac:dyDescent="0.25">
      <c r="A139" s="7">
        <f>IF($C139="","",COUNTIF($C$4:$C139,"&lt;&gt;"))</f>
      </c>
      <c r="B139" s="8"/>
      <c r="C139" s="8"/>
      <c r="D139" s="8"/>
      <c r="E139" s="7">
        <f>IF($C139="","",IF(AND(LEN(TRIM(UPPER(D139)))=10,CODE(MID(TRIM(UPPER(D139)),1,1))&gt;=65,CODE(MID(TRIM(UPPER(D139)),1,1))&lt;=90,CODE(MID(TRIM(UPPER(D139)),2,1))&gt;=65,CODE(MID(TRIM(UPPER(D139)),2,1))&lt;=90,CODE(MID(TRIM(UPPER(D139)),3,1))&gt;=65,CODE(MID(TRIM(UPPER(D139)),3,1))&lt;=90,CODE(MID(TRIM(UPPER(D139)),4,1))&gt;=65,CODE(MID(TRIM(UPPER(D139)),4,1))&lt;=90,CODE(MID(TRIM(UPPER(D139)),5,1))&gt;=65,CODE(MID(TRIM(UPPER(D139)),5,1))&lt;=90,CODE(MID(TRIM(UPPER(D139)),10,1))&gt;=65,CODE(MID(TRIM(UPPER(D139)),10,1))&lt;=90,CODE(MID(TRIM(UPPER(D139)),6,1))&gt;=48,CODE(MID(TRIM(UPPER(D139)),6,1))&lt;=57,CODE(MID(TRIM(UPPER(D139)),7,1))&gt;=48,CODE(MID(TRIM(UPPER(D139)),7,1))&lt;=57,CODE(MID(TRIM(UPPER(D139)),8,1))&gt;=48,CODE(MID(TRIM(UPPER(D139)),8,1))&lt;=57,CODE(MID(TRIM(UPPER(D139)),9,1))&gt;=48,CODE(MID(TRIM(UPPER(D139)),9,1))&lt;=57),"N","Y"))</f>
      </c>
      <c r="F139" s="7">
        <f>IF($C139="","",IF(LEN(D139)&lt;4,"",IF(UPPER(MID(D139,4,1))="P","Individual",IF(UPPER(MID(D139,4,1))="H","HUF",IF(UPPER(MID(D139,4,1))="C","Company",IF(UPPER(MID(D139,4,1))="F","Firm",IF(UPPER(MID(D139,4,1))="L","LLP",IF(UPPER(MID(D139,4,1))="T","Trust",IF(UPPER(MID(D139,4,1))="A","AOP","")))))))))</f>
      </c>
      <c r="G139" s="8"/>
      <c r="H139" s="7">
        <f>IF($C139="","",IF(R139&lt;&gt;"",R139,IF(G139="","",IF(E139="Y",SUMPRODUCT(('Rate Lookup'!$A$1:$A$37=G139)*'Rate Lookup'!$D$1:$D$37),IF(OR(F139="Individual",F139="HUF"),SUMPRODUCT(('Rate Lookup'!$A$1:$A$37=G139)*'Rate Lookup'!$B$1:$B$37),SUMPRODUCT(('Rate Lookup'!$A$1:$A$37=G139)*'Rate Lookup'!$C$1:$C$37)))))))</f>
      </c>
      <c r="I139" s="8"/>
      <c r="J139" s="8"/>
      <c r="K139" s="7">
        <f>IF($C139="","",IF(OR(P139="B",P139="D",P139="E",P139="N",P139="O",P139="P",P139="Q",P139="S",P139="Y",P139="Z"),0,ROUND(J139*H139/100,0)))</f>
      </c>
      <c r="L139" s="7">
        <f>IF($C139="","",0)</f>
      </c>
      <c r="M139" s="7">
        <f>IF($C139="","",0)</f>
      </c>
      <c r="N139" s="7">
        <f>IF($C139="","",IF(OR(K139=0,I139="",IFERROR(INDEX('Challan Master'!$D$4:$D$207,MATCH($B139,'Challan Master'!$S$4:$S$207,0)),"")="",IFERROR(INDEX('Challan Master'!$D$4:$D$207,MATCH($B139,'Challan Master'!$S$4:$S$207,0)),"")&lt;=0),0,IF(IFERROR(INDEX('Challan Master'!$D$4:$D$207,MATCH($B139,'Challan Master'!$S$4:$S$207,0)),"")&lt;=DATE(YEAR(I139),MONTH(I139)+1,7),0,ROUND(K139*0.015*((YEAR(IFERROR(INDEX('Challan Master'!$D$4:$D$207,MATCH($B139,'Challan Master'!$S$4:$S$207,0)),""))-YEAR(I139))*12+(MONTH(IFERROR(INDEX('Challan Master'!$D$4:$D$207,MATCH($B139,'Challan Master'!$S$4:$S$207,0)),""))-MONTH(I139))+1),0))))</f>
      </c>
      <c r="O139" s="7">
        <f>IF($C139="","",0)</f>
      </c>
      <c r="P139" s="8"/>
      <c r="Q139" s="8"/>
      <c r="R139" s="8"/>
      <c r="S139" s="8"/>
      <c r="T139" s="8"/>
      <c r="U139" s="7">
        <f>IF($B139="","",IFERROR(INDEX('Challan Master'!$AA$4:$AA$207,MATCH($B139,'Challan Master'!$S$4:$S$207,0)),""))</f>
      </c>
    </row>
    <row r="140" spans="1:22" x14ac:dyDescent="0.25">
      <c r="A140" s="7">
        <f>IF($C140="","",COUNTIF($C$4:$C140,"&lt;&gt;"))</f>
      </c>
      <c r="B140" s="8"/>
      <c r="C140" s="8"/>
      <c r="D140" s="8"/>
      <c r="E140" s="7">
        <f>IF($C140="","",IF(AND(LEN(TRIM(UPPER(D140)))=10,CODE(MID(TRIM(UPPER(D140)),1,1))&gt;=65,CODE(MID(TRIM(UPPER(D140)),1,1))&lt;=90,CODE(MID(TRIM(UPPER(D140)),2,1))&gt;=65,CODE(MID(TRIM(UPPER(D140)),2,1))&lt;=90,CODE(MID(TRIM(UPPER(D140)),3,1))&gt;=65,CODE(MID(TRIM(UPPER(D140)),3,1))&lt;=90,CODE(MID(TRIM(UPPER(D140)),4,1))&gt;=65,CODE(MID(TRIM(UPPER(D140)),4,1))&lt;=90,CODE(MID(TRIM(UPPER(D140)),5,1))&gt;=65,CODE(MID(TRIM(UPPER(D140)),5,1))&lt;=90,CODE(MID(TRIM(UPPER(D140)),10,1))&gt;=65,CODE(MID(TRIM(UPPER(D140)),10,1))&lt;=90,CODE(MID(TRIM(UPPER(D140)),6,1))&gt;=48,CODE(MID(TRIM(UPPER(D140)),6,1))&lt;=57,CODE(MID(TRIM(UPPER(D140)),7,1))&gt;=48,CODE(MID(TRIM(UPPER(D140)),7,1))&lt;=57,CODE(MID(TRIM(UPPER(D140)),8,1))&gt;=48,CODE(MID(TRIM(UPPER(D140)),8,1))&lt;=57,CODE(MID(TRIM(UPPER(D140)),9,1))&gt;=48,CODE(MID(TRIM(UPPER(D140)),9,1))&lt;=57),"N","Y"))</f>
      </c>
      <c r="F140" s="7">
        <f>IF($C140="","",IF(LEN(D140)&lt;4,"",IF(UPPER(MID(D140,4,1))="P","Individual",IF(UPPER(MID(D140,4,1))="H","HUF",IF(UPPER(MID(D140,4,1))="C","Company",IF(UPPER(MID(D140,4,1))="F","Firm",IF(UPPER(MID(D140,4,1))="L","LLP",IF(UPPER(MID(D140,4,1))="T","Trust",IF(UPPER(MID(D140,4,1))="A","AOP","")))))))))</f>
      </c>
      <c r="G140" s="8"/>
      <c r="H140" s="7">
        <f>IF($C140="","",IF(R140&lt;&gt;"",R140,IF(G140="","",IF(E140="Y",SUMPRODUCT(('Rate Lookup'!$A$1:$A$37=G140)*'Rate Lookup'!$D$1:$D$37),IF(OR(F140="Individual",F140="HUF"),SUMPRODUCT(('Rate Lookup'!$A$1:$A$37=G140)*'Rate Lookup'!$B$1:$B$37),SUMPRODUCT(('Rate Lookup'!$A$1:$A$37=G140)*'Rate Lookup'!$C$1:$C$37)))))))</f>
      </c>
      <c r="I140" s="8"/>
      <c r="J140" s="8"/>
      <c r="K140" s="7">
        <f>IF($C140="","",IF(OR(P140="B",P140="D",P140="E",P140="N",P140="O",P140="P",P140="Q",P140="S",P140="Y",P140="Z"),0,ROUND(J140*H140/100,0)))</f>
      </c>
      <c r="L140" s="7">
        <f>IF($C140="","",0)</f>
      </c>
      <c r="M140" s="7">
        <f>IF($C140="","",0)</f>
      </c>
      <c r="N140" s="7">
        <f>IF($C140="","",IF(OR(K140=0,I140="",IFERROR(INDEX('Challan Master'!$D$4:$D$207,MATCH($B140,'Challan Master'!$S$4:$S$207,0)),"")="",IFERROR(INDEX('Challan Master'!$D$4:$D$207,MATCH($B140,'Challan Master'!$S$4:$S$207,0)),"")&lt;=0),0,IF(IFERROR(INDEX('Challan Master'!$D$4:$D$207,MATCH($B140,'Challan Master'!$S$4:$S$207,0)),"")&lt;=DATE(YEAR(I140),MONTH(I140)+1,7),0,ROUND(K140*0.015*((YEAR(IFERROR(INDEX('Challan Master'!$D$4:$D$207,MATCH($B140,'Challan Master'!$S$4:$S$207,0)),""))-YEAR(I140))*12+(MONTH(IFERROR(INDEX('Challan Master'!$D$4:$D$207,MATCH($B140,'Challan Master'!$S$4:$S$207,0)),""))-MONTH(I140))+1),0))))</f>
      </c>
      <c r="O140" s="7">
        <f>IF($C140="","",0)</f>
      </c>
      <c r="P140" s="8"/>
      <c r="Q140" s="8"/>
      <c r="R140" s="8"/>
      <c r="S140" s="8"/>
      <c r="T140" s="8"/>
      <c r="U140" s="7">
        <f>IF($B140="","",IFERROR(INDEX('Challan Master'!$AA$4:$AA$207,MATCH($B140,'Challan Master'!$S$4:$S$207,0)),""))</f>
      </c>
    </row>
    <row r="141" spans="1:22" x14ac:dyDescent="0.25">
      <c r="A141" s="7">
        <f>IF($C141="","",COUNTIF($C$4:$C141,"&lt;&gt;"))</f>
      </c>
      <c r="B141" s="8"/>
      <c r="C141" s="8"/>
      <c r="D141" s="8"/>
      <c r="E141" s="7">
        <f>IF($C141="","",IF(AND(LEN(TRIM(UPPER(D141)))=10,CODE(MID(TRIM(UPPER(D141)),1,1))&gt;=65,CODE(MID(TRIM(UPPER(D141)),1,1))&lt;=90,CODE(MID(TRIM(UPPER(D141)),2,1))&gt;=65,CODE(MID(TRIM(UPPER(D141)),2,1))&lt;=90,CODE(MID(TRIM(UPPER(D141)),3,1))&gt;=65,CODE(MID(TRIM(UPPER(D141)),3,1))&lt;=90,CODE(MID(TRIM(UPPER(D141)),4,1))&gt;=65,CODE(MID(TRIM(UPPER(D141)),4,1))&lt;=90,CODE(MID(TRIM(UPPER(D141)),5,1))&gt;=65,CODE(MID(TRIM(UPPER(D141)),5,1))&lt;=90,CODE(MID(TRIM(UPPER(D141)),10,1))&gt;=65,CODE(MID(TRIM(UPPER(D141)),10,1))&lt;=90,CODE(MID(TRIM(UPPER(D141)),6,1))&gt;=48,CODE(MID(TRIM(UPPER(D141)),6,1))&lt;=57,CODE(MID(TRIM(UPPER(D141)),7,1))&gt;=48,CODE(MID(TRIM(UPPER(D141)),7,1))&lt;=57,CODE(MID(TRIM(UPPER(D141)),8,1))&gt;=48,CODE(MID(TRIM(UPPER(D141)),8,1))&lt;=57,CODE(MID(TRIM(UPPER(D141)),9,1))&gt;=48,CODE(MID(TRIM(UPPER(D141)),9,1))&lt;=57),"N","Y"))</f>
      </c>
      <c r="F141" s="7">
        <f>IF($C141="","",IF(LEN(D141)&lt;4,"",IF(UPPER(MID(D141,4,1))="P","Individual",IF(UPPER(MID(D141,4,1))="H","HUF",IF(UPPER(MID(D141,4,1))="C","Company",IF(UPPER(MID(D141,4,1))="F","Firm",IF(UPPER(MID(D141,4,1))="L","LLP",IF(UPPER(MID(D141,4,1))="T","Trust",IF(UPPER(MID(D141,4,1))="A","AOP","")))))))))</f>
      </c>
      <c r="G141" s="8"/>
      <c r="H141" s="7">
        <f>IF($C141="","",IF(R141&lt;&gt;"",R141,IF(G141="","",IF(E141="Y",SUMPRODUCT(('Rate Lookup'!$A$1:$A$37=G141)*'Rate Lookup'!$D$1:$D$37),IF(OR(F141="Individual",F141="HUF"),SUMPRODUCT(('Rate Lookup'!$A$1:$A$37=G141)*'Rate Lookup'!$B$1:$B$37),SUMPRODUCT(('Rate Lookup'!$A$1:$A$37=G141)*'Rate Lookup'!$C$1:$C$37)))))))</f>
      </c>
      <c r="I141" s="8"/>
      <c r="J141" s="8"/>
      <c r="K141" s="7">
        <f>IF($C141="","",IF(OR(P141="B",P141="D",P141="E",P141="N",P141="O",P141="P",P141="Q",P141="S",P141="Y",P141="Z"),0,ROUND(J141*H141/100,0)))</f>
      </c>
      <c r="L141" s="7">
        <f>IF($C141="","",0)</f>
      </c>
      <c r="M141" s="7">
        <f>IF($C141="","",0)</f>
      </c>
      <c r="N141" s="7">
        <f>IF($C141="","",IF(OR(K141=0,I141="",IFERROR(INDEX('Challan Master'!$D$4:$D$207,MATCH($B141,'Challan Master'!$S$4:$S$207,0)),"")="",IFERROR(INDEX('Challan Master'!$D$4:$D$207,MATCH($B141,'Challan Master'!$S$4:$S$207,0)),"")&lt;=0),0,IF(IFERROR(INDEX('Challan Master'!$D$4:$D$207,MATCH($B141,'Challan Master'!$S$4:$S$207,0)),"")&lt;=DATE(YEAR(I141),MONTH(I141)+1,7),0,ROUND(K141*0.015*((YEAR(IFERROR(INDEX('Challan Master'!$D$4:$D$207,MATCH($B141,'Challan Master'!$S$4:$S$207,0)),""))-YEAR(I141))*12+(MONTH(IFERROR(INDEX('Challan Master'!$D$4:$D$207,MATCH($B141,'Challan Master'!$S$4:$S$207,0)),""))-MONTH(I141))+1),0))))</f>
      </c>
      <c r="O141" s="7">
        <f>IF($C141="","",0)</f>
      </c>
      <c r="P141" s="8"/>
      <c r="Q141" s="8"/>
      <c r="R141" s="8"/>
      <c r="S141" s="8"/>
      <c r="T141" s="8"/>
      <c r="U141" s="7">
        <f>IF($B141="","",IFERROR(INDEX('Challan Master'!$AA$4:$AA$207,MATCH($B141,'Challan Master'!$S$4:$S$207,0)),""))</f>
      </c>
    </row>
    <row r="142" spans="1:22" x14ac:dyDescent="0.25">
      <c r="A142" s="7">
        <f>IF($C142="","",COUNTIF($C$4:$C142,"&lt;&gt;"))</f>
      </c>
      <c r="B142" s="8"/>
      <c r="C142" s="8"/>
      <c r="D142" s="8"/>
      <c r="E142" s="7">
        <f>IF($C142="","",IF(AND(LEN(TRIM(UPPER(D142)))=10,CODE(MID(TRIM(UPPER(D142)),1,1))&gt;=65,CODE(MID(TRIM(UPPER(D142)),1,1))&lt;=90,CODE(MID(TRIM(UPPER(D142)),2,1))&gt;=65,CODE(MID(TRIM(UPPER(D142)),2,1))&lt;=90,CODE(MID(TRIM(UPPER(D142)),3,1))&gt;=65,CODE(MID(TRIM(UPPER(D142)),3,1))&lt;=90,CODE(MID(TRIM(UPPER(D142)),4,1))&gt;=65,CODE(MID(TRIM(UPPER(D142)),4,1))&lt;=90,CODE(MID(TRIM(UPPER(D142)),5,1))&gt;=65,CODE(MID(TRIM(UPPER(D142)),5,1))&lt;=90,CODE(MID(TRIM(UPPER(D142)),10,1))&gt;=65,CODE(MID(TRIM(UPPER(D142)),10,1))&lt;=90,CODE(MID(TRIM(UPPER(D142)),6,1))&gt;=48,CODE(MID(TRIM(UPPER(D142)),6,1))&lt;=57,CODE(MID(TRIM(UPPER(D142)),7,1))&gt;=48,CODE(MID(TRIM(UPPER(D142)),7,1))&lt;=57,CODE(MID(TRIM(UPPER(D142)),8,1))&gt;=48,CODE(MID(TRIM(UPPER(D142)),8,1))&lt;=57,CODE(MID(TRIM(UPPER(D142)),9,1))&gt;=48,CODE(MID(TRIM(UPPER(D142)),9,1))&lt;=57),"N","Y"))</f>
      </c>
      <c r="F142" s="7">
        <f>IF($C142="","",IF(LEN(D142)&lt;4,"",IF(UPPER(MID(D142,4,1))="P","Individual",IF(UPPER(MID(D142,4,1))="H","HUF",IF(UPPER(MID(D142,4,1))="C","Company",IF(UPPER(MID(D142,4,1))="F","Firm",IF(UPPER(MID(D142,4,1))="L","LLP",IF(UPPER(MID(D142,4,1))="T","Trust",IF(UPPER(MID(D142,4,1))="A","AOP","")))))))))</f>
      </c>
      <c r="G142" s="8"/>
      <c r="H142" s="7">
        <f>IF($C142="","",IF(R142&lt;&gt;"",R142,IF(G142="","",IF(E142="Y",SUMPRODUCT(('Rate Lookup'!$A$1:$A$37=G142)*'Rate Lookup'!$D$1:$D$37),IF(OR(F142="Individual",F142="HUF"),SUMPRODUCT(('Rate Lookup'!$A$1:$A$37=G142)*'Rate Lookup'!$B$1:$B$37),SUMPRODUCT(('Rate Lookup'!$A$1:$A$37=G142)*'Rate Lookup'!$C$1:$C$37)))))))</f>
      </c>
      <c r="I142" s="8"/>
      <c r="J142" s="8"/>
      <c r="K142" s="7">
        <f>IF($C142="","",IF(OR(P142="B",P142="D",P142="E",P142="N",P142="O",P142="P",P142="Q",P142="S",P142="Y",P142="Z"),0,ROUND(J142*H142/100,0)))</f>
      </c>
      <c r="L142" s="7">
        <f>IF($C142="","",0)</f>
      </c>
      <c r="M142" s="7">
        <f>IF($C142="","",0)</f>
      </c>
      <c r="N142" s="7">
        <f>IF($C142="","",IF(OR(K142=0,I142="",IFERROR(INDEX('Challan Master'!$D$4:$D$207,MATCH($B142,'Challan Master'!$S$4:$S$207,0)),"")="",IFERROR(INDEX('Challan Master'!$D$4:$D$207,MATCH($B142,'Challan Master'!$S$4:$S$207,0)),"")&lt;=0),0,IF(IFERROR(INDEX('Challan Master'!$D$4:$D$207,MATCH($B142,'Challan Master'!$S$4:$S$207,0)),"")&lt;=DATE(YEAR(I142),MONTH(I142)+1,7),0,ROUND(K142*0.015*((YEAR(IFERROR(INDEX('Challan Master'!$D$4:$D$207,MATCH($B142,'Challan Master'!$S$4:$S$207,0)),""))-YEAR(I142))*12+(MONTH(IFERROR(INDEX('Challan Master'!$D$4:$D$207,MATCH($B142,'Challan Master'!$S$4:$S$207,0)),""))-MONTH(I142))+1),0))))</f>
      </c>
      <c r="O142" s="7">
        <f>IF($C142="","",0)</f>
      </c>
      <c r="P142" s="8"/>
      <c r="Q142" s="8"/>
      <c r="R142" s="8"/>
      <c r="S142" s="8"/>
      <c r="T142" s="8"/>
      <c r="U142" s="7">
        <f>IF($B142="","",IFERROR(INDEX('Challan Master'!$AA$4:$AA$207,MATCH($B142,'Challan Master'!$S$4:$S$207,0)),""))</f>
      </c>
    </row>
    <row r="143" spans="1:22" x14ac:dyDescent="0.25">
      <c r="A143" s="7">
        <f>IF($C143="","",COUNTIF($C$4:$C143,"&lt;&gt;"))</f>
      </c>
      <c r="B143" s="8"/>
      <c r="C143" s="8"/>
      <c r="D143" s="8"/>
      <c r="E143" s="7">
        <f>IF($C143="","",IF(AND(LEN(TRIM(UPPER(D143)))=10,CODE(MID(TRIM(UPPER(D143)),1,1))&gt;=65,CODE(MID(TRIM(UPPER(D143)),1,1))&lt;=90,CODE(MID(TRIM(UPPER(D143)),2,1))&gt;=65,CODE(MID(TRIM(UPPER(D143)),2,1))&lt;=90,CODE(MID(TRIM(UPPER(D143)),3,1))&gt;=65,CODE(MID(TRIM(UPPER(D143)),3,1))&lt;=90,CODE(MID(TRIM(UPPER(D143)),4,1))&gt;=65,CODE(MID(TRIM(UPPER(D143)),4,1))&lt;=90,CODE(MID(TRIM(UPPER(D143)),5,1))&gt;=65,CODE(MID(TRIM(UPPER(D143)),5,1))&lt;=90,CODE(MID(TRIM(UPPER(D143)),10,1))&gt;=65,CODE(MID(TRIM(UPPER(D143)),10,1))&lt;=90,CODE(MID(TRIM(UPPER(D143)),6,1))&gt;=48,CODE(MID(TRIM(UPPER(D143)),6,1))&lt;=57,CODE(MID(TRIM(UPPER(D143)),7,1))&gt;=48,CODE(MID(TRIM(UPPER(D143)),7,1))&lt;=57,CODE(MID(TRIM(UPPER(D143)),8,1))&gt;=48,CODE(MID(TRIM(UPPER(D143)),8,1))&lt;=57,CODE(MID(TRIM(UPPER(D143)),9,1))&gt;=48,CODE(MID(TRIM(UPPER(D143)),9,1))&lt;=57),"N","Y"))</f>
      </c>
      <c r="F143" s="7">
        <f>IF($C143="","",IF(LEN(D143)&lt;4,"",IF(UPPER(MID(D143,4,1))="P","Individual",IF(UPPER(MID(D143,4,1))="H","HUF",IF(UPPER(MID(D143,4,1))="C","Company",IF(UPPER(MID(D143,4,1))="F","Firm",IF(UPPER(MID(D143,4,1))="L","LLP",IF(UPPER(MID(D143,4,1))="T","Trust",IF(UPPER(MID(D143,4,1))="A","AOP","")))))))))</f>
      </c>
      <c r="G143" s="8"/>
      <c r="H143" s="7">
        <f>IF($C143="","",IF(R143&lt;&gt;"",R143,IF(G143="","",IF(E143="Y",SUMPRODUCT(('Rate Lookup'!$A$1:$A$37=G143)*'Rate Lookup'!$D$1:$D$37),IF(OR(F143="Individual",F143="HUF"),SUMPRODUCT(('Rate Lookup'!$A$1:$A$37=G143)*'Rate Lookup'!$B$1:$B$37),SUMPRODUCT(('Rate Lookup'!$A$1:$A$37=G143)*'Rate Lookup'!$C$1:$C$37)))))))</f>
      </c>
      <c r="I143" s="8"/>
      <c r="J143" s="8"/>
      <c r="K143" s="7">
        <f>IF($C143="","",IF(OR(P143="B",P143="D",P143="E",P143="N",P143="O",P143="P",P143="Q",P143="S",P143="Y",P143="Z"),0,ROUND(J143*H143/100,0)))</f>
      </c>
      <c r="L143" s="7">
        <f>IF($C143="","",0)</f>
      </c>
      <c r="M143" s="7">
        <f>IF($C143="","",0)</f>
      </c>
      <c r="N143" s="7">
        <f>IF($C143="","",IF(OR(K143=0,I143="",IFERROR(INDEX('Challan Master'!$D$4:$D$207,MATCH($B143,'Challan Master'!$S$4:$S$207,0)),"")="",IFERROR(INDEX('Challan Master'!$D$4:$D$207,MATCH($B143,'Challan Master'!$S$4:$S$207,0)),"")&lt;=0),0,IF(IFERROR(INDEX('Challan Master'!$D$4:$D$207,MATCH($B143,'Challan Master'!$S$4:$S$207,0)),"")&lt;=DATE(YEAR(I143),MONTH(I143)+1,7),0,ROUND(K143*0.015*((YEAR(IFERROR(INDEX('Challan Master'!$D$4:$D$207,MATCH($B143,'Challan Master'!$S$4:$S$207,0)),""))-YEAR(I143))*12+(MONTH(IFERROR(INDEX('Challan Master'!$D$4:$D$207,MATCH($B143,'Challan Master'!$S$4:$S$207,0)),""))-MONTH(I143))+1),0))))</f>
      </c>
      <c r="O143" s="7">
        <f>IF($C143="","",0)</f>
      </c>
      <c r="P143" s="8"/>
      <c r="Q143" s="8"/>
      <c r="R143" s="8"/>
      <c r="S143" s="8"/>
      <c r="T143" s="8"/>
      <c r="U143" s="7">
        <f>IF($B143="","",IFERROR(INDEX('Challan Master'!$AA$4:$AA$207,MATCH($B143,'Challan Master'!$S$4:$S$207,0)),""))</f>
      </c>
    </row>
    <row r="144" spans="1:22" x14ac:dyDescent="0.25">
      <c r="A144" s="7">
        <f>IF($C144="","",COUNTIF($C$4:$C144,"&lt;&gt;"))</f>
      </c>
      <c r="B144" s="8"/>
      <c r="C144" s="8"/>
      <c r="D144" s="8"/>
      <c r="E144" s="7">
        <f>IF($C144="","",IF(AND(LEN(TRIM(UPPER(D144)))=10,CODE(MID(TRIM(UPPER(D144)),1,1))&gt;=65,CODE(MID(TRIM(UPPER(D144)),1,1))&lt;=90,CODE(MID(TRIM(UPPER(D144)),2,1))&gt;=65,CODE(MID(TRIM(UPPER(D144)),2,1))&lt;=90,CODE(MID(TRIM(UPPER(D144)),3,1))&gt;=65,CODE(MID(TRIM(UPPER(D144)),3,1))&lt;=90,CODE(MID(TRIM(UPPER(D144)),4,1))&gt;=65,CODE(MID(TRIM(UPPER(D144)),4,1))&lt;=90,CODE(MID(TRIM(UPPER(D144)),5,1))&gt;=65,CODE(MID(TRIM(UPPER(D144)),5,1))&lt;=90,CODE(MID(TRIM(UPPER(D144)),10,1))&gt;=65,CODE(MID(TRIM(UPPER(D144)),10,1))&lt;=90,CODE(MID(TRIM(UPPER(D144)),6,1))&gt;=48,CODE(MID(TRIM(UPPER(D144)),6,1))&lt;=57,CODE(MID(TRIM(UPPER(D144)),7,1))&gt;=48,CODE(MID(TRIM(UPPER(D144)),7,1))&lt;=57,CODE(MID(TRIM(UPPER(D144)),8,1))&gt;=48,CODE(MID(TRIM(UPPER(D144)),8,1))&lt;=57,CODE(MID(TRIM(UPPER(D144)),9,1))&gt;=48,CODE(MID(TRIM(UPPER(D144)),9,1))&lt;=57),"N","Y"))</f>
      </c>
      <c r="F144" s="7">
        <f>IF($C144="","",IF(LEN(D144)&lt;4,"",IF(UPPER(MID(D144,4,1))="P","Individual",IF(UPPER(MID(D144,4,1))="H","HUF",IF(UPPER(MID(D144,4,1))="C","Company",IF(UPPER(MID(D144,4,1))="F","Firm",IF(UPPER(MID(D144,4,1))="L","LLP",IF(UPPER(MID(D144,4,1))="T","Trust",IF(UPPER(MID(D144,4,1))="A","AOP","")))))))))</f>
      </c>
      <c r="G144" s="8"/>
      <c r="H144" s="7">
        <f>IF($C144="","",IF(R144&lt;&gt;"",R144,IF(G144="","",IF(E144="Y",SUMPRODUCT(('Rate Lookup'!$A$1:$A$37=G144)*'Rate Lookup'!$D$1:$D$37),IF(OR(F144="Individual",F144="HUF"),SUMPRODUCT(('Rate Lookup'!$A$1:$A$37=G144)*'Rate Lookup'!$B$1:$B$37),SUMPRODUCT(('Rate Lookup'!$A$1:$A$37=G144)*'Rate Lookup'!$C$1:$C$37)))))))</f>
      </c>
      <c r="I144" s="8"/>
      <c r="J144" s="8"/>
      <c r="K144" s="7">
        <f>IF($C144="","",IF(OR(P144="B",P144="D",P144="E",P144="N",P144="O",P144="P",P144="Q",P144="S",P144="Y",P144="Z"),0,ROUND(J144*H144/100,0)))</f>
      </c>
      <c r="L144" s="7">
        <f>IF($C144="","",0)</f>
      </c>
      <c r="M144" s="7">
        <f>IF($C144="","",0)</f>
      </c>
      <c r="N144" s="7">
        <f>IF($C144="","",IF(OR(K144=0,I144="",IFERROR(INDEX('Challan Master'!$D$4:$D$207,MATCH($B144,'Challan Master'!$S$4:$S$207,0)),"")="",IFERROR(INDEX('Challan Master'!$D$4:$D$207,MATCH($B144,'Challan Master'!$S$4:$S$207,0)),"")&lt;=0),0,IF(IFERROR(INDEX('Challan Master'!$D$4:$D$207,MATCH($B144,'Challan Master'!$S$4:$S$207,0)),"")&lt;=DATE(YEAR(I144),MONTH(I144)+1,7),0,ROUND(K144*0.015*((YEAR(IFERROR(INDEX('Challan Master'!$D$4:$D$207,MATCH($B144,'Challan Master'!$S$4:$S$207,0)),""))-YEAR(I144))*12+(MONTH(IFERROR(INDEX('Challan Master'!$D$4:$D$207,MATCH($B144,'Challan Master'!$S$4:$S$207,0)),""))-MONTH(I144))+1),0))))</f>
      </c>
      <c r="O144" s="7">
        <f>IF($C144="","",0)</f>
      </c>
      <c r="P144" s="8"/>
      <c r="Q144" s="8"/>
      <c r="R144" s="8"/>
      <c r="S144" s="8"/>
      <c r="T144" s="8"/>
      <c r="U144" s="7">
        <f>IF($B144="","",IFERROR(INDEX('Challan Master'!$AA$4:$AA$207,MATCH($B144,'Challan Master'!$S$4:$S$207,0)),""))</f>
      </c>
    </row>
    <row r="145" spans="1:22" x14ac:dyDescent="0.25">
      <c r="A145" s="7">
        <f>IF($C145="","",COUNTIF($C$4:$C145,"&lt;&gt;"))</f>
      </c>
      <c r="B145" s="8"/>
      <c r="C145" s="8"/>
      <c r="D145" s="8"/>
      <c r="E145" s="7">
        <f>IF($C145="","",IF(AND(LEN(TRIM(UPPER(D145)))=10,CODE(MID(TRIM(UPPER(D145)),1,1))&gt;=65,CODE(MID(TRIM(UPPER(D145)),1,1))&lt;=90,CODE(MID(TRIM(UPPER(D145)),2,1))&gt;=65,CODE(MID(TRIM(UPPER(D145)),2,1))&lt;=90,CODE(MID(TRIM(UPPER(D145)),3,1))&gt;=65,CODE(MID(TRIM(UPPER(D145)),3,1))&lt;=90,CODE(MID(TRIM(UPPER(D145)),4,1))&gt;=65,CODE(MID(TRIM(UPPER(D145)),4,1))&lt;=90,CODE(MID(TRIM(UPPER(D145)),5,1))&gt;=65,CODE(MID(TRIM(UPPER(D145)),5,1))&lt;=90,CODE(MID(TRIM(UPPER(D145)),10,1))&gt;=65,CODE(MID(TRIM(UPPER(D145)),10,1))&lt;=90,CODE(MID(TRIM(UPPER(D145)),6,1))&gt;=48,CODE(MID(TRIM(UPPER(D145)),6,1))&lt;=57,CODE(MID(TRIM(UPPER(D145)),7,1))&gt;=48,CODE(MID(TRIM(UPPER(D145)),7,1))&lt;=57,CODE(MID(TRIM(UPPER(D145)),8,1))&gt;=48,CODE(MID(TRIM(UPPER(D145)),8,1))&lt;=57,CODE(MID(TRIM(UPPER(D145)),9,1))&gt;=48,CODE(MID(TRIM(UPPER(D145)),9,1))&lt;=57),"N","Y"))</f>
      </c>
      <c r="F145" s="7">
        <f>IF($C145="","",IF(LEN(D145)&lt;4,"",IF(UPPER(MID(D145,4,1))="P","Individual",IF(UPPER(MID(D145,4,1))="H","HUF",IF(UPPER(MID(D145,4,1))="C","Company",IF(UPPER(MID(D145,4,1))="F","Firm",IF(UPPER(MID(D145,4,1))="L","LLP",IF(UPPER(MID(D145,4,1))="T","Trust",IF(UPPER(MID(D145,4,1))="A","AOP","")))))))))</f>
      </c>
      <c r="G145" s="8"/>
      <c r="H145" s="7">
        <f>IF($C145="","",IF(R145&lt;&gt;"",R145,IF(G145="","",IF(E145="Y",SUMPRODUCT(('Rate Lookup'!$A$1:$A$37=G145)*'Rate Lookup'!$D$1:$D$37),IF(OR(F145="Individual",F145="HUF"),SUMPRODUCT(('Rate Lookup'!$A$1:$A$37=G145)*'Rate Lookup'!$B$1:$B$37),SUMPRODUCT(('Rate Lookup'!$A$1:$A$37=G145)*'Rate Lookup'!$C$1:$C$37)))))))</f>
      </c>
      <c r="I145" s="8"/>
      <c r="J145" s="8"/>
      <c r="K145" s="7">
        <f>IF($C145="","",IF(OR(P145="B",P145="D",P145="E",P145="N",P145="O",P145="P",P145="Q",P145="S",P145="Y",P145="Z"),0,ROUND(J145*H145/100,0)))</f>
      </c>
      <c r="L145" s="7">
        <f>IF($C145="","",0)</f>
      </c>
      <c r="M145" s="7">
        <f>IF($C145="","",0)</f>
      </c>
      <c r="N145" s="7">
        <f>IF($C145="","",IF(OR(K145=0,I145="",IFERROR(INDEX('Challan Master'!$D$4:$D$207,MATCH($B145,'Challan Master'!$S$4:$S$207,0)),"")="",IFERROR(INDEX('Challan Master'!$D$4:$D$207,MATCH($B145,'Challan Master'!$S$4:$S$207,0)),"")&lt;=0),0,IF(IFERROR(INDEX('Challan Master'!$D$4:$D$207,MATCH($B145,'Challan Master'!$S$4:$S$207,0)),"")&lt;=DATE(YEAR(I145),MONTH(I145)+1,7),0,ROUND(K145*0.015*((YEAR(IFERROR(INDEX('Challan Master'!$D$4:$D$207,MATCH($B145,'Challan Master'!$S$4:$S$207,0)),""))-YEAR(I145))*12+(MONTH(IFERROR(INDEX('Challan Master'!$D$4:$D$207,MATCH($B145,'Challan Master'!$S$4:$S$207,0)),""))-MONTH(I145))+1),0))))</f>
      </c>
      <c r="O145" s="7">
        <f>IF($C145="","",0)</f>
      </c>
      <c r="P145" s="8"/>
      <c r="Q145" s="8"/>
      <c r="R145" s="8"/>
      <c r="S145" s="8"/>
      <c r="T145" s="8"/>
      <c r="U145" s="7">
        <f>IF($B145="","",IFERROR(INDEX('Challan Master'!$AA$4:$AA$207,MATCH($B145,'Challan Master'!$S$4:$S$207,0)),""))</f>
      </c>
    </row>
    <row r="146" spans="1:22" x14ac:dyDescent="0.25">
      <c r="A146" s="7">
        <f>IF($C146="","",COUNTIF($C$4:$C146,"&lt;&gt;"))</f>
      </c>
      <c r="B146" s="8"/>
      <c r="C146" s="8"/>
      <c r="D146" s="8"/>
      <c r="E146" s="7">
        <f>IF($C146="","",IF(AND(LEN(TRIM(UPPER(D146)))=10,CODE(MID(TRIM(UPPER(D146)),1,1))&gt;=65,CODE(MID(TRIM(UPPER(D146)),1,1))&lt;=90,CODE(MID(TRIM(UPPER(D146)),2,1))&gt;=65,CODE(MID(TRIM(UPPER(D146)),2,1))&lt;=90,CODE(MID(TRIM(UPPER(D146)),3,1))&gt;=65,CODE(MID(TRIM(UPPER(D146)),3,1))&lt;=90,CODE(MID(TRIM(UPPER(D146)),4,1))&gt;=65,CODE(MID(TRIM(UPPER(D146)),4,1))&lt;=90,CODE(MID(TRIM(UPPER(D146)),5,1))&gt;=65,CODE(MID(TRIM(UPPER(D146)),5,1))&lt;=90,CODE(MID(TRIM(UPPER(D146)),10,1))&gt;=65,CODE(MID(TRIM(UPPER(D146)),10,1))&lt;=90,CODE(MID(TRIM(UPPER(D146)),6,1))&gt;=48,CODE(MID(TRIM(UPPER(D146)),6,1))&lt;=57,CODE(MID(TRIM(UPPER(D146)),7,1))&gt;=48,CODE(MID(TRIM(UPPER(D146)),7,1))&lt;=57,CODE(MID(TRIM(UPPER(D146)),8,1))&gt;=48,CODE(MID(TRIM(UPPER(D146)),8,1))&lt;=57,CODE(MID(TRIM(UPPER(D146)),9,1))&gt;=48,CODE(MID(TRIM(UPPER(D146)),9,1))&lt;=57),"N","Y"))</f>
      </c>
      <c r="F146" s="7">
        <f>IF($C146="","",IF(LEN(D146)&lt;4,"",IF(UPPER(MID(D146,4,1))="P","Individual",IF(UPPER(MID(D146,4,1))="H","HUF",IF(UPPER(MID(D146,4,1))="C","Company",IF(UPPER(MID(D146,4,1))="F","Firm",IF(UPPER(MID(D146,4,1))="L","LLP",IF(UPPER(MID(D146,4,1))="T","Trust",IF(UPPER(MID(D146,4,1))="A","AOP","")))))))))</f>
      </c>
      <c r="G146" s="8"/>
      <c r="H146" s="7">
        <f>IF($C146="","",IF(R146&lt;&gt;"",R146,IF(G146="","",IF(E146="Y",SUMPRODUCT(('Rate Lookup'!$A$1:$A$37=G146)*'Rate Lookup'!$D$1:$D$37),IF(OR(F146="Individual",F146="HUF"),SUMPRODUCT(('Rate Lookup'!$A$1:$A$37=G146)*'Rate Lookup'!$B$1:$B$37),SUMPRODUCT(('Rate Lookup'!$A$1:$A$37=G146)*'Rate Lookup'!$C$1:$C$37)))))))</f>
      </c>
      <c r="I146" s="8"/>
      <c r="J146" s="8"/>
      <c r="K146" s="7">
        <f>IF($C146="","",IF(OR(P146="B",P146="D",P146="E",P146="N",P146="O",P146="P",P146="Q",P146="S",P146="Y",P146="Z"),0,ROUND(J146*H146/100,0)))</f>
      </c>
      <c r="L146" s="7">
        <f>IF($C146="","",0)</f>
      </c>
      <c r="M146" s="7">
        <f>IF($C146="","",0)</f>
      </c>
      <c r="N146" s="7">
        <f>IF($C146="","",IF(OR(K146=0,I146="",IFERROR(INDEX('Challan Master'!$D$4:$D$207,MATCH($B146,'Challan Master'!$S$4:$S$207,0)),"")="",IFERROR(INDEX('Challan Master'!$D$4:$D$207,MATCH($B146,'Challan Master'!$S$4:$S$207,0)),"")&lt;=0),0,IF(IFERROR(INDEX('Challan Master'!$D$4:$D$207,MATCH($B146,'Challan Master'!$S$4:$S$207,0)),"")&lt;=DATE(YEAR(I146),MONTH(I146)+1,7),0,ROUND(K146*0.015*((YEAR(IFERROR(INDEX('Challan Master'!$D$4:$D$207,MATCH($B146,'Challan Master'!$S$4:$S$207,0)),""))-YEAR(I146))*12+(MONTH(IFERROR(INDEX('Challan Master'!$D$4:$D$207,MATCH($B146,'Challan Master'!$S$4:$S$207,0)),""))-MONTH(I146))+1),0))))</f>
      </c>
      <c r="O146" s="7">
        <f>IF($C146="","",0)</f>
      </c>
      <c r="P146" s="8"/>
      <c r="Q146" s="8"/>
      <c r="R146" s="8"/>
      <c r="S146" s="8"/>
      <c r="T146" s="8"/>
      <c r="U146" s="7">
        <f>IF($B146="","",IFERROR(INDEX('Challan Master'!$AA$4:$AA$207,MATCH($B146,'Challan Master'!$S$4:$S$207,0)),""))</f>
      </c>
    </row>
    <row r="147" spans="1:22" x14ac:dyDescent="0.25">
      <c r="A147" s="7">
        <f>IF($C147="","",COUNTIF($C$4:$C147,"&lt;&gt;"))</f>
      </c>
      <c r="B147" s="8"/>
      <c r="C147" s="8"/>
      <c r="D147" s="8"/>
      <c r="E147" s="7">
        <f>IF($C147="","",IF(AND(LEN(TRIM(UPPER(D147)))=10,CODE(MID(TRIM(UPPER(D147)),1,1))&gt;=65,CODE(MID(TRIM(UPPER(D147)),1,1))&lt;=90,CODE(MID(TRIM(UPPER(D147)),2,1))&gt;=65,CODE(MID(TRIM(UPPER(D147)),2,1))&lt;=90,CODE(MID(TRIM(UPPER(D147)),3,1))&gt;=65,CODE(MID(TRIM(UPPER(D147)),3,1))&lt;=90,CODE(MID(TRIM(UPPER(D147)),4,1))&gt;=65,CODE(MID(TRIM(UPPER(D147)),4,1))&lt;=90,CODE(MID(TRIM(UPPER(D147)),5,1))&gt;=65,CODE(MID(TRIM(UPPER(D147)),5,1))&lt;=90,CODE(MID(TRIM(UPPER(D147)),10,1))&gt;=65,CODE(MID(TRIM(UPPER(D147)),10,1))&lt;=90,CODE(MID(TRIM(UPPER(D147)),6,1))&gt;=48,CODE(MID(TRIM(UPPER(D147)),6,1))&lt;=57,CODE(MID(TRIM(UPPER(D147)),7,1))&gt;=48,CODE(MID(TRIM(UPPER(D147)),7,1))&lt;=57,CODE(MID(TRIM(UPPER(D147)),8,1))&gt;=48,CODE(MID(TRIM(UPPER(D147)),8,1))&lt;=57,CODE(MID(TRIM(UPPER(D147)),9,1))&gt;=48,CODE(MID(TRIM(UPPER(D147)),9,1))&lt;=57),"N","Y"))</f>
      </c>
      <c r="F147" s="7">
        <f>IF($C147="","",IF(LEN(D147)&lt;4,"",IF(UPPER(MID(D147,4,1))="P","Individual",IF(UPPER(MID(D147,4,1))="H","HUF",IF(UPPER(MID(D147,4,1))="C","Company",IF(UPPER(MID(D147,4,1))="F","Firm",IF(UPPER(MID(D147,4,1))="L","LLP",IF(UPPER(MID(D147,4,1))="T","Trust",IF(UPPER(MID(D147,4,1))="A","AOP","")))))))))</f>
      </c>
      <c r="G147" s="8"/>
      <c r="H147" s="7">
        <f>IF($C147="","",IF(R147&lt;&gt;"",R147,IF(G147="","",IF(E147="Y",SUMPRODUCT(('Rate Lookup'!$A$1:$A$37=G147)*'Rate Lookup'!$D$1:$D$37),IF(OR(F147="Individual",F147="HUF"),SUMPRODUCT(('Rate Lookup'!$A$1:$A$37=G147)*'Rate Lookup'!$B$1:$B$37),SUMPRODUCT(('Rate Lookup'!$A$1:$A$37=G147)*'Rate Lookup'!$C$1:$C$37)))))))</f>
      </c>
      <c r="I147" s="8"/>
      <c r="J147" s="8"/>
      <c r="K147" s="7">
        <f>IF($C147="","",IF(OR(P147="B",P147="D",P147="E",P147="N",P147="O",P147="P",P147="Q",P147="S",P147="Y",P147="Z"),0,ROUND(J147*H147/100,0)))</f>
      </c>
      <c r="L147" s="7">
        <f>IF($C147="","",0)</f>
      </c>
      <c r="M147" s="7">
        <f>IF($C147="","",0)</f>
      </c>
      <c r="N147" s="7">
        <f>IF($C147="","",IF(OR(K147=0,I147="",IFERROR(INDEX('Challan Master'!$D$4:$D$207,MATCH($B147,'Challan Master'!$S$4:$S$207,0)),"")="",IFERROR(INDEX('Challan Master'!$D$4:$D$207,MATCH($B147,'Challan Master'!$S$4:$S$207,0)),"")&lt;=0),0,IF(IFERROR(INDEX('Challan Master'!$D$4:$D$207,MATCH($B147,'Challan Master'!$S$4:$S$207,0)),"")&lt;=DATE(YEAR(I147),MONTH(I147)+1,7),0,ROUND(K147*0.015*((YEAR(IFERROR(INDEX('Challan Master'!$D$4:$D$207,MATCH($B147,'Challan Master'!$S$4:$S$207,0)),""))-YEAR(I147))*12+(MONTH(IFERROR(INDEX('Challan Master'!$D$4:$D$207,MATCH($B147,'Challan Master'!$S$4:$S$207,0)),""))-MONTH(I147))+1),0))))</f>
      </c>
      <c r="O147" s="7">
        <f>IF($C147="","",0)</f>
      </c>
      <c r="P147" s="8"/>
      <c r="Q147" s="8"/>
      <c r="R147" s="8"/>
      <c r="S147" s="8"/>
      <c r="T147" s="8"/>
      <c r="U147" s="7">
        <f>IF($B147="","",IFERROR(INDEX('Challan Master'!$AA$4:$AA$207,MATCH($B147,'Challan Master'!$S$4:$S$207,0)),""))</f>
      </c>
    </row>
    <row r="148" spans="1:22" x14ac:dyDescent="0.25">
      <c r="A148" s="7">
        <f>IF($C148="","",COUNTIF($C$4:$C148,"&lt;&gt;"))</f>
      </c>
      <c r="B148" s="8"/>
      <c r="C148" s="8"/>
      <c r="D148" s="8"/>
      <c r="E148" s="7">
        <f>IF($C148="","",IF(AND(LEN(TRIM(UPPER(D148)))=10,CODE(MID(TRIM(UPPER(D148)),1,1))&gt;=65,CODE(MID(TRIM(UPPER(D148)),1,1))&lt;=90,CODE(MID(TRIM(UPPER(D148)),2,1))&gt;=65,CODE(MID(TRIM(UPPER(D148)),2,1))&lt;=90,CODE(MID(TRIM(UPPER(D148)),3,1))&gt;=65,CODE(MID(TRIM(UPPER(D148)),3,1))&lt;=90,CODE(MID(TRIM(UPPER(D148)),4,1))&gt;=65,CODE(MID(TRIM(UPPER(D148)),4,1))&lt;=90,CODE(MID(TRIM(UPPER(D148)),5,1))&gt;=65,CODE(MID(TRIM(UPPER(D148)),5,1))&lt;=90,CODE(MID(TRIM(UPPER(D148)),10,1))&gt;=65,CODE(MID(TRIM(UPPER(D148)),10,1))&lt;=90,CODE(MID(TRIM(UPPER(D148)),6,1))&gt;=48,CODE(MID(TRIM(UPPER(D148)),6,1))&lt;=57,CODE(MID(TRIM(UPPER(D148)),7,1))&gt;=48,CODE(MID(TRIM(UPPER(D148)),7,1))&lt;=57,CODE(MID(TRIM(UPPER(D148)),8,1))&gt;=48,CODE(MID(TRIM(UPPER(D148)),8,1))&lt;=57,CODE(MID(TRIM(UPPER(D148)),9,1))&gt;=48,CODE(MID(TRIM(UPPER(D148)),9,1))&lt;=57),"N","Y"))</f>
      </c>
      <c r="F148" s="7">
        <f>IF($C148="","",IF(LEN(D148)&lt;4,"",IF(UPPER(MID(D148,4,1))="P","Individual",IF(UPPER(MID(D148,4,1))="H","HUF",IF(UPPER(MID(D148,4,1))="C","Company",IF(UPPER(MID(D148,4,1))="F","Firm",IF(UPPER(MID(D148,4,1))="L","LLP",IF(UPPER(MID(D148,4,1))="T","Trust",IF(UPPER(MID(D148,4,1))="A","AOP","")))))))))</f>
      </c>
      <c r="G148" s="8"/>
      <c r="H148" s="7">
        <f>IF($C148="","",IF(R148&lt;&gt;"",R148,IF(G148="","",IF(E148="Y",SUMPRODUCT(('Rate Lookup'!$A$1:$A$37=G148)*'Rate Lookup'!$D$1:$D$37),IF(OR(F148="Individual",F148="HUF"),SUMPRODUCT(('Rate Lookup'!$A$1:$A$37=G148)*'Rate Lookup'!$B$1:$B$37),SUMPRODUCT(('Rate Lookup'!$A$1:$A$37=G148)*'Rate Lookup'!$C$1:$C$37)))))))</f>
      </c>
      <c r="I148" s="8"/>
      <c r="J148" s="8"/>
      <c r="K148" s="7">
        <f>IF($C148="","",IF(OR(P148="B",P148="D",P148="E",P148="N",P148="O",P148="P",P148="Q",P148="S",P148="Y",P148="Z"),0,ROUND(J148*H148/100,0)))</f>
      </c>
      <c r="L148" s="7">
        <f>IF($C148="","",0)</f>
      </c>
      <c r="M148" s="7">
        <f>IF($C148="","",0)</f>
      </c>
      <c r="N148" s="7">
        <f>IF($C148="","",IF(OR(K148=0,I148="",IFERROR(INDEX('Challan Master'!$D$4:$D$207,MATCH($B148,'Challan Master'!$S$4:$S$207,0)),"")="",IFERROR(INDEX('Challan Master'!$D$4:$D$207,MATCH($B148,'Challan Master'!$S$4:$S$207,0)),"")&lt;=0),0,IF(IFERROR(INDEX('Challan Master'!$D$4:$D$207,MATCH($B148,'Challan Master'!$S$4:$S$207,0)),"")&lt;=DATE(YEAR(I148),MONTH(I148)+1,7),0,ROUND(K148*0.015*((YEAR(IFERROR(INDEX('Challan Master'!$D$4:$D$207,MATCH($B148,'Challan Master'!$S$4:$S$207,0)),""))-YEAR(I148))*12+(MONTH(IFERROR(INDEX('Challan Master'!$D$4:$D$207,MATCH($B148,'Challan Master'!$S$4:$S$207,0)),""))-MONTH(I148))+1),0))))</f>
      </c>
      <c r="O148" s="7">
        <f>IF($C148="","",0)</f>
      </c>
      <c r="P148" s="8"/>
      <c r="Q148" s="8"/>
      <c r="R148" s="8"/>
      <c r="S148" s="8"/>
      <c r="T148" s="8"/>
      <c r="U148" s="7">
        <f>IF($B148="","",IFERROR(INDEX('Challan Master'!$AA$4:$AA$207,MATCH($B148,'Challan Master'!$S$4:$S$207,0)),""))</f>
      </c>
    </row>
    <row r="149" spans="1:22" x14ac:dyDescent="0.25">
      <c r="A149" s="7">
        <f>IF($C149="","",COUNTIF($C$4:$C149,"&lt;&gt;"))</f>
      </c>
      <c r="B149" s="8"/>
      <c r="C149" s="8"/>
      <c r="D149" s="8"/>
      <c r="E149" s="7">
        <f>IF($C149="","",IF(AND(LEN(TRIM(UPPER(D149)))=10,CODE(MID(TRIM(UPPER(D149)),1,1))&gt;=65,CODE(MID(TRIM(UPPER(D149)),1,1))&lt;=90,CODE(MID(TRIM(UPPER(D149)),2,1))&gt;=65,CODE(MID(TRIM(UPPER(D149)),2,1))&lt;=90,CODE(MID(TRIM(UPPER(D149)),3,1))&gt;=65,CODE(MID(TRIM(UPPER(D149)),3,1))&lt;=90,CODE(MID(TRIM(UPPER(D149)),4,1))&gt;=65,CODE(MID(TRIM(UPPER(D149)),4,1))&lt;=90,CODE(MID(TRIM(UPPER(D149)),5,1))&gt;=65,CODE(MID(TRIM(UPPER(D149)),5,1))&lt;=90,CODE(MID(TRIM(UPPER(D149)),10,1))&gt;=65,CODE(MID(TRIM(UPPER(D149)),10,1))&lt;=90,CODE(MID(TRIM(UPPER(D149)),6,1))&gt;=48,CODE(MID(TRIM(UPPER(D149)),6,1))&lt;=57,CODE(MID(TRIM(UPPER(D149)),7,1))&gt;=48,CODE(MID(TRIM(UPPER(D149)),7,1))&lt;=57,CODE(MID(TRIM(UPPER(D149)),8,1))&gt;=48,CODE(MID(TRIM(UPPER(D149)),8,1))&lt;=57,CODE(MID(TRIM(UPPER(D149)),9,1))&gt;=48,CODE(MID(TRIM(UPPER(D149)),9,1))&lt;=57),"N","Y"))</f>
      </c>
      <c r="F149" s="7">
        <f>IF($C149="","",IF(LEN(D149)&lt;4,"",IF(UPPER(MID(D149,4,1))="P","Individual",IF(UPPER(MID(D149,4,1))="H","HUF",IF(UPPER(MID(D149,4,1))="C","Company",IF(UPPER(MID(D149,4,1))="F","Firm",IF(UPPER(MID(D149,4,1))="L","LLP",IF(UPPER(MID(D149,4,1))="T","Trust",IF(UPPER(MID(D149,4,1))="A","AOP","")))))))))</f>
      </c>
      <c r="G149" s="8"/>
      <c r="H149" s="7">
        <f>IF($C149="","",IF(R149&lt;&gt;"",R149,IF(G149="","",IF(E149="Y",SUMPRODUCT(('Rate Lookup'!$A$1:$A$37=G149)*'Rate Lookup'!$D$1:$D$37),IF(OR(F149="Individual",F149="HUF"),SUMPRODUCT(('Rate Lookup'!$A$1:$A$37=G149)*'Rate Lookup'!$B$1:$B$37),SUMPRODUCT(('Rate Lookup'!$A$1:$A$37=G149)*'Rate Lookup'!$C$1:$C$37)))))))</f>
      </c>
      <c r="I149" s="8"/>
      <c r="J149" s="8"/>
      <c r="K149" s="7">
        <f>IF($C149="","",IF(OR(P149="B",P149="D",P149="E",P149="N",P149="O",P149="P",P149="Q",P149="S",P149="Y",P149="Z"),0,ROUND(J149*H149/100,0)))</f>
      </c>
      <c r="L149" s="7">
        <f>IF($C149="","",0)</f>
      </c>
      <c r="M149" s="7">
        <f>IF($C149="","",0)</f>
      </c>
      <c r="N149" s="7">
        <f>IF($C149="","",IF(OR(K149=0,I149="",IFERROR(INDEX('Challan Master'!$D$4:$D$207,MATCH($B149,'Challan Master'!$S$4:$S$207,0)),"")="",IFERROR(INDEX('Challan Master'!$D$4:$D$207,MATCH($B149,'Challan Master'!$S$4:$S$207,0)),"")&lt;=0),0,IF(IFERROR(INDEX('Challan Master'!$D$4:$D$207,MATCH($B149,'Challan Master'!$S$4:$S$207,0)),"")&lt;=DATE(YEAR(I149),MONTH(I149)+1,7),0,ROUND(K149*0.015*((YEAR(IFERROR(INDEX('Challan Master'!$D$4:$D$207,MATCH($B149,'Challan Master'!$S$4:$S$207,0)),""))-YEAR(I149))*12+(MONTH(IFERROR(INDEX('Challan Master'!$D$4:$D$207,MATCH($B149,'Challan Master'!$S$4:$S$207,0)),""))-MONTH(I149))+1),0))))</f>
      </c>
      <c r="O149" s="7">
        <f>IF($C149="","",0)</f>
      </c>
      <c r="P149" s="8"/>
      <c r="Q149" s="8"/>
      <c r="R149" s="8"/>
      <c r="S149" s="8"/>
      <c r="T149" s="8"/>
      <c r="U149" s="7">
        <f>IF($B149="","",IFERROR(INDEX('Challan Master'!$AA$4:$AA$207,MATCH($B149,'Challan Master'!$S$4:$S$207,0)),""))</f>
      </c>
    </row>
    <row r="150" spans="1:22" x14ac:dyDescent="0.25">
      <c r="A150" s="7">
        <f>IF($C150="","",COUNTIF($C$4:$C150,"&lt;&gt;"))</f>
      </c>
      <c r="B150" s="8"/>
      <c r="C150" s="8"/>
      <c r="D150" s="8"/>
      <c r="E150" s="7">
        <f>IF($C150="","",IF(AND(LEN(TRIM(UPPER(D150)))=10,CODE(MID(TRIM(UPPER(D150)),1,1))&gt;=65,CODE(MID(TRIM(UPPER(D150)),1,1))&lt;=90,CODE(MID(TRIM(UPPER(D150)),2,1))&gt;=65,CODE(MID(TRIM(UPPER(D150)),2,1))&lt;=90,CODE(MID(TRIM(UPPER(D150)),3,1))&gt;=65,CODE(MID(TRIM(UPPER(D150)),3,1))&lt;=90,CODE(MID(TRIM(UPPER(D150)),4,1))&gt;=65,CODE(MID(TRIM(UPPER(D150)),4,1))&lt;=90,CODE(MID(TRIM(UPPER(D150)),5,1))&gt;=65,CODE(MID(TRIM(UPPER(D150)),5,1))&lt;=90,CODE(MID(TRIM(UPPER(D150)),10,1))&gt;=65,CODE(MID(TRIM(UPPER(D150)),10,1))&lt;=90,CODE(MID(TRIM(UPPER(D150)),6,1))&gt;=48,CODE(MID(TRIM(UPPER(D150)),6,1))&lt;=57,CODE(MID(TRIM(UPPER(D150)),7,1))&gt;=48,CODE(MID(TRIM(UPPER(D150)),7,1))&lt;=57,CODE(MID(TRIM(UPPER(D150)),8,1))&gt;=48,CODE(MID(TRIM(UPPER(D150)),8,1))&lt;=57,CODE(MID(TRIM(UPPER(D150)),9,1))&gt;=48,CODE(MID(TRIM(UPPER(D150)),9,1))&lt;=57),"N","Y"))</f>
      </c>
      <c r="F150" s="7">
        <f>IF($C150="","",IF(LEN(D150)&lt;4,"",IF(UPPER(MID(D150,4,1))="P","Individual",IF(UPPER(MID(D150,4,1))="H","HUF",IF(UPPER(MID(D150,4,1))="C","Company",IF(UPPER(MID(D150,4,1))="F","Firm",IF(UPPER(MID(D150,4,1))="L","LLP",IF(UPPER(MID(D150,4,1))="T","Trust",IF(UPPER(MID(D150,4,1))="A","AOP","")))))))))</f>
      </c>
      <c r="G150" s="8"/>
      <c r="H150" s="7">
        <f>IF($C150="","",IF(R150&lt;&gt;"",R150,IF(G150="","",IF(E150="Y",SUMPRODUCT(('Rate Lookup'!$A$1:$A$37=G150)*'Rate Lookup'!$D$1:$D$37),IF(OR(F150="Individual",F150="HUF"),SUMPRODUCT(('Rate Lookup'!$A$1:$A$37=G150)*'Rate Lookup'!$B$1:$B$37),SUMPRODUCT(('Rate Lookup'!$A$1:$A$37=G150)*'Rate Lookup'!$C$1:$C$37)))))))</f>
      </c>
      <c r="I150" s="8"/>
      <c r="J150" s="8"/>
      <c r="K150" s="7">
        <f>IF($C150="","",IF(OR(P150="B",P150="D",P150="E",P150="N",P150="O",P150="P",P150="Q",P150="S",P150="Y",P150="Z"),0,ROUND(J150*H150/100,0)))</f>
      </c>
      <c r="L150" s="7">
        <f>IF($C150="","",0)</f>
      </c>
      <c r="M150" s="7">
        <f>IF($C150="","",0)</f>
      </c>
      <c r="N150" s="7">
        <f>IF($C150="","",IF(OR(K150=0,I150="",IFERROR(INDEX('Challan Master'!$D$4:$D$207,MATCH($B150,'Challan Master'!$S$4:$S$207,0)),"")="",IFERROR(INDEX('Challan Master'!$D$4:$D$207,MATCH($B150,'Challan Master'!$S$4:$S$207,0)),"")&lt;=0),0,IF(IFERROR(INDEX('Challan Master'!$D$4:$D$207,MATCH($B150,'Challan Master'!$S$4:$S$207,0)),"")&lt;=DATE(YEAR(I150),MONTH(I150)+1,7),0,ROUND(K150*0.015*((YEAR(IFERROR(INDEX('Challan Master'!$D$4:$D$207,MATCH($B150,'Challan Master'!$S$4:$S$207,0)),""))-YEAR(I150))*12+(MONTH(IFERROR(INDEX('Challan Master'!$D$4:$D$207,MATCH($B150,'Challan Master'!$S$4:$S$207,0)),""))-MONTH(I150))+1),0))))</f>
      </c>
      <c r="O150" s="7">
        <f>IF($C150="","",0)</f>
      </c>
      <c r="P150" s="8"/>
      <c r="Q150" s="8"/>
      <c r="R150" s="8"/>
      <c r="S150" s="8"/>
      <c r="T150" s="8"/>
      <c r="U150" s="7">
        <f>IF($B150="","",IFERROR(INDEX('Challan Master'!$AA$4:$AA$207,MATCH($B150,'Challan Master'!$S$4:$S$207,0)),""))</f>
      </c>
    </row>
    <row r="151" spans="1:22" x14ac:dyDescent="0.25">
      <c r="A151" s="7">
        <f>IF($C151="","",COUNTIF($C$4:$C151,"&lt;&gt;"))</f>
      </c>
      <c r="B151" s="8"/>
      <c r="C151" s="8"/>
      <c r="D151" s="8"/>
      <c r="E151" s="7">
        <f>IF($C151="","",IF(AND(LEN(TRIM(UPPER(D151)))=10,CODE(MID(TRIM(UPPER(D151)),1,1))&gt;=65,CODE(MID(TRIM(UPPER(D151)),1,1))&lt;=90,CODE(MID(TRIM(UPPER(D151)),2,1))&gt;=65,CODE(MID(TRIM(UPPER(D151)),2,1))&lt;=90,CODE(MID(TRIM(UPPER(D151)),3,1))&gt;=65,CODE(MID(TRIM(UPPER(D151)),3,1))&lt;=90,CODE(MID(TRIM(UPPER(D151)),4,1))&gt;=65,CODE(MID(TRIM(UPPER(D151)),4,1))&lt;=90,CODE(MID(TRIM(UPPER(D151)),5,1))&gt;=65,CODE(MID(TRIM(UPPER(D151)),5,1))&lt;=90,CODE(MID(TRIM(UPPER(D151)),10,1))&gt;=65,CODE(MID(TRIM(UPPER(D151)),10,1))&lt;=90,CODE(MID(TRIM(UPPER(D151)),6,1))&gt;=48,CODE(MID(TRIM(UPPER(D151)),6,1))&lt;=57,CODE(MID(TRIM(UPPER(D151)),7,1))&gt;=48,CODE(MID(TRIM(UPPER(D151)),7,1))&lt;=57,CODE(MID(TRIM(UPPER(D151)),8,1))&gt;=48,CODE(MID(TRIM(UPPER(D151)),8,1))&lt;=57,CODE(MID(TRIM(UPPER(D151)),9,1))&gt;=48,CODE(MID(TRIM(UPPER(D151)),9,1))&lt;=57),"N","Y"))</f>
      </c>
      <c r="F151" s="7">
        <f>IF($C151="","",IF(LEN(D151)&lt;4,"",IF(UPPER(MID(D151,4,1))="P","Individual",IF(UPPER(MID(D151,4,1))="H","HUF",IF(UPPER(MID(D151,4,1))="C","Company",IF(UPPER(MID(D151,4,1))="F","Firm",IF(UPPER(MID(D151,4,1))="L","LLP",IF(UPPER(MID(D151,4,1))="T","Trust",IF(UPPER(MID(D151,4,1))="A","AOP","")))))))))</f>
      </c>
      <c r="G151" s="8"/>
      <c r="H151" s="7">
        <f>IF($C151="","",IF(R151&lt;&gt;"",R151,IF(G151="","",IF(E151="Y",SUMPRODUCT(('Rate Lookup'!$A$1:$A$37=G151)*'Rate Lookup'!$D$1:$D$37),IF(OR(F151="Individual",F151="HUF"),SUMPRODUCT(('Rate Lookup'!$A$1:$A$37=G151)*'Rate Lookup'!$B$1:$B$37),SUMPRODUCT(('Rate Lookup'!$A$1:$A$37=G151)*'Rate Lookup'!$C$1:$C$37)))))))</f>
      </c>
      <c r="I151" s="8"/>
      <c r="J151" s="8"/>
      <c r="K151" s="7">
        <f>IF($C151="","",IF(OR(P151="B",P151="D",P151="E",P151="N",P151="O",P151="P",P151="Q",P151="S",P151="Y",P151="Z"),0,ROUND(J151*H151/100,0)))</f>
      </c>
      <c r="L151" s="7">
        <f>IF($C151="","",0)</f>
      </c>
      <c r="M151" s="7">
        <f>IF($C151="","",0)</f>
      </c>
      <c r="N151" s="7">
        <f>IF($C151="","",IF(OR(K151=0,I151="",IFERROR(INDEX('Challan Master'!$D$4:$D$207,MATCH($B151,'Challan Master'!$S$4:$S$207,0)),"")="",IFERROR(INDEX('Challan Master'!$D$4:$D$207,MATCH($B151,'Challan Master'!$S$4:$S$207,0)),"")&lt;=0),0,IF(IFERROR(INDEX('Challan Master'!$D$4:$D$207,MATCH($B151,'Challan Master'!$S$4:$S$207,0)),"")&lt;=DATE(YEAR(I151),MONTH(I151)+1,7),0,ROUND(K151*0.015*((YEAR(IFERROR(INDEX('Challan Master'!$D$4:$D$207,MATCH($B151,'Challan Master'!$S$4:$S$207,0)),""))-YEAR(I151))*12+(MONTH(IFERROR(INDEX('Challan Master'!$D$4:$D$207,MATCH($B151,'Challan Master'!$S$4:$S$207,0)),""))-MONTH(I151))+1),0))))</f>
      </c>
      <c r="O151" s="7">
        <f>IF($C151="","",0)</f>
      </c>
      <c r="P151" s="8"/>
      <c r="Q151" s="8"/>
      <c r="R151" s="8"/>
      <c r="S151" s="8"/>
      <c r="T151" s="8"/>
      <c r="U151" s="7">
        <f>IF($B151="","",IFERROR(INDEX('Challan Master'!$AA$4:$AA$207,MATCH($B151,'Challan Master'!$S$4:$S$207,0)),""))</f>
      </c>
    </row>
    <row r="152" spans="1:22" x14ac:dyDescent="0.25">
      <c r="A152" s="7">
        <f>IF($C152="","",COUNTIF($C$4:$C152,"&lt;&gt;"))</f>
      </c>
      <c r="B152" s="8"/>
      <c r="C152" s="8"/>
      <c r="D152" s="8"/>
      <c r="E152" s="7">
        <f>IF($C152="","",IF(AND(LEN(TRIM(UPPER(D152)))=10,CODE(MID(TRIM(UPPER(D152)),1,1))&gt;=65,CODE(MID(TRIM(UPPER(D152)),1,1))&lt;=90,CODE(MID(TRIM(UPPER(D152)),2,1))&gt;=65,CODE(MID(TRIM(UPPER(D152)),2,1))&lt;=90,CODE(MID(TRIM(UPPER(D152)),3,1))&gt;=65,CODE(MID(TRIM(UPPER(D152)),3,1))&lt;=90,CODE(MID(TRIM(UPPER(D152)),4,1))&gt;=65,CODE(MID(TRIM(UPPER(D152)),4,1))&lt;=90,CODE(MID(TRIM(UPPER(D152)),5,1))&gt;=65,CODE(MID(TRIM(UPPER(D152)),5,1))&lt;=90,CODE(MID(TRIM(UPPER(D152)),10,1))&gt;=65,CODE(MID(TRIM(UPPER(D152)),10,1))&lt;=90,CODE(MID(TRIM(UPPER(D152)),6,1))&gt;=48,CODE(MID(TRIM(UPPER(D152)),6,1))&lt;=57,CODE(MID(TRIM(UPPER(D152)),7,1))&gt;=48,CODE(MID(TRIM(UPPER(D152)),7,1))&lt;=57,CODE(MID(TRIM(UPPER(D152)),8,1))&gt;=48,CODE(MID(TRIM(UPPER(D152)),8,1))&lt;=57,CODE(MID(TRIM(UPPER(D152)),9,1))&gt;=48,CODE(MID(TRIM(UPPER(D152)),9,1))&lt;=57),"N","Y"))</f>
      </c>
      <c r="F152" s="7">
        <f>IF($C152="","",IF(LEN(D152)&lt;4,"",IF(UPPER(MID(D152,4,1))="P","Individual",IF(UPPER(MID(D152,4,1))="H","HUF",IF(UPPER(MID(D152,4,1))="C","Company",IF(UPPER(MID(D152,4,1))="F","Firm",IF(UPPER(MID(D152,4,1))="L","LLP",IF(UPPER(MID(D152,4,1))="T","Trust",IF(UPPER(MID(D152,4,1))="A","AOP","")))))))))</f>
      </c>
      <c r="G152" s="8"/>
      <c r="H152" s="7">
        <f>IF($C152="","",IF(R152&lt;&gt;"",R152,IF(G152="","",IF(E152="Y",SUMPRODUCT(('Rate Lookup'!$A$1:$A$37=G152)*'Rate Lookup'!$D$1:$D$37),IF(OR(F152="Individual",F152="HUF"),SUMPRODUCT(('Rate Lookup'!$A$1:$A$37=G152)*'Rate Lookup'!$B$1:$B$37),SUMPRODUCT(('Rate Lookup'!$A$1:$A$37=G152)*'Rate Lookup'!$C$1:$C$37)))))))</f>
      </c>
      <c r="I152" s="8"/>
      <c r="J152" s="8"/>
      <c r="K152" s="7">
        <f>IF($C152="","",IF(OR(P152="B",P152="D",P152="E",P152="N",P152="O",P152="P",P152="Q",P152="S",P152="Y",P152="Z"),0,ROUND(J152*H152/100,0)))</f>
      </c>
      <c r="L152" s="7">
        <f>IF($C152="","",0)</f>
      </c>
      <c r="M152" s="7">
        <f>IF($C152="","",0)</f>
      </c>
      <c r="N152" s="7">
        <f>IF($C152="","",IF(OR(K152=0,I152="",IFERROR(INDEX('Challan Master'!$D$4:$D$207,MATCH($B152,'Challan Master'!$S$4:$S$207,0)),"")="",IFERROR(INDEX('Challan Master'!$D$4:$D$207,MATCH($B152,'Challan Master'!$S$4:$S$207,0)),"")&lt;=0),0,IF(IFERROR(INDEX('Challan Master'!$D$4:$D$207,MATCH($B152,'Challan Master'!$S$4:$S$207,0)),"")&lt;=DATE(YEAR(I152),MONTH(I152)+1,7),0,ROUND(K152*0.015*((YEAR(IFERROR(INDEX('Challan Master'!$D$4:$D$207,MATCH($B152,'Challan Master'!$S$4:$S$207,0)),""))-YEAR(I152))*12+(MONTH(IFERROR(INDEX('Challan Master'!$D$4:$D$207,MATCH($B152,'Challan Master'!$S$4:$S$207,0)),""))-MONTH(I152))+1),0))))</f>
      </c>
      <c r="O152" s="7">
        <f>IF($C152="","",0)</f>
      </c>
      <c r="P152" s="8"/>
      <c r="Q152" s="8"/>
      <c r="R152" s="8"/>
      <c r="S152" s="8"/>
      <c r="T152" s="8"/>
      <c r="U152" s="7">
        <f>IF($B152="","",IFERROR(INDEX('Challan Master'!$AA$4:$AA$207,MATCH($B152,'Challan Master'!$S$4:$S$207,0)),""))</f>
      </c>
    </row>
    <row r="153" spans="1:22" x14ac:dyDescent="0.25">
      <c r="A153" s="7">
        <f>IF($C153="","",COUNTIF($C$4:$C153,"&lt;&gt;"))</f>
      </c>
      <c r="B153" s="8"/>
      <c r="C153" s="8"/>
      <c r="D153" s="8"/>
      <c r="E153" s="7">
        <f>IF($C153="","",IF(AND(LEN(TRIM(UPPER(D153)))=10,CODE(MID(TRIM(UPPER(D153)),1,1))&gt;=65,CODE(MID(TRIM(UPPER(D153)),1,1))&lt;=90,CODE(MID(TRIM(UPPER(D153)),2,1))&gt;=65,CODE(MID(TRIM(UPPER(D153)),2,1))&lt;=90,CODE(MID(TRIM(UPPER(D153)),3,1))&gt;=65,CODE(MID(TRIM(UPPER(D153)),3,1))&lt;=90,CODE(MID(TRIM(UPPER(D153)),4,1))&gt;=65,CODE(MID(TRIM(UPPER(D153)),4,1))&lt;=90,CODE(MID(TRIM(UPPER(D153)),5,1))&gt;=65,CODE(MID(TRIM(UPPER(D153)),5,1))&lt;=90,CODE(MID(TRIM(UPPER(D153)),10,1))&gt;=65,CODE(MID(TRIM(UPPER(D153)),10,1))&lt;=90,CODE(MID(TRIM(UPPER(D153)),6,1))&gt;=48,CODE(MID(TRIM(UPPER(D153)),6,1))&lt;=57,CODE(MID(TRIM(UPPER(D153)),7,1))&gt;=48,CODE(MID(TRIM(UPPER(D153)),7,1))&lt;=57,CODE(MID(TRIM(UPPER(D153)),8,1))&gt;=48,CODE(MID(TRIM(UPPER(D153)),8,1))&lt;=57,CODE(MID(TRIM(UPPER(D153)),9,1))&gt;=48,CODE(MID(TRIM(UPPER(D153)),9,1))&lt;=57),"N","Y"))</f>
      </c>
      <c r="F153" s="7">
        <f>IF($C153="","",IF(LEN(D153)&lt;4,"",IF(UPPER(MID(D153,4,1))="P","Individual",IF(UPPER(MID(D153,4,1))="H","HUF",IF(UPPER(MID(D153,4,1))="C","Company",IF(UPPER(MID(D153,4,1))="F","Firm",IF(UPPER(MID(D153,4,1))="L","LLP",IF(UPPER(MID(D153,4,1))="T","Trust",IF(UPPER(MID(D153,4,1))="A","AOP","")))))))))</f>
      </c>
      <c r="G153" s="8"/>
      <c r="H153" s="7">
        <f>IF($C153="","",IF(R153&lt;&gt;"",R153,IF(G153="","",IF(E153="Y",SUMPRODUCT(('Rate Lookup'!$A$1:$A$37=G153)*'Rate Lookup'!$D$1:$D$37),IF(OR(F153="Individual",F153="HUF"),SUMPRODUCT(('Rate Lookup'!$A$1:$A$37=G153)*'Rate Lookup'!$B$1:$B$37),SUMPRODUCT(('Rate Lookup'!$A$1:$A$37=G153)*'Rate Lookup'!$C$1:$C$37)))))))</f>
      </c>
      <c r="I153" s="8"/>
      <c r="J153" s="8"/>
      <c r="K153" s="7">
        <f>IF($C153="","",IF(OR(P153="B",P153="D",P153="E",P153="N",P153="O",P153="P",P153="Q",P153="S",P153="Y",P153="Z"),0,ROUND(J153*H153/100,0)))</f>
      </c>
      <c r="L153" s="7">
        <f>IF($C153="","",0)</f>
      </c>
      <c r="M153" s="7">
        <f>IF($C153="","",0)</f>
      </c>
      <c r="N153" s="7">
        <f>IF($C153="","",IF(OR(K153=0,I153="",IFERROR(INDEX('Challan Master'!$D$4:$D$207,MATCH($B153,'Challan Master'!$S$4:$S$207,0)),"")="",IFERROR(INDEX('Challan Master'!$D$4:$D$207,MATCH($B153,'Challan Master'!$S$4:$S$207,0)),"")&lt;=0),0,IF(IFERROR(INDEX('Challan Master'!$D$4:$D$207,MATCH($B153,'Challan Master'!$S$4:$S$207,0)),"")&lt;=DATE(YEAR(I153),MONTH(I153)+1,7),0,ROUND(K153*0.015*((YEAR(IFERROR(INDEX('Challan Master'!$D$4:$D$207,MATCH($B153,'Challan Master'!$S$4:$S$207,0)),""))-YEAR(I153))*12+(MONTH(IFERROR(INDEX('Challan Master'!$D$4:$D$207,MATCH($B153,'Challan Master'!$S$4:$S$207,0)),""))-MONTH(I153))+1),0))))</f>
      </c>
      <c r="O153" s="7">
        <f>IF($C153="","",0)</f>
      </c>
      <c r="P153" s="8"/>
      <c r="Q153" s="8"/>
      <c r="R153" s="8"/>
      <c r="S153" s="8"/>
      <c r="T153" s="8"/>
      <c r="U153" s="7">
        <f>IF($B153="","",IFERROR(INDEX('Challan Master'!$AA$4:$AA$207,MATCH($B153,'Challan Master'!$S$4:$S$207,0)),""))</f>
      </c>
    </row>
    <row r="154" spans="1:22" x14ac:dyDescent="0.25">
      <c r="A154" s="7">
        <f>IF($C154="","",COUNTIF($C$4:$C154,"&lt;&gt;"))</f>
      </c>
      <c r="B154" s="8"/>
      <c r="C154" s="8"/>
      <c r="D154" s="8"/>
      <c r="E154" s="7">
        <f>IF($C154="","",IF(AND(LEN(TRIM(UPPER(D154)))=10,CODE(MID(TRIM(UPPER(D154)),1,1))&gt;=65,CODE(MID(TRIM(UPPER(D154)),1,1))&lt;=90,CODE(MID(TRIM(UPPER(D154)),2,1))&gt;=65,CODE(MID(TRIM(UPPER(D154)),2,1))&lt;=90,CODE(MID(TRIM(UPPER(D154)),3,1))&gt;=65,CODE(MID(TRIM(UPPER(D154)),3,1))&lt;=90,CODE(MID(TRIM(UPPER(D154)),4,1))&gt;=65,CODE(MID(TRIM(UPPER(D154)),4,1))&lt;=90,CODE(MID(TRIM(UPPER(D154)),5,1))&gt;=65,CODE(MID(TRIM(UPPER(D154)),5,1))&lt;=90,CODE(MID(TRIM(UPPER(D154)),10,1))&gt;=65,CODE(MID(TRIM(UPPER(D154)),10,1))&lt;=90,CODE(MID(TRIM(UPPER(D154)),6,1))&gt;=48,CODE(MID(TRIM(UPPER(D154)),6,1))&lt;=57,CODE(MID(TRIM(UPPER(D154)),7,1))&gt;=48,CODE(MID(TRIM(UPPER(D154)),7,1))&lt;=57,CODE(MID(TRIM(UPPER(D154)),8,1))&gt;=48,CODE(MID(TRIM(UPPER(D154)),8,1))&lt;=57,CODE(MID(TRIM(UPPER(D154)),9,1))&gt;=48,CODE(MID(TRIM(UPPER(D154)),9,1))&lt;=57),"N","Y"))</f>
      </c>
      <c r="F154" s="7">
        <f>IF($C154="","",IF(LEN(D154)&lt;4,"",IF(UPPER(MID(D154,4,1))="P","Individual",IF(UPPER(MID(D154,4,1))="H","HUF",IF(UPPER(MID(D154,4,1))="C","Company",IF(UPPER(MID(D154,4,1))="F","Firm",IF(UPPER(MID(D154,4,1))="L","LLP",IF(UPPER(MID(D154,4,1))="T","Trust",IF(UPPER(MID(D154,4,1))="A","AOP","")))))))))</f>
      </c>
      <c r="G154" s="8"/>
      <c r="H154" s="7">
        <f>IF($C154="","",IF(R154&lt;&gt;"",R154,IF(G154="","",IF(E154="Y",SUMPRODUCT(('Rate Lookup'!$A$1:$A$37=G154)*'Rate Lookup'!$D$1:$D$37),IF(OR(F154="Individual",F154="HUF"),SUMPRODUCT(('Rate Lookup'!$A$1:$A$37=G154)*'Rate Lookup'!$B$1:$B$37),SUMPRODUCT(('Rate Lookup'!$A$1:$A$37=G154)*'Rate Lookup'!$C$1:$C$37)))))))</f>
      </c>
      <c r="I154" s="8"/>
      <c r="J154" s="8"/>
      <c r="K154" s="7">
        <f>IF($C154="","",IF(OR(P154="B",P154="D",P154="E",P154="N",P154="O",P154="P",P154="Q",P154="S",P154="Y",P154="Z"),0,ROUND(J154*H154/100,0)))</f>
      </c>
      <c r="L154" s="7">
        <f>IF($C154="","",0)</f>
      </c>
      <c r="M154" s="7">
        <f>IF($C154="","",0)</f>
      </c>
      <c r="N154" s="7">
        <f>IF($C154="","",IF(OR(K154=0,I154="",IFERROR(INDEX('Challan Master'!$D$4:$D$207,MATCH($B154,'Challan Master'!$S$4:$S$207,0)),"")="",IFERROR(INDEX('Challan Master'!$D$4:$D$207,MATCH($B154,'Challan Master'!$S$4:$S$207,0)),"")&lt;=0),0,IF(IFERROR(INDEX('Challan Master'!$D$4:$D$207,MATCH($B154,'Challan Master'!$S$4:$S$207,0)),"")&lt;=DATE(YEAR(I154),MONTH(I154)+1,7),0,ROUND(K154*0.015*((YEAR(IFERROR(INDEX('Challan Master'!$D$4:$D$207,MATCH($B154,'Challan Master'!$S$4:$S$207,0)),""))-YEAR(I154))*12+(MONTH(IFERROR(INDEX('Challan Master'!$D$4:$D$207,MATCH($B154,'Challan Master'!$S$4:$S$207,0)),""))-MONTH(I154))+1),0))))</f>
      </c>
      <c r="O154" s="7">
        <f>IF($C154="","",0)</f>
      </c>
      <c r="P154" s="8"/>
      <c r="Q154" s="8"/>
      <c r="R154" s="8"/>
      <c r="S154" s="8"/>
      <c r="T154" s="8"/>
      <c r="U154" s="7">
        <f>IF($B154="","",IFERROR(INDEX('Challan Master'!$AA$4:$AA$207,MATCH($B154,'Challan Master'!$S$4:$S$207,0)),""))</f>
      </c>
    </row>
    <row r="155" spans="1:22" x14ac:dyDescent="0.25">
      <c r="A155" s="7">
        <f>IF($C155="","",COUNTIF($C$4:$C155,"&lt;&gt;"))</f>
      </c>
      <c r="B155" s="8"/>
      <c r="C155" s="8"/>
      <c r="D155" s="8"/>
      <c r="E155" s="7">
        <f>IF($C155="","",IF(AND(LEN(TRIM(UPPER(D155)))=10,CODE(MID(TRIM(UPPER(D155)),1,1))&gt;=65,CODE(MID(TRIM(UPPER(D155)),1,1))&lt;=90,CODE(MID(TRIM(UPPER(D155)),2,1))&gt;=65,CODE(MID(TRIM(UPPER(D155)),2,1))&lt;=90,CODE(MID(TRIM(UPPER(D155)),3,1))&gt;=65,CODE(MID(TRIM(UPPER(D155)),3,1))&lt;=90,CODE(MID(TRIM(UPPER(D155)),4,1))&gt;=65,CODE(MID(TRIM(UPPER(D155)),4,1))&lt;=90,CODE(MID(TRIM(UPPER(D155)),5,1))&gt;=65,CODE(MID(TRIM(UPPER(D155)),5,1))&lt;=90,CODE(MID(TRIM(UPPER(D155)),10,1))&gt;=65,CODE(MID(TRIM(UPPER(D155)),10,1))&lt;=90,CODE(MID(TRIM(UPPER(D155)),6,1))&gt;=48,CODE(MID(TRIM(UPPER(D155)),6,1))&lt;=57,CODE(MID(TRIM(UPPER(D155)),7,1))&gt;=48,CODE(MID(TRIM(UPPER(D155)),7,1))&lt;=57,CODE(MID(TRIM(UPPER(D155)),8,1))&gt;=48,CODE(MID(TRIM(UPPER(D155)),8,1))&lt;=57,CODE(MID(TRIM(UPPER(D155)),9,1))&gt;=48,CODE(MID(TRIM(UPPER(D155)),9,1))&lt;=57),"N","Y"))</f>
      </c>
      <c r="F155" s="7">
        <f>IF($C155="","",IF(LEN(D155)&lt;4,"",IF(UPPER(MID(D155,4,1))="P","Individual",IF(UPPER(MID(D155,4,1))="H","HUF",IF(UPPER(MID(D155,4,1))="C","Company",IF(UPPER(MID(D155,4,1))="F","Firm",IF(UPPER(MID(D155,4,1))="L","LLP",IF(UPPER(MID(D155,4,1))="T","Trust",IF(UPPER(MID(D155,4,1))="A","AOP","")))))))))</f>
      </c>
      <c r="G155" s="8"/>
      <c r="H155" s="7">
        <f>IF($C155="","",IF(R155&lt;&gt;"",R155,IF(G155="","",IF(E155="Y",SUMPRODUCT(('Rate Lookup'!$A$1:$A$37=G155)*'Rate Lookup'!$D$1:$D$37),IF(OR(F155="Individual",F155="HUF"),SUMPRODUCT(('Rate Lookup'!$A$1:$A$37=G155)*'Rate Lookup'!$B$1:$B$37),SUMPRODUCT(('Rate Lookup'!$A$1:$A$37=G155)*'Rate Lookup'!$C$1:$C$37)))))))</f>
      </c>
      <c r="I155" s="8"/>
      <c r="J155" s="8"/>
      <c r="K155" s="7">
        <f>IF($C155="","",IF(OR(P155="B",P155="D",P155="E",P155="N",P155="O",P155="P",P155="Q",P155="S",P155="Y",P155="Z"),0,ROUND(J155*H155/100,0)))</f>
      </c>
      <c r="L155" s="7">
        <f>IF($C155="","",0)</f>
      </c>
      <c r="M155" s="7">
        <f>IF($C155="","",0)</f>
      </c>
      <c r="N155" s="7">
        <f>IF($C155="","",IF(OR(K155=0,I155="",IFERROR(INDEX('Challan Master'!$D$4:$D$207,MATCH($B155,'Challan Master'!$S$4:$S$207,0)),"")="",IFERROR(INDEX('Challan Master'!$D$4:$D$207,MATCH($B155,'Challan Master'!$S$4:$S$207,0)),"")&lt;=0),0,IF(IFERROR(INDEX('Challan Master'!$D$4:$D$207,MATCH($B155,'Challan Master'!$S$4:$S$207,0)),"")&lt;=DATE(YEAR(I155),MONTH(I155)+1,7),0,ROUND(K155*0.015*((YEAR(IFERROR(INDEX('Challan Master'!$D$4:$D$207,MATCH($B155,'Challan Master'!$S$4:$S$207,0)),""))-YEAR(I155))*12+(MONTH(IFERROR(INDEX('Challan Master'!$D$4:$D$207,MATCH($B155,'Challan Master'!$S$4:$S$207,0)),""))-MONTH(I155))+1),0))))</f>
      </c>
      <c r="O155" s="7">
        <f>IF($C155="","",0)</f>
      </c>
      <c r="P155" s="8"/>
      <c r="Q155" s="8"/>
      <c r="R155" s="8"/>
      <c r="S155" s="8"/>
      <c r="T155" s="8"/>
      <c r="U155" s="7">
        <f>IF($B155="","",IFERROR(INDEX('Challan Master'!$AA$4:$AA$207,MATCH($B155,'Challan Master'!$S$4:$S$207,0)),""))</f>
      </c>
    </row>
    <row r="156" spans="1:22" x14ac:dyDescent="0.25">
      <c r="A156" s="7">
        <f>IF($C156="","",COUNTIF($C$4:$C156,"&lt;&gt;"))</f>
      </c>
      <c r="B156" s="8"/>
      <c r="C156" s="8"/>
      <c r="D156" s="8"/>
      <c r="E156" s="7">
        <f>IF($C156="","",IF(AND(LEN(TRIM(UPPER(D156)))=10,CODE(MID(TRIM(UPPER(D156)),1,1))&gt;=65,CODE(MID(TRIM(UPPER(D156)),1,1))&lt;=90,CODE(MID(TRIM(UPPER(D156)),2,1))&gt;=65,CODE(MID(TRIM(UPPER(D156)),2,1))&lt;=90,CODE(MID(TRIM(UPPER(D156)),3,1))&gt;=65,CODE(MID(TRIM(UPPER(D156)),3,1))&lt;=90,CODE(MID(TRIM(UPPER(D156)),4,1))&gt;=65,CODE(MID(TRIM(UPPER(D156)),4,1))&lt;=90,CODE(MID(TRIM(UPPER(D156)),5,1))&gt;=65,CODE(MID(TRIM(UPPER(D156)),5,1))&lt;=90,CODE(MID(TRIM(UPPER(D156)),10,1))&gt;=65,CODE(MID(TRIM(UPPER(D156)),10,1))&lt;=90,CODE(MID(TRIM(UPPER(D156)),6,1))&gt;=48,CODE(MID(TRIM(UPPER(D156)),6,1))&lt;=57,CODE(MID(TRIM(UPPER(D156)),7,1))&gt;=48,CODE(MID(TRIM(UPPER(D156)),7,1))&lt;=57,CODE(MID(TRIM(UPPER(D156)),8,1))&gt;=48,CODE(MID(TRIM(UPPER(D156)),8,1))&lt;=57,CODE(MID(TRIM(UPPER(D156)),9,1))&gt;=48,CODE(MID(TRIM(UPPER(D156)),9,1))&lt;=57),"N","Y"))</f>
      </c>
      <c r="F156" s="7">
        <f>IF($C156="","",IF(LEN(D156)&lt;4,"",IF(UPPER(MID(D156,4,1))="P","Individual",IF(UPPER(MID(D156,4,1))="H","HUF",IF(UPPER(MID(D156,4,1))="C","Company",IF(UPPER(MID(D156,4,1))="F","Firm",IF(UPPER(MID(D156,4,1))="L","LLP",IF(UPPER(MID(D156,4,1))="T","Trust",IF(UPPER(MID(D156,4,1))="A","AOP","")))))))))</f>
      </c>
      <c r="G156" s="8"/>
      <c r="H156" s="7">
        <f>IF($C156="","",IF(R156&lt;&gt;"",R156,IF(G156="","",IF(E156="Y",SUMPRODUCT(('Rate Lookup'!$A$1:$A$37=G156)*'Rate Lookup'!$D$1:$D$37),IF(OR(F156="Individual",F156="HUF"),SUMPRODUCT(('Rate Lookup'!$A$1:$A$37=G156)*'Rate Lookup'!$B$1:$B$37),SUMPRODUCT(('Rate Lookup'!$A$1:$A$37=G156)*'Rate Lookup'!$C$1:$C$37)))))))</f>
      </c>
      <c r="I156" s="8"/>
      <c r="J156" s="8"/>
      <c r="K156" s="7">
        <f>IF($C156="","",IF(OR(P156="B",P156="D",P156="E",P156="N",P156="O",P156="P",P156="Q",P156="S",P156="Y",P156="Z"),0,ROUND(J156*H156/100,0)))</f>
      </c>
      <c r="L156" s="7">
        <f>IF($C156="","",0)</f>
      </c>
      <c r="M156" s="7">
        <f>IF($C156="","",0)</f>
      </c>
      <c r="N156" s="7">
        <f>IF($C156="","",IF(OR(K156=0,I156="",IFERROR(INDEX('Challan Master'!$D$4:$D$207,MATCH($B156,'Challan Master'!$S$4:$S$207,0)),"")="",IFERROR(INDEX('Challan Master'!$D$4:$D$207,MATCH($B156,'Challan Master'!$S$4:$S$207,0)),"")&lt;=0),0,IF(IFERROR(INDEX('Challan Master'!$D$4:$D$207,MATCH($B156,'Challan Master'!$S$4:$S$207,0)),"")&lt;=DATE(YEAR(I156),MONTH(I156)+1,7),0,ROUND(K156*0.015*((YEAR(IFERROR(INDEX('Challan Master'!$D$4:$D$207,MATCH($B156,'Challan Master'!$S$4:$S$207,0)),""))-YEAR(I156))*12+(MONTH(IFERROR(INDEX('Challan Master'!$D$4:$D$207,MATCH($B156,'Challan Master'!$S$4:$S$207,0)),""))-MONTH(I156))+1),0))))</f>
      </c>
      <c r="O156" s="7">
        <f>IF($C156="","",0)</f>
      </c>
      <c r="P156" s="8"/>
      <c r="Q156" s="8"/>
      <c r="R156" s="8"/>
      <c r="S156" s="8"/>
      <c r="T156" s="8"/>
      <c r="U156" s="7">
        <f>IF($B156="","",IFERROR(INDEX('Challan Master'!$AA$4:$AA$207,MATCH($B156,'Challan Master'!$S$4:$S$207,0)),""))</f>
      </c>
    </row>
    <row r="157" spans="1:22" x14ac:dyDescent="0.25">
      <c r="A157" s="7">
        <f>IF($C157="","",COUNTIF($C$4:$C157,"&lt;&gt;"))</f>
      </c>
      <c r="B157" s="8"/>
      <c r="C157" s="8"/>
      <c r="D157" s="8"/>
      <c r="E157" s="7">
        <f>IF($C157="","",IF(AND(LEN(TRIM(UPPER(D157)))=10,CODE(MID(TRIM(UPPER(D157)),1,1))&gt;=65,CODE(MID(TRIM(UPPER(D157)),1,1))&lt;=90,CODE(MID(TRIM(UPPER(D157)),2,1))&gt;=65,CODE(MID(TRIM(UPPER(D157)),2,1))&lt;=90,CODE(MID(TRIM(UPPER(D157)),3,1))&gt;=65,CODE(MID(TRIM(UPPER(D157)),3,1))&lt;=90,CODE(MID(TRIM(UPPER(D157)),4,1))&gt;=65,CODE(MID(TRIM(UPPER(D157)),4,1))&lt;=90,CODE(MID(TRIM(UPPER(D157)),5,1))&gt;=65,CODE(MID(TRIM(UPPER(D157)),5,1))&lt;=90,CODE(MID(TRIM(UPPER(D157)),10,1))&gt;=65,CODE(MID(TRIM(UPPER(D157)),10,1))&lt;=90,CODE(MID(TRIM(UPPER(D157)),6,1))&gt;=48,CODE(MID(TRIM(UPPER(D157)),6,1))&lt;=57,CODE(MID(TRIM(UPPER(D157)),7,1))&gt;=48,CODE(MID(TRIM(UPPER(D157)),7,1))&lt;=57,CODE(MID(TRIM(UPPER(D157)),8,1))&gt;=48,CODE(MID(TRIM(UPPER(D157)),8,1))&lt;=57,CODE(MID(TRIM(UPPER(D157)),9,1))&gt;=48,CODE(MID(TRIM(UPPER(D157)),9,1))&lt;=57),"N","Y"))</f>
      </c>
      <c r="F157" s="7">
        <f>IF($C157="","",IF(LEN(D157)&lt;4,"",IF(UPPER(MID(D157,4,1))="P","Individual",IF(UPPER(MID(D157,4,1))="H","HUF",IF(UPPER(MID(D157,4,1))="C","Company",IF(UPPER(MID(D157,4,1))="F","Firm",IF(UPPER(MID(D157,4,1))="L","LLP",IF(UPPER(MID(D157,4,1))="T","Trust",IF(UPPER(MID(D157,4,1))="A","AOP","")))))))))</f>
      </c>
      <c r="G157" s="8"/>
      <c r="H157" s="7">
        <f>IF($C157="","",IF(R157&lt;&gt;"",R157,IF(G157="","",IF(E157="Y",SUMPRODUCT(('Rate Lookup'!$A$1:$A$37=G157)*'Rate Lookup'!$D$1:$D$37),IF(OR(F157="Individual",F157="HUF"),SUMPRODUCT(('Rate Lookup'!$A$1:$A$37=G157)*'Rate Lookup'!$B$1:$B$37),SUMPRODUCT(('Rate Lookup'!$A$1:$A$37=G157)*'Rate Lookup'!$C$1:$C$37)))))))</f>
      </c>
      <c r="I157" s="8"/>
      <c r="J157" s="8"/>
      <c r="K157" s="7">
        <f>IF($C157="","",IF(OR(P157="B",P157="D",P157="E",P157="N",P157="O",P157="P",P157="Q",P157="S",P157="Y",P157="Z"),0,ROUND(J157*H157/100,0)))</f>
      </c>
      <c r="L157" s="7">
        <f>IF($C157="","",0)</f>
      </c>
      <c r="M157" s="7">
        <f>IF($C157="","",0)</f>
      </c>
      <c r="N157" s="7">
        <f>IF($C157="","",IF(OR(K157=0,I157="",IFERROR(INDEX('Challan Master'!$D$4:$D$207,MATCH($B157,'Challan Master'!$S$4:$S$207,0)),"")="",IFERROR(INDEX('Challan Master'!$D$4:$D$207,MATCH($B157,'Challan Master'!$S$4:$S$207,0)),"")&lt;=0),0,IF(IFERROR(INDEX('Challan Master'!$D$4:$D$207,MATCH($B157,'Challan Master'!$S$4:$S$207,0)),"")&lt;=DATE(YEAR(I157),MONTH(I157)+1,7),0,ROUND(K157*0.015*((YEAR(IFERROR(INDEX('Challan Master'!$D$4:$D$207,MATCH($B157,'Challan Master'!$S$4:$S$207,0)),""))-YEAR(I157))*12+(MONTH(IFERROR(INDEX('Challan Master'!$D$4:$D$207,MATCH($B157,'Challan Master'!$S$4:$S$207,0)),""))-MONTH(I157))+1),0))))</f>
      </c>
      <c r="O157" s="7">
        <f>IF($C157="","",0)</f>
      </c>
      <c r="P157" s="8"/>
      <c r="Q157" s="8"/>
      <c r="R157" s="8"/>
      <c r="S157" s="8"/>
      <c r="T157" s="8"/>
      <c r="U157" s="7">
        <f>IF($B157="","",IFERROR(INDEX('Challan Master'!$AA$4:$AA$207,MATCH($B157,'Challan Master'!$S$4:$S$207,0)),""))</f>
      </c>
    </row>
    <row r="158" spans="1:22" x14ac:dyDescent="0.25">
      <c r="A158" s="7">
        <f>IF($C158="","",COUNTIF($C$4:$C158,"&lt;&gt;"))</f>
      </c>
      <c r="B158" s="8"/>
      <c r="C158" s="8"/>
      <c r="D158" s="8"/>
      <c r="E158" s="7">
        <f>IF($C158="","",IF(AND(LEN(TRIM(UPPER(D158)))=10,CODE(MID(TRIM(UPPER(D158)),1,1))&gt;=65,CODE(MID(TRIM(UPPER(D158)),1,1))&lt;=90,CODE(MID(TRIM(UPPER(D158)),2,1))&gt;=65,CODE(MID(TRIM(UPPER(D158)),2,1))&lt;=90,CODE(MID(TRIM(UPPER(D158)),3,1))&gt;=65,CODE(MID(TRIM(UPPER(D158)),3,1))&lt;=90,CODE(MID(TRIM(UPPER(D158)),4,1))&gt;=65,CODE(MID(TRIM(UPPER(D158)),4,1))&lt;=90,CODE(MID(TRIM(UPPER(D158)),5,1))&gt;=65,CODE(MID(TRIM(UPPER(D158)),5,1))&lt;=90,CODE(MID(TRIM(UPPER(D158)),10,1))&gt;=65,CODE(MID(TRIM(UPPER(D158)),10,1))&lt;=90,CODE(MID(TRIM(UPPER(D158)),6,1))&gt;=48,CODE(MID(TRIM(UPPER(D158)),6,1))&lt;=57,CODE(MID(TRIM(UPPER(D158)),7,1))&gt;=48,CODE(MID(TRIM(UPPER(D158)),7,1))&lt;=57,CODE(MID(TRIM(UPPER(D158)),8,1))&gt;=48,CODE(MID(TRIM(UPPER(D158)),8,1))&lt;=57,CODE(MID(TRIM(UPPER(D158)),9,1))&gt;=48,CODE(MID(TRIM(UPPER(D158)),9,1))&lt;=57),"N","Y"))</f>
      </c>
      <c r="F158" s="7">
        <f>IF($C158="","",IF(LEN(D158)&lt;4,"",IF(UPPER(MID(D158,4,1))="P","Individual",IF(UPPER(MID(D158,4,1))="H","HUF",IF(UPPER(MID(D158,4,1))="C","Company",IF(UPPER(MID(D158,4,1))="F","Firm",IF(UPPER(MID(D158,4,1))="L","LLP",IF(UPPER(MID(D158,4,1))="T","Trust",IF(UPPER(MID(D158,4,1))="A","AOP","")))))))))</f>
      </c>
      <c r="G158" s="8"/>
      <c r="H158" s="7">
        <f>IF($C158="","",IF(R158&lt;&gt;"",R158,IF(G158="","",IF(E158="Y",SUMPRODUCT(('Rate Lookup'!$A$1:$A$37=G158)*'Rate Lookup'!$D$1:$D$37),IF(OR(F158="Individual",F158="HUF"),SUMPRODUCT(('Rate Lookup'!$A$1:$A$37=G158)*'Rate Lookup'!$B$1:$B$37),SUMPRODUCT(('Rate Lookup'!$A$1:$A$37=G158)*'Rate Lookup'!$C$1:$C$37)))))))</f>
      </c>
      <c r="I158" s="8"/>
      <c r="J158" s="8"/>
      <c r="K158" s="7">
        <f>IF($C158="","",IF(OR(P158="B",P158="D",P158="E",P158="N",P158="O",P158="P",P158="Q",P158="S",P158="Y",P158="Z"),0,ROUND(J158*H158/100,0)))</f>
      </c>
      <c r="L158" s="7">
        <f>IF($C158="","",0)</f>
      </c>
      <c r="M158" s="7">
        <f>IF($C158="","",0)</f>
      </c>
      <c r="N158" s="7">
        <f>IF($C158="","",IF(OR(K158=0,I158="",IFERROR(INDEX('Challan Master'!$D$4:$D$207,MATCH($B158,'Challan Master'!$S$4:$S$207,0)),"")="",IFERROR(INDEX('Challan Master'!$D$4:$D$207,MATCH($B158,'Challan Master'!$S$4:$S$207,0)),"")&lt;=0),0,IF(IFERROR(INDEX('Challan Master'!$D$4:$D$207,MATCH($B158,'Challan Master'!$S$4:$S$207,0)),"")&lt;=DATE(YEAR(I158),MONTH(I158)+1,7),0,ROUND(K158*0.015*((YEAR(IFERROR(INDEX('Challan Master'!$D$4:$D$207,MATCH($B158,'Challan Master'!$S$4:$S$207,0)),""))-YEAR(I158))*12+(MONTH(IFERROR(INDEX('Challan Master'!$D$4:$D$207,MATCH($B158,'Challan Master'!$S$4:$S$207,0)),""))-MONTH(I158))+1),0))))</f>
      </c>
      <c r="O158" s="7">
        <f>IF($C158="","",0)</f>
      </c>
      <c r="P158" s="8"/>
      <c r="Q158" s="8"/>
      <c r="R158" s="8"/>
      <c r="S158" s="8"/>
      <c r="T158" s="8"/>
      <c r="U158" s="7">
        <f>IF($B158="","",IFERROR(INDEX('Challan Master'!$AA$4:$AA$207,MATCH($B158,'Challan Master'!$S$4:$S$207,0)),""))</f>
      </c>
    </row>
    <row r="159" spans="1:22" x14ac:dyDescent="0.25">
      <c r="A159" s="7">
        <f>IF($C159="","",COUNTIF($C$4:$C159,"&lt;&gt;"))</f>
      </c>
      <c r="B159" s="8"/>
      <c r="C159" s="8"/>
      <c r="D159" s="8"/>
      <c r="E159" s="7">
        <f>IF($C159="","",IF(AND(LEN(TRIM(UPPER(D159)))=10,CODE(MID(TRIM(UPPER(D159)),1,1))&gt;=65,CODE(MID(TRIM(UPPER(D159)),1,1))&lt;=90,CODE(MID(TRIM(UPPER(D159)),2,1))&gt;=65,CODE(MID(TRIM(UPPER(D159)),2,1))&lt;=90,CODE(MID(TRIM(UPPER(D159)),3,1))&gt;=65,CODE(MID(TRIM(UPPER(D159)),3,1))&lt;=90,CODE(MID(TRIM(UPPER(D159)),4,1))&gt;=65,CODE(MID(TRIM(UPPER(D159)),4,1))&lt;=90,CODE(MID(TRIM(UPPER(D159)),5,1))&gt;=65,CODE(MID(TRIM(UPPER(D159)),5,1))&lt;=90,CODE(MID(TRIM(UPPER(D159)),10,1))&gt;=65,CODE(MID(TRIM(UPPER(D159)),10,1))&lt;=90,CODE(MID(TRIM(UPPER(D159)),6,1))&gt;=48,CODE(MID(TRIM(UPPER(D159)),6,1))&lt;=57,CODE(MID(TRIM(UPPER(D159)),7,1))&gt;=48,CODE(MID(TRIM(UPPER(D159)),7,1))&lt;=57,CODE(MID(TRIM(UPPER(D159)),8,1))&gt;=48,CODE(MID(TRIM(UPPER(D159)),8,1))&lt;=57,CODE(MID(TRIM(UPPER(D159)),9,1))&gt;=48,CODE(MID(TRIM(UPPER(D159)),9,1))&lt;=57),"N","Y"))</f>
      </c>
      <c r="F159" s="7">
        <f>IF($C159="","",IF(LEN(D159)&lt;4,"",IF(UPPER(MID(D159,4,1))="P","Individual",IF(UPPER(MID(D159,4,1))="H","HUF",IF(UPPER(MID(D159,4,1))="C","Company",IF(UPPER(MID(D159,4,1))="F","Firm",IF(UPPER(MID(D159,4,1))="L","LLP",IF(UPPER(MID(D159,4,1))="T","Trust",IF(UPPER(MID(D159,4,1))="A","AOP","")))))))))</f>
      </c>
      <c r="G159" s="8"/>
      <c r="H159" s="7">
        <f>IF($C159="","",IF(R159&lt;&gt;"",R159,IF(G159="","",IF(E159="Y",SUMPRODUCT(('Rate Lookup'!$A$1:$A$37=G159)*'Rate Lookup'!$D$1:$D$37),IF(OR(F159="Individual",F159="HUF"),SUMPRODUCT(('Rate Lookup'!$A$1:$A$37=G159)*'Rate Lookup'!$B$1:$B$37),SUMPRODUCT(('Rate Lookup'!$A$1:$A$37=G159)*'Rate Lookup'!$C$1:$C$37)))))))</f>
      </c>
      <c r="I159" s="8"/>
      <c r="J159" s="8"/>
      <c r="K159" s="7">
        <f>IF($C159="","",IF(OR(P159="B",P159="D",P159="E",P159="N",P159="O",P159="P",P159="Q",P159="S",P159="Y",P159="Z"),0,ROUND(J159*H159/100,0)))</f>
      </c>
      <c r="L159" s="7">
        <f>IF($C159="","",0)</f>
      </c>
      <c r="M159" s="7">
        <f>IF($C159="","",0)</f>
      </c>
      <c r="N159" s="7">
        <f>IF($C159="","",IF(OR(K159=0,I159="",IFERROR(INDEX('Challan Master'!$D$4:$D$207,MATCH($B159,'Challan Master'!$S$4:$S$207,0)),"")="",IFERROR(INDEX('Challan Master'!$D$4:$D$207,MATCH($B159,'Challan Master'!$S$4:$S$207,0)),"")&lt;=0),0,IF(IFERROR(INDEX('Challan Master'!$D$4:$D$207,MATCH($B159,'Challan Master'!$S$4:$S$207,0)),"")&lt;=DATE(YEAR(I159),MONTH(I159)+1,7),0,ROUND(K159*0.015*((YEAR(IFERROR(INDEX('Challan Master'!$D$4:$D$207,MATCH($B159,'Challan Master'!$S$4:$S$207,0)),""))-YEAR(I159))*12+(MONTH(IFERROR(INDEX('Challan Master'!$D$4:$D$207,MATCH($B159,'Challan Master'!$S$4:$S$207,0)),""))-MONTH(I159))+1),0))))</f>
      </c>
      <c r="O159" s="7">
        <f>IF($C159="","",0)</f>
      </c>
      <c r="P159" s="8"/>
      <c r="Q159" s="8"/>
      <c r="R159" s="8"/>
      <c r="S159" s="8"/>
      <c r="T159" s="8"/>
      <c r="U159" s="7">
        <f>IF($B159="","",IFERROR(INDEX('Challan Master'!$AA$4:$AA$207,MATCH($B159,'Challan Master'!$S$4:$S$207,0)),""))</f>
      </c>
    </row>
    <row r="160" spans="1:22" x14ac:dyDescent="0.25">
      <c r="A160" s="7">
        <f>IF($C160="","",COUNTIF($C$4:$C160,"&lt;&gt;"))</f>
      </c>
      <c r="B160" s="8"/>
      <c r="C160" s="8"/>
      <c r="D160" s="8"/>
      <c r="E160" s="7">
        <f>IF($C160="","",IF(AND(LEN(TRIM(UPPER(D160)))=10,CODE(MID(TRIM(UPPER(D160)),1,1))&gt;=65,CODE(MID(TRIM(UPPER(D160)),1,1))&lt;=90,CODE(MID(TRIM(UPPER(D160)),2,1))&gt;=65,CODE(MID(TRIM(UPPER(D160)),2,1))&lt;=90,CODE(MID(TRIM(UPPER(D160)),3,1))&gt;=65,CODE(MID(TRIM(UPPER(D160)),3,1))&lt;=90,CODE(MID(TRIM(UPPER(D160)),4,1))&gt;=65,CODE(MID(TRIM(UPPER(D160)),4,1))&lt;=90,CODE(MID(TRIM(UPPER(D160)),5,1))&gt;=65,CODE(MID(TRIM(UPPER(D160)),5,1))&lt;=90,CODE(MID(TRIM(UPPER(D160)),10,1))&gt;=65,CODE(MID(TRIM(UPPER(D160)),10,1))&lt;=90,CODE(MID(TRIM(UPPER(D160)),6,1))&gt;=48,CODE(MID(TRIM(UPPER(D160)),6,1))&lt;=57,CODE(MID(TRIM(UPPER(D160)),7,1))&gt;=48,CODE(MID(TRIM(UPPER(D160)),7,1))&lt;=57,CODE(MID(TRIM(UPPER(D160)),8,1))&gt;=48,CODE(MID(TRIM(UPPER(D160)),8,1))&lt;=57,CODE(MID(TRIM(UPPER(D160)),9,1))&gt;=48,CODE(MID(TRIM(UPPER(D160)),9,1))&lt;=57),"N","Y"))</f>
      </c>
      <c r="F160" s="7">
        <f>IF($C160="","",IF(LEN(D160)&lt;4,"",IF(UPPER(MID(D160,4,1))="P","Individual",IF(UPPER(MID(D160,4,1))="H","HUF",IF(UPPER(MID(D160,4,1))="C","Company",IF(UPPER(MID(D160,4,1))="F","Firm",IF(UPPER(MID(D160,4,1))="L","LLP",IF(UPPER(MID(D160,4,1))="T","Trust",IF(UPPER(MID(D160,4,1))="A","AOP","")))))))))</f>
      </c>
      <c r="G160" s="8"/>
      <c r="H160" s="7">
        <f>IF($C160="","",IF(R160&lt;&gt;"",R160,IF(G160="","",IF(E160="Y",SUMPRODUCT(('Rate Lookup'!$A$1:$A$37=G160)*'Rate Lookup'!$D$1:$D$37),IF(OR(F160="Individual",F160="HUF"),SUMPRODUCT(('Rate Lookup'!$A$1:$A$37=G160)*'Rate Lookup'!$B$1:$B$37),SUMPRODUCT(('Rate Lookup'!$A$1:$A$37=G160)*'Rate Lookup'!$C$1:$C$37)))))))</f>
      </c>
      <c r="I160" s="8"/>
      <c r="J160" s="8"/>
      <c r="K160" s="7">
        <f>IF($C160="","",IF(OR(P160="B",P160="D",P160="E",P160="N",P160="O",P160="P",P160="Q",P160="S",P160="Y",P160="Z"),0,ROUND(J160*H160/100,0)))</f>
      </c>
      <c r="L160" s="7">
        <f>IF($C160="","",0)</f>
      </c>
      <c r="M160" s="7">
        <f>IF($C160="","",0)</f>
      </c>
      <c r="N160" s="7">
        <f>IF($C160="","",IF(OR(K160=0,I160="",IFERROR(INDEX('Challan Master'!$D$4:$D$207,MATCH($B160,'Challan Master'!$S$4:$S$207,0)),"")="",IFERROR(INDEX('Challan Master'!$D$4:$D$207,MATCH($B160,'Challan Master'!$S$4:$S$207,0)),"")&lt;=0),0,IF(IFERROR(INDEX('Challan Master'!$D$4:$D$207,MATCH($B160,'Challan Master'!$S$4:$S$207,0)),"")&lt;=DATE(YEAR(I160),MONTH(I160)+1,7),0,ROUND(K160*0.015*((YEAR(IFERROR(INDEX('Challan Master'!$D$4:$D$207,MATCH($B160,'Challan Master'!$S$4:$S$207,0)),""))-YEAR(I160))*12+(MONTH(IFERROR(INDEX('Challan Master'!$D$4:$D$207,MATCH($B160,'Challan Master'!$S$4:$S$207,0)),""))-MONTH(I160))+1),0))))</f>
      </c>
      <c r="O160" s="7">
        <f>IF($C160="","",0)</f>
      </c>
      <c r="P160" s="8"/>
      <c r="Q160" s="8"/>
      <c r="R160" s="8"/>
      <c r="S160" s="8"/>
      <c r="T160" s="8"/>
      <c r="U160" s="7">
        <f>IF($B160="","",IFERROR(INDEX('Challan Master'!$AA$4:$AA$207,MATCH($B160,'Challan Master'!$S$4:$S$207,0)),""))</f>
      </c>
    </row>
    <row r="161" spans="1:22" x14ac:dyDescent="0.25">
      <c r="A161" s="7">
        <f>IF($C161="","",COUNTIF($C$4:$C161,"&lt;&gt;"))</f>
      </c>
      <c r="B161" s="8"/>
      <c r="C161" s="8"/>
      <c r="D161" s="8"/>
      <c r="E161" s="7">
        <f>IF($C161="","",IF(AND(LEN(TRIM(UPPER(D161)))=10,CODE(MID(TRIM(UPPER(D161)),1,1))&gt;=65,CODE(MID(TRIM(UPPER(D161)),1,1))&lt;=90,CODE(MID(TRIM(UPPER(D161)),2,1))&gt;=65,CODE(MID(TRIM(UPPER(D161)),2,1))&lt;=90,CODE(MID(TRIM(UPPER(D161)),3,1))&gt;=65,CODE(MID(TRIM(UPPER(D161)),3,1))&lt;=90,CODE(MID(TRIM(UPPER(D161)),4,1))&gt;=65,CODE(MID(TRIM(UPPER(D161)),4,1))&lt;=90,CODE(MID(TRIM(UPPER(D161)),5,1))&gt;=65,CODE(MID(TRIM(UPPER(D161)),5,1))&lt;=90,CODE(MID(TRIM(UPPER(D161)),10,1))&gt;=65,CODE(MID(TRIM(UPPER(D161)),10,1))&lt;=90,CODE(MID(TRIM(UPPER(D161)),6,1))&gt;=48,CODE(MID(TRIM(UPPER(D161)),6,1))&lt;=57,CODE(MID(TRIM(UPPER(D161)),7,1))&gt;=48,CODE(MID(TRIM(UPPER(D161)),7,1))&lt;=57,CODE(MID(TRIM(UPPER(D161)),8,1))&gt;=48,CODE(MID(TRIM(UPPER(D161)),8,1))&lt;=57,CODE(MID(TRIM(UPPER(D161)),9,1))&gt;=48,CODE(MID(TRIM(UPPER(D161)),9,1))&lt;=57),"N","Y"))</f>
      </c>
      <c r="F161" s="7">
        <f>IF($C161="","",IF(LEN(D161)&lt;4,"",IF(UPPER(MID(D161,4,1))="P","Individual",IF(UPPER(MID(D161,4,1))="H","HUF",IF(UPPER(MID(D161,4,1))="C","Company",IF(UPPER(MID(D161,4,1))="F","Firm",IF(UPPER(MID(D161,4,1))="L","LLP",IF(UPPER(MID(D161,4,1))="T","Trust",IF(UPPER(MID(D161,4,1))="A","AOP","")))))))))</f>
      </c>
      <c r="G161" s="8"/>
      <c r="H161" s="7">
        <f>IF($C161="","",IF(R161&lt;&gt;"",R161,IF(G161="","",IF(E161="Y",SUMPRODUCT(('Rate Lookup'!$A$1:$A$37=G161)*'Rate Lookup'!$D$1:$D$37),IF(OR(F161="Individual",F161="HUF"),SUMPRODUCT(('Rate Lookup'!$A$1:$A$37=G161)*'Rate Lookup'!$B$1:$B$37),SUMPRODUCT(('Rate Lookup'!$A$1:$A$37=G161)*'Rate Lookup'!$C$1:$C$37)))))))</f>
      </c>
      <c r="I161" s="8"/>
      <c r="J161" s="8"/>
      <c r="K161" s="7">
        <f>IF($C161="","",IF(OR(P161="B",P161="D",P161="E",P161="N",P161="O",P161="P",P161="Q",P161="S",P161="Y",P161="Z"),0,ROUND(J161*H161/100,0)))</f>
      </c>
      <c r="L161" s="7">
        <f>IF($C161="","",0)</f>
      </c>
      <c r="M161" s="7">
        <f>IF($C161="","",0)</f>
      </c>
      <c r="N161" s="7">
        <f>IF($C161="","",IF(OR(K161=0,I161="",IFERROR(INDEX('Challan Master'!$D$4:$D$207,MATCH($B161,'Challan Master'!$S$4:$S$207,0)),"")="",IFERROR(INDEX('Challan Master'!$D$4:$D$207,MATCH($B161,'Challan Master'!$S$4:$S$207,0)),"")&lt;=0),0,IF(IFERROR(INDEX('Challan Master'!$D$4:$D$207,MATCH($B161,'Challan Master'!$S$4:$S$207,0)),"")&lt;=DATE(YEAR(I161),MONTH(I161)+1,7),0,ROUND(K161*0.015*((YEAR(IFERROR(INDEX('Challan Master'!$D$4:$D$207,MATCH($B161,'Challan Master'!$S$4:$S$207,0)),""))-YEAR(I161))*12+(MONTH(IFERROR(INDEX('Challan Master'!$D$4:$D$207,MATCH($B161,'Challan Master'!$S$4:$S$207,0)),""))-MONTH(I161))+1),0))))</f>
      </c>
      <c r="O161" s="7">
        <f>IF($C161="","",0)</f>
      </c>
      <c r="P161" s="8"/>
      <c r="Q161" s="8"/>
      <c r="R161" s="8"/>
      <c r="S161" s="8"/>
      <c r="T161" s="8"/>
      <c r="U161" s="7">
        <f>IF($B161="","",IFERROR(INDEX('Challan Master'!$AA$4:$AA$207,MATCH($B161,'Challan Master'!$S$4:$S$207,0)),""))</f>
      </c>
    </row>
    <row r="162" spans="1:22" x14ac:dyDescent="0.25">
      <c r="A162" s="7">
        <f>IF($C162="","",COUNTIF($C$4:$C162,"&lt;&gt;"))</f>
      </c>
      <c r="B162" s="8"/>
      <c r="C162" s="8"/>
      <c r="D162" s="8"/>
      <c r="E162" s="7">
        <f>IF($C162="","",IF(AND(LEN(TRIM(UPPER(D162)))=10,CODE(MID(TRIM(UPPER(D162)),1,1))&gt;=65,CODE(MID(TRIM(UPPER(D162)),1,1))&lt;=90,CODE(MID(TRIM(UPPER(D162)),2,1))&gt;=65,CODE(MID(TRIM(UPPER(D162)),2,1))&lt;=90,CODE(MID(TRIM(UPPER(D162)),3,1))&gt;=65,CODE(MID(TRIM(UPPER(D162)),3,1))&lt;=90,CODE(MID(TRIM(UPPER(D162)),4,1))&gt;=65,CODE(MID(TRIM(UPPER(D162)),4,1))&lt;=90,CODE(MID(TRIM(UPPER(D162)),5,1))&gt;=65,CODE(MID(TRIM(UPPER(D162)),5,1))&lt;=90,CODE(MID(TRIM(UPPER(D162)),10,1))&gt;=65,CODE(MID(TRIM(UPPER(D162)),10,1))&lt;=90,CODE(MID(TRIM(UPPER(D162)),6,1))&gt;=48,CODE(MID(TRIM(UPPER(D162)),6,1))&lt;=57,CODE(MID(TRIM(UPPER(D162)),7,1))&gt;=48,CODE(MID(TRIM(UPPER(D162)),7,1))&lt;=57,CODE(MID(TRIM(UPPER(D162)),8,1))&gt;=48,CODE(MID(TRIM(UPPER(D162)),8,1))&lt;=57,CODE(MID(TRIM(UPPER(D162)),9,1))&gt;=48,CODE(MID(TRIM(UPPER(D162)),9,1))&lt;=57),"N","Y"))</f>
      </c>
      <c r="F162" s="7">
        <f>IF($C162="","",IF(LEN(D162)&lt;4,"",IF(UPPER(MID(D162,4,1))="P","Individual",IF(UPPER(MID(D162,4,1))="H","HUF",IF(UPPER(MID(D162,4,1))="C","Company",IF(UPPER(MID(D162,4,1))="F","Firm",IF(UPPER(MID(D162,4,1))="L","LLP",IF(UPPER(MID(D162,4,1))="T","Trust",IF(UPPER(MID(D162,4,1))="A","AOP","")))))))))</f>
      </c>
      <c r="G162" s="8"/>
      <c r="H162" s="7">
        <f>IF($C162="","",IF(R162&lt;&gt;"",R162,IF(G162="","",IF(E162="Y",SUMPRODUCT(('Rate Lookup'!$A$1:$A$37=G162)*'Rate Lookup'!$D$1:$D$37),IF(OR(F162="Individual",F162="HUF"),SUMPRODUCT(('Rate Lookup'!$A$1:$A$37=G162)*'Rate Lookup'!$B$1:$B$37),SUMPRODUCT(('Rate Lookup'!$A$1:$A$37=G162)*'Rate Lookup'!$C$1:$C$37)))))))</f>
      </c>
      <c r="I162" s="8"/>
      <c r="J162" s="8"/>
      <c r="K162" s="7">
        <f>IF($C162="","",IF(OR(P162="B",P162="D",P162="E",P162="N",P162="O",P162="P",P162="Q",P162="S",P162="Y",P162="Z"),0,ROUND(J162*H162/100,0)))</f>
      </c>
      <c r="L162" s="7">
        <f>IF($C162="","",0)</f>
      </c>
      <c r="M162" s="7">
        <f>IF($C162="","",0)</f>
      </c>
      <c r="N162" s="7">
        <f>IF($C162="","",IF(OR(K162=0,I162="",IFERROR(INDEX('Challan Master'!$D$4:$D$207,MATCH($B162,'Challan Master'!$S$4:$S$207,0)),"")="",IFERROR(INDEX('Challan Master'!$D$4:$D$207,MATCH($B162,'Challan Master'!$S$4:$S$207,0)),"")&lt;=0),0,IF(IFERROR(INDEX('Challan Master'!$D$4:$D$207,MATCH($B162,'Challan Master'!$S$4:$S$207,0)),"")&lt;=DATE(YEAR(I162),MONTH(I162)+1,7),0,ROUND(K162*0.015*((YEAR(IFERROR(INDEX('Challan Master'!$D$4:$D$207,MATCH($B162,'Challan Master'!$S$4:$S$207,0)),""))-YEAR(I162))*12+(MONTH(IFERROR(INDEX('Challan Master'!$D$4:$D$207,MATCH($B162,'Challan Master'!$S$4:$S$207,0)),""))-MONTH(I162))+1),0))))</f>
      </c>
      <c r="O162" s="7">
        <f>IF($C162="","",0)</f>
      </c>
      <c r="P162" s="8"/>
      <c r="Q162" s="8"/>
      <c r="R162" s="8"/>
      <c r="S162" s="8"/>
      <c r="T162" s="8"/>
      <c r="U162" s="7">
        <f>IF($B162="","",IFERROR(INDEX('Challan Master'!$AA$4:$AA$207,MATCH($B162,'Challan Master'!$S$4:$S$207,0)),""))</f>
      </c>
    </row>
    <row r="163" spans="1:22" x14ac:dyDescent="0.25">
      <c r="A163" s="7">
        <f>IF($C163="","",COUNTIF($C$4:$C163,"&lt;&gt;"))</f>
      </c>
      <c r="B163" s="8"/>
      <c r="C163" s="8"/>
      <c r="D163" s="8"/>
      <c r="E163" s="7">
        <f>IF($C163="","",IF(AND(LEN(TRIM(UPPER(D163)))=10,CODE(MID(TRIM(UPPER(D163)),1,1))&gt;=65,CODE(MID(TRIM(UPPER(D163)),1,1))&lt;=90,CODE(MID(TRIM(UPPER(D163)),2,1))&gt;=65,CODE(MID(TRIM(UPPER(D163)),2,1))&lt;=90,CODE(MID(TRIM(UPPER(D163)),3,1))&gt;=65,CODE(MID(TRIM(UPPER(D163)),3,1))&lt;=90,CODE(MID(TRIM(UPPER(D163)),4,1))&gt;=65,CODE(MID(TRIM(UPPER(D163)),4,1))&lt;=90,CODE(MID(TRIM(UPPER(D163)),5,1))&gt;=65,CODE(MID(TRIM(UPPER(D163)),5,1))&lt;=90,CODE(MID(TRIM(UPPER(D163)),10,1))&gt;=65,CODE(MID(TRIM(UPPER(D163)),10,1))&lt;=90,CODE(MID(TRIM(UPPER(D163)),6,1))&gt;=48,CODE(MID(TRIM(UPPER(D163)),6,1))&lt;=57,CODE(MID(TRIM(UPPER(D163)),7,1))&gt;=48,CODE(MID(TRIM(UPPER(D163)),7,1))&lt;=57,CODE(MID(TRIM(UPPER(D163)),8,1))&gt;=48,CODE(MID(TRIM(UPPER(D163)),8,1))&lt;=57,CODE(MID(TRIM(UPPER(D163)),9,1))&gt;=48,CODE(MID(TRIM(UPPER(D163)),9,1))&lt;=57),"N","Y"))</f>
      </c>
      <c r="F163" s="7">
        <f>IF($C163="","",IF(LEN(D163)&lt;4,"",IF(UPPER(MID(D163,4,1))="P","Individual",IF(UPPER(MID(D163,4,1))="H","HUF",IF(UPPER(MID(D163,4,1))="C","Company",IF(UPPER(MID(D163,4,1))="F","Firm",IF(UPPER(MID(D163,4,1))="L","LLP",IF(UPPER(MID(D163,4,1))="T","Trust",IF(UPPER(MID(D163,4,1))="A","AOP","")))))))))</f>
      </c>
      <c r="G163" s="8"/>
      <c r="H163" s="7">
        <f>IF($C163="","",IF(R163&lt;&gt;"",R163,IF(G163="","",IF(E163="Y",SUMPRODUCT(('Rate Lookup'!$A$1:$A$37=G163)*'Rate Lookup'!$D$1:$D$37),IF(OR(F163="Individual",F163="HUF"),SUMPRODUCT(('Rate Lookup'!$A$1:$A$37=G163)*'Rate Lookup'!$B$1:$B$37),SUMPRODUCT(('Rate Lookup'!$A$1:$A$37=G163)*'Rate Lookup'!$C$1:$C$37)))))))</f>
      </c>
      <c r="I163" s="8"/>
      <c r="J163" s="8"/>
      <c r="K163" s="7">
        <f>IF($C163="","",IF(OR(P163="B",P163="D",P163="E",P163="N",P163="O",P163="P",P163="Q",P163="S",P163="Y",P163="Z"),0,ROUND(J163*H163/100,0)))</f>
      </c>
      <c r="L163" s="7">
        <f>IF($C163="","",0)</f>
      </c>
      <c r="M163" s="7">
        <f>IF($C163="","",0)</f>
      </c>
      <c r="N163" s="7">
        <f>IF($C163="","",IF(OR(K163=0,I163="",IFERROR(INDEX('Challan Master'!$D$4:$D$207,MATCH($B163,'Challan Master'!$S$4:$S$207,0)),"")="",IFERROR(INDEX('Challan Master'!$D$4:$D$207,MATCH($B163,'Challan Master'!$S$4:$S$207,0)),"")&lt;=0),0,IF(IFERROR(INDEX('Challan Master'!$D$4:$D$207,MATCH($B163,'Challan Master'!$S$4:$S$207,0)),"")&lt;=DATE(YEAR(I163),MONTH(I163)+1,7),0,ROUND(K163*0.015*((YEAR(IFERROR(INDEX('Challan Master'!$D$4:$D$207,MATCH($B163,'Challan Master'!$S$4:$S$207,0)),""))-YEAR(I163))*12+(MONTH(IFERROR(INDEX('Challan Master'!$D$4:$D$207,MATCH($B163,'Challan Master'!$S$4:$S$207,0)),""))-MONTH(I163))+1),0))))</f>
      </c>
      <c r="O163" s="7">
        <f>IF($C163="","",0)</f>
      </c>
      <c r="P163" s="8"/>
      <c r="Q163" s="8"/>
      <c r="R163" s="8"/>
      <c r="S163" s="8"/>
      <c r="T163" s="8"/>
      <c r="U163" s="7">
        <f>IF($B163="","",IFERROR(INDEX('Challan Master'!$AA$4:$AA$207,MATCH($B163,'Challan Master'!$S$4:$S$207,0)),""))</f>
      </c>
    </row>
    <row r="164" spans="1:22" x14ac:dyDescent="0.25">
      <c r="A164" s="7">
        <f>IF($C164="","",COUNTIF($C$4:$C164,"&lt;&gt;"))</f>
      </c>
      <c r="B164" s="8"/>
      <c r="C164" s="8"/>
      <c r="D164" s="8"/>
      <c r="E164" s="7">
        <f>IF($C164="","",IF(AND(LEN(TRIM(UPPER(D164)))=10,CODE(MID(TRIM(UPPER(D164)),1,1))&gt;=65,CODE(MID(TRIM(UPPER(D164)),1,1))&lt;=90,CODE(MID(TRIM(UPPER(D164)),2,1))&gt;=65,CODE(MID(TRIM(UPPER(D164)),2,1))&lt;=90,CODE(MID(TRIM(UPPER(D164)),3,1))&gt;=65,CODE(MID(TRIM(UPPER(D164)),3,1))&lt;=90,CODE(MID(TRIM(UPPER(D164)),4,1))&gt;=65,CODE(MID(TRIM(UPPER(D164)),4,1))&lt;=90,CODE(MID(TRIM(UPPER(D164)),5,1))&gt;=65,CODE(MID(TRIM(UPPER(D164)),5,1))&lt;=90,CODE(MID(TRIM(UPPER(D164)),10,1))&gt;=65,CODE(MID(TRIM(UPPER(D164)),10,1))&lt;=90,CODE(MID(TRIM(UPPER(D164)),6,1))&gt;=48,CODE(MID(TRIM(UPPER(D164)),6,1))&lt;=57,CODE(MID(TRIM(UPPER(D164)),7,1))&gt;=48,CODE(MID(TRIM(UPPER(D164)),7,1))&lt;=57,CODE(MID(TRIM(UPPER(D164)),8,1))&gt;=48,CODE(MID(TRIM(UPPER(D164)),8,1))&lt;=57,CODE(MID(TRIM(UPPER(D164)),9,1))&gt;=48,CODE(MID(TRIM(UPPER(D164)),9,1))&lt;=57),"N","Y"))</f>
      </c>
      <c r="F164" s="7">
        <f>IF($C164="","",IF(LEN(D164)&lt;4,"",IF(UPPER(MID(D164,4,1))="P","Individual",IF(UPPER(MID(D164,4,1))="H","HUF",IF(UPPER(MID(D164,4,1))="C","Company",IF(UPPER(MID(D164,4,1))="F","Firm",IF(UPPER(MID(D164,4,1))="L","LLP",IF(UPPER(MID(D164,4,1))="T","Trust",IF(UPPER(MID(D164,4,1))="A","AOP","")))))))))</f>
      </c>
      <c r="G164" s="8"/>
      <c r="H164" s="7">
        <f>IF($C164="","",IF(R164&lt;&gt;"",R164,IF(G164="","",IF(E164="Y",SUMPRODUCT(('Rate Lookup'!$A$1:$A$37=G164)*'Rate Lookup'!$D$1:$D$37),IF(OR(F164="Individual",F164="HUF"),SUMPRODUCT(('Rate Lookup'!$A$1:$A$37=G164)*'Rate Lookup'!$B$1:$B$37),SUMPRODUCT(('Rate Lookup'!$A$1:$A$37=G164)*'Rate Lookup'!$C$1:$C$37)))))))</f>
      </c>
      <c r="I164" s="8"/>
      <c r="J164" s="8"/>
      <c r="K164" s="7">
        <f>IF($C164="","",IF(OR(P164="B",P164="D",P164="E",P164="N",P164="O",P164="P",P164="Q",P164="S",P164="Y",P164="Z"),0,ROUND(J164*H164/100,0)))</f>
      </c>
      <c r="L164" s="7">
        <f>IF($C164="","",0)</f>
      </c>
      <c r="M164" s="7">
        <f>IF($C164="","",0)</f>
      </c>
      <c r="N164" s="7">
        <f>IF($C164="","",IF(OR(K164=0,I164="",IFERROR(INDEX('Challan Master'!$D$4:$D$207,MATCH($B164,'Challan Master'!$S$4:$S$207,0)),"")="",IFERROR(INDEX('Challan Master'!$D$4:$D$207,MATCH($B164,'Challan Master'!$S$4:$S$207,0)),"")&lt;=0),0,IF(IFERROR(INDEX('Challan Master'!$D$4:$D$207,MATCH($B164,'Challan Master'!$S$4:$S$207,0)),"")&lt;=DATE(YEAR(I164),MONTH(I164)+1,7),0,ROUND(K164*0.015*((YEAR(IFERROR(INDEX('Challan Master'!$D$4:$D$207,MATCH($B164,'Challan Master'!$S$4:$S$207,0)),""))-YEAR(I164))*12+(MONTH(IFERROR(INDEX('Challan Master'!$D$4:$D$207,MATCH($B164,'Challan Master'!$S$4:$S$207,0)),""))-MONTH(I164))+1),0))))</f>
      </c>
      <c r="O164" s="7">
        <f>IF($C164="","",0)</f>
      </c>
      <c r="P164" s="8"/>
      <c r="Q164" s="8"/>
      <c r="R164" s="8"/>
      <c r="S164" s="8"/>
      <c r="T164" s="8"/>
      <c r="U164" s="7">
        <f>IF($B164="","",IFERROR(INDEX('Challan Master'!$AA$4:$AA$207,MATCH($B164,'Challan Master'!$S$4:$S$207,0)),""))</f>
      </c>
    </row>
    <row r="165" spans="1:22" x14ac:dyDescent="0.25">
      <c r="A165" s="7">
        <f>IF($C165="","",COUNTIF($C$4:$C165,"&lt;&gt;"))</f>
      </c>
      <c r="B165" s="8"/>
      <c r="C165" s="8"/>
      <c r="D165" s="8"/>
      <c r="E165" s="7">
        <f>IF($C165="","",IF(AND(LEN(TRIM(UPPER(D165)))=10,CODE(MID(TRIM(UPPER(D165)),1,1))&gt;=65,CODE(MID(TRIM(UPPER(D165)),1,1))&lt;=90,CODE(MID(TRIM(UPPER(D165)),2,1))&gt;=65,CODE(MID(TRIM(UPPER(D165)),2,1))&lt;=90,CODE(MID(TRIM(UPPER(D165)),3,1))&gt;=65,CODE(MID(TRIM(UPPER(D165)),3,1))&lt;=90,CODE(MID(TRIM(UPPER(D165)),4,1))&gt;=65,CODE(MID(TRIM(UPPER(D165)),4,1))&lt;=90,CODE(MID(TRIM(UPPER(D165)),5,1))&gt;=65,CODE(MID(TRIM(UPPER(D165)),5,1))&lt;=90,CODE(MID(TRIM(UPPER(D165)),10,1))&gt;=65,CODE(MID(TRIM(UPPER(D165)),10,1))&lt;=90,CODE(MID(TRIM(UPPER(D165)),6,1))&gt;=48,CODE(MID(TRIM(UPPER(D165)),6,1))&lt;=57,CODE(MID(TRIM(UPPER(D165)),7,1))&gt;=48,CODE(MID(TRIM(UPPER(D165)),7,1))&lt;=57,CODE(MID(TRIM(UPPER(D165)),8,1))&gt;=48,CODE(MID(TRIM(UPPER(D165)),8,1))&lt;=57,CODE(MID(TRIM(UPPER(D165)),9,1))&gt;=48,CODE(MID(TRIM(UPPER(D165)),9,1))&lt;=57),"N","Y"))</f>
      </c>
      <c r="F165" s="7">
        <f>IF($C165="","",IF(LEN(D165)&lt;4,"",IF(UPPER(MID(D165,4,1))="P","Individual",IF(UPPER(MID(D165,4,1))="H","HUF",IF(UPPER(MID(D165,4,1))="C","Company",IF(UPPER(MID(D165,4,1))="F","Firm",IF(UPPER(MID(D165,4,1))="L","LLP",IF(UPPER(MID(D165,4,1))="T","Trust",IF(UPPER(MID(D165,4,1))="A","AOP","")))))))))</f>
      </c>
      <c r="G165" s="8"/>
      <c r="H165" s="7">
        <f>IF($C165="","",IF(R165&lt;&gt;"",R165,IF(G165="","",IF(E165="Y",SUMPRODUCT(('Rate Lookup'!$A$1:$A$37=G165)*'Rate Lookup'!$D$1:$D$37),IF(OR(F165="Individual",F165="HUF"),SUMPRODUCT(('Rate Lookup'!$A$1:$A$37=G165)*'Rate Lookup'!$B$1:$B$37),SUMPRODUCT(('Rate Lookup'!$A$1:$A$37=G165)*'Rate Lookup'!$C$1:$C$37)))))))</f>
      </c>
      <c r="I165" s="8"/>
      <c r="J165" s="8"/>
      <c r="K165" s="7">
        <f>IF($C165="","",IF(OR(P165="B",P165="D",P165="E",P165="N",P165="O",P165="P",P165="Q",P165="S",P165="Y",P165="Z"),0,ROUND(J165*H165/100,0)))</f>
      </c>
      <c r="L165" s="7">
        <f>IF($C165="","",0)</f>
      </c>
      <c r="M165" s="7">
        <f>IF($C165="","",0)</f>
      </c>
      <c r="N165" s="7">
        <f>IF($C165="","",IF(OR(K165=0,I165="",IFERROR(INDEX('Challan Master'!$D$4:$D$207,MATCH($B165,'Challan Master'!$S$4:$S$207,0)),"")="",IFERROR(INDEX('Challan Master'!$D$4:$D$207,MATCH($B165,'Challan Master'!$S$4:$S$207,0)),"")&lt;=0),0,IF(IFERROR(INDEX('Challan Master'!$D$4:$D$207,MATCH($B165,'Challan Master'!$S$4:$S$207,0)),"")&lt;=DATE(YEAR(I165),MONTH(I165)+1,7),0,ROUND(K165*0.015*((YEAR(IFERROR(INDEX('Challan Master'!$D$4:$D$207,MATCH($B165,'Challan Master'!$S$4:$S$207,0)),""))-YEAR(I165))*12+(MONTH(IFERROR(INDEX('Challan Master'!$D$4:$D$207,MATCH($B165,'Challan Master'!$S$4:$S$207,0)),""))-MONTH(I165))+1),0))))</f>
      </c>
      <c r="O165" s="7">
        <f>IF($C165="","",0)</f>
      </c>
      <c r="P165" s="8"/>
      <c r="Q165" s="8"/>
      <c r="R165" s="8"/>
      <c r="S165" s="8"/>
      <c r="T165" s="8"/>
      <c r="U165" s="7">
        <f>IF($B165="","",IFERROR(INDEX('Challan Master'!$AA$4:$AA$207,MATCH($B165,'Challan Master'!$S$4:$S$207,0)),""))</f>
      </c>
    </row>
    <row r="166" spans="1:22" x14ac:dyDescent="0.25">
      <c r="A166" s="7">
        <f>IF($C166="","",COUNTIF($C$4:$C166,"&lt;&gt;"))</f>
      </c>
      <c r="B166" s="8"/>
      <c r="C166" s="8"/>
      <c r="D166" s="8"/>
      <c r="E166" s="7">
        <f>IF($C166="","",IF(AND(LEN(TRIM(UPPER(D166)))=10,CODE(MID(TRIM(UPPER(D166)),1,1))&gt;=65,CODE(MID(TRIM(UPPER(D166)),1,1))&lt;=90,CODE(MID(TRIM(UPPER(D166)),2,1))&gt;=65,CODE(MID(TRIM(UPPER(D166)),2,1))&lt;=90,CODE(MID(TRIM(UPPER(D166)),3,1))&gt;=65,CODE(MID(TRIM(UPPER(D166)),3,1))&lt;=90,CODE(MID(TRIM(UPPER(D166)),4,1))&gt;=65,CODE(MID(TRIM(UPPER(D166)),4,1))&lt;=90,CODE(MID(TRIM(UPPER(D166)),5,1))&gt;=65,CODE(MID(TRIM(UPPER(D166)),5,1))&lt;=90,CODE(MID(TRIM(UPPER(D166)),10,1))&gt;=65,CODE(MID(TRIM(UPPER(D166)),10,1))&lt;=90,CODE(MID(TRIM(UPPER(D166)),6,1))&gt;=48,CODE(MID(TRIM(UPPER(D166)),6,1))&lt;=57,CODE(MID(TRIM(UPPER(D166)),7,1))&gt;=48,CODE(MID(TRIM(UPPER(D166)),7,1))&lt;=57,CODE(MID(TRIM(UPPER(D166)),8,1))&gt;=48,CODE(MID(TRIM(UPPER(D166)),8,1))&lt;=57,CODE(MID(TRIM(UPPER(D166)),9,1))&gt;=48,CODE(MID(TRIM(UPPER(D166)),9,1))&lt;=57),"N","Y"))</f>
      </c>
      <c r="F166" s="7">
        <f>IF($C166="","",IF(LEN(D166)&lt;4,"",IF(UPPER(MID(D166,4,1))="P","Individual",IF(UPPER(MID(D166,4,1))="H","HUF",IF(UPPER(MID(D166,4,1))="C","Company",IF(UPPER(MID(D166,4,1))="F","Firm",IF(UPPER(MID(D166,4,1))="L","LLP",IF(UPPER(MID(D166,4,1))="T","Trust",IF(UPPER(MID(D166,4,1))="A","AOP","")))))))))</f>
      </c>
      <c r="G166" s="8"/>
      <c r="H166" s="7">
        <f>IF($C166="","",IF(R166&lt;&gt;"",R166,IF(G166="","",IF(E166="Y",SUMPRODUCT(('Rate Lookup'!$A$1:$A$37=G166)*'Rate Lookup'!$D$1:$D$37),IF(OR(F166="Individual",F166="HUF"),SUMPRODUCT(('Rate Lookup'!$A$1:$A$37=G166)*'Rate Lookup'!$B$1:$B$37),SUMPRODUCT(('Rate Lookup'!$A$1:$A$37=G166)*'Rate Lookup'!$C$1:$C$37)))))))</f>
      </c>
      <c r="I166" s="8"/>
      <c r="J166" s="8"/>
      <c r="K166" s="7">
        <f>IF($C166="","",IF(OR(P166="B",P166="D",P166="E",P166="N",P166="O",P166="P",P166="Q",P166="S",P166="Y",P166="Z"),0,ROUND(J166*H166/100,0)))</f>
      </c>
      <c r="L166" s="7">
        <f>IF($C166="","",0)</f>
      </c>
      <c r="M166" s="7">
        <f>IF($C166="","",0)</f>
      </c>
      <c r="N166" s="7">
        <f>IF($C166="","",IF(OR(K166=0,I166="",IFERROR(INDEX('Challan Master'!$D$4:$D$207,MATCH($B166,'Challan Master'!$S$4:$S$207,0)),"")="",IFERROR(INDEX('Challan Master'!$D$4:$D$207,MATCH($B166,'Challan Master'!$S$4:$S$207,0)),"")&lt;=0),0,IF(IFERROR(INDEX('Challan Master'!$D$4:$D$207,MATCH($B166,'Challan Master'!$S$4:$S$207,0)),"")&lt;=DATE(YEAR(I166),MONTH(I166)+1,7),0,ROUND(K166*0.015*((YEAR(IFERROR(INDEX('Challan Master'!$D$4:$D$207,MATCH($B166,'Challan Master'!$S$4:$S$207,0)),""))-YEAR(I166))*12+(MONTH(IFERROR(INDEX('Challan Master'!$D$4:$D$207,MATCH($B166,'Challan Master'!$S$4:$S$207,0)),""))-MONTH(I166))+1),0))))</f>
      </c>
      <c r="O166" s="7">
        <f>IF($C166="","",0)</f>
      </c>
      <c r="P166" s="8"/>
      <c r="Q166" s="8"/>
      <c r="R166" s="8"/>
      <c r="S166" s="8"/>
      <c r="T166" s="8"/>
      <c r="U166" s="7">
        <f>IF($B166="","",IFERROR(INDEX('Challan Master'!$AA$4:$AA$207,MATCH($B166,'Challan Master'!$S$4:$S$207,0)),""))</f>
      </c>
    </row>
    <row r="167" spans="1:22" x14ac:dyDescent="0.25">
      <c r="A167" s="7">
        <f>IF($C167="","",COUNTIF($C$4:$C167,"&lt;&gt;"))</f>
      </c>
      <c r="B167" s="8"/>
      <c r="C167" s="8"/>
      <c r="D167" s="8"/>
      <c r="E167" s="7">
        <f>IF($C167="","",IF(AND(LEN(TRIM(UPPER(D167)))=10,CODE(MID(TRIM(UPPER(D167)),1,1))&gt;=65,CODE(MID(TRIM(UPPER(D167)),1,1))&lt;=90,CODE(MID(TRIM(UPPER(D167)),2,1))&gt;=65,CODE(MID(TRIM(UPPER(D167)),2,1))&lt;=90,CODE(MID(TRIM(UPPER(D167)),3,1))&gt;=65,CODE(MID(TRIM(UPPER(D167)),3,1))&lt;=90,CODE(MID(TRIM(UPPER(D167)),4,1))&gt;=65,CODE(MID(TRIM(UPPER(D167)),4,1))&lt;=90,CODE(MID(TRIM(UPPER(D167)),5,1))&gt;=65,CODE(MID(TRIM(UPPER(D167)),5,1))&lt;=90,CODE(MID(TRIM(UPPER(D167)),10,1))&gt;=65,CODE(MID(TRIM(UPPER(D167)),10,1))&lt;=90,CODE(MID(TRIM(UPPER(D167)),6,1))&gt;=48,CODE(MID(TRIM(UPPER(D167)),6,1))&lt;=57,CODE(MID(TRIM(UPPER(D167)),7,1))&gt;=48,CODE(MID(TRIM(UPPER(D167)),7,1))&lt;=57,CODE(MID(TRIM(UPPER(D167)),8,1))&gt;=48,CODE(MID(TRIM(UPPER(D167)),8,1))&lt;=57,CODE(MID(TRIM(UPPER(D167)),9,1))&gt;=48,CODE(MID(TRIM(UPPER(D167)),9,1))&lt;=57),"N","Y"))</f>
      </c>
      <c r="F167" s="7">
        <f>IF($C167="","",IF(LEN(D167)&lt;4,"",IF(UPPER(MID(D167,4,1))="P","Individual",IF(UPPER(MID(D167,4,1))="H","HUF",IF(UPPER(MID(D167,4,1))="C","Company",IF(UPPER(MID(D167,4,1))="F","Firm",IF(UPPER(MID(D167,4,1))="L","LLP",IF(UPPER(MID(D167,4,1))="T","Trust",IF(UPPER(MID(D167,4,1))="A","AOP","")))))))))</f>
      </c>
      <c r="G167" s="8"/>
      <c r="H167" s="7">
        <f>IF($C167="","",IF(R167&lt;&gt;"",R167,IF(G167="","",IF(E167="Y",SUMPRODUCT(('Rate Lookup'!$A$1:$A$37=G167)*'Rate Lookup'!$D$1:$D$37),IF(OR(F167="Individual",F167="HUF"),SUMPRODUCT(('Rate Lookup'!$A$1:$A$37=G167)*'Rate Lookup'!$B$1:$B$37),SUMPRODUCT(('Rate Lookup'!$A$1:$A$37=G167)*'Rate Lookup'!$C$1:$C$37)))))))</f>
      </c>
      <c r="I167" s="8"/>
      <c r="J167" s="8"/>
      <c r="K167" s="7">
        <f>IF($C167="","",IF(OR(P167="B",P167="D",P167="E",P167="N",P167="O",P167="P",P167="Q",P167="S",P167="Y",P167="Z"),0,ROUND(J167*H167/100,0)))</f>
      </c>
      <c r="L167" s="7">
        <f>IF($C167="","",0)</f>
      </c>
      <c r="M167" s="7">
        <f>IF($C167="","",0)</f>
      </c>
      <c r="N167" s="7">
        <f>IF($C167="","",IF(OR(K167=0,I167="",IFERROR(INDEX('Challan Master'!$D$4:$D$207,MATCH($B167,'Challan Master'!$S$4:$S$207,0)),"")="",IFERROR(INDEX('Challan Master'!$D$4:$D$207,MATCH($B167,'Challan Master'!$S$4:$S$207,0)),"")&lt;=0),0,IF(IFERROR(INDEX('Challan Master'!$D$4:$D$207,MATCH($B167,'Challan Master'!$S$4:$S$207,0)),"")&lt;=DATE(YEAR(I167),MONTH(I167)+1,7),0,ROUND(K167*0.015*((YEAR(IFERROR(INDEX('Challan Master'!$D$4:$D$207,MATCH($B167,'Challan Master'!$S$4:$S$207,0)),""))-YEAR(I167))*12+(MONTH(IFERROR(INDEX('Challan Master'!$D$4:$D$207,MATCH($B167,'Challan Master'!$S$4:$S$207,0)),""))-MONTH(I167))+1),0))))</f>
      </c>
      <c r="O167" s="7">
        <f>IF($C167="","",0)</f>
      </c>
      <c r="P167" s="8"/>
      <c r="Q167" s="8"/>
      <c r="R167" s="8"/>
      <c r="S167" s="8"/>
      <c r="T167" s="8"/>
      <c r="U167" s="7">
        <f>IF($B167="","",IFERROR(INDEX('Challan Master'!$AA$4:$AA$207,MATCH($B167,'Challan Master'!$S$4:$S$207,0)),""))</f>
      </c>
    </row>
    <row r="168" spans="1:22" x14ac:dyDescent="0.25">
      <c r="A168" s="7">
        <f>IF($C168="","",COUNTIF($C$4:$C168,"&lt;&gt;"))</f>
      </c>
      <c r="B168" s="8"/>
      <c r="C168" s="8"/>
      <c r="D168" s="8"/>
      <c r="E168" s="7">
        <f>IF($C168="","",IF(AND(LEN(TRIM(UPPER(D168)))=10,CODE(MID(TRIM(UPPER(D168)),1,1))&gt;=65,CODE(MID(TRIM(UPPER(D168)),1,1))&lt;=90,CODE(MID(TRIM(UPPER(D168)),2,1))&gt;=65,CODE(MID(TRIM(UPPER(D168)),2,1))&lt;=90,CODE(MID(TRIM(UPPER(D168)),3,1))&gt;=65,CODE(MID(TRIM(UPPER(D168)),3,1))&lt;=90,CODE(MID(TRIM(UPPER(D168)),4,1))&gt;=65,CODE(MID(TRIM(UPPER(D168)),4,1))&lt;=90,CODE(MID(TRIM(UPPER(D168)),5,1))&gt;=65,CODE(MID(TRIM(UPPER(D168)),5,1))&lt;=90,CODE(MID(TRIM(UPPER(D168)),10,1))&gt;=65,CODE(MID(TRIM(UPPER(D168)),10,1))&lt;=90,CODE(MID(TRIM(UPPER(D168)),6,1))&gt;=48,CODE(MID(TRIM(UPPER(D168)),6,1))&lt;=57,CODE(MID(TRIM(UPPER(D168)),7,1))&gt;=48,CODE(MID(TRIM(UPPER(D168)),7,1))&lt;=57,CODE(MID(TRIM(UPPER(D168)),8,1))&gt;=48,CODE(MID(TRIM(UPPER(D168)),8,1))&lt;=57,CODE(MID(TRIM(UPPER(D168)),9,1))&gt;=48,CODE(MID(TRIM(UPPER(D168)),9,1))&lt;=57),"N","Y"))</f>
      </c>
      <c r="F168" s="7">
        <f>IF($C168="","",IF(LEN(D168)&lt;4,"",IF(UPPER(MID(D168,4,1))="P","Individual",IF(UPPER(MID(D168,4,1))="H","HUF",IF(UPPER(MID(D168,4,1))="C","Company",IF(UPPER(MID(D168,4,1))="F","Firm",IF(UPPER(MID(D168,4,1))="L","LLP",IF(UPPER(MID(D168,4,1))="T","Trust",IF(UPPER(MID(D168,4,1))="A","AOP","")))))))))</f>
      </c>
      <c r="G168" s="8"/>
      <c r="H168" s="7">
        <f>IF($C168="","",IF(R168&lt;&gt;"",R168,IF(G168="","",IF(E168="Y",SUMPRODUCT(('Rate Lookup'!$A$1:$A$37=G168)*'Rate Lookup'!$D$1:$D$37),IF(OR(F168="Individual",F168="HUF"),SUMPRODUCT(('Rate Lookup'!$A$1:$A$37=G168)*'Rate Lookup'!$B$1:$B$37),SUMPRODUCT(('Rate Lookup'!$A$1:$A$37=G168)*'Rate Lookup'!$C$1:$C$37)))))))</f>
      </c>
      <c r="I168" s="8"/>
      <c r="J168" s="8"/>
      <c r="K168" s="7">
        <f>IF($C168="","",IF(OR(P168="B",P168="D",P168="E",P168="N",P168="O",P168="P",P168="Q",P168="S",P168="Y",P168="Z"),0,ROUND(J168*H168/100,0)))</f>
      </c>
      <c r="L168" s="7">
        <f>IF($C168="","",0)</f>
      </c>
      <c r="M168" s="7">
        <f>IF($C168="","",0)</f>
      </c>
      <c r="N168" s="7">
        <f>IF($C168="","",IF(OR(K168=0,I168="",IFERROR(INDEX('Challan Master'!$D$4:$D$207,MATCH($B168,'Challan Master'!$S$4:$S$207,0)),"")="",IFERROR(INDEX('Challan Master'!$D$4:$D$207,MATCH($B168,'Challan Master'!$S$4:$S$207,0)),"")&lt;=0),0,IF(IFERROR(INDEX('Challan Master'!$D$4:$D$207,MATCH($B168,'Challan Master'!$S$4:$S$207,0)),"")&lt;=DATE(YEAR(I168),MONTH(I168)+1,7),0,ROUND(K168*0.015*((YEAR(IFERROR(INDEX('Challan Master'!$D$4:$D$207,MATCH($B168,'Challan Master'!$S$4:$S$207,0)),""))-YEAR(I168))*12+(MONTH(IFERROR(INDEX('Challan Master'!$D$4:$D$207,MATCH($B168,'Challan Master'!$S$4:$S$207,0)),""))-MONTH(I168))+1),0))))</f>
      </c>
      <c r="O168" s="7">
        <f>IF($C168="","",0)</f>
      </c>
      <c r="P168" s="8"/>
      <c r="Q168" s="8"/>
      <c r="R168" s="8"/>
      <c r="S168" s="8"/>
      <c r="T168" s="8"/>
      <c r="U168" s="7">
        <f>IF($B168="","",IFERROR(INDEX('Challan Master'!$AA$4:$AA$207,MATCH($B168,'Challan Master'!$S$4:$S$207,0)),""))</f>
      </c>
    </row>
    <row r="169" spans="1:22" x14ac:dyDescent="0.25">
      <c r="A169" s="7">
        <f>IF($C169="","",COUNTIF($C$4:$C169,"&lt;&gt;"))</f>
      </c>
      <c r="B169" s="8"/>
      <c r="C169" s="8"/>
      <c r="D169" s="8"/>
      <c r="E169" s="7">
        <f>IF($C169="","",IF(AND(LEN(TRIM(UPPER(D169)))=10,CODE(MID(TRIM(UPPER(D169)),1,1))&gt;=65,CODE(MID(TRIM(UPPER(D169)),1,1))&lt;=90,CODE(MID(TRIM(UPPER(D169)),2,1))&gt;=65,CODE(MID(TRIM(UPPER(D169)),2,1))&lt;=90,CODE(MID(TRIM(UPPER(D169)),3,1))&gt;=65,CODE(MID(TRIM(UPPER(D169)),3,1))&lt;=90,CODE(MID(TRIM(UPPER(D169)),4,1))&gt;=65,CODE(MID(TRIM(UPPER(D169)),4,1))&lt;=90,CODE(MID(TRIM(UPPER(D169)),5,1))&gt;=65,CODE(MID(TRIM(UPPER(D169)),5,1))&lt;=90,CODE(MID(TRIM(UPPER(D169)),10,1))&gt;=65,CODE(MID(TRIM(UPPER(D169)),10,1))&lt;=90,CODE(MID(TRIM(UPPER(D169)),6,1))&gt;=48,CODE(MID(TRIM(UPPER(D169)),6,1))&lt;=57,CODE(MID(TRIM(UPPER(D169)),7,1))&gt;=48,CODE(MID(TRIM(UPPER(D169)),7,1))&lt;=57,CODE(MID(TRIM(UPPER(D169)),8,1))&gt;=48,CODE(MID(TRIM(UPPER(D169)),8,1))&lt;=57,CODE(MID(TRIM(UPPER(D169)),9,1))&gt;=48,CODE(MID(TRIM(UPPER(D169)),9,1))&lt;=57),"N","Y"))</f>
      </c>
      <c r="F169" s="7">
        <f>IF($C169="","",IF(LEN(D169)&lt;4,"",IF(UPPER(MID(D169,4,1))="P","Individual",IF(UPPER(MID(D169,4,1))="H","HUF",IF(UPPER(MID(D169,4,1))="C","Company",IF(UPPER(MID(D169,4,1))="F","Firm",IF(UPPER(MID(D169,4,1))="L","LLP",IF(UPPER(MID(D169,4,1))="T","Trust",IF(UPPER(MID(D169,4,1))="A","AOP","")))))))))</f>
      </c>
      <c r="G169" s="8"/>
      <c r="H169" s="7">
        <f>IF($C169="","",IF(R169&lt;&gt;"",R169,IF(G169="","",IF(E169="Y",SUMPRODUCT(('Rate Lookup'!$A$1:$A$37=G169)*'Rate Lookup'!$D$1:$D$37),IF(OR(F169="Individual",F169="HUF"),SUMPRODUCT(('Rate Lookup'!$A$1:$A$37=G169)*'Rate Lookup'!$B$1:$B$37),SUMPRODUCT(('Rate Lookup'!$A$1:$A$37=G169)*'Rate Lookup'!$C$1:$C$37)))))))</f>
      </c>
      <c r="I169" s="8"/>
      <c r="J169" s="8"/>
      <c r="K169" s="7">
        <f>IF($C169="","",IF(OR(P169="B",P169="D",P169="E",P169="N",P169="O",P169="P",P169="Q",P169="S",P169="Y",P169="Z"),0,ROUND(J169*H169/100,0)))</f>
      </c>
      <c r="L169" s="7">
        <f>IF($C169="","",0)</f>
      </c>
      <c r="M169" s="7">
        <f>IF($C169="","",0)</f>
      </c>
      <c r="N169" s="7">
        <f>IF($C169="","",IF(OR(K169=0,I169="",IFERROR(INDEX('Challan Master'!$D$4:$D$207,MATCH($B169,'Challan Master'!$S$4:$S$207,0)),"")="",IFERROR(INDEX('Challan Master'!$D$4:$D$207,MATCH($B169,'Challan Master'!$S$4:$S$207,0)),"")&lt;=0),0,IF(IFERROR(INDEX('Challan Master'!$D$4:$D$207,MATCH($B169,'Challan Master'!$S$4:$S$207,0)),"")&lt;=DATE(YEAR(I169),MONTH(I169)+1,7),0,ROUND(K169*0.015*((YEAR(IFERROR(INDEX('Challan Master'!$D$4:$D$207,MATCH($B169,'Challan Master'!$S$4:$S$207,0)),""))-YEAR(I169))*12+(MONTH(IFERROR(INDEX('Challan Master'!$D$4:$D$207,MATCH($B169,'Challan Master'!$S$4:$S$207,0)),""))-MONTH(I169))+1),0))))</f>
      </c>
      <c r="O169" s="7">
        <f>IF($C169="","",0)</f>
      </c>
      <c r="P169" s="8"/>
      <c r="Q169" s="8"/>
      <c r="R169" s="8"/>
      <c r="S169" s="8"/>
      <c r="T169" s="8"/>
      <c r="U169" s="7">
        <f>IF($B169="","",IFERROR(INDEX('Challan Master'!$AA$4:$AA$207,MATCH($B169,'Challan Master'!$S$4:$S$207,0)),""))</f>
      </c>
    </row>
    <row r="170" spans="1:22" x14ac:dyDescent="0.25">
      <c r="A170" s="7">
        <f>IF($C170="","",COUNTIF($C$4:$C170,"&lt;&gt;"))</f>
      </c>
      <c r="B170" s="8"/>
      <c r="C170" s="8"/>
      <c r="D170" s="8"/>
      <c r="E170" s="7">
        <f>IF($C170="","",IF(AND(LEN(TRIM(UPPER(D170)))=10,CODE(MID(TRIM(UPPER(D170)),1,1))&gt;=65,CODE(MID(TRIM(UPPER(D170)),1,1))&lt;=90,CODE(MID(TRIM(UPPER(D170)),2,1))&gt;=65,CODE(MID(TRIM(UPPER(D170)),2,1))&lt;=90,CODE(MID(TRIM(UPPER(D170)),3,1))&gt;=65,CODE(MID(TRIM(UPPER(D170)),3,1))&lt;=90,CODE(MID(TRIM(UPPER(D170)),4,1))&gt;=65,CODE(MID(TRIM(UPPER(D170)),4,1))&lt;=90,CODE(MID(TRIM(UPPER(D170)),5,1))&gt;=65,CODE(MID(TRIM(UPPER(D170)),5,1))&lt;=90,CODE(MID(TRIM(UPPER(D170)),10,1))&gt;=65,CODE(MID(TRIM(UPPER(D170)),10,1))&lt;=90,CODE(MID(TRIM(UPPER(D170)),6,1))&gt;=48,CODE(MID(TRIM(UPPER(D170)),6,1))&lt;=57,CODE(MID(TRIM(UPPER(D170)),7,1))&gt;=48,CODE(MID(TRIM(UPPER(D170)),7,1))&lt;=57,CODE(MID(TRIM(UPPER(D170)),8,1))&gt;=48,CODE(MID(TRIM(UPPER(D170)),8,1))&lt;=57,CODE(MID(TRIM(UPPER(D170)),9,1))&gt;=48,CODE(MID(TRIM(UPPER(D170)),9,1))&lt;=57),"N","Y"))</f>
      </c>
      <c r="F170" s="7">
        <f>IF($C170="","",IF(LEN(D170)&lt;4,"",IF(UPPER(MID(D170,4,1))="P","Individual",IF(UPPER(MID(D170,4,1))="H","HUF",IF(UPPER(MID(D170,4,1))="C","Company",IF(UPPER(MID(D170,4,1))="F","Firm",IF(UPPER(MID(D170,4,1))="L","LLP",IF(UPPER(MID(D170,4,1))="T","Trust",IF(UPPER(MID(D170,4,1))="A","AOP","")))))))))</f>
      </c>
      <c r="G170" s="8"/>
      <c r="H170" s="7">
        <f>IF($C170="","",IF(R170&lt;&gt;"",R170,IF(G170="","",IF(E170="Y",SUMPRODUCT(('Rate Lookup'!$A$1:$A$37=G170)*'Rate Lookup'!$D$1:$D$37),IF(OR(F170="Individual",F170="HUF"),SUMPRODUCT(('Rate Lookup'!$A$1:$A$37=G170)*'Rate Lookup'!$B$1:$B$37),SUMPRODUCT(('Rate Lookup'!$A$1:$A$37=G170)*'Rate Lookup'!$C$1:$C$37)))))))</f>
      </c>
      <c r="I170" s="8"/>
      <c r="J170" s="8"/>
      <c r="K170" s="7">
        <f>IF($C170="","",IF(OR(P170="B",P170="D",P170="E",P170="N",P170="O",P170="P",P170="Q",P170="S",P170="Y",P170="Z"),0,ROUND(J170*H170/100,0)))</f>
      </c>
      <c r="L170" s="7">
        <f>IF($C170="","",0)</f>
      </c>
      <c r="M170" s="7">
        <f>IF($C170="","",0)</f>
      </c>
      <c r="N170" s="7">
        <f>IF($C170="","",IF(OR(K170=0,I170="",IFERROR(INDEX('Challan Master'!$D$4:$D$207,MATCH($B170,'Challan Master'!$S$4:$S$207,0)),"")="",IFERROR(INDEX('Challan Master'!$D$4:$D$207,MATCH($B170,'Challan Master'!$S$4:$S$207,0)),"")&lt;=0),0,IF(IFERROR(INDEX('Challan Master'!$D$4:$D$207,MATCH($B170,'Challan Master'!$S$4:$S$207,0)),"")&lt;=DATE(YEAR(I170),MONTH(I170)+1,7),0,ROUND(K170*0.015*((YEAR(IFERROR(INDEX('Challan Master'!$D$4:$D$207,MATCH($B170,'Challan Master'!$S$4:$S$207,0)),""))-YEAR(I170))*12+(MONTH(IFERROR(INDEX('Challan Master'!$D$4:$D$207,MATCH($B170,'Challan Master'!$S$4:$S$207,0)),""))-MONTH(I170))+1),0))))</f>
      </c>
      <c r="O170" s="7">
        <f>IF($C170="","",0)</f>
      </c>
      <c r="P170" s="8"/>
      <c r="Q170" s="8"/>
      <c r="R170" s="8"/>
      <c r="S170" s="8"/>
      <c r="T170" s="8"/>
      <c r="U170" s="7">
        <f>IF($B170="","",IFERROR(INDEX('Challan Master'!$AA$4:$AA$207,MATCH($B170,'Challan Master'!$S$4:$S$207,0)),""))</f>
      </c>
    </row>
    <row r="171" spans="1:22" x14ac:dyDescent="0.25">
      <c r="A171" s="7">
        <f>IF($C171="","",COUNTIF($C$4:$C171,"&lt;&gt;"))</f>
      </c>
      <c r="B171" s="8"/>
      <c r="C171" s="8"/>
      <c r="D171" s="8"/>
      <c r="E171" s="7">
        <f>IF($C171="","",IF(AND(LEN(TRIM(UPPER(D171)))=10,CODE(MID(TRIM(UPPER(D171)),1,1))&gt;=65,CODE(MID(TRIM(UPPER(D171)),1,1))&lt;=90,CODE(MID(TRIM(UPPER(D171)),2,1))&gt;=65,CODE(MID(TRIM(UPPER(D171)),2,1))&lt;=90,CODE(MID(TRIM(UPPER(D171)),3,1))&gt;=65,CODE(MID(TRIM(UPPER(D171)),3,1))&lt;=90,CODE(MID(TRIM(UPPER(D171)),4,1))&gt;=65,CODE(MID(TRIM(UPPER(D171)),4,1))&lt;=90,CODE(MID(TRIM(UPPER(D171)),5,1))&gt;=65,CODE(MID(TRIM(UPPER(D171)),5,1))&lt;=90,CODE(MID(TRIM(UPPER(D171)),10,1))&gt;=65,CODE(MID(TRIM(UPPER(D171)),10,1))&lt;=90,CODE(MID(TRIM(UPPER(D171)),6,1))&gt;=48,CODE(MID(TRIM(UPPER(D171)),6,1))&lt;=57,CODE(MID(TRIM(UPPER(D171)),7,1))&gt;=48,CODE(MID(TRIM(UPPER(D171)),7,1))&lt;=57,CODE(MID(TRIM(UPPER(D171)),8,1))&gt;=48,CODE(MID(TRIM(UPPER(D171)),8,1))&lt;=57,CODE(MID(TRIM(UPPER(D171)),9,1))&gt;=48,CODE(MID(TRIM(UPPER(D171)),9,1))&lt;=57),"N","Y"))</f>
      </c>
      <c r="F171" s="7">
        <f>IF($C171="","",IF(LEN(D171)&lt;4,"",IF(UPPER(MID(D171,4,1))="P","Individual",IF(UPPER(MID(D171,4,1))="H","HUF",IF(UPPER(MID(D171,4,1))="C","Company",IF(UPPER(MID(D171,4,1))="F","Firm",IF(UPPER(MID(D171,4,1))="L","LLP",IF(UPPER(MID(D171,4,1))="T","Trust",IF(UPPER(MID(D171,4,1))="A","AOP","")))))))))</f>
      </c>
      <c r="G171" s="8"/>
      <c r="H171" s="7">
        <f>IF($C171="","",IF(R171&lt;&gt;"",R171,IF(G171="","",IF(E171="Y",SUMPRODUCT(('Rate Lookup'!$A$1:$A$37=G171)*'Rate Lookup'!$D$1:$D$37),IF(OR(F171="Individual",F171="HUF"),SUMPRODUCT(('Rate Lookup'!$A$1:$A$37=G171)*'Rate Lookup'!$B$1:$B$37),SUMPRODUCT(('Rate Lookup'!$A$1:$A$37=G171)*'Rate Lookup'!$C$1:$C$37)))))))</f>
      </c>
      <c r="I171" s="8"/>
      <c r="J171" s="8"/>
      <c r="K171" s="7">
        <f>IF($C171="","",IF(OR(P171="B",P171="D",P171="E",P171="N",P171="O",P171="P",P171="Q",P171="S",P171="Y",P171="Z"),0,ROUND(J171*H171/100,0)))</f>
      </c>
      <c r="L171" s="7">
        <f>IF($C171="","",0)</f>
      </c>
      <c r="M171" s="7">
        <f>IF($C171="","",0)</f>
      </c>
      <c r="N171" s="7">
        <f>IF($C171="","",IF(OR(K171=0,I171="",IFERROR(INDEX('Challan Master'!$D$4:$D$207,MATCH($B171,'Challan Master'!$S$4:$S$207,0)),"")="",IFERROR(INDEX('Challan Master'!$D$4:$D$207,MATCH($B171,'Challan Master'!$S$4:$S$207,0)),"")&lt;=0),0,IF(IFERROR(INDEX('Challan Master'!$D$4:$D$207,MATCH($B171,'Challan Master'!$S$4:$S$207,0)),"")&lt;=DATE(YEAR(I171),MONTH(I171)+1,7),0,ROUND(K171*0.015*((YEAR(IFERROR(INDEX('Challan Master'!$D$4:$D$207,MATCH($B171,'Challan Master'!$S$4:$S$207,0)),""))-YEAR(I171))*12+(MONTH(IFERROR(INDEX('Challan Master'!$D$4:$D$207,MATCH($B171,'Challan Master'!$S$4:$S$207,0)),""))-MONTH(I171))+1),0))))</f>
      </c>
      <c r="O171" s="7">
        <f>IF($C171="","",0)</f>
      </c>
      <c r="P171" s="8"/>
      <c r="Q171" s="8"/>
      <c r="R171" s="8"/>
      <c r="S171" s="8"/>
      <c r="T171" s="8"/>
      <c r="U171" s="7">
        <f>IF($B171="","",IFERROR(INDEX('Challan Master'!$AA$4:$AA$207,MATCH($B171,'Challan Master'!$S$4:$S$207,0)),""))</f>
      </c>
    </row>
    <row r="172" spans="1:22" x14ac:dyDescent="0.25">
      <c r="A172" s="7">
        <f>IF($C172="","",COUNTIF($C$4:$C172,"&lt;&gt;"))</f>
      </c>
      <c r="B172" s="8"/>
      <c r="C172" s="8"/>
      <c r="D172" s="8"/>
      <c r="E172" s="7">
        <f>IF($C172="","",IF(AND(LEN(TRIM(UPPER(D172)))=10,CODE(MID(TRIM(UPPER(D172)),1,1))&gt;=65,CODE(MID(TRIM(UPPER(D172)),1,1))&lt;=90,CODE(MID(TRIM(UPPER(D172)),2,1))&gt;=65,CODE(MID(TRIM(UPPER(D172)),2,1))&lt;=90,CODE(MID(TRIM(UPPER(D172)),3,1))&gt;=65,CODE(MID(TRIM(UPPER(D172)),3,1))&lt;=90,CODE(MID(TRIM(UPPER(D172)),4,1))&gt;=65,CODE(MID(TRIM(UPPER(D172)),4,1))&lt;=90,CODE(MID(TRIM(UPPER(D172)),5,1))&gt;=65,CODE(MID(TRIM(UPPER(D172)),5,1))&lt;=90,CODE(MID(TRIM(UPPER(D172)),10,1))&gt;=65,CODE(MID(TRIM(UPPER(D172)),10,1))&lt;=90,CODE(MID(TRIM(UPPER(D172)),6,1))&gt;=48,CODE(MID(TRIM(UPPER(D172)),6,1))&lt;=57,CODE(MID(TRIM(UPPER(D172)),7,1))&gt;=48,CODE(MID(TRIM(UPPER(D172)),7,1))&lt;=57,CODE(MID(TRIM(UPPER(D172)),8,1))&gt;=48,CODE(MID(TRIM(UPPER(D172)),8,1))&lt;=57,CODE(MID(TRIM(UPPER(D172)),9,1))&gt;=48,CODE(MID(TRIM(UPPER(D172)),9,1))&lt;=57),"N","Y"))</f>
      </c>
      <c r="F172" s="7">
        <f>IF($C172="","",IF(LEN(D172)&lt;4,"",IF(UPPER(MID(D172,4,1))="P","Individual",IF(UPPER(MID(D172,4,1))="H","HUF",IF(UPPER(MID(D172,4,1))="C","Company",IF(UPPER(MID(D172,4,1))="F","Firm",IF(UPPER(MID(D172,4,1))="L","LLP",IF(UPPER(MID(D172,4,1))="T","Trust",IF(UPPER(MID(D172,4,1))="A","AOP","")))))))))</f>
      </c>
      <c r="G172" s="8"/>
      <c r="H172" s="7">
        <f>IF($C172="","",IF(R172&lt;&gt;"",R172,IF(G172="","",IF(E172="Y",SUMPRODUCT(('Rate Lookup'!$A$1:$A$37=G172)*'Rate Lookup'!$D$1:$D$37),IF(OR(F172="Individual",F172="HUF"),SUMPRODUCT(('Rate Lookup'!$A$1:$A$37=G172)*'Rate Lookup'!$B$1:$B$37),SUMPRODUCT(('Rate Lookup'!$A$1:$A$37=G172)*'Rate Lookup'!$C$1:$C$37)))))))</f>
      </c>
      <c r="I172" s="8"/>
      <c r="J172" s="8"/>
      <c r="K172" s="7">
        <f>IF($C172="","",IF(OR(P172="B",P172="D",P172="E",P172="N",P172="O",P172="P",P172="Q",P172="S",P172="Y",P172="Z"),0,ROUND(J172*H172/100,0)))</f>
      </c>
      <c r="L172" s="7">
        <f>IF($C172="","",0)</f>
      </c>
      <c r="M172" s="7">
        <f>IF($C172="","",0)</f>
      </c>
      <c r="N172" s="7">
        <f>IF($C172="","",IF(OR(K172=0,I172="",IFERROR(INDEX('Challan Master'!$D$4:$D$207,MATCH($B172,'Challan Master'!$S$4:$S$207,0)),"")="",IFERROR(INDEX('Challan Master'!$D$4:$D$207,MATCH($B172,'Challan Master'!$S$4:$S$207,0)),"")&lt;=0),0,IF(IFERROR(INDEX('Challan Master'!$D$4:$D$207,MATCH($B172,'Challan Master'!$S$4:$S$207,0)),"")&lt;=DATE(YEAR(I172),MONTH(I172)+1,7),0,ROUND(K172*0.015*((YEAR(IFERROR(INDEX('Challan Master'!$D$4:$D$207,MATCH($B172,'Challan Master'!$S$4:$S$207,0)),""))-YEAR(I172))*12+(MONTH(IFERROR(INDEX('Challan Master'!$D$4:$D$207,MATCH($B172,'Challan Master'!$S$4:$S$207,0)),""))-MONTH(I172))+1),0))))</f>
      </c>
      <c r="O172" s="7">
        <f>IF($C172="","",0)</f>
      </c>
      <c r="P172" s="8"/>
      <c r="Q172" s="8"/>
      <c r="R172" s="8"/>
      <c r="S172" s="8"/>
      <c r="T172" s="8"/>
      <c r="U172" s="7">
        <f>IF($B172="","",IFERROR(INDEX('Challan Master'!$AA$4:$AA$207,MATCH($B172,'Challan Master'!$S$4:$S$207,0)),""))</f>
      </c>
    </row>
    <row r="173" spans="1:22" x14ac:dyDescent="0.25">
      <c r="A173" s="7">
        <f>IF($C173="","",COUNTIF($C$4:$C173,"&lt;&gt;"))</f>
      </c>
      <c r="B173" s="8"/>
      <c r="C173" s="8"/>
      <c r="D173" s="8"/>
      <c r="E173" s="7">
        <f>IF($C173="","",IF(AND(LEN(TRIM(UPPER(D173)))=10,CODE(MID(TRIM(UPPER(D173)),1,1))&gt;=65,CODE(MID(TRIM(UPPER(D173)),1,1))&lt;=90,CODE(MID(TRIM(UPPER(D173)),2,1))&gt;=65,CODE(MID(TRIM(UPPER(D173)),2,1))&lt;=90,CODE(MID(TRIM(UPPER(D173)),3,1))&gt;=65,CODE(MID(TRIM(UPPER(D173)),3,1))&lt;=90,CODE(MID(TRIM(UPPER(D173)),4,1))&gt;=65,CODE(MID(TRIM(UPPER(D173)),4,1))&lt;=90,CODE(MID(TRIM(UPPER(D173)),5,1))&gt;=65,CODE(MID(TRIM(UPPER(D173)),5,1))&lt;=90,CODE(MID(TRIM(UPPER(D173)),10,1))&gt;=65,CODE(MID(TRIM(UPPER(D173)),10,1))&lt;=90,CODE(MID(TRIM(UPPER(D173)),6,1))&gt;=48,CODE(MID(TRIM(UPPER(D173)),6,1))&lt;=57,CODE(MID(TRIM(UPPER(D173)),7,1))&gt;=48,CODE(MID(TRIM(UPPER(D173)),7,1))&lt;=57,CODE(MID(TRIM(UPPER(D173)),8,1))&gt;=48,CODE(MID(TRIM(UPPER(D173)),8,1))&lt;=57,CODE(MID(TRIM(UPPER(D173)),9,1))&gt;=48,CODE(MID(TRIM(UPPER(D173)),9,1))&lt;=57),"N","Y"))</f>
      </c>
      <c r="F173" s="7">
        <f>IF($C173="","",IF(LEN(D173)&lt;4,"",IF(UPPER(MID(D173,4,1))="P","Individual",IF(UPPER(MID(D173,4,1))="H","HUF",IF(UPPER(MID(D173,4,1))="C","Company",IF(UPPER(MID(D173,4,1))="F","Firm",IF(UPPER(MID(D173,4,1))="L","LLP",IF(UPPER(MID(D173,4,1))="T","Trust",IF(UPPER(MID(D173,4,1))="A","AOP","")))))))))</f>
      </c>
      <c r="G173" s="8"/>
      <c r="H173" s="7">
        <f>IF($C173="","",IF(R173&lt;&gt;"",R173,IF(G173="","",IF(E173="Y",SUMPRODUCT(('Rate Lookup'!$A$1:$A$37=G173)*'Rate Lookup'!$D$1:$D$37),IF(OR(F173="Individual",F173="HUF"),SUMPRODUCT(('Rate Lookup'!$A$1:$A$37=G173)*'Rate Lookup'!$B$1:$B$37),SUMPRODUCT(('Rate Lookup'!$A$1:$A$37=G173)*'Rate Lookup'!$C$1:$C$37)))))))</f>
      </c>
      <c r="I173" s="8"/>
      <c r="J173" s="8"/>
      <c r="K173" s="7">
        <f>IF($C173="","",IF(OR(P173="B",P173="D",P173="E",P173="N",P173="O",P173="P",P173="Q",P173="S",P173="Y",P173="Z"),0,ROUND(J173*H173/100,0)))</f>
      </c>
      <c r="L173" s="7">
        <f>IF($C173="","",0)</f>
      </c>
      <c r="M173" s="7">
        <f>IF($C173="","",0)</f>
      </c>
      <c r="N173" s="7">
        <f>IF($C173="","",IF(OR(K173=0,I173="",IFERROR(INDEX('Challan Master'!$D$4:$D$207,MATCH($B173,'Challan Master'!$S$4:$S$207,0)),"")="",IFERROR(INDEX('Challan Master'!$D$4:$D$207,MATCH($B173,'Challan Master'!$S$4:$S$207,0)),"")&lt;=0),0,IF(IFERROR(INDEX('Challan Master'!$D$4:$D$207,MATCH($B173,'Challan Master'!$S$4:$S$207,0)),"")&lt;=DATE(YEAR(I173),MONTH(I173)+1,7),0,ROUND(K173*0.015*((YEAR(IFERROR(INDEX('Challan Master'!$D$4:$D$207,MATCH($B173,'Challan Master'!$S$4:$S$207,0)),""))-YEAR(I173))*12+(MONTH(IFERROR(INDEX('Challan Master'!$D$4:$D$207,MATCH($B173,'Challan Master'!$S$4:$S$207,0)),""))-MONTH(I173))+1),0))))</f>
      </c>
      <c r="O173" s="7">
        <f>IF($C173="","",0)</f>
      </c>
      <c r="P173" s="8"/>
      <c r="Q173" s="8"/>
      <c r="R173" s="8"/>
      <c r="S173" s="8"/>
      <c r="T173" s="8"/>
      <c r="U173" s="7">
        <f>IF($B173="","",IFERROR(INDEX('Challan Master'!$AA$4:$AA$207,MATCH($B173,'Challan Master'!$S$4:$S$207,0)),""))</f>
      </c>
    </row>
    <row r="174" spans="1:22" x14ac:dyDescent="0.25">
      <c r="A174" s="7">
        <f>IF($C174="","",COUNTIF($C$4:$C174,"&lt;&gt;"))</f>
      </c>
      <c r="B174" s="8"/>
      <c r="C174" s="8"/>
      <c r="D174" s="8"/>
      <c r="E174" s="7">
        <f>IF($C174="","",IF(AND(LEN(TRIM(UPPER(D174)))=10,CODE(MID(TRIM(UPPER(D174)),1,1))&gt;=65,CODE(MID(TRIM(UPPER(D174)),1,1))&lt;=90,CODE(MID(TRIM(UPPER(D174)),2,1))&gt;=65,CODE(MID(TRIM(UPPER(D174)),2,1))&lt;=90,CODE(MID(TRIM(UPPER(D174)),3,1))&gt;=65,CODE(MID(TRIM(UPPER(D174)),3,1))&lt;=90,CODE(MID(TRIM(UPPER(D174)),4,1))&gt;=65,CODE(MID(TRIM(UPPER(D174)),4,1))&lt;=90,CODE(MID(TRIM(UPPER(D174)),5,1))&gt;=65,CODE(MID(TRIM(UPPER(D174)),5,1))&lt;=90,CODE(MID(TRIM(UPPER(D174)),10,1))&gt;=65,CODE(MID(TRIM(UPPER(D174)),10,1))&lt;=90,CODE(MID(TRIM(UPPER(D174)),6,1))&gt;=48,CODE(MID(TRIM(UPPER(D174)),6,1))&lt;=57,CODE(MID(TRIM(UPPER(D174)),7,1))&gt;=48,CODE(MID(TRIM(UPPER(D174)),7,1))&lt;=57,CODE(MID(TRIM(UPPER(D174)),8,1))&gt;=48,CODE(MID(TRIM(UPPER(D174)),8,1))&lt;=57,CODE(MID(TRIM(UPPER(D174)),9,1))&gt;=48,CODE(MID(TRIM(UPPER(D174)),9,1))&lt;=57),"N","Y"))</f>
      </c>
      <c r="F174" s="7">
        <f>IF($C174="","",IF(LEN(D174)&lt;4,"",IF(UPPER(MID(D174,4,1))="P","Individual",IF(UPPER(MID(D174,4,1))="H","HUF",IF(UPPER(MID(D174,4,1))="C","Company",IF(UPPER(MID(D174,4,1))="F","Firm",IF(UPPER(MID(D174,4,1))="L","LLP",IF(UPPER(MID(D174,4,1))="T","Trust",IF(UPPER(MID(D174,4,1))="A","AOP","")))))))))</f>
      </c>
      <c r="G174" s="8"/>
      <c r="H174" s="7">
        <f>IF($C174="","",IF(R174&lt;&gt;"",R174,IF(G174="","",IF(E174="Y",SUMPRODUCT(('Rate Lookup'!$A$1:$A$37=G174)*'Rate Lookup'!$D$1:$D$37),IF(OR(F174="Individual",F174="HUF"),SUMPRODUCT(('Rate Lookup'!$A$1:$A$37=G174)*'Rate Lookup'!$B$1:$B$37),SUMPRODUCT(('Rate Lookup'!$A$1:$A$37=G174)*'Rate Lookup'!$C$1:$C$37)))))))</f>
      </c>
      <c r="I174" s="8"/>
      <c r="J174" s="8"/>
      <c r="K174" s="7">
        <f>IF($C174="","",IF(OR(P174="B",P174="D",P174="E",P174="N",P174="O",P174="P",P174="Q",P174="S",P174="Y",P174="Z"),0,ROUND(J174*H174/100,0)))</f>
      </c>
      <c r="L174" s="7">
        <f>IF($C174="","",0)</f>
      </c>
      <c r="M174" s="7">
        <f>IF($C174="","",0)</f>
      </c>
      <c r="N174" s="7">
        <f>IF($C174="","",IF(OR(K174=0,I174="",IFERROR(INDEX('Challan Master'!$D$4:$D$207,MATCH($B174,'Challan Master'!$S$4:$S$207,0)),"")="",IFERROR(INDEX('Challan Master'!$D$4:$D$207,MATCH($B174,'Challan Master'!$S$4:$S$207,0)),"")&lt;=0),0,IF(IFERROR(INDEX('Challan Master'!$D$4:$D$207,MATCH($B174,'Challan Master'!$S$4:$S$207,0)),"")&lt;=DATE(YEAR(I174),MONTH(I174)+1,7),0,ROUND(K174*0.015*((YEAR(IFERROR(INDEX('Challan Master'!$D$4:$D$207,MATCH($B174,'Challan Master'!$S$4:$S$207,0)),""))-YEAR(I174))*12+(MONTH(IFERROR(INDEX('Challan Master'!$D$4:$D$207,MATCH($B174,'Challan Master'!$S$4:$S$207,0)),""))-MONTH(I174))+1),0))))</f>
      </c>
      <c r="O174" s="7">
        <f>IF($C174="","",0)</f>
      </c>
      <c r="P174" s="8"/>
      <c r="Q174" s="8"/>
      <c r="R174" s="8"/>
      <c r="S174" s="8"/>
      <c r="T174" s="8"/>
      <c r="U174" s="7">
        <f>IF($B174="","",IFERROR(INDEX('Challan Master'!$AA$4:$AA$207,MATCH($B174,'Challan Master'!$S$4:$S$207,0)),""))</f>
      </c>
    </row>
    <row r="175" spans="1:22" x14ac:dyDescent="0.25">
      <c r="A175" s="7">
        <f>IF($C175="","",COUNTIF($C$4:$C175,"&lt;&gt;"))</f>
      </c>
      <c r="B175" s="8"/>
      <c r="C175" s="8"/>
      <c r="D175" s="8"/>
      <c r="E175" s="7">
        <f>IF($C175="","",IF(AND(LEN(TRIM(UPPER(D175)))=10,CODE(MID(TRIM(UPPER(D175)),1,1))&gt;=65,CODE(MID(TRIM(UPPER(D175)),1,1))&lt;=90,CODE(MID(TRIM(UPPER(D175)),2,1))&gt;=65,CODE(MID(TRIM(UPPER(D175)),2,1))&lt;=90,CODE(MID(TRIM(UPPER(D175)),3,1))&gt;=65,CODE(MID(TRIM(UPPER(D175)),3,1))&lt;=90,CODE(MID(TRIM(UPPER(D175)),4,1))&gt;=65,CODE(MID(TRIM(UPPER(D175)),4,1))&lt;=90,CODE(MID(TRIM(UPPER(D175)),5,1))&gt;=65,CODE(MID(TRIM(UPPER(D175)),5,1))&lt;=90,CODE(MID(TRIM(UPPER(D175)),10,1))&gt;=65,CODE(MID(TRIM(UPPER(D175)),10,1))&lt;=90,CODE(MID(TRIM(UPPER(D175)),6,1))&gt;=48,CODE(MID(TRIM(UPPER(D175)),6,1))&lt;=57,CODE(MID(TRIM(UPPER(D175)),7,1))&gt;=48,CODE(MID(TRIM(UPPER(D175)),7,1))&lt;=57,CODE(MID(TRIM(UPPER(D175)),8,1))&gt;=48,CODE(MID(TRIM(UPPER(D175)),8,1))&lt;=57,CODE(MID(TRIM(UPPER(D175)),9,1))&gt;=48,CODE(MID(TRIM(UPPER(D175)),9,1))&lt;=57),"N","Y"))</f>
      </c>
      <c r="F175" s="7">
        <f>IF($C175="","",IF(LEN(D175)&lt;4,"",IF(UPPER(MID(D175,4,1))="P","Individual",IF(UPPER(MID(D175,4,1))="H","HUF",IF(UPPER(MID(D175,4,1))="C","Company",IF(UPPER(MID(D175,4,1))="F","Firm",IF(UPPER(MID(D175,4,1))="L","LLP",IF(UPPER(MID(D175,4,1))="T","Trust",IF(UPPER(MID(D175,4,1))="A","AOP","")))))))))</f>
      </c>
      <c r="G175" s="8"/>
      <c r="H175" s="7">
        <f>IF($C175="","",IF(R175&lt;&gt;"",R175,IF(G175="","",IF(E175="Y",SUMPRODUCT(('Rate Lookup'!$A$1:$A$37=G175)*'Rate Lookup'!$D$1:$D$37),IF(OR(F175="Individual",F175="HUF"),SUMPRODUCT(('Rate Lookup'!$A$1:$A$37=G175)*'Rate Lookup'!$B$1:$B$37),SUMPRODUCT(('Rate Lookup'!$A$1:$A$37=G175)*'Rate Lookup'!$C$1:$C$37)))))))</f>
      </c>
      <c r="I175" s="8"/>
      <c r="J175" s="8"/>
      <c r="K175" s="7">
        <f>IF($C175="","",IF(OR(P175="B",P175="D",P175="E",P175="N",P175="O",P175="P",P175="Q",P175="S",P175="Y",P175="Z"),0,ROUND(J175*H175/100,0)))</f>
      </c>
      <c r="L175" s="7">
        <f>IF($C175="","",0)</f>
      </c>
      <c r="M175" s="7">
        <f>IF($C175="","",0)</f>
      </c>
      <c r="N175" s="7">
        <f>IF($C175="","",IF(OR(K175=0,I175="",IFERROR(INDEX('Challan Master'!$D$4:$D$207,MATCH($B175,'Challan Master'!$S$4:$S$207,0)),"")="",IFERROR(INDEX('Challan Master'!$D$4:$D$207,MATCH($B175,'Challan Master'!$S$4:$S$207,0)),"")&lt;=0),0,IF(IFERROR(INDEX('Challan Master'!$D$4:$D$207,MATCH($B175,'Challan Master'!$S$4:$S$207,0)),"")&lt;=DATE(YEAR(I175),MONTH(I175)+1,7),0,ROUND(K175*0.015*((YEAR(IFERROR(INDEX('Challan Master'!$D$4:$D$207,MATCH($B175,'Challan Master'!$S$4:$S$207,0)),""))-YEAR(I175))*12+(MONTH(IFERROR(INDEX('Challan Master'!$D$4:$D$207,MATCH($B175,'Challan Master'!$S$4:$S$207,0)),""))-MONTH(I175))+1),0))))</f>
      </c>
      <c r="O175" s="7">
        <f>IF($C175="","",0)</f>
      </c>
      <c r="P175" s="8"/>
      <c r="Q175" s="8"/>
      <c r="R175" s="8"/>
      <c r="S175" s="8"/>
      <c r="T175" s="8"/>
      <c r="U175" s="7">
        <f>IF($B175="","",IFERROR(INDEX('Challan Master'!$AA$4:$AA$207,MATCH($B175,'Challan Master'!$S$4:$S$207,0)),""))</f>
      </c>
    </row>
    <row r="176" spans="1:22" x14ac:dyDescent="0.25">
      <c r="A176" s="7">
        <f>IF($C176="","",COUNTIF($C$4:$C176,"&lt;&gt;"))</f>
      </c>
      <c r="B176" s="8"/>
      <c r="C176" s="8"/>
      <c r="D176" s="8"/>
      <c r="E176" s="7">
        <f>IF($C176="","",IF(AND(LEN(TRIM(UPPER(D176)))=10,CODE(MID(TRIM(UPPER(D176)),1,1))&gt;=65,CODE(MID(TRIM(UPPER(D176)),1,1))&lt;=90,CODE(MID(TRIM(UPPER(D176)),2,1))&gt;=65,CODE(MID(TRIM(UPPER(D176)),2,1))&lt;=90,CODE(MID(TRIM(UPPER(D176)),3,1))&gt;=65,CODE(MID(TRIM(UPPER(D176)),3,1))&lt;=90,CODE(MID(TRIM(UPPER(D176)),4,1))&gt;=65,CODE(MID(TRIM(UPPER(D176)),4,1))&lt;=90,CODE(MID(TRIM(UPPER(D176)),5,1))&gt;=65,CODE(MID(TRIM(UPPER(D176)),5,1))&lt;=90,CODE(MID(TRIM(UPPER(D176)),10,1))&gt;=65,CODE(MID(TRIM(UPPER(D176)),10,1))&lt;=90,CODE(MID(TRIM(UPPER(D176)),6,1))&gt;=48,CODE(MID(TRIM(UPPER(D176)),6,1))&lt;=57,CODE(MID(TRIM(UPPER(D176)),7,1))&gt;=48,CODE(MID(TRIM(UPPER(D176)),7,1))&lt;=57,CODE(MID(TRIM(UPPER(D176)),8,1))&gt;=48,CODE(MID(TRIM(UPPER(D176)),8,1))&lt;=57,CODE(MID(TRIM(UPPER(D176)),9,1))&gt;=48,CODE(MID(TRIM(UPPER(D176)),9,1))&lt;=57),"N","Y"))</f>
      </c>
      <c r="F176" s="7">
        <f>IF($C176="","",IF(LEN(D176)&lt;4,"",IF(UPPER(MID(D176,4,1))="P","Individual",IF(UPPER(MID(D176,4,1))="H","HUF",IF(UPPER(MID(D176,4,1))="C","Company",IF(UPPER(MID(D176,4,1))="F","Firm",IF(UPPER(MID(D176,4,1))="L","LLP",IF(UPPER(MID(D176,4,1))="T","Trust",IF(UPPER(MID(D176,4,1))="A","AOP","")))))))))</f>
      </c>
      <c r="G176" s="8"/>
      <c r="H176" s="7">
        <f>IF($C176="","",IF(R176&lt;&gt;"",R176,IF(G176="","",IF(E176="Y",SUMPRODUCT(('Rate Lookup'!$A$1:$A$37=G176)*'Rate Lookup'!$D$1:$D$37),IF(OR(F176="Individual",F176="HUF"),SUMPRODUCT(('Rate Lookup'!$A$1:$A$37=G176)*'Rate Lookup'!$B$1:$B$37),SUMPRODUCT(('Rate Lookup'!$A$1:$A$37=G176)*'Rate Lookup'!$C$1:$C$37)))))))</f>
      </c>
      <c r="I176" s="8"/>
      <c r="J176" s="8"/>
      <c r="K176" s="7">
        <f>IF($C176="","",IF(OR(P176="B",P176="D",P176="E",P176="N",P176="O",P176="P",P176="Q",P176="S",P176="Y",P176="Z"),0,ROUND(J176*H176/100,0)))</f>
      </c>
      <c r="L176" s="7">
        <f>IF($C176="","",0)</f>
      </c>
      <c r="M176" s="7">
        <f>IF($C176="","",0)</f>
      </c>
      <c r="N176" s="7">
        <f>IF($C176="","",IF(OR(K176=0,I176="",IFERROR(INDEX('Challan Master'!$D$4:$D$207,MATCH($B176,'Challan Master'!$S$4:$S$207,0)),"")="",IFERROR(INDEX('Challan Master'!$D$4:$D$207,MATCH($B176,'Challan Master'!$S$4:$S$207,0)),"")&lt;=0),0,IF(IFERROR(INDEX('Challan Master'!$D$4:$D$207,MATCH($B176,'Challan Master'!$S$4:$S$207,0)),"")&lt;=DATE(YEAR(I176),MONTH(I176)+1,7),0,ROUND(K176*0.015*((YEAR(IFERROR(INDEX('Challan Master'!$D$4:$D$207,MATCH($B176,'Challan Master'!$S$4:$S$207,0)),""))-YEAR(I176))*12+(MONTH(IFERROR(INDEX('Challan Master'!$D$4:$D$207,MATCH($B176,'Challan Master'!$S$4:$S$207,0)),""))-MONTH(I176))+1),0))))</f>
      </c>
      <c r="O176" s="7">
        <f>IF($C176="","",0)</f>
      </c>
      <c r="P176" s="8"/>
      <c r="Q176" s="8"/>
      <c r="R176" s="8"/>
      <c r="S176" s="8"/>
      <c r="T176" s="8"/>
      <c r="U176" s="7">
        <f>IF($B176="","",IFERROR(INDEX('Challan Master'!$AA$4:$AA$207,MATCH($B176,'Challan Master'!$S$4:$S$207,0)),""))</f>
      </c>
    </row>
    <row r="177" spans="1:22" x14ac:dyDescent="0.25">
      <c r="A177" s="7">
        <f>IF($C177="","",COUNTIF($C$4:$C177,"&lt;&gt;"))</f>
      </c>
      <c r="B177" s="8"/>
      <c r="C177" s="8"/>
      <c r="D177" s="8"/>
      <c r="E177" s="7">
        <f>IF($C177="","",IF(AND(LEN(TRIM(UPPER(D177)))=10,CODE(MID(TRIM(UPPER(D177)),1,1))&gt;=65,CODE(MID(TRIM(UPPER(D177)),1,1))&lt;=90,CODE(MID(TRIM(UPPER(D177)),2,1))&gt;=65,CODE(MID(TRIM(UPPER(D177)),2,1))&lt;=90,CODE(MID(TRIM(UPPER(D177)),3,1))&gt;=65,CODE(MID(TRIM(UPPER(D177)),3,1))&lt;=90,CODE(MID(TRIM(UPPER(D177)),4,1))&gt;=65,CODE(MID(TRIM(UPPER(D177)),4,1))&lt;=90,CODE(MID(TRIM(UPPER(D177)),5,1))&gt;=65,CODE(MID(TRIM(UPPER(D177)),5,1))&lt;=90,CODE(MID(TRIM(UPPER(D177)),10,1))&gt;=65,CODE(MID(TRIM(UPPER(D177)),10,1))&lt;=90,CODE(MID(TRIM(UPPER(D177)),6,1))&gt;=48,CODE(MID(TRIM(UPPER(D177)),6,1))&lt;=57,CODE(MID(TRIM(UPPER(D177)),7,1))&gt;=48,CODE(MID(TRIM(UPPER(D177)),7,1))&lt;=57,CODE(MID(TRIM(UPPER(D177)),8,1))&gt;=48,CODE(MID(TRIM(UPPER(D177)),8,1))&lt;=57,CODE(MID(TRIM(UPPER(D177)),9,1))&gt;=48,CODE(MID(TRIM(UPPER(D177)),9,1))&lt;=57),"N","Y"))</f>
      </c>
      <c r="F177" s="7">
        <f>IF($C177="","",IF(LEN(D177)&lt;4,"",IF(UPPER(MID(D177,4,1))="P","Individual",IF(UPPER(MID(D177,4,1))="H","HUF",IF(UPPER(MID(D177,4,1))="C","Company",IF(UPPER(MID(D177,4,1))="F","Firm",IF(UPPER(MID(D177,4,1))="L","LLP",IF(UPPER(MID(D177,4,1))="T","Trust",IF(UPPER(MID(D177,4,1))="A","AOP","")))))))))</f>
      </c>
      <c r="G177" s="8"/>
      <c r="H177" s="7">
        <f>IF($C177="","",IF(R177&lt;&gt;"",R177,IF(G177="","",IF(E177="Y",SUMPRODUCT(('Rate Lookup'!$A$1:$A$37=G177)*'Rate Lookup'!$D$1:$D$37),IF(OR(F177="Individual",F177="HUF"),SUMPRODUCT(('Rate Lookup'!$A$1:$A$37=G177)*'Rate Lookup'!$B$1:$B$37),SUMPRODUCT(('Rate Lookup'!$A$1:$A$37=G177)*'Rate Lookup'!$C$1:$C$37)))))))</f>
      </c>
      <c r="I177" s="8"/>
      <c r="J177" s="8"/>
      <c r="K177" s="7">
        <f>IF($C177="","",IF(OR(P177="B",P177="D",P177="E",P177="N",P177="O",P177="P",P177="Q",P177="S",P177="Y",P177="Z"),0,ROUND(J177*H177/100,0)))</f>
      </c>
      <c r="L177" s="7">
        <f>IF($C177="","",0)</f>
      </c>
      <c r="M177" s="7">
        <f>IF($C177="","",0)</f>
      </c>
      <c r="N177" s="7">
        <f>IF($C177="","",IF(OR(K177=0,I177="",IFERROR(INDEX('Challan Master'!$D$4:$D$207,MATCH($B177,'Challan Master'!$S$4:$S$207,0)),"")="",IFERROR(INDEX('Challan Master'!$D$4:$D$207,MATCH($B177,'Challan Master'!$S$4:$S$207,0)),"")&lt;=0),0,IF(IFERROR(INDEX('Challan Master'!$D$4:$D$207,MATCH($B177,'Challan Master'!$S$4:$S$207,0)),"")&lt;=DATE(YEAR(I177),MONTH(I177)+1,7),0,ROUND(K177*0.015*((YEAR(IFERROR(INDEX('Challan Master'!$D$4:$D$207,MATCH($B177,'Challan Master'!$S$4:$S$207,0)),""))-YEAR(I177))*12+(MONTH(IFERROR(INDEX('Challan Master'!$D$4:$D$207,MATCH($B177,'Challan Master'!$S$4:$S$207,0)),""))-MONTH(I177))+1),0))))</f>
      </c>
      <c r="O177" s="7">
        <f>IF($C177="","",0)</f>
      </c>
      <c r="P177" s="8"/>
      <c r="Q177" s="8"/>
      <c r="R177" s="8"/>
      <c r="S177" s="8"/>
      <c r="T177" s="8"/>
      <c r="U177" s="7">
        <f>IF($B177="","",IFERROR(INDEX('Challan Master'!$AA$4:$AA$207,MATCH($B177,'Challan Master'!$S$4:$S$207,0)),""))</f>
      </c>
    </row>
    <row r="178" spans="1:22" x14ac:dyDescent="0.25">
      <c r="A178" s="7">
        <f>IF($C178="","",COUNTIF($C$4:$C178,"&lt;&gt;"))</f>
      </c>
      <c r="B178" s="8"/>
      <c r="C178" s="8"/>
      <c r="D178" s="8"/>
      <c r="E178" s="7">
        <f>IF($C178="","",IF(AND(LEN(TRIM(UPPER(D178)))=10,CODE(MID(TRIM(UPPER(D178)),1,1))&gt;=65,CODE(MID(TRIM(UPPER(D178)),1,1))&lt;=90,CODE(MID(TRIM(UPPER(D178)),2,1))&gt;=65,CODE(MID(TRIM(UPPER(D178)),2,1))&lt;=90,CODE(MID(TRIM(UPPER(D178)),3,1))&gt;=65,CODE(MID(TRIM(UPPER(D178)),3,1))&lt;=90,CODE(MID(TRIM(UPPER(D178)),4,1))&gt;=65,CODE(MID(TRIM(UPPER(D178)),4,1))&lt;=90,CODE(MID(TRIM(UPPER(D178)),5,1))&gt;=65,CODE(MID(TRIM(UPPER(D178)),5,1))&lt;=90,CODE(MID(TRIM(UPPER(D178)),10,1))&gt;=65,CODE(MID(TRIM(UPPER(D178)),10,1))&lt;=90,CODE(MID(TRIM(UPPER(D178)),6,1))&gt;=48,CODE(MID(TRIM(UPPER(D178)),6,1))&lt;=57,CODE(MID(TRIM(UPPER(D178)),7,1))&gt;=48,CODE(MID(TRIM(UPPER(D178)),7,1))&lt;=57,CODE(MID(TRIM(UPPER(D178)),8,1))&gt;=48,CODE(MID(TRIM(UPPER(D178)),8,1))&lt;=57,CODE(MID(TRIM(UPPER(D178)),9,1))&gt;=48,CODE(MID(TRIM(UPPER(D178)),9,1))&lt;=57),"N","Y"))</f>
      </c>
      <c r="F178" s="7">
        <f>IF($C178="","",IF(LEN(D178)&lt;4,"",IF(UPPER(MID(D178,4,1))="P","Individual",IF(UPPER(MID(D178,4,1))="H","HUF",IF(UPPER(MID(D178,4,1))="C","Company",IF(UPPER(MID(D178,4,1))="F","Firm",IF(UPPER(MID(D178,4,1))="L","LLP",IF(UPPER(MID(D178,4,1))="T","Trust",IF(UPPER(MID(D178,4,1))="A","AOP","")))))))))</f>
      </c>
      <c r="G178" s="8"/>
      <c r="H178" s="7">
        <f>IF($C178="","",IF(R178&lt;&gt;"",R178,IF(G178="","",IF(E178="Y",SUMPRODUCT(('Rate Lookup'!$A$1:$A$37=G178)*'Rate Lookup'!$D$1:$D$37),IF(OR(F178="Individual",F178="HUF"),SUMPRODUCT(('Rate Lookup'!$A$1:$A$37=G178)*'Rate Lookup'!$B$1:$B$37),SUMPRODUCT(('Rate Lookup'!$A$1:$A$37=G178)*'Rate Lookup'!$C$1:$C$37)))))))</f>
      </c>
      <c r="I178" s="8"/>
      <c r="J178" s="8"/>
      <c r="K178" s="7">
        <f>IF($C178="","",IF(OR(P178="B",P178="D",P178="E",P178="N",P178="O",P178="P",P178="Q",P178="S",P178="Y",P178="Z"),0,ROUND(J178*H178/100,0)))</f>
      </c>
      <c r="L178" s="7">
        <f>IF($C178="","",0)</f>
      </c>
      <c r="M178" s="7">
        <f>IF($C178="","",0)</f>
      </c>
      <c r="N178" s="7">
        <f>IF($C178="","",IF(OR(K178=0,I178="",IFERROR(INDEX('Challan Master'!$D$4:$D$207,MATCH($B178,'Challan Master'!$S$4:$S$207,0)),"")="",IFERROR(INDEX('Challan Master'!$D$4:$D$207,MATCH($B178,'Challan Master'!$S$4:$S$207,0)),"")&lt;=0),0,IF(IFERROR(INDEX('Challan Master'!$D$4:$D$207,MATCH($B178,'Challan Master'!$S$4:$S$207,0)),"")&lt;=DATE(YEAR(I178),MONTH(I178)+1,7),0,ROUND(K178*0.015*((YEAR(IFERROR(INDEX('Challan Master'!$D$4:$D$207,MATCH($B178,'Challan Master'!$S$4:$S$207,0)),""))-YEAR(I178))*12+(MONTH(IFERROR(INDEX('Challan Master'!$D$4:$D$207,MATCH($B178,'Challan Master'!$S$4:$S$207,0)),""))-MONTH(I178))+1),0))))</f>
      </c>
      <c r="O178" s="7">
        <f>IF($C178="","",0)</f>
      </c>
      <c r="P178" s="8"/>
      <c r="Q178" s="8"/>
      <c r="R178" s="8"/>
      <c r="S178" s="8"/>
      <c r="T178" s="8"/>
      <c r="U178" s="7">
        <f>IF($B178="","",IFERROR(INDEX('Challan Master'!$AA$4:$AA$207,MATCH($B178,'Challan Master'!$S$4:$S$207,0)),""))</f>
      </c>
    </row>
    <row r="179" spans="1:22" x14ac:dyDescent="0.25">
      <c r="A179" s="7">
        <f>IF($C179="","",COUNTIF($C$4:$C179,"&lt;&gt;"))</f>
      </c>
      <c r="B179" s="8"/>
      <c r="C179" s="8"/>
      <c r="D179" s="8"/>
      <c r="E179" s="7">
        <f>IF($C179="","",IF(AND(LEN(TRIM(UPPER(D179)))=10,CODE(MID(TRIM(UPPER(D179)),1,1))&gt;=65,CODE(MID(TRIM(UPPER(D179)),1,1))&lt;=90,CODE(MID(TRIM(UPPER(D179)),2,1))&gt;=65,CODE(MID(TRIM(UPPER(D179)),2,1))&lt;=90,CODE(MID(TRIM(UPPER(D179)),3,1))&gt;=65,CODE(MID(TRIM(UPPER(D179)),3,1))&lt;=90,CODE(MID(TRIM(UPPER(D179)),4,1))&gt;=65,CODE(MID(TRIM(UPPER(D179)),4,1))&lt;=90,CODE(MID(TRIM(UPPER(D179)),5,1))&gt;=65,CODE(MID(TRIM(UPPER(D179)),5,1))&lt;=90,CODE(MID(TRIM(UPPER(D179)),10,1))&gt;=65,CODE(MID(TRIM(UPPER(D179)),10,1))&lt;=90,CODE(MID(TRIM(UPPER(D179)),6,1))&gt;=48,CODE(MID(TRIM(UPPER(D179)),6,1))&lt;=57,CODE(MID(TRIM(UPPER(D179)),7,1))&gt;=48,CODE(MID(TRIM(UPPER(D179)),7,1))&lt;=57,CODE(MID(TRIM(UPPER(D179)),8,1))&gt;=48,CODE(MID(TRIM(UPPER(D179)),8,1))&lt;=57,CODE(MID(TRIM(UPPER(D179)),9,1))&gt;=48,CODE(MID(TRIM(UPPER(D179)),9,1))&lt;=57),"N","Y"))</f>
      </c>
      <c r="F179" s="7">
        <f>IF($C179="","",IF(LEN(D179)&lt;4,"",IF(UPPER(MID(D179,4,1))="P","Individual",IF(UPPER(MID(D179,4,1))="H","HUF",IF(UPPER(MID(D179,4,1))="C","Company",IF(UPPER(MID(D179,4,1))="F","Firm",IF(UPPER(MID(D179,4,1))="L","LLP",IF(UPPER(MID(D179,4,1))="T","Trust",IF(UPPER(MID(D179,4,1))="A","AOP","")))))))))</f>
      </c>
      <c r="G179" s="8"/>
      <c r="H179" s="7">
        <f>IF($C179="","",IF(R179&lt;&gt;"",R179,IF(G179="","",IF(E179="Y",SUMPRODUCT(('Rate Lookup'!$A$1:$A$37=G179)*'Rate Lookup'!$D$1:$D$37),IF(OR(F179="Individual",F179="HUF"),SUMPRODUCT(('Rate Lookup'!$A$1:$A$37=G179)*'Rate Lookup'!$B$1:$B$37),SUMPRODUCT(('Rate Lookup'!$A$1:$A$37=G179)*'Rate Lookup'!$C$1:$C$37)))))))</f>
      </c>
      <c r="I179" s="8"/>
      <c r="J179" s="8"/>
      <c r="K179" s="7">
        <f>IF($C179="","",IF(OR(P179="B",P179="D",P179="E",P179="N",P179="O",P179="P",P179="Q",P179="S",P179="Y",P179="Z"),0,ROUND(J179*H179/100,0)))</f>
      </c>
      <c r="L179" s="7">
        <f>IF($C179="","",0)</f>
      </c>
      <c r="M179" s="7">
        <f>IF($C179="","",0)</f>
      </c>
      <c r="N179" s="7">
        <f>IF($C179="","",IF(OR(K179=0,I179="",IFERROR(INDEX('Challan Master'!$D$4:$D$207,MATCH($B179,'Challan Master'!$S$4:$S$207,0)),"")="",IFERROR(INDEX('Challan Master'!$D$4:$D$207,MATCH($B179,'Challan Master'!$S$4:$S$207,0)),"")&lt;=0),0,IF(IFERROR(INDEX('Challan Master'!$D$4:$D$207,MATCH($B179,'Challan Master'!$S$4:$S$207,0)),"")&lt;=DATE(YEAR(I179),MONTH(I179)+1,7),0,ROUND(K179*0.015*((YEAR(IFERROR(INDEX('Challan Master'!$D$4:$D$207,MATCH($B179,'Challan Master'!$S$4:$S$207,0)),""))-YEAR(I179))*12+(MONTH(IFERROR(INDEX('Challan Master'!$D$4:$D$207,MATCH($B179,'Challan Master'!$S$4:$S$207,0)),""))-MONTH(I179))+1),0))))</f>
      </c>
      <c r="O179" s="7">
        <f>IF($C179="","",0)</f>
      </c>
      <c r="P179" s="8"/>
      <c r="Q179" s="8"/>
      <c r="R179" s="8"/>
      <c r="S179" s="8"/>
      <c r="T179" s="8"/>
      <c r="U179" s="7">
        <f>IF($B179="","",IFERROR(INDEX('Challan Master'!$AA$4:$AA$207,MATCH($B179,'Challan Master'!$S$4:$S$207,0)),""))</f>
      </c>
    </row>
    <row r="180" spans="1:22" x14ac:dyDescent="0.25">
      <c r="A180" s="7">
        <f>IF($C180="","",COUNTIF($C$4:$C180,"&lt;&gt;"))</f>
      </c>
      <c r="B180" s="8"/>
      <c r="C180" s="8"/>
      <c r="D180" s="8"/>
      <c r="E180" s="7">
        <f>IF($C180="","",IF(AND(LEN(TRIM(UPPER(D180)))=10,CODE(MID(TRIM(UPPER(D180)),1,1))&gt;=65,CODE(MID(TRIM(UPPER(D180)),1,1))&lt;=90,CODE(MID(TRIM(UPPER(D180)),2,1))&gt;=65,CODE(MID(TRIM(UPPER(D180)),2,1))&lt;=90,CODE(MID(TRIM(UPPER(D180)),3,1))&gt;=65,CODE(MID(TRIM(UPPER(D180)),3,1))&lt;=90,CODE(MID(TRIM(UPPER(D180)),4,1))&gt;=65,CODE(MID(TRIM(UPPER(D180)),4,1))&lt;=90,CODE(MID(TRIM(UPPER(D180)),5,1))&gt;=65,CODE(MID(TRIM(UPPER(D180)),5,1))&lt;=90,CODE(MID(TRIM(UPPER(D180)),10,1))&gt;=65,CODE(MID(TRIM(UPPER(D180)),10,1))&lt;=90,CODE(MID(TRIM(UPPER(D180)),6,1))&gt;=48,CODE(MID(TRIM(UPPER(D180)),6,1))&lt;=57,CODE(MID(TRIM(UPPER(D180)),7,1))&gt;=48,CODE(MID(TRIM(UPPER(D180)),7,1))&lt;=57,CODE(MID(TRIM(UPPER(D180)),8,1))&gt;=48,CODE(MID(TRIM(UPPER(D180)),8,1))&lt;=57,CODE(MID(TRIM(UPPER(D180)),9,1))&gt;=48,CODE(MID(TRIM(UPPER(D180)),9,1))&lt;=57),"N","Y"))</f>
      </c>
      <c r="F180" s="7">
        <f>IF($C180="","",IF(LEN(D180)&lt;4,"",IF(UPPER(MID(D180,4,1))="P","Individual",IF(UPPER(MID(D180,4,1))="H","HUF",IF(UPPER(MID(D180,4,1))="C","Company",IF(UPPER(MID(D180,4,1))="F","Firm",IF(UPPER(MID(D180,4,1))="L","LLP",IF(UPPER(MID(D180,4,1))="T","Trust",IF(UPPER(MID(D180,4,1))="A","AOP","")))))))))</f>
      </c>
      <c r="G180" s="8"/>
      <c r="H180" s="7">
        <f>IF($C180="","",IF(R180&lt;&gt;"",R180,IF(G180="","",IF(E180="Y",SUMPRODUCT(('Rate Lookup'!$A$1:$A$37=G180)*'Rate Lookup'!$D$1:$D$37),IF(OR(F180="Individual",F180="HUF"),SUMPRODUCT(('Rate Lookup'!$A$1:$A$37=G180)*'Rate Lookup'!$B$1:$B$37),SUMPRODUCT(('Rate Lookup'!$A$1:$A$37=G180)*'Rate Lookup'!$C$1:$C$37)))))))</f>
      </c>
      <c r="I180" s="8"/>
      <c r="J180" s="8"/>
      <c r="K180" s="7">
        <f>IF($C180="","",IF(OR(P180="B",P180="D",P180="E",P180="N",P180="O",P180="P",P180="Q",P180="S",P180="Y",P180="Z"),0,ROUND(J180*H180/100,0)))</f>
      </c>
      <c r="L180" s="7">
        <f>IF($C180="","",0)</f>
      </c>
      <c r="M180" s="7">
        <f>IF($C180="","",0)</f>
      </c>
      <c r="N180" s="7">
        <f>IF($C180="","",IF(OR(K180=0,I180="",IFERROR(INDEX('Challan Master'!$D$4:$D$207,MATCH($B180,'Challan Master'!$S$4:$S$207,0)),"")="",IFERROR(INDEX('Challan Master'!$D$4:$D$207,MATCH($B180,'Challan Master'!$S$4:$S$207,0)),"")&lt;=0),0,IF(IFERROR(INDEX('Challan Master'!$D$4:$D$207,MATCH($B180,'Challan Master'!$S$4:$S$207,0)),"")&lt;=DATE(YEAR(I180),MONTH(I180)+1,7),0,ROUND(K180*0.015*((YEAR(IFERROR(INDEX('Challan Master'!$D$4:$D$207,MATCH($B180,'Challan Master'!$S$4:$S$207,0)),""))-YEAR(I180))*12+(MONTH(IFERROR(INDEX('Challan Master'!$D$4:$D$207,MATCH($B180,'Challan Master'!$S$4:$S$207,0)),""))-MONTH(I180))+1),0))))</f>
      </c>
      <c r="O180" s="7">
        <f>IF($C180="","",0)</f>
      </c>
      <c r="P180" s="8"/>
      <c r="Q180" s="8"/>
      <c r="R180" s="8"/>
      <c r="S180" s="8"/>
      <c r="T180" s="8"/>
      <c r="U180" s="7">
        <f>IF($B180="","",IFERROR(INDEX('Challan Master'!$AA$4:$AA$207,MATCH($B180,'Challan Master'!$S$4:$S$207,0)),""))</f>
      </c>
    </row>
    <row r="181" spans="1:22" x14ac:dyDescent="0.25">
      <c r="A181" s="7">
        <f>IF($C181="","",COUNTIF($C$4:$C181,"&lt;&gt;"))</f>
      </c>
      <c r="B181" s="8"/>
      <c r="C181" s="8"/>
      <c r="D181" s="8"/>
      <c r="E181" s="7">
        <f>IF($C181="","",IF(AND(LEN(TRIM(UPPER(D181)))=10,CODE(MID(TRIM(UPPER(D181)),1,1))&gt;=65,CODE(MID(TRIM(UPPER(D181)),1,1))&lt;=90,CODE(MID(TRIM(UPPER(D181)),2,1))&gt;=65,CODE(MID(TRIM(UPPER(D181)),2,1))&lt;=90,CODE(MID(TRIM(UPPER(D181)),3,1))&gt;=65,CODE(MID(TRIM(UPPER(D181)),3,1))&lt;=90,CODE(MID(TRIM(UPPER(D181)),4,1))&gt;=65,CODE(MID(TRIM(UPPER(D181)),4,1))&lt;=90,CODE(MID(TRIM(UPPER(D181)),5,1))&gt;=65,CODE(MID(TRIM(UPPER(D181)),5,1))&lt;=90,CODE(MID(TRIM(UPPER(D181)),10,1))&gt;=65,CODE(MID(TRIM(UPPER(D181)),10,1))&lt;=90,CODE(MID(TRIM(UPPER(D181)),6,1))&gt;=48,CODE(MID(TRIM(UPPER(D181)),6,1))&lt;=57,CODE(MID(TRIM(UPPER(D181)),7,1))&gt;=48,CODE(MID(TRIM(UPPER(D181)),7,1))&lt;=57,CODE(MID(TRIM(UPPER(D181)),8,1))&gt;=48,CODE(MID(TRIM(UPPER(D181)),8,1))&lt;=57,CODE(MID(TRIM(UPPER(D181)),9,1))&gt;=48,CODE(MID(TRIM(UPPER(D181)),9,1))&lt;=57),"N","Y"))</f>
      </c>
      <c r="F181" s="7">
        <f>IF($C181="","",IF(LEN(D181)&lt;4,"",IF(UPPER(MID(D181,4,1))="P","Individual",IF(UPPER(MID(D181,4,1))="H","HUF",IF(UPPER(MID(D181,4,1))="C","Company",IF(UPPER(MID(D181,4,1))="F","Firm",IF(UPPER(MID(D181,4,1))="L","LLP",IF(UPPER(MID(D181,4,1))="T","Trust",IF(UPPER(MID(D181,4,1))="A","AOP","")))))))))</f>
      </c>
      <c r="G181" s="8"/>
      <c r="H181" s="7">
        <f>IF($C181="","",IF(R181&lt;&gt;"",R181,IF(G181="","",IF(E181="Y",SUMPRODUCT(('Rate Lookup'!$A$1:$A$37=G181)*'Rate Lookup'!$D$1:$D$37),IF(OR(F181="Individual",F181="HUF"),SUMPRODUCT(('Rate Lookup'!$A$1:$A$37=G181)*'Rate Lookup'!$B$1:$B$37),SUMPRODUCT(('Rate Lookup'!$A$1:$A$37=G181)*'Rate Lookup'!$C$1:$C$37)))))))</f>
      </c>
      <c r="I181" s="8"/>
      <c r="J181" s="8"/>
      <c r="K181" s="7">
        <f>IF($C181="","",IF(OR(P181="B",P181="D",P181="E",P181="N",P181="O",P181="P",P181="Q",P181="S",P181="Y",P181="Z"),0,ROUND(J181*H181/100,0)))</f>
      </c>
      <c r="L181" s="7">
        <f>IF($C181="","",0)</f>
      </c>
      <c r="M181" s="7">
        <f>IF($C181="","",0)</f>
      </c>
      <c r="N181" s="7">
        <f>IF($C181="","",IF(OR(K181=0,I181="",IFERROR(INDEX('Challan Master'!$D$4:$D$207,MATCH($B181,'Challan Master'!$S$4:$S$207,0)),"")="",IFERROR(INDEX('Challan Master'!$D$4:$D$207,MATCH($B181,'Challan Master'!$S$4:$S$207,0)),"")&lt;=0),0,IF(IFERROR(INDEX('Challan Master'!$D$4:$D$207,MATCH($B181,'Challan Master'!$S$4:$S$207,0)),"")&lt;=DATE(YEAR(I181),MONTH(I181)+1,7),0,ROUND(K181*0.015*((YEAR(IFERROR(INDEX('Challan Master'!$D$4:$D$207,MATCH($B181,'Challan Master'!$S$4:$S$207,0)),""))-YEAR(I181))*12+(MONTH(IFERROR(INDEX('Challan Master'!$D$4:$D$207,MATCH($B181,'Challan Master'!$S$4:$S$207,0)),""))-MONTH(I181))+1),0))))</f>
      </c>
      <c r="O181" s="7">
        <f>IF($C181="","",0)</f>
      </c>
      <c r="P181" s="8"/>
      <c r="Q181" s="8"/>
      <c r="R181" s="8"/>
      <c r="S181" s="8"/>
      <c r="T181" s="8"/>
      <c r="U181" s="7">
        <f>IF($B181="","",IFERROR(INDEX('Challan Master'!$AA$4:$AA$207,MATCH($B181,'Challan Master'!$S$4:$S$207,0)),""))</f>
      </c>
    </row>
    <row r="182" spans="1:22" x14ac:dyDescent="0.25">
      <c r="A182" s="7">
        <f>IF($C182="","",COUNTIF($C$4:$C182,"&lt;&gt;"))</f>
      </c>
      <c r="B182" s="8"/>
      <c r="C182" s="8"/>
      <c r="D182" s="8"/>
      <c r="E182" s="7">
        <f>IF($C182="","",IF(AND(LEN(TRIM(UPPER(D182)))=10,CODE(MID(TRIM(UPPER(D182)),1,1))&gt;=65,CODE(MID(TRIM(UPPER(D182)),1,1))&lt;=90,CODE(MID(TRIM(UPPER(D182)),2,1))&gt;=65,CODE(MID(TRIM(UPPER(D182)),2,1))&lt;=90,CODE(MID(TRIM(UPPER(D182)),3,1))&gt;=65,CODE(MID(TRIM(UPPER(D182)),3,1))&lt;=90,CODE(MID(TRIM(UPPER(D182)),4,1))&gt;=65,CODE(MID(TRIM(UPPER(D182)),4,1))&lt;=90,CODE(MID(TRIM(UPPER(D182)),5,1))&gt;=65,CODE(MID(TRIM(UPPER(D182)),5,1))&lt;=90,CODE(MID(TRIM(UPPER(D182)),10,1))&gt;=65,CODE(MID(TRIM(UPPER(D182)),10,1))&lt;=90,CODE(MID(TRIM(UPPER(D182)),6,1))&gt;=48,CODE(MID(TRIM(UPPER(D182)),6,1))&lt;=57,CODE(MID(TRIM(UPPER(D182)),7,1))&gt;=48,CODE(MID(TRIM(UPPER(D182)),7,1))&lt;=57,CODE(MID(TRIM(UPPER(D182)),8,1))&gt;=48,CODE(MID(TRIM(UPPER(D182)),8,1))&lt;=57,CODE(MID(TRIM(UPPER(D182)),9,1))&gt;=48,CODE(MID(TRIM(UPPER(D182)),9,1))&lt;=57),"N","Y"))</f>
      </c>
      <c r="F182" s="7">
        <f>IF($C182="","",IF(LEN(D182)&lt;4,"",IF(UPPER(MID(D182,4,1))="P","Individual",IF(UPPER(MID(D182,4,1))="H","HUF",IF(UPPER(MID(D182,4,1))="C","Company",IF(UPPER(MID(D182,4,1))="F","Firm",IF(UPPER(MID(D182,4,1))="L","LLP",IF(UPPER(MID(D182,4,1))="T","Trust",IF(UPPER(MID(D182,4,1))="A","AOP","")))))))))</f>
      </c>
      <c r="G182" s="8"/>
      <c r="H182" s="7">
        <f>IF($C182="","",IF(R182&lt;&gt;"",R182,IF(G182="","",IF(E182="Y",SUMPRODUCT(('Rate Lookup'!$A$1:$A$37=G182)*'Rate Lookup'!$D$1:$D$37),IF(OR(F182="Individual",F182="HUF"),SUMPRODUCT(('Rate Lookup'!$A$1:$A$37=G182)*'Rate Lookup'!$B$1:$B$37),SUMPRODUCT(('Rate Lookup'!$A$1:$A$37=G182)*'Rate Lookup'!$C$1:$C$37)))))))</f>
      </c>
      <c r="I182" s="8"/>
      <c r="J182" s="8"/>
      <c r="K182" s="7">
        <f>IF($C182="","",IF(OR(P182="B",P182="D",P182="E",P182="N",P182="O",P182="P",P182="Q",P182="S",P182="Y",P182="Z"),0,ROUND(J182*H182/100,0)))</f>
      </c>
      <c r="L182" s="7">
        <f>IF($C182="","",0)</f>
      </c>
      <c r="M182" s="7">
        <f>IF($C182="","",0)</f>
      </c>
      <c r="N182" s="7">
        <f>IF($C182="","",IF(OR(K182=0,I182="",IFERROR(INDEX('Challan Master'!$D$4:$D$207,MATCH($B182,'Challan Master'!$S$4:$S$207,0)),"")="",IFERROR(INDEX('Challan Master'!$D$4:$D$207,MATCH($B182,'Challan Master'!$S$4:$S$207,0)),"")&lt;=0),0,IF(IFERROR(INDEX('Challan Master'!$D$4:$D$207,MATCH($B182,'Challan Master'!$S$4:$S$207,0)),"")&lt;=DATE(YEAR(I182),MONTH(I182)+1,7),0,ROUND(K182*0.015*((YEAR(IFERROR(INDEX('Challan Master'!$D$4:$D$207,MATCH($B182,'Challan Master'!$S$4:$S$207,0)),""))-YEAR(I182))*12+(MONTH(IFERROR(INDEX('Challan Master'!$D$4:$D$207,MATCH($B182,'Challan Master'!$S$4:$S$207,0)),""))-MONTH(I182))+1),0))))</f>
      </c>
      <c r="O182" s="7">
        <f>IF($C182="","",0)</f>
      </c>
      <c r="P182" s="8"/>
      <c r="Q182" s="8"/>
      <c r="R182" s="8"/>
      <c r="S182" s="8"/>
      <c r="T182" s="8"/>
      <c r="U182" s="7">
        <f>IF($B182="","",IFERROR(INDEX('Challan Master'!$AA$4:$AA$207,MATCH($B182,'Challan Master'!$S$4:$S$207,0)),""))</f>
      </c>
    </row>
    <row r="183" spans="1:22" x14ac:dyDescent="0.25">
      <c r="A183" s="7">
        <f>IF($C183="","",COUNTIF($C$4:$C183,"&lt;&gt;"))</f>
      </c>
      <c r="B183" s="8"/>
      <c r="C183" s="8"/>
      <c r="D183" s="8"/>
      <c r="E183" s="7">
        <f>IF($C183="","",IF(AND(LEN(TRIM(UPPER(D183)))=10,CODE(MID(TRIM(UPPER(D183)),1,1))&gt;=65,CODE(MID(TRIM(UPPER(D183)),1,1))&lt;=90,CODE(MID(TRIM(UPPER(D183)),2,1))&gt;=65,CODE(MID(TRIM(UPPER(D183)),2,1))&lt;=90,CODE(MID(TRIM(UPPER(D183)),3,1))&gt;=65,CODE(MID(TRIM(UPPER(D183)),3,1))&lt;=90,CODE(MID(TRIM(UPPER(D183)),4,1))&gt;=65,CODE(MID(TRIM(UPPER(D183)),4,1))&lt;=90,CODE(MID(TRIM(UPPER(D183)),5,1))&gt;=65,CODE(MID(TRIM(UPPER(D183)),5,1))&lt;=90,CODE(MID(TRIM(UPPER(D183)),10,1))&gt;=65,CODE(MID(TRIM(UPPER(D183)),10,1))&lt;=90,CODE(MID(TRIM(UPPER(D183)),6,1))&gt;=48,CODE(MID(TRIM(UPPER(D183)),6,1))&lt;=57,CODE(MID(TRIM(UPPER(D183)),7,1))&gt;=48,CODE(MID(TRIM(UPPER(D183)),7,1))&lt;=57,CODE(MID(TRIM(UPPER(D183)),8,1))&gt;=48,CODE(MID(TRIM(UPPER(D183)),8,1))&lt;=57,CODE(MID(TRIM(UPPER(D183)),9,1))&gt;=48,CODE(MID(TRIM(UPPER(D183)),9,1))&lt;=57),"N","Y"))</f>
      </c>
      <c r="F183" s="7">
        <f>IF($C183="","",IF(LEN(D183)&lt;4,"",IF(UPPER(MID(D183,4,1))="P","Individual",IF(UPPER(MID(D183,4,1))="H","HUF",IF(UPPER(MID(D183,4,1))="C","Company",IF(UPPER(MID(D183,4,1))="F","Firm",IF(UPPER(MID(D183,4,1))="L","LLP",IF(UPPER(MID(D183,4,1))="T","Trust",IF(UPPER(MID(D183,4,1))="A","AOP","")))))))))</f>
      </c>
      <c r="G183" s="8"/>
      <c r="H183" s="7">
        <f>IF($C183="","",IF(R183&lt;&gt;"",R183,IF(G183="","",IF(E183="Y",SUMPRODUCT(('Rate Lookup'!$A$1:$A$37=G183)*'Rate Lookup'!$D$1:$D$37),IF(OR(F183="Individual",F183="HUF"),SUMPRODUCT(('Rate Lookup'!$A$1:$A$37=G183)*'Rate Lookup'!$B$1:$B$37),SUMPRODUCT(('Rate Lookup'!$A$1:$A$37=G183)*'Rate Lookup'!$C$1:$C$37)))))))</f>
      </c>
      <c r="I183" s="8"/>
      <c r="J183" s="8"/>
      <c r="K183" s="7">
        <f>IF($C183="","",IF(OR(P183="B",P183="D",P183="E",P183="N",P183="O",P183="P",P183="Q",P183="S",P183="Y",P183="Z"),0,ROUND(J183*H183/100,0)))</f>
      </c>
      <c r="L183" s="7">
        <f>IF($C183="","",0)</f>
      </c>
      <c r="M183" s="7">
        <f>IF($C183="","",0)</f>
      </c>
      <c r="N183" s="7">
        <f>IF($C183="","",IF(OR(K183=0,I183="",IFERROR(INDEX('Challan Master'!$D$4:$D$207,MATCH($B183,'Challan Master'!$S$4:$S$207,0)),"")="",IFERROR(INDEX('Challan Master'!$D$4:$D$207,MATCH($B183,'Challan Master'!$S$4:$S$207,0)),"")&lt;=0),0,IF(IFERROR(INDEX('Challan Master'!$D$4:$D$207,MATCH($B183,'Challan Master'!$S$4:$S$207,0)),"")&lt;=DATE(YEAR(I183),MONTH(I183)+1,7),0,ROUND(K183*0.015*((YEAR(IFERROR(INDEX('Challan Master'!$D$4:$D$207,MATCH($B183,'Challan Master'!$S$4:$S$207,0)),""))-YEAR(I183))*12+(MONTH(IFERROR(INDEX('Challan Master'!$D$4:$D$207,MATCH($B183,'Challan Master'!$S$4:$S$207,0)),""))-MONTH(I183))+1),0))))</f>
      </c>
      <c r="O183" s="7">
        <f>IF($C183="","",0)</f>
      </c>
      <c r="P183" s="8"/>
      <c r="Q183" s="8"/>
      <c r="R183" s="8"/>
      <c r="S183" s="8"/>
      <c r="T183" s="8"/>
      <c r="U183" s="7">
        <f>IF($B183="","",IFERROR(INDEX('Challan Master'!$AA$4:$AA$207,MATCH($B183,'Challan Master'!$S$4:$S$207,0)),""))</f>
      </c>
    </row>
    <row r="184" spans="1:22" x14ac:dyDescent="0.25">
      <c r="A184" s="7">
        <f>IF($C184="","",COUNTIF($C$4:$C184,"&lt;&gt;"))</f>
      </c>
      <c r="B184" s="8"/>
      <c r="C184" s="8"/>
      <c r="D184" s="8"/>
      <c r="E184" s="7">
        <f>IF($C184="","",IF(AND(LEN(TRIM(UPPER(D184)))=10,CODE(MID(TRIM(UPPER(D184)),1,1))&gt;=65,CODE(MID(TRIM(UPPER(D184)),1,1))&lt;=90,CODE(MID(TRIM(UPPER(D184)),2,1))&gt;=65,CODE(MID(TRIM(UPPER(D184)),2,1))&lt;=90,CODE(MID(TRIM(UPPER(D184)),3,1))&gt;=65,CODE(MID(TRIM(UPPER(D184)),3,1))&lt;=90,CODE(MID(TRIM(UPPER(D184)),4,1))&gt;=65,CODE(MID(TRIM(UPPER(D184)),4,1))&lt;=90,CODE(MID(TRIM(UPPER(D184)),5,1))&gt;=65,CODE(MID(TRIM(UPPER(D184)),5,1))&lt;=90,CODE(MID(TRIM(UPPER(D184)),10,1))&gt;=65,CODE(MID(TRIM(UPPER(D184)),10,1))&lt;=90,CODE(MID(TRIM(UPPER(D184)),6,1))&gt;=48,CODE(MID(TRIM(UPPER(D184)),6,1))&lt;=57,CODE(MID(TRIM(UPPER(D184)),7,1))&gt;=48,CODE(MID(TRIM(UPPER(D184)),7,1))&lt;=57,CODE(MID(TRIM(UPPER(D184)),8,1))&gt;=48,CODE(MID(TRIM(UPPER(D184)),8,1))&lt;=57,CODE(MID(TRIM(UPPER(D184)),9,1))&gt;=48,CODE(MID(TRIM(UPPER(D184)),9,1))&lt;=57),"N","Y"))</f>
      </c>
      <c r="F184" s="7">
        <f>IF($C184="","",IF(LEN(D184)&lt;4,"",IF(UPPER(MID(D184,4,1))="P","Individual",IF(UPPER(MID(D184,4,1))="H","HUF",IF(UPPER(MID(D184,4,1))="C","Company",IF(UPPER(MID(D184,4,1))="F","Firm",IF(UPPER(MID(D184,4,1))="L","LLP",IF(UPPER(MID(D184,4,1))="T","Trust",IF(UPPER(MID(D184,4,1))="A","AOP","")))))))))</f>
      </c>
      <c r="G184" s="8"/>
      <c r="H184" s="7">
        <f>IF($C184="","",IF(R184&lt;&gt;"",R184,IF(G184="","",IF(E184="Y",SUMPRODUCT(('Rate Lookup'!$A$1:$A$37=G184)*'Rate Lookup'!$D$1:$D$37),IF(OR(F184="Individual",F184="HUF"),SUMPRODUCT(('Rate Lookup'!$A$1:$A$37=G184)*'Rate Lookup'!$B$1:$B$37),SUMPRODUCT(('Rate Lookup'!$A$1:$A$37=G184)*'Rate Lookup'!$C$1:$C$37)))))))</f>
      </c>
      <c r="I184" s="8"/>
      <c r="J184" s="8"/>
      <c r="K184" s="7">
        <f>IF($C184="","",IF(OR(P184="B",P184="D",P184="E",P184="N",P184="O",P184="P",P184="Q",P184="S",P184="Y",P184="Z"),0,ROUND(J184*H184/100,0)))</f>
      </c>
      <c r="L184" s="7">
        <f>IF($C184="","",0)</f>
      </c>
      <c r="M184" s="7">
        <f>IF($C184="","",0)</f>
      </c>
      <c r="N184" s="7">
        <f>IF($C184="","",IF(OR(K184=0,I184="",IFERROR(INDEX('Challan Master'!$D$4:$D$207,MATCH($B184,'Challan Master'!$S$4:$S$207,0)),"")="",IFERROR(INDEX('Challan Master'!$D$4:$D$207,MATCH($B184,'Challan Master'!$S$4:$S$207,0)),"")&lt;=0),0,IF(IFERROR(INDEX('Challan Master'!$D$4:$D$207,MATCH($B184,'Challan Master'!$S$4:$S$207,0)),"")&lt;=DATE(YEAR(I184),MONTH(I184)+1,7),0,ROUND(K184*0.015*((YEAR(IFERROR(INDEX('Challan Master'!$D$4:$D$207,MATCH($B184,'Challan Master'!$S$4:$S$207,0)),""))-YEAR(I184))*12+(MONTH(IFERROR(INDEX('Challan Master'!$D$4:$D$207,MATCH($B184,'Challan Master'!$S$4:$S$207,0)),""))-MONTH(I184))+1),0))))</f>
      </c>
      <c r="O184" s="7">
        <f>IF($C184="","",0)</f>
      </c>
      <c r="P184" s="8"/>
      <c r="Q184" s="8"/>
      <c r="R184" s="8"/>
      <c r="S184" s="8"/>
      <c r="T184" s="8"/>
      <c r="U184" s="7">
        <f>IF($B184="","",IFERROR(INDEX('Challan Master'!$AA$4:$AA$207,MATCH($B184,'Challan Master'!$S$4:$S$207,0)),""))</f>
      </c>
    </row>
    <row r="185" spans="1:22" x14ac:dyDescent="0.25">
      <c r="A185" s="7">
        <f>IF($C185="","",COUNTIF($C$4:$C185,"&lt;&gt;"))</f>
      </c>
      <c r="B185" s="8"/>
      <c r="C185" s="8"/>
      <c r="D185" s="8"/>
      <c r="E185" s="7">
        <f>IF($C185="","",IF(AND(LEN(TRIM(UPPER(D185)))=10,CODE(MID(TRIM(UPPER(D185)),1,1))&gt;=65,CODE(MID(TRIM(UPPER(D185)),1,1))&lt;=90,CODE(MID(TRIM(UPPER(D185)),2,1))&gt;=65,CODE(MID(TRIM(UPPER(D185)),2,1))&lt;=90,CODE(MID(TRIM(UPPER(D185)),3,1))&gt;=65,CODE(MID(TRIM(UPPER(D185)),3,1))&lt;=90,CODE(MID(TRIM(UPPER(D185)),4,1))&gt;=65,CODE(MID(TRIM(UPPER(D185)),4,1))&lt;=90,CODE(MID(TRIM(UPPER(D185)),5,1))&gt;=65,CODE(MID(TRIM(UPPER(D185)),5,1))&lt;=90,CODE(MID(TRIM(UPPER(D185)),10,1))&gt;=65,CODE(MID(TRIM(UPPER(D185)),10,1))&lt;=90,CODE(MID(TRIM(UPPER(D185)),6,1))&gt;=48,CODE(MID(TRIM(UPPER(D185)),6,1))&lt;=57,CODE(MID(TRIM(UPPER(D185)),7,1))&gt;=48,CODE(MID(TRIM(UPPER(D185)),7,1))&lt;=57,CODE(MID(TRIM(UPPER(D185)),8,1))&gt;=48,CODE(MID(TRIM(UPPER(D185)),8,1))&lt;=57,CODE(MID(TRIM(UPPER(D185)),9,1))&gt;=48,CODE(MID(TRIM(UPPER(D185)),9,1))&lt;=57),"N","Y"))</f>
      </c>
      <c r="F185" s="7">
        <f>IF($C185="","",IF(LEN(D185)&lt;4,"",IF(UPPER(MID(D185,4,1))="P","Individual",IF(UPPER(MID(D185,4,1))="H","HUF",IF(UPPER(MID(D185,4,1))="C","Company",IF(UPPER(MID(D185,4,1))="F","Firm",IF(UPPER(MID(D185,4,1))="L","LLP",IF(UPPER(MID(D185,4,1))="T","Trust",IF(UPPER(MID(D185,4,1))="A","AOP","")))))))))</f>
      </c>
      <c r="G185" s="8"/>
      <c r="H185" s="7">
        <f>IF($C185="","",IF(R185&lt;&gt;"",R185,IF(G185="","",IF(E185="Y",SUMPRODUCT(('Rate Lookup'!$A$1:$A$37=G185)*'Rate Lookup'!$D$1:$D$37),IF(OR(F185="Individual",F185="HUF"),SUMPRODUCT(('Rate Lookup'!$A$1:$A$37=G185)*'Rate Lookup'!$B$1:$B$37),SUMPRODUCT(('Rate Lookup'!$A$1:$A$37=G185)*'Rate Lookup'!$C$1:$C$37)))))))</f>
      </c>
      <c r="I185" s="8"/>
      <c r="J185" s="8"/>
      <c r="K185" s="7">
        <f>IF($C185="","",IF(OR(P185="B",P185="D",P185="E",P185="N",P185="O",P185="P",P185="Q",P185="S",P185="Y",P185="Z"),0,ROUND(J185*H185/100,0)))</f>
      </c>
      <c r="L185" s="7">
        <f>IF($C185="","",0)</f>
      </c>
      <c r="M185" s="7">
        <f>IF($C185="","",0)</f>
      </c>
      <c r="N185" s="7">
        <f>IF($C185="","",IF(OR(K185=0,I185="",IFERROR(INDEX('Challan Master'!$D$4:$D$207,MATCH($B185,'Challan Master'!$S$4:$S$207,0)),"")="",IFERROR(INDEX('Challan Master'!$D$4:$D$207,MATCH($B185,'Challan Master'!$S$4:$S$207,0)),"")&lt;=0),0,IF(IFERROR(INDEX('Challan Master'!$D$4:$D$207,MATCH($B185,'Challan Master'!$S$4:$S$207,0)),"")&lt;=DATE(YEAR(I185),MONTH(I185)+1,7),0,ROUND(K185*0.015*((YEAR(IFERROR(INDEX('Challan Master'!$D$4:$D$207,MATCH($B185,'Challan Master'!$S$4:$S$207,0)),""))-YEAR(I185))*12+(MONTH(IFERROR(INDEX('Challan Master'!$D$4:$D$207,MATCH($B185,'Challan Master'!$S$4:$S$207,0)),""))-MONTH(I185))+1),0))))</f>
      </c>
      <c r="O185" s="7">
        <f>IF($C185="","",0)</f>
      </c>
      <c r="P185" s="8"/>
      <c r="Q185" s="8"/>
      <c r="R185" s="8"/>
      <c r="S185" s="8"/>
      <c r="T185" s="8"/>
      <c r="U185" s="7">
        <f>IF($B185="","",IFERROR(INDEX('Challan Master'!$AA$4:$AA$207,MATCH($B185,'Challan Master'!$S$4:$S$207,0)),""))</f>
      </c>
    </row>
    <row r="186" spans="1:22" x14ac:dyDescent="0.25">
      <c r="A186" s="7">
        <f>IF($C186="","",COUNTIF($C$4:$C186,"&lt;&gt;"))</f>
      </c>
      <c r="B186" s="8"/>
      <c r="C186" s="8"/>
      <c r="D186" s="8"/>
      <c r="E186" s="7">
        <f>IF($C186="","",IF(AND(LEN(TRIM(UPPER(D186)))=10,CODE(MID(TRIM(UPPER(D186)),1,1))&gt;=65,CODE(MID(TRIM(UPPER(D186)),1,1))&lt;=90,CODE(MID(TRIM(UPPER(D186)),2,1))&gt;=65,CODE(MID(TRIM(UPPER(D186)),2,1))&lt;=90,CODE(MID(TRIM(UPPER(D186)),3,1))&gt;=65,CODE(MID(TRIM(UPPER(D186)),3,1))&lt;=90,CODE(MID(TRIM(UPPER(D186)),4,1))&gt;=65,CODE(MID(TRIM(UPPER(D186)),4,1))&lt;=90,CODE(MID(TRIM(UPPER(D186)),5,1))&gt;=65,CODE(MID(TRIM(UPPER(D186)),5,1))&lt;=90,CODE(MID(TRIM(UPPER(D186)),10,1))&gt;=65,CODE(MID(TRIM(UPPER(D186)),10,1))&lt;=90,CODE(MID(TRIM(UPPER(D186)),6,1))&gt;=48,CODE(MID(TRIM(UPPER(D186)),6,1))&lt;=57,CODE(MID(TRIM(UPPER(D186)),7,1))&gt;=48,CODE(MID(TRIM(UPPER(D186)),7,1))&lt;=57,CODE(MID(TRIM(UPPER(D186)),8,1))&gt;=48,CODE(MID(TRIM(UPPER(D186)),8,1))&lt;=57,CODE(MID(TRIM(UPPER(D186)),9,1))&gt;=48,CODE(MID(TRIM(UPPER(D186)),9,1))&lt;=57),"N","Y"))</f>
      </c>
      <c r="F186" s="7">
        <f>IF($C186="","",IF(LEN(D186)&lt;4,"",IF(UPPER(MID(D186,4,1))="P","Individual",IF(UPPER(MID(D186,4,1))="H","HUF",IF(UPPER(MID(D186,4,1))="C","Company",IF(UPPER(MID(D186,4,1))="F","Firm",IF(UPPER(MID(D186,4,1))="L","LLP",IF(UPPER(MID(D186,4,1))="T","Trust",IF(UPPER(MID(D186,4,1))="A","AOP","")))))))))</f>
      </c>
      <c r="G186" s="8"/>
      <c r="H186" s="7">
        <f>IF($C186="","",IF(R186&lt;&gt;"",R186,IF(G186="","",IF(E186="Y",SUMPRODUCT(('Rate Lookup'!$A$1:$A$37=G186)*'Rate Lookup'!$D$1:$D$37),IF(OR(F186="Individual",F186="HUF"),SUMPRODUCT(('Rate Lookup'!$A$1:$A$37=G186)*'Rate Lookup'!$B$1:$B$37),SUMPRODUCT(('Rate Lookup'!$A$1:$A$37=G186)*'Rate Lookup'!$C$1:$C$37)))))))</f>
      </c>
      <c r="I186" s="8"/>
      <c r="J186" s="8"/>
      <c r="K186" s="7">
        <f>IF($C186="","",IF(OR(P186="B",P186="D",P186="E",P186="N",P186="O",P186="P",P186="Q",P186="S",P186="Y",P186="Z"),0,ROUND(J186*H186/100,0)))</f>
      </c>
      <c r="L186" s="7">
        <f>IF($C186="","",0)</f>
      </c>
      <c r="M186" s="7">
        <f>IF($C186="","",0)</f>
      </c>
      <c r="N186" s="7">
        <f>IF($C186="","",IF(OR(K186=0,I186="",IFERROR(INDEX('Challan Master'!$D$4:$D$207,MATCH($B186,'Challan Master'!$S$4:$S$207,0)),"")="",IFERROR(INDEX('Challan Master'!$D$4:$D$207,MATCH($B186,'Challan Master'!$S$4:$S$207,0)),"")&lt;=0),0,IF(IFERROR(INDEX('Challan Master'!$D$4:$D$207,MATCH($B186,'Challan Master'!$S$4:$S$207,0)),"")&lt;=DATE(YEAR(I186),MONTH(I186)+1,7),0,ROUND(K186*0.015*((YEAR(IFERROR(INDEX('Challan Master'!$D$4:$D$207,MATCH($B186,'Challan Master'!$S$4:$S$207,0)),""))-YEAR(I186))*12+(MONTH(IFERROR(INDEX('Challan Master'!$D$4:$D$207,MATCH($B186,'Challan Master'!$S$4:$S$207,0)),""))-MONTH(I186))+1),0))))</f>
      </c>
      <c r="O186" s="7">
        <f>IF($C186="","",0)</f>
      </c>
      <c r="P186" s="8"/>
      <c r="Q186" s="8"/>
      <c r="R186" s="8"/>
      <c r="S186" s="8"/>
      <c r="T186" s="8"/>
      <c r="U186" s="7">
        <f>IF($B186="","",IFERROR(INDEX('Challan Master'!$AA$4:$AA$207,MATCH($B186,'Challan Master'!$S$4:$S$207,0)),""))</f>
      </c>
    </row>
    <row r="187" spans="1:22" x14ac:dyDescent="0.25">
      <c r="A187" s="7">
        <f>IF($C187="","",COUNTIF($C$4:$C187,"&lt;&gt;"))</f>
      </c>
      <c r="B187" s="8"/>
      <c r="C187" s="8"/>
      <c r="D187" s="8"/>
      <c r="E187" s="7">
        <f>IF($C187="","",IF(AND(LEN(TRIM(UPPER(D187)))=10,CODE(MID(TRIM(UPPER(D187)),1,1))&gt;=65,CODE(MID(TRIM(UPPER(D187)),1,1))&lt;=90,CODE(MID(TRIM(UPPER(D187)),2,1))&gt;=65,CODE(MID(TRIM(UPPER(D187)),2,1))&lt;=90,CODE(MID(TRIM(UPPER(D187)),3,1))&gt;=65,CODE(MID(TRIM(UPPER(D187)),3,1))&lt;=90,CODE(MID(TRIM(UPPER(D187)),4,1))&gt;=65,CODE(MID(TRIM(UPPER(D187)),4,1))&lt;=90,CODE(MID(TRIM(UPPER(D187)),5,1))&gt;=65,CODE(MID(TRIM(UPPER(D187)),5,1))&lt;=90,CODE(MID(TRIM(UPPER(D187)),10,1))&gt;=65,CODE(MID(TRIM(UPPER(D187)),10,1))&lt;=90,CODE(MID(TRIM(UPPER(D187)),6,1))&gt;=48,CODE(MID(TRIM(UPPER(D187)),6,1))&lt;=57,CODE(MID(TRIM(UPPER(D187)),7,1))&gt;=48,CODE(MID(TRIM(UPPER(D187)),7,1))&lt;=57,CODE(MID(TRIM(UPPER(D187)),8,1))&gt;=48,CODE(MID(TRIM(UPPER(D187)),8,1))&lt;=57,CODE(MID(TRIM(UPPER(D187)),9,1))&gt;=48,CODE(MID(TRIM(UPPER(D187)),9,1))&lt;=57),"N","Y"))</f>
      </c>
      <c r="F187" s="7">
        <f>IF($C187="","",IF(LEN(D187)&lt;4,"",IF(UPPER(MID(D187,4,1))="P","Individual",IF(UPPER(MID(D187,4,1))="H","HUF",IF(UPPER(MID(D187,4,1))="C","Company",IF(UPPER(MID(D187,4,1))="F","Firm",IF(UPPER(MID(D187,4,1))="L","LLP",IF(UPPER(MID(D187,4,1))="T","Trust",IF(UPPER(MID(D187,4,1))="A","AOP","")))))))))</f>
      </c>
      <c r="G187" s="8"/>
      <c r="H187" s="7">
        <f>IF($C187="","",IF(R187&lt;&gt;"",R187,IF(G187="","",IF(E187="Y",SUMPRODUCT(('Rate Lookup'!$A$1:$A$37=G187)*'Rate Lookup'!$D$1:$D$37),IF(OR(F187="Individual",F187="HUF"),SUMPRODUCT(('Rate Lookup'!$A$1:$A$37=G187)*'Rate Lookup'!$B$1:$B$37),SUMPRODUCT(('Rate Lookup'!$A$1:$A$37=G187)*'Rate Lookup'!$C$1:$C$37)))))))</f>
      </c>
      <c r="I187" s="8"/>
      <c r="J187" s="8"/>
      <c r="K187" s="7">
        <f>IF($C187="","",IF(OR(P187="B",P187="D",P187="E",P187="N",P187="O",P187="P",P187="Q",P187="S",P187="Y",P187="Z"),0,ROUND(J187*H187/100,0)))</f>
      </c>
      <c r="L187" s="7">
        <f>IF($C187="","",0)</f>
      </c>
      <c r="M187" s="7">
        <f>IF($C187="","",0)</f>
      </c>
      <c r="N187" s="7">
        <f>IF($C187="","",IF(OR(K187=0,I187="",IFERROR(INDEX('Challan Master'!$D$4:$D$207,MATCH($B187,'Challan Master'!$S$4:$S$207,0)),"")="",IFERROR(INDEX('Challan Master'!$D$4:$D$207,MATCH($B187,'Challan Master'!$S$4:$S$207,0)),"")&lt;=0),0,IF(IFERROR(INDEX('Challan Master'!$D$4:$D$207,MATCH($B187,'Challan Master'!$S$4:$S$207,0)),"")&lt;=DATE(YEAR(I187),MONTH(I187)+1,7),0,ROUND(K187*0.015*((YEAR(IFERROR(INDEX('Challan Master'!$D$4:$D$207,MATCH($B187,'Challan Master'!$S$4:$S$207,0)),""))-YEAR(I187))*12+(MONTH(IFERROR(INDEX('Challan Master'!$D$4:$D$207,MATCH($B187,'Challan Master'!$S$4:$S$207,0)),""))-MONTH(I187))+1),0))))</f>
      </c>
      <c r="O187" s="7">
        <f>IF($C187="","",0)</f>
      </c>
      <c r="P187" s="8"/>
      <c r="Q187" s="8"/>
      <c r="R187" s="8"/>
      <c r="S187" s="8"/>
      <c r="T187" s="8"/>
      <c r="U187" s="7">
        <f>IF($B187="","",IFERROR(INDEX('Challan Master'!$AA$4:$AA$207,MATCH($B187,'Challan Master'!$S$4:$S$207,0)),""))</f>
      </c>
    </row>
    <row r="188" spans="1:22" x14ac:dyDescent="0.25">
      <c r="A188" s="7">
        <f>IF($C188="","",COUNTIF($C$4:$C188,"&lt;&gt;"))</f>
      </c>
      <c r="B188" s="8"/>
      <c r="C188" s="8"/>
      <c r="D188" s="8"/>
      <c r="E188" s="7">
        <f>IF($C188="","",IF(AND(LEN(TRIM(UPPER(D188)))=10,CODE(MID(TRIM(UPPER(D188)),1,1))&gt;=65,CODE(MID(TRIM(UPPER(D188)),1,1))&lt;=90,CODE(MID(TRIM(UPPER(D188)),2,1))&gt;=65,CODE(MID(TRIM(UPPER(D188)),2,1))&lt;=90,CODE(MID(TRIM(UPPER(D188)),3,1))&gt;=65,CODE(MID(TRIM(UPPER(D188)),3,1))&lt;=90,CODE(MID(TRIM(UPPER(D188)),4,1))&gt;=65,CODE(MID(TRIM(UPPER(D188)),4,1))&lt;=90,CODE(MID(TRIM(UPPER(D188)),5,1))&gt;=65,CODE(MID(TRIM(UPPER(D188)),5,1))&lt;=90,CODE(MID(TRIM(UPPER(D188)),10,1))&gt;=65,CODE(MID(TRIM(UPPER(D188)),10,1))&lt;=90,CODE(MID(TRIM(UPPER(D188)),6,1))&gt;=48,CODE(MID(TRIM(UPPER(D188)),6,1))&lt;=57,CODE(MID(TRIM(UPPER(D188)),7,1))&gt;=48,CODE(MID(TRIM(UPPER(D188)),7,1))&lt;=57,CODE(MID(TRIM(UPPER(D188)),8,1))&gt;=48,CODE(MID(TRIM(UPPER(D188)),8,1))&lt;=57,CODE(MID(TRIM(UPPER(D188)),9,1))&gt;=48,CODE(MID(TRIM(UPPER(D188)),9,1))&lt;=57),"N","Y"))</f>
      </c>
      <c r="F188" s="7">
        <f>IF($C188="","",IF(LEN(D188)&lt;4,"",IF(UPPER(MID(D188,4,1))="P","Individual",IF(UPPER(MID(D188,4,1))="H","HUF",IF(UPPER(MID(D188,4,1))="C","Company",IF(UPPER(MID(D188,4,1))="F","Firm",IF(UPPER(MID(D188,4,1))="L","LLP",IF(UPPER(MID(D188,4,1))="T","Trust",IF(UPPER(MID(D188,4,1))="A","AOP","")))))))))</f>
      </c>
      <c r="G188" s="8"/>
      <c r="H188" s="7">
        <f>IF($C188="","",IF(R188&lt;&gt;"",R188,IF(G188="","",IF(E188="Y",SUMPRODUCT(('Rate Lookup'!$A$1:$A$37=G188)*'Rate Lookup'!$D$1:$D$37),IF(OR(F188="Individual",F188="HUF"),SUMPRODUCT(('Rate Lookup'!$A$1:$A$37=G188)*'Rate Lookup'!$B$1:$B$37),SUMPRODUCT(('Rate Lookup'!$A$1:$A$37=G188)*'Rate Lookup'!$C$1:$C$37)))))))</f>
      </c>
      <c r="I188" s="8"/>
      <c r="J188" s="8"/>
      <c r="K188" s="7">
        <f>IF($C188="","",IF(OR(P188="B",P188="D",P188="E",P188="N",P188="O",P188="P",P188="Q",P188="S",P188="Y",P188="Z"),0,ROUND(J188*H188/100,0)))</f>
      </c>
      <c r="L188" s="7">
        <f>IF($C188="","",0)</f>
      </c>
      <c r="M188" s="7">
        <f>IF($C188="","",0)</f>
      </c>
      <c r="N188" s="7">
        <f>IF($C188="","",IF(OR(K188=0,I188="",IFERROR(INDEX('Challan Master'!$D$4:$D$207,MATCH($B188,'Challan Master'!$S$4:$S$207,0)),"")="",IFERROR(INDEX('Challan Master'!$D$4:$D$207,MATCH($B188,'Challan Master'!$S$4:$S$207,0)),"")&lt;=0),0,IF(IFERROR(INDEX('Challan Master'!$D$4:$D$207,MATCH($B188,'Challan Master'!$S$4:$S$207,0)),"")&lt;=DATE(YEAR(I188),MONTH(I188)+1,7),0,ROUND(K188*0.015*((YEAR(IFERROR(INDEX('Challan Master'!$D$4:$D$207,MATCH($B188,'Challan Master'!$S$4:$S$207,0)),""))-YEAR(I188))*12+(MONTH(IFERROR(INDEX('Challan Master'!$D$4:$D$207,MATCH($B188,'Challan Master'!$S$4:$S$207,0)),""))-MONTH(I188))+1),0))))</f>
      </c>
      <c r="O188" s="7">
        <f>IF($C188="","",0)</f>
      </c>
      <c r="P188" s="8"/>
      <c r="Q188" s="8"/>
      <c r="R188" s="8"/>
      <c r="S188" s="8"/>
      <c r="T188" s="8"/>
      <c r="U188" s="7">
        <f>IF($B188="","",IFERROR(INDEX('Challan Master'!$AA$4:$AA$207,MATCH($B188,'Challan Master'!$S$4:$S$207,0)),""))</f>
      </c>
    </row>
    <row r="189" spans="1:22" x14ac:dyDescent="0.25">
      <c r="A189" s="7">
        <f>IF($C189="","",COUNTIF($C$4:$C189,"&lt;&gt;"))</f>
      </c>
      <c r="B189" s="8"/>
      <c r="C189" s="8"/>
      <c r="D189" s="8"/>
      <c r="E189" s="7">
        <f>IF($C189="","",IF(AND(LEN(TRIM(UPPER(D189)))=10,CODE(MID(TRIM(UPPER(D189)),1,1))&gt;=65,CODE(MID(TRIM(UPPER(D189)),1,1))&lt;=90,CODE(MID(TRIM(UPPER(D189)),2,1))&gt;=65,CODE(MID(TRIM(UPPER(D189)),2,1))&lt;=90,CODE(MID(TRIM(UPPER(D189)),3,1))&gt;=65,CODE(MID(TRIM(UPPER(D189)),3,1))&lt;=90,CODE(MID(TRIM(UPPER(D189)),4,1))&gt;=65,CODE(MID(TRIM(UPPER(D189)),4,1))&lt;=90,CODE(MID(TRIM(UPPER(D189)),5,1))&gt;=65,CODE(MID(TRIM(UPPER(D189)),5,1))&lt;=90,CODE(MID(TRIM(UPPER(D189)),10,1))&gt;=65,CODE(MID(TRIM(UPPER(D189)),10,1))&lt;=90,CODE(MID(TRIM(UPPER(D189)),6,1))&gt;=48,CODE(MID(TRIM(UPPER(D189)),6,1))&lt;=57,CODE(MID(TRIM(UPPER(D189)),7,1))&gt;=48,CODE(MID(TRIM(UPPER(D189)),7,1))&lt;=57,CODE(MID(TRIM(UPPER(D189)),8,1))&gt;=48,CODE(MID(TRIM(UPPER(D189)),8,1))&lt;=57,CODE(MID(TRIM(UPPER(D189)),9,1))&gt;=48,CODE(MID(TRIM(UPPER(D189)),9,1))&lt;=57),"N","Y"))</f>
      </c>
      <c r="F189" s="7">
        <f>IF($C189="","",IF(LEN(D189)&lt;4,"",IF(UPPER(MID(D189,4,1))="P","Individual",IF(UPPER(MID(D189,4,1))="H","HUF",IF(UPPER(MID(D189,4,1))="C","Company",IF(UPPER(MID(D189,4,1))="F","Firm",IF(UPPER(MID(D189,4,1))="L","LLP",IF(UPPER(MID(D189,4,1))="T","Trust",IF(UPPER(MID(D189,4,1))="A","AOP","")))))))))</f>
      </c>
      <c r="G189" s="8"/>
      <c r="H189" s="7">
        <f>IF($C189="","",IF(R189&lt;&gt;"",R189,IF(G189="","",IF(E189="Y",SUMPRODUCT(('Rate Lookup'!$A$1:$A$37=G189)*'Rate Lookup'!$D$1:$D$37),IF(OR(F189="Individual",F189="HUF"),SUMPRODUCT(('Rate Lookup'!$A$1:$A$37=G189)*'Rate Lookup'!$B$1:$B$37),SUMPRODUCT(('Rate Lookup'!$A$1:$A$37=G189)*'Rate Lookup'!$C$1:$C$37)))))))</f>
      </c>
      <c r="I189" s="8"/>
      <c r="J189" s="8"/>
      <c r="K189" s="7">
        <f>IF($C189="","",IF(OR(P189="B",P189="D",P189="E",P189="N",P189="O",P189="P",P189="Q",P189="S",P189="Y",P189="Z"),0,ROUND(J189*H189/100,0)))</f>
      </c>
      <c r="L189" s="7">
        <f>IF($C189="","",0)</f>
      </c>
      <c r="M189" s="7">
        <f>IF($C189="","",0)</f>
      </c>
      <c r="N189" s="7">
        <f>IF($C189="","",IF(OR(K189=0,I189="",IFERROR(INDEX('Challan Master'!$D$4:$D$207,MATCH($B189,'Challan Master'!$S$4:$S$207,0)),"")="",IFERROR(INDEX('Challan Master'!$D$4:$D$207,MATCH($B189,'Challan Master'!$S$4:$S$207,0)),"")&lt;=0),0,IF(IFERROR(INDEX('Challan Master'!$D$4:$D$207,MATCH($B189,'Challan Master'!$S$4:$S$207,0)),"")&lt;=DATE(YEAR(I189),MONTH(I189)+1,7),0,ROUND(K189*0.015*((YEAR(IFERROR(INDEX('Challan Master'!$D$4:$D$207,MATCH($B189,'Challan Master'!$S$4:$S$207,0)),""))-YEAR(I189))*12+(MONTH(IFERROR(INDEX('Challan Master'!$D$4:$D$207,MATCH($B189,'Challan Master'!$S$4:$S$207,0)),""))-MONTH(I189))+1),0))))</f>
      </c>
      <c r="O189" s="7">
        <f>IF($C189="","",0)</f>
      </c>
      <c r="P189" s="8"/>
      <c r="Q189" s="8"/>
      <c r="R189" s="8"/>
      <c r="S189" s="8"/>
      <c r="T189" s="8"/>
      <c r="U189" s="7">
        <f>IF($B189="","",IFERROR(INDEX('Challan Master'!$AA$4:$AA$207,MATCH($B189,'Challan Master'!$S$4:$S$207,0)),""))</f>
      </c>
    </row>
    <row r="190" spans="1:22" x14ac:dyDescent="0.25">
      <c r="A190" s="7">
        <f>IF($C190="","",COUNTIF($C$4:$C190,"&lt;&gt;"))</f>
      </c>
      <c r="B190" s="8"/>
      <c r="C190" s="8"/>
      <c r="D190" s="8"/>
      <c r="E190" s="7">
        <f>IF($C190="","",IF(AND(LEN(TRIM(UPPER(D190)))=10,CODE(MID(TRIM(UPPER(D190)),1,1))&gt;=65,CODE(MID(TRIM(UPPER(D190)),1,1))&lt;=90,CODE(MID(TRIM(UPPER(D190)),2,1))&gt;=65,CODE(MID(TRIM(UPPER(D190)),2,1))&lt;=90,CODE(MID(TRIM(UPPER(D190)),3,1))&gt;=65,CODE(MID(TRIM(UPPER(D190)),3,1))&lt;=90,CODE(MID(TRIM(UPPER(D190)),4,1))&gt;=65,CODE(MID(TRIM(UPPER(D190)),4,1))&lt;=90,CODE(MID(TRIM(UPPER(D190)),5,1))&gt;=65,CODE(MID(TRIM(UPPER(D190)),5,1))&lt;=90,CODE(MID(TRIM(UPPER(D190)),10,1))&gt;=65,CODE(MID(TRIM(UPPER(D190)),10,1))&lt;=90,CODE(MID(TRIM(UPPER(D190)),6,1))&gt;=48,CODE(MID(TRIM(UPPER(D190)),6,1))&lt;=57,CODE(MID(TRIM(UPPER(D190)),7,1))&gt;=48,CODE(MID(TRIM(UPPER(D190)),7,1))&lt;=57,CODE(MID(TRIM(UPPER(D190)),8,1))&gt;=48,CODE(MID(TRIM(UPPER(D190)),8,1))&lt;=57,CODE(MID(TRIM(UPPER(D190)),9,1))&gt;=48,CODE(MID(TRIM(UPPER(D190)),9,1))&lt;=57),"N","Y"))</f>
      </c>
      <c r="F190" s="7">
        <f>IF($C190="","",IF(LEN(D190)&lt;4,"",IF(UPPER(MID(D190,4,1))="P","Individual",IF(UPPER(MID(D190,4,1))="H","HUF",IF(UPPER(MID(D190,4,1))="C","Company",IF(UPPER(MID(D190,4,1))="F","Firm",IF(UPPER(MID(D190,4,1))="L","LLP",IF(UPPER(MID(D190,4,1))="T","Trust",IF(UPPER(MID(D190,4,1))="A","AOP","")))))))))</f>
      </c>
      <c r="G190" s="8"/>
      <c r="H190" s="7">
        <f>IF($C190="","",IF(R190&lt;&gt;"",R190,IF(G190="","",IF(E190="Y",SUMPRODUCT(('Rate Lookup'!$A$1:$A$37=G190)*'Rate Lookup'!$D$1:$D$37),IF(OR(F190="Individual",F190="HUF"),SUMPRODUCT(('Rate Lookup'!$A$1:$A$37=G190)*'Rate Lookup'!$B$1:$B$37),SUMPRODUCT(('Rate Lookup'!$A$1:$A$37=G190)*'Rate Lookup'!$C$1:$C$37)))))))</f>
      </c>
      <c r="I190" s="8"/>
      <c r="J190" s="8"/>
      <c r="K190" s="7">
        <f>IF($C190="","",IF(OR(P190="B",P190="D",P190="E",P190="N",P190="O",P190="P",P190="Q",P190="S",P190="Y",P190="Z"),0,ROUND(J190*H190/100,0)))</f>
      </c>
      <c r="L190" s="7">
        <f>IF($C190="","",0)</f>
      </c>
      <c r="M190" s="7">
        <f>IF($C190="","",0)</f>
      </c>
      <c r="N190" s="7">
        <f>IF($C190="","",IF(OR(K190=0,I190="",IFERROR(INDEX('Challan Master'!$D$4:$D$207,MATCH($B190,'Challan Master'!$S$4:$S$207,0)),"")="",IFERROR(INDEX('Challan Master'!$D$4:$D$207,MATCH($B190,'Challan Master'!$S$4:$S$207,0)),"")&lt;=0),0,IF(IFERROR(INDEX('Challan Master'!$D$4:$D$207,MATCH($B190,'Challan Master'!$S$4:$S$207,0)),"")&lt;=DATE(YEAR(I190),MONTH(I190)+1,7),0,ROUND(K190*0.015*((YEAR(IFERROR(INDEX('Challan Master'!$D$4:$D$207,MATCH($B190,'Challan Master'!$S$4:$S$207,0)),""))-YEAR(I190))*12+(MONTH(IFERROR(INDEX('Challan Master'!$D$4:$D$207,MATCH($B190,'Challan Master'!$S$4:$S$207,0)),""))-MONTH(I190))+1),0))))</f>
      </c>
      <c r="O190" s="7">
        <f>IF($C190="","",0)</f>
      </c>
      <c r="P190" s="8"/>
      <c r="Q190" s="8"/>
      <c r="R190" s="8"/>
      <c r="S190" s="8"/>
      <c r="T190" s="8"/>
      <c r="U190" s="7">
        <f>IF($B190="","",IFERROR(INDEX('Challan Master'!$AA$4:$AA$207,MATCH($B190,'Challan Master'!$S$4:$S$207,0)),""))</f>
      </c>
    </row>
    <row r="191" spans="1:22" x14ac:dyDescent="0.25">
      <c r="A191" s="7">
        <f>IF($C191="","",COUNTIF($C$4:$C191,"&lt;&gt;"))</f>
      </c>
      <c r="B191" s="8"/>
      <c r="C191" s="8"/>
      <c r="D191" s="8"/>
      <c r="E191" s="7">
        <f>IF($C191="","",IF(AND(LEN(TRIM(UPPER(D191)))=10,CODE(MID(TRIM(UPPER(D191)),1,1))&gt;=65,CODE(MID(TRIM(UPPER(D191)),1,1))&lt;=90,CODE(MID(TRIM(UPPER(D191)),2,1))&gt;=65,CODE(MID(TRIM(UPPER(D191)),2,1))&lt;=90,CODE(MID(TRIM(UPPER(D191)),3,1))&gt;=65,CODE(MID(TRIM(UPPER(D191)),3,1))&lt;=90,CODE(MID(TRIM(UPPER(D191)),4,1))&gt;=65,CODE(MID(TRIM(UPPER(D191)),4,1))&lt;=90,CODE(MID(TRIM(UPPER(D191)),5,1))&gt;=65,CODE(MID(TRIM(UPPER(D191)),5,1))&lt;=90,CODE(MID(TRIM(UPPER(D191)),10,1))&gt;=65,CODE(MID(TRIM(UPPER(D191)),10,1))&lt;=90,CODE(MID(TRIM(UPPER(D191)),6,1))&gt;=48,CODE(MID(TRIM(UPPER(D191)),6,1))&lt;=57,CODE(MID(TRIM(UPPER(D191)),7,1))&gt;=48,CODE(MID(TRIM(UPPER(D191)),7,1))&lt;=57,CODE(MID(TRIM(UPPER(D191)),8,1))&gt;=48,CODE(MID(TRIM(UPPER(D191)),8,1))&lt;=57,CODE(MID(TRIM(UPPER(D191)),9,1))&gt;=48,CODE(MID(TRIM(UPPER(D191)),9,1))&lt;=57),"N","Y"))</f>
      </c>
      <c r="F191" s="7">
        <f>IF($C191="","",IF(LEN(D191)&lt;4,"",IF(UPPER(MID(D191,4,1))="P","Individual",IF(UPPER(MID(D191,4,1))="H","HUF",IF(UPPER(MID(D191,4,1))="C","Company",IF(UPPER(MID(D191,4,1))="F","Firm",IF(UPPER(MID(D191,4,1))="L","LLP",IF(UPPER(MID(D191,4,1))="T","Trust",IF(UPPER(MID(D191,4,1))="A","AOP","")))))))))</f>
      </c>
      <c r="G191" s="8"/>
      <c r="H191" s="7">
        <f>IF($C191="","",IF(R191&lt;&gt;"",R191,IF(G191="","",IF(E191="Y",SUMPRODUCT(('Rate Lookup'!$A$1:$A$37=G191)*'Rate Lookup'!$D$1:$D$37),IF(OR(F191="Individual",F191="HUF"),SUMPRODUCT(('Rate Lookup'!$A$1:$A$37=G191)*'Rate Lookup'!$B$1:$B$37),SUMPRODUCT(('Rate Lookup'!$A$1:$A$37=G191)*'Rate Lookup'!$C$1:$C$37)))))))</f>
      </c>
      <c r="I191" s="8"/>
      <c r="J191" s="8"/>
      <c r="K191" s="7">
        <f>IF($C191="","",IF(OR(P191="B",P191="D",P191="E",P191="N",P191="O",P191="P",P191="Q",P191="S",P191="Y",P191="Z"),0,ROUND(J191*H191/100,0)))</f>
      </c>
      <c r="L191" s="7">
        <f>IF($C191="","",0)</f>
      </c>
      <c r="M191" s="7">
        <f>IF($C191="","",0)</f>
      </c>
      <c r="N191" s="7">
        <f>IF($C191="","",IF(OR(K191=0,I191="",IFERROR(INDEX('Challan Master'!$D$4:$D$207,MATCH($B191,'Challan Master'!$S$4:$S$207,0)),"")="",IFERROR(INDEX('Challan Master'!$D$4:$D$207,MATCH($B191,'Challan Master'!$S$4:$S$207,0)),"")&lt;=0),0,IF(IFERROR(INDEX('Challan Master'!$D$4:$D$207,MATCH($B191,'Challan Master'!$S$4:$S$207,0)),"")&lt;=DATE(YEAR(I191),MONTH(I191)+1,7),0,ROUND(K191*0.015*((YEAR(IFERROR(INDEX('Challan Master'!$D$4:$D$207,MATCH($B191,'Challan Master'!$S$4:$S$207,0)),""))-YEAR(I191))*12+(MONTH(IFERROR(INDEX('Challan Master'!$D$4:$D$207,MATCH($B191,'Challan Master'!$S$4:$S$207,0)),""))-MONTH(I191))+1),0))))</f>
      </c>
      <c r="O191" s="7">
        <f>IF($C191="","",0)</f>
      </c>
      <c r="P191" s="8"/>
      <c r="Q191" s="8"/>
      <c r="R191" s="8"/>
      <c r="S191" s="8"/>
      <c r="T191" s="8"/>
      <c r="U191" s="7">
        <f>IF($B191="","",IFERROR(INDEX('Challan Master'!$AA$4:$AA$207,MATCH($B191,'Challan Master'!$S$4:$S$207,0)),""))</f>
      </c>
    </row>
    <row r="192" spans="1:22" x14ac:dyDescent="0.25">
      <c r="A192" s="7">
        <f>IF($C192="","",COUNTIF($C$4:$C192,"&lt;&gt;"))</f>
      </c>
      <c r="B192" s="8"/>
      <c r="C192" s="8"/>
      <c r="D192" s="8"/>
      <c r="E192" s="7">
        <f>IF($C192="","",IF(AND(LEN(TRIM(UPPER(D192)))=10,CODE(MID(TRIM(UPPER(D192)),1,1))&gt;=65,CODE(MID(TRIM(UPPER(D192)),1,1))&lt;=90,CODE(MID(TRIM(UPPER(D192)),2,1))&gt;=65,CODE(MID(TRIM(UPPER(D192)),2,1))&lt;=90,CODE(MID(TRIM(UPPER(D192)),3,1))&gt;=65,CODE(MID(TRIM(UPPER(D192)),3,1))&lt;=90,CODE(MID(TRIM(UPPER(D192)),4,1))&gt;=65,CODE(MID(TRIM(UPPER(D192)),4,1))&lt;=90,CODE(MID(TRIM(UPPER(D192)),5,1))&gt;=65,CODE(MID(TRIM(UPPER(D192)),5,1))&lt;=90,CODE(MID(TRIM(UPPER(D192)),10,1))&gt;=65,CODE(MID(TRIM(UPPER(D192)),10,1))&lt;=90,CODE(MID(TRIM(UPPER(D192)),6,1))&gt;=48,CODE(MID(TRIM(UPPER(D192)),6,1))&lt;=57,CODE(MID(TRIM(UPPER(D192)),7,1))&gt;=48,CODE(MID(TRIM(UPPER(D192)),7,1))&lt;=57,CODE(MID(TRIM(UPPER(D192)),8,1))&gt;=48,CODE(MID(TRIM(UPPER(D192)),8,1))&lt;=57,CODE(MID(TRIM(UPPER(D192)),9,1))&gt;=48,CODE(MID(TRIM(UPPER(D192)),9,1))&lt;=57),"N","Y"))</f>
      </c>
      <c r="F192" s="7">
        <f>IF($C192="","",IF(LEN(D192)&lt;4,"",IF(UPPER(MID(D192,4,1))="P","Individual",IF(UPPER(MID(D192,4,1))="H","HUF",IF(UPPER(MID(D192,4,1))="C","Company",IF(UPPER(MID(D192,4,1))="F","Firm",IF(UPPER(MID(D192,4,1))="L","LLP",IF(UPPER(MID(D192,4,1))="T","Trust",IF(UPPER(MID(D192,4,1))="A","AOP","")))))))))</f>
      </c>
      <c r="G192" s="8"/>
      <c r="H192" s="7">
        <f>IF($C192="","",IF(R192&lt;&gt;"",R192,IF(G192="","",IF(E192="Y",SUMPRODUCT(('Rate Lookup'!$A$1:$A$37=G192)*'Rate Lookup'!$D$1:$D$37),IF(OR(F192="Individual",F192="HUF"),SUMPRODUCT(('Rate Lookup'!$A$1:$A$37=G192)*'Rate Lookup'!$B$1:$B$37),SUMPRODUCT(('Rate Lookup'!$A$1:$A$37=G192)*'Rate Lookup'!$C$1:$C$37)))))))</f>
      </c>
      <c r="I192" s="8"/>
      <c r="J192" s="8"/>
      <c r="K192" s="7">
        <f>IF($C192="","",IF(OR(P192="B",P192="D",P192="E",P192="N",P192="O",P192="P",P192="Q",P192="S",P192="Y",P192="Z"),0,ROUND(J192*H192/100,0)))</f>
      </c>
      <c r="L192" s="7">
        <f>IF($C192="","",0)</f>
      </c>
      <c r="M192" s="7">
        <f>IF($C192="","",0)</f>
      </c>
      <c r="N192" s="7">
        <f>IF($C192="","",IF(OR(K192=0,I192="",IFERROR(INDEX('Challan Master'!$D$4:$D$207,MATCH($B192,'Challan Master'!$S$4:$S$207,0)),"")="",IFERROR(INDEX('Challan Master'!$D$4:$D$207,MATCH($B192,'Challan Master'!$S$4:$S$207,0)),"")&lt;=0),0,IF(IFERROR(INDEX('Challan Master'!$D$4:$D$207,MATCH($B192,'Challan Master'!$S$4:$S$207,0)),"")&lt;=DATE(YEAR(I192),MONTH(I192)+1,7),0,ROUND(K192*0.015*((YEAR(IFERROR(INDEX('Challan Master'!$D$4:$D$207,MATCH($B192,'Challan Master'!$S$4:$S$207,0)),""))-YEAR(I192))*12+(MONTH(IFERROR(INDEX('Challan Master'!$D$4:$D$207,MATCH($B192,'Challan Master'!$S$4:$S$207,0)),""))-MONTH(I192))+1),0))))</f>
      </c>
      <c r="O192" s="7">
        <f>IF($C192="","",0)</f>
      </c>
      <c r="P192" s="8"/>
      <c r="Q192" s="8"/>
      <c r="R192" s="8"/>
      <c r="S192" s="8"/>
      <c r="T192" s="8"/>
      <c r="U192" s="7">
        <f>IF($B192="","",IFERROR(INDEX('Challan Master'!$AA$4:$AA$207,MATCH($B192,'Challan Master'!$S$4:$S$207,0)),""))</f>
      </c>
    </row>
    <row r="193" spans="1:22" x14ac:dyDescent="0.25">
      <c r="A193" s="7">
        <f>IF($C193="","",COUNTIF($C$4:$C193,"&lt;&gt;"))</f>
      </c>
      <c r="B193" s="8"/>
      <c r="C193" s="8"/>
      <c r="D193" s="8"/>
      <c r="E193" s="7">
        <f>IF($C193="","",IF(AND(LEN(TRIM(UPPER(D193)))=10,CODE(MID(TRIM(UPPER(D193)),1,1))&gt;=65,CODE(MID(TRIM(UPPER(D193)),1,1))&lt;=90,CODE(MID(TRIM(UPPER(D193)),2,1))&gt;=65,CODE(MID(TRIM(UPPER(D193)),2,1))&lt;=90,CODE(MID(TRIM(UPPER(D193)),3,1))&gt;=65,CODE(MID(TRIM(UPPER(D193)),3,1))&lt;=90,CODE(MID(TRIM(UPPER(D193)),4,1))&gt;=65,CODE(MID(TRIM(UPPER(D193)),4,1))&lt;=90,CODE(MID(TRIM(UPPER(D193)),5,1))&gt;=65,CODE(MID(TRIM(UPPER(D193)),5,1))&lt;=90,CODE(MID(TRIM(UPPER(D193)),10,1))&gt;=65,CODE(MID(TRIM(UPPER(D193)),10,1))&lt;=90,CODE(MID(TRIM(UPPER(D193)),6,1))&gt;=48,CODE(MID(TRIM(UPPER(D193)),6,1))&lt;=57,CODE(MID(TRIM(UPPER(D193)),7,1))&gt;=48,CODE(MID(TRIM(UPPER(D193)),7,1))&lt;=57,CODE(MID(TRIM(UPPER(D193)),8,1))&gt;=48,CODE(MID(TRIM(UPPER(D193)),8,1))&lt;=57,CODE(MID(TRIM(UPPER(D193)),9,1))&gt;=48,CODE(MID(TRIM(UPPER(D193)),9,1))&lt;=57),"N","Y"))</f>
      </c>
      <c r="F193" s="7">
        <f>IF($C193="","",IF(LEN(D193)&lt;4,"",IF(UPPER(MID(D193,4,1))="P","Individual",IF(UPPER(MID(D193,4,1))="H","HUF",IF(UPPER(MID(D193,4,1))="C","Company",IF(UPPER(MID(D193,4,1))="F","Firm",IF(UPPER(MID(D193,4,1))="L","LLP",IF(UPPER(MID(D193,4,1))="T","Trust",IF(UPPER(MID(D193,4,1))="A","AOP","")))))))))</f>
      </c>
      <c r="G193" s="8"/>
      <c r="H193" s="7">
        <f>IF($C193="","",IF(R193&lt;&gt;"",R193,IF(G193="","",IF(E193="Y",SUMPRODUCT(('Rate Lookup'!$A$1:$A$37=G193)*'Rate Lookup'!$D$1:$D$37),IF(OR(F193="Individual",F193="HUF"),SUMPRODUCT(('Rate Lookup'!$A$1:$A$37=G193)*'Rate Lookup'!$B$1:$B$37),SUMPRODUCT(('Rate Lookup'!$A$1:$A$37=G193)*'Rate Lookup'!$C$1:$C$37)))))))</f>
      </c>
      <c r="I193" s="8"/>
      <c r="J193" s="8"/>
      <c r="K193" s="7">
        <f>IF($C193="","",IF(OR(P193="B",P193="D",P193="E",P193="N",P193="O",P193="P",P193="Q",P193="S",P193="Y",P193="Z"),0,ROUND(J193*H193/100,0)))</f>
      </c>
      <c r="L193" s="7">
        <f>IF($C193="","",0)</f>
      </c>
      <c r="M193" s="7">
        <f>IF($C193="","",0)</f>
      </c>
      <c r="N193" s="7">
        <f>IF($C193="","",IF(OR(K193=0,I193="",IFERROR(INDEX('Challan Master'!$D$4:$D$207,MATCH($B193,'Challan Master'!$S$4:$S$207,0)),"")="",IFERROR(INDEX('Challan Master'!$D$4:$D$207,MATCH($B193,'Challan Master'!$S$4:$S$207,0)),"")&lt;=0),0,IF(IFERROR(INDEX('Challan Master'!$D$4:$D$207,MATCH($B193,'Challan Master'!$S$4:$S$207,0)),"")&lt;=DATE(YEAR(I193),MONTH(I193)+1,7),0,ROUND(K193*0.015*((YEAR(IFERROR(INDEX('Challan Master'!$D$4:$D$207,MATCH($B193,'Challan Master'!$S$4:$S$207,0)),""))-YEAR(I193))*12+(MONTH(IFERROR(INDEX('Challan Master'!$D$4:$D$207,MATCH($B193,'Challan Master'!$S$4:$S$207,0)),""))-MONTH(I193))+1),0))))</f>
      </c>
      <c r="O193" s="7">
        <f>IF($C193="","",0)</f>
      </c>
      <c r="P193" s="8"/>
      <c r="Q193" s="8"/>
      <c r="R193" s="8"/>
      <c r="S193" s="8"/>
      <c r="T193" s="8"/>
      <c r="U193" s="7">
        <f>IF($B193="","",IFERROR(INDEX('Challan Master'!$AA$4:$AA$207,MATCH($B193,'Challan Master'!$S$4:$S$207,0)),""))</f>
      </c>
    </row>
    <row r="194" spans="1:22" x14ac:dyDescent="0.25">
      <c r="A194" s="7">
        <f>IF($C194="","",COUNTIF($C$4:$C194,"&lt;&gt;"))</f>
      </c>
      <c r="B194" s="8"/>
      <c r="C194" s="8"/>
      <c r="D194" s="8"/>
      <c r="E194" s="7">
        <f>IF($C194="","",IF(AND(LEN(TRIM(UPPER(D194)))=10,CODE(MID(TRIM(UPPER(D194)),1,1))&gt;=65,CODE(MID(TRIM(UPPER(D194)),1,1))&lt;=90,CODE(MID(TRIM(UPPER(D194)),2,1))&gt;=65,CODE(MID(TRIM(UPPER(D194)),2,1))&lt;=90,CODE(MID(TRIM(UPPER(D194)),3,1))&gt;=65,CODE(MID(TRIM(UPPER(D194)),3,1))&lt;=90,CODE(MID(TRIM(UPPER(D194)),4,1))&gt;=65,CODE(MID(TRIM(UPPER(D194)),4,1))&lt;=90,CODE(MID(TRIM(UPPER(D194)),5,1))&gt;=65,CODE(MID(TRIM(UPPER(D194)),5,1))&lt;=90,CODE(MID(TRIM(UPPER(D194)),10,1))&gt;=65,CODE(MID(TRIM(UPPER(D194)),10,1))&lt;=90,CODE(MID(TRIM(UPPER(D194)),6,1))&gt;=48,CODE(MID(TRIM(UPPER(D194)),6,1))&lt;=57,CODE(MID(TRIM(UPPER(D194)),7,1))&gt;=48,CODE(MID(TRIM(UPPER(D194)),7,1))&lt;=57,CODE(MID(TRIM(UPPER(D194)),8,1))&gt;=48,CODE(MID(TRIM(UPPER(D194)),8,1))&lt;=57,CODE(MID(TRIM(UPPER(D194)),9,1))&gt;=48,CODE(MID(TRIM(UPPER(D194)),9,1))&lt;=57),"N","Y"))</f>
      </c>
      <c r="F194" s="7">
        <f>IF($C194="","",IF(LEN(D194)&lt;4,"",IF(UPPER(MID(D194,4,1))="P","Individual",IF(UPPER(MID(D194,4,1))="H","HUF",IF(UPPER(MID(D194,4,1))="C","Company",IF(UPPER(MID(D194,4,1))="F","Firm",IF(UPPER(MID(D194,4,1))="L","LLP",IF(UPPER(MID(D194,4,1))="T","Trust",IF(UPPER(MID(D194,4,1))="A","AOP","")))))))))</f>
      </c>
      <c r="G194" s="8"/>
      <c r="H194" s="7">
        <f>IF($C194="","",IF(R194&lt;&gt;"",R194,IF(G194="","",IF(E194="Y",SUMPRODUCT(('Rate Lookup'!$A$1:$A$37=G194)*'Rate Lookup'!$D$1:$D$37),IF(OR(F194="Individual",F194="HUF"),SUMPRODUCT(('Rate Lookup'!$A$1:$A$37=G194)*'Rate Lookup'!$B$1:$B$37),SUMPRODUCT(('Rate Lookup'!$A$1:$A$37=G194)*'Rate Lookup'!$C$1:$C$37)))))))</f>
      </c>
      <c r="I194" s="8"/>
      <c r="J194" s="8"/>
      <c r="K194" s="7">
        <f>IF($C194="","",IF(OR(P194="B",P194="D",P194="E",P194="N",P194="O",P194="P",P194="Q",P194="S",P194="Y",P194="Z"),0,ROUND(J194*H194/100,0)))</f>
      </c>
      <c r="L194" s="7">
        <f>IF($C194="","",0)</f>
      </c>
      <c r="M194" s="7">
        <f>IF($C194="","",0)</f>
      </c>
      <c r="N194" s="7">
        <f>IF($C194="","",IF(OR(K194=0,I194="",IFERROR(INDEX('Challan Master'!$D$4:$D$207,MATCH($B194,'Challan Master'!$S$4:$S$207,0)),"")="",IFERROR(INDEX('Challan Master'!$D$4:$D$207,MATCH($B194,'Challan Master'!$S$4:$S$207,0)),"")&lt;=0),0,IF(IFERROR(INDEX('Challan Master'!$D$4:$D$207,MATCH($B194,'Challan Master'!$S$4:$S$207,0)),"")&lt;=DATE(YEAR(I194),MONTH(I194)+1,7),0,ROUND(K194*0.015*((YEAR(IFERROR(INDEX('Challan Master'!$D$4:$D$207,MATCH($B194,'Challan Master'!$S$4:$S$207,0)),""))-YEAR(I194))*12+(MONTH(IFERROR(INDEX('Challan Master'!$D$4:$D$207,MATCH($B194,'Challan Master'!$S$4:$S$207,0)),""))-MONTH(I194))+1),0))))</f>
      </c>
      <c r="O194" s="7">
        <f>IF($C194="","",0)</f>
      </c>
      <c r="P194" s="8"/>
      <c r="Q194" s="8"/>
      <c r="R194" s="8"/>
      <c r="S194" s="8"/>
      <c r="T194" s="8"/>
      <c r="U194" s="7">
        <f>IF($B194="","",IFERROR(INDEX('Challan Master'!$AA$4:$AA$207,MATCH($B194,'Challan Master'!$S$4:$S$207,0)),""))</f>
      </c>
    </row>
    <row r="195" spans="1:22" x14ac:dyDescent="0.25">
      <c r="A195" s="7">
        <f>IF($C195="","",COUNTIF($C$4:$C195,"&lt;&gt;"))</f>
      </c>
      <c r="B195" s="8"/>
      <c r="C195" s="8"/>
      <c r="D195" s="8"/>
      <c r="E195" s="7">
        <f>IF($C195="","",IF(AND(LEN(TRIM(UPPER(D195)))=10,CODE(MID(TRIM(UPPER(D195)),1,1))&gt;=65,CODE(MID(TRIM(UPPER(D195)),1,1))&lt;=90,CODE(MID(TRIM(UPPER(D195)),2,1))&gt;=65,CODE(MID(TRIM(UPPER(D195)),2,1))&lt;=90,CODE(MID(TRIM(UPPER(D195)),3,1))&gt;=65,CODE(MID(TRIM(UPPER(D195)),3,1))&lt;=90,CODE(MID(TRIM(UPPER(D195)),4,1))&gt;=65,CODE(MID(TRIM(UPPER(D195)),4,1))&lt;=90,CODE(MID(TRIM(UPPER(D195)),5,1))&gt;=65,CODE(MID(TRIM(UPPER(D195)),5,1))&lt;=90,CODE(MID(TRIM(UPPER(D195)),10,1))&gt;=65,CODE(MID(TRIM(UPPER(D195)),10,1))&lt;=90,CODE(MID(TRIM(UPPER(D195)),6,1))&gt;=48,CODE(MID(TRIM(UPPER(D195)),6,1))&lt;=57,CODE(MID(TRIM(UPPER(D195)),7,1))&gt;=48,CODE(MID(TRIM(UPPER(D195)),7,1))&lt;=57,CODE(MID(TRIM(UPPER(D195)),8,1))&gt;=48,CODE(MID(TRIM(UPPER(D195)),8,1))&lt;=57,CODE(MID(TRIM(UPPER(D195)),9,1))&gt;=48,CODE(MID(TRIM(UPPER(D195)),9,1))&lt;=57),"N","Y"))</f>
      </c>
      <c r="F195" s="7">
        <f>IF($C195="","",IF(LEN(D195)&lt;4,"",IF(UPPER(MID(D195,4,1))="P","Individual",IF(UPPER(MID(D195,4,1))="H","HUF",IF(UPPER(MID(D195,4,1))="C","Company",IF(UPPER(MID(D195,4,1))="F","Firm",IF(UPPER(MID(D195,4,1))="L","LLP",IF(UPPER(MID(D195,4,1))="T","Trust",IF(UPPER(MID(D195,4,1))="A","AOP","")))))))))</f>
      </c>
      <c r="G195" s="8"/>
      <c r="H195" s="7">
        <f>IF($C195="","",IF(R195&lt;&gt;"",R195,IF(G195="","",IF(E195="Y",SUMPRODUCT(('Rate Lookup'!$A$1:$A$37=G195)*'Rate Lookup'!$D$1:$D$37),IF(OR(F195="Individual",F195="HUF"),SUMPRODUCT(('Rate Lookup'!$A$1:$A$37=G195)*'Rate Lookup'!$B$1:$B$37),SUMPRODUCT(('Rate Lookup'!$A$1:$A$37=G195)*'Rate Lookup'!$C$1:$C$37)))))))</f>
      </c>
      <c r="I195" s="8"/>
      <c r="J195" s="8"/>
      <c r="K195" s="7">
        <f>IF($C195="","",IF(OR(P195="B",P195="D",P195="E",P195="N",P195="O",P195="P",P195="Q",P195="S",P195="Y",P195="Z"),0,ROUND(J195*H195/100,0)))</f>
      </c>
      <c r="L195" s="7">
        <f>IF($C195="","",0)</f>
      </c>
      <c r="M195" s="7">
        <f>IF($C195="","",0)</f>
      </c>
      <c r="N195" s="7">
        <f>IF($C195="","",IF(OR(K195=0,I195="",IFERROR(INDEX('Challan Master'!$D$4:$D$207,MATCH($B195,'Challan Master'!$S$4:$S$207,0)),"")="",IFERROR(INDEX('Challan Master'!$D$4:$D$207,MATCH($B195,'Challan Master'!$S$4:$S$207,0)),"")&lt;=0),0,IF(IFERROR(INDEX('Challan Master'!$D$4:$D$207,MATCH($B195,'Challan Master'!$S$4:$S$207,0)),"")&lt;=DATE(YEAR(I195),MONTH(I195)+1,7),0,ROUND(K195*0.015*((YEAR(IFERROR(INDEX('Challan Master'!$D$4:$D$207,MATCH($B195,'Challan Master'!$S$4:$S$207,0)),""))-YEAR(I195))*12+(MONTH(IFERROR(INDEX('Challan Master'!$D$4:$D$207,MATCH($B195,'Challan Master'!$S$4:$S$207,0)),""))-MONTH(I195))+1),0))))</f>
      </c>
      <c r="O195" s="7">
        <f>IF($C195="","",0)</f>
      </c>
      <c r="P195" s="8"/>
      <c r="Q195" s="8"/>
      <c r="R195" s="8"/>
      <c r="S195" s="8"/>
      <c r="T195" s="8"/>
      <c r="U195" s="7">
        <f>IF($B195="","",IFERROR(INDEX('Challan Master'!$AA$4:$AA$207,MATCH($B195,'Challan Master'!$S$4:$S$207,0)),""))</f>
      </c>
    </row>
    <row r="196" spans="1:22" x14ac:dyDescent="0.25">
      <c r="A196" s="7">
        <f>IF($C196="","",COUNTIF($C$4:$C196,"&lt;&gt;"))</f>
      </c>
      <c r="B196" s="8"/>
      <c r="C196" s="8"/>
      <c r="D196" s="8"/>
      <c r="E196" s="7">
        <f>IF($C196="","",IF(AND(LEN(TRIM(UPPER(D196)))=10,CODE(MID(TRIM(UPPER(D196)),1,1))&gt;=65,CODE(MID(TRIM(UPPER(D196)),1,1))&lt;=90,CODE(MID(TRIM(UPPER(D196)),2,1))&gt;=65,CODE(MID(TRIM(UPPER(D196)),2,1))&lt;=90,CODE(MID(TRIM(UPPER(D196)),3,1))&gt;=65,CODE(MID(TRIM(UPPER(D196)),3,1))&lt;=90,CODE(MID(TRIM(UPPER(D196)),4,1))&gt;=65,CODE(MID(TRIM(UPPER(D196)),4,1))&lt;=90,CODE(MID(TRIM(UPPER(D196)),5,1))&gt;=65,CODE(MID(TRIM(UPPER(D196)),5,1))&lt;=90,CODE(MID(TRIM(UPPER(D196)),10,1))&gt;=65,CODE(MID(TRIM(UPPER(D196)),10,1))&lt;=90,CODE(MID(TRIM(UPPER(D196)),6,1))&gt;=48,CODE(MID(TRIM(UPPER(D196)),6,1))&lt;=57,CODE(MID(TRIM(UPPER(D196)),7,1))&gt;=48,CODE(MID(TRIM(UPPER(D196)),7,1))&lt;=57,CODE(MID(TRIM(UPPER(D196)),8,1))&gt;=48,CODE(MID(TRIM(UPPER(D196)),8,1))&lt;=57,CODE(MID(TRIM(UPPER(D196)),9,1))&gt;=48,CODE(MID(TRIM(UPPER(D196)),9,1))&lt;=57),"N","Y"))</f>
      </c>
      <c r="F196" s="7">
        <f>IF($C196="","",IF(LEN(D196)&lt;4,"",IF(UPPER(MID(D196,4,1))="P","Individual",IF(UPPER(MID(D196,4,1))="H","HUF",IF(UPPER(MID(D196,4,1))="C","Company",IF(UPPER(MID(D196,4,1))="F","Firm",IF(UPPER(MID(D196,4,1))="L","LLP",IF(UPPER(MID(D196,4,1))="T","Trust",IF(UPPER(MID(D196,4,1))="A","AOP","")))))))))</f>
      </c>
      <c r="G196" s="8"/>
      <c r="H196" s="7">
        <f>IF($C196="","",IF(R196&lt;&gt;"",R196,IF(G196="","",IF(E196="Y",SUMPRODUCT(('Rate Lookup'!$A$1:$A$37=G196)*'Rate Lookup'!$D$1:$D$37),IF(OR(F196="Individual",F196="HUF"),SUMPRODUCT(('Rate Lookup'!$A$1:$A$37=G196)*'Rate Lookup'!$B$1:$B$37),SUMPRODUCT(('Rate Lookup'!$A$1:$A$37=G196)*'Rate Lookup'!$C$1:$C$37)))))))</f>
      </c>
      <c r="I196" s="8"/>
      <c r="J196" s="8"/>
      <c r="K196" s="7">
        <f>IF($C196="","",IF(OR(P196="B",P196="D",P196="E",P196="N",P196="O",P196="P",P196="Q",P196="S",P196="Y",P196="Z"),0,ROUND(J196*H196/100,0)))</f>
      </c>
      <c r="L196" s="7">
        <f>IF($C196="","",0)</f>
      </c>
      <c r="M196" s="7">
        <f>IF($C196="","",0)</f>
      </c>
      <c r="N196" s="7">
        <f>IF($C196="","",IF(OR(K196=0,I196="",IFERROR(INDEX('Challan Master'!$D$4:$D$207,MATCH($B196,'Challan Master'!$S$4:$S$207,0)),"")="",IFERROR(INDEX('Challan Master'!$D$4:$D$207,MATCH($B196,'Challan Master'!$S$4:$S$207,0)),"")&lt;=0),0,IF(IFERROR(INDEX('Challan Master'!$D$4:$D$207,MATCH($B196,'Challan Master'!$S$4:$S$207,0)),"")&lt;=DATE(YEAR(I196),MONTH(I196)+1,7),0,ROUND(K196*0.015*((YEAR(IFERROR(INDEX('Challan Master'!$D$4:$D$207,MATCH($B196,'Challan Master'!$S$4:$S$207,0)),""))-YEAR(I196))*12+(MONTH(IFERROR(INDEX('Challan Master'!$D$4:$D$207,MATCH($B196,'Challan Master'!$S$4:$S$207,0)),""))-MONTH(I196))+1),0))))</f>
      </c>
      <c r="O196" s="7">
        <f>IF($C196="","",0)</f>
      </c>
      <c r="P196" s="8"/>
      <c r="Q196" s="8"/>
      <c r="R196" s="8"/>
      <c r="S196" s="8"/>
      <c r="T196" s="8"/>
      <c r="U196" s="7">
        <f>IF($B196="","",IFERROR(INDEX('Challan Master'!$AA$4:$AA$207,MATCH($B196,'Challan Master'!$S$4:$S$207,0)),""))</f>
      </c>
    </row>
    <row r="197" spans="1:22" x14ac:dyDescent="0.25">
      <c r="A197" s="7">
        <f>IF($C197="","",COUNTIF($C$4:$C197,"&lt;&gt;"))</f>
      </c>
      <c r="B197" s="8"/>
      <c r="C197" s="8"/>
      <c r="D197" s="8"/>
      <c r="E197" s="7">
        <f>IF($C197="","",IF(AND(LEN(TRIM(UPPER(D197)))=10,CODE(MID(TRIM(UPPER(D197)),1,1))&gt;=65,CODE(MID(TRIM(UPPER(D197)),1,1))&lt;=90,CODE(MID(TRIM(UPPER(D197)),2,1))&gt;=65,CODE(MID(TRIM(UPPER(D197)),2,1))&lt;=90,CODE(MID(TRIM(UPPER(D197)),3,1))&gt;=65,CODE(MID(TRIM(UPPER(D197)),3,1))&lt;=90,CODE(MID(TRIM(UPPER(D197)),4,1))&gt;=65,CODE(MID(TRIM(UPPER(D197)),4,1))&lt;=90,CODE(MID(TRIM(UPPER(D197)),5,1))&gt;=65,CODE(MID(TRIM(UPPER(D197)),5,1))&lt;=90,CODE(MID(TRIM(UPPER(D197)),10,1))&gt;=65,CODE(MID(TRIM(UPPER(D197)),10,1))&lt;=90,CODE(MID(TRIM(UPPER(D197)),6,1))&gt;=48,CODE(MID(TRIM(UPPER(D197)),6,1))&lt;=57,CODE(MID(TRIM(UPPER(D197)),7,1))&gt;=48,CODE(MID(TRIM(UPPER(D197)),7,1))&lt;=57,CODE(MID(TRIM(UPPER(D197)),8,1))&gt;=48,CODE(MID(TRIM(UPPER(D197)),8,1))&lt;=57,CODE(MID(TRIM(UPPER(D197)),9,1))&gt;=48,CODE(MID(TRIM(UPPER(D197)),9,1))&lt;=57),"N","Y"))</f>
      </c>
      <c r="F197" s="7">
        <f>IF($C197="","",IF(LEN(D197)&lt;4,"",IF(UPPER(MID(D197,4,1))="P","Individual",IF(UPPER(MID(D197,4,1))="H","HUF",IF(UPPER(MID(D197,4,1))="C","Company",IF(UPPER(MID(D197,4,1))="F","Firm",IF(UPPER(MID(D197,4,1))="L","LLP",IF(UPPER(MID(D197,4,1))="T","Trust",IF(UPPER(MID(D197,4,1))="A","AOP","")))))))))</f>
      </c>
      <c r="G197" s="8"/>
      <c r="H197" s="7">
        <f>IF($C197="","",IF(R197&lt;&gt;"",R197,IF(G197="","",IF(E197="Y",SUMPRODUCT(('Rate Lookup'!$A$1:$A$37=G197)*'Rate Lookup'!$D$1:$D$37),IF(OR(F197="Individual",F197="HUF"),SUMPRODUCT(('Rate Lookup'!$A$1:$A$37=G197)*'Rate Lookup'!$B$1:$B$37),SUMPRODUCT(('Rate Lookup'!$A$1:$A$37=G197)*'Rate Lookup'!$C$1:$C$37)))))))</f>
      </c>
      <c r="I197" s="8"/>
      <c r="J197" s="8"/>
      <c r="K197" s="7">
        <f>IF($C197="","",IF(OR(P197="B",P197="D",P197="E",P197="N",P197="O",P197="P",P197="Q",P197="S",P197="Y",P197="Z"),0,ROUND(J197*H197/100,0)))</f>
      </c>
      <c r="L197" s="7">
        <f>IF($C197="","",0)</f>
      </c>
      <c r="M197" s="7">
        <f>IF($C197="","",0)</f>
      </c>
      <c r="N197" s="7">
        <f>IF($C197="","",IF(OR(K197=0,I197="",IFERROR(INDEX('Challan Master'!$D$4:$D$207,MATCH($B197,'Challan Master'!$S$4:$S$207,0)),"")="",IFERROR(INDEX('Challan Master'!$D$4:$D$207,MATCH($B197,'Challan Master'!$S$4:$S$207,0)),"")&lt;=0),0,IF(IFERROR(INDEX('Challan Master'!$D$4:$D$207,MATCH($B197,'Challan Master'!$S$4:$S$207,0)),"")&lt;=DATE(YEAR(I197),MONTH(I197)+1,7),0,ROUND(K197*0.015*((YEAR(IFERROR(INDEX('Challan Master'!$D$4:$D$207,MATCH($B197,'Challan Master'!$S$4:$S$207,0)),""))-YEAR(I197))*12+(MONTH(IFERROR(INDEX('Challan Master'!$D$4:$D$207,MATCH($B197,'Challan Master'!$S$4:$S$207,0)),""))-MONTH(I197))+1),0))))</f>
      </c>
      <c r="O197" s="7">
        <f>IF($C197="","",0)</f>
      </c>
      <c r="P197" s="8"/>
      <c r="Q197" s="8"/>
      <c r="R197" s="8"/>
      <c r="S197" s="8"/>
      <c r="T197" s="8"/>
      <c r="U197" s="7">
        <f>IF($B197="","",IFERROR(INDEX('Challan Master'!$AA$4:$AA$207,MATCH($B197,'Challan Master'!$S$4:$S$207,0)),""))</f>
      </c>
    </row>
    <row r="198" spans="1:22" x14ac:dyDescent="0.25">
      <c r="A198" s="7">
        <f>IF($C198="","",COUNTIF($C$4:$C198,"&lt;&gt;"))</f>
      </c>
      <c r="B198" s="8"/>
      <c r="C198" s="8"/>
      <c r="D198" s="8"/>
      <c r="E198" s="7">
        <f>IF($C198="","",IF(AND(LEN(TRIM(UPPER(D198)))=10,CODE(MID(TRIM(UPPER(D198)),1,1))&gt;=65,CODE(MID(TRIM(UPPER(D198)),1,1))&lt;=90,CODE(MID(TRIM(UPPER(D198)),2,1))&gt;=65,CODE(MID(TRIM(UPPER(D198)),2,1))&lt;=90,CODE(MID(TRIM(UPPER(D198)),3,1))&gt;=65,CODE(MID(TRIM(UPPER(D198)),3,1))&lt;=90,CODE(MID(TRIM(UPPER(D198)),4,1))&gt;=65,CODE(MID(TRIM(UPPER(D198)),4,1))&lt;=90,CODE(MID(TRIM(UPPER(D198)),5,1))&gt;=65,CODE(MID(TRIM(UPPER(D198)),5,1))&lt;=90,CODE(MID(TRIM(UPPER(D198)),10,1))&gt;=65,CODE(MID(TRIM(UPPER(D198)),10,1))&lt;=90,CODE(MID(TRIM(UPPER(D198)),6,1))&gt;=48,CODE(MID(TRIM(UPPER(D198)),6,1))&lt;=57,CODE(MID(TRIM(UPPER(D198)),7,1))&gt;=48,CODE(MID(TRIM(UPPER(D198)),7,1))&lt;=57,CODE(MID(TRIM(UPPER(D198)),8,1))&gt;=48,CODE(MID(TRIM(UPPER(D198)),8,1))&lt;=57,CODE(MID(TRIM(UPPER(D198)),9,1))&gt;=48,CODE(MID(TRIM(UPPER(D198)),9,1))&lt;=57),"N","Y"))</f>
      </c>
      <c r="F198" s="7">
        <f>IF($C198="","",IF(LEN(D198)&lt;4,"",IF(UPPER(MID(D198,4,1))="P","Individual",IF(UPPER(MID(D198,4,1))="H","HUF",IF(UPPER(MID(D198,4,1))="C","Company",IF(UPPER(MID(D198,4,1))="F","Firm",IF(UPPER(MID(D198,4,1))="L","LLP",IF(UPPER(MID(D198,4,1))="T","Trust",IF(UPPER(MID(D198,4,1))="A","AOP","")))))))))</f>
      </c>
      <c r="G198" s="8"/>
      <c r="H198" s="7">
        <f>IF($C198="","",IF(R198&lt;&gt;"",R198,IF(G198="","",IF(E198="Y",SUMPRODUCT(('Rate Lookup'!$A$1:$A$37=G198)*'Rate Lookup'!$D$1:$D$37),IF(OR(F198="Individual",F198="HUF"),SUMPRODUCT(('Rate Lookup'!$A$1:$A$37=G198)*'Rate Lookup'!$B$1:$B$37),SUMPRODUCT(('Rate Lookup'!$A$1:$A$37=G198)*'Rate Lookup'!$C$1:$C$37)))))))</f>
      </c>
      <c r="I198" s="8"/>
      <c r="J198" s="8"/>
      <c r="K198" s="7">
        <f>IF($C198="","",IF(OR(P198="B",P198="D",P198="E",P198="N",P198="O",P198="P",P198="Q",P198="S",P198="Y",P198="Z"),0,ROUND(J198*H198/100,0)))</f>
      </c>
      <c r="L198" s="7">
        <f>IF($C198="","",0)</f>
      </c>
      <c r="M198" s="7">
        <f>IF($C198="","",0)</f>
      </c>
      <c r="N198" s="7">
        <f>IF($C198="","",IF(OR(K198=0,I198="",IFERROR(INDEX('Challan Master'!$D$4:$D$207,MATCH($B198,'Challan Master'!$S$4:$S$207,0)),"")="",IFERROR(INDEX('Challan Master'!$D$4:$D$207,MATCH($B198,'Challan Master'!$S$4:$S$207,0)),"")&lt;=0),0,IF(IFERROR(INDEX('Challan Master'!$D$4:$D$207,MATCH($B198,'Challan Master'!$S$4:$S$207,0)),"")&lt;=DATE(YEAR(I198),MONTH(I198)+1,7),0,ROUND(K198*0.015*((YEAR(IFERROR(INDEX('Challan Master'!$D$4:$D$207,MATCH($B198,'Challan Master'!$S$4:$S$207,0)),""))-YEAR(I198))*12+(MONTH(IFERROR(INDEX('Challan Master'!$D$4:$D$207,MATCH($B198,'Challan Master'!$S$4:$S$207,0)),""))-MONTH(I198))+1),0))))</f>
      </c>
      <c r="O198" s="7">
        <f>IF($C198="","",0)</f>
      </c>
      <c r="P198" s="8"/>
      <c r="Q198" s="8"/>
      <c r="R198" s="8"/>
      <c r="S198" s="8"/>
      <c r="T198" s="8"/>
      <c r="U198" s="7">
        <f>IF($B198="","",IFERROR(INDEX('Challan Master'!$AA$4:$AA$207,MATCH($B198,'Challan Master'!$S$4:$S$207,0)),""))</f>
      </c>
    </row>
    <row r="199" spans="1:22" x14ac:dyDescent="0.25">
      <c r="A199" s="7">
        <f>IF($C199="","",COUNTIF($C$4:$C199,"&lt;&gt;"))</f>
      </c>
      <c r="B199" s="8"/>
      <c r="C199" s="8"/>
      <c r="D199" s="8"/>
      <c r="E199" s="7">
        <f>IF($C199="","",IF(AND(LEN(TRIM(UPPER(D199)))=10,CODE(MID(TRIM(UPPER(D199)),1,1))&gt;=65,CODE(MID(TRIM(UPPER(D199)),1,1))&lt;=90,CODE(MID(TRIM(UPPER(D199)),2,1))&gt;=65,CODE(MID(TRIM(UPPER(D199)),2,1))&lt;=90,CODE(MID(TRIM(UPPER(D199)),3,1))&gt;=65,CODE(MID(TRIM(UPPER(D199)),3,1))&lt;=90,CODE(MID(TRIM(UPPER(D199)),4,1))&gt;=65,CODE(MID(TRIM(UPPER(D199)),4,1))&lt;=90,CODE(MID(TRIM(UPPER(D199)),5,1))&gt;=65,CODE(MID(TRIM(UPPER(D199)),5,1))&lt;=90,CODE(MID(TRIM(UPPER(D199)),10,1))&gt;=65,CODE(MID(TRIM(UPPER(D199)),10,1))&lt;=90,CODE(MID(TRIM(UPPER(D199)),6,1))&gt;=48,CODE(MID(TRIM(UPPER(D199)),6,1))&lt;=57,CODE(MID(TRIM(UPPER(D199)),7,1))&gt;=48,CODE(MID(TRIM(UPPER(D199)),7,1))&lt;=57,CODE(MID(TRIM(UPPER(D199)),8,1))&gt;=48,CODE(MID(TRIM(UPPER(D199)),8,1))&lt;=57,CODE(MID(TRIM(UPPER(D199)),9,1))&gt;=48,CODE(MID(TRIM(UPPER(D199)),9,1))&lt;=57),"N","Y"))</f>
      </c>
      <c r="F199" s="7">
        <f>IF($C199="","",IF(LEN(D199)&lt;4,"",IF(UPPER(MID(D199,4,1))="P","Individual",IF(UPPER(MID(D199,4,1))="H","HUF",IF(UPPER(MID(D199,4,1))="C","Company",IF(UPPER(MID(D199,4,1))="F","Firm",IF(UPPER(MID(D199,4,1))="L","LLP",IF(UPPER(MID(D199,4,1))="T","Trust",IF(UPPER(MID(D199,4,1))="A","AOP","")))))))))</f>
      </c>
      <c r="G199" s="8"/>
      <c r="H199" s="7">
        <f>IF($C199="","",IF(R199&lt;&gt;"",R199,IF(G199="","",IF(E199="Y",SUMPRODUCT(('Rate Lookup'!$A$1:$A$37=G199)*'Rate Lookup'!$D$1:$D$37),IF(OR(F199="Individual",F199="HUF"),SUMPRODUCT(('Rate Lookup'!$A$1:$A$37=G199)*'Rate Lookup'!$B$1:$B$37),SUMPRODUCT(('Rate Lookup'!$A$1:$A$37=G199)*'Rate Lookup'!$C$1:$C$37)))))))</f>
      </c>
      <c r="I199" s="8"/>
      <c r="J199" s="8"/>
      <c r="K199" s="7">
        <f>IF($C199="","",IF(OR(P199="B",P199="D",P199="E",P199="N",P199="O",P199="P",P199="Q",P199="S",P199="Y",P199="Z"),0,ROUND(J199*H199/100,0)))</f>
      </c>
      <c r="L199" s="7">
        <f>IF($C199="","",0)</f>
      </c>
      <c r="M199" s="7">
        <f>IF($C199="","",0)</f>
      </c>
      <c r="N199" s="7">
        <f>IF($C199="","",IF(OR(K199=0,I199="",IFERROR(INDEX('Challan Master'!$D$4:$D$207,MATCH($B199,'Challan Master'!$S$4:$S$207,0)),"")="",IFERROR(INDEX('Challan Master'!$D$4:$D$207,MATCH($B199,'Challan Master'!$S$4:$S$207,0)),"")&lt;=0),0,IF(IFERROR(INDEX('Challan Master'!$D$4:$D$207,MATCH($B199,'Challan Master'!$S$4:$S$207,0)),"")&lt;=DATE(YEAR(I199),MONTH(I199)+1,7),0,ROUND(K199*0.015*((YEAR(IFERROR(INDEX('Challan Master'!$D$4:$D$207,MATCH($B199,'Challan Master'!$S$4:$S$207,0)),""))-YEAR(I199))*12+(MONTH(IFERROR(INDEX('Challan Master'!$D$4:$D$207,MATCH($B199,'Challan Master'!$S$4:$S$207,0)),""))-MONTH(I199))+1),0))))</f>
      </c>
      <c r="O199" s="7">
        <f>IF($C199="","",0)</f>
      </c>
      <c r="P199" s="8"/>
      <c r="Q199" s="8"/>
      <c r="R199" s="8"/>
      <c r="S199" s="8"/>
      <c r="T199" s="8"/>
      <c r="U199" s="7">
        <f>IF($B199="","",IFERROR(INDEX('Challan Master'!$AA$4:$AA$207,MATCH($B199,'Challan Master'!$S$4:$S$207,0)),""))</f>
      </c>
    </row>
    <row r="200" spans="1:22" x14ac:dyDescent="0.25">
      <c r="A200" s="7">
        <f>IF($C200="","",COUNTIF($C$4:$C200,"&lt;&gt;"))</f>
      </c>
      <c r="B200" s="8"/>
      <c r="C200" s="8"/>
      <c r="D200" s="8"/>
      <c r="E200" s="7">
        <f>IF($C200="","",IF(AND(LEN(TRIM(UPPER(D200)))=10,CODE(MID(TRIM(UPPER(D200)),1,1))&gt;=65,CODE(MID(TRIM(UPPER(D200)),1,1))&lt;=90,CODE(MID(TRIM(UPPER(D200)),2,1))&gt;=65,CODE(MID(TRIM(UPPER(D200)),2,1))&lt;=90,CODE(MID(TRIM(UPPER(D200)),3,1))&gt;=65,CODE(MID(TRIM(UPPER(D200)),3,1))&lt;=90,CODE(MID(TRIM(UPPER(D200)),4,1))&gt;=65,CODE(MID(TRIM(UPPER(D200)),4,1))&lt;=90,CODE(MID(TRIM(UPPER(D200)),5,1))&gt;=65,CODE(MID(TRIM(UPPER(D200)),5,1))&lt;=90,CODE(MID(TRIM(UPPER(D200)),10,1))&gt;=65,CODE(MID(TRIM(UPPER(D200)),10,1))&lt;=90,CODE(MID(TRIM(UPPER(D200)),6,1))&gt;=48,CODE(MID(TRIM(UPPER(D200)),6,1))&lt;=57,CODE(MID(TRIM(UPPER(D200)),7,1))&gt;=48,CODE(MID(TRIM(UPPER(D200)),7,1))&lt;=57,CODE(MID(TRIM(UPPER(D200)),8,1))&gt;=48,CODE(MID(TRIM(UPPER(D200)),8,1))&lt;=57,CODE(MID(TRIM(UPPER(D200)),9,1))&gt;=48,CODE(MID(TRIM(UPPER(D200)),9,1))&lt;=57),"N","Y"))</f>
      </c>
      <c r="F200" s="7">
        <f>IF($C200="","",IF(LEN(D200)&lt;4,"",IF(UPPER(MID(D200,4,1))="P","Individual",IF(UPPER(MID(D200,4,1))="H","HUF",IF(UPPER(MID(D200,4,1))="C","Company",IF(UPPER(MID(D200,4,1))="F","Firm",IF(UPPER(MID(D200,4,1))="L","LLP",IF(UPPER(MID(D200,4,1))="T","Trust",IF(UPPER(MID(D200,4,1))="A","AOP","")))))))))</f>
      </c>
      <c r="G200" s="8"/>
      <c r="H200" s="7">
        <f>IF($C200="","",IF(R200&lt;&gt;"",R200,IF(G200="","",IF(E200="Y",SUMPRODUCT(('Rate Lookup'!$A$1:$A$37=G200)*'Rate Lookup'!$D$1:$D$37),IF(OR(F200="Individual",F200="HUF"),SUMPRODUCT(('Rate Lookup'!$A$1:$A$37=G200)*'Rate Lookup'!$B$1:$B$37),SUMPRODUCT(('Rate Lookup'!$A$1:$A$37=G200)*'Rate Lookup'!$C$1:$C$37)))))))</f>
      </c>
      <c r="I200" s="8"/>
      <c r="J200" s="8"/>
      <c r="K200" s="7">
        <f>IF($C200="","",IF(OR(P200="B",P200="D",P200="E",P200="N",P200="O",P200="P",P200="Q",P200="S",P200="Y",P200="Z"),0,ROUND(J200*H200/100,0)))</f>
      </c>
      <c r="L200" s="7">
        <f>IF($C200="","",0)</f>
      </c>
      <c r="M200" s="7">
        <f>IF($C200="","",0)</f>
      </c>
      <c r="N200" s="7">
        <f>IF($C200="","",IF(OR(K200=0,I200="",IFERROR(INDEX('Challan Master'!$D$4:$D$207,MATCH($B200,'Challan Master'!$S$4:$S$207,0)),"")="",IFERROR(INDEX('Challan Master'!$D$4:$D$207,MATCH($B200,'Challan Master'!$S$4:$S$207,0)),"")&lt;=0),0,IF(IFERROR(INDEX('Challan Master'!$D$4:$D$207,MATCH($B200,'Challan Master'!$S$4:$S$207,0)),"")&lt;=DATE(YEAR(I200),MONTH(I200)+1,7),0,ROUND(K200*0.015*((YEAR(IFERROR(INDEX('Challan Master'!$D$4:$D$207,MATCH($B200,'Challan Master'!$S$4:$S$207,0)),""))-YEAR(I200))*12+(MONTH(IFERROR(INDEX('Challan Master'!$D$4:$D$207,MATCH($B200,'Challan Master'!$S$4:$S$207,0)),""))-MONTH(I200))+1),0))))</f>
      </c>
      <c r="O200" s="7">
        <f>IF($C200="","",0)</f>
      </c>
      <c r="P200" s="8"/>
      <c r="Q200" s="8"/>
      <c r="R200" s="8"/>
      <c r="S200" s="8"/>
      <c r="T200" s="8"/>
      <c r="U200" s="7">
        <f>IF($B200="","",IFERROR(INDEX('Challan Master'!$AA$4:$AA$207,MATCH($B200,'Challan Master'!$S$4:$S$207,0)),""))</f>
      </c>
    </row>
    <row r="201" spans="1:22" x14ac:dyDescent="0.25">
      <c r="A201" s="7">
        <f>IF($C201="","",COUNTIF($C$4:$C201,"&lt;&gt;"))</f>
      </c>
      <c r="B201" s="8"/>
      <c r="C201" s="8"/>
      <c r="D201" s="8"/>
      <c r="E201" s="7">
        <f>IF($C201="","",IF(AND(LEN(TRIM(UPPER(D201)))=10,CODE(MID(TRIM(UPPER(D201)),1,1))&gt;=65,CODE(MID(TRIM(UPPER(D201)),1,1))&lt;=90,CODE(MID(TRIM(UPPER(D201)),2,1))&gt;=65,CODE(MID(TRIM(UPPER(D201)),2,1))&lt;=90,CODE(MID(TRIM(UPPER(D201)),3,1))&gt;=65,CODE(MID(TRIM(UPPER(D201)),3,1))&lt;=90,CODE(MID(TRIM(UPPER(D201)),4,1))&gt;=65,CODE(MID(TRIM(UPPER(D201)),4,1))&lt;=90,CODE(MID(TRIM(UPPER(D201)),5,1))&gt;=65,CODE(MID(TRIM(UPPER(D201)),5,1))&lt;=90,CODE(MID(TRIM(UPPER(D201)),10,1))&gt;=65,CODE(MID(TRIM(UPPER(D201)),10,1))&lt;=90,CODE(MID(TRIM(UPPER(D201)),6,1))&gt;=48,CODE(MID(TRIM(UPPER(D201)),6,1))&lt;=57,CODE(MID(TRIM(UPPER(D201)),7,1))&gt;=48,CODE(MID(TRIM(UPPER(D201)),7,1))&lt;=57,CODE(MID(TRIM(UPPER(D201)),8,1))&gt;=48,CODE(MID(TRIM(UPPER(D201)),8,1))&lt;=57,CODE(MID(TRIM(UPPER(D201)),9,1))&gt;=48,CODE(MID(TRIM(UPPER(D201)),9,1))&lt;=57),"N","Y"))</f>
      </c>
      <c r="F201" s="7">
        <f>IF($C201="","",IF(LEN(D201)&lt;4,"",IF(UPPER(MID(D201,4,1))="P","Individual",IF(UPPER(MID(D201,4,1))="H","HUF",IF(UPPER(MID(D201,4,1))="C","Company",IF(UPPER(MID(D201,4,1))="F","Firm",IF(UPPER(MID(D201,4,1))="L","LLP",IF(UPPER(MID(D201,4,1))="T","Trust",IF(UPPER(MID(D201,4,1))="A","AOP","")))))))))</f>
      </c>
      <c r="G201" s="8"/>
      <c r="H201" s="7">
        <f>IF($C201="","",IF(R201&lt;&gt;"",R201,IF(G201="","",IF(E201="Y",SUMPRODUCT(('Rate Lookup'!$A$1:$A$37=G201)*'Rate Lookup'!$D$1:$D$37),IF(OR(F201="Individual",F201="HUF"),SUMPRODUCT(('Rate Lookup'!$A$1:$A$37=G201)*'Rate Lookup'!$B$1:$B$37),SUMPRODUCT(('Rate Lookup'!$A$1:$A$37=G201)*'Rate Lookup'!$C$1:$C$37)))))))</f>
      </c>
      <c r="I201" s="8"/>
      <c r="J201" s="8"/>
      <c r="K201" s="7">
        <f>IF($C201="","",IF(OR(P201="B",P201="D",P201="E",P201="N",P201="O",P201="P",P201="Q",P201="S",P201="Y",P201="Z"),0,ROUND(J201*H201/100,0)))</f>
      </c>
      <c r="L201" s="7">
        <f>IF($C201="","",0)</f>
      </c>
      <c r="M201" s="7">
        <f>IF($C201="","",0)</f>
      </c>
      <c r="N201" s="7">
        <f>IF($C201="","",IF(OR(K201=0,I201="",IFERROR(INDEX('Challan Master'!$D$4:$D$207,MATCH($B201,'Challan Master'!$S$4:$S$207,0)),"")="",IFERROR(INDEX('Challan Master'!$D$4:$D$207,MATCH($B201,'Challan Master'!$S$4:$S$207,0)),"")&lt;=0),0,IF(IFERROR(INDEX('Challan Master'!$D$4:$D$207,MATCH($B201,'Challan Master'!$S$4:$S$207,0)),"")&lt;=DATE(YEAR(I201),MONTH(I201)+1,7),0,ROUND(K201*0.015*((YEAR(IFERROR(INDEX('Challan Master'!$D$4:$D$207,MATCH($B201,'Challan Master'!$S$4:$S$207,0)),""))-YEAR(I201))*12+(MONTH(IFERROR(INDEX('Challan Master'!$D$4:$D$207,MATCH($B201,'Challan Master'!$S$4:$S$207,0)),""))-MONTH(I201))+1),0))))</f>
      </c>
      <c r="O201" s="7">
        <f>IF($C201="","",0)</f>
      </c>
      <c r="P201" s="8"/>
      <c r="Q201" s="8"/>
      <c r="R201" s="8"/>
      <c r="S201" s="8"/>
      <c r="T201" s="8"/>
      <c r="U201" s="7">
        <f>IF($B201="","",IFERROR(INDEX('Challan Master'!$AA$4:$AA$207,MATCH($B201,'Challan Master'!$S$4:$S$207,0)),""))</f>
      </c>
    </row>
    <row r="202" spans="1:22" x14ac:dyDescent="0.25">
      <c r="A202" s="7">
        <f>IF($C202="","",COUNTIF($C$4:$C202,"&lt;&gt;"))</f>
      </c>
      <c r="B202" s="8"/>
      <c r="C202" s="8"/>
      <c r="D202" s="8"/>
      <c r="E202" s="7">
        <f>IF($C202="","",IF(AND(LEN(TRIM(UPPER(D202)))=10,CODE(MID(TRIM(UPPER(D202)),1,1))&gt;=65,CODE(MID(TRIM(UPPER(D202)),1,1))&lt;=90,CODE(MID(TRIM(UPPER(D202)),2,1))&gt;=65,CODE(MID(TRIM(UPPER(D202)),2,1))&lt;=90,CODE(MID(TRIM(UPPER(D202)),3,1))&gt;=65,CODE(MID(TRIM(UPPER(D202)),3,1))&lt;=90,CODE(MID(TRIM(UPPER(D202)),4,1))&gt;=65,CODE(MID(TRIM(UPPER(D202)),4,1))&lt;=90,CODE(MID(TRIM(UPPER(D202)),5,1))&gt;=65,CODE(MID(TRIM(UPPER(D202)),5,1))&lt;=90,CODE(MID(TRIM(UPPER(D202)),10,1))&gt;=65,CODE(MID(TRIM(UPPER(D202)),10,1))&lt;=90,CODE(MID(TRIM(UPPER(D202)),6,1))&gt;=48,CODE(MID(TRIM(UPPER(D202)),6,1))&lt;=57,CODE(MID(TRIM(UPPER(D202)),7,1))&gt;=48,CODE(MID(TRIM(UPPER(D202)),7,1))&lt;=57,CODE(MID(TRIM(UPPER(D202)),8,1))&gt;=48,CODE(MID(TRIM(UPPER(D202)),8,1))&lt;=57,CODE(MID(TRIM(UPPER(D202)),9,1))&gt;=48,CODE(MID(TRIM(UPPER(D202)),9,1))&lt;=57),"N","Y"))</f>
      </c>
      <c r="F202" s="7">
        <f>IF($C202="","",IF(LEN(D202)&lt;4,"",IF(UPPER(MID(D202,4,1))="P","Individual",IF(UPPER(MID(D202,4,1))="H","HUF",IF(UPPER(MID(D202,4,1))="C","Company",IF(UPPER(MID(D202,4,1))="F","Firm",IF(UPPER(MID(D202,4,1))="L","LLP",IF(UPPER(MID(D202,4,1))="T","Trust",IF(UPPER(MID(D202,4,1))="A","AOP","")))))))))</f>
      </c>
      <c r="G202" s="8"/>
      <c r="H202" s="7">
        <f>IF($C202="","",IF(R202&lt;&gt;"",R202,IF(G202="","",IF(E202="Y",SUMPRODUCT(('Rate Lookup'!$A$1:$A$37=G202)*'Rate Lookup'!$D$1:$D$37),IF(OR(F202="Individual",F202="HUF"),SUMPRODUCT(('Rate Lookup'!$A$1:$A$37=G202)*'Rate Lookup'!$B$1:$B$37),SUMPRODUCT(('Rate Lookup'!$A$1:$A$37=G202)*'Rate Lookup'!$C$1:$C$37)))))))</f>
      </c>
      <c r="I202" s="8"/>
      <c r="J202" s="8"/>
      <c r="K202" s="7">
        <f>IF($C202="","",IF(OR(P202="B",P202="D",P202="E",P202="N",P202="O",P202="P",P202="Q",P202="S",P202="Y",P202="Z"),0,ROUND(J202*H202/100,0)))</f>
      </c>
      <c r="L202" s="7">
        <f>IF($C202="","",0)</f>
      </c>
      <c r="M202" s="7">
        <f>IF($C202="","",0)</f>
      </c>
      <c r="N202" s="7">
        <f>IF($C202="","",IF(OR(K202=0,I202="",IFERROR(INDEX('Challan Master'!$D$4:$D$207,MATCH($B202,'Challan Master'!$S$4:$S$207,0)),"")="",IFERROR(INDEX('Challan Master'!$D$4:$D$207,MATCH($B202,'Challan Master'!$S$4:$S$207,0)),"")&lt;=0),0,IF(IFERROR(INDEX('Challan Master'!$D$4:$D$207,MATCH($B202,'Challan Master'!$S$4:$S$207,0)),"")&lt;=DATE(YEAR(I202),MONTH(I202)+1,7),0,ROUND(K202*0.015*((YEAR(IFERROR(INDEX('Challan Master'!$D$4:$D$207,MATCH($B202,'Challan Master'!$S$4:$S$207,0)),""))-YEAR(I202))*12+(MONTH(IFERROR(INDEX('Challan Master'!$D$4:$D$207,MATCH($B202,'Challan Master'!$S$4:$S$207,0)),""))-MONTH(I202))+1),0))))</f>
      </c>
      <c r="O202" s="7">
        <f>IF($C202="","",0)</f>
      </c>
      <c r="P202" s="8"/>
      <c r="Q202" s="8"/>
      <c r="R202" s="8"/>
      <c r="S202" s="8"/>
      <c r="T202" s="8"/>
      <c r="U202" s="7">
        <f>IF($B202="","",IFERROR(INDEX('Challan Master'!$AA$4:$AA$207,MATCH($B202,'Challan Master'!$S$4:$S$207,0)),""))</f>
      </c>
    </row>
    <row r="203" spans="1:22" x14ac:dyDescent="0.25">
      <c r="A203" s="7">
        <f>IF($C203="","",COUNTIF($C$4:$C203,"&lt;&gt;"))</f>
      </c>
      <c r="B203" s="8"/>
      <c r="C203" s="8"/>
      <c r="D203" s="8"/>
      <c r="E203" s="7">
        <f>IF($C203="","",IF(AND(LEN(TRIM(UPPER(D203)))=10,CODE(MID(TRIM(UPPER(D203)),1,1))&gt;=65,CODE(MID(TRIM(UPPER(D203)),1,1))&lt;=90,CODE(MID(TRIM(UPPER(D203)),2,1))&gt;=65,CODE(MID(TRIM(UPPER(D203)),2,1))&lt;=90,CODE(MID(TRIM(UPPER(D203)),3,1))&gt;=65,CODE(MID(TRIM(UPPER(D203)),3,1))&lt;=90,CODE(MID(TRIM(UPPER(D203)),4,1))&gt;=65,CODE(MID(TRIM(UPPER(D203)),4,1))&lt;=90,CODE(MID(TRIM(UPPER(D203)),5,1))&gt;=65,CODE(MID(TRIM(UPPER(D203)),5,1))&lt;=90,CODE(MID(TRIM(UPPER(D203)),10,1))&gt;=65,CODE(MID(TRIM(UPPER(D203)),10,1))&lt;=90,CODE(MID(TRIM(UPPER(D203)),6,1))&gt;=48,CODE(MID(TRIM(UPPER(D203)),6,1))&lt;=57,CODE(MID(TRIM(UPPER(D203)),7,1))&gt;=48,CODE(MID(TRIM(UPPER(D203)),7,1))&lt;=57,CODE(MID(TRIM(UPPER(D203)),8,1))&gt;=48,CODE(MID(TRIM(UPPER(D203)),8,1))&lt;=57,CODE(MID(TRIM(UPPER(D203)),9,1))&gt;=48,CODE(MID(TRIM(UPPER(D203)),9,1))&lt;=57),"N","Y"))</f>
      </c>
      <c r="F203" s="7">
        <f>IF($C203="","",IF(LEN(D203)&lt;4,"",IF(UPPER(MID(D203,4,1))="P","Individual",IF(UPPER(MID(D203,4,1))="H","HUF",IF(UPPER(MID(D203,4,1))="C","Company",IF(UPPER(MID(D203,4,1))="F","Firm",IF(UPPER(MID(D203,4,1))="L","LLP",IF(UPPER(MID(D203,4,1))="T","Trust",IF(UPPER(MID(D203,4,1))="A","AOP","")))))))))</f>
      </c>
      <c r="G203" s="8"/>
      <c r="H203" s="7">
        <f>IF($C203="","",IF(R203&lt;&gt;"",R203,IF(G203="","",IF(E203="Y",SUMPRODUCT(('Rate Lookup'!$A$1:$A$37=G203)*'Rate Lookup'!$D$1:$D$37),IF(OR(F203="Individual",F203="HUF"),SUMPRODUCT(('Rate Lookup'!$A$1:$A$37=G203)*'Rate Lookup'!$B$1:$B$37),SUMPRODUCT(('Rate Lookup'!$A$1:$A$37=G203)*'Rate Lookup'!$C$1:$C$37)))))))</f>
      </c>
      <c r="I203" s="8"/>
      <c r="J203" s="8"/>
      <c r="K203" s="7">
        <f>IF($C203="","",IF(OR(P203="B",P203="D",P203="E",P203="N",P203="O",P203="P",P203="Q",P203="S",P203="Y",P203="Z"),0,ROUND(J203*H203/100,0)))</f>
      </c>
      <c r="L203" s="7">
        <f>IF($C203="","",0)</f>
      </c>
      <c r="M203" s="7">
        <f>IF($C203="","",0)</f>
      </c>
      <c r="N203" s="7">
        <f>IF($C203="","",IF(OR(K203=0,I203="",IFERROR(INDEX('Challan Master'!$D$4:$D$207,MATCH($B203,'Challan Master'!$S$4:$S$207,0)),"")="",IFERROR(INDEX('Challan Master'!$D$4:$D$207,MATCH($B203,'Challan Master'!$S$4:$S$207,0)),"")&lt;=0),0,IF(IFERROR(INDEX('Challan Master'!$D$4:$D$207,MATCH($B203,'Challan Master'!$S$4:$S$207,0)),"")&lt;=DATE(YEAR(I203),MONTH(I203)+1,7),0,ROUND(K203*0.015*((YEAR(IFERROR(INDEX('Challan Master'!$D$4:$D$207,MATCH($B203,'Challan Master'!$S$4:$S$207,0)),""))-YEAR(I203))*12+(MONTH(IFERROR(INDEX('Challan Master'!$D$4:$D$207,MATCH($B203,'Challan Master'!$S$4:$S$207,0)),""))-MONTH(I203))+1),0))))</f>
      </c>
      <c r="O203" s="7">
        <f>IF($C203="","",0)</f>
      </c>
      <c r="P203" s="8"/>
      <c r="Q203" s="8"/>
      <c r="R203" s="8"/>
      <c r="S203" s="8"/>
      <c r="T203" s="8"/>
      <c r="U203" s="7">
        <f>IF($B203="","",IFERROR(INDEX('Challan Master'!$AA$4:$AA$207,MATCH($B203,'Challan Master'!$S$4:$S$207,0)),""))</f>
      </c>
    </row>
    <row r="204" spans="1:22" x14ac:dyDescent="0.25">
      <c r="A204" s="7">
        <f>IF($C204="","",COUNTIF($C$4:$C204,"&lt;&gt;"))</f>
      </c>
      <c r="B204" s="8"/>
      <c r="C204" s="8"/>
      <c r="D204" s="8"/>
      <c r="E204" s="7">
        <f>IF($C204="","",IF(AND(LEN(TRIM(UPPER(D204)))=10,CODE(MID(TRIM(UPPER(D204)),1,1))&gt;=65,CODE(MID(TRIM(UPPER(D204)),1,1))&lt;=90,CODE(MID(TRIM(UPPER(D204)),2,1))&gt;=65,CODE(MID(TRIM(UPPER(D204)),2,1))&lt;=90,CODE(MID(TRIM(UPPER(D204)),3,1))&gt;=65,CODE(MID(TRIM(UPPER(D204)),3,1))&lt;=90,CODE(MID(TRIM(UPPER(D204)),4,1))&gt;=65,CODE(MID(TRIM(UPPER(D204)),4,1))&lt;=90,CODE(MID(TRIM(UPPER(D204)),5,1))&gt;=65,CODE(MID(TRIM(UPPER(D204)),5,1))&lt;=90,CODE(MID(TRIM(UPPER(D204)),10,1))&gt;=65,CODE(MID(TRIM(UPPER(D204)),10,1))&lt;=90,CODE(MID(TRIM(UPPER(D204)),6,1))&gt;=48,CODE(MID(TRIM(UPPER(D204)),6,1))&lt;=57,CODE(MID(TRIM(UPPER(D204)),7,1))&gt;=48,CODE(MID(TRIM(UPPER(D204)),7,1))&lt;=57,CODE(MID(TRIM(UPPER(D204)),8,1))&gt;=48,CODE(MID(TRIM(UPPER(D204)),8,1))&lt;=57,CODE(MID(TRIM(UPPER(D204)),9,1))&gt;=48,CODE(MID(TRIM(UPPER(D204)),9,1))&lt;=57),"N","Y"))</f>
      </c>
      <c r="F204" s="7">
        <f>IF($C204="","",IF(LEN(D204)&lt;4,"",IF(UPPER(MID(D204,4,1))="P","Individual",IF(UPPER(MID(D204,4,1))="H","HUF",IF(UPPER(MID(D204,4,1))="C","Company",IF(UPPER(MID(D204,4,1))="F","Firm",IF(UPPER(MID(D204,4,1))="L","LLP",IF(UPPER(MID(D204,4,1))="T","Trust",IF(UPPER(MID(D204,4,1))="A","AOP","")))))))))</f>
      </c>
      <c r="G204" s="8"/>
      <c r="H204" s="7">
        <f>IF($C204="","",IF(R204&lt;&gt;"",R204,IF(G204="","",IF(E204="Y",SUMPRODUCT(('Rate Lookup'!$A$1:$A$37=G204)*'Rate Lookup'!$D$1:$D$37),IF(OR(F204="Individual",F204="HUF"),SUMPRODUCT(('Rate Lookup'!$A$1:$A$37=G204)*'Rate Lookup'!$B$1:$B$37),SUMPRODUCT(('Rate Lookup'!$A$1:$A$37=G204)*'Rate Lookup'!$C$1:$C$37)))))))</f>
      </c>
      <c r="I204" s="8"/>
      <c r="J204" s="8"/>
      <c r="K204" s="7">
        <f>IF($C204="","",IF(OR(P204="B",P204="D",P204="E",P204="N",P204="O",P204="P",P204="Q",P204="S",P204="Y",P204="Z"),0,ROUND(J204*H204/100,0)))</f>
      </c>
      <c r="L204" s="7">
        <f>IF($C204="","",0)</f>
      </c>
      <c r="M204" s="7">
        <f>IF($C204="","",0)</f>
      </c>
      <c r="N204" s="7">
        <f>IF($C204="","",IF(OR(K204=0,I204="",IFERROR(INDEX('Challan Master'!$D$4:$D$207,MATCH($B204,'Challan Master'!$S$4:$S$207,0)),"")="",IFERROR(INDEX('Challan Master'!$D$4:$D$207,MATCH($B204,'Challan Master'!$S$4:$S$207,0)),"")&lt;=0),0,IF(IFERROR(INDEX('Challan Master'!$D$4:$D$207,MATCH($B204,'Challan Master'!$S$4:$S$207,0)),"")&lt;=DATE(YEAR(I204),MONTH(I204)+1,7),0,ROUND(K204*0.015*((YEAR(IFERROR(INDEX('Challan Master'!$D$4:$D$207,MATCH($B204,'Challan Master'!$S$4:$S$207,0)),""))-YEAR(I204))*12+(MONTH(IFERROR(INDEX('Challan Master'!$D$4:$D$207,MATCH($B204,'Challan Master'!$S$4:$S$207,0)),""))-MONTH(I204))+1),0))))</f>
      </c>
      <c r="O204" s="7">
        <f>IF($C204="","",0)</f>
      </c>
      <c r="P204" s="8"/>
      <c r="Q204" s="8"/>
      <c r="R204" s="8"/>
      <c r="S204" s="8"/>
      <c r="T204" s="8"/>
      <c r="U204" s="7">
        <f>IF($B204="","",IFERROR(INDEX('Challan Master'!$AA$4:$AA$207,MATCH($B204,'Challan Master'!$S$4:$S$207,0)),""))</f>
      </c>
    </row>
    <row r="205" spans="1:22" x14ac:dyDescent="0.25">
      <c r="A205" s="7">
        <f>IF($C205="","",COUNTIF($C$4:$C205,"&lt;&gt;"))</f>
      </c>
      <c r="B205" s="8"/>
      <c r="C205" s="8"/>
      <c r="D205" s="8"/>
      <c r="E205" s="7">
        <f>IF($C205="","",IF(AND(LEN(TRIM(UPPER(D205)))=10,CODE(MID(TRIM(UPPER(D205)),1,1))&gt;=65,CODE(MID(TRIM(UPPER(D205)),1,1))&lt;=90,CODE(MID(TRIM(UPPER(D205)),2,1))&gt;=65,CODE(MID(TRIM(UPPER(D205)),2,1))&lt;=90,CODE(MID(TRIM(UPPER(D205)),3,1))&gt;=65,CODE(MID(TRIM(UPPER(D205)),3,1))&lt;=90,CODE(MID(TRIM(UPPER(D205)),4,1))&gt;=65,CODE(MID(TRIM(UPPER(D205)),4,1))&lt;=90,CODE(MID(TRIM(UPPER(D205)),5,1))&gt;=65,CODE(MID(TRIM(UPPER(D205)),5,1))&lt;=90,CODE(MID(TRIM(UPPER(D205)),10,1))&gt;=65,CODE(MID(TRIM(UPPER(D205)),10,1))&lt;=90,CODE(MID(TRIM(UPPER(D205)),6,1))&gt;=48,CODE(MID(TRIM(UPPER(D205)),6,1))&lt;=57,CODE(MID(TRIM(UPPER(D205)),7,1))&gt;=48,CODE(MID(TRIM(UPPER(D205)),7,1))&lt;=57,CODE(MID(TRIM(UPPER(D205)),8,1))&gt;=48,CODE(MID(TRIM(UPPER(D205)),8,1))&lt;=57,CODE(MID(TRIM(UPPER(D205)),9,1))&gt;=48,CODE(MID(TRIM(UPPER(D205)),9,1))&lt;=57),"N","Y"))</f>
      </c>
      <c r="F205" s="7">
        <f>IF($C205="","",IF(LEN(D205)&lt;4,"",IF(UPPER(MID(D205,4,1))="P","Individual",IF(UPPER(MID(D205,4,1))="H","HUF",IF(UPPER(MID(D205,4,1))="C","Company",IF(UPPER(MID(D205,4,1))="F","Firm",IF(UPPER(MID(D205,4,1))="L","LLP",IF(UPPER(MID(D205,4,1))="T","Trust",IF(UPPER(MID(D205,4,1))="A","AOP","")))))))))</f>
      </c>
      <c r="G205" s="8"/>
      <c r="H205" s="7">
        <f>IF($C205="","",IF(R205&lt;&gt;"",R205,IF(G205="","",IF(E205="Y",SUMPRODUCT(('Rate Lookup'!$A$1:$A$37=G205)*'Rate Lookup'!$D$1:$D$37),IF(OR(F205="Individual",F205="HUF"),SUMPRODUCT(('Rate Lookup'!$A$1:$A$37=G205)*'Rate Lookup'!$B$1:$B$37),SUMPRODUCT(('Rate Lookup'!$A$1:$A$37=G205)*'Rate Lookup'!$C$1:$C$37)))))))</f>
      </c>
      <c r="I205" s="8"/>
      <c r="J205" s="8"/>
      <c r="K205" s="7">
        <f>IF($C205="","",IF(OR(P205="B",P205="D",P205="E",P205="N",P205="O",P205="P",P205="Q",P205="S",P205="Y",P205="Z"),0,ROUND(J205*H205/100,0)))</f>
      </c>
      <c r="L205" s="7">
        <f>IF($C205="","",0)</f>
      </c>
      <c r="M205" s="7">
        <f>IF($C205="","",0)</f>
      </c>
      <c r="N205" s="7">
        <f>IF($C205="","",IF(OR(K205=0,I205="",IFERROR(INDEX('Challan Master'!$D$4:$D$207,MATCH($B205,'Challan Master'!$S$4:$S$207,0)),"")="",IFERROR(INDEX('Challan Master'!$D$4:$D$207,MATCH($B205,'Challan Master'!$S$4:$S$207,0)),"")&lt;=0),0,IF(IFERROR(INDEX('Challan Master'!$D$4:$D$207,MATCH($B205,'Challan Master'!$S$4:$S$207,0)),"")&lt;=DATE(YEAR(I205),MONTH(I205)+1,7),0,ROUND(K205*0.015*((YEAR(IFERROR(INDEX('Challan Master'!$D$4:$D$207,MATCH($B205,'Challan Master'!$S$4:$S$207,0)),""))-YEAR(I205))*12+(MONTH(IFERROR(INDEX('Challan Master'!$D$4:$D$207,MATCH($B205,'Challan Master'!$S$4:$S$207,0)),""))-MONTH(I205))+1),0))))</f>
      </c>
      <c r="O205" s="7">
        <f>IF($C205="","",0)</f>
      </c>
      <c r="P205" s="8"/>
      <c r="Q205" s="8"/>
      <c r="R205" s="8"/>
      <c r="S205" s="8"/>
      <c r="T205" s="8"/>
      <c r="U205" s="7">
        <f>IF($B205="","",IFERROR(INDEX('Challan Master'!$AA$4:$AA$207,MATCH($B205,'Challan Master'!$S$4:$S$207,0)),""))</f>
      </c>
    </row>
    <row r="206" spans="1:22" x14ac:dyDescent="0.25">
      <c r="A206" s="7">
        <f>IF($C206="","",COUNTIF($C$4:$C206,"&lt;&gt;"))</f>
      </c>
      <c r="B206" s="8"/>
      <c r="C206" s="8"/>
      <c r="D206" s="8"/>
      <c r="E206" s="7">
        <f>IF($C206="","",IF(AND(LEN(TRIM(UPPER(D206)))=10,CODE(MID(TRIM(UPPER(D206)),1,1))&gt;=65,CODE(MID(TRIM(UPPER(D206)),1,1))&lt;=90,CODE(MID(TRIM(UPPER(D206)),2,1))&gt;=65,CODE(MID(TRIM(UPPER(D206)),2,1))&lt;=90,CODE(MID(TRIM(UPPER(D206)),3,1))&gt;=65,CODE(MID(TRIM(UPPER(D206)),3,1))&lt;=90,CODE(MID(TRIM(UPPER(D206)),4,1))&gt;=65,CODE(MID(TRIM(UPPER(D206)),4,1))&lt;=90,CODE(MID(TRIM(UPPER(D206)),5,1))&gt;=65,CODE(MID(TRIM(UPPER(D206)),5,1))&lt;=90,CODE(MID(TRIM(UPPER(D206)),10,1))&gt;=65,CODE(MID(TRIM(UPPER(D206)),10,1))&lt;=90,CODE(MID(TRIM(UPPER(D206)),6,1))&gt;=48,CODE(MID(TRIM(UPPER(D206)),6,1))&lt;=57,CODE(MID(TRIM(UPPER(D206)),7,1))&gt;=48,CODE(MID(TRIM(UPPER(D206)),7,1))&lt;=57,CODE(MID(TRIM(UPPER(D206)),8,1))&gt;=48,CODE(MID(TRIM(UPPER(D206)),8,1))&lt;=57,CODE(MID(TRIM(UPPER(D206)),9,1))&gt;=48,CODE(MID(TRIM(UPPER(D206)),9,1))&lt;=57),"N","Y"))</f>
      </c>
      <c r="F206" s="7">
        <f>IF($C206="","",IF(LEN(D206)&lt;4,"",IF(UPPER(MID(D206,4,1))="P","Individual",IF(UPPER(MID(D206,4,1))="H","HUF",IF(UPPER(MID(D206,4,1))="C","Company",IF(UPPER(MID(D206,4,1))="F","Firm",IF(UPPER(MID(D206,4,1))="L","LLP",IF(UPPER(MID(D206,4,1))="T","Trust",IF(UPPER(MID(D206,4,1))="A","AOP","")))))))))</f>
      </c>
      <c r="G206" s="8"/>
      <c r="H206" s="7">
        <f>IF($C206="","",IF(R206&lt;&gt;"",R206,IF(G206="","",IF(E206="Y",SUMPRODUCT(('Rate Lookup'!$A$1:$A$37=G206)*'Rate Lookup'!$D$1:$D$37),IF(OR(F206="Individual",F206="HUF"),SUMPRODUCT(('Rate Lookup'!$A$1:$A$37=G206)*'Rate Lookup'!$B$1:$B$37),SUMPRODUCT(('Rate Lookup'!$A$1:$A$37=G206)*'Rate Lookup'!$C$1:$C$37)))))))</f>
      </c>
      <c r="I206" s="8"/>
      <c r="J206" s="8"/>
      <c r="K206" s="7">
        <f>IF($C206="","",IF(OR(P206="B",P206="D",P206="E",P206="N",P206="O",P206="P",P206="Q",P206="S",P206="Y",P206="Z"),0,ROUND(J206*H206/100,0)))</f>
      </c>
      <c r="L206" s="7">
        <f>IF($C206="","",0)</f>
      </c>
      <c r="M206" s="7">
        <f>IF($C206="","",0)</f>
      </c>
      <c r="N206" s="7">
        <f>IF($C206="","",IF(OR(K206=0,I206="",IFERROR(INDEX('Challan Master'!$D$4:$D$207,MATCH($B206,'Challan Master'!$S$4:$S$207,0)),"")="",IFERROR(INDEX('Challan Master'!$D$4:$D$207,MATCH($B206,'Challan Master'!$S$4:$S$207,0)),"")&lt;=0),0,IF(IFERROR(INDEX('Challan Master'!$D$4:$D$207,MATCH($B206,'Challan Master'!$S$4:$S$207,0)),"")&lt;=DATE(YEAR(I206),MONTH(I206)+1,7),0,ROUND(K206*0.015*((YEAR(IFERROR(INDEX('Challan Master'!$D$4:$D$207,MATCH($B206,'Challan Master'!$S$4:$S$207,0)),""))-YEAR(I206))*12+(MONTH(IFERROR(INDEX('Challan Master'!$D$4:$D$207,MATCH($B206,'Challan Master'!$S$4:$S$207,0)),""))-MONTH(I206))+1),0))))</f>
      </c>
      <c r="O206" s="7">
        <f>IF($C206="","",0)</f>
      </c>
      <c r="P206" s="8"/>
      <c r="Q206" s="8"/>
      <c r="R206" s="8"/>
      <c r="S206" s="8"/>
      <c r="T206" s="8"/>
      <c r="U206" s="7">
        <f>IF($B206="","",IFERROR(INDEX('Challan Master'!$AA$4:$AA$207,MATCH($B206,'Challan Master'!$S$4:$S$207,0)),""))</f>
      </c>
    </row>
    <row r="207" spans="1:22" x14ac:dyDescent="0.25">
      <c r="A207" s="7">
        <f>IF($C207="","",COUNTIF($C$4:$C207,"&lt;&gt;"))</f>
      </c>
      <c r="B207" s="8"/>
      <c r="C207" s="8"/>
      <c r="D207" s="8"/>
      <c r="E207" s="7">
        <f>IF($C207="","",IF(AND(LEN(TRIM(UPPER(D207)))=10,CODE(MID(TRIM(UPPER(D207)),1,1))&gt;=65,CODE(MID(TRIM(UPPER(D207)),1,1))&lt;=90,CODE(MID(TRIM(UPPER(D207)),2,1))&gt;=65,CODE(MID(TRIM(UPPER(D207)),2,1))&lt;=90,CODE(MID(TRIM(UPPER(D207)),3,1))&gt;=65,CODE(MID(TRIM(UPPER(D207)),3,1))&lt;=90,CODE(MID(TRIM(UPPER(D207)),4,1))&gt;=65,CODE(MID(TRIM(UPPER(D207)),4,1))&lt;=90,CODE(MID(TRIM(UPPER(D207)),5,1))&gt;=65,CODE(MID(TRIM(UPPER(D207)),5,1))&lt;=90,CODE(MID(TRIM(UPPER(D207)),10,1))&gt;=65,CODE(MID(TRIM(UPPER(D207)),10,1))&lt;=90,CODE(MID(TRIM(UPPER(D207)),6,1))&gt;=48,CODE(MID(TRIM(UPPER(D207)),6,1))&lt;=57,CODE(MID(TRIM(UPPER(D207)),7,1))&gt;=48,CODE(MID(TRIM(UPPER(D207)),7,1))&lt;=57,CODE(MID(TRIM(UPPER(D207)),8,1))&gt;=48,CODE(MID(TRIM(UPPER(D207)),8,1))&lt;=57,CODE(MID(TRIM(UPPER(D207)),9,1))&gt;=48,CODE(MID(TRIM(UPPER(D207)),9,1))&lt;=57),"N","Y"))</f>
      </c>
      <c r="F207" s="7">
        <f>IF($C207="","",IF(LEN(D207)&lt;4,"",IF(UPPER(MID(D207,4,1))="P","Individual",IF(UPPER(MID(D207,4,1))="H","HUF",IF(UPPER(MID(D207,4,1))="C","Company",IF(UPPER(MID(D207,4,1))="F","Firm",IF(UPPER(MID(D207,4,1))="L","LLP",IF(UPPER(MID(D207,4,1))="T","Trust",IF(UPPER(MID(D207,4,1))="A","AOP","")))))))))</f>
      </c>
      <c r="G207" s="8"/>
      <c r="H207" s="7">
        <f>IF($C207="","",IF(R207&lt;&gt;"",R207,IF(G207="","",IF(E207="Y",SUMPRODUCT(('Rate Lookup'!$A$1:$A$37=G207)*'Rate Lookup'!$D$1:$D$37),IF(OR(F207="Individual",F207="HUF"),SUMPRODUCT(('Rate Lookup'!$A$1:$A$37=G207)*'Rate Lookup'!$B$1:$B$37),SUMPRODUCT(('Rate Lookup'!$A$1:$A$37=G207)*'Rate Lookup'!$C$1:$C$37)))))))</f>
      </c>
      <c r="I207" s="8"/>
      <c r="J207" s="8"/>
      <c r="K207" s="7">
        <f>IF($C207="","",IF(OR(P207="B",P207="D",P207="E",P207="N",P207="O",P207="P",P207="Q",P207="S",P207="Y",P207="Z"),0,ROUND(J207*H207/100,0)))</f>
      </c>
      <c r="L207" s="7">
        <f>IF($C207="","",0)</f>
      </c>
      <c r="M207" s="7">
        <f>IF($C207="","",0)</f>
      </c>
      <c r="N207" s="7">
        <f>IF($C207="","",IF(OR(K207=0,I207="",IFERROR(INDEX('Challan Master'!$D$4:$D$207,MATCH($B207,'Challan Master'!$S$4:$S$207,0)),"")="",IFERROR(INDEX('Challan Master'!$D$4:$D$207,MATCH($B207,'Challan Master'!$S$4:$S$207,0)),"")&lt;=0),0,IF(IFERROR(INDEX('Challan Master'!$D$4:$D$207,MATCH($B207,'Challan Master'!$S$4:$S$207,0)),"")&lt;=DATE(YEAR(I207),MONTH(I207)+1,7),0,ROUND(K207*0.015*((YEAR(IFERROR(INDEX('Challan Master'!$D$4:$D$207,MATCH($B207,'Challan Master'!$S$4:$S$207,0)),""))-YEAR(I207))*12+(MONTH(IFERROR(INDEX('Challan Master'!$D$4:$D$207,MATCH($B207,'Challan Master'!$S$4:$S$207,0)),""))-MONTH(I207))+1),0))))</f>
      </c>
      <c r="O207" s="7">
        <f>IF($C207="","",0)</f>
      </c>
      <c r="P207" s="8"/>
      <c r="Q207" s="8"/>
      <c r="R207" s="8"/>
      <c r="S207" s="8"/>
      <c r="T207" s="8"/>
      <c r="U207" s="7">
        <f>IF($B207="","",IFERROR(INDEX('Challan Master'!$AA$4:$AA$207,MATCH($B207,'Challan Master'!$S$4:$S$207,0)),""))</f>
      </c>
    </row>
  </sheetData>
  <sheetProtection sheet="1" formatCells="0" formatColumns="0" formatRows="0"/>
  <mergeCells count="2">
    <mergeCell ref="A1:U1"/>
    <mergeCell ref="A2:U2"/>
  </mergeCells>
  <conditionalFormatting sqref="A2:U2">
    <cfRule type="expression" dxfId="26" priority="1">
      <formula>ISNUMBER(SEARCH("VALIDATION FAILED",$A2))</formula>
    </cfRule>
    <cfRule type="expression" dxfId="27" priority="2">
      <formula>ISNUMBER(SEARCH("Validation Successful",$A2))</formula>
    </cfRule>
  </conditionalFormatting>
  <conditionalFormatting sqref="B4:B207">
    <cfRule type="expression" dxfId="28" priority="3">
      <formula>AND($C4&lt;&gt;"",$B4="")</formula>
    </cfRule>
  </conditionalFormatting>
  <conditionalFormatting sqref="D4:D207">
    <cfRule type="expression" dxfId="29" priority="4">
      <formula>$E4="Y"</formula>
    </cfRule>
  </conditionalFormatting>
  <conditionalFormatting sqref="A4:U207">
    <cfRule type="expression" dxfId="30" priority="5">
      <formula>$U4="Over-applied"</formula>
    </cfRule>
  </conditionalFormatting>
  <conditionalFormatting sqref="Q4:R207">
    <cfRule type="expression" dxfId="31" priority="6">
      <formula>AND($P4="A",OR($Q4="",$R4=""))</formula>
    </cfRule>
  </conditionalFormatting>
  <conditionalFormatting sqref="P4:P207">
    <cfRule type="expression" dxfId="32" priority="7">
      <formula>AND($P4="C",$E4&lt;&gt;"Y")</formula>
    </cfRule>
  </conditionalFormatting>
  <conditionalFormatting sqref="P4:P207">
    <cfRule type="expression" dxfId="33" priority="8">
      <formula>AND($P4="T",$E4="Y")</formula>
    </cfRule>
  </conditionalFormatting>
  <conditionalFormatting sqref="T4:T207">
    <cfRule type="expression" dxfId="34" priority="9">
      <formula>AND(OR($P4="D",$P4="E",$P4="N",$P4="O",$P4="P",$P4="Q",$P4="S",$P4="Z"),$T4="")</formula>
    </cfRule>
  </conditionalFormatting>
  <dataValidations count="10">
    <dataValidation type="list" allowBlank="1" showErrorMessage="1" errorTitle="Invalid Challan" error="Pick a challan from the dropdown — it must already exist on the Challan Master sheet." sqref="B10:B207">
      <formula1>'Challan Master'!$S$4:$S$207</formula1>
    </dataValidation>
    <dataValidation type="list" allowBlank="1" showErrorMessage="1" errorTitle="Invalid Challan" error="Pick a challan from the dropdown — it must already exist on the Challan Master sheet." sqref="B4:B207">
      <formula1>'Challan Master'!$S$4:$S$207</formula1>
    </dataValidation>
    <dataValidation type="list" allowBlank="1" showErrorMessage="1" errorTitle="Invalid Section" error="Pick a section from the dropdown list." sqref="G10:G207">
      <formula1>'Rate Lookup'!$A$1:$A$37</formula1>
    </dataValidation>
    <dataValidation type="list" allowBlank="1" showErrorMessage="1" errorTitle="Invalid Section" error="Pick a section from the dropdown list." sqref="G4:G207">
      <formula1>'Rate Lookup'!$A$1:$A$37</formula1>
    </dataValidation>
    <dataValidation type="date" allowBlank="1" showErrorMessage="1" errorTitle="Invalid Date" error="Enter a real date (use the date picker), between 01-Apr-2020 and 31-Mar-2030." sqref="I10:I207">
      <formula1>43922</formula1>
      <formula2>47573</formula2>
    </dataValidation>
    <dataValidation type="date" allowBlank="1" showErrorMessage="1" errorTitle="Invalid Date" error="Enter a real date (use the date picker), between 01-Apr-2020 and 31-Mar-2030." sqref="I4:I207">
      <formula1>43922</formula1>
      <formula2>47573</formula2>
    </dataValidation>
    <dataValidation type="decimal" operator="greaterThanOrEqual" allowBlank="1" showErrorMessage="1" errorTitle="Invalid Amount" error="Must be a number of 0 or more." sqref="J10:J207">
      <formula1>0</formula1>
    </dataValidation>
    <dataValidation type="decimal" operator="greaterThanOrEqual" allowBlank="1" showErrorMessage="1" errorTitle="Invalid Amount" error="Must be a number of 0 or more." sqref="J4:J207">
      <formula1>0</formula1>
    </dataValidation>
    <dataValidation type="list" allowBlank="1" showErrorMessage="1" errorTitle="Invalid Reason Code" error="Pick a Reason Code from the dropdown (A/B/C/D/E/N/O/P/Q/S/T/Y/Z)." sqref="P10:P207">
      <formula1>"A,B,C,D,E,N,O,P,Q,S,T,Y,Z"</formula1>
    </dataValidation>
    <dataValidation type="list" allowBlank="1" showErrorMessage="1" errorTitle="Invalid Reason Code" error="Pick a Reason Code from the dropdown (A/B/C/D/E/N/O/P/Q/S/T/Y/Z)." sqref="P4:P207">
      <formula1>"A,B,C,D,E,N,O,P,Q,S,T,Y,Z"</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7"/>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40" customWidth="1"/>
    <col min="3" max="3" width="26" customWidth="1"/>
    <col min="4" max="6" width="12" customWidth="1"/>
    <col min="7" max="7" width="40" customWidth="1"/>
    <col min="8" max="8" width="12" customWidth="1"/>
    <col min="9" max="15" width="13" customWidth="1"/>
    <col min="16" max="16" width="12" customWidth="1"/>
    <col min="17" max="17" width="20" customWidth="1"/>
    <col min="18" max="18" width="14" customWidth="1"/>
    <col min="19" max="19" width="16" customWidth="1"/>
    <col min="20" max="20" width="18" customWidth="1"/>
    <col min="21" max="21" width="14" customWidth="1"/>
  </cols>
  <sheetData>
    <row r="1" ht="22" customHeight="1" spans="1:22" x14ac:dyDescent="0.25">
      <c r="A1" s="3" t="s">
        <v>105</v>
      </c>
      <c r="B1" s="3"/>
      <c r="C1" s="3"/>
      <c r="D1" s="3"/>
      <c r="E1" s="3"/>
      <c r="F1" s="3"/>
      <c r="G1" s="3"/>
      <c r="H1" s="3"/>
      <c r="I1" s="3"/>
      <c r="J1" s="3"/>
      <c r="K1" s="3"/>
      <c r="L1" s="3"/>
      <c r="M1" s="3"/>
      <c r="N1" s="3"/>
      <c r="O1" s="3"/>
      <c r="P1" s="3"/>
      <c r="Q1" s="3"/>
      <c r="R1" s="3"/>
      <c r="S1" s="3"/>
      <c r="T1" s="3"/>
      <c r="U1" s="3"/>
    </row>
    <row r="2" ht="20" customHeight="1" spans="1:22" x14ac:dyDescent="0.25">
      <c r="A2" s="5">
        <f>IF(AND(SUMPRODUCT(($C$4:$C$207&lt;&gt;"")*($B$4:$B$207=""))=0,SUMPRODUCT(($C$4:$C$207&lt;&gt;"")*($U$4:$U$207="Over-applied"))=0),"✅ Validation Successful — every entry has a Challan selected, none reference an over-applied challan ("&amp;COUNTIF($C$4:$C$207,"&lt;&gt;")&amp;" entries checked).","❌ VALIDATION FAILED — "&amp;SUMPRODUCT(($C$4:$C$207&lt;&gt;"")*($B$4:$B$207=""))&amp;" entr(y/ies) missing a Challan selection, "&amp;SUMPRODUCT(($C$4:$C$207&lt;&gt;"")*($U$4:$U$207="Over-applied"))&amp;" entr(y/ies) posted against an Over-applied challan. See the pink/red-highlighted row(s) below.")</f>
      </c>
      <c r="B2" s="5"/>
      <c r="C2" s="5"/>
      <c r="D2" s="5"/>
      <c r="E2" s="5"/>
      <c r="F2" s="5"/>
      <c r="G2" s="5"/>
      <c r="H2" s="5"/>
      <c r="I2" s="5"/>
      <c r="J2" s="5"/>
      <c r="K2" s="5"/>
      <c r="L2" s="5"/>
      <c r="M2" s="5"/>
      <c r="N2" s="5"/>
      <c r="O2" s="5"/>
      <c r="P2" s="5"/>
      <c r="Q2" s="5"/>
      <c r="R2" s="5"/>
      <c r="S2" s="5"/>
      <c r="T2" s="5"/>
      <c r="U2" s="5"/>
    </row>
    <row r="3" ht="40" customHeight="1" spans="1:22" x14ac:dyDescent="0.25">
      <c r="A3" s="6" t="s">
        <v>56</v>
      </c>
      <c r="B3" s="6" t="s">
        <v>84</v>
      </c>
      <c r="C3" s="6" t="s">
        <v>85</v>
      </c>
      <c r="D3" s="6" t="s">
        <v>86</v>
      </c>
      <c r="E3" s="6" t="s">
        <v>87</v>
      </c>
      <c r="F3" s="6" t="s">
        <v>88</v>
      </c>
      <c r="G3" s="6" t="s">
        <v>89</v>
      </c>
      <c r="H3" s="6" t="s">
        <v>90</v>
      </c>
      <c r="I3" s="6" t="s">
        <v>91</v>
      </c>
      <c r="J3" s="6" t="s">
        <v>92</v>
      </c>
      <c r="K3" s="6" t="s">
        <v>93</v>
      </c>
      <c r="L3" s="6" t="s">
        <v>94</v>
      </c>
      <c r="M3" s="6" t="s">
        <v>95</v>
      </c>
      <c r="N3" s="6" t="s">
        <v>96</v>
      </c>
      <c r="O3" s="6" t="s">
        <v>97</v>
      </c>
      <c r="P3" s="6" t="s">
        <v>98</v>
      </c>
      <c r="Q3" s="6" t="s">
        <v>99</v>
      </c>
      <c r="R3" s="6" t="s">
        <v>100</v>
      </c>
      <c r="S3" s="6" t="s">
        <v>101</v>
      </c>
      <c r="T3" s="6" t="s">
        <v>73</v>
      </c>
      <c r="U3" s="6" t="s">
        <v>102</v>
      </c>
    </row>
    <row r="4" spans="1:22" x14ac:dyDescent="0.25">
      <c r="A4" s="7">
        <f>IF($C4="","",COUNTIF($C$4:$C4,"&lt;&gt;"))</f>
      </c>
      <c r="B4" s="8"/>
      <c r="C4" s="8"/>
      <c r="D4" s="8"/>
      <c r="E4" s="7">
        <f>IF($C4="","",IF(AND(LEN(TRIM(UPPER(D4)))=10,CODE(MID(TRIM(UPPER(D4)),1,1))&gt;=65,CODE(MID(TRIM(UPPER(D4)),1,1))&lt;=90,CODE(MID(TRIM(UPPER(D4)),2,1))&gt;=65,CODE(MID(TRIM(UPPER(D4)),2,1))&lt;=90,CODE(MID(TRIM(UPPER(D4)),3,1))&gt;=65,CODE(MID(TRIM(UPPER(D4)),3,1))&lt;=90,CODE(MID(TRIM(UPPER(D4)),4,1))&gt;=65,CODE(MID(TRIM(UPPER(D4)),4,1))&lt;=90,CODE(MID(TRIM(UPPER(D4)),5,1))&gt;=65,CODE(MID(TRIM(UPPER(D4)),5,1))&lt;=90,CODE(MID(TRIM(UPPER(D4)),10,1))&gt;=65,CODE(MID(TRIM(UPPER(D4)),10,1))&lt;=90,CODE(MID(TRIM(UPPER(D4)),6,1))&gt;=48,CODE(MID(TRIM(UPPER(D4)),6,1))&lt;=57,CODE(MID(TRIM(UPPER(D4)),7,1))&gt;=48,CODE(MID(TRIM(UPPER(D4)),7,1))&lt;=57,CODE(MID(TRIM(UPPER(D4)),8,1))&gt;=48,CODE(MID(TRIM(UPPER(D4)),8,1))&lt;=57,CODE(MID(TRIM(UPPER(D4)),9,1))&gt;=48,CODE(MID(TRIM(UPPER(D4)),9,1))&lt;=57),"N","Y"))</f>
      </c>
      <c r="F4" s="7">
        <f>IF($C4="","",IF(LEN(D4)&lt;4,"",IF(UPPER(MID(D4,4,1))="P","Individual",IF(UPPER(MID(D4,4,1))="H","HUF",IF(UPPER(MID(D4,4,1))="C","Company",IF(UPPER(MID(D4,4,1))="F","Firm",IF(UPPER(MID(D4,4,1))="L","LLP",IF(UPPER(MID(D4,4,1))="T","Trust",IF(UPPER(MID(D4,4,1))="A","AOP","")))))))))</f>
      </c>
      <c r="G4" s="8"/>
      <c r="H4" s="7">
        <f>IF($C4="","",IF(R4&lt;&gt;"",R4,IF(G4="","",IF(E4="Y",SUMPRODUCT(('Rate Lookup'!$A$1:$A$37=G4)*'Rate Lookup'!$D$1:$D$37),IF(OR(F4="Individual",F4="HUF"),SUMPRODUCT(('Rate Lookup'!$A$1:$A$37=G4)*'Rate Lookup'!$B$1:$B$37),SUMPRODUCT(('Rate Lookup'!$A$1:$A$37=G4)*'Rate Lookup'!$C$1:$C$37)))))))</f>
      </c>
      <c r="I4" s="8"/>
      <c r="J4" s="8"/>
      <c r="K4" s="7">
        <f>IF($C4="","",IF(OR(P4="B",P4="D",P4="E",P4="N",P4="O",P4="P",P4="Q",P4="S",P4="Y",P4="Z"),0,ROUND(J4*H4/100,0)))</f>
      </c>
      <c r="L4" s="7">
        <f>IF($C4="","",0)</f>
      </c>
      <c r="M4" s="7">
        <f>IF($C4="","",0)</f>
      </c>
      <c r="N4" s="7">
        <f>IF($C4="","",IF(OR(K4=0,I4="",IFERROR(INDEX('Challan Master'!$D$4:$D$207,MATCH($B4,'Challan Master'!$S$4:$S$207,0)),"")="",IFERROR(INDEX('Challan Master'!$D$4:$D$207,MATCH($B4,'Challan Master'!$S$4:$S$207,0)),"")&lt;=0),0,IF(IFERROR(INDEX('Challan Master'!$D$4:$D$207,MATCH($B4,'Challan Master'!$S$4:$S$207,0)),"")&lt;=DATE(YEAR(I4),MONTH(I4)+1,7),0,ROUND(K4*0.015*((YEAR(IFERROR(INDEX('Challan Master'!$D$4:$D$207,MATCH($B4,'Challan Master'!$S$4:$S$207,0)),""))-YEAR(I4))*12+(MONTH(IFERROR(INDEX('Challan Master'!$D$4:$D$207,MATCH($B4,'Challan Master'!$S$4:$S$207,0)),""))-MONTH(I4))+1),0))))</f>
      </c>
      <c r="O4" s="7">
        <f>IF($C4="","",0)</f>
      </c>
      <c r="P4" s="8"/>
      <c r="Q4" s="8"/>
      <c r="R4" s="8"/>
      <c r="S4" s="8"/>
      <c r="T4" s="8"/>
      <c r="U4" s="7">
        <f>IF($B4="","",IFERROR(INDEX('Challan Master'!$AA$4:$AA$207,MATCH($B4,'Challan Master'!$S$4:$S$207,0)),""))</f>
      </c>
    </row>
    <row r="5" spans="1:22" x14ac:dyDescent="0.25">
      <c r="A5" s="7">
        <f>IF($C5="","",COUNTIF($C$4:$C5,"&lt;&gt;"))</f>
      </c>
      <c r="B5" s="8"/>
      <c r="C5" s="8"/>
      <c r="D5" s="8"/>
      <c r="E5" s="7">
        <f>IF($C5="","",IF(AND(LEN(TRIM(UPPER(D5)))=10,CODE(MID(TRIM(UPPER(D5)),1,1))&gt;=65,CODE(MID(TRIM(UPPER(D5)),1,1))&lt;=90,CODE(MID(TRIM(UPPER(D5)),2,1))&gt;=65,CODE(MID(TRIM(UPPER(D5)),2,1))&lt;=90,CODE(MID(TRIM(UPPER(D5)),3,1))&gt;=65,CODE(MID(TRIM(UPPER(D5)),3,1))&lt;=90,CODE(MID(TRIM(UPPER(D5)),4,1))&gt;=65,CODE(MID(TRIM(UPPER(D5)),4,1))&lt;=90,CODE(MID(TRIM(UPPER(D5)),5,1))&gt;=65,CODE(MID(TRIM(UPPER(D5)),5,1))&lt;=90,CODE(MID(TRIM(UPPER(D5)),10,1))&gt;=65,CODE(MID(TRIM(UPPER(D5)),10,1))&lt;=90,CODE(MID(TRIM(UPPER(D5)),6,1))&gt;=48,CODE(MID(TRIM(UPPER(D5)),6,1))&lt;=57,CODE(MID(TRIM(UPPER(D5)),7,1))&gt;=48,CODE(MID(TRIM(UPPER(D5)),7,1))&lt;=57,CODE(MID(TRIM(UPPER(D5)),8,1))&gt;=48,CODE(MID(TRIM(UPPER(D5)),8,1))&lt;=57,CODE(MID(TRIM(UPPER(D5)),9,1))&gt;=48,CODE(MID(TRIM(UPPER(D5)),9,1))&lt;=57),"N","Y"))</f>
      </c>
      <c r="F5" s="7">
        <f>IF($C5="","",IF(LEN(D5)&lt;4,"",IF(UPPER(MID(D5,4,1))="P","Individual",IF(UPPER(MID(D5,4,1))="H","HUF",IF(UPPER(MID(D5,4,1))="C","Company",IF(UPPER(MID(D5,4,1))="F","Firm",IF(UPPER(MID(D5,4,1))="L","LLP",IF(UPPER(MID(D5,4,1))="T","Trust",IF(UPPER(MID(D5,4,1))="A","AOP","")))))))))</f>
      </c>
      <c r="G5" s="8"/>
      <c r="H5" s="7">
        <f>IF($C5="","",IF(R5&lt;&gt;"",R5,IF(G5="","",IF(E5="Y",SUMPRODUCT(('Rate Lookup'!$A$1:$A$37=G5)*'Rate Lookup'!$D$1:$D$37),IF(OR(F5="Individual",F5="HUF"),SUMPRODUCT(('Rate Lookup'!$A$1:$A$37=G5)*'Rate Lookup'!$B$1:$B$37),SUMPRODUCT(('Rate Lookup'!$A$1:$A$37=G5)*'Rate Lookup'!$C$1:$C$37)))))))</f>
      </c>
      <c r="I5" s="8"/>
      <c r="J5" s="8"/>
      <c r="K5" s="7">
        <f>IF($C5="","",IF(OR(P5="B",P5="D",P5="E",P5="N",P5="O",P5="P",P5="Q",P5="S",P5="Y",P5="Z"),0,ROUND(J5*H5/100,0)))</f>
      </c>
      <c r="L5" s="7">
        <f>IF($C5="","",0)</f>
      </c>
      <c r="M5" s="7">
        <f>IF($C5="","",0)</f>
      </c>
      <c r="N5" s="7">
        <f>IF($C5="","",IF(OR(K5=0,I5="",IFERROR(INDEX('Challan Master'!$D$4:$D$207,MATCH($B5,'Challan Master'!$S$4:$S$207,0)),"")="",IFERROR(INDEX('Challan Master'!$D$4:$D$207,MATCH($B5,'Challan Master'!$S$4:$S$207,0)),"")&lt;=0),0,IF(IFERROR(INDEX('Challan Master'!$D$4:$D$207,MATCH($B5,'Challan Master'!$S$4:$S$207,0)),"")&lt;=DATE(YEAR(I5),MONTH(I5)+1,7),0,ROUND(K5*0.015*((YEAR(IFERROR(INDEX('Challan Master'!$D$4:$D$207,MATCH($B5,'Challan Master'!$S$4:$S$207,0)),""))-YEAR(I5))*12+(MONTH(IFERROR(INDEX('Challan Master'!$D$4:$D$207,MATCH($B5,'Challan Master'!$S$4:$S$207,0)),""))-MONTH(I5))+1),0))))</f>
      </c>
      <c r="O5" s="7">
        <f>IF($C5="","",0)</f>
      </c>
      <c r="P5" s="8"/>
      <c r="Q5" s="8"/>
      <c r="R5" s="8"/>
      <c r="S5" s="8"/>
      <c r="T5" s="8"/>
      <c r="U5" s="7">
        <f>IF($B5="","",IFERROR(INDEX('Challan Master'!$AA$4:$AA$207,MATCH($B5,'Challan Master'!$S$4:$S$207,0)),""))</f>
      </c>
    </row>
    <row r="6" spans="1:22" x14ac:dyDescent="0.25">
      <c r="A6" s="7">
        <f>IF($C6="","",COUNTIF($C$4:$C6,"&lt;&gt;"))</f>
      </c>
      <c r="B6" s="8"/>
      <c r="C6" s="8"/>
      <c r="D6" s="8"/>
      <c r="E6" s="7">
        <f>IF($C6="","",IF(AND(LEN(TRIM(UPPER(D6)))=10,CODE(MID(TRIM(UPPER(D6)),1,1))&gt;=65,CODE(MID(TRIM(UPPER(D6)),1,1))&lt;=90,CODE(MID(TRIM(UPPER(D6)),2,1))&gt;=65,CODE(MID(TRIM(UPPER(D6)),2,1))&lt;=90,CODE(MID(TRIM(UPPER(D6)),3,1))&gt;=65,CODE(MID(TRIM(UPPER(D6)),3,1))&lt;=90,CODE(MID(TRIM(UPPER(D6)),4,1))&gt;=65,CODE(MID(TRIM(UPPER(D6)),4,1))&lt;=90,CODE(MID(TRIM(UPPER(D6)),5,1))&gt;=65,CODE(MID(TRIM(UPPER(D6)),5,1))&lt;=90,CODE(MID(TRIM(UPPER(D6)),10,1))&gt;=65,CODE(MID(TRIM(UPPER(D6)),10,1))&lt;=90,CODE(MID(TRIM(UPPER(D6)),6,1))&gt;=48,CODE(MID(TRIM(UPPER(D6)),6,1))&lt;=57,CODE(MID(TRIM(UPPER(D6)),7,1))&gt;=48,CODE(MID(TRIM(UPPER(D6)),7,1))&lt;=57,CODE(MID(TRIM(UPPER(D6)),8,1))&gt;=48,CODE(MID(TRIM(UPPER(D6)),8,1))&lt;=57,CODE(MID(TRIM(UPPER(D6)),9,1))&gt;=48,CODE(MID(TRIM(UPPER(D6)),9,1))&lt;=57),"N","Y"))</f>
      </c>
      <c r="F6" s="7">
        <f>IF($C6="","",IF(LEN(D6)&lt;4,"",IF(UPPER(MID(D6,4,1))="P","Individual",IF(UPPER(MID(D6,4,1))="H","HUF",IF(UPPER(MID(D6,4,1))="C","Company",IF(UPPER(MID(D6,4,1))="F","Firm",IF(UPPER(MID(D6,4,1))="L","LLP",IF(UPPER(MID(D6,4,1))="T","Trust",IF(UPPER(MID(D6,4,1))="A","AOP","")))))))))</f>
      </c>
      <c r="G6" s="8"/>
      <c r="H6" s="7">
        <f>IF($C6="","",IF(R6&lt;&gt;"",R6,IF(G6="","",IF(E6="Y",SUMPRODUCT(('Rate Lookup'!$A$1:$A$37=G6)*'Rate Lookup'!$D$1:$D$37),IF(OR(F6="Individual",F6="HUF"),SUMPRODUCT(('Rate Lookup'!$A$1:$A$37=G6)*'Rate Lookup'!$B$1:$B$37),SUMPRODUCT(('Rate Lookup'!$A$1:$A$37=G6)*'Rate Lookup'!$C$1:$C$37)))))))</f>
      </c>
      <c r="I6" s="8"/>
      <c r="J6" s="8"/>
      <c r="K6" s="7">
        <f>IF($C6="","",IF(OR(P6="B",P6="D",P6="E",P6="N",P6="O",P6="P",P6="Q",P6="S",P6="Y",P6="Z"),0,ROUND(J6*H6/100,0)))</f>
      </c>
      <c r="L6" s="7">
        <f>IF($C6="","",0)</f>
      </c>
      <c r="M6" s="7">
        <f>IF($C6="","",0)</f>
      </c>
      <c r="N6" s="7">
        <f>IF($C6="","",IF(OR(K6=0,I6="",IFERROR(INDEX('Challan Master'!$D$4:$D$207,MATCH($B6,'Challan Master'!$S$4:$S$207,0)),"")="",IFERROR(INDEX('Challan Master'!$D$4:$D$207,MATCH($B6,'Challan Master'!$S$4:$S$207,0)),"")&lt;=0),0,IF(IFERROR(INDEX('Challan Master'!$D$4:$D$207,MATCH($B6,'Challan Master'!$S$4:$S$207,0)),"")&lt;=DATE(YEAR(I6),MONTH(I6)+1,7),0,ROUND(K6*0.015*((YEAR(IFERROR(INDEX('Challan Master'!$D$4:$D$207,MATCH($B6,'Challan Master'!$S$4:$S$207,0)),""))-YEAR(I6))*12+(MONTH(IFERROR(INDEX('Challan Master'!$D$4:$D$207,MATCH($B6,'Challan Master'!$S$4:$S$207,0)),""))-MONTH(I6))+1),0))))</f>
      </c>
      <c r="O6" s="7">
        <f>IF($C6="","",0)</f>
      </c>
      <c r="P6" s="8"/>
      <c r="Q6" s="8"/>
      <c r="R6" s="8"/>
      <c r="S6" s="8"/>
      <c r="T6" s="8"/>
      <c r="U6" s="7">
        <f>IF($B6="","",IFERROR(INDEX('Challan Master'!$AA$4:$AA$207,MATCH($B6,'Challan Master'!$S$4:$S$207,0)),""))</f>
      </c>
    </row>
    <row r="7" spans="1:22" x14ac:dyDescent="0.25">
      <c r="A7" s="7">
        <f>IF($C7="","",COUNTIF($C$4:$C7,"&lt;&gt;"))</f>
      </c>
      <c r="B7" s="8"/>
      <c r="C7" s="8"/>
      <c r="D7" s="8"/>
      <c r="E7" s="7">
        <f>IF($C7="","",IF(AND(LEN(TRIM(UPPER(D7)))=10,CODE(MID(TRIM(UPPER(D7)),1,1))&gt;=65,CODE(MID(TRIM(UPPER(D7)),1,1))&lt;=90,CODE(MID(TRIM(UPPER(D7)),2,1))&gt;=65,CODE(MID(TRIM(UPPER(D7)),2,1))&lt;=90,CODE(MID(TRIM(UPPER(D7)),3,1))&gt;=65,CODE(MID(TRIM(UPPER(D7)),3,1))&lt;=90,CODE(MID(TRIM(UPPER(D7)),4,1))&gt;=65,CODE(MID(TRIM(UPPER(D7)),4,1))&lt;=90,CODE(MID(TRIM(UPPER(D7)),5,1))&gt;=65,CODE(MID(TRIM(UPPER(D7)),5,1))&lt;=90,CODE(MID(TRIM(UPPER(D7)),10,1))&gt;=65,CODE(MID(TRIM(UPPER(D7)),10,1))&lt;=90,CODE(MID(TRIM(UPPER(D7)),6,1))&gt;=48,CODE(MID(TRIM(UPPER(D7)),6,1))&lt;=57,CODE(MID(TRIM(UPPER(D7)),7,1))&gt;=48,CODE(MID(TRIM(UPPER(D7)),7,1))&lt;=57,CODE(MID(TRIM(UPPER(D7)),8,1))&gt;=48,CODE(MID(TRIM(UPPER(D7)),8,1))&lt;=57,CODE(MID(TRIM(UPPER(D7)),9,1))&gt;=48,CODE(MID(TRIM(UPPER(D7)),9,1))&lt;=57),"N","Y"))</f>
      </c>
      <c r="F7" s="7">
        <f>IF($C7="","",IF(LEN(D7)&lt;4,"",IF(UPPER(MID(D7,4,1))="P","Individual",IF(UPPER(MID(D7,4,1))="H","HUF",IF(UPPER(MID(D7,4,1))="C","Company",IF(UPPER(MID(D7,4,1))="F","Firm",IF(UPPER(MID(D7,4,1))="L","LLP",IF(UPPER(MID(D7,4,1))="T","Trust",IF(UPPER(MID(D7,4,1))="A","AOP","")))))))))</f>
      </c>
      <c r="G7" s="8"/>
      <c r="H7" s="7">
        <f>IF($C7="","",IF(R7&lt;&gt;"",R7,IF(G7="","",IF(E7="Y",SUMPRODUCT(('Rate Lookup'!$A$1:$A$37=G7)*'Rate Lookup'!$D$1:$D$37),IF(OR(F7="Individual",F7="HUF"),SUMPRODUCT(('Rate Lookup'!$A$1:$A$37=G7)*'Rate Lookup'!$B$1:$B$37),SUMPRODUCT(('Rate Lookup'!$A$1:$A$37=G7)*'Rate Lookup'!$C$1:$C$37)))))))</f>
      </c>
      <c r="I7" s="8"/>
      <c r="J7" s="8"/>
      <c r="K7" s="7">
        <f>IF($C7="","",IF(OR(P7="B",P7="D",P7="E",P7="N",P7="O",P7="P",P7="Q",P7="S",P7="Y",P7="Z"),0,ROUND(J7*H7/100,0)))</f>
      </c>
      <c r="L7" s="7">
        <f>IF($C7="","",0)</f>
      </c>
      <c r="M7" s="7">
        <f>IF($C7="","",0)</f>
      </c>
      <c r="N7" s="7">
        <f>IF($C7="","",IF(OR(K7=0,I7="",IFERROR(INDEX('Challan Master'!$D$4:$D$207,MATCH($B7,'Challan Master'!$S$4:$S$207,0)),"")="",IFERROR(INDEX('Challan Master'!$D$4:$D$207,MATCH($B7,'Challan Master'!$S$4:$S$207,0)),"")&lt;=0),0,IF(IFERROR(INDEX('Challan Master'!$D$4:$D$207,MATCH($B7,'Challan Master'!$S$4:$S$207,0)),"")&lt;=DATE(YEAR(I7),MONTH(I7)+1,7),0,ROUND(K7*0.015*((YEAR(IFERROR(INDEX('Challan Master'!$D$4:$D$207,MATCH($B7,'Challan Master'!$S$4:$S$207,0)),""))-YEAR(I7))*12+(MONTH(IFERROR(INDEX('Challan Master'!$D$4:$D$207,MATCH($B7,'Challan Master'!$S$4:$S$207,0)),""))-MONTH(I7))+1),0))))</f>
      </c>
      <c r="O7" s="7">
        <f>IF($C7="","",0)</f>
      </c>
      <c r="P7" s="8"/>
      <c r="Q7" s="8"/>
      <c r="R7" s="8"/>
      <c r="S7" s="8"/>
      <c r="T7" s="8"/>
      <c r="U7" s="7">
        <f>IF($B7="","",IFERROR(INDEX('Challan Master'!$AA$4:$AA$207,MATCH($B7,'Challan Master'!$S$4:$S$207,0)),""))</f>
      </c>
    </row>
    <row r="8" spans="1:22" x14ac:dyDescent="0.25">
      <c r="A8" s="7">
        <f>IF($C8="","",COUNTIF($C$4:$C8,"&lt;&gt;"))</f>
      </c>
      <c r="B8" s="8"/>
      <c r="C8" s="8"/>
      <c r="D8" s="8"/>
      <c r="E8" s="7">
        <f>IF($C8="","",IF(AND(LEN(TRIM(UPPER(D8)))=10,CODE(MID(TRIM(UPPER(D8)),1,1))&gt;=65,CODE(MID(TRIM(UPPER(D8)),1,1))&lt;=90,CODE(MID(TRIM(UPPER(D8)),2,1))&gt;=65,CODE(MID(TRIM(UPPER(D8)),2,1))&lt;=90,CODE(MID(TRIM(UPPER(D8)),3,1))&gt;=65,CODE(MID(TRIM(UPPER(D8)),3,1))&lt;=90,CODE(MID(TRIM(UPPER(D8)),4,1))&gt;=65,CODE(MID(TRIM(UPPER(D8)),4,1))&lt;=90,CODE(MID(TRIM(UPPER(D8)),5,1))&gt;=65,CODE(MID(TRIM(UPPER(D8)),5,1))&lt;=90,CODE(MID(TRIM(UPPER(D8)),10,1))&gt;=65,CODE(MID(TRIM(UPPER(D8)),10,1))&lt;=90,CODE(MID(TRIM(UPPER(D8)),6,1))&gt;=48,CODE(MID(TRIM(UPPER(D8)),6,1))&lt;=57,CODE(MID(TRIM(UPPER(D8)),7,1))&gt;=48,CODE(MID(TRIM(UPPER(D8)),7,1))&lt;=57,CODE(MID(TRIM(UPPER(D8)),8,1))&gt;=48,CODE(MID(TRIM(UPPER(D8)),8,1))&lt;=57,CODE(MID(TRIM(UPPER(D8)),9,1))&gt;=48,CODE(MID(TRIM(UPPER(D8)),9,1))&lt;=57),"N","Y"))</f>
      </c>
      <c r="F8" s="7">
        <f>IF($C8="","",IF(LEN(D8)&lt;4,"",IF(UPPER(MID(D8,4,1))="P","Individual",IF(UPPER(MID(D8,4,1))="H","HUF",IF(UPPER(MID(D8,4,1))="C","Company",IF(UPPER(MID(D8,4,1))="F","Firm",IF(UPPER(MID(D8,4,1))="L","LLP",IF(UPPER(MID(D8,4,1))="T","Trust",IF(UPPER(MID(D8,4,1))="A","AOP","")))))))))</f>
      </c>
      <c r="G8" s="8"/>
      <c r="H8" s="7">
        <f>IF($C8="","",IF(R8&lt;&gt;"",R8,IF(G8="","",IF(E8="Y",SUMPRODUCT(('Rate Lookup'!$A$1:$A$37=G8)*'Rate Lookup'!$D$1:$D$37),IF(OR(F8="Individual",F8="HUF"),SUMPRODUCT(('Rate Lookup'!$A$1:$A$37=G8)*'Rate Lookup'!$B$1:$B$37),SUMPRODUCT(('Rate Lookup'!$A$1:$A$37=G8)*'Rate Lookup'!$C$1:$C$37)))))))</f>
      </c>
      <c r="I8" s="8"/>
      <c r="J8" s="8"/>
      <c r="K8" s="7">
        <f>IF($C8="","",IF(OR(P8="B",P8="D",P8="E",P8="N",P8="O",P8="P",P8="Q",P8="S",P8="Y",P8="Z"),0,ROUND(J8*H8/100,0)))</f>
      </c>
      <c r="L8" s="7">
        <f>IF($C8="","",0)</f>
      </c>
      <c r="M8" s="7">
        <f>IF($C8="","",0)</f>
      </c>
      <c r="N8" s="7">
        <f>IF($C8="","",IF(OR(K8=0,I8="",IFERROR(INDEX('Challan Master'!$D$4:$D$207,MATCH($B8,'Challan Master'!$S$4:$S$207,0)),"")="",IFERROR(INDEX('Challan Master'!$D$4:$D$207,MATCH($B8,'Challan Master'!$S$4:$S$207,0)),"")&lt;=0),0,IF(IFERROR(INDEX('Challan Master'!$D$4:$D$207,MATCH($B8,'Challan Master'!$S$4:$S$207,0)),"")&lt;=DATE(YEAR(I8),MONTH(I8)+1,7),0,ROUND(K8*0.015*((YEAR(IFERROR(INDEX('Challan Master'!$D$4:$D$207,MATCH($B8,'Challan Master'!$S$4:$S$207,0)),""))-YEAR(I8))*12+(MONTH(IFERROR(INDEX('Challan Master'!$D$4:$D$207,MATCH($B8,'Challan Master'!$S$4:$S$207,0)),""))-MONTH(I8))+1),0))))</f>
      </c>
      <c r="O8" s="7">
        <f>IF($C8="","",0)</f>
      </c>
      <c r="P8" s="8"/>
      <c r="Q8" s="8"/>
      <c r="R8" s="8"/>
      <c r="S8" s="8"/>
      <c r="T8" s="8"/>
      <c r="U8" s="7">
        <f>IF($B8="","",IFERROR(INDEX('Challan Master'!$AA$4:$AA$207,MATCH($B8,'Challan Master'!$S$4:$S$207,0)),""))</f>
      </c>
    </row>
    <row r="9" spans="1:22" x14ac:dyDescent="0.25">
      <c r="A9" s="7">
        <f>IF($C9="","",COUNTIF($C$4:$C9,"&lt;&gt;"))</f>
      </c>
      <c r="B9" s="8"/>
      <c r="C9" s="8"/>
      <c r="D9" s="8"/>
      <c r="E9" s="7">
        <f>IF($C9="","",IF(AND(LEN(TRIM(UPPER(D9)))=10,CODE(MID(TRIM(UPPER(D9)),1,1))&gt;=65,CODE(MID(TRIM(UPPER(D9)),1,1))&lt;=90,CODE(MID(TRIM(UPPER(D9)),2,1))&gt;=65,CODE(MID(TRIM(UPPER(D9)),2,1))&lt;=90,CODE(MID(TRIM(UPPER(D9)),3,1))&gt;=65,CODE(MID(TRIM(UPPER(D9)),3,1))&lt;=90,CODE(MID(TRIM(UPPER(D9)),4,1))&gt;=65,CODE(MID(TRIM(UPPER(D9)),4,1))&lt;=90,CODE(MID(TRIM(UPPER(D9)),5,1))&gt;=65,CODE(MID(TRIM(UPPER(D9)),5,1))&lt;=90,CODE(MID(TRIM(UPPER(D9)),10,1))&gt;=65,CODE(MID(TRIM(UPPER(D9)),10,1))&lt;=90,CODE(MID(TRIM(UPPER(D9)),6,1))&gt;=48,CODE(MID(TRIM(UPPER(D9)),6,1))&lt;=57,CODE(MID(TRIM(UPPER(D9)),7,1))&gt;=48,CODE(MID(TRIM(UPPER(D9)),7,1))&lt;=57,CODE(MID(TRIM(UPPER(D9)),8,1))&gt;=48,CODE(MID(TRIM(UPPER(D9)),8,1))&lt;=57,CODE(MID(TRIM(UPPER(D9)),9,1))&gt;=48,CODE(MID(TRIM(UPPER(D9)),9,1))&lt;=57),"N","Y"))</f>
      </c>
      <c r="F9" s="7">
        <f>IF($C9="","",IF(LEN(D9)&lt;4,"",IF(UPPER(MID(D9,4,1))="P","Individual",IF(UPPER(MID(D9,4,1))="H","HUF",IF(UPPER(MID(D9,4,1))="C","Company",IF(UPPER(MID(D9,4,1))="F","Firm",IF(UPPER(MID(D9,4,1))="L","LLP",IF(UPPER(MID(D9,4,1))="T","Trust",IF(UPPER(MID(D9,4,1))="A","AOP","")))))))))</f>
      </c>
      <c r="G9" s="8"/>
      <c r="H9" s="7">
        <f>IF($C9="","",IF(R9&lt;&gt;"",R9,IF(G9="","",IF(E9="Y",SUMPRODUCT(('Rate Lookup'!$A$1:$A$37=G9)*'Rate Lookup'!$D$1:$D$37),IF(OR(F9="Individual",F9="HUF"),SUMPRODUCT(('Rate Lookup'!$A$1:$A$37=G9)*'Rate Lookup'!$B$1:$B$37),SUMPRODUCT(('Rate Lookup'!$A$1:$A$37=G9)*'Rate Lookup'!$C$1:$C$37)))))))</f>
      </c>
      <c r="I9" s="8"/>
      <c r="J9" s="8"/>
      <c r="K9" s="7">
        <f>IF($C9="","",IF(OR(P9="B",P9="D",P9="E",P9="N",P9="O",P9="P",P9="Q",P9="S",P9="Y",P9="Z"),0,ROUND(J9*H9/100,0)))</f>
      </c>
      <c r="L9" s="7">
        <f>IF($C9="","",0)</f>
      </c>
      <c r="M9" s="7">
        <f>IF($C9="","",0)</f>
      </c>
      <c r="N9" s="7">
        <f>IF($C9="","",IF(OR(K9=0,I9="",IFERROR(INDEX('Challan Master'!$D$4:$D$207,MATCH($B9,'Challan Master'!$S$4:$S$207,0)),"")="",IFERROR(INDEX('Challan Master'!$D$4:$D$207,MATCH($B9,'Challan Master'!$S$4:$S$207,0)),"")&lt;=0),0,IF(IFERROR(INDEX('Challan Master'!$D$4:$D$207,MATCH($B9,'Challan Master'!$S$4:$S$207,0)),"")&lt;=DATE(YEAR(I9),MONTH(I9)+1,7),0,ROUND(K9*0.015*((YEAR(IFERROR(INDEX('Challan Master'!$D$4:$D$207,MATCH($B9,'Challan Master'!$S$4:$S$207,0)),""))-YEAR(I9))*12+(MONTH(IFERROR(INDEX('Challan Master'!$D$4:$D$207,MATCH($B9,'Challan Master'!$S$4:$S$207,0)),""))-MONTH(I9))+1),0))))</f>
      </c>
      <c r="O9" s="7">
        <f>IF($C9="","",0)</f>
      </c>
      <c r="P9" s="8"/>
      <c r="Q9" s="8"/>
      <c r="R9" s="8"/>
      <c r="S9" s="8"/>
      <c r="T9" s="8"/>
      <c r="U9" s="7">
        <f>IF($B9="","",IFERROR(INDEX('Challan Master'!$AA$4:$AA$207,MATCH($B9,'Challan Master'!$S$4:$S$207,0)),""))</f>
      </c>
    </row>
    <row r="10" spans="1:22" x14ac:dyDescent="0.25">
      <c r="A10" s="7">
        <f>IF($C10="","",COUNTIF($C$4:$C10,"&lt;&gt;"))</f>
      </c>
      <c r="B10" s="8"/>
      <c r="C10" s="8"/>
      <c r="D10" s="8"/>
      <c r="E10" s="7">
        <f>IF($C10="","",IF(AND(LEN(TRIM(UPPER(D10)))=10,CODE(MID(TRIM(UPPER(D10)),1,1))&gt;=65,CODE(MID(TRIM(UPPER(D10)),1,1))&lt;=90,CODE(MID(TRIM(UPPER(D10)),2,1))&gt;=65,CODE(MID(TRIM(UPPER(D10)),2,1))&lt;=90,CODE(MID(TRIM(UPPER(D10)),3,1))&gt;=65,CODE(MID(TRIM(UPPER(D10)),3,1))&lt;=90,CODE(MID(TRIM(UPPER(D10)),4,1))&gt;=65,CODE(MID(TRIM(UPPER(D10)),4,1))&lt;=90,CODE(MID(TRIM(UPPER(D10)),5,1))&gt;=65,CODE(MID(TRIM(UPPER(D10)),5,1))&lt;=90,CODE(MID(TRIM(UPPER(D10)),10,1))&gt;=65,CODE(MID(TRIM(UPPER(D10)),10,1))&lt;=90,CODE(MID(TRIM(UPPER(D10)),6,1))&gt;=48,CODE(MID(TRIM(UPPER(D10)),6,1))&lt;=57,CODE(MID(TRIM(UPPER(D10)),7,1))&gt;=48,CODE(MID(TRIM(UPPER(D10)),7,1))&lt;=57,CODE(MID(TRIM(UPPER(D10)),8,1))&gt;=48,CODE(MID(TRIM(UPPER(D10)),8,1))&lt;=57,CODE(MID(TRIM(UPPER(D10)),9,1))&gt;=48,CODE(MID(TRIM(UPPER(D10)),9,1))&lt;=57),"N","Y"))</f>
      </c>
      <c r="F10" s="7">
        <f>IF($C10="","",IF(LEN(D10)&lt;4,"",IF(UPPER(MID(D10,4,1))="P","Individual",IF(UPPER(MID(D10,4,1))="H","HUF",IF(UPPER(MID(D10,4,1))="C","Company",IF(UPPER(MID(D10,4,1))="F","Firm",IF(UPPER(MID(D10,4,1))="L","LLP",IF(UPPER(MID(D10,4,1))="T","Trust",IF(UPPER(MID(D10,4,1))="A","AOP","")))))))))</f>
      </c>
      <c r="G10" s="8"/>
      <c r="H10" s="7">
        <f>IF($C10="","",IF(R10&lt;&gt;"",R10,IF(G10="","",IF(E10="Y",SUMPRODUCT(('Rate Lookup'!$A$1:$A$37=G10)*'Rate Lookup'!$D$1:$D$37),IF(OR(F10="Individual",F10="HUF"),SUMPRODUCT(('Rate Lookup'!$A$1:$A$37=G10)*'Rate Lookup'!$B$1:$B$37),SUMPRODUCT(('Rate Lookup'!$A$1:$A$37=G10)*'Rate Lookup'!$C$1:$C$37)))))))</f>
      </c>
      <c r="I10" s="8"/>
      <c r="J10" s="8"/>
      <c r="K10" s="7">
        <f>IF($C10="","",IF(OR(P10="B",P10="D",P10="E",P10="N",P10="O",P10="P",P10="Q",P10="S",P10="Y",P10="Z"),0,ROUND(J10*H10/100,0)))</f>
      </c>
      <c r="L10" s="7">
        <f>IF($C10="","",0)</f>
      </c>
      <c r="M10" s="7">
        <f>IF($C10="","",0)</f>
      </c>
      <c r="N10" s="7">
        <f>IF($C10="","",IF(OR(K10=0,I10="",IFERROR(INDEX('Challan Master'!$D$4:$D$207,MATCH($B10,'Challan Master'!$S$4:$S$207,0)),"")="",IFERROR(INDEX('Challan Master'!$D$4:$D$207,MATCH($B10,'Challan Master'!$S$4:$S$207,0)),"")&lt;=0),0,IF(IFERROR(INDEX('Challan Master'!$D$4:$D$207,MATCH($B10,'Challan Master'!$S$4:$S$207,0)),"")&lt;=DATE(YEAR(I10),MONTH(I10)+1,7),0,ROUND(K10*0.015*((YEAR(IFERROR(INDEX('Challan Master'!$D$4:$D$207,MATCH($B10,'Challan Master'!$S$4:$S$207,0)),""))-YEAR(I10))*12+(MONTH(IFERROR(INDEX('Challan Master'!$D$4:$D$207,MATCH($B10,'Challan Master'!$S$4:$S$207,0)),""))-MONTH(I10))+1),0))))</f>
      </c>
      <c r="O10" s="7">
        <f>IF($C10="","",0)</f>
      </c>
      <c r="P10" s="8"/>
      <c r="Q10" s="8"/>
      <c r="R10" s="8"/>
      <c r="S10" s="8"/>
      <c r="T10" s="8"/>
      <c r="U10" s="7">
        <f>IF($B10="","",IFERROR(INDEX('Challan Master'!$AA$4:$AA$207,MATCH($B10,'Challan Master'!$S$4:$S$207,0)),""))</f>
      </c>
    </row>
    <row r="11" spans="1:22" x14ac:dyDescent="0.25">
      <c r="A11" s="7">
        <f>IF($C11="","",COUNTIF($C$4:$C11,"&lt;&gt;"))</f>
      </c>
      <c r="B11" s="8"/>
      <c r="C11" s="8"/>
      <c r="D11" s="8"/>
      <c r="E11" s="7">
        <f>IF($C11="","",IF(AND(LEN(TRIM(UPPER(D11)))=10,CODE(MID(TRIM(UPPER(D11)),1,1))&gt;=65,CODE(MID(TRIM(UPPER(D11)),1,1))&lt;=90,CODE(MID(TRIM(UPPER(D11)),2,1))&gt;=65,CODE(MID(TRIM(UPPER(D11)),2,1))&lt;=90,CODE(MID(TRIM(UPPER(D11)),3,1))&gt;=65,CODE(MID(TRIM(UPPER(D11)),3,1))&lt;=90,CODE(MID(TRIM(UPPER(D11)),4,1))&gt;=65,CODE(MID(TRIM(UPPER(D11)),4,1))&lt;=90,CODE(MID(TRIM(UPPER(D11)),5,1))&gt;=65,CODE(MID(TRIM(UPPER(D11)),5,1))&lt;=90,CODE(MID(TRIM(UPPER(D11)),10,1))&gt;=65,CODE(MID(TRIM(UPPER(D11)),10,1))&lt;=90,CODE(MID(TRIM(UPPER(D11)),6,1))&gt;=48,CODE(MID(TRIM(UPPER(D11)),6,1))&lt;=57,CODE(MID(TRIM(UPPER(D11)),7,1))&gt;=48,CODE(MID(TRIM(UPPER(D11)),7,1))&lt;=57,CODE(MID(TRIM(UPPER(D11)),8,1))&gt;=48,CODE(MID(TRIM(UPPER(D11)),8,1))&lt;=57,CODE(MID(TRIM(UPPER(D11)),9,1))&gt;=48,CODE(MID(TRIM(UPPER(D11)),9,1))&lt;=57),"N","Y"))</f>
      </c>
      <c r="F11" s="7">
        <f>IF($C11="","",IF(LEN(D11)&lt;4,"",IF(UPPER(MID(D11,4,1))="P","Individual",IF(UPPER(MID(D11,4,1))="H","HUF",IF(UPPER(MID(D11,4,1))="C","Company",IF(UPPER(MID(D11,4,1))="F","Firm",IF(UPPER(MID(D11,4,1))="L","LLP",IF(UPPER(MID(D11,4,1))="T","Trust",IF(UPPER(MID(D11,4,1))="A","AOP","")))))))))</f>
      </c>
      <c r="G11" s="8"/>
      <c r="H11" s="7">
        <f>IF($C11="","",IF(R11&lt;&gt;"",R11,IF(G11="","",IF(E11="Y",SUMPRODUCT(('Rate Lookup'!$A$1:$A$37=G11)*'Rate Lookup'!$D$1:$D$37),IF(OR(F11="Individual",F11="HUF"),SUMPRODUCT(('Rate Lookup'!$A$1:$A$37=G11)*'Rate Lookup'!$B$1:$B$37),SUMPRODUCT(('Rate Lookup'!$A$1:$A$37=G11)*'Rate Lookup'!$C$1:$C$37)))))))</f>
      </c>
      <c r="I11" s="8"/>
      <c r="J11" s="8"/>
      <c r="K11" s="7">
        <f>IF($C11="","",IF(OR(P11="B",P11="D",P11="E",P11="N",P11="O",P11="P",P11="Q",P11="S",P11="Y",P11="Z"),0,ROUND(J11*H11/100,0)))</f>
      </c>
      <c r="L11" s="7">
        <f>IF($C11="","",0)</f>
      </c>
      <c r="M11" s="7">
        <f>IF($C11="","",0)</f>
      </c>
      <c r="N11" s="7">
        <f>IF($C11="","",IF(OR(K11=0,I11="",IFERROR(INDEX('Challan Master'!$D$4:$D$207,MATCH($B11,'Challan Master'!$S$4:$S$207,0)),"")="",IFERROR(INDEX('Challan Master'!$D$4:$D$207,MATCH($B11,'Challan Master'!$S$4:$S$207,0)),"")&lt;=0),0,IF(IFERROR(INDEX('Challan Master'!$D$4:$D$207,MATCH($B11,'Challan Master'!$S$4:$S$207,0)),"")&lt;=DATE(YEAR(I11),MONTH(I11)+1,7),0,ROUND(K11*0.015*((YEAR(IFERROR(INDEX('Challan Master'!$D$4:$D$207,MATCH($B11,'Challan Master'!$S$4:$S$207,0)),""))-YEAR(I11))*12+(MONTH(IFERROR(INDEX('Challan Master'!$D$4:$D$207,MATCH($B11,'Challan Master'!$S$4:$S$207,0)),""))-MONTH(I11))+1),0))))</f>
      </c>
      <c r="O11" s="7">
        <f>IF($C11="","",0)</f>
      </c>
      <c r="P11" s="8"/>
      <c r="Q11" s="8"/>
      <c r="R11" s="8"/>
      <c r="S11" s="8"/>
      <c r="T11" s="8"/>
      <c r="U11" s="7">
        <f>IF($B11="","",IFERROR(INDEX('Challan Master'!$AA$4:$AA$207,MATCH($B11,'Challan Master'!$S$4:$S$207,0)),""))</f>
      </c>
    </row>
    <row r="12" spans="1:22" x14ac:dyDescent="0.25">
      <c r="A12" s="7">
        <f>IF($C12="","",COUNTIF($C$4:$C12,"&lt;&gt;"))</f>
      </c>
      <c r="B12" s="8"/>
      <c r="C12" s="8"/>
      <c r="D12" s="8"/>
      <c r="E12" s="7">
        <f>IF($C12="","",IF(AND(LEN(TRIM(UPPER(D12)))=10,CODE(MID(TRIM(UPPER(D12)),1,1))&gt;=65,CODE(MID(TRIM(UPPER(D12)),1,1))&lt;=90,CODE(MID(TRIM(UPPER(D12)),2,1))&gt;=65,CODE(MID(TRIM(UPPER(D12)),2,1))&lt;=90,CODE(MID(TRIM(UPPER(D12)),3,1))&gt;=65,CODE(MID(TRIM(UPPER(D12)),3,1))&lt;=90,CODE(MID(TRIM(UPPER(D12)),4,1))&gt;=65,CODE(MID(TRIM(UPPER(D12)),4,1))&lt;=90,CODE(MID(TRIM(UPPER(D12)),5,1))&gt;=65,CODE(MID(TRIM(UPPER(D12)),5,1))&lt;=90,CODE(MID(TRIM(UPPER(D12)),10,1))&gt;=65,CODE(MID(TRIM(UPPER(D12)),10,1))&lt;=90,CODE(MID(TRIM(UPPER(D12)),6,1))&gt;=48,CODE(MID(TRIM(UPPER(D12)),6,1))&lt;=57,CODE(MID(TRIM(UPPER(D12)),7,1))&gt;=48,CODE(MID(TRIM(UPPER(D12)),7,1))&lt;=57,CODE(MID(TRIM(UPPER(D12)),8,1))&gt;=48,CODE(MID(TRIM(UPPER(D12)),8,1))&lt;=57,CODE(MID(TRIM(UPPER(D12)),9,1))&gt;=48,CODE(MID(TRIM(UPPER(D12)),9,1))&lt;=57),"N","Y"))</f>
      </c>
      <c r="F12" s="7">
        <f>IF($C12="","",IF(LEN(D12)&lt;4,"",IF(UPPER(MID(D12,4,1))="P","Individual",IF(UPPER(MID(D12,4,1))="H","HUF",IF(UPPER(MID(D12,4,1))="C","Company",IF(UPPER(MID(D12,4,1))="F","Firm",IF(UPPER(MID(D12,4,1))="L","LLP",IF(UPPER(MID(D12,4,1))="T","Trust",IF(UPPER(MID(D12,4,1))="A","AOP","")))))))))</f>
      </c>
      <c r="G12" s="8"/>
      <c r="H12" s="7">
        <f>IF($C12="","",IF(R12&lt;&gt;"",R12,IF(G12="","",IF(E12="Y",SUMPRODUCT(('Rate Lookup'!$A$1:$A$37=G12)*'Rate Lookup'!$D$1:$D$37),IF(OR(F12="Individual",F12="HUF"),SUMPRODUCT(('Rate Lookup'!$A$1:$A$37=G12)*'Rate Lookup'!$B$1:$B$37),SUMPRODUCT(('Rate Lookup'!$A$1:$A$37=G12)*'Rate Lookup'!$C$1:$C$37)))))))</f>
      </c>
      <c r="I12" s="8"/>
      <c r="J12" s="8"/>
      <c r="K12" s="7">
        <f>IF($C12="","",IF(OR(P12="B",P12="D",P12="E",P12="N",P12="O",P12="P",P12="Q",P12="S",P12="Y",P12="Z"),0,ROUND(J12*H12/100,0)))</f>
      </c>
      <c r="L12" s="7">
        <f>IF($C12="","",0)</f>
      </c>
      <c r="M12" s="7">
        <f>IF($C12="","",0)</f>
      </c>
      <c r="N12" s="7">
        <f>IF($C12="","",IF(OR(K12=0,I12="",IFERROR(INDEX('Challan Master'!$D$4:$D$207,MATCH($B12,'Challan Master'!$S$4:$S$207,0)),"")="",IFERROR(INDEX('Challan Master'!$D$4:$D$207,MATCH($B12,'Challan Master'!$S$4:$S$207,0)),"")&lt;=0),0,IF(IFERROR(INDEX('Challan Master'!$D$4:$D$207,MATCH($B12,'Challan Master'!$S$4:$S$207,0)),"")&lt;=DATE(YEAR(I12),MONTH(I12)+1,7),0,ROUND(K12*0.015*((YEAR(IFERROR(INDEX('Challan Master'!$D$4:$D$207,MATCH($B12,'Challan Master'!$S$4:$S$207,0)),""))-YEAR(I12))*12+(MONTH(IFERROR(INDEX('Challan Master'!$D$4:$D$207,MATCH($B12,'Challan Master'!$S$4:$S$207,0)),""))-MONTH(I12))+1),0))))</f>
      </c>
      <c r="O12" s="7">
        <f>IF($C12="","",0)</f>
      </c>
      <c r="P12" s="8"/>
      <c r="Q12" s="8"/>
      <c r="R12" s="8"/>
      <c r="S12" s="8"/>
      <c r="T12" s="8"/>
      <c r="U12" s="7">
        <f>IF($B12="","",IFERROR(INDEX('Challan Master'!$AA$4:$AA$207,MATCH($B12,'Challan Master'!$S$4:$S$207,0)),""))</f>
      </c>
    </row>
    <row r="13" spans="1:22" x14ac:dyDescent="0.25">
      <c r="A13" s="7">
        <f>IF($C13="","",COUNTIF($C$4:$C13,"&lt;&gt;"))</f>
      </c>
      <c r="B13" s="8"/>
      <c r="C13" s="8"/>
      <c r="D13" s="8"/>
      <c r="E13" s="7">
        <f>IF($C13="","",IF(AND(LEN(TRIM(UPPER(D13)))=10,CODE(MID(TRIM(UPPER(D13)),1,1))&gt;=65,CODE(MID(TRIM(UPPER(D13)),1,1))&lt;=90,CODE(MID(TRIM(UPPER(D13)),2,1))&gt;=65,CODE(MID(TRIM(UPPER(D13)),2,1))&lt;=90,CODE(MID(TRIM(UPPER(D13)),3,1))&gt;=65,CODE(MID(TRIM(UPPER(D13)),3,1))&lt;=90,CODE(MID(TRIM(UPPER(D13)),4,1))&gt;=65,CODE(MID(TRIM(UPPER(D13)),4,1))&lt;=90,CODE(MID(TRIM(UPPER(D13)),5,1))&gt;=65,CODE(MID(TRIM(UPPER(D13)),5,1))&lt;=90,CODE(MID(TRIM(UPPER(D13)),10,1))&gt;=65,CODE(MID(TRIM(UPPER(D13)),10,1))&lt;=90,CODE(MID(TRIM(UPPER(D13)),6,1))&gt;=48,CODE(MID(TRIM(UPPER(D13)),6,1))&lt;=57,CODE(MID(TRIM(UPPER(D13)),7,1))&gt;=48,CODE(MID(TRIM(UPPER(D13)),7,1))&lt;=57,CODE(MID(TRIM(UPPER(D13)),8,1))&gt;=48,CODE(MID(TRIM(UPPER(D13)),8,1))&lt;=57,CODE(MID(TRIM(UPPER(D13)),9,1))&gt;=48,CODE(MID(TRIM(UPPER(D13)),9,1))&lt;=57),"N","Y"))</f>
      </c>
      <c r="F13" s="7">
        <f>IF($C13="","",IF(LEN(D13)&lt;4,"",IF(UPPER(MID(D13,4,1))="P","Individual",IF(UPPER(MID(D13,4,1))="H","HUF",IF(UPPER(MID(D13,4,1))="C","Company",IF(UPPER(MID(D13,4,1))="F","Firm",IF(UPPER(MID(D13,4,1))="L","LLP",IF(UPPER(MID(D13,4,1))="T","Trust",IF(UPPER(MID(D13,4,1))="A","AOP","")))))))))</f>
      </c>
      <c r="G13" s="8"/>
      <c r="H13" s="7">
        <f>IF($C13="","",IF(R13&lt;&gt;"",R13,IF(G13="","",IF(E13="Y",SUMPRODUCT(('Rate Lookup'!$A$1:$A$37=G13)*'Rate Lookup'!$D$1:$D$37),IF(OR(F13="Individual",F13="HUF"),SUMPRODUCT(('Rate Lookup'!$A$1:$A$37=G13)*'Rate Lookup'!$B$1:$B$37),SUMPRODUCT(('Rate Lookup'!$A$1:$A$37=G13)*'Rate Lookup'!$C$1:$C$37)))))))</f>
      </c>
      <c r="I13" s="8"/>
      <c r="J13" s="8"/>
      <c r="K13" s="7">
        <f>IF($C13="","",IF(OR(P13="B",P13="D",P13="E",P13="N",P13="O",P13="P",P13="Q",P13="S",P13="Y",P13="Z"),0,ROUND(J13*H13/100,0)))</f>
      </c>
      <c r="L13" s="7">
        <f>IF($C13="","",0)</f>
      </c>
      <c r="M13" s="7">
        <f>IF($C13="","",0)</f>
      </c>
      <c r="N13" s="7">
        <f>IF($C13="","",IF(OR(K13=0,I13="",IFERROR(INDEX('Challan Master'!$D$4:$D$207,MATCH($B13,'Challan Master'!$S$4:$S$207,0)),"")="",IFERROR(INDEX('Challan Master'!$D$4:$D$207,MATCH($B13,'Challan Master'!$S$4:$S$207,0)),"")&lt;=0),0,IF(IFERROR(INDEX('Challan Master'!$D$4:$D$207,MATCH($B13,'Challan Master'!$S$4:$S$207,0)),"")&lt;=DATE(YEAR(I13),MONTH(I13)+1,7),0,ROUND(K13*0.015*((YEAR(IFERROR(INDEX('Challan Master'!$D$4:$D$207,MATCH($B13,'Challan Master'!$S$4:$S$207,0)),""))-YEAR(I13))*12+(MONTH(IFERROR(INDEX('Challan Master'!$D$4:$D$207,MATCH($B13,'Challan Master'!$S$4:$S$207,0)),""))-MONTH(I13))+1),0))))</f>
      </c>
      <c r="O13" s="7">
        <f>IF($C13="","",0)</f>
      </c>
      <c r="P13" s="8"/>
      <c r="Q13" s="8"/>
      <c r="R13" s="8"/>
      <c r="S13" s="8"/>
      <c r="T13" s="8"/>
      <c r="U13" s="7">
        <f>IF($B13="","",IFERROR(INDEX('Challan Master'!$AA$4:$AA$207,MATCH($B13,'Challan Master'!$S$4:$S$207,0)),""))</f>
      </c>
    </row>
    <row r="14" spans="1:22" x14ac:dyDescent="0.25">
      <c r="A14" s="7">
        <f>IF($C14="","",COUNTIF($C$4:$C14,"&lt;&gt;"))</f>
      </c>
      <c r="B14" s="8"/>
      <c r="C14" s="8"/>
      <c r="D14" s="8"/>
      <c r="E14" s="7">
        <f>IF($C14="","",IF(AND(LEN(TRIM(UPPER(D14)))=10,CODE(MID(TRIM(UPPER(D14)),1,1))&gt;=65,CODE(MID(TRIM(UPPER(D14)),1,1))&lt;=90,CODE(MID(TRIM(UPPER(D14)),2,1))&gt;=65,CODE(MID(TRIM(UPPER(D14)),2,1))&lt;=90,CODE(MID(TRIM(UPPER(D14)),3,1))&gt;=65,CODE(MID(TRIM(UPPER(D14)),3,1))&lt;=90,CODE(MID(TRIM(UPPER(D14)),4,1))&gt;=65,CODE(MID(TRIM(UPPER(D14)),4,1))&lt;=90,CODE(MID(TRIM(UPPER(D14)),5,1))&gt;=65,CODE(MID(TRIM(UPPER(D14)),5,1))&lt;=90,CODE(MID(TRIM(UPPER(D14)),10,1))&gt;=65,CODE(MID(TRIM(UPPER(D14)),10,1))&lt;=90,CODE(MID(TRIM(UPPER(D14)),6,1))&gt;=48,CODE(MID(TRIM(UPPER(D14)),6,1))&lt;=57,CODE(MID(TRIM(UPPER(D14)),7,1))&gt;=48,CODE(MID(TRIM(UPPER(D14)),7,1))&lt;=57,CODE(MID(TRIM(UPPER(D14)),8,1))&gt;=48,CODE(MID(TRIM(UPPER(D14)),8,1))&lt;=57,CODE(MID(TRIM(UPPER(D14)),9,1))&gt;=48,CODE(MID(TRIM(UPPER(D14)),9,1))&lt;=57),"N","Y"))</f>
      </c>
      <c r="F14" s="7">
        <f>IF($C14="","",IF(LEN(D14)&lt;4,"",IF(UPPER(MID(D14,4,1))="P","Individual",IF(UPPER(MID(D14,4,1))="H","HUF",IF(UPPER(MID(D14,4,1))="C","Company",IF(UPPER(MID(D14,4,1))="F","Firm",IF(UPPER(MID(D14,4,1))="L","LLP",IF(UPPER(MID(D14,4,1))="T","Trust",IF(UPPER(MID(D14,4,1))="A","AOP","")))))))))</f>
      </c>
      <c r="G14" s="8"/>
      <c r="H14" s="7">
        <f>IF($C14="","",IF(R14&lt;&gt;"",R14,IF(G14="","",IF(E14="Y",SUMPRODUCT(('Rate Lookup'!$A$1:$A$37=G14)*'Rate Lookup'!$D$1:$D$37),IF(OR(F14="Individual",F14="HUF"),SUMPRODUCT(('Rate Lookup'!$A$1:$A$37=G14)*'Rate Lookup'!$B$1:$B$37),SUMPRODUCT(('Rate Lookup'!$A$1:$A$37=G14)*'Rate Lookup'!$C$1:$C$37)))))))</f>
      </c>
      <c r="I14" s="8"/>
      <c r="J14" s="8"/>
      <c r="K14" s="7">
        <f>IF($C14="","",IF(OR(P14="B",P14="D",P14="E",P14="N",P14="O",P14="P",P14="Q",P14="S",P14="Y",P14="Z"),0,ROUND(J14*H14/100,0)))</f>
      </c>
      <c r="L14" s="7">
        <f>IF($C14="","",0)</f>
      </c>
      <c r="M14" s="7">
        <f>IF($C14="","",0)</f>
      </c>
      <c r="N14" s="7">
        <f>IF($C14="","",IF(OR(K14=0,I14="",IFERROR(INDEX('Challan Master'!$D$4:$D$207,MATCH($B14,'Challan Master'!$S$4:$S$207,0)),"")="",IFERROR(INDEX('Challan Master'!$D$4:$D$207,MATCH($B14,'Challan Master'!$S$4:$S$207,0)),"")&lt;=0),0,IF(IFERROR(INDEX('Challan Master'!$D$4:$D$207,MATCH($B14,'Challan Master'!$S$4:$S$207,0)),"")&lt;=DATE(YEAR(I14),MONTH(I14)+1,7),0,ROUND(K14*0.015*((YEAR(IFERROR(INDEX('Challan Master'!$D$4:$D$207,MATCH($B14,'Challan Master'!$S$4:$S$207,0)),""))-YEAR(I14))*12+(MONTH(IFERROR(INDEX('Challan Master'!$D$4:$D$207,MATCH($B14,'Challan Master'!$S$4:$S$207,0)),""))-MONTH(I14))+1),0))))</f>
      </c>
      <c r="O14" s="7">
        <f>IF($C14="","",0)</f>
      </c>
      <c r="P14" s="8"/>
      <c r="Q14" s="8"/>
      <c r="R14" s="8"/>
      <c r="S14" s="8"/>
      <c r="T14" s="8"/>
      <c r="U14" s="7">
        <f>IF($B14="","",IFERROR(INDEX('Challan Master'!$AA$4:$AA$207,MATCH($B14,'Challan Master'!$S$4:$S$207,0)),""))</f>
      </c>
    </row>
    <row r="15" spans="1:22" x14ac:dyDescent="0.25">
      <c r="A15" s="7">
        <f>IF($C15="","",COUNTIF($C$4:$C15,"&lt;&gt;"))</f>
      </c>
      <c r="B15" s="8"/>
      <c r="C15" s="8"/>
      <c r="D15" s="8"/>
      <c r="E15" s="7">
        <f>IF($C15="","",IF(AND(LEN(TRIM(UPPER(D15)))=10,CODE(MID(TRIM(UPPER(D15)),1,1))&gt;=65,CODE(MID(TRIM(UPPER(D15)),1,1))&lt;=90,CODE(MID(TRIM(UPPER(D15)),2,1))&gt;=65,CODE(MID(TRIM(UPPER(D15)),2,1))&lt;=90,CODE(MID(TRIM(UPPER(D15)),3,1))&gt;=65,CODE(MID(TRIM(UPPER(D15)),3,1))&lt;=90,CODE(MID(TRIM(UPPER(D15)),4,1))&gt;=65,CODE(MID(TRIM(UPPER(D15)),4,1))&lt;=90,CODE(MID(TRIM(UPPER(D15)),5,1))&gt;=65,CODE(MID(TRIM(UPPER(D15)),5,1))&lt;=90,CODE(MID(TRIM(UPPER(D15)),10,1))&gt;=65,CODE(MID(TRIM(UPPER(D15)),10,1))&lt;=90,CODE(MID(TRIM(UPPER(D15)),6,1))&gt;=48,CODE(MID(TRIM(UPPER(D15)),6,1))&lt;=57,CODE(MID(TRIM(UPPER(D15)),7,1))&gt;=48,CODE(MID(TRIM(UPPER(D15)),7,1))&lt;=57,CODE(MID(TRIM(UPPER(D15)),8,1))&gt;=48,CODE(MID(TRIM(UPPER(D15)),8,1))&lt;=57,CODE(MID(TRIM(UPPER(D15)),9,1))&gt;=48,CODE(MID(TRIM(UPPER(D15)),9,1))&lt;=57),"N","Y"))</f>
      </c>
      <c r="F15" s="7">
        <f>IF($C15="","",IF(LEN(D15)&lt;4,"",IF(UPPER(MID(D15,4,1))="P","Individual",IF(UPPER(MID(D15,4,1))="H","HUF",IF(UPPER(MID(D15,4,1))="C","Company",IF(UPPER(MID(D15,4,1))="F","Firm",IF(UPPER(MID(D15,4,1))="L","LLP",IF(UPPER(MID(D15,4,1))="T","Trust",IF(UPPER(MID(D15,4,1))="A","AOP","")))))))))</f>
      </c>
      <c r="G15" s="8"/>
      <c r="H15" s="7">
        <f>IF($C15="","",IF(R15&lt;&gt;"",R15,IF(G15="","",IF(E15="Y",SUMPRODUCT(('Rate Lookup'!$A$1:$A$37=G15)*'Rate Lookup'!$D$1:$D$37),IF(OR(F15="Individual",F15="HUF"),SUMPRODUCT(('Rate Lookup'!$A$1:$A$37=G15)*'Rate Lookup'!$B$1:$B$37),SUMPRODUCT(('Rate Lookup'!$A$1:$A$37=G15)*'Rate Lookup'!$C$1:$C$37)))))))</f>
      </c>
      <c r="I15" s="8"/>
      <c r="J15" s="8"/>
      <c r="K15" s="7">
        <f>IF($C15="","",IF(OR(P15="B",P15="D",P15="E",P15="N",P15="O",P15="P",P15="Q",P15="S",P15="Y",P15="Z"),0,ROUND(J15*H15/100,0)))</f>
      </c>
      <c r="L15" s="7">
        <f>IF($C15="","",0)</f>
      </c>
      <c r="M15" s="7">
        <f>IF($C15="","",0)</f>
      </c>
      <c r="N15" s="7">
        <f>IF($C15="","",IF(OR(K15=0,I15="",IFERROR(INDEX('Challan Master'!$D$4:$D$207,MATCH($B15,'Challan Master'!$S$4:$S$207,0)),"")="",IFERROR(INDEX('Challan Master'!$D$4:$D$207,MATCH($B15,'Challan Master'!$S$4:$S$207,0)),"")&lt;=0),0,IF(IFERROR(INDEX('Challan Master'!$D$4:$D$207,MATCH($B15,'Challan Master'!$S$4:$S$207,0)),"")&lt;=DATE(YEAR(I15),MONTH(I15)+1,7),0,ROUND(K15*0.015*((YEAR(IFERROR(INDEX('Challan Master'!$D$4:$D$207,MATCH($B15,'Challan Master'!$S$4:$S$207,0)),""))-YEAR(I15))*12+(MONTH(IFERROR(INDEX('Challan Master'!$D$4:$D$207,MATCH($B15,'Challan Master'!$S$4:$S$207,0)),""))-MONTH(I15))+1),0))))</f>
      </c>
      <c r="O15" s="7">
        <f>IF($C15="","",0)</f>
      </c>
      <c r="P15" s="8"/>
      <c r="Q15" s="8"/>
      <c r="R15" s="8"/>
      <c r="S15" s="8"/>
      <c r="T15" s="8"/>
      <c r="U15" s="7">
        <f>IF($B15="","",IFERROR(INDEX('Challan Master'!$AA$4:$AA$207,MATCH($B15,'Challan Master'!$S$4:$S$207,0)),""))</f>
      </c>
    </row>
    <row r="16" spans="1:22" x14ac:dyDescent="0.25">
      <c r="A16" s="7">
        <f>IF($C16="","",COUNTIF($C$4:$C16,"&lt;&gt;"))</f>
      </c>
      <c r="B16" s="8"/>
      <c r="C16" s="8"/>
      <c r="D16" s="8"/>
      <c r="E16" s="7">
        <f>IF($C16="","",IF(AND(LEN(TRIM(UPPER(D16)))=10,CODE(MID(TRIM(UPPER(D16)),1,1))&gt;=65,CODE(MID(TRIM(UPPER(D16)),1,1))&lt;=90,CODE(MID(TRIM(UPPER(D16)),2,1))&gt;=65,CODE(MID(TRIM(UPPER(D16)),2,1))&lt;=90,CODE(MID(TRIM(UPPER(D16)),3,1))&gt;=65,CODE(MID(TRIM(UPPER(D16)),3,1))&lt;=90,CODE(MID(TRIM(UPPER(D16)),4,1))&gt;=65,CODE(MID(TRIM(UPPER(D16)),4,1))&lt;=90,CODE(MID(TRIM(UPPER(D16)),5,1))&gt;=65,CODE(MID(TRIM(UPPER(D16)),5,1))&lt;=90,CODE(MID(TRIM(UPPER(D16)),10,1))&gt;=65,CODE(MID(TRIM(UPPER(D16)),10,1))&lt;=90,CODE(MID(TRIM(UPPER(D16)),6,1))&gt;=48,CODE(MID(TRIM(UPPER(D16)),6,1))&lt;=57,CODE(MID(TRIM(UPPER(D16)),7,1))&gt;=48,CODE(MID(TRIM(UPPER(D16)),7,1))&lt;=57,CODE(MID(TRIM(UPPER(D16)),8,1))&gt;=48,CODE(MID(TRIM(UPPER(D16)),8,1))&lt;=57,CODE(MID(TRIM(UPPER(D16)),9,1))&gt;=48,CODE(MID(TRIM(UPPER(D16)),9,1))&lt;=57),"N","Y"))</f>
      </c>
      <c r="F16" s="7">
        <f>IF($C16="","",IF(LEN(D16)&lt;4,"",IF(UPPER(MID(D16,4,1))="P","Individual",IF(UPPER(MID(D16,4,1))="H","HUF",IF(UPPER(MID(D16,4,1))="C","Company",IF(UPPER(MID(D16,4,1))="F","Firm",IF(UPPER(MID(D16,4,1))="L","LLP",IF(UPPER(MID(D16,4,1))="T","Trust",IF(UPPER(MID(D16,4,1))="A","AOP","")))))))))</f>
      </c>
      <c r="G16" s="8"/>
      <c r="H16" s="7">
        <f>IF($C16="","",IF(R16&lt;&gt;"",R16,IF(G16="","",IF(E16="Y",SUMPRODUCT(('Rate Lookup'!$A$1:$A$37=G16)*'Rate Lookup'!$D$1:$D$37),IF(OR(F16="Individual",F16="HUF"),SUMPRODUCT(('Rate Lookup'!$A$1:$A$37=G16)*'Rate Lookup'!$B$1:$B$37),SUMPRODUCT(('Rate Lookup'!$A$1:$A$37=G16)*'Rate Lookup'!$C$1:$C$37)))))))</f>
      </c>
      <c r="I16" s="8"/>
      <c r="J16" s="8"/>
      <c r="K16" s="7">
        <f>IF($C16="","",IF(OR(P16="B",P16="D",P16="E",P16="N",P16="O",P16="P",P16="Q",P16="S",P16="Y",P16="Z"),0,ROUND(J16*H16/100,0)))</f>
      </c>
      <c r="L16" s="7">
        <f>IF($C16="","",0)</f>
      </c>
      <c r="M16" s="7">
        <f>IF($C16="","",0)</f>
      </c>
      <c r="N16" s="7">
        <f>IF($C16="","",IF(OR(K16=0,I16="",IFERROR(INDEX('Challan Master'!$D$4:$D$207,MATCH($B16,'Challan Master'!$S$4:$S$207,0)),"")="",IFERROR(INDEX('Challan Master'!$D$4:$D$207,MATCH($B16,'Challan Master'!$S$4:$S$207,0)),"")&lt;=0),0,IF(IFERROR(INDEX('Challan Master'!$D$4:$D$207,MATCH($B16,'Challan Master'!$S$4:$S$207,0)),"")&lt;=DATE(YEAR(I16),MONTH(I16)+1,7),0,ROUND(K16*0.015*((YEAR(IFERROR(INDEX('Challan Master'!$D$4:$D$207,MATCH($B16,'Challan Master'!$S$4:$S$207,0)),""))-YEAR(I16))*12+(MONTH(IFERROR(INDEX('Challan Master'!$D$4:$D$207,MATCH($B16,'Challan Master'!$S$4:$S$207,0)),""))-MONTH(I16))+1),0))))</f>
      </c>
      <c r="O16" s="7">
        <f>IF($C16="","",0)</f>
      </c>
      <c r="P16" s="8"/>
      <c r="Q16" s="8"/>
      <c r="R16" s="8"/>
      <c r="S16" s="8"/>
      <c r="T16" s="8"/>
      <c r="U16" s="7">
        <f>IF($B16="","",IFERROR(INDEX('Challan Master'!$AA$4:$AA$207,MATCH($B16,'Challan Master'!$S$4:$S$207,0)),""))</f>
      </c>
    </row>
    <row r="17" spans="1:22" x14ac:dyDescent="0.25">
      <c r="A17" s="7">
        <f>IF($C17="","",COUNTIF($C$4:$C17,"&lt;&gt;"))</f>
      </c>
      <c r="B17" s="8"/>
      <c r="C17" s="8"/>
      <c r="D17" s="8"/>
      <c r="E17" s="7">
        <f>IF($C17="","",IF(AND(LEN(TRIM(UPPER(D17)))=10,CODE(MID(TRIM(UPPER(D17)),1,1))&gt;=65,CODE(MID(TRIM(UPPER(D17)),1,1))&lt;=90,CODE(MID(TRIM(UPPER(D17)),2,1))&gt;=65,CODE(MID(TRIM(UPPER(D17)),2,1))&lt;=90,CODE(MID(TRIM(UPPER(D17)),3,1))&gt;=65,CODE(MID(TRIM(UPPER(D17)),3,1))&lt;=90,CODE(MID(TRIM(UPPER(D17)),4,1))&gt;=65,CODE(MID(TRIM(UPPER(D17)),4,1))&lt;=90,CODE(MID(TRIM(UPPER(D17)),5,1))&gt;=65,CODE(MID(TRIM(UPPER(D17)),5,1))&lt;=90,CODE(MID(TRIM(UPPER(D17)),10,1))&gt;=65,CODE(MID(TRIM(UPPER(D17)),10,1))&lt;=90,CODE(MID(TRIM(UPPER(D17)),6,1))&gt;=48,CODE(MID(TRIM(UPPER(D17)),6,1))&lt;=57,CODE(MID(TRIM(UPPER(D17)),7,1))&gt;=48,CODE(MID(TRIM(UPPER(D17)),7,1))&lt;=57,CODE(MID(TRIM(UPPER(D17)),8,1))&gt;=48,CODE(MID(TRIM(UPPER(D17)),8,1))&lt;=57,CODE(MID(TRIM(UPPER(D17)),9,1))&gt;=48,CODE(MID(TRIM(UPPER(D17)),9,1))&lt;=57),"N","Y"))</f>
      </c>
      <c r="F17" s="7">
        <f>IF($C17="","",IF(LEN(D17)&lt;4,"",IF(UPPER(MID(D17,4,1))="P","Individual",IF(UPPER(MID(D17,4,1))="H","HUF",IF(UPPER(MID(D17,4,1))="C","Company",IF(UPPER(MID(D17,4,1))="F","Firm",IF(UPPER(MID(D17,4,1))="L","LLP",IF(UPPER(MID(D17,4,1))="T","Trust",IF(UPPER(MID(D17,4,1))="A","AOP","")))))))))</f>
      </c>
      <c r="G17" s="8"/>
      <c r="H17" s="7">
        <f>IF($C17="","",IF(R17&lt;&gt;"",R17,IF(G17="","",IF(E17="Y",SUMPRODUCT(('Rate Lookup'!$A$1:$A$37=G17)*'Rate Lookup'!$D$1:$D$37),IF(OR(F17="Individual",F17="HUF"),SUMPRODUCT(('Rate Lookup'!$A$1:$A$37=G17)*'Rate Lookup'!$B$1:$B$37),SUMPRODUCT(('Rate Lookup'!$A$1:$A$37=G17)*'Rate Lookup'!$C$1:$C$37)))))))</f>
      </c>
      <c r="I17" s="8"/>
      <c r="J17" s="8"/>
      <c r="K17" s="7">
        <f>IF($C17="","",IF(OR(P17="B",P17="D",P17="E",P17="N",P17="O",P17="P",P17="Q",P17="S",P17="Y",P17="Z"),0,ROUND(J17*H17/100,0)))</f>
      </c>
      <c r="L17" s="7">
        <f>IF($C17="","",0)</f>
      </c>
      <c r="M17" s="7">
        <f>IF($C17="","",0)</f>
      </c>
      <c r="N17" s="7">
        <f>IF($C17="","",IF(OR(K17=0,I17="",IFERROR(INDEX('Challan Master'!$D$4:$D$207,MATCH($B17,'Challan Master'!$S$4:$S$207,0)),"")="",IFERROR(INDEX('Challan Master'!$D$4:$D$207,MATCH($B17,'Challan Master'!$S$4:$S$207,0)),"")&lt;=0),0,IF(IFERROR(INDEX('Challan Master'!$D$4:$D$207,MATCH($B17,'Challan Master'!$S$4:$S$207,0)),"")&lt;=DATE(YEAR(I17),MONTH(I17)+1,7),0,ROUND(K17*0.015*((YEAR(IFERROR(INDEX('Challan Master'!$D$4:$D$207,MATCH($B17,'Challan Master'!$S$4:$S$207,0)),""))-YEAR(I17))*12+(MONTH(IFERROR(INDEX('Challan Master'!$D$4:$D$207,MATCH($B17,'Challan Master'!$S$4:$S$207,0)),""))-MONTH(I17))+1),0))))</f>
      </c>
      <c r="O17" s="7">
        <f>IF($C17="","",0)</f>
      </c>
      <c r="P17" s="8"/>
      <c r="Q17" s="8"/>
      <c r="R17" s="8"/>
      <c r="S17" s="8"/>
      <c r="T17" s="8"/>
      <c r="U17" s="7">
        <f>IF($B17="","",IFERROR(INDEX('Challan Master'!$AA$4:$AA$207,MATCH($B17,'Challan Master'!$S$4:$S$207,0)),""))</f>
      </c>
    </row>
    <row r="18" spans="1:22" x14ac:dyDescent="0.25">
      <c r="A18" s="7">
        <f>IF($C18="","",COUNTIF($C$4:$C18,"&lt;&gt;"))</f>
      </c>
      <c r="B18" s="8"/>
      <c r="C18" s="8"/>
      <c r="D18" s="8"/>
      <c r="E18" s="7">
        <f>IF($C18="","",IF(AND(LEN(TRIM(UPPER(D18)))=10,CODE(MID(TRIM(UPPER(D18)),1,1))&gt;=65,CODE(MID(TRIM(UPPER(D18)),1,1))&lt;=90,CODE(MID(TRIM(UPPER(D18)),2,1))&gt;=65,CODE(MID(TRIM(UPPER(D18)),2,1))&lt;=90,CODE(MID(TRIM(UPPER(D18)),3,1))&gt;=65,CODE(MID(TRIM(UPPER(D18)),3,1))&lt;=90,CODE(MID(TRIM(UPPER(D18)),4,1))&gt;=65,CODE(MID(TRIM(UPPER(D18)),4,1))&lt;=90,CODE(MID(TRIM(UPPER(D18)),5,1))&gt;=65,CODE(MID(TRIM(UPPER(D18)),5,1))&lt;=90,CODE(MID(TRIM(UPPER(D18)),10,1))&gt;=65,CODE(MID(TRIM(UPPER(D18)),10,1))&lt;=90,CODE(MID(TRIM(UPPER(D18)),6,1))&gt;=48,CODE(MID(TRIM(UPPER(D18)),6,1))&lt;=57,CODE(MID(TRIM(UPPER(D18)),7,1))&gt;=48,CODE(MID(TRIM(UPPER(D18)),7,1))&lt;=57,CODE(MID(TRIM(UPPER(D18)),8,1))&gt;=48,CODE(MID(TRIM(UPPER(D18)),8,1))&lt;=57,CODE(MID(TRIM(UPPER(D18)),9,1))&gt;=48,CODE(MID(TRIM(UPPER(D18)),9,1))&lt;=57),"N","Y"))</f>
      </c>
      <c r="F18" s="7">
        <f>IF($C18="","",IF(LEN(D18)&lt;4,"",IF(UPPER(MID(D18,4,1))="P","Individual",IF(UPPER(MID(D18,4,1))="H","HUF",IF(UPPER(MID(D18,4,1))="C","Company",IF(UPPER(MID(D18,4,1))="F","Firm",IF(UPPER(MID(D18,4,1))="L","LLP",IF(UPPER(MID(D18,4,1))="T","Trust",IF(UPPER(MID(D18,4,1))="A","AOP","")))))))))</f>
      </c>
      <c r="G18" s="8"/>
      <c r="H18" s="7">
        <f>IF($C18="","",IF(R18&lt;&gt;"",R18,IF(G18="","",IF(E18="Y",SUMPRODUCT(('Rate Lookup'!$A$1:$A$37=G18)*'Rate Lookup'!$D$1:$D$37),IF(OR(F18="Individual",F18="HUF"),SUMPRODUCT(('Rate Lookup'!$A$1:$A$37=G18)*'Rate Lookup'!$B$1:$B$37),SUMPRODUCT(('Rate Lookup'!$A$1:$A$37=G18)*'Rate Lookup'!$C$1:$C$37)))))))</f>
      </c>
      <c r="I18" s="8"/>
      <c r="J18" s="8"/>
      <c r="K18" s="7">
        <f>IF($C18="","",IF(OR(P18="B",P18="D",P18="E",P18="N",P18="O",P18="P",P18="Q",P18="S",P18="Y",P18="Z"),0,ROUND(J18*H18/100,0)))</f>
      </c>
      <c r="L18" s="7">
        <f>IF($C18="","",0)</f>
      </c>
      <c r="M18" s="7">
        <f>IF($C18="","",0)</f>
      </c>
      <c r="N18" s="7">
        <f>IF($C18="","",IF(OR(K18=0,I18="",IFERROR(INDEX('Challan Master'!$D$4:$D$207,MATCH($B18,'Challan Master'!$S$4:$S$207,0)),"")="",IFERROR(INDEX('Challan Master'!$D$4:$D$207,MATCH($B18,'Challan Master'!$S$4:$S$207,0)),"")&lt;=0),0,IF(IFERROR(INDEX('Challan Master'!$D$4:$D$207,MATCH($B18,'Challan Master'!$S$4:$S$207,0)),"")&lt;=DATE(YEAR(I18),MONTH(I18)+1,7),0,ROUND(K18*0.015*((YEAR(IFERROR(INDEX('Challan Master'!$D$4:$D$207,MATCH($B18,'Challan Master'!$S$4:$S$207,0)),""))-YEAR(I18))*12+(MONTH(IFERROR(INDEX('Challan Master'!$D$4:$D$207,MATCH($B18,'Challan Master'!$S$4:$S$207,0)),""))-MONTH(I18))+1),0))))</f>
      </c>
      <c r="O18" s="7">
        <f>IF($C18="","",0)</f>
      </c>
      <c r="P18" s="8"/>
      <c r="Q18" s="8"/>
      <c r="R18" s="8"/>
      <c r="S18" s="8"/>
      <c r="T18" s="8"/>
      <c r="U18" s="7">
        <f>IF($B18="","",IFERROR(INDEX('Challan Master'!$AA$4:$AA$207,MATCH($B18,'Challan Master'!$S$4:$S$207,0)),""))</f>
      </c>
    </row>
    <row r="19" spans="1:22" x14ac:dyDescent="0.25">
      <c r="A19" s="7">
        <f>IF($C19="","",COUNTIF($C$4:$C19,"&lt;&gt;"))</f>
      </c>
      <c r="B19" s="8"/>
      <c r="C19" s="8"/>
      <c r="D19" s="8"/>
      <c r="E19" s="7">
        <f>IF($C19="","",IF(AND(LEN(TRIM(UPPER(D19)))=10,CODE(MID(TRIM(UPPER(D19)),1,1))&gt;=65,CODE(MID(TRIM(UPPER(D19)),1,1))&lt;=90,CODE(MID(TRIM(UPPER(D19)),2,1))&gt;=65,CODE(MID(TRIM(UPPER(D19)),2,1))&lt;=90,CODE(MID(TRIM(UPPER(D19)),3,1))&gt;=65,CODE(MID(TRIM(UPPER(D19)),3,1))&lt;=90,CODE(MID(TRIM(UPPER(D19)),4,1))&gt;=65,CODE(MID(TRIM(UPPER(D19)),4,1))&lt;=90,CODE(MID(TRIM(UPPER(D19)),5,1))&gt;=65,CODE(MID(TRIM(UPPER(D19)),5,1))&lt;=90,CODE(MID(TRIM(UPPER(D19)),10,1))&gt;=65,CODE(MID(TRIM(UPPER(D19)),10,1))&lt;=90,CODE(MID(TRIM(UPPER(D19)),6,1))&gt;=48,CODE(MID(TRIM(UPPER(D19)),6,1))&lt;=57,CODE(MID(TRIM(UPPER(D19)),7,1))&gt;=48,CODE(MID(TRIM(UPPER(D19)),7,1))&lt;=57,CODE(MID(TRIM(UPPER(D19)),8,1))&gt;=48,CODE(MID(TRIM(UPPER(D19)),8,1))&lt;=57,CODE(MID(TRIM(UPPER(D19)),9,1))&gt;=48,CODE(MID(TRIM(UPPER(D19)),9,1))&lt;=57),"N","Y"))</f>
      </c>
      <c r="F19" s="7">
        <f>IF($C19="","",IF(LEN(D19)&lt;4,"",IF(UPPER(MID(D19,4,1))="P","Individual",IF(UPPER(MID(D19,4,1))="H","HUF",IF(UPPER(MID(D19,4,1))="C","Company",IF(UPPER(MID(D19,4,1))="F","Firm",IF(UPPER(MID(D19,4,1))="L","LLP",IF(UPPER(MID(D19,4,1))="T","Trust",IF(UPPER(MID(D19,4,1))="A","AOP","")))))))))</f>
      </c>
      <c r="G19" s="8"/>
      <c r="H19" s="7">
        <f>IF($C19="","",IF(R19&lt;&gt;"",R19,IF(G19="","",IF(E19="Y",SUMPRODUCT(('Rate Lookup'!$A$1:$A$37=G19)*'Rate Lookup'!$D$1:$D$37),IF(OR(F19="Individual",F19="HUF"),SUMPRODUCT(('Rate Lookup'!$A$1:$A$37=G19)*'Rate Lookup'!$B$1:$B$37),SUMPRODUCT(('Rate Lookup'!$A$1:$A$37=G19)*'Rate Lookup'!$C$1:$C$37)))))))</f>
      </c>
      <c r="I19" s="8"/>
      <c r="J19" s="8"/>
      <c r="K19" s="7">
        <f>IF($C19="","",IF(OR(P19="B",P19="D",P19="E",P19="N",P19="O",P19="P",P19="Q",P19="S",P19="Y",P19="Z"),0,ROUND(J19*H19/100,0)))</f>
      </c>
      <c r="L19" s="7">
        <f>IF($C19="","",0)</f>
      </c>
      <c r="M19" s="7">
        <f>IF($C19="","",0)</f>
      </c>
      <c r="N19" s="7">
        <f>IF($C19="","",IF(OR(K19=0,I19="",IFERROR(INDEX('Challan Master'!$D$4:$D$207,MATCH($B19,'Challan Master'!$S$4:$S$207,0)),"")="",IFERROR(INDEX('Challan Master'!$D$4:$D$207,MATCH($B19,'Challan Master'!$S$4:$S$207,0)),"")&lt;=0),0,IF(IFERROR(INDEX('Challan Master'!$D$4:$D$207,MATCH($B19,'Challan Master'!$S$4:$S$207,0)),"")&lt;=DATE(YEAR(I19),MONTH(I19)+1,7),0,ROUND(K19*0.015*((YEAR(IFERROR(INDEX('Challan Master'!$D$4:$D$207,MATCH($B19,'Challan Master'!$S$4:$S$207,0)),""))-YEAR(I19))*12+(MONTH(IFERROR(INDEX('Challan Master'!$D$4:$D$207,MATCH($B19,'Challan Master'!$S$4:$S$207,0)),""))-MONTH(I19))+1),0))))</f>
      </c>
      <c r="O19" s="7">
        <f>IF($C19="","",0)</f>
      </c>
      <c r="P19" s="8"/>
      <c r="Q19" s="8"/>
      <c r="R19" s="8"/>
      <c r="S19" s="8"/>
      <c r="T19" s="8"/>
      <c r="U19" s="7">
        <f>IF($B19="","",IFERROR(INDEX('Challan Master'!$AA$4:$AA$207,MATCH($B19,'Challan Master'!$S$4:$S$207,0)),""))</f>
      </c>
    </row>
    <row r="20" spans="1:22" x14ac:dyDescent="0.25">
      <c r="A20" s="7">
        <f>IF($C20="","",COUNTIF($C$4:$C20,"&lt;&gt;"))</f>
      </c>
      <c r="B20" s="8"/>
      <c r="C20" s="8"/>
      <c r="D20" s="8"/>
      <c r="E20" s="7">
        <f>IF($C20="","",IF(AND(LEN(TRIM(UPPER(D20)))=10,CODE(MID(TRIM(UPPER(D20)),1,1))&gt;=65,CODE(MID(TRIM(UPPER(D20)),1,1))&lt;=90,CODE(MID(TRIM(UPPER(D20)),2,1))&gt;=65,CODE(MID(TRIM(UPPER(D20)),2,1))&lt;=90,CODE(MID(TRIM(UPPER(D20)),3,1))&gt;=65,CODE(MID(TRIM(UPPER(D20)),3,1))&lt;=90,CODE(MID(TRIM(UPPER(D20)),4,1))&gt;=65,CODE(MID(TRIM(UPPER(D20)),4,1))&lt;=90,CODE(MID(TRIM(UPPER(D20)),5,1))&gt;=65,CODE(MID(TRIM(UPPER(D20)),5,1))&lt;=90,CODE(MID(TRIM(UPPER(D20)),10,1))&gt;=65,CODE(MID(TRIM(UPPER(D20)),10,1))&lt;=90,CODE(MID(TRIM(UPPER(D20)),6,1))&gt;=48,CODE(MID(TRIM(UPPER(D20)),6,1))&lt;=57,CODE(MID(TRIM(UPPER(D20)),7,1))&gt;=48,CODE(MID(TRIM(UPPER(D20)),7,1))&lt;=57,CODE(MID(TRIM(UPPER(D20)),8,1))&gt;=48,CODE(MID(TRIM(UPPER(D20)),8,1))&lt;=57,CODE(MID(TRIM(UPPER(D20)),9,1))&gt;=48,CODE(MID(TRIM(UPPER(D20)),9,1))&lt;=57),"N","Y"))</f>
      </c>
      <c r="F20" s="7">
        <f>IF($C20="","",IF(LEN(D20)&lt;4,"",IF(UPPER(MID(D20,4,1))="P","Individual",IF(UPPER(MID(D20,4,1))="H","HUF",IF(UPPER(MID(D20,4,1))="C","Company",IF(UPPER(MID(D20,4,1))="F","Firm",IF(UPPER(MID(D20,4,1))="L","LLP",IF(UPPER(MID(D20,4,1))="T","Trust",IF(UPPER(MID(D20,4,1))="A","AOP","")))))))))</f>
      </c>
      <c r="G20" s="8"/>
      <c r="H20" s="7">
        <f>IF($C20="","",IF(R20&lt;&gt;"",R20,IF(G20="","",IF(E20="Y",SUMPRODUCT(('Rate Lookup'!$A$1:$A$37=G20)*'Rate Lookup'!$D$1:$D$37),IF(OR(F20="Individual",F20="HUF"),SUMPRODUCT(('Rate Lookup'!$A$1:$A$37=G20)*'Rate Lookup'!$B$1:$B$37),SUMPRODUCT(('Rate Lookup'!$A$1:$A$37=G20)*'Rate Lookup'!$C$1:$C$37)))))))</f>
      </c>
      <c r="I20" s="8"/>
      <c r="J20" s="8"/>
      <c r="K20" s="7">
        <f>IF($C20="","",IF(OR(P20="B",P20="D",P20="E",P20="N",P20="O",P20="P",P20="Q",P20="S",P20="Y",P20="Z"),0,ROUND(J20*H20/100,0)))</f>
      </c>
      <c r="L20" s="7">
        <f>IF($C20="","",0)</f>
      </c>
      <c r="M20" s="7">
        <f>IF($C20="","",0)</f>
      </c>
      <c r="N20" s="7">
        <f>IF($C20="","",IF(OR(K20=0,I20="",IFERROR(INDEX('Challan Master'!$D$4:$D$207,MATCH($B20,'Challan Master'!$S$4:$S$207,0)),"")="",IFERROR(INDEX('Challan Master'!$D$4:$D$207,MATCH($B20,'Challan Master'!$S$4:$S$207,0)),"")&lt;=0),0,IF(IFERROR(INDEX('Challan Master'!$D$4:$D$207,MATCH($B20,'Challan Master'!$S$4:$S$207,0)),"")&lt;=DATE(YEAR(I20),MONTH(I20)+1,7),0,ROUND(K20*0.015*((YEAR(IFERROR(INDEX('Challan Master'!$D$4:$D$207,MATCH($B20,'Challan Master'!$S$4:$S$207,0)),""))-YEAR(I20))*12+(MONTH(IFERROR(INDEX('Challan Master'!$D$4:$D$207,MATCH($B20,'Challan Master'!$S$4:$S$207,0)),""))-MONTH(I20))+1),0))))</f>
      </c>
      <c r="O20" s="7">
        <f>IF($C20="","",0)</f>
      </c>
      <c r="P20" s="8"/>
      <c r="Q20" s="8"/>
      <c r="R20" s="8"/>
      <c r="S20" s="8"/>
      <c r="T20" s="8"/>
      <c r="U20" s="7">
        <f>IF($B20="","",IFERROR(INDEX('Challan Master'!$AA$4:$AA$207,MATCH($B20,'Challan Master'!$S$4:$S$207,0)),""))</f>
      </c>
    </row>
    <row r="21" spans="1:22" x14ac:dyDescent="0.25">
      <c r="A21" s="7">
        <f>IF($C21="","",COUNTIF($C$4:$C21,"&lt;&gt;"))</f>
      </c>
      <c r="B21" s="8"/>
      <c r="C21" s="8"/>
      <c r="D21" s="8"/>
      <c r="E21" s="7">
        <f>IF($C21="","",IF(AND(LEN(TRIM(UPPER(D21)))=10,CODE(MID(TRIM(UPPER(D21)),1,1))&gt;=65,CODE(MID(TRIM(UPPER(D21)),1,1))&lt;=90,CODE(MID(TRIM(UPPER(D21)),2,1))&gt;=65,CODE(MID(TRIM(UPPER(D21)),2,1))&lt;=90,CODE(MID(TRIM(UPPER(D21)),3,1))&gt;=65,CODE(MID(TRIM(UPPER(D21)),3,1))&lt;=90,CODE(MID(TRIM(UPPER(D21)),4,1))&gt;=65,CODE(MID(TRIM(UPPER(D21)),4,1))&lt;=90,CODE(MID(TRIM(UPPER(D21)),5,1))&gt;=65,CODE(MID(TRIM(UPPER(D21)),5,1))&lt;=90,CODE(MID(TRIM(UPPER(D21)),10,1))&gt;=65,CODE(MID(TRIM(UPPER(D21)),10,1))&lt;=90,CODE(MID(TRIM(UPPER(D21)),6,1))&gt;=48,CODE(MID(TRIM(UPPER(D21)),6,1))&lt;=57,CODE(MID(TRIM(UPPER(D21)),7,1))&gt;=48,CODE(MID(TRIM(UPPER(D21)),7,1))&lt;=57,CODE(MID(TRIM(UPPER(D21)),8,1))&gt;=48,CODE(MID(TRIM(UPPER(D21)),8,1))&lt;=57,CODE(MID(TRIM(UPPER(D21)),9,1))&gt;=48,CODE(MID(TRIM(UPPER(D21)),9,1))&lt;=57),"N","Y"))</f>
      </c>
      <c r="F21" s="7">
        <f>IF($C21="","",IF(LEN(D21)&lt;4,"",IF(UPPER(MID(D21,4,1))="P","Individual",IF(UPPER(MID(D21,4,1))="H","HUF",IF(UPPER(MID(D21,4,1))="C","Company",IF(UPPER(MID(D21,4,1))="F","Firm",IF(UPPER(MID(D21,4,1))="L","LLP",IF(UPPER(MID(D21,4,1))="T","Trust",IF(UPPER(MID(D21,4,1))="A","AOP","")))))))))</f>
      </c>
      <c r="G21" s="8"/>
      <c r="H21" s="7">
        <f>IF($C21="","",IF(R21&lt;&gt;"",R21,IF(G21="","",IF(E21="Y",SUMPRODUCT(('Rate Lookup'!$A$1:$A$37=G21)*'Rate Lookup'!$D$1:$D$37),IF(OR(F21="Individual",F21="HUF"),SUMPRODUCT(('Rate Lookup'!$A$1:$A$37=G21)*'Rate Lookup'!$B$1:$B$37),SUMPRODUCT(('Rate Lookup'!$A$1:$A$37=G21)*'Rate Lookup'!$C$1:$C$37)))))))</f>
      </c>
      <c r="I21" s="8"/>
      <c r="J21" s="8"/>
      <c r="K21" s="7">
        <f>IF($C21="","",IF(OR(P21="B",P21="D",P21="E",P21="N",P21="O",P21="P",P21="Q",P21="S",P21="Y",P21="Z"),0,ROUND(J21*H21/100,0)))</f>
      </c>
      <c r="L21" s="7">
        <f>IF($C21="","",0)</f>
      </c>
      <c r="M21" s="7">
        <f>IF($C21="","",0)</f>
      </c>
      <c r="N21" s="7">
        <f>IF($C21="","",IF(OR(K21=0,I21="",IFERROR(INDEX('Challan Master'!$D$4:$D$207,MATCH($B21,'Challan Master'!$S$4:$S$207,0)),"")="",IFERROR(INDEX('Challan Master'!$D$4:$D$207,MATCH($B21,'Challan Master'!$S$4:$S$207,0)),"")&lt;=0),0,IF(IFERROR(INDEX('Challan Master'!$D$4:$D$207,MATCH($B21,'Challan Master'!$S$4:$S$207,0)),"")&lt;=DATE(YEAR(I21),MONTH(I21)+1,7),0,ROUND(K21*0.015*((YEAR(IFERROR(INDEX('Challan Master'!$D$4:$D$207,MATCH($B21,'Challan Master'!$S$4:$S$207,0)),""))-YEAR(I21))*12+(MONTH(IFERROR(INDEX('Challan Master'!$D$4:$D$207,MATCH($B21,'Challan Master'!$S$4:$S$207,0)),""))-MONTH(I21))+1),0))))</f>
      </c>
      <c r="O21" s="7">
        <f>IF($C21="","",0)</f>
      </c>
      <c r="P21" s="8"/>
      <c r="Q21" s="8"/>
      <c r="R21" s="8"/>
      <c r="S21" s="8"/>
      <c r="T21" s="8"/>
      <c r="U21" s="7">
        <f>IF($B21="","",IFERROR(INDEX('Challan Master'!$AA$4:$AA$207,MATCH($B21,'Challan Master'!$S$4:$S$207,0)),""))</f>
      </c>
    </row>
    <row r="22" spans="1:22" x14ac:dyDescent="0.25">
      <c r="A22" s="7">
        <f>IF($C22="","",COUNTIF($C$4:$C22,"&lt;&gt;"))</f>
      </c>
      <c r="B22" s="8"/>
      <c r="C22" s="8"/>
      <c r="D22" s="8"/>
      <c r="E22" s="7">
        <f>IF($C22="","",IF(AND(LEN(TRIM(UPPER(D22)))=10,CODE(MID(TRIM(UPPER(D22)),1,1))&gt;=65,CODE(MID(TRIM(UPPER(D22)),1,1))&lt;=90,CODE(MID(TRIM(UPPER(D22)),2,1))&gt;=65,CODE(MID(TRIM(UPPER(D22)),2,1))&lt;=90,CODE(MID(TRIM(UPPER(D22)),3,1))&gt;=65,CODE(MID(TRIM(UPPER(D22)),3,1))&lt;=90,CODE(MID(TRIM(UPPER(D22)),4,1))&gt;=65,CODE(MID(TRIM(UPPER(D22)),4,1))&lt;=90,CODE(MID(TRIM(UPPER(D22)),5,1))&gt;=65,CODE(MID(TRIM(UPPER(D22)),5,1))&lt;=90,CODE(MID(TRIM(UPPER(D22)),10,1))&gt;=65,CODE(MID(TRIM(UPPER(D22)),10,1))&lt;=90,CODE(MID(TRIM(UPPER(D22)),6,1))&gt;=48,CODE(MID(TRIM(UPPER(D22)),6,1))&lt;=57,CODE(MID(TRIM(UPPER(D22)),7,1))&gt;=48,CODE(MID(TRIM(UPPER(D22)),7,1))&lt;=57,CODE(MID(TRIM(UPPER(D22)),8,1))&gt;=48,CODE(MID(TRIM(UPPER(D22)),8,1))&lt;=57,CODE(MID(TRIM(UPPER(D22)),9,1))&gt;=48,CODE(MID(TRIM(UPPER(D22)),9,1))&lt;=57),"N","Y"))</f>
      </c>
      <c r="F22" s="7">
        <f>IF($C22="","",IF(LEN(D22)&lt;4,"",IF(UPPER(MID(D22,4,1))="P","Individual",IF(UPPER(MID(D22,4,1))="H","HUF",IF(UPPER(MID(D22,4,1))="C","Company",IF(UPPER(MID(D22,4,1))="F","Firm",IF(UPPER(MID(D22,4,1))="L","LLP",IF(UPPER(MID(D22,4,1))="T","Trust",IF(UPPER(MID(D22,4,1))="A","AOP","")))))))))</f>
      </c>
      <c r="G22" s="8"/>
      <c r="H22" s="7">
        <f>IF($C22="","",IF(R22&lt;&gt;"",R22,IF(G22="","",IF(E22="Y",SUMPRODUCT(('Rate Lookup'!$A$1:$A$37=G22)*'Rate Lookup'!$D$1:$D$37),IF(OR(F22="Individual",F22="HUF"),SUMPRODUCT(('Rate Lookup'!$A$1:$A$37=G22)*'Rate Lookup'!$B$1:$B$37),SUMPRODUCT(('Rate Lookup'!$A$1:$A$37=G22)*'Rate Lookup'!$C$1:$C$37)))))))</f>
      </c>
      <c r="I22" s="8"/>
      <c r="J22" s="8"/>
      <c r="K22" s="7">
        <f>IF($C22="","",IF(OR(P22="B",P22="D",P22="E",P22="N",P22="O",P22="P",P22="Q",P22="S",P22="Y",P22="Z"),0,ROUND(J22*H22/100,0)))</f>
      </c>
      <c r="L22" s="7">
        <f>IF($C22="","",0)</f>
      </c>
      <c r="M22" s="7">
        <f>IF($C22="","",0)</f>
      </c>
      <c r="N22" s="7">
        <f>IF($C22="","",IF(OR(K22=0,I22="",IFERROR(INDEX('Challan Master'!$D$4:$D$207,MATCH($B22,'Challan Master'!$S$4:$S$207,0)),"")="",IFERROR(INDEX('Challan Master'!$D$4:$D$207,MATCH($B22,'Challan Master'!$S$4:$S$207,0)),"")&lt;=0),0,IF(IFERROR(INDEX('Challan Master'!$D$4:$D$207,MATCH($B22,'Challan Master'!$S$4:$S$207,0)),"")&lt;=DATE(YEAR(I22),MONTH(I22)+1,7),0,ROUND(K22*0.015*((YEAR(IFERROR(INDEX('Challan Master'!$D$4:$D$207,MATCH($B22,'Challan Master'!$S$4:$S$207,0)),""))-YEAR(I22))*12+(MONTH(IFERROR(INDEX('Challan Master'!$D$4:$D$207,MATCH($B22,'Challan Master'!$S$4:$S$207,0)),""))-MONTH(I22))+1),0))))</f>
      </c>
      <c r="O22" s="7">
        <f>IF($C22="","",0)</f>
      </c>
      <c r="P22" s="8"/>
      <c r="Q22" s="8"/>
      <c r="R22" s="8"/>
      <c r="S22" s="8"/>
      <c r="T22" s="8"/>
      <c r="U22" s="7">
        <f>IF($B22="","",IFERROR(INDEX('Challan Master'!$AA$4:$AA$207,MATCH($B22,'Challan Master'!$S$4:$S$207,0)),""))</f>
      </c>
    </row>
    <row r="23" spans="1:22" x14ac:dyDescent="0.25">
      <c r="A23" s="7">
        <f>IF($C23="","",COUNTIF($C$4:$C23,"&lt;&gt;"))</f>
      </c>
      <c r="B23" s="8"/>
      <c r="C23" s="8"/>
      <c r="D23" s="8"/>
      <c r="E23" s="7">
        <f>IF($C23="","",IF(AND(LEN(TRIM(UPPER(D23)))=10,CODE(MID(TRIM(UPPER(D23)),1,1))&gt;=65,CODE(MID(TRIM(UPPER(D23)),1,1))&lt;=90,CODE(MID(TRIM(UPPER(D23)),2,1))&gt;=65,CODE(MID(TRIM(UPPER(D23)),2,1))&lt;=90,CODE(MID(TRIM(UPPER(D23)),3,1))&gt;=65,CODE(MID(TRIM(UPPER(D23)),3,1))&lt;=90,CODE(MID(TRIM(UPPER(D23)),4,1))&gt;=65,CODE(MID(TRIM(UPPER(D23)),4,1))&lt;=90,CODE(MID(TRIM(UPPER(D23)),5,1))&gt;=65,CODE(MID(TRIM(UPPER(D23)),5,1))&lt;=90,CODE(MID(TRIM(UPPER(D23)),10,1))&gt;=65,CODE(MID(TRIM(UPPER(D23)),10,1))&lt;=90,CODE(MID(TRIM(UPPER(D23)),6,1))&gt;=48,CODE(MID(TRIM(UPPER(D23)),6,1))&lt;=57,CODE(MID(TRIM(UPPER(D23)),7,1))&gt;=48,CODE(MID(TRIM(UPPER(D23)),7,1))&lt;=57,CODE(MID(TRIM(UPPER(D23)),8,1))&gt;=48,CODE(MID(TRIM(UPPER(D23)),8,1))&lt;=57,CODE(MID(TRIM(UPPER(D23)),9,1))&gt;=48,CODE(MID(TRIM(UPPER(D23)),9,1))&lt;=57),"N","Y"))</f>
      </c>
      <c r="F23" s="7">
        <f>IF($C23="","",IF(LEN(D23)&lt;4,"",IF(UPPER(MID(D23,4,1))="P","Individual",IF(UPPER(MID(D23,4,1))="H","HUF",IF(UPPER(MID(D23,4,1))="C","Company",IF(UPPER(MID(D23,4,1))="F","Firm",IF(UPPER(MID(D23,4,1))="L","LLP",IF(UPPER(MID(D23,4,1))="T","Trust",IF(UPPER(MID(D23,4,1))="A","AOP","")))))))))</f>
      </c>
      <c r="G23" s="8"/>
      <c r="H23" s="7">
        <f>IF($C23="","",IF(R23&lt;&gt;"",R23,IF(G23="","",IF(E23="Y",SUMPRODUCT(('Rate Lookup'!$A$1:$A$37=G23)*'Rate Lookup'!$D$1:$D$37),IF(OR(F23="Individual",F23="HUF"),SUMPRODUCT(('Rate Lookup'!$A$1:$A$37=G23)*'Rate Lookup'!$B$1:$B$37),SUMPRODUCT(('Rate Lookup'!$A$1:$A$37=G23)*'Rate Lookup'!$C$1:$C$37)))))))</f>
      </c>
      <c r="I23" s="8"/>
      <c r="J23" s="8"/>
      <c r="K23" s="7">
        <f>IF($C23="","",IF(OR(P23="B",P23="D",P23="E",P23="N",P23="O",P23="P",P23="Q",P23="S",P23="Y",P23="Z"),0,ROUND(J23*H23/100,0)))</f>
      </c>
      <c r="L23" s="7">
        <f>IF($C23="","",0)</f>
      </c>
      <c r="M23" s="7">
        <f>IF($C23="","",0)</f>
      </c>
      <c r="N23" s="7">
        <f>IF($C23="","",IF(OR(K23=0,I23="",IFERROR(INDEX('Challan Master'!$D$4:$D$207,MATCH($B23,'Challan Master'!$S$4:$S$207,0)),"")="",IFERROR(INDEX('Challan Master'!$D$4:$D$207,MATCH($B23,'Challan Master'!$S$4:$S$207,0)),"")&lt;=0),0,IF(IFERROR(INDEX('Challan Master'!$D$4:$D$207,MATCH($B23,'Challan Master'!$S$4:$S$207,0)),"")&lt;=DATE(YEAR(I23),MONTH(I23)+1,7),0,ROUND(K23*0.015*((YEAR(IFERROR(INDEX('Challan Master'!$D$4:$D$207,MATCH($B23,'Challan Master'!$S$4:$S$207,0)),""))-YEAR(I23))*12+(MONTH(IFERROR(INDEX('Challan Master'!$D$4:$D$207,MATCH($B23,'Challan Master'!$S$4:$S$207,0)),""))-MONTH(I23))+1),0))))</f>
      </c>
      <c r="O23" s="7">
        <f>IF($C23="","",0)</f>
      </c>
      <c r="P23" s="8"/>
      <c r="Q23" s="8"/>
      <c r="R23" s="8"/>
      <c r="S23" s="8"/>
      <c r="T23" s="8"/>
      <c r="U23" s="7">
        <f>IF($B23="","",IFERROR(INDEX('Challan Master'!$AA$4:$AA$207,MATCH($B23,'Challan Master'!$S$4:$S$207,0)),""))</f>
      </c>
    </row>
    <row r="24" spans="1:22" x14ac:dyDescent="0.25">
      <c r="A24" s="7">
        <f>IF($C24="","",COUNTIF($C$4:$C24,"&lt;&gt;"))</f>
      </c>
      <c r="B24" s="8"/>
      <c r="C24" s="8"/>
      <c r="D24" s="8"/>
      <c r="E24" s="7">
        <f>IF($C24="","",IF(AND(LEN(TRIM(UPPER(D24)))=10,CODE(MID(TRIM(UPPER(D24)),1,1))&gt;=65,CODE(MID(TRIM(UPPER(D24)),1,1))&lt;=90,CODE(MID(TRIM(UPPER(D24)),2,1))&gt;=65,CODE(MID(TRIM(UPPER(D24)),2,1))&lt;=90,CODE(MID(TRIM(UPPER(D24)),3,1))&gt;=65,CODE(MID(TRIM(UPPER(D24)),3,1))&lt;=90,CODE(MID(TRIM(UPPER(D24)),4,1))&gt;=65,CODE(MID(TRIM(UPPER(D24)),4,1))&lt;=90,CODE(MID(TRIM(UPPER(D24)),5,1))&gt;=65,CODE(MID(TRIM(UPPER(D24)),5,1))&lt;=90,CODE(MID(TRIM(UPPER(D24)),10,1))&gt;=65,CODE(MID(TRIM(UPPER(D24)),10,1))&lt;=90,CODE(MID(TRIM(UPPER(D24)),6,1))&gt;=48,CODE(MID(TRIM(UPPER(D24)),6,1))&lt;=57,CODE(MID(TRIM(UPPER(D24)),7,1))&gt;=48,CODE(MID(TRIM(UPPER(D24)),7,1))&lt;=57,CODE(MID(TRIM(UPPER(D24)),8,1))&gt;=48,CODE(MID(TRIM(UPPER(D24)),8,1))&lt;=57,CODE(MID(TRIM(UPPER(D24)),9,1))&gt;=48,CODE(MID(TRIM(UPPER(D24)),9,1))&lt;=57),"N","Y"))</f>
      </c>
      <c r="F24" s="7">
        <f>IF($C24="","",IF(LEN(D24)&lt;4,"",IF(UPPER(MID(D24,4,1))="P","Individual",IF(UPPER(MID(D24,4,1))="H","HUF",IF(UPPER(MID(D24,4,1))="C","Company",IF(UPPER(MID(D24,4,1))="F","Firm",IF(UPPER(MID(D24,4,1))="L","LLP",IF(UPPER(MID(D24,4,1))="T","Trust",IF(UPPER(MID(D24,4,1))="A","AOP","")))))))))</f>
      </c>
      <c r="G24" s="8"/>
      <c r="H24" s="7">
        <f>IF($C24="","",IF(R24&lt;&gt;"",R24,IF(G24="","",IF(E24="Y",SUMPRODUCT(('Rate Lookup'!$A$1:$A$37=G24)*'Rate Lookup'!$D$1:$D$37),IF(OR(F24="Individual",F24="HUF"),SUMPRODUCT(('Rate Lookup'!$A$1:$A$37=G24)*'Rate Lookup'!$B$1:$B$37),SUMPRODUCT(('Rate Lookup'!$A$1:$A$37=G24)*'Rate Lookup'!$C$1:$C$37)))))))</f>
      </c>
      <c r="I24" s="8"/>
      <c r="J24" s="8"/>
      <c r="K24" s="7">
        <f>IF($C24="","",IF(OR(P24="B",P24="D",P24="E",P24="N",P24="O",P24="P",P24="Q",P24="S",P24="Y",P24="Z"),0,ROUND(J24*H24/100,0)))</f>
      </c>
      <c r="L24" s="7">
        <f>IF($C24="","",0)</f>
      </c>
      <c r="M24" s="7">
        <f>IF($C24="","",0)</f>
      </c>
      <c r="N24" s="7">
        <f>IF($C24="","",IF(OR(K24=0,I24="",IFERROR(INDEX('Challan Master'!$D$4:$D$207,MATCH($B24,'Challan Master'!$S$4:$S$207,0)),"")="",IFERROR(INDEX('Challan Master'!$D$4:$D$207,MATCH($B24,'Challan Master'!$S$4:$S$207,0)),"")&lt;=0),0,IF(IFERROR(INDEX('Challan Master'!$D$4:$D$207,MATCH($B24,'Challan Master'!$S$4:$S$207,0)),"")&lt;=DATE(YEAR(I24),MONTH(I24)+1,7),0,ROUND(K24*0.015*((YEAR(IFERROR(INDEX('Challan Master'!$D$4:$D$207,MATCH($B24,'Challan Master'!$S$4:$S$207,0)),""))-YEAR(I24))*12+(MONTH(IFERROR(INDEX('Challan Master'!$D$4:$D$207,MATCH($B24,'Challan Master'!$S$4:$S$207,0)),""))-MONTH(I24))+1),0))))</f>
      </c>
      <c r="O24" s="7">
        <f>IF($C24="","",0)</f>
      </c>
      <c r="P24" s="8"/>
      <c r="Q24" s="8"/>
      <c r="R24" s="8"/>
      <c r="S24" s="8"/>
      <c r="T24" s="8"/>
      <c r="U24" s="7">
        <f>IF($B24="","",IFERROR(INDEX('Challan Master'!$AA$4:$AA$207,MATCH($B24,'Challan Master'!$S$4:$S$207,0)),""))</f>
      </c>
    </row>
    <row r="25" spans="1:22" x14ac:dyDescent="0.25">
      <c r="A25" s="7">
        <f>IF($C25="","",COUNTIF($C$4:$C25,"&lt;&gt;"))</f>
      </c>
      <c r="B25" s="8"/>
      <c r="C25" s="8"/>
      <c r="D25" s="8"/>
      <c r="E25" s="7">
        <f>IF($C25="","",IF(AND(LEN(TRIM(UPPER(D25)))=10,CODE(MID(TRIM(UPPER(D25)),1,1))&gt;=65,CODE(MID(TRIM(UPPER(D25)),1,1))&lt;=90,CODE(MID(TRIM(UPPER(D25)),2,1))&gt;=65,CODE(MID(TRIM(UPPER(D25)),2,1))&lt;=90,CODE(MID(TRIM(UPPER(D25)),3,1))&gt;=65,CODE(MID(TRIM(UPPER(D25)),3,1))&lt;=90,CODE(MID(TRIM(UPPER(D25)),4,1))&gt;=65,CODE(MID(TRIM(UPPER(D25)),4,1))&lt;=90,CODE(MID(TRIM(UPPER(D25)),5,1))&gt;=65,CODE(MID(TRIM(UPPER(D25)),5,1))&lt;=90,CODE(MID(TRIM(UPPER(D25)),10,1))&gt;=65,CODE(MID(TRIM(UPPER(D25)),10,1))&lt;=90,CODE(MID(TRIM(UPPER(D25)),6,1))&gt;=48,CODE(MID(TRIM(UPPER(D25)),6,1))&lt;=57,CODE(MID(TRIM(UPPER(D25)),7,1))&gt;=48,CODE(MID(TRIM(UPPER(D25)),7,1))&lt;=57,CODE(MID(TRIM(UPPER(D25)),8,1))&gt;=48,CODE(MID(TRIM(UPPER(D25)),8,1))&lt;=57,CODE(MID(TRIM(UPPER(D25)),9,1))&gt;=48,CODE(MID(TRIM(UPPER(D25)),9,1))&lt;=57),"N","Y"))</f>
      </c>
      <c r="F25" s="7">
        <f>IF($C25="","",IF(LEN(D25)&lt;4,"",IF(UPPER(MID(D25,4,1))="P","Individual",IF(UPPER(MID(D25,4,1))="H","HUF",IF(UPPER(MID(D25,4,1))="C","Company",IF(UPPER(MID(D25,4,1))="F","Firm",IF(UPPER(MID(D25,4,1))="L","LLP",IF(UPPER(MID(D25,4,1))="T","Trust",IF(UPPER(MID(D25,4,1))="A","AOP","")))))))))</f>
      </c>
      <c r="G25" s="8"/>
      <c r="H25" s="7">
        <f>IF($C25="","",IF(R25&lt;&gt;"",R25,IF(G25="","",IF(E25="Y",SUMPRODUCT(('Rate Lookup'!$A$1:$A$37=G25)*'Rate Lookup'!$D$1:$D$37),IF(OR(F25="Individual",F25="HUF"),SUMPRODUCT(('Rate Lookup'!$A$1:$A$37=G25)*'Rate Lookup'!$B$1:$B$37),SUMPRODUCT(('Rate Lookup'!$A$1:$A$37=G25)*'Rate Lookup'!$C$1:$C$37)))))))</f>
      </c>
      <c r="I25" s="8"/>
      <c r="J25" s="8"/>
      <c r="K25" s="7">
        <f>IF($C25="","",IF(OR(P25="B",P25="D",P25="E",P25="N",P25="O",P25="P",P25="Q",P25="S",P25="Y",P25="Z"),0,ROUND(J25*H25/100,0)))</f>
      </c>
      <c r="L25" s="7">
        <f>IF($C25="","",0)</f>
      </c>
      <c r="M25" s="7">
        <f>IF($C25="","",0)</f>
      </c>
      <c r="N25" s="7">
        <f>IF($C25="","",IF(OR(K25=0,I25="",IFERROR(INDEX('Challan Master'!$D$4:$D$207,MATCH($B25,'Challan Master'!$S$4:$S$207,0)),"")="",IFERROR(INDEX('Challan Master'!$D$4:$D$207,MATCH($B25,'Challan Master'!$S$4:$S$207,0)),"")&lt;=0),0,IF(IFERROR(INDEX('Challan Master'!$D$4:$D$207,MATCH($B25,'Challan Master'!$S$4:$S$207,0)),"")&lt;=DATE(YEAR(I25),MONTH(I25)+1,7),0,ROUND(K25*0.015*((YEAR(IFERROR(INDEX('Challan Master'!$D$4:$D$207,MATCH($B25,'Challan Master'!$S$4:$S$207,0)),""))-YEAR(I25))*12+(MONTH(IFERROR(INDEX('Challan Master'!$D$4:$D$207,MATCH($B25,'Challan Master'!$S$4:$S$207,0)),""))-MONTH(I25))+1),0))))</f>
      </c>
      <c r="O25" s="7">
        <f>IF($C25="","",0)</f>
      </c>
      <c r="P25" s="8"/>
      <c r="Q25" s="8"/>
      <c r="R25" s="8"/>
      <c r="S25" s="8"/>
      <c r="T25" s="8"/>
      <c r="U25" s="7">
        <f>IF($B25="","",IFERROR(INDEX('Challan Master'!$AA$4:$AA$207,MATCH($B25,'Challan Master'!$S$4:$S$207,0)),""))</f>
      </c>
    </row>
    <row r="26" spans="1:22" x14ac:dyDescent="0.25">
      <c r="A26" s="7">
        <f>IF($C26="","",COUNTIF($C$4:$C26,"&lt;&gt;"))</f>
      </c>
      <c r="B26" s="8"/>
      <c r="C26" s="8"/>
      <c r="D26" s="8"/>
      <c r="E26" s="7">
        <f>IF($C26="","",IF(AND(LEN(TRIM(UPPER(D26)))=10,CODE(MID(TRIM(UPPER(D26)),1,1))&gt;=65,CODE(MID(TRIM(UPPER(D26)),1,1))&lt;=90,CODE(MID(TRIM(UPPER(D26)),2,1))&gt;=65,CODE(MID(TRIM(UPPER(D26)),2,1))&lt;=90,CODE(MID(TRIM(UPPER(D26)),3,1))&gt;=65,CODE(MID(TRIM(UPPER(D26)),3,1))&lt;=90,CODE(MID(TRIM(UPPER(D26)),4,1))&gt;=65,CODE(MID(TRIM(UPPER(D26)),4,1))&lt;=90,CODE(MID(TRIM(UPPER(D26)),5,1))&gt;=65,CODE(MID(TRIM(UPPER(D26)),5,1))&lt;=90,CODE(MID(TRIM(UPPER(D26)),10,1))&gt;=65,CODE(MID(TRIM(UPPER(D26)),10,1))&lt;=90,CODE(MID(TRIM(UPPER(D26)),6,1))&gt;=48,CODE(MID(TRIM(UPPER(D26)),6,1))&lt;=57,CODE(MID(TRIM(UPPER(D26)),7,1))&gt;=48,CODE(MID(TRIM(UPPER(D26)),7,1))&lt;=57,CODE(MID(TRIM(UPPER(D26)),8,1))&gt;=48,CODE(MID(TRIM(UPPER(D26)),8,1))&lt;=57,CODE(MID(TRIM(UPPER(D26)),9,1))&gt;=48,CODE(MID(TRIM(UPPER(D26)),9,1))&lt;=57),"N","Y"))</f>
      </c>
      <c r="F26" s="7">
        <f>IF($C26="","",IF(LEN(D26)&lt;4,"",IF(UPPER(MID(D26,4,1))="P","Individual",IF(UPPER(MID(D26,4,1))="H","HUF",IF(UPPER(MID(D26,4,1))="C","Company",IF(UPPER(MID(D26,4,1))="F","Firm",IF(UPPER(MID(D26,4,1))="L","LLP",IF(UPPER(MID(D26,4,1))="T","Trust",IF(UPPER(MID(D26,4,1))="A","AOP","")))))))))</f>
      </c>
      <c r="G26" s="8"/>
      <c r="H26" s="7">
        <f>IF($C26="","",IF(R26&lt;&gt;"",R26,IF(G26="","",IF(E26="Y",SUMPRODUCT(('Rate Lookup'!$A$1:$A$37=G26)*'Rate Lookup'!$D$1:$D$37),IF(OR(F26="Individual",F26="HUF"),SUMPRODUCT(('Rate Lookup'!$A$1:$A$37=G26)*'Rate Lookup'!$B$1:$B$37),SUMPRODUCT(('Rate Lookup'!$A$1:$A$37=G26)*'Rate Lookup'!$C$1:$C$37)))))))</f>
      </c>
      <c r="I26" s="8"/>
      <c r="J26" s="8"/>
      <c r="K26" s="7">
        <f>IF($C26="","",IF(OR(P26="B",P26="D",P26="E",P26="N",P26="O",P26="P",P26="Q",P26="S",P26="Y",P26="Z"),0,ROUND(J26*H26/100,0)))</f>
      </c>
      <c r="L26" s="7">
        <f>IF($C26="","",0)</f>
      </c>
      <c r="M26" s="7">
        <f>IF($C26="","",0)</f>
      </c>
      <c r="N26" s="7">
        <f>IF($C26="","",IF(OR(K26=0,I26="",IFERROR(INDEX('Challan Master'!$D$4:$D$207,MATCH($B26,'Challan Master'!$S$4:$S$207,0)),"")="",IFERROR(INDEX('Challan Master'!$D$4:$D$207,MATCH($B26,'Challan Master'!$S$4:$S$207,0)),"")&lt;=0),0,IF(IFERROR(INDEX('Challan Master'!$D$4:$D$207,MATCH($B26,'Challan Master'!$S$4:$S$207,0)),"")&lt;=DATE(YEAR(I26),MONTH(I26)+1,7),0,ROUND(K26*0.015*((YEAR(IFERROR(INDEX('Challan Master'!$D$4:$D$207,MATCH($B26,'Challan Master'!$S$4:$S$207,0)),""))-YEAR(I26))*12+(MONTH(IFERROR(INDEX('Challan Master'!$D$4:$D$207,MATCH($B26,'Challan Master'!$S$4:$S$207,0)),""))-MONTH(I26))+1),0))))</f>
      </c>
      <c r="O26" s="7">
        <f>IF($C26="","",0)</f>
      </c>
      <c r="P26" s="8"/>
      <c r="Q26" s="8"/>
      <c r="R26" s="8"/>
      <c r="S26" s="8"/>
      <c r="T26" s="8"/>
      <c r="U26" s="7">
        <f>IF($B26="","",IFERROR(INDEX('Challan Master'!$AA$4:$AA$207,MATCH($B26,'Challan Master'!$S$4:$S$207,0)),""))</f>
      </c>
    </row>
    <row r="27" spans="1:22" x14ac:dyDescent="0.25">
      <c r="A27" s="7">
        <f>IF($C27="","",COUNTIF($C$4:$C27,"&lt;&gt;"))</f>
      </c>
      <c r="B27" s="8"/>
      <c r="C27" s="8"/>
      <c r="D27" s="8"/>
      <c r="E27" s="7">
        <f>IF($C27="","",IF(AND(LEN(TRIM(UPPER(D27)))=10,CODE(MID(TRIM(UPPER(D27)),1,1))&gt;=65,CODE(MID(TRIM(UPPER(D27)),1,1))&lt;=90,CODE(MID(TRIM(UPPER(D27)),2,1))&gt;=65,CODE(MID(TRIM(UPPER(D27)),2,1))&lt;=90,CODE(MID(TRIM(UPPER(D27)),3,1))&gt;=65,CODE(MID(TRIM(UPPER(D27)),3,1))&lt;=90,CODE(MID(TRIM(UPPER(D27)),4,1))&gt;=65,CODE(MID(TRIM(UPPER(D27)),4,1))&lt;=90,CODE(MID(TRIM(UPPER(D27)),5,1))&gt;=65,CODE(MID(TRIM(UPPER(D27)),5,1))&lt;=90,CODE(MID(TRIM(UPPER(D27)),10,1))&gt;=65,CODE(MID(TRIM(UPPER(D27)),10,1))&lt;=90,CODE(MID(TRIM(UPPER(D27)),6,1))&gt;=48,CODE(MID(TRIM(UPPER(D27)),6,1))&lt;=57,CODE(MID(TRIM(UPPER(D27)),7,1))&gt;=48,CODE(MID(TRIM(UPPER(D27)),7,1))&lt;=57,CODE(MID(TRIM(UPPER(D27)),8,1))&gt;=48,CODE(MID(TRIM(UPPER(D27)),8,1))&lt;=57,CODE(MID(TRIM(UPPER(D27)),9,1))&gt;=48,CODE(MID(TRIM(UPPER(D27)),9,1))&lt;=57),"N","Y"))</f>
      </c>
      <c r="F27" s="7">
        <f>IF($C27="","",IF(LEN(D27)&lt;4,"",IF(UPPER(MID(D27,4,1))="P","Individual",IF(UPPER(MID(D27,4,1))="H","HUF",IF(UPPER(MID(D27,4,1))="C","Company",IF(UPPER(MID(D27,4,1))="F","Firm",IF(UPPER(MID(D27,4,1))="L","LLP",IF(UPPER(MID(D27,4,1))="T","Trust",IF(UPPER(MID(D27,4,1))="A","AOP","")))))))))</f>
      </c>
      <c r="G27" s="8"/>
      <c r="H27" s="7">
        <f>IF($C27="","",IF(R27&lt;&gt;"",R27,IF(G27="","",IF(E27="Y",SUMPRODUCT(('Rate Lookup'!$A$1:$A$37=G27)*'Rate Lookup'!$D$1:$D$37),IF(OR(F27="Individual",F27="HUF"),SUMPRODUCT(('Rate Lookup'!$A$1:$A$37=G27)*'Rate Lookup'!$B$1:$B$37),SUMPRODUCT(('Rate Lookup'!$A$1:$A$37=G27)*'Rate Lookup'!$C$1:$C$37)))))))</f>
      </c>
      <c r="I27" s="8"/>
      <c r="J27" s="8"/>
      <c r="K27" s="7">
        <f>IF($C27="","",IF(OR(P27="B",P27="D",P27="E",P27="N",P27="O",P27="P",P27="Q",P27="S",P27="Y",P27="Z"),0,ROUND(J27*H27/100,0)))</f>
      </c>
      <c r="L27" s="7">
        <f>IF($C27="","",0)</f>
      </c>
      <c r="M27" s="7">
        <f>IF($C27="","",0)</f>
      </c>
      <c r="N27" s="7">
        <f>IF($C27="","",IF(OR(K27=0,I27="",IFERROR(INDEX('Challan Master'!$D$4:$D$207,MATCH($B27,'Challan Master'!$S$4:$S$207,0)),"")="",IFERROR(INDEX('Challan Master'!$D$4:$D$207,MATCH($B27,'Challan Master'!$S$4:$S$207,0)),"")&lt;=0),0,IF(IFERROR(INDEX('Challan Master'!$D$4:$D$207,MATCH($B27,'Challan Master'!$S$4:$S$207,0)),"")&lt;=DATE(YEAR(I27),MONTH(I27)+1,7),0,ROUND(K27*0.015*((YEAR(IFERROR(INDEX('Challan Master'!$D$4:$D$207,MATCH($B27,'Challan Master'!$S$4:$S$207,0)),""))-YEAR(I27))*12+(MONTH(IFERROR(INDEX('Challan Master'!$D$4:$D$207,MATCH($B27,'Challan Master'!$S$4:$S$207,0)),""))-MONTH(I27))+1),0))))</f>
      </c>
      <c r="O27" s="7">
        <f>IF($C27="","",0)</f>
      </c>
      <c r="P27" s="8"/>
      <c r="Q27" s="8"/>
      <c r="R27" s="8"/>
      <c r="S27" s="8"/>
      <c r="T27" s="8"/>
      <c r="U27" s="7">
        <f>IF($B27="","",IFERROR(INDEX('Challan Master'!$AA$4:$AA$207,MATCH($B27,'Challan Master'!$S$4:$S$207,0)),""))</f>
      </c>
    </row>
    <row r="28" spans="1:22" x14ac:dyDescent="0.25">
      <c r="A28" s="7">
        <f>IF($C28="","",COUNTIF($C$4:$C28,"&lt;&gt;"))</f>
      </c>
      <c r="B28" s="8"/>
      <c r="C28" s="8"/>
      <c r="D28" s="8"/>
      <c r="E28" s="7">
        <f>IF($C28="","",IF(AND(LEN(TRIM(UPPER(D28)))=10,CODE(MID(TRIM(UPPER(D28)),1,1))&gt;=65,CODE(MID(TRIM(UPPER(D28)),1,1))&lt;=90,CODE(MID(TRIM(UPPER(D28)),2,1))&gt;=65,CODE(MID(TRIM(UPPER(D28)),2,1))&lt;=90,CODE(MID(TRIM(UPPER(D28)),3,1))&gt;=65,CODE(MID(TRIM(UPPER(D28)),3,1))&lt;=90,CODE(MID(TRIM(UPPER(D28)),4,1))&gt;=65,CODE(MID(TRIM(UPPER(D28)),4,1))&lt;=90,CODE(MID(TRIM(UPPER(D28)),5,1))&gt;=65,CODE(MID(TRIM(UPPER(D28)),5,1))&lt;=90,CODE(MID(TRIM(UPPER(D28)),10,1))&gt;=65,CODE(MID(TRIM(UPPER(D28)),10,1))&lt;=90,CODE(MID(TRIM(UPPER(D28)),6,1))&gt;=48,CODE(MID(TRIM(UPPER(D28)),6,1))&lt;=57,CODE(MID(TRIM(UPPER(D28)),7,1))&gt;=48,CODE(MID(TRIM(UPPER(D28)),7,1))&lt;=57,CODE(MID(TRIM(UPPER(D28)),8,1))&gt;=48,CODE(MID(TRIM(UPPER(D28)),8,1))&lt;=57,CODE(MID(TRIM(UPPER(D28)),9,1))&gt;=48,CODE(MID(TRIM(UPPER(D28)),9,1))&lt;=57),"N","Y"))</f>
      </c>
      <c r="F28" s="7">
        <f>IF($C28="","",IF(LEN(D28)&lt;4,"",IF(UPPER(MID(D28,4,1))="P","Individual",IF(UPPER(MID(D28,4,1))="H","HUF",IF(UPPER(MID(D28,4,1))="C","Company",IF(UPPER(MID(D28,4,1))="F","Firm",IF(UPPER(MID(D28,4,1))="L","LLP",IF(UPPER(MID(D28,4,1))="T","Trust",IF(UPPER(MID(D28,4,1))="A","AOP","")))))))))</f>
      </c>
      <c r="G28" s="8"/>
      <c r="H28" s="7">
        <f>IF($C28="","",IF(R28&lt;&gt;"",R28,IF(G28="","",IF(E28="Y",SUMPRODUCT(('Rate Lookup'!$A$1:$A$37=G28)*'Rate Lookup'!$D$1:$D$37),IF(OR(F28="Individual",F28="HUF"),SUMPRODUCT(('Rate Lookup'!$A$1:$A$37=G28)*'Rate Lookup'!$B$1:$B$37),SUMPRODUCT(('Rate Lookup'!$A$1:$A$37=G28)*'Rate Lookup'!$C$1:$C$37)))))))</f>
      </c>
      <c r="I28" s="8"/>
      <c r="J28" s="8"/>
      <c r="K28" s="7">
        <f>IF($C28="","",IF(OR(P28="B",P28="D",P28="E",P28="N",P28="O",P28="P",P28="Q",P28="S",P28="Y",P28="Z"),0,ROUND(J28*H28/100,0)))</f>
      </c>
      <c r="L28" s="7">
        <f>IF($C28="","",0)</f>
      </c>
      <c r="M28" s="7">
        <f>IF($C28="","",0)</f>
      </c>
      <c r="N28" s="7">
        <f>IF($C28="","",IF(OR(K28=0,I28="",IFERROR(INDEX('Challan Master'!$D$4:$D$207,MATCH($B28,'Challan Master'!$S$4:$S$207,0)),"")="",IFERROR(INDEX('Challan Master'!$D$4:$D$207,MATCH($B28,'Challan Master'!$S$4:$S$207,0)),"")&lt;=0),0,IF(IFERROR(INDEX('Challan Master'!$D$4:$D$207,MATCH($B28,'Challan Master'!$S$4:$S$207,0)),"")&lt;=DATE(YEAR(I28),MONTH(I28)+1,7),0,ROUND(K28*0.015*((YEAR(IFERROR(INDEX('Challan Master'!$D$4:$D$207,MATCH($B28,'Challan Master'!$S$4:$S$207,0)),""))-YEAR(I28))*12+(MONTH(IFERROR(INDEX('Challan Master'!$D$4:$D$207,MATCH($B28,'Challan Master'!$S$4:$S$207,0)),""))-MONTH(I28))+1),0))))</f>
      </c>
      <c r="O28" s="7">
        <f>IF($C28="","",0)</f>
      </c>
      <c r="P28" s="8"/>
      <c r="Q28" s="8"/>
      <c r="R28" s="8"/>
      <c r="S28" s="8"/>
      <c r="T28" s="8"/>
      <c r="U28" s="7">
        <f>IF($B28="","",IFERROR(INDEX('Challan Master'!$AA$4:$AA$207,MATCH($B28,'Challan Master'!$S$4:$S$207,0)),""))</f>
      </c>
    </row>
    <row r="29" spans="1:22" x14ac:dyDescent="0.25">
      <c r="A29" s="7">
        <f>IF($C29="","",COUNTIF($C$4:$C29,"&lt;&gt;"))</f>
      </c>
      <c r="B29" s="8"/>
      <c r="C29" s="8"/>
      <c r="D29" s="8"/>
      <c r="E29" s="7">
        <f>IF($C29="","",IF(AND(LEN(TRIM(UPPER(D29)))=10,CODE(MID(TRIM(UPPER(D29)),1,1))&gt;=65,CODE(MID(TRIM(UPPER(D29)),1,1))&lt;=90,CODE(MID(TRIM(UPPER(D29)),2,1))&gt;=65,CODE(MID(TRIM(UPPER(D29)),2,1))&lt;=90,CODE(MID(TRIM(UPPER(D29)),3,1))&gt;=65,CODE(MID(TRIM(UPPER(D29)),3,1))&lt;=90,CODE(MID(TRIM(UPPER(D29)),4,1))&gt;=65,CODE(MID(TRIM(UPPER(D29)),4,1))&lt;=90,CODE(MID(TRIM(UPPER(D29)),5,1))&gt;=65,CODE(MID(TRIM(UPPER(D29)),5,1))&lt;=90,CODE(MID(TRIM(UPPER(D29)),10,1))&gt;=65,CODE(MID(TRIM(UPPER(D29)),10,1))&lt;=90,CODE(MID(TRIM(UPPER(D29)),6,1))&gt;=48,CODE(MID(TRIM(UPPER(D29)),6,1))&lt;=57,CODE(MID(TRIM(UPPER(D29)),7,1))&gt;=48,CODE(MID(TRIM(UPPER(D29)),7,1))&lt;=57,CODE(MID(TRIM(UPPER(D29)),8,1))&gt;=48,CODE(MID(TRIM(UPPER(D29)),8,1))&lt;=57,CODE(MID(TRIM(UPPER(D29)),9,1))&gt;=48,CODE(MID(TRIM(UPPER(D29)),9,1))&lt;=57),"N","Y"))</f>
      </c>
      <c r="F29" s="7">
        <f>IF($C29="","",IF(LEN(D29)&lt;4,"",IF(UPPER(MID(D29,4,1))="P","Individual",IF(UPPER(MID(D29,4,1))="H","HUF",IF(UPPER(MID(D29,4,1))="C","Company",IF(UPPER(MID(D29,4,1))="F","Firm",IF(UPPER(MID(D29,4,1))="L","LLP",IF(UPPER(MID(D29,4,1))="T","Trust",IF(UPPER(MID(D29,4,1))="A","AOP","")))))))))</f>
      </c>
      <c r="G29" s="8"/>
      <c r="H29" s="7">
        <f>IF($C29="","",IF(R29&lt;&gt;"",R29,IF(G29="","",IF(E29="Y",SUMPRODUCT(('Rate Lookup'!$A$1:$A$37=G29)*'Rate Lookup'!$D$1:$D$37),IF(OR(F29="Individual",F29="HUF"),SUMPRODUCT(('Rate Lookup'!$A$1:$A$37=G29)*'Rate Lookup'!$B$1:$B$37),SUMPRODUCT(('Rate Lookup'!$A$1:$A$37=G29)*'Rate Lookup'!$C$1:$C$37)))))))</f>
      </c>
      <c r="I29" s="8"/>
      <c r="J29" s="8"/>
      <c r="K29" s="7">
        <f>IF($C29="","",IF(OR(P29="B",P29="D",P29="E",P29="N",P29="O",P29="P",P29="Q",P29="S",P29="Y",P29="Z"),0,ROUND(J29*H29/100,0)))</f>
      </c>
      <c r="L29" s="7">
        <f>IF($C29="","",0)</f>
      </c>
      <c r="M29" s="7">
        <f>IF($C29="","",0)</f>
      </c>
      <c r="N29" s="7">
        <f>IF($C29="","",IF(OR(K29=0,I29="",IFERROR(INDEX('Challan Master'!$D$4:$D$207,MATCH($B29,'Challan Master'!$S$4:$S$207,0)),"")="",IFERROR(INDEX('Challan Master'!$D$4:$D$207,MATCH($B29,'Challan Master'!$S$4:$S$207,0)),"")&lt;=0),0,IF(IFERROR(INDEX('Challan Master'!$D$4:$D$207,MATCH($B29,'Challan Master'!$S$4:$S$207,0)),"")&lt;=DATE(YEAR(I29),MONTH(I29)+1,7),0,ROUND(K29*0.015*((YEAR(IFERROR(INDEX('Challan Master'!$D$4:$D$207,MATCH($B29,'Challan Master'!$S$4:$S$207,0)),""))-YEAR(I29))*12+(MONTH(IFERROR(INDEX('Challan Master'!$D$4:$D$207,MATCH($B29,'Challan Master'!$S$4:$S$207,0)),""))-MONTH(I29))+1),0))))</f>
      </c>
      <c r="O29" s="7">
        <f>IF($C29="","",0)</f>
      </c>
      <c r="P29" s="8"/>
      <c r="Q29" s="8"/>
      <c r="R29" s="8"/>
      <c r="S29" s="8"/>
      <c r="T29" s="8"/>
      <c r="U29" s="7">
        <f>IF($B29="","",IFERROR(INDEX('Challan Master'!$AA$4:$AA$207,MATCH($B29,'Challan Master'!$S$4:$S$207,0)),""))</f>
      </c>
    </row>
    <row r="30" spans="1:22" x14ac:dyDescent="0.25">
      <c r="A30" s="7">
        <f>IF($C30="","",COUNTIF($C$4:$C30,"&lt;&gt;"))</f>
      </c>
      <c r="B30" s="8"/>
      <c r="C30" s="8"/>
      <c r="D30" s="8"/>
      <c r="E30" s="7">
        <f>IF($C30="","",IF(AND(LEN(TRIM(UPPER(D30)))=10,CODE(MID(TRIM(UPPER(D30)),1,1))&gt;=65,CODE(MID(TRIM(UPPER(D30)),1,1))&lt;=90,CODE(MID(TRIM(UPPER(D30)),2,1))&gt;=65,CODE(MID(TRIM(UPPER(D30)),2,1))&lt;=90,CODE(MID(TRIM(UPPER(D30)),3,1))&gt;=65,CODE(MID(TRIM(UPPER(D30)),3,1))&lt;=90,CODE(MID(TRIM(UPPER(D30)),4,1))&gt;=65,CODE(MID(TRIM(UPPER(D30)),4,1))&lt;=90,CODE(MID(TRIM(UPPER(D30)),5,1))&gt;=65,CODE(MID(TRIM(UPPER(D30)),5,1))&lt;=90,CODE(MID(TRIM(UPPER(D30)),10,1))&gt;=65,CODE(MID(TRIM(UPPER(D30)),10,1))&lt;=90,CODE(MID(TRIM(UPPER(D30)),6,1))&gt;=48,CODE(MID(TRIM(UPPER(D30)),6,1))&lt;=57,CODE(MID(TRIM(UPPER(D30)),7,1))&gt;=48,CODE(MID(TRIM(UPPER(D30)),7,1))&lt;=57,CODE(MID(TRIM(UPPER(D30)),8,1))&gt;=48,CODE(MID(TRIM(UPPER(D30)),8,1))&lt;=57,CODE(MID(TRIM(UPPER(D30)),9,1))&gt;=48,CODE(MID(TRIM(UPPER(D30)),9,1))&lt;=57),"N","Y"))</f>
      </c>
      <c r="F30" s="7">
        <f>IF($C30="","",IF(LEN(D30)&lt;4,"",IF(UPPER(MID(D30,4,1))="P","Individual",IF(UPPER(MID(D30,4,1))="H","HUF",IF(UPPER(MID(D30,4,1))="C","Company",IF(UPPER(MID(D30,4,1))="F","Firm",IF(UPPER(MID(D30,4,1))="L","LLP",IF(UPPER(MID(D30,4,1))="T","Trust",IF(UPPER(MID(D30,4,1))="A","AOP","")))))))))</f>
      </c>
      <c r="G30" s="8"/>
      <c r="H30" s="7">
        <f>IF($C30="","",IF(R30&lt;&gt;"",R30,IF(G30="","",IF(E30="Y",SUMPRODUCT(('Rate Lookup'!$A$1:$A$37=G30)*'Rate Lookup'!$D$1:$D$37),IF(OR(F30="Individual",F30="HUF"),SUMPRODUCT(('Rate Lookup'!$A$1:$A$37=G30)*'Rate Lookup'!$B$1:$B$37),SUMPRODUCT(('Rate Lookup'!$A$1:$A$37=G30)*'Rate Lookup'!$C$1:$C$37)))))))</f>
      </c>
      <c r="I30" s="8"/>
      <c r="J30" s="8"/>
      <c r="K30" s="7">
        <f>IF($C30="","",IF(OR(P30="B",P30="D",P30="E",P30="N",P30="O",P30="P",P30="Q",P30="S",P30="Y",P30="Z"),0,ROUND(J30*H30/100,0)))</f>
      </c>
      <c r="L30" s="7">
        <f>IF($C30="","",0)</f>
      </c>
      <c r="M30" s="7">
        <f>IF($C30="","",0)</f>
      </c>
      <c r="N30" s="7">
        <f>IF($C30="","",IF(OR(K30=0,I30="",IFERROR(INDEX('Challan Master'!$D$4:$D$207,MATCH($B30,'Challan Master'!$S$4:$S$207,0)),"")="",IFERROR(INDEX('Challan Master'!$D$4:$D$207,MATCH($B30,'Challan Master'!$S$4:$S$207,0)),"")&lt;=0),0,IF(IFERROR(INDEX('Challan Master'!$D$4:$D$207,MATCH($B30,'Challan Master'!$S$4:$S$207,0)),"")&lt;=DATE(YEAR(I30),MONTH(I30)+1,7),0,ROUND(K30*0.015*((YEAR(IFERROR(INDEX('Challan Master'!$D$4:$D$207,MATCH($B30,'Challan Master'!$S$4:$S$207,0)),""))-YEAR(I30))*12+(MONTH(IFERROR(INDEX('Challan Master'!$D$4:$D$207,MATCH($B30,'Challan Master'!$S$4:$S$207,0)),""))-MONTH(I30))+1),0))))</f>
      </c>
      <c r="O30" s="7">
        <f>IF($C30="","",0)</f>
      </c>
      <c r="P30" s="8"/>
      <c r="Q30" s="8"/>
      <c r="R30" s="8"/>
      <c r="S30" s="8"/>
      <c r="T30" s="8"/>
      <c r="U30" s="7">
        <f>IF($B30="","",IFERROR(INDEX('Challan Master'!$AA$4:$AA$207,MATCH($B30,'Challan Master'!$S$4:$S$207,0)),""))</f>
      </c>
    </row>
    <row r="31" spans="1:22" x14ac:dyDescent="0.25">
      <c r="A31" s="7">
        <f>IF($C31="","",COUNTIF($C$4:$C31,"&lt;&gt;"))</f>
      </c>
      <c r="B31" s="8"/>
      <c r="C31" s="8"/>
      <c r="D31" s="8"/>
      <c r="E31" s="7">
        <f>IF($C31="","",IF(AND(LEN(TRIM(UPPER(D31)))=10,CODE(MID(TRIM(UPPER(D31)),1,1))&gt;=65,CODE(MID(TRIM(UPPER(D31)),1,1))&lt;=90,CODE(MID(TRIM(UPPER(D31)),2,1))&gt;=65,CODE(MID(TRIM(UPPER(D31)),2,1))&lt;=90,CODE(MID(TRIM(UPPER(D31)),3,1))&gt;=65,CODE(MID(TRIM(UPPER(D31)),3,1))&lt;=90,CODE(MID(TRIM(UPPER(D31)),4,1))&gt;=65,CODE(MID(TRIM(UPPER(D31)),4,1))&lt;=90,CODE(MID(TRIM(UPPER(D31)),5,1))&gt;=65,CODE(MID(TRIM(UPPER(D31)),5,1))&lt;=90,CODE(MID(TRIM(UPPER(D31)),10,1))&gt;=65,CODE(MID(TRIM(UPPER(D31)),10,1))&lt;=90,CODE(MID(TRIM(UPPER(D31)),6,1))&gt;=48,CODE(MID(TRIM(UPPER(D31)),6,1))&lt;=57,CODE(MID(TRIM(UPPER(D31)),7,1))&gt;=48,CODE(MID(TRIM(UPPER(D31)),7,1))&lt;=57,CODE(MID(TRIM(UPPER(D31)),8,1))&gt;=48,CODE(MID(TRIM(UPPER(D31)),8,1))&lt;=57,CODE(MID(TRIM(UPPER(D31)),9,1))&gt;=48,CODE(MID(TRIM(UPPER(D31)),9,1))&lt;=57),"N","Y"))</f>
      </c>
      <c r="F31" s="7">
        <f>IF($C31="","",IF(LEN(D31)&lt;4,"",IF(UPPER(MID(D31,4,1))="P","Individual",IF(UPPER(MID(D31,4,1))="H","HUF",IF(UPPER(MID(D31,4,1))="C","Company",IF(UPPER(MID(D31,4,1))="F","Firm",IF(UPPER(MID(D31,4,1))="L","LLP",IF(UPPER(MID(D31,4,1))="T","Trust",IF(UPPER(MID(D31,4,1))="A","AOP","")))))))))</f>
      </c>
      <c r="G31" s="8"/>
      <c r="H31" s="7">
        <f>IF($C31="","",IF(R31&lt;&gt;"",R31,IF(G31="","",IF(E31="Y",SUMPRODUCT(('Rate Lookup'!$A$1:$A$37=G31)*'Rate Lookup'!$D$1:$D$37),IF(OR(F31="Individual",F31="HUF"),SUMPRODUCT(('Rate Lookup'!$A$1:$A$37=G31)*'Rate Lookup'!$B$1:$B$37),SUMPRODUCT(('Rate Lookup'!$A$1:$A$37=G31)*'Rate Lookup'!$C$1:$C$37)))))))</f>
      </c>
      <c r="I31" s="8"/>
      <c r="J31" s="8"/>
      <c r="K31" s="7">
        <f>IF($C31="","",IF(OR(P31="B",P31="D",P31="E",P31="N",P31="O",P31="P",P31="Q",P31="S",P31="Y",P31="Z"),0,ROUND(J31*H31/100,0)))</f>
      </c>
      <c r="L31" s="7">
        <f>IF($C31="","",0)</f>
      </c>
      <c r="M31" s="7">
        <f>IF($C31="","",0)</f>
      </c>
      <c r="N31" s="7">
        <f>IF($C31="","",IF(OR(K31=0,I31="",IFERROR(INDEX('Challan Master'!$D$4:$D$207,MATCH($B31,'Challan Master'!$S$4:$S$207,0)),"")="",IFERROR(INDEX('Challan Master'!$D$4:$D$207,MATCH($B31,'Challan Master'!$S$4:$S$207,0)),"")&lt;=0),0,IF(IFERROR(INDEX('Challan Master'!$D$4:$D$207,MATCH($B31,'Challan Master'!$S$4:$S$207,0)),"")&lt;=DATE(YEAR(I31),MONTH(I31)+1,7),0,ROUND(K31*0.015*((YEAR(IFERROR(INDEX('Challan Master'!$D$4:$D$207,MATCH($B31,'Challan Master'!$S$4:$S$207,0)),""))-YEAR(I31))*12+(MONTH(IFERROR(INDEX('Challan Master'!$D$4:$D$207,MATCH($B31,'Challan Master'!$S$4:$S$207,0)),""))-MONTH(I31))+1),0))))</f>
      </c>
      <c r="O31" s="7">
        <f>IF($C31="","",0)</f>
      </c>
      <c r="P31" s="8"/>
      <c r="Q31" s="8"/>
      <c r="R31" s="8"/>
      <c r="S31" s="8"/>
      <c r="T31" s="8"/>
      <c r="U31" s="7">
        <f>IF($B31="","",IFERROR(INDEX('Challan Master'!$AA$4:$AA$207,MATCH($B31,'Challan Master'!$S$4:$S$207,0)),""))</f>
      </c>
    </row>
    <row r="32" spans="1:22" x14ac:dyDescent="0.25">
      <c r="A32" s="7">
        <f>IF($C32="","",COUNTIF($C$4:$C32,"&lt;&gt;"))</f>
      </c>
      <c r="B32" s="8"/>
      <c r="C32" s="8"/>
      <c r="D32" s="8"/>
      <c r="E32" s="7">
        <f>IF($C32="","",IF(AND(LEN(TRIM(UPPER(D32)))=10,CODE(MID(TRIM(UPPER(D32)),1,1))&gt;=65,CODE(MID(TRIM(UPPER(D32)),1,1))&lt;=90,CODE(MID(TRIM(UPPER(D32)),2,1))&gt;=65,CODE(MID(TRIM(UPPER(D32)),2,1))&lt;=90,CODE(MID(TRIM(UPPER(D32)),3,1))&gt;=65,CODE(MID(TRIM(UPPER(D32)),3,1))&lt;=90,CODE(MID(TRIM(UPPER(D32)),4,1))&gt;=65,CODE(MID(TRIM(UPPER(D32)),4,1))&lt;=90,CODE(MID(TRIM(UPPER(D32)),5,1))&gt;=65,CODE(MID(TRIM(UPPER(D32)),5,1))&lt;=90,CODE(MID(TRIM(UPPER(D32)),10,1))&gt;=65,CODE(MID(TRIM(UPPER(D32)),10,1))&lt;=90,CODE(MID(TRIM(UPPER(D32)),6,1))&gt;=48,CODE(MID(TRIM(UPPER(D32)),6,1))&lt;=57,CODE(MID(TRIM(UPPER(D32)),7,1))&gt;=48,CODE(MID(TRIM(UPPER(D32)),7,1))&lt;=57,CODE(MID(TRIM(UPPER(D32)),8,1))&gt;=48,CODE(MID(TRIM(UPPER(D32)),8,1))&lt;=57,CODE(MID(TRIM(UPPER(D32)),9,1))&gt;=48,CODE(MID(TRIM(UPPER(D32)),9,1))&lt;=57),"N","Y"))</f>
      </c>
      <c r="F32" s="7">
        <f>IF($C32="","",IF(LEN(D32)&lt;4,"",IF(UPPER(MID(D32,4,1))="P","Individual",IF(UPPER(MID(D32,4,1))="H","HUF",IF(UPPER(MID(D32,4,1))="C","Company",IF(UPPER(MID(D32,4,1))="F","Firm",IF(UPPER(MID(D32,4,1))="L","LLP",IF(UPPER(MID(D32,4,1))="T","Trust",IF(UPPER(MID(D32,4,1))="A","AOP","")))))))))</f>
      </c>
      <c r="G32" s="8"/>
      <c r="H32" s="7">
        <f>IF($C32="","",IF(R32&lt;&gt;"",R32,IF(G32="","",IF(E32="Y",SUMPRODUCT(('Rate Lookup'!$A$1:$A$37=G32)*'Rate Lookup'!$D$1:$D$37),IF(OR(F32="Individual",F32="HUF"),SUMPRODUCT(('Rate Lookup'!$A$1:$A$37=G32)*'Rate Lookup'!$B$1:$B$37),SUMPRODUCT(('Rate Lookup'!$A$1:$A$37=G32)*'Rate Lookup'!$C$1:$C$37)))))))</f>
      </c>
      <c r="I32" s="8"/>
      <c r="J32" s="8"/>
      <c r="K32" s="7">
        <f>IF($C32="","",IF(OR(P32="B",P32="D",P32="E",P32="N",P32="O",P32="P",P32="Q",P32="S",P32="Y",P32="Z"),0,ROUND(J32*H32/100,0)))</f>
      </c>
      <c r="L32" s="7">
        <f>IF($C32="","",0)</f>
      </c>
      <c r="M32" s="7">
        <f>IF($C32="","",0)</f>
      </c>
      <c r="N32" s="7">
        <f>IF($C32="","",IF(OR(K32=0,I32="",IFERROR(INDEX('Challan Master'!$D$4:$D$207,MATCH($B32,'Challan Master'!$S$4:$S$207,0)),"")="",IFERROR(INDEX('Challan Master'!$D$4:$D$207,MATCH($B32,'Challan Master'!$S$4:$S$207,0)),"")&lt;=0),0,IF(IFERROR(INDEX('Challan Master'!$D$4:$D$207,MATCH($B32,'Challan Master'!$S$4:$S$207,0)),"")&lt;=DATE(YEAR(I32),MONTH(I32)+1,7),0,ROUND(K32*0.015*((YEAR(IFERROR(INDEX('Challan Master'!$D$4:$D$207,MATCH($B32,'Challan Master'!$S$4:$S$207,0)),""))-YEAR(I32))*12+(MONTH(IFERROR(INDEX('Challan Master'!$D$4:$D$207,MATCH($B32,'Challan Master'!$S$4:$S$207,0)),""))-MONTH(I32))+1),0))))</f>
      </c>
      <c r="O32" s="7">
        <f>IF($C32="","",0)</f>
      </c>
      <c r="P32" s="8"/>
      <c r="Q32" s="8"/>
      <c r="R32" s="8"/>
      <c r="S32" s="8"/>
      <c r="T32" s="8"/>
      <c r="U32" s="7">
        <f>IF($B32="","",IFERROR(INDEX('Challan Master'!$AA$4:$AA$207,MATCH($B32,'Challan Master'!$S$4:$S$207,0)),""))</f>
      </c>
    </row>
    <row r="33" spans="1:22" x14ac:dyDescent="0.25">
      <c r="A33" s="7">
        <f>IF($C33="","",COUNTIF($C$4:$C33,"&lt;&gt;"))</f>
      </c>
      <c r="B33" s="8"/>
      <c r="C33" s="8"/>
      <c r="D33" s="8"/>
      <c r="E33" s="7">
        <f>IF($C33="","",IF(AND(LEN(TRIM(UPPER(D33)))=10,CODE(MID(TRIM(UPPER(D33)),1,1))&gt;=65,CODE(MID(TRIM(UPPER(D33)),1,1))&lt;=90,CODE(MID(TRIM(UPPER(D33)),2,1))&gt;=65,CODE(MID(TRIM(UPPER(D33)),2,1))&lt;=90,CODE(MID(TRIM(UPPER(D33)),3,1))&gt;=65,CODE(MID(TRIM(UPPER(D33)),3,1))&lt;=90,CODE(MID(TRIM(UPPER(D33)),4,1))&gt;=65,CODE(MID(TRIM(UPPER(D33)),4,1))&lt;=90,CODE(MID(TRIM(UPPER(D33)),5,1))&gt;=65,CODE(MID(TRIM(UPPER(D33)),5,1))&lt;=90,CODE(MID(TRIM(UPPER(D33)),10,1))&gt;=65,CODE(MID(TRIM(UPPER(D33)),10,1))&lt;=90,CODE(MID(TRIM(UPPER(D33)),6,1))&gt;=48,CODE(MID(TRIM(UPPER(D33)),6,1))&lt;=57,CODE(MID(TRIM(UPPER(D33)),7,1))&gt;=48,CODE(MID(TRIM(UPPER(D33)),7,1))&lt;=57,CODE(MID(TRIM(UPPER(D33)),8,1))&gt;=48,CODE(MID(TRIM(UPPER(D33)),8,1))&lt;=57,CODE(MID(TRIM(UPPER(D33)),9,1))&gt;=48,CODE(MID(TRIM(UPPER(D33)),9,1))&lt;=57),"N","Y"))</f>
      </c>
      <c r="F33" s="7">
        <f>IF($C33="","",IF(LEN(D33)&lt;4,"",IF(UPPER(MID(D33,4,1))="P","Individual",IF(UPPER(MID(D33,4,1))="H","HUF",IF(UPPER(MID(D33,4,1))="C","Company",IF(UPPER(MID(D33,4,1))="F","Firm",IF(UPPER(MID(D33,4,1))="L","LLP",IF(UPPER(MID(D33,4,1))="T","Trust",IF(UPPER(MID(D33,4,1))="A","AOP","")))))))))</f>
      </c>
      <c r="G33" s="8"/>
      <c r="H33" s="7">
        <f>IF($C33="","",IF(R33&lt;&gt;"",R33,IF(G33="","",IF(E33="Y",SUMPRODUCT(('Rate Lookup'!$A$1:$A$37=G33)*'Rate Lookup'!$D$1:$D$37),IF(OR(F33="Individual",F33="HUF"),SUMPRODUCT(('Rate Lookup'!$A$1:$A$37=G33)*'Rate Lookup'!$B$1:$B$37),SUMPRODUCT(('Rate Lookup'!$A$1:$A$37=G33)*'Rate Lookup'!$C$1:$C$37)))))))</f>
      </c>
      <c r="I33" s="8"/>
      <c r="J33" s="8"/>
      <c r="K33" s="7">
        <f>IF($C33="","",IF(OR(P33="B",P33="D",P33="E",P33="N",P33="O",P33="P",P33="Q",P33="S",P33="Y",P33="Z"),0,ROUND(J33*H33/100,0)))</f>
      </c>
      <c r="L33" s="7">
        <f>IF($C33="","",0)</f>
      </c>
      <c r="M33" s="7">
        <f>IF($C33="","",0)</f>
      </c>
      <c r="N33" s="7">
        <f>IF($C33="","",IF(OR(K33=0,I33="",IFERROR(INDEX('Challan Master'!$D$4:$D$207,MATCH($B33,'Challan Master'!$S$4:$S$207,0)),"")="",IFERROR(INDEX('Challan Master'!$D$4:$D$207,MATCH($B33,'Challan Master'!$S$4:$S$207,0)),"")&lt;=0),0,IF(IFERROR(INDEX('Challan Master'!$D$4:$D$207,MATCH($B33,'Challan Master'!$S$4:$S$207,0)),"")&lt;=DATE(YEAR(I33),MONTH(I33)+1,7),0,ROUND(K33*0.015*((YEAR(IFERROR(INDEX('Challan Master'!$D$4:$D$207,MATCH($B33,'Challan Master'!$S$4:$S$207,0)),""))-YEAR(I33))*12+(MONTH(IFERROR(INDEX('Challan Master'!$D$4:$D$207,MATCH($B33,'Challan Master'!$S$4:$S$207,0)),""))-MONTH(I33))+1),0))))</f>
      </c>
      <c r="O33" s="7">
        <f>IF($C33="","",0)</f>
      </c>
      <c r="P33" s="8"/>
      <c r="Q33" s="8"/>
      <c r="R33" s="8"/>
      <c r="S33" s="8"/>
      <c r="T33" s="8"/>
      <c r="U33" s="7">
        <f>IF($B33="","",IFERROR(INDEX('Challan Master'!$AA$4:$AA$207,MATCH($B33,'Challan Master'!$S$4:$S$207,0)),""))</f>
      </c>
    </row>
    <row r="34" spans="1:22" x14ac:dyDescent="0.25">
      <c r="A34" s="7">
        <f>IF($C34="","",COUNTIF($C$4:$C34,"&lt;&gt;"))</f>
      </c>
      <c r="B34" s="8"/>
      <c r="C34" s="8"/>
      <c r="D34" s="8"/>
      <c r="E34" s="7">
        <f>IF($C34="","",IF(AND(LEN(TRIM(UPPER(D34)))=10,CODE(MID(TRIM(UPPER(D34)),1,1))&gt;=65,CODE(MID(TRIM(UPPER(D34)),1,1))&lt;=90,CODE(MID(TRIM(UPPER(D34)),2,1))&gt;=65,CODE(MID(TRIM(UPPER(D34)),2,1))&lt;=90,CODE(MID(TRIM(UPPER(D34)),3,1))&gt;=65,CODE(MID(TRIM(UPPER(D34)),3,1))&lt;=90,CODE(MID(TRIM(UPPER(D34)),4,1))&gt;=65,CODE(MID(TRIM(UPPER(D34)),4,1))&lt;=90,CODE(MID(TRIM(UPPER(D34)),5,1))&gt;=65,CODE(MID(TRIM(UPPER(D34)),5,1))&lt;=90,CODE(MID(TRIM(UPPER(D34)),10,1))&gt;=65,CODE(MID(TRIM(UPPER(D34)),10,1))&lt;=90,CODE(MID(TRIM(UPPER(D34)),6,1))&gt;=48,CODE(MID(TRIM(UPPER(D34)),6,1))&lt;=57,CODE(MID(TRIM(UPPER(D34)),7,1))&gt;=48,CODE(MID(TRIM(UPPER(D34)),7,1))&lt;=57,CODE(MID(TRIM(UPPER(D34)),8,1))&gt;=48,CODE(MID(TRIM(UPPER(D34)),8,1))&lt;=57,CODE(MID(TRIM(UPPER(D34)),9,1))&gt;=48,CODE(MID(TRIM(UPPER(D34)),9,1))&lt;=57),"N","Y"))</f>
      </c>
      <c r="F34" s="7">
        <f>IF($C34="","",IF(LEN(D34)&lt;4,"",IF(UPPER(MID(D34,4,1))="P","Individual",IF(UPPER(MID(D34,4,1))="H","HUF",IF(UPPER(MID(D34,4,1))="C","Company",IF(UPPER(MID(D34,4,1))="F","Firm",IF(UPPER(MID(D34,4,1))="L","LLP",IF(UPPER(MID(D34,4,1))="T","Trust",IF(UPPER(MID(D34,4,1))="A","AOP","")))))))))</f>
      </c>
      <c r="G34" s="8"/>
      <c r="H34" s="7">
        <f>IF($C34="","",IF(R34&lt;&gt;"",R34,IF(G34="","",IF(E34="Y",SUMPRODUCT(('Rate Lookup'!$A$1:$A$37=G34)*'Rate Lookup'!$D$1:$D$37),IF(OR(F34="Individual",F34="HUF"),SUMPRODUCT(('Rate Lookup'!$A$1:$A$37=G34)*'Rate Lookup'!$B$1:$B$37),SUMPRODUCT(('Rate Lookup'!$A$1:$A$37=G34)*'Rate Lookup'!$C$1:$C$37)))))))</f>
      </c>
      <c r="I34" s="8"/>
      <c r="J34" s="8"/>
      <c r="K34" s="7">
        <f>IF($C34="","",IF(OR(P34="B",P34="D",P34="E",P34="N",P34="O",P34="P",P34="Q",P34="S",P34="Y",P34="Z"),0,ROUND(J34*H34/100,0)))</f>
      </c>
      <c r="L34" s="7">
        <f>IF($C34="","",0)</f>
      </c>
      <c r="M34" s="7">
        <f>IF($C34="","",0)</f>
      </c>
      <c r="N34" s="7">
        <f>IF($C34="","",IF(OR(K34=0,I34="",IFERROR(INDEX('Challan Master'!$D$4:$D$207,MATCH($B34,'Challan Master'!$S$4:$S$207,0)),"")="",IFERROR(INDEX('Challan Master'!$D$4:$D$207,MATCH($B34,'Challan Master'!$S$4:$S$207,0)),"")&lt;=0),0,IF(IFERROR(INDEX('Challan Master'!$D$4:$D$207,MATCH($B34,'Challan Master'!$S$4:$S$207,0)),"")&lt;=DATE(YEAR(I34),MONTH(I34)+1,7),0,ROUND(K34*0.015*((YEAR(IFERROR(INDEX('Challan Master'!$D$4:$D$207,MATCH($B34,'Challan Master'!$S$4:$S$207,0)),""))-YEAR(I34))*12+(MONTH(IFERROR(INDEX('Challan Master'!$D$4:$D$207,MATCH($B34,'Challan Master'!$S$4:$S$207,0)),""))-MONTH(I34))+1),0))))</f>
      </c>
      <c r="O34" s="7">
        <f>IF($C34="","",0)</f>
      </c>
      <c r="P34" s="8"/>
      <c r="Q34" s="8"/>
      <c r="R34" s="8"/>
      <c r="S34" s="8"/>
      <c r="T34" s="8"/>
      <c r="U34" s="7">
        <f>IF($B34="","",IFERROR(INDEX('Challan Master'!$AA$4:$AA$207,MATCH($B34,'Challan Master'!$S$4:$S$207,0)),""))</f>
      </c>
    </row>
    <row r="35" spans="1:22" x14ac:dyDescent="0.25">
      <c r="A35" s="7">
        <f>IF($C35="","",COUNTIF($C$4:$C35,"&lt;&gt;"))</f>
      </c>
      <c r="B35" s="8"/>
      <c r="C35" s="8"/>
      <c r="D35" s="8"/>
      <c r="E35" s="7">
        <f>IF($C35="","",IF(AND(LEN(TRIM(UPPER(D35)))=10,CODE(MID(TRIM(UPPER(D35)),1,1))&gt;=65,CODE(MID(TRIM(UPPER(D35)),1,1))&lt;=90,CODE(MID(TRIM(UPPER(D35)),2,1))&gt;=65,CODE(MID(TRIM(UPPER(D35)),2,1))&lt;=90,CODE(MID(TRIM(UPPER(D35)),3,1))&gt;=65,CODE(MID(TRIM(UPPER(D35)),3,1))&lt;=90,CODE(MID(TRIM(UPPER(D35)),4,1))&gt;=65,CODE(MID(TRIM(UPPER(D35)),4,1))&lt;=90,CODE(MID(TRIM(UPPER(D35)),5,1))&gt;=65,CODE(MID(TRIM(UPPER(D35)),5,1))&lt;=90,CODE(MID(TRIM(UPPER(D35)),10,1))&gt;=65,CODE(MID(TRIM(UPPER(D35)),10,1))&lt;=90,CODE(MID(TRIM(UPPER(D35)),6,1))&gt;=48,CODE(MID(TRIM(UPPER(D35)),6,1))&lt;=57,CODE(MID(TRIM(UPPER(D35)),7,1))&gt;=48,CODE(MID(TRIM(UPPER(D35)),7,1))&lt;=57,CODE(MID(TRIM(UPPER(D35)),8,1))&gt;=48,CODE(MID(TRIM(UPPER(D35)),8,1))&lt;=57,CODE(MID(TRIM(UPPER(D35)),9,1))&gt;=48,CODE(MID(TRIM(UPPER(D35)),9,1))&lt;=57),"N","Y"))</f>
      </c>
      <c r="F35" s="7">
        <f>IF($C35="","",IF(LEN(D35)&lt;4,"",IF(UPPER(MID(D35,4,1))="P","Individual",IF(UPPER(MID(D35,4,1))="H","HUF",IF(UPPER(MID(D35,4,1))="C","Company",IF(UPPER(MID(D35,4,1))="F","Firm",IF(UPPER(MID(D35,4,1))="L","LLP",IF(UPPER(MID(D35,4,1))="T","Trust",IF(UPPER(MID(D35,4,1))="A","AOP","")))))))))</f>
      </c>
      <c r="G35" s="8"/>
      <c r="H35" s="7">
        <f>IF($C35="","",IF(R35&lt;&gt;"",R35,IF(G35="","",IF(E35="Y",SUMPRODUCT(('Rate Lookup'!$A$1:$A$37=G35)*'Rate Lookup'!$D$1:$D$37),IF(OR(F35="Individual",F35="HUF"),SUMPRODUCT(('Rate Lookup'!$A$1:$A$37=G35)*'Rate Lookup'!$B$1:$B$37),SUMPRODUCT(('Rate Lookup'!$A$1:$A$37=G35)*'Rate Lookup'!$C$1:$C$37)))))))</f>
      </c>
      <c r="I35" s="8"/>
      <c r="J35" s="8"/>
      <c r="K35" s="7">
        <f>IF($C35="","",IF(OR(P35="B",P35="D",P35="E",P35="N",P35="O",P35="P",P35="Q",P35="S",P35="Y",P35="Z"),0,ROUND(J35*H35/100,0)))</f>
      </c>
      <c r="L35" s="7">
        <f>IF($C35="","",0)</f>
      </c>
      <c r="M35" s="7">
        <f>IF($C35="","",0)</f>
      </c>
      <c r="N35" s="7">
        <f>IF($C35="","",IF(OR(K35=0,I35="",IFERROR(INDEX('Challan Master'!$D$4:$D$207,MATCH($B35,'Challan Master'!$S$4:$S$207,0)),"")="",IFERROR(INDEX('Challan Master'!$D$4:$D$207,MATCH($B35,'Challan Master'!$S$4:$S$207,0)),"")&lt;=0),0,IF(IFERROR(INDEX('Challan Master'!$D$4:$D$207,MATCH($B35,'Challan Master'!$S$4:$S$207,0)),"")&lt;=DATE(YEAR(I35),MONTH(I35)+1,7),0,ROUND(K35*0.015*((YEAR(IFERROR(INDEX('Challan Master'!$D$4:$D$207,MATCH($B35,'Challan Master'!$S$4:$S$207,0)),""))-YEAR(I35))*12+(MONTH(IFERROR(INDEX('Challan Master'!$D$4:$D$207,MATCH($B35,'Challan Master'!$S$4:$S$207,0)),""))-MONTH(I35))+1),0))))</f>
      </c>
      <c r="O35" s="7">
        <f>IF($C35="","",0)</f>
      </c>
      <c r="P35" s="8"/>
      <c r="Q35" s="8"/>
      <c r="R35" s="8"/>
      <c r="S35" s="8"/>
      <c r="T35" s="8"/>
      <c r="U35" s="7">
        <f>IF($B35="","",IFERROR(INDEX('Challan Master'!$AA$4:$AA$207,MATCH($B35,'Challan Master'!$S$4:$S$207,0)),""))</f>
      </c>
    </row>
    <row r="36" spans="1:22" x14ac:dyDescent="0.25">
      <c r="A36" s="7">
        <f>IF($C36="","",COUNTIF($C$4:$C36,"&lt;&gt;"))</f>
      </c>
      <c r="B36" s="8"/>
      <c r="C36" s="8"/>
      <c r="D36" s="8"/>
      <c r="E36" s="7">
        <f>IF($C36="","",IF(AND(LEN(TRIM(UPPER(D36)))=10,CODE(MID(TRIM(UPPER(D36)),1,1))&gt;=65,CODE(MID(TRIM(UPPER(D36)),1,1))&lt;=90,CODE(MID(TRIM(UPPER(D36)),2,1))&gt;=65,CODE(MID(TRIM(UPPER(D36)),2,1))&lt;=90,CODE(MID(TRIM(UPPER(D36)),3,1))&gt;=65,CODE(MID(TRIM(UPPER(D36)),3,1))&lt;=90,CODE(MID(TRIM(UPPER(D36)),4,1))&gt;=65,CODE(MID(TRIM(UPPER(D36)),4,1))&lt;=90,CODE(MID(TRIM(UPPER(D36)),5,1))&gt;=65,CODE(MID(TRIM(UPPER(D36)),5,1))&lt;=90,CODE(MID(TRIM(UPPER(D36)),10,1))&gt;=65,CODE(MID(TRIM(UPPER(D36)),10,1))&lt;=90,CODE(MID(TRIM(UPPER(D36)),6,1))&gt;=48,CODE(MID(TRIM(UPPER(D36)),6,1))&lt;=57,CODE(MID(TRIM(UPPER(D36)),7,1))&gt;=48,CODE(MID(TRIM(UPPER(D36)),7,1))&lt;=57,CODE(MID(TRIM(UPPER(D36)),8,1))&gt;=48,CODE(MID(TRIM(UPPER(D36)),8,1))&lt;=57,CODE(MID(TRIM(UPPER(D36)),9,1))&gt;=48,CODE(MID(TRIM(UPPER(D36)),9,1))&lt;=57),"N","Y"))</f>
      </c>
      <c r="F36" s="7">
        <f>IF($C36="","",IF(LEN(D36)&lt;4,"",IF(UPPER(MID(D36,4,1))="P","Individual",IF(UPPER(MID(D36,4,1))="H","HUF",IF(UPPER(MID(D36,4,1))="C","Company",IF(UPPER(MID(D36,4,1))="F","Firm",IF(UPPER(MID(D36,4,1))="L","LLP",IF(UPPER(MID(D36,4,1))="T","Trust",IF(UPPER(MID(D36,4,1))="A","AOP","")))))))))</f>
      </c>
      <c r="G36" s="8"/>
      <c r="H36" s="7">
        <f>IF($C36="","",IF(R36&lt;&gt;"",R36,IF(G36="","",IF(E36="Y",SUMPRODUCT(('Rate Lookup'!$A$1:$A$37=G36)*'Rate Lookup'!$D$1:$D$37),IF(OR(F36="Individual",F36="HUF"),SUMPRODUCT(('Rate Lookup'!$A$1:$A$37=G36)*'Rate Lookup'!$B$1:$B$37),SUMPRODUCT(('Rate Lookup'!$A$1:$A$37=G36)*'Rate Lookup'!$C$1:$C$37)))))))</f>
      </c>
      <c r="I36" s="8"/>
      <c r="J36" s="8"/>
      <c r="K36" s="7">
        <f>IF($C36="","",IF(OR(P36="B",P36="D",P36="E",P36="N",P36="O",P36="P",P36="Q",P36="S",P36="Y",P36="Z"),0,ROUND(J36*H36/100,0)))</f>
      </c>
      <c r="L36" s="7">
        <f>IF($C36="","",0)</f>
      </c>
      <c r="M36" s="7">
        <f>IF($C36="","",0)</f>
      </c>
      <c r="N36" s="7">
        <f>IF($C36="","",IF(OR(K36=0,I36="",IFERROR(INDEX('Challan Master'!$D$4:$D$207,MATCH($B36,'Challan Master'!$S$4:$S$207,0)),"")="",IFERROR(INDEX('Challan Master'!$D$4:$D$207,MATCH($B36,'Challan Master'!$S$4:$S$207,0)),"")&lt;=0),0,IF(IFERROR(INDEX('Challan Master'!$D$4:$D$207,MATCH($B36,'Challan Master'!$S$4:$S$207,0)),"")&lt;=DATE(YEAR(I36),MONTH(I36)+1,7),0,ROUND(K36*0.015*((YEAR(IFERROR(INDEX('Challan Master'!$D$4:$D$207,MATCH($B36,'Challan Master'!$S$4:$S$207,0)),""))-YEAR(I36))*12+(MONTH(IFERROR(INDEX('Challan Master'!$D$4:$D$207,MATCH($B36,'Challan Master'!$S$4:$S$207,0)),""))-MONTH(I36))+1),0))))</f>
      </c>
      <c r="O36" s="7">
        <f>IF($C36="","",0)</f>
      </c>
      <c r="P36" s="8"/>
      <c r="Q36" s="8"/>
      <c r="R36" s="8"/>
      <c r="S36" s="8"/>
      <c r="T36" s="8"/>
      <c r="U36" s="7">
        <f>IF($B36="","",IFERROR(INDEX('Challan Master'!$AA$4:$AA$207,MATCH($B36,'Challan Master'!$S$4:$S$207,0)),""))</f>
      </c>
    </row>
    <row r="37" spans="1:22" x14ac:dyDescent="0.25">
      <c r="A37" s="7">
        <f>IF($C37="","",COUNTIF($C$4:$C37,"&lt;&gt;"))</f>
      </c>
      <c r="B37" s="8"/>
      <c r="C37" s="8"/>
      <c r="D37" s="8"/>
      <c r="E37" s="7">
        <f>IF($C37="","",IF(AND(LEN(TRIM(UPPER(D37)))=10,CODE(MID(TRIM(UPPER(D37)),1,1))&gt;=65,CODE(MID(TRIM(UPPER(D37)),1,1))&lt;=90,CODE(MID(TRIM(UPPER(D37)),2,1))&gt;=65,CODE(MID(TRIM(UPPER(D37)),2,1))&lt;=90,CODE(MID(TRIM(UPPER(D37)),3,1))&gt;=65,CODE(MID(TRIM(UPPER(D37)),3,1))&lt;=90,CODE(MID(TRIM(UPPER(D37)),4,1))&gt;=65,CODE(MID(TRIM(UPPER(D37)),4,1))&lt;=90,CODE(MID(TRIM(UPPER(D37)),5,1))&gt;=65,CODE(MID(TRIM(UPPER(D37)),5,1))&lt;=90,CODE(MID(TRIM(UPPER(D37)),10,1))&gt;=65,CODE(MID(TRIM(UPPER(D37)),10,1))&lt;=90,CODE(MID(TRIM(UPPER(D37)),6,1))&gt;=48,CODE(MID(TRIM(UPPER(D37)),6,1))&lt;=57,CODE(MID(TRIM(UPPER(D37)),7,1))&gt;=48,CODE(MID(TRIM(UPPER(D37)),7,1))&lt;=57,CODE(MID(TRIM(UPPER(D37)),8,1))&gt;=48,CODE(MID(TRIM(UPPER(D37)),8,1))&lt;=57,CODE(MID(TRIM(UPPER(D37)),9,1))&gt;=48,CODE(MID(TRIM(UPPER(D37)),9,1))&lt;=57),"N","Y"))</f>
      </c>
      <c r="F37" s="7">
        <f>IF($C37="","",IF(LEN(D37)&lt;4,"",IF(UPPER(MID(D37,4,1))="P","Individual",IF(UPPER(MID(D37,4,1))="H","HUF",IF(UPPER(MID(D37,4,1))="C","Company",IF(UPPER(MID(D37,4,1))="F","Firm",IF(UPPER(MID(D37,4,1))="L","LLP",IF(UPPER(MID(D37,4,1))="T","Trust",IF(UPPER(MID(D37,4,1))="A","AOP","")))))))))</f>
      </c>
      <c r="G37" s="8"/>
      <c r="H37" s="7">
        <f>IF($C37="","",IF(R37&lt;&gt;"",R37,IF(G37="","",IF(E37="Y",SUMPRODUCT(('Rate Lookup'!$A$1:$A$37=G37)*'Rate Lookup'!$D$1:$D$37),IF(OR(F37="Individual",F37="HUF"),SUMPRODUCT(('Rate Lookup'!$A$1:$A$37=G37)*'Rate Lookup'!$B$1:$B$37),SUMPRODUCT(('Rate Lookup'!$A$1:$A$37=G37)*'Rate Lookup'!$C$1:$C$37)))))))</f>
      </c>
      <c r="I37" s="8"/>
      <c r="J37" s="8"/>
      <c r="K37" s="7">
        <f>IF($C37="","",IF(OR(P37="B",P37="D",P37="E",P37="N",P37="O",P37="P",P37="Q",P37="S",P37="Y",P37="Z"),0,ROUND(J37*H37/100,0)))</f>
      </c>
      <c r="L37" s="7">
        <f>IF($C37="","",0)</f>
      </c>
      <c r="M37" s="7">
        <f>IF($C37="","",0)</f>
      </c>
      <c r="N37" s="7">
        <f>IF($C37="","",IF(OR(K37=0,I37="",IFERROR(INDEX('Challan Master'!$D$4:$D$207,MATCH($B37,'Challan Master'!$S$4:$S$207,0)),"")="",IFERROR(INDEX('Challan Master'!$D$4:$D$207,MATCH($B37,'Challan Master'!$S$4:$S$207,0)),"")&lt;=0),0,IF(IFERROR(INDEX('Challan Master'!$D$4:$D$207,MATCH($B37,'Challan Master'!$S$4:$S$207,0)),"")&lt;=DATE(YEAR(I37),MONTH(I37)+1,7),0,ROUND(K37*0.015*((YEAR(IFERROR(INDEX('Challan Master'!$D$4:$D$207,MATCH($B37,'Challan Master'!$S$4:$S$207,0)),""))-YEAR(I37))*12+(MONTH(IFERROR(INDEX('Challan Master'!$D$4:$D$207,MATCH($B37,'Challan Master'!$S$4:$S$207,0)),""))-MONTH(I37))+1),0))))</f>
      </c>
      <c r="O37" s="7">
        <f>IF($C37="","",0)</f>
      </c>
      <c r="P37" s="8"/>
      <c r="Q37" s="8"/>
      <c r="R37" s="8"/>
      <c r="S37" s="8"/>
      <c r="T37" s="8"/>
      <c r="U37" s="7">
        <f>IF($B37="","",IFERROR(INDEX('Challan Master'!$AA$4:$AA$207,MATCH($B37,'Challan Master'!$S$4:$S$207,0)),""))</f>
      </c>
    </row>
    <row r="38" spans="1:22" x14ac:dyDescent="0.25">
      <c r="A38" s="7">
        <f>IF($C38="","",COUNTIF($C$4:$C38,"&lt;&gt;"))</f>
      </c>
      <c r="B38" s="8"/>
      <c r="C38" s="8"/>
      <c r="D38" s="8"/>
      <c r="E38" s="7">
        <f>IF($C38="","",IF(AND(LEN(TRIM(UPPER(D38)))=10,CODE(MID(TRIM(UPPER(D38)),1,1))&gt;=65,CODE(MID(TRIM(UPPER(D38)),1,1))&lt;=90,CODE(MID(TRIM(UPPER(D38)),2,1))&gt;=65,CODE(MID(TRIM(UPPER(D38)),2,1))&lt;=90,CODE(MID(TRIM(UPPER(D38)),3,1))&gt;=65,CODE(MID(TRIM(UPPER(D38)),3,1))&lt;=90,CODE(MID(TRIM(UPPER(D38)),4,1))&gt;=65,CODE(MID(TRIM(UPPER(D38)),4,1))&lt;=90,CODE(MID(TRIM(UPPER(D38)),5,1))&gt;=65,CODE(MID(TRIM(UPPER(D38)),5,1))&lt;=90,CODE(MID(TRIM(UPPER(D38)),10,1))&gt;=65,CODE(MID(TRIM(UPPER(D38)),10,1))&lt;=90,CODE(MID(TRIM(UPPER(D38)),6,1))&gt;=48,CODE(MID(TRIM(UPPER(D38)),6,1))&lt;=57,CODE(MID(TRIM(UPPER(D38)),7,1))&gt;=48,CODE(MID(TRIM(UPPER(D38)),7,1))&lt;=57,CODE(MID(TRIM(UPPER(D38)),8,1))&gt;=48,CODE(MID(TRIM(UPPER(D38)),8,1))&lt;=57,CODE(MID(TRIM(UPPER(D38)),9,1))&gt;=48,CODE(MID(TRIM(UPPER(D38)),9,1))&lt;=57),"N","Y"))</f>
      </c>
      <c r="F38" s="7">
        <f>IF($C38="","",IF(LEN(D38)&lt;4,"",IF(UPPER(MID(D38,4,1))="P","Individual",IF(UPPER(MID(D38,4,1))="H","HUF",IF(UPPER(MID(D38,4,1))="C","Company",IF(UPPER(MID(D38,4,1))="F","Firm",IF(UPPER(MID(D38,4,1))="L","LLP",IF(UPPER(MID(D38,4,1))="T","Trust",IF(UPPER(MID(D38,4,1))="A","AOP","")))))))))</f>
      </c>
      <c r="G38" s="8"/>
      <c r="H38" s="7">
        <f>IF($C38="","",IF(R38&lt;&gt;"",R38,IF(G38="","",IF(E38="Y",SUMPRODUCT(('Rate Lookup'!$A$1:$A$37=G38)*'Rate Lookup'!$D$1:$D$37),IF(OR(F38="Individual",F38="HUF"),SUMPRODUCT(('Rate Lookup'!$A$1:$A$37=G38)*'Rate Lookup'!$B$1:$B$37),SUMPRODUCT(('Rate Lookup'!$A$1:$A$37=G38)*'Rate Lookup'!$C$1:$C$37)))))))</f>
      </c>
      <c r="I38" s="8"/>
      <c r="J38" s="8"/>
      <c r="K38" s="7">
        <f>IF($C38="","",IF(OR(P38="B",P38="D",P38="E",P38="N",P38="O",P38="P",P38="Q",P38="S",P38="Y",P38="Z"),0,ROUND(J38*H38/100,0)))</f>
      </c>
      <c r="L38" s="7">
        <f>IF($C38="","",0)</f>
      </c>
      <c r="M38" s="7">
        <f>IF($C38="","",0)</f>
      </c>
      <c r="N38" s="7">
        <f>IF($C38="","",IF(OR(K38=0,I38="",IFERROR(INDEX('Challan Master'!$D$4:$D$207,MATCH($B38,'Challan Master'!$S$4:$S$207,0)),"")="",IFERROR(INDEX('Challan Master'!$D$4:$D$207,MATCH($B38,'Challan Master'!$S$4:$S$207,0)),"")&lt;=0),0,IF(IFERROR(INDEX('Challan Master'!$D$4:$D$207,MATCH($B38,'Challan Master'!$S$4:$S$207,0)),"")&lt;=DATE(YEAR(I38),MONTH(I38)+1,7),0,ROUND(K38*0.015*((YEAR(IFERROR(INDEX('Challan Master'!$D$4:$D$207,MATCH($B38,'Challan Master'!$S$4:$S$207,0)),""))-YEAR(I38))*12+(MONTH(IFERROR(INDEX('Challan Master'!$D$4:$D$207,MATCH($B38,'Challan Master'!$S$4:$S$207,0)),""))-MONTH(I38))+1),0))))</f>
      </c>
      <c r="O38" s="7">
        <f>IF($C38="","",0)</f>
      </c>
      <c r="P38" s="8"/>
      <c r="Q38" s="8"/>
      <c r="R38" s="8"/>
      <c r="S38" s="8"/>
      <c r="T38" s="8"/>
      <c r="U38" s="7">
        <f>IF($B38="","",IFERROR(INDEX('Challan Master'!$AA$4:$AA$207,MATCH($B38,'Challan Master'!$S$4:$S$207,0)),""))</f>
      </c>
    </row>
    <row r="39" spans="1:22" x14ac:dyDescent="0.25">
      <c r="A39" s="7">
        <f>IF($C39="","",COUNTIF($C$4:$C39,"&lt;&gt;"))</f>
      </c>
      <c r="B39" s="8"/>
      <c r="C39" s="8"/>
      <c r="D39" s="8"/>
      <c r="E39" s="7">
        <f>IF($C39="","",IF(AND(LEN(TRIM(UPPER(D39)))=10,CODE(MID(TRIM(UPPER(D39)),1,1))&gt;=65,CODE(MID(TRIM(UPPER(D39)),1,1))&lt;=90,CODE(MID(TRIM(UPPER(D39)),2,1))&gt;=65,CODE(MID(TRIM(UPPER(D39)),2,1))&lt;=90,CODE(MID(TRIM(UPPER(D39)),3,1))&gt;=65,CODE(MID(TRIM(UPPER(D39)),3,1))&lt;=90,CODE(MID(TRIM(UPPER(D39)),4,1))&gt;=65,CODE(MID(TRIM(UPPER(D39)),4,1))&lt;=90,CODE(MID(TRIM(UPPER(D39)),5,1))&gt;=65,CODE(MID(TRIM(UPPER(D39)),5,1))&lt;=90,CODE(MID(TRIM(UPPER(D39)),10,1))&gt;=65,CODE(MID(TRIM(UPPER(D39)),10,1))&lt;=90,CODE(MID(TRIM(UPPER(D39)),6,1))&gt;=48,CODE(MID(TRIM(UPPER(D39)),6,1))&lt;=57,CODE(MID(TRIM(UPPER(D39)),7,1))&gt;=48,CODE(MID(TRIM(UPPER(D39)),7,1))&lt;=57,CODE(MID(TRIM(UPPER(D39)),8,1))&gt;=48,CODE(MID(TRIM(UPPER(D39)),8,1))&lt;=57,CODE(MID(TRIM(UPPER(D39)),9,1))&gt;=48,CODE(MID(TRIM(UPPER(D39)),9,1))&lt;=57),"N","Y"))</f>
      </c>
      <c r="F39" s="7">
        <f>IF($C39="","",IF(LEN(D39)&lt;4,"",IF(UPPER(MID(D39,4,1))="P","Individual",IF(UPPER(MID(D39,4,1))="H","HUF",IF(UPPER(MID(D39,4,1))="C","Company",IF(UPPER(MID(D39,4,1))="F","Firm",IF(UPPER(MID(D39,4,1))="L","LLP",IF(UPPER(MID(D39,4,1))="T","Trust",IF(UPPER(MID(D39,4,1))="A","AOP","")))))))))</f>
      </c>
      <c r="G39" s="8"/>
      <c r="H39" s="7">
        <f>IF($C39="","",IF(R39&lt;&gt;"",R39,IF(G39="","",IF(E39="Y",SUMPRODUCT(('Rate Lookup'!$A$1:$A$37=G39)*'Rate Lookup'!$D$1:$D$37),IF(OR(F39="Individual",F39="HUF"),SUMPRODUCT(('Rate Lookup'!$A$1:$A$37=G39)*'Rate Lookup'!$B$1:$B$37),SUMPRODUCT(('Rate Lookup'!$A$1:$A$37=G39)*'Rate Lookup'!$C$1:$C$37)))))))</f>
      </c>
      <c r="I39" s="8"/>
      <c r="J39" s="8"/>
      <c r="K39" s="7">
        <f>IF($C39="","",IF(OR(P39="B",P39="D",P39="E",P39="N",P39="O",P39="P",P39="Q",P39="S",P39="Y",P39="Z"),0,ROUND(J39*H39/100,0)))</f>
      </c>
      <c r="L39" s="7">
        <f>IF($C39="","",0)</f>
      </c>
      <c r="M39" s="7">
        <f>IF($C39="","",0)</f>
      </c>
      <c r="N39" s="7">
        <f>IF($C39="","",IF(OR(K39=0,I39="",IFERROR(INDEX('Challan Master'!$D$4:$D$207,MATCH($B39,'Challan Master'!$S$4:$S$207,0)),"")="",IFERROR(INDEX('Challan Master'!$D$4:$D$207,MATCH($B39,'Challan Master'!$S$4:$S$207,0)),"")&lt;=0),0,IF(IFERROR(INDEX('Challan Master'!$D$4:$D$207,MATCH($B39,'Challan Master'!$S$4:$S$207,0)),"")&lt;=DATE(YEAR(I39),MONTH(I39)+1,7),0,ROUND(K39*0.015*((YEAR(IFERROR(INDEX('Challan Master'!$D$4:$D$207,MATCH($B39,'Challan Master'!$S$4:$S$207,0)),""))-YEAR(I39))*12+(MONTH(IFERROR(INDEX('Challan Master'!$D$4:$D$207,MATCH($B39,'Challan Master'!$S$4:$S$207,0)),""))-MONTH(I39))+1),0))))</f>
      </c>
      <c r="O39" s="7">
        <f>IF($C39="","",0)</f>
      </c>
      <c r="P39" s="8"/>
      <c r="Q39" s="8"/>
      <c r="R39" s="8"/>
      <c r="S39" s="8"/>
      <c r="T39" s="8"/>
      <c r="U39" s="7">
        <f>IF($B39="","",IFERROR(INDEX('Challan Master'!$AA$4:$AA$207,MATCH($B39,'Challan Master'!$S$4:$S$207,0)),""))</f>
      </c>
    </row>
    <row r="40" spans="1:22" x14ac:dyDescent="0.25">
      <c r="A40" s="7">
        <f>IF($C40="","",COUNTIF($C$4:$C40,"&lt;&gt;"))</f>
      </c>
      <c r="B40" s="8"/>
      <c r="C40" s="8"/>
      <c r="D40" s="8"/>
      <c r="E40" s="7">
        <f>IF($C40="","",IF(AND(LEN(TRIM(UPPER(D40)))=10,CODE(MID(TRIM(UPPER(D40)),1,1))&gt;=65,CODE(MID(TRIM(UPPER(D40)),1,1))&lt;=90,CODE(MID(TRIM(UPPER(D40)),2,1))&gt;=65,CODE(MID(TRIM(UPPER(D40)),2,1))&lt;=90,CODE(MID(TRIM(UPPER(D40)),3,1))&gt;=65,CODE(MID(TRIM(UPPER(D40)),3,1))&lt;=90,CODE(MID(TRIM(UPPER(D40)),4,1))&gt;=65,CODE(MID(TRIM(UPPER(D40)),4,1))&lt;=90,CODE(MID(TRIM(UPPER(D40)),5,1))&gt;=65,CODE(MID(TRIM(UPPER(D40)),5,1))&lt;=90,CODE(MID(TRIM(UPPER(D40)),10,1))&gt;=65,CODE(MID(TRIM(UPPER(D40)),10,1))&lt;=90,CODE(MID(TRIM(UPPER(D40)),6,1))&gt;=48,CODE(MID(TRIM(UPPER(D40)),6,1))&lt;=57,CODE(MID(TRIM(UPPER(D40)),7,1))&gt;=48,CODE(MID(TRIM(UPPER(D40)),7,1))&lt;=57,CODE(MID(TRIM(UPPER(D40)),8,1))&gt;=48,CODE(MID(TRIM(UPPER(D40)),8,1))&lt;=57,CODE(MID(TRIM(UPPER(D40)),9,1))&gt;=48,CODE(MID(TRIM(UPPER(D40)),9,1))&lt;=57),"N","Y"))</f>
      </c>
      <c r="F40" s="7">
        <f>IF($C40="","",IF(LEN(D40)&lt;4,"",IF(UPPER(MID(D40,4,1))="P","Individual",IF(UPPER(MID(D40,4,1))="H","HUF",IF(UPPER(MID(D40,4,1))="C","Company",IF(UPPER(MID(D40,4,1))="F","Firm",IF(UPPER(MID(D40,4,1))="L","LLP",IF(UPPER(MID(D40,4,1))="T","Trust",IF(UPPER(MID(D40,4,1))="A","AOP","")))))))))</f>
      </c>
      <c r="G40" s="8"/>
      <c r="H40" s="7">
        <f>IF($C40="","",IF(R40&lt;&gt;"",R40,IF(G40="","",IF(E40="Y",SUMPRODUCT(('Rate Lookup'!$A$1:$A$37=G40)*'Rate Lookup'!$D$1:$D$37),IF(OR(F40="Individual",F40="HUF"),SUMPRODUCT(('Rate Lookup'!$A$1:$A$37=G40)*'Rate Lookup'!$B$1:$B$37),SUMPRODUCT(('Rate Lookup'!$A$1:$A$37=G40)*'Rate Lookup'!$C$1:$C$37)))))))</f>
      </c>
      <c r="I40" s="8"/>
      <c r="J40" s="8"/>
      <c r="K40" s="7">
        <f>IF($C40="","",IF(OR(P40="B",P40="D",P40="E",P40="N",P40="O",P40="P",P40="Q",P40="S",P40="Y",P40="Z"),0,ROUND(J40*H40/100,0)))</f>
      </c>
      <c r="L40" s="7">
        <f>IF($C40="","",0)</f>
      </c>
      <c r="M40" s="7">
        <f>IF($C40="","",0)</f>
      </c>
      <c r="N40" s="7">
        <f>IF($C40="","",IF(OR(K40=0,I40="",IFERROR(INDEX('Challan Master'!$D$4:$D$207,MATCH($B40,'Challan Master'!$S$4:$S$207,0)),"")="",IFERROR(INDEX('Challan Master'!$D$4:$D$207,MATCH($B40,'Challan Master'!$S$4:$S$207,0)),"")&lt;=0),0,IF(IFERROR(INDEX('Challan Master'!$D$4:$D$207,MATCH($B40,'Challan Master'!$S$4:$S$207,0)),"")&lt;=DATE(YEAR(I40),MONTH(I40)+1,7),0,ROUND(K40*0.015*((YEAR(IFERROR(INDEX('Challan Master'!$D$4:$D$207,MATCH($B40,'Challan Master'!$S$4:$S$207,0)),""))-YEAR(I40))*12+(MONTH(IFERROR(INDEX('Challan Master'!$D$4:$D$207,MATCH($B40,'Challan Master'!$S$4:$S$207,0)),""))-MONTH(I40))+1),0))))</f>
      </c>
      <c r="O40" s="7">
        <f>IF($C40="","",0)</f>
      </c>
      <c r="P40" s="8"/>
      <c r="Q40" s="8"/>
      <c r="R40" s="8"/>
      <c r="S40" s="8"/>
      <c r="T40" s="8"/>
      <c r="U40" s="7">
        <f>IF($B40="","",IFERROR(INDEX('Challan Master'!$AA$4:$AA$207,MATCH($B40,'Challan Master'!$S$4:$S$207,0)),""))</f>
      </c>
    </row>
    <row r="41" spans="1:22" x14ac:dyDescent="0.25">
      <c r="A41" s="7">
        <f>IF($C41="","",COUNTIF($C$4:$C41,"&lt;&gt;"))</f>
      </c>
      <c r="B41" s="8"/>
      <c r="C41" s="8"/>
      <c r="D41" s="8"/>
      <c r="E41" s="7">
        <f>IF($C41="","",IF(AND(LEN(TRIM(UPPER(D41)))=10,CODE(MID(TRIM(UPPER(D41)),1,1))&gt;=65,CODE(MID(TRIM(UPPER(D41)),1,1))&lt;=90,CODE(MID(TRIM(UPPER(D41)),2,1))&gt;=65,CODE(MID(TRIM(UPPER(D41)),2,1))&lt;=90,CODE(MID(TRIM(UPPER(D41)),3,1))&gt;=65,CODE(MID(TRIM(UPPER(D41)),3,1))&lt;=90,CODE(MID(TRIM(UPPER(D41)),4,1))&gt;=65,CODE(MID(TRIM(UPPER(D41)),4,1))&lt;=90,CODE(MID(TRIM(UPPER(D41)),5,1))&gt;=65,CODE(MID(TRIM(UPPER(D41)),5,1))&lt;=90,CODE(MID(TRIM(UPPER(D41)),10,1))&gt;=65,CODE(MID(TRIM(UPPER(D41)),10,1))&lt;=90,CODE(MID(TRIM(UPPER(D41)),6,1))&gt;=48,CODE(MID(TRIM(UPPER(D41)),6,1))&lt;=57,CODE(MID(TRIM(UPPER(D41)),7,1))&gt;=48,CODE(MID(TRIM(UPPER(D41)),7,1))&lt;=57,CODE(MID(TRIM(UPPER(D41)),8,1))&gt;=48,CODE(MID(TRIM(UPPER(D41)),8,1))&lt;=57,CODE(MID(TRIM(UPPER(D41)),9,1))&gt;=48,CODE(MID(TRIM(UPPER(D41)),9,1))&lt;=57),"N","Y"))</f>
      </c>
      <c r="F41" s="7">
        <f>IF($C41="","",IF(LEN(D41)&lt;4,"",IF(UPPER(MID(D41,4,1))="P","Individual",IF(UPPER(MID(D41,4,1))="H","HUF",IF(UPPER(MID(D41,4,1))="C","Company",IF(UPPER(MID(D41,4,1))="F","Firm",IF(UPPER(MID(D41,4,1))="L","LLP",IF(UPPER(MID(D41,4,1))="T","Trust",IF(UPPER(MID(D41,4,1))="A","AOP","")))))))))</f>
      </c>
      <c r="G41" s="8"/>
      <c r="H41" s="7">
        <f>IF($C41="","",IF(R41&lt;&gt;"",R41,IF(G41="","",IF(E41="Y",SUMPRODUCT(('Rate Lookup'!$A$1:$A$37=G41)*'Rate Lookup'!$D$1:$D$37),IF(OR(F41="Individual",F41="HUF"),SUMPRODUCT(('Rate Lookup'!$A$1:$A$37=G41)*'Rate Lookup'!$B$1:$B$37),SUMPRODUCT(('Rate Lookup'!$A$1:$A$37=G41)*'Rate Lookup'!$C$1:$C$37)))))))</f>
      </c>
      <c r="I41" s="8"/>
      <c r="J41" s="8"/>
      <c r="K41" s="7">
        <f>IF($C41="","",IF(OR(P41="B",P41="D",P41="E",P41="N",P41="O",P41="P",P41="Q",P41="S",P41="Y",P41="Z"),0,ROUND(J41*H41/100,0)))</f>
      </c>
      <c r="L41" s="7">
        <f>IF($C41="","",0)</f>
      </c>
      <c r="M41" s="7">
        <f>IF($C41="","",0)</f>
      </c>
      <c r="N41" s="7">
        <f>IF($C41="","",IF(OR(K41=0,I41="",IFERROR(INDEX('Challan Master'!$D$4:$D$207,MATCH($B41,'Challan Master'!$S$4:$S$207,0)),"")="",IFERROR(INDEX('Challan Master'!$D$4:$D$207,MATCH($B41,'Challan Master'!$S$4:$S$207,0)),"")&lt;=0),0,IF(IFERROR(INDEX('Challan Master'!$D$4:$D$207,MATCH($B41,'Challan Master'!$S$4:$S$207,0)),"")&lt;=DATE(YEAR(I41),MONTH(I41)+1,7),0,ROUND(K41*0.015*((YEAR(IFERROR(INDEX('Challan Master'!$D$4:$D$207,MATCH($B41,'Challan Master'!$S$4:$S$207,0)),""))-YEAR(I41))*12+(MONTH(IFERROR(INDEX('Challan Master'!$D$4:$D$207,MATCH($B41,'Challan Master'!$S$4:$S$207,0)),""))-MONTH(I41))+1),0))))</f>
      </c>
      <c r="O41" s="7">
        <f>IF($C41="","",0)</f>
      </c>
      <c r="P41" s="8"/>
      <c r="Q41" s="8"/>
      <c r="R41" s="8"/>
      <c r="S41" s="8"/>
      <c r="T41" s="8"/>
      <c r="U41" s="7">
        <f>IF($B41="","",IFERROR(INDEX('Challan Master'!$AA$4:$AA$207,MATCH($B41,'Challan Master'!$S$4:$S$207,0)),""))</f>
      </c>
    </row>
    <row r="42" spans="1:22" x14ac:dyDescent="0.25">
      <c r="A42" s="7">
        <f>IF($C42="","",COUNTIF($C$4:$C42,"&lt;&gt;"))</f>
      </c>
      <c r="B42" s="8"/>
      <c r="C42" s="8"/>
      <c r="D42" s="8"/>
      <c r="E42" s="7">
        <f>IF($C42="","",IF(AND(LEN(TRIM(UPPER(D42)))=10,CODE(MID(TRIM(UPPER(D42)),1,1))&gt;=65,CODE(MID(TRIM(UPPER(D42)),1,1))&lt;=90,CODE(MID(TRIM(UPPER(D42)),2,1))&gt;=65,CODE(MID(TRIM(UPPER(D42)),2,1))&lt;=90,CODE(MID(TRIM(UPPER(D42)),3,1))&gt;=65,CODE(MID(TRIM(UPPER(D42)),3,1))&lt;=90,CODE(MID(TRIM(UPPER(D42)),4,1))&gt;=65,CODE(MID(TRIM(UPPER(D42)),4,1))&lt;=90,CODE(MID(TRIM(UPPER(D42)),5,1))&gt;=65,CODE(MID(TRIM(UPPER(D42)),5,1))&lt;=90,CODE(MID(TRIM(UPPER(D42)),10,1))&gt;=65,CODE(MID(TRIM(UPPER(D42)),10,1))&lt;=90,CODE(MID(TRIM(UPPER(D42)),6,1))&gt;=48,CODE(MID(TRIM(UPPER(D42)),6,1))&lt;=57,CODE(MID(TRIM(UPPER(D42)),7,1))&gt;=48,CODE(MID(TRIM(UPPER(D42)),7,1))&lt;=57,CODE(MID(TRIM(UPPER(D42)),8,1))&gt;=48,CODE(MID(TRIM(UPPER(D42)),8,1))&lt;=57,CODE(MID(TRIM(UPPER(D42)),9,1))&gt;=48,CODE(MID(TRIM(UPPER(D42)),9,1))&lt;=57),"N","Y"))</f>
      </c>
      <c r="F42" s="7">
        <f>IF($C42="","",IF(LEN(D42)&lt;4,"",IF(UPPER(MID(D42,4,1))="P","Individual",IF(UPPER(MID(D42,4,1))="H","HUF",IF(UPPER(MID(D42,4,1))="C","Company",IF(UPPER(MID(D42,4,1))="F","Firm",IF(UPPER(MID(D42,4,1))="L","LLP",IF(UPPER(MID(D42,4,1))="T","Trust",IF(UPPER(MID(D42,4,1))="A","AOP","")))))))))</f>
      </c>
      <c r="G42" s="8"/>
      <c r="H42" s="7">
        <f>IF($C42="","",IF(R42&lt;&gt;"",R42,IF(G42="","",IF(E42="Y",SUMPRODUCT(('Rate Lookup'!$A$1:$A$37=G42)*'Rate Lookup'!$D$1:$D$37),IF(OR(F42="Individual",F42="HUF"),SUMPRODUCT(('Rate Lookup'!$A$1:$A$37=G42)*'Rate Lookup'!$B$1:$B$37),SUMPRODUCT(('Rate Lookup'!$A$1:$A$37=G42)*'Rate Lookup'!$C$1:$C$37)))))))</f>
      </c>
      <c r="I42" s="8"/>
      <c r="J42" s="8"/>
      <c r="K42" s="7">
        <f>IF($C42="","",IF(OR(P42="B",P42="D",P42="E",P42="N",P42="O",P42="P",P42="Q",P42="S",P42="Y",P42="Z"),0,ROUND(J42*H42/100,0)))</f>
      </c>
      <c r="L42" s="7">
        <f>IF($C42="","",0)</f>
      </c>
      <c r="M42" s="7">
        <f>IF($C42="","",0)</f>
      </c>
      <c r="N42" s="7">
        <f>IF($C42="","",IF(OR(K42=0,I42="",IFERROR(INDEX('Challan Master'!$D$4:$D$207,MATCH($B42,'Challan Master'!$S$4:$S$207,0)),"")="",IFERROR(INDEX('Challan Master'!$D$4:$D$207,MATCH($B42,'Challan Master'!$S$4:$S$207,0)),"")&lt;=0),0,IF(IFERROR(INDEX('Challan Master'!$D$4:$D$207,MATCH($B42,'Challan Master'!$S$4:$S$207,0)),"")&lt;=DATE(YEAR(I42),MONTH(I42)+1,7),0,ROUND(K42*0.015*((YEAR(IFERROR(INDEX('Challan Master'!$D$4:$D$207,MATCH($B42,'Challan Master'!$S$4:$S$207,0)),""))-YEAR(I42))*12+(MONTH(IFERROR(INDEX('Challan Master'!$D$4:$D$207,MATCH($B42,'Challan Master'!$S$4:$S$207,0)),""))-MONTH(I42))+1),0))))</f>
      </c>
      <c r="O42" s="7">
        <f>IF($C42="","",0)</f>
      </c>
      <c r="P42" s="8"/>
      <c r="Q42" s="8"/>
      <c r="R42" s="8"/>
      <c r="S42" s="8"/>
      <c r="T42" s="8"/>
      <c r="U42" s="7">
        <f>IF($B42="","",IFERROR(INDEX('Challan Master'!$AA$4:$AA$207,MATCH($B42,'Challan Master'!$S$4:$S$207,0)),""))</f>
      </c>
    </row>
    <row r="43" spans="1:22" x14ac:dyDescent="0.25">
      <c r="A43" s="7">
        <f>IF($C43="","",COUNTIF($C$4:$C43,"&lt;&gt;"))</f>
      </c>
      <c r="B43" s="8"/>
      <c r="C43" s="8"/>
      <c r="D43" s="8"/>
      <c r="E43" s="7">
        <f>IF($C43="","",IF(AND(LEN(TRIM(UPPER(D43)))=10,CODE(MID(TRIM(UPPER(D43)),1,1))&gt;=65,CODE(MID(TRIM(UPPER(D43)),1,1))&lt;=90,CODE(MID(TRIM(UPPER(D43)),2,1))&gt;=65,CODE(MID(TRIM(UPPER(D43)),2,1))&lt;=90,CODE(MID(TRIM(UPPER(D43)),3,1))&gt;=65,CODE(MID(TRIM(UPPER(D43)),3,1))&lt;=90,CODE(MID(TRIM(UPPER(D43)),4,1))&gt;=65,CODE(MID(TRIM(UPPER(D43)),4,1))&lt;=90,CODE(MID(TRIM(UPPER(D43)),5,1))&gt;=65,CODE(MID(TRIM(UPPER(D43)),5,1))&lt;=90,CODE(MID(TRIM(UPPER(D43)),10,1))&gt;=65,CODE(MID(TRIM(UPPER(D43)),10,1))&lt;=90,CODE(MID(TRIM(UPPER(D43)),6,1))&gt;=48,CODE(MID(TRIM(UPPER(D43)),6,1))&lt;=57,CODE(MID(TRIM(UPPER(D43)),7,1))&gt;=48,CODE(MID(TRIM(UPPER(D43)),7,1))&lt;=57,CODE(MID(TRIM(UPPER(D43)),8,1))&gt;=48,CODE(MID(TRIM(UPPER(D43)),8,1))&lt;=57,CODE(MID(TRIM(UPPER(D43)),9,1))&gt;=48,CODE(MID(TRIM(UPPER(D43)),9,1))&lt;=57),"N","Y"))</f>
      </c>
      <c r="F43" s="7">
        <f>IF($C43="","",IF(LEN(D43)&lt;4,"",IF(UPPER(MID(D43,4,1))="P","Individual",IF(UPPER(MID(D43,4,1))="H","HUF",IF(UPPER(MID(D43,4,1))="C","Company",IF(UPPER(MID(D43,4,1))="F","Firm",IF(UPPER(MID(D43,4,1))="L","LLP",IF(UPPER(MID(D43,4,1))="T","Trust",IF(UPPER(MID(D43,4,1))="A","AOP","")))))))))</f>
      </c>
      <c r="G43" s="8"/>
      <c r="H43" s="7">
        <f>IF($C43="","",IF(R43&lt;&gt;"",R43,IF(G43="","",IF(E43="Y",SUMPRODUCT(('Rate Lookup'!$A$1:$A$37=G43)*'Rate Lookup'!$D$1:$D$37),IF(OR(F43="Individual",F43="HUF"),SUMPRODUCT(('Rate Lookup'!$A$1:$A$37=G43)*'Rate Lookup'!$B$1:$B$37),SUMPRODUCT(('Rate Lookup'!$A$1:$A$37=G43)*'Rate Lookup'!$C$1:$C$37)))))))</f>
      </c>
      <c r="I43" s="8"/>
      <c r="J43" s="8"/>
      <c r="K43" s="7">
        <f>IF($C43="","",IF(OR(P43="B",P43="D",P43="E",P43="N",P43="O",P43="P",P43="Q",P43="S",P43="Y",P43="Z"),0,ROUND(J43*H43/100,0)))</f>
      </c>
      <c r="L43" s="7">
        <f>IF($C43="","",0)</f>
      </c>
      <c r="M43" s="7">
        <f>IF($C43="","",0)</f>
      </c>
      <c r="N43" s="7">
        <f>IF($C43="","",IF(OR(K43=0,I43="",IFERROR(INDEX('Challan Master'!$D$4:$D$207,MATCH($B43,'Challan Master'!$S$4:$S$207,0)),"")="",IFERROR(INDEX('Challan Master'!$D$4:$D$207,MATCH($B43,'Challan Master'!$S$4:$S$207,0)),"")&lt;=0),0,IF(IFERROR(INDEX('Challan Master'!$D$4:$D$207,MATCH($B43,'Challan Master'!$S$4:$S$207,0)),"")&lt;=DATE(YEAR(I43),MONTH(I43)+1,7),0,ROUND(K43*0.015*((YEAR(IFERROR(INDEX('Challan Master'!$D$4:$D$207,MATCH($B43,'Challan Master'!$S$4:$S$207,0)),""))-YEAR(I43))*12+(MONTH(IFERROR(INDEX('Challan Master'!$D$4:$D$207,MATCH($B43,'Challan Master'!$S$4:$S$207,0)),""))-MONTH(I43))+1),0))))</f>
      </c>
      <c r="O43" s="7">
        <f>IF($C43="","",0)</f>
      </c>
      <c r="P43" s="8"/>
      <c r="Q43" s="8"/>
      <c r="R43" s="8"/>
      <c r="S43" s="8"/>
      <c r="T43" s="8"/>
      <c r="U43" s="7">
        <f>IF($B43="","",IFERROR(INDEX('Challan Master'!$AA$4:$AA$207,MATCH($B43,'Challan Master'!$S$4:$S$207,0)),""))</f>
      </c>
    </row>
    <row r="44" spans="1:22" x14ac:dyDescent="0.25">
      <c r="A44" s="7">
        <f>IF($C44="","",COUNTIF($C$4:$C44,"&lt;&gt;"))</f>
      </c>
      <c r="B44" s="8"/>
      <c r="C44" s="8"/>
      <c r="D44" s="8"/>
      <c r="E44" s="7">
        <f>IF($C44="","",IF(AND(LEN(TRIM(UPPER(D44)))=10,CODE(MID(TRIM(UPPER(D44)),1,1))&gt;=65,CODE(MID(TRIM(UPPER(D44)),1,1))&lt;=90,CODE(MID(TRIM(UPPER(D44)),2,1))&gt;=65,CODE(MID(TRIM(UPPER(D44)),2,1))&lt;=90,CODE(MID(TRIM(UPPER(D44)),3,1))&gt;=65,CODE(MID(TRIM(UPPER(D44)),3,1))&lt;=90,CODE(MID(TRIM(UPPER(D44)),4,1))&gt;=65,CODE(MID(TRIM(UPPER(D44)),4,1))&lt;=90,CODE(MID(TRIM(UPPER(D44)),5,1))&gt;=65,CODE(MID(TRIM(UPPER(D44)),5,1))&lt;=90,CODE(MID(TRIM(UPPER(D44)),10,1))&gt;=65,CODE(MID(TRIM(UPPER(D44)),10,1))&lt;=90,CODE(MID(TRIM(UPPER(D44)),6,1))&gt;=48,CODE(MID(TRIM(UPPER(D44)),6,1))&lt;=57,CODE(MID(TRIM(UPPER(D44)),7,1))&gt;=48,CODE(MID(TRIM(UPPER(D44)),7,1))&lt;=57,CODE(MID(TRIM(UPPER(D44)),8,1))&gt;=48,CODE(MID(TRIM(UPPER(D44)),8,1))&lt;=57,CODE(MID(TRIM(UPPER(D44)),9,1))&gt;=48,CODE(MID(TRIM(UPPER(D44)),9,1))&lt;=57),"N","Y"))</f>
      </c>
      <c r="F44" s="7">
        <f>IF($C44="","",IF(LEN(D44)&lt;4,"",IF(UPPER(MID(D44,4,1))="P","Individual",IF(UPPER(MID(D44,4,1))="H","HUF",IF(UPPER(MID(D44,4,1))="C","Company",IF(UPPER(MID(D44,4,1))="F","Firm",IF(UPPER(MID(D44,4,1))="L","LLP",IF(UPPER(MID(D44,4,1))="T","Trust",IF(UPPER(MID(D44,4,1))="A","AOP","")))))))))</f>
      </c>
      <c r="G44" s="8"/>
      <c r="H44" s="7">
        <f>IF($C44="","",IF(R44&lt;&gt;"",R44,IF(G44="","",IF(E44="Y",SUMPRODUCT(('Rate Lookup'!$A$1:$A$37=G44)*'Rate Lookup'!$D$1:$D$37),IF(OR(F44="Individual",F44="HUF"),SUMPRODUCT(('Rate Lookup'!$A$1:$A$37=G44)*'Rate Lookup'!$B$1:$B$37),SUMPRODUCT(('Rate Lookup'!$A$1:$A$37=G44)*'Rate Lookup'!$C$1:$C$37)))))))</f>
      </c>
      <c r="I44" s="8"/>
      <c r="J44" s="8"/>
      <c r="K44" s="7">
        <f>IF($C44="","",IF(OR(P44="B",P44="D",P44="E",P44="N",P44="O",P44="P",P44="Q",P44="S",P44="Y",P44="Z"),0,ROUND(J44*H44/100,0)))</f>
      </c>
      <c r="L44" s="7">
        <f>IF($C44="","",0)</f>
      </c>
      <c r="M44" s="7">
        <f>IF($C44="","",0)</f>
      </c>
      <c r="N44" s="7">
        <f>IF($C44="","",IF(OR(K44=0,I44="",IFERROR(INDEX('Challan Master'!$D$4:$D$207,MATCH($B44,'Challan Master'!$S$4:$S$207,0)),"")="",IFERROR(INDEX('Challan Master'!$D$4:$D$207,MATCH($B44,'Challan Master'!$S$4:$S$207,0)),"")&lt;=0),0,IF(IFERROR(INDEX('Challan Master'!$D$4:$D$207,MATCH($B44,'Challan Master'!$S$4:$S$207,0)),"")&lt;=DATE(YEAR(I44),MONTH(I44)+1,7),0,ROUND(K44*0.015*((YEAR(IFERROR(INDEX('Challan Master'!$D$4:$D$207,MATCH($B44,'Challan Master'!$S$4:$S$207,0)),""))-YEAR(I44))*12+(MONTH(IFERROR(INDEX('Challan Master'!$D$4:$D$207,MATCH($B44,'Challan Master'!$S$4:$S$207,0)),""))-MONTH(I44))+1),0))))</f>
      </c>
      <c r="O44" s="7">
        <f>IF($C44="","",0)</f>
      </c>
      <c r="P44" s="8"/>
      <c r="Q44" s="8"/>
      <c r="R44" s="8"/>
      <c r="S44" s="8"/>
      <c r="T44" s="8"/>
      <c r="U44" s="7">
        <f>IF($B44="","",IFERROR(INDEX('Challan Master'!$AA$4:$AA$207,MATCH($B44,'Challan Master'!$S$4:$S$207,0)),""))</f>
      </c>
    </row>
    <row r="45" spans="1:22" x14ac:dyDescent="0.25">
      <c r="A45" s="7">
        <f>IF($C45="","",COUNTIF($C$4:$C45,"&lt;&gt;"))</f>
      </c>
      <c r="B45" s="8"/>
      <c r="C45" s="8"/>
      <c r="D45" s="8"/>
      <c r="E45" s="7">
        <f>IF($C45="","",IF(AND(LEN(TRIM(UPPER(D45)))=10,CODE(MID(TRIM(UPPER(D45)),1,1))&gt;=65,CODE(MID(TRIM(UPPER(D45)),1,1))&lt;=90,CODE(MID(TRIM(UPPER(D45)),2,1))&gt;=65,CODE(MID(TRIM(UPPER(D45)),2,1))&lt;=90,CODE(MID(TRIM(UPPER(D45)),3,1))&gt;=65,CODE(MID(TRIM(UPPER(D45)),3,1))&lt;=90,CODE(MID(TRIM(UPPER(D45)),4,1))&gt;=65,CODE(MID(TRIM(UPPER(D45)),4,1))&lt;=90,CODE(MID(TRIM(UPPER(D45)),5,1))&gt;=65,CODE(MID(TRIM(UPPER(D45)),5,1))&lt;=90,CODE(MID(TRIM(UPPER(D45)),10,1))&gt;=65,CODE(MID(TRIM(UPPER(D45)),10,1))&lt;=90,CODE(MID(TRIM(UPPER(D45)),6,1))&gt;=48,CODE(MID(TRIM(UPPER(D45)),6,1))&lt;=57,CODE(MID(TRIM(UPPER(D45)),7,1))&gt;=48,CODE(MID(TRIM(UPPER(D45)),7,1))&lt;=57,CODE(MID(TRIM(UPPER(D45)),8,1))&gt;=48,CODE(MID(TRIM(UPPER(D45)),8,1))&lt;=57,CODE(MID(TRIM(UPPER(D45)),9,1))&gt;=48,CODE(MID(TRIM(UPPER(D45)),9,1))&lt;=57),"N","Y"))</f>
      </c>
      <c r="F45" s="7">
        <f>IF($C45="","",IF(LEN(D45)&lt;4,"",IF(UPPER(MID(D45,4,1))="P","Individual",IF(UPPER(MID(D45,4,1))="H","HUF",IF(UPPER(MID(D45,4,1))="C","Company",IF(UPPER(MID(D45,4,1))="F","Firm",IF(UPPER(MID(D45,4,1))="L","LLP",IF(UPPER(MID(D45,4,1))="T","Trust",IF(UPPER(MID(D45,4,1))="A","AOP","")))))))))</f>
      </c>
      <c r="G45" s="8"/>
      <c r="H45" s="7">
        <f>IF($C45="","",IF(R45&lt;&gt;"",R45,IF(G45="","",IF(E45="Y",SUMPRODUCT(('Rate Lookup'!$A$1:$A$37=G45)*'Rate Lookup'!$D$1:$D$37),IF(OR(F45="Individual",F45="HUF"),SUMPRODUCT(('Rate Lookup'!$A$1:$A$37=G45)*'Rate Lookup'!$B$1:$B$37),SUMPRODUCT(('Rate Lookup'!$A$1:$A$37=G45)*'Rate Lookup'!$C$1:$C$37)))))))</f>
      </c>
      <c r="I45" s="8"/>
      <c r="J45" s="8"/>
      <c r="K45" s="7">
        <f>IF($C45="","",IF(OR(P45="B",P45="D",P45="E",P45="N",P45="O",P45="P",P45="Q",P45="S",P45="Y",P45="Z"),0,ROUND(J45*H45/100,0)))</f>
      </c>
      <c r="L45" s="7">
        <f>IF($C45="","",0)</f>
      </c>
      <c r="M45" s="7">
        <f>IF($C45="","",0)</f>
      </c>
      <c r="N45" s="7">
        <f>IF($C45="","",IF(OR(K45=0,I45="",IFERROR(INDEX('Challan Master'!$D$4:$D$207,MATCH($B45,'Challan Master'!$S$4:$S$207,0)),"")="",IFERROR(INDEX('Challan Master'!$D$4:$D$207,MATCH($B45,'Challan Master'!$S$4:$S$207,0)),"")&lt;=0),0,IF(IFERROR(INDEX('Challan Master'!$D$4:$D$207,MATCH($B45,'Challan Master'!$S$4:$S$207,0)),"")&lt;=DATE(YEAR(I45),MONTH(I45)+1,7),0,ROUND(K45*0.015*((YEAR(IFERROR(INDEX('Challan Master'!$D$4:$D$207,MATCH($B45,'Challan Master'!$S$4:$S$207,0)),""))-YEAR(I45))*12+(MONTH(IFERROR(INDEX('Challan Master'!$D$4:$D$207,MATCH($B45,'Challan Master'!$S$4:$S$207,0)),""))-MONTH(I45))+1),0))))</f>
      </c>
      <c r="O45" s="7">
        <f>IF($C45="","",0)</f>
      </c>
      <c r="P45" s="8"/>
      <c r="Q45" s="8"/>
      <c r="R45" s="8"/>
      <c r="S45" s="8"/>
      <c r="T45" s="8"/>
      <c r="U45" s="7">
        <f>IF($B45="","",IFERROR(INDEX('Challan Master'!$AA$4:$AA$207,MATCH($B45,'Challan Master'!$S$4:$S$207,0)),""))</f>
      </c>
    </row>
    <row r="46" spans="1:22" x14ac:dyDescent="0.25">
      <c r="A46" s="7">
        <f>IF($C46="","",COUNTIF($C$4:$C46,"&lt;&gt;"))</f>
      </c>
      <c r="B46" s="8"/>
      <c r="C46" s="8"/>
      <c r="D46" s="8"/>
      <c r="E46" s="7">
        <f>IF($C46="","",IF(AND(LEN(TRIM(UPPER(D46)))=10,CODE(MID(TRIM(UPPER(D46)),1,1))&gt;=65,CODE(MID(TRIM(UPPER(D46)),1,1))&lt;=90,CODE(MID(TRIM(UPPER(D46)),2,1))&gt;=65,CODE(MID(TRIM(UPPER(D46)),2,1))&lt;=90,CODE(MID(TRIM(UPPER(D46)),3,1))&gt;=65,CODE(MID(TRIM(UPPER(D46)),3,1))&lt;=90,CODE(MID(TRIM(UPPER(D46)),4,1))&gt;=65,CODE(MID(TRIM(UPPER(D46)),4,1))&lt;=90,CODE(MID(TRIM(UPPER(D46)),5,1))&gt;=65,CODE(MID(TRIM(UPPER(D46)),5,1))&lt;=90,CODE(MID(TRIM(UPPER(D46)),10,1))&gt;=65,CODE(MID(TRIM(UPPER(D46)),10,1))&lt;=90,CODE(MID(TRIM(UPPER(D46)),6,1))&gt;=48,CODE(MID(TRIM(UPPER(D46)),6,1))&lt;=57,CODE(MID(TRIM(UPPER(D46)),7,1))&gt;=48,CODE(MID(TRIM(UPPER(D46)),7,1))&lt;=57,CODE(MID(TRIM(UPPER(D46)),8,1))&gt;=48,CODE(MID(TRIM(UPPER(D46)),8,1))&lt;=57,CODE(MID(TRIM(UPPER(D46)),9,1))&gt;=48,CODE(MID(TRIM(UPPER(D46)),9,1))&lt;=57),"N","Y"))</f>
      </c>
      <c r="F46" s="7">
        <f>IF($C46="","",IF(LEN(D46)&lt;4,"",IF(UPPER(MID(D46,4,1))="P","Individual",IF(UPPER(MID(D46,4,1))="H","HUF",IF(UPPER(MID(D46,4,1))="C","Company",IF(UPPER(MID(D46,4,1))="F","Firm",IF(UPPER(MID(D46,4,1))="L","LLP",IF(UPPER(MID(D46,4,1))="T","Trust",IF(UPPER(MID(D46,4,1))="A","AOP","")))))))))</f>
      </c>
      <c r="G46" s="8"/>
      <c r="H46" s="7">
        <f>IF($C46="","",IF(R46&lt;&gt;"",R46,IF(G46="","",IF(E46="Y",SUMPRODUCT(('Rate Lookup'!$A$1:$A$37=G46)*'Rate Lookup'!$D$1:$D$37),IF(OR(F46="Individual",F46="HUF"),SUMPRODUCT(('Rate Lookup'!$A$1:$A$37=G46)*'Rate Lookup'!$B$1:$B$37),SUMPRODUCT(('Rate Lookup'!$A$1:$A$37=G46)*'Rate Lookup'!$C$1:$C$37)))))))</f>
      </c>
      <c r="I46" s="8"/>
      <c r="J46" s="8"/>
      <c r="K46" s="7">
        <f>IF($C46="","",IF(OR(P46="B",P46="D",P46="E",P46="N",P46="O",P46="P",P46="Q",P46="S",P46="Y",P46="Z"),0,ROUND(J46*H46/100,0)))</f>
      </c>
      <c r="L46" s="7">
        <f>IF($C46="","",0)</f>
      </c>
      <c r="M46" s="7">
        <f>IF($C46="","",0)</f>
      </c>
      <c r="N46" s="7">
        <f>IF($C46="","",IF(OR(K46=0,I46="",IFERROR(INDEX('Challan Master'!$D$4:$D$207,MATCH($B46,'Challan Master'!$S$4:$S$207,0)),"")="",IFERROR(INDEX('Challan Master'!$D$4:$D$207,MATCH($B46,'Challan Master'!$S$4:$S$207,0)),"")&lt;=0),0,IF(IFERROR(INDEX('Challan Master'!$D$4:$D$207,MATCH($B46,'Challan Master'!$S$4:$S$207,0)),"")&lt;=DATE(YEAR(I46),MONTH(I46)+1,7),0,ROUND(K46*0.015*((YEAR(IFERROR(INDEX('Challan Master'!$D$4:$D$207,MATCH($B46,'Challan Master'!$S$4:$S$207,0)),""))-YEAR(I46))*12+(MONTH(IFERROR(INDEX('Challan Master'!$D$4:$D$207,MATCH($B46,'Challan Master'!$S$4:$S$207,0)),""))-MONTH(I46))+1),0))))</f>
      </c>
      <c r="O46" s="7">
        <f>IF($C46="","",0)</f>
      </c>
      <c r="P46" s="8"/>
      <c r="Q46" s="8"/>
      <c r="R46" s="8"/>
      <c r="S46" s="8"/>
      <c r="T46" s="8"/>
      <c r="U46" s="7">
        <f>IF($B46="","",IFERROR(INDEX('Challan Master'!$AA$4:$AA$207,MATCH($B46,'Challan Master'!$S$4:$S$207,0)),""))</f>
      </c>
    </row>
    <row r="47" spans="1:22" x14ac:dyDescent="0.25">
      <c r="A47" s="7">
        <f>IF($C47="","",COUNTIF($C$4:$C47,"&lt;&gt;"))</f>
      </c>
      <c r="B47" s="8"/>
      <c r="C47" s="8"/>
      <c r="D47" s="8"/>
      <c r="E47" s="7">
        <f>IF($C47="","",IF(AND(LEN(TRIM(UPPER(D47)))=10,CODE(MID(TRIM(UPPER(D47)),1,1))&gt;=65,CODE(MID(TRIM(UPPER(D47)),1,1))&lt;=90,CODE(MID(TRIM(UPPER(D47)),2,1))&gt;=65,CODE(MID(TRIM(UPPER(D47)),2,1))&lt;=90,CODE(MID(TRIM(UPPER(D47)),3,1))&gt;=65,CODE(MID(TRIM(UPPER(D47)),3,1))&lt;=90,CODE(MID(TRIM(UPPER(D47)),4,1))&gt;=65,CODE(MID(TRIM(UPPER(D47)),4,1))&lt;=90,CODE(MID(TRIM(UPPER(D47)),5,1))&gt;=65,CODE(MID(TRIM(UPPER(D47)),5,1))&lt;=90,CODE(MID(TRIM(UPPER(D47)),10,1))&gt;=65,CODE(MID(TRIM(UPPER(D47)),10,1))&lt;=90,CODE(MID(TRIM(UPPER(D47)),6,1))&gt;=48,CODE(MID(TRIM(UPPER(D47)),6,1))&lt;=57,CODE(MID(TRIM(UPPER(D47)),7,1))&gt;=48,CODE(MID(TRIM(UPPER(D47)),7,1))&lt;=57,CODE(MID(TRIM(UPPER(D47)),8,1))&gt;=48,CODE(MID(TRIM(UPPER(D47)),8,1))&lt;=57,CODE(MID(TRIM(UPPER(D47)),9,1))&gt;=48,CODE(MID(TRIM(UPPER(D47)),9,1))&lt;=57),"N","Y"))</f>
      </c>
      <c r="F47" s="7">
        <f>IF($C47="","",IF(LEN(D47)&lt;4,"",IF(UPPER(MID(D47,4,1))="P","Individual",IF(UPPER(MID(D47,4,1))="H","HUF",IF(UPPER(MID(D47,4,1))="C","Company",IF(UPPER(MID(D47,4,1))="F","Firm",IF(UPPER(MID(D47,4,1))="L","LLP",IF(UPPER(MID(D47,4,1))="T","Trust",IF(UPPER(MID(D47,4,1))="A","AOP","")))))))))</f>
      </c>
      <c r="G47" s="8"/>
      <c r="H47" s="7">
        <f>IF($C47="","",IF(R47&lt;&gt;"",R47,IF(G47="","",IF(E47="Y",SUMPRODUCT(('Rate Lookup'!$A$1:$A$37=G47)*'Rate Lookup'!$D$1:$D$37),IF(OR(F47="Individual",F47="HUF"),SUMPRODUCT(('Rate Lookup'!$A$1:$A$37=G47)*'Rate Lookup'!$B$1:$B$37),SUMPRODUCT(('Rate Lookup'!$A$1:$A$37=G47)*'Rate Lookup'!$C$1:$C$37)))))))</f>
      </c>
      <c r="I47" s="8"/>
      <c r="J47" s="8"/>
      <c r="K47" s="7">
        <f>IF($C47="","",IF(OR(P47="B",P47="D",P47="E",P47="N",P47="O",P47="P",P47="Q",P47="S",P47="Y",P47="Z"),0,ROUND(J47*H47/100,0)))</f>
      </c>
      <c r="L47" s="7">
        <f>IF($C47="","",0)</f>
      </c>
      <c r="M47" s="7">
        <f>IF($C47="","",0)</f>
      </c>
      <c r="N47" s="7">
        <f>IF($C47="","",IF(OR(K47=0,I47="",IFERROR(INDEX('Challan Master'!$D$4:$D$207,MATCH($B47,'Challan Master'!$S$4:$S$207,0)),"")="",IFERROR(INDEX('Challan Master'!$D$4:$D$207,MATCH($B47,'Challan Master'!$S$4:$S$207,0)),"")&lt;=0),0,IF(IFERROR(INDEX('Challan Master'!$D$4:$D$207,MATCH($B47,'Challan Master'!$S$4:$S$207,0)),"")&lt;=DATE(YEAR(I47),MONTH(I47)+1,7),0,ROUND(K47*0.015*((YEAR(IFERROR(INDEX('Challan Master'!$D$4:$D$207,MATCH($B47,'Challan Master'!$S$4:$S$207,0)),""))-YEAR(I47))*12+(MONTH(IFERROR(INDEX('Challan Master'!$D$4:$D$207,MATCH($B47,'Challan Master'!$S$4:$S$207,0)),""))-MONTH(I47))+1),0))))</f>
      </c>
      <c r="O47" s="7">
        <f>IF($C47="","",0)</f>
      </c>
      <c r="P47" s="8"/>
      <c r="Q47" s="8"/>
      <c r="R47" s="8"/>
      <c r="S47" s="8"/>
      <c r="T47" s="8"/>
      <c r="U47" s="7">
        <f>IF($B47="","",IFERROR(INDEX('Challan Master'!$AA$4:$AA$207,MATCH($B47,'Challan Master'!$S$4:$S$207,0)),""))</f>
      </c>
    </row>
    <row r="48" spans="1:22" x14ac:dyDescent="0.25">
      <c r="A48" s="7">
        <f>IF($C48="","",COUNTIF($C$4:$C48,"&lt;&gt;"))</f>
      </c>
      <c r="B48" s="8"/>
      <c r="C48" s="8"/>
      <c r="D48" s="8"/>
      <c r="E48" s="7">
        <f>IF($C48="","",IF(AND(LEN(TRIM(UPPER(D48)))=10,CODE(MID(TRIM(UPPER(D48)),1,1))&gt;=65,CODE(MID(TRIM(UPPER(D48)),1,1))&lt;=90,CODE(MID(TRIM(UPPER(D48)),2,1))&gt;=65,CODE(MID(TRIM(UPPER(D48)),2,1))&lt;=90,CODE(MID(TRIM(UPPER(D48)),3,1))&gt;=65,CODE(MID(TRIM(UPPER(D48)),3,1))&lt;=90,CODE(MID(TRIM(UPPER(D48)),4,1))&gt;=65,CODE(MID(TRIM(UPPER(D48)),4,1))&lt;=90,CODE(MID(TRIM(UPPER(D48)),5,1))&gt;=65,CODE(MID(TRIM(UPPER(D48)),5,1))&lt;=90,CODE(MID(TRIM(UPPER(D48)),10,1))&gt;=65,CODE(MID(TRIM(UPPER(D48)),10,1))&lt;=90,CODE(MID(TRIM(UPPER(D48)),6,1))&gt;=48,CODE(MID(TRIM(UPPER(D48)),6,1))&lt;=57,CODE(MID(TRIM(UPPER(D48)),7,1))&gt;=48,CODE(MID(TRIM(UPPER(D48)),7,1))&lt;=57,CODE(MID(TRIM(UPPER(D48)),8,1))&gt;=48,CODE(MID(TRIM(UPPER(D48)),8,1))&lt;=57,CODE(MID(TRIM(UPPER(D48)),9,1))&gt;=48,CODE(MID(TRIM(UPPER(D48)),9,1))&lt;=57),"N","Y"))</f>
      </c>
      <c r="F48" s="7">
        <f>IF($C48="","",IF(LEN(D48)&lt;4,"",IF(UPPER(MID(D48,4,1))="P","Individual",IF(UPPER(MID(D48,4,1))="H","HUF",IF(UPPER(MID(D48,4,1))="C","Company",IF(UPPER(MID(D48,4,1))="F","Firm",IF(UPPER(MID(D48,4,1))="L","LLP",IF(UPPER(MID(D48,4,1))="T","Trust",IF(UPPER(MID(D48,4,1))="A","AOP","")))))))))</f>
      </c>
      <c r="G48" s="8"/>
      <c r="H48" s="7">
        <f>IF($C48="","",IF(R48&lt;&gt;"",R48,IF(G48="","",IF(E48="Y",SUMPRODUCT(('Rate Lookup'!$A$1:$A$37=G48)*'Rate Lookup'!$D$1:$D$37),IF(OR(F48="Individual",F48="HUF"),SUMPRODUCT(('Rate Lookup'!$A$1:$A$37=G48)*'Rate Lookup'!$B$1:$B$37),SUMPRODUCT(('Rate Lookup'!$A$1:$A$37=G48)*'Rate Lookup'!$C$1:$C$37)))))))</f>
      </c>
      <c r="I48" s="8"/>
      <c r="J48" s="8"/>
      <c r="K48" s="7">
        <f>IF($C48="","",IF(OR(P48="B",P48="D",P48="E",P48="N",P48="O",P48="P",P48="Q",P48="S",P48="Y",P48="Z"),0,ROUND(J48*H48/100,0)))</f>
      </c>
      <c r="L48" s="7">
        <f>IF($C48="","",0)</f>
      </c>
      <c r="M48" s="7">
        <f>IF($C48="","",0)</f>
      </c>
      <c r="N48" s="7">
        <f>IF($C48="","",IF(OR(K48=0,I48="",IFERROR(INDEX('Challan Master'!$D$4:$D$207,MATCH($B48,'Challan Master'!$S$4:$S$207,0)),"")="",IFERROR(INDEX('Challan Master'!$D$4:$D$207,MATCH($B48,'Challan Master'!$S$4:$S$207,0)),"")&lt;=0),0,IF(IFERROR(INDEX('Challan Master'!$D$4:$D$207,MATCH($B48,'Challan Master'!$S$4:$S$207,0)),"")&lt;=DATE(YEAR(I48),MONTH(I48)+1,7),0,ROUND(K48*0.015*((YEAR(IFERROR(INDEX('Challan Master'!$D$4:$D$207,MATCH($B48,'Challan Master'!$S$4:$S$207,0)),""))-YEAR(I48))*12+(MONTH(IFERROR(INDEX('Challan Master'!$D$4:$D$207,MATCH($B48,'Challan Master'!$S$4:$S$207,0)),""))-MONTH(I48))+1),0))))</f>
      </c>
      <c r="O48" s="7">
        <f>IF($C48="","",0)</f>
      </c>
      <c r="P48" s="8"/>
      <c r="Q48" s="8"/>
      <c r="R48" s="8"/>
      <c r="S48" s="8"/>
      <c r="T48" s="8"/>
      <c r="U48" s="7">
        <f>IF($B48="","",IFERROR(INDEX('Challan Master'!$AA$4:$AA$207,MATCH($B48,'Challan Master'!$S$4:$S$207,0)),""))</f>
      </c>
    </row>
    <row r="49" spans="1:22" x14ac:dyDescent="0.25">
      <c r="A49" s="7">
        <f>IF($C49="","",COUNTIF($C$4:$C49,"&lt;&gt;"))</f>
      </c>
      <c r="B49" s="8"/>
      <c r="C49" s="8"/>
      <c r="D49" s="8"/>
      <c r="E49" s="7">
        <f>IF($C49="","",IF(AND(LEN(TRIM(UPPER(D49)))=10,CODE(MID(TRIM(UPPER(D49)),1,1))&gt;=65,CODE(MID(TRIM(UPPER(D49)),1,1))&lt;=90,CODE(MID(TRIM(UPPER(D49)),2,1))&gt;=65,CODE(MID(TRIM(UPPER(D49)),2,1))&lt;=90,CODE(MID(TRIM(UPPER(D49)),3,1))&gt;=65,CODE(MID(TRIM(UPPER(D49)),3,1))&lt;=90,CODE(MID(TRIM(UPPER(D49)),4,1))&gt;=65,CODE(MID(TRIM(UPPER(D49)),4,1))&lt;=90,CODE(MID(TRIM(UPPER(D49)),5,1))&gt;=65,CODE(MID(TRIM(UPPER(D49)),5,1))&lt;=90,CODE(MID(TRIM(UPPER(D49)),10,1))&gt;=65,CODE(MID(TRIM(UPPER(D49)),10,1))&lt;=90,CODE(MID(TRIM(UPPER(D49)),6,1))&gt;=48,CODE(MID(TRIM(UPPER(D49)),6,1))&lt;=57,CODE(MID(TRIM(UPPER(D49)),7,1))&gt;=48,CODE(MID(TRIM(UPPER(D49)),7,1))&lt;=57,CODE(MID(TRIM(UPPER(D49)),8,1))&gt;=48,CODE(MID(TRIM(UPPER(D49)),8,1))&lt;=57,CODE(MID(TRIM(UPPER(D49)),9,1))&gt;=48,CODE(MID(TRIM(UPPER(D49)),9,1))&lt;=57),"N","Y"))</f>
      </c>
      <c r="F49" s="7">
        <f>IF($C49="","",IF(LEN(D49)&lt;4,"",IF(UPPER(MID(D49,4,1))="P","Individual",IF(UPPER(MID(D49,4,1))="H","HUF",IF(UPPER(MID(D49,4,1))="C","Company",IF(UPPER(MID(D49,4,1))="F","Firm",IF(UPPER(MID(D49,4,1))="L","LLP",IF(UPPER(MID(D49,4,1))="T","Trust",IF(UPPER(MID(D49,4,1))="A","AOP","")))))))))</f>
      </c>
      <c r="G49" s="8"/>
      <c r="H49" s="7">
        <f>IF($C49="","",IF(R49&lt;&gt;"",R49,IF(G49="","",IF(E49="Y",SUMPRODUCT(('Rate Lookup'!$A$1:$A$37=G49)*'Rate Lookup'!$D$1:$D$37),IF(OR(F49="Individual",F49="HUF"),SUMPRODUCT(('Rate Lookup'!$A$1:$A$37=G49)*'Rate Lookup'!$B$1:$B$37),SUMPRODUCT(('Rate Lookup'!$A$1:$A$37=G49)*'Rate Lookup'!$C$1:$C$37)))))))</f>
      </c>
      <c r="I49" s="8"/>
      <c r="J49" s="8"/>
      <c r="K49" s="7">
        <f>IF($C49="","",IF(OR(P49="B",P49="D",P49="E",P49="N",P49="O",P49="P",P49="Q",P49="S",P49="Y",P49="Z"),0,ROUND(J49*H49/100,0)))</f>
      </c>
      <c r="L49" s="7">
        <f>IF($C49="","",0)</f>
      </c>
      <c r="M49" s="7">
        <f>IF($C49="","",0)</f>
      </c>
      <c r="N49" s="7">
        <f>IF($C49="","",IF(OR(K49=0,I49="",IFERROR(INDEX('Challan Master'!$D$4:$D$207,MATCH($B49,'Challan Master'!$S$4:$S$207,0)),"")="",IFERROR(INDEX('Challan Master'!$D$4:$D$207,MATCH($B49,'Challan Master'!$S$4:$S$207,0)),"")&lt;=0),0,IF(IFERROR(INDEX('Challan Master'!$D$4:$D$207,MATCH($B49,'Challan Master'!$S$4:$S$207,0)),"")&lt;=DATE(YEAR(I49),MONTH(I49)+1,7),0,ROUND(K49*0.015*((YEAR(IFERROR(INDEX('Challan Master'!$D$4:$D$207,MATCH($B49,'Challan Master'!$S$4:$S$207,0)),""))-YEAR(I49))*12+(MONTH(IFERROR(INDEX('Challan Master'!$D$4:$D$207,MATCH($B49,'Challan Master'!$S$4:$S$207,0)),""))-MONTH(I49))+1),0))))</f>
      </c>
      <c r="O49" s="7">
        <f>IF($C49="","",0)</f>
      </c>
      <c r="P49" s="8"/>
      <c r="Q49" s="8"/>
      <c r="R49" s="8"/>
      <c r="S49" s="8"/>
      <c r="T49" s="8"/>
      <c r="U49" s="7">
        <f>IF($B49="","",IFERROR(INDEX('Challan Master'!$AA$4:$AA$207,MATCH($B49,'Challan Master'!$S$4:$S$207,0)),""))</f>
      </c>
    </row>
    <row r="50" spans="1:22" x14ac:dyDescent="0.25">
      <c r="A50" s="7">
        <f>IF($C50="","",COUNTIF($C$4:$C50,"&lt;&gt;"))</f>
      </c>
      <c r="B50" s="8"/>
      <c r="C50" s="8"/>
      <c r="D50" s="8"/>
      <c r="E50" s="7">
        <f>IF($C50="","",IF(AND(LEN(TRIM(UPPER(D50)))=10,CODE(MID(TRIM(UPPER(D50)),1,1))&gt;=65,CODE(MID(TRIM(UPPER(D50)),1,1))&lt;=90,CODE(MID(TRIM(UPPER(D50)),2,1))&gt;=65,CODE(MID(TRIM(UPPER(D50)),2,1))&lt;=90,CODE(MID(TRIM(UPPER(D50)),3,1))&gt;=65,CODE(MID(TRIM(UPPER(D50)),3,1))&lt;=90,CODE(MID(TRIM(UPPER(D50)),4,1))&gt;=65,CODE(MID(TRIM(UPPER(D50)),4,1))&lt;=90,CODE(MID(TRIM(UPPER(D50)),5,1))&gt;=65,CODE(MID(TRIM(UPPER(D50)),5,1))&lt;=90,CODE(MID(TRIM(UPPER(D50)),10,1))&gt;=65,CODE(MID(TRIM(UPPER(D50)),10,1))&lt;=90,CODE(MID(TRIM(UPPER(D50)),6,1))&gt;=48,CODE(MID(TRIM(UPPER(D50)),6,1))&lt;=57,CODE(MID(TRIM(UPPER(D50)),7,1))&gt;=48,CODE(MID(TRIM(UPPER(D50)),7,1))&lt;=57,CODE(MID(TRIM(UPPER(D50)),8,1))&gt;=48,CODE(MID(TRIM(UPPER(D50)),8,1))&lt;=57,CODE(MID(TRIM(UPPER(D50)),9,1))&gt;=48,CODE(MID(TRIM(UPPER(D50)),9,1))&lt;=57),"N","Y"))</f>
      </c>
      <c r="F50" s="7">
        <f>IF($C50="","",IF(LEN(D50)&lt;4,"",IF(UPPER(MID(D50,4,1))="P","Individual",IF(UPPER(MID(D50,4,1))="H","HUF",IF(UPPER(MID(D50,4,1))="C","Company",IF(UPPER(MID(D50,4,1))="F","Firm",IF(UPPER(MID(D50,4,1))="L","LLP",IF(UPPER(MID(D50,4,1))="T","Trust",IF(UPPER(MID(D50,4,1))="A","AOP","")))))))))</f>
      </c>
      <c r="G50" s="8"/>
      <c r="H50" s="7">
        <f>IF($C50="","",IF(R50&lt;&gt;"",R50,IF(G50="","",IF(E50="Y",SUMPRODUCT(('Rate Lookup'!$A$1:$A$37=G50)*'Rate Lookup'!$D$1:$D$37),IF(OR(F50="Individual",F50="HUF"),SUMPRODUCT(('Rate Lookup'!$A$1:$A$37=G50)*'Rate Lookup'!$B$1:$B$37),SUMPRODUCT(('Rate Lookup'!$A$1:$A$37=G50)*'Rate Lookup'!$C$1:$C$37)))))))</f>
      </c>
      <c r="I50" s="8"/>
      <c r="J50" s="8"/>
      <c r="K50" s="7">
        <f>IF($C50="","",IF(OR(P50="B",P50="D",P50="E",P50="N",P50="O",P50="P",P50="Q",P50="S",P50="Y",P50="Z"),0,ROUND(J50*H50/100,0)))</f>
      </c>
      <c r="L50" s="7">
        <f>IF($C50="","",0)</f>
      </c>
      <c r="M50" s="7">
        <f>IF($C50="","",0)</f>
      </c>
      <c r="N50" s="7">
        <f>IF($C50="","",IF(OR(K50=0,I50="",IFERROR(INDEX('Challan Master'!$D$4:$D$207,MATCH($B50,'Challan Master'!$S$4:$S$207,0)),"")="",IFERROR(INDEX('Challan Master'!$D$4:$D$207,MATCH($B50,'Challan Master'!$S$4:$S$207,0)),"")&lt;=0),0,IF(IFERROR(INDEX('Challan Master'!$D$4:$D$207,MATCH($B50,'Challan Master'!$S$4:$S$207,0)),"")&lt;=DATE(YEAR(I50),MONTH(I50)+1,7),0,ROUND(K50*0.015*((YEAR(IFERROR(INDEX('Challan Master'!$D$4:$D$207,MATCH($B50,'Challan Master'!$S$4:$S$207,0)),""))-YEAR(I50))*12+(MONTH(IFERROR(INDEX('Challan Master'!$D$4:$D$207,MATCH($B50,'Challan Master'!$S$4:$S$207,0)),""))-MONTH(I50))+1),0))))</f>
      </c>
      <c r="O50" s="7">
        <f>IF($C50="","",0)</f>
      </c>
      <c r="P50" s="8"/>
      <c r="Q50" s="8"/>
      <c r="R50" s="8"/>
      <c r="S50" s="8"/>
      <c r="T50" s="8"/>
      <c r="U50" s="7">
        <f>IF($B50="","",IFERROR(INDEX('Challan Master'!$AA$4:$AA$207,MATCH($B50,'Challan Master'!$S$4:$S$207,0)),""))</f>
      </c>
    </row>
    <row r="51" spans="1:22" x14ac:dyDescent="0.25">
      <c r="A51" s="7">
        <f>IF($C51="","",COUNTIF($C$4:$C51,"&lt;&gt;"))</f>
      </c>
      <c r="B51" s="8"/>
      <c r="C51" s="8"/>
      <c r="D51" s="8"/>
      <c r="E51" s="7">
        <f>IF($C51="","",IF(AND(LEN(TRIM(UPPER(D51)))=10,CODE(MID(TRIM(UPPER(D51)),1,1))&gt;=65,CODE(MID(TRIM(UPPER(D51)),1,1))&lt;=90,CODE(MID(TRIM(UPPER(D51)),2,1))&gt;=65,CODE(MID(TRIM(UPPER(D51)),2,1))&lt;=90,CODE(MID(TRIM(UPPER(D51)),3,1))&gt;=65,CODE(MID(TRIM(UPPER(D51)),3,1))&lt;=90,CODE(MID(TRIM(UPPER(D51)),4,1))&gt;=65,CODE(MID(TRIM(UPPER(D51)),4,1))&lt;=90,CODE(MID(TRIM(UPPER(D51)),5,1))&gt;=65,CODE(MID(TRIM(UPPER(D51)),5,1))&lt;=90,CODE(MID(TRIM(UPPER(D51)),10,1))&gt;=65,CODE(MID(TRIM(UPPER(D51)),10,1))&lt;=90,CODE(MID(TRIM(UPPER(D51)),6,1))&gt;=48,CODE(MID(TRIM(UPPER(D51)),6,1))&lt;=57,CODE(MID(TRIM(UPPER(D51)),7,1))&gt;=48,CODE(MID(TRIM(UPPER(D51)),7,1))&lt;=57,CODE(MID(TRIM(UPPER(D51)),8,1))&gt;=48,CODE(MID(TRIM(UPPER(D51)),8,1))&lt;=57,CODE(MID(TRIM(UPPER(D51)),9,1))&gt;=48,CODE(MID(TRIM(UPPER(D51)),9,1))&lt;=57),"N","Y"))</f>
      </c>
      <c r="F51" s="7">
        <f>IF($C51="","",IF(LEN(D51)&lt;4,"",IF(UPPER(MID(D51,4,1))="P","Individual",IF(UPPER(MID(D51,4,1))="H","HUF",IF(UPPER(MID(D51,4,1))="C","Company",IF(UPPER(MID(D51,4,1))="F","Firm",IF(UPPER(MID(D51,4,1))="L","LLP",IF(UPPER(MID(D51,4,1))="T","Trust",IF(UPPER(MID(D51,4,1))="A","AOP","")))))))))</f>
      </c>
      <c r="G51" s="8"/>
      <c r="H51" s="7">
        <f>IF($C51="","",IF(R51&lt;&gt;"",R51,IF(G51="","",IF(E51="Y",SUMPRODUCT(('Rate Lookup'!$A$1:$A$37=G51)*'Rate Lookup'!$D$1:$D$37),IF(OR(F51="Individual",F51="HUF"),SUMPRODUCT(('Rate Lookup'!$A$1:$A$37=G51)*'Rate Lookup'!$B$1:$B$37),SUMPRODUCT(('Rate Lookup'!$A$1:$A$37=G51)*'Rate Lookup'!$C$1:$C$37)))))))</f>
      </c>
      <c r="I51" s="8"/>
      <c r="J51" s="8"/>
      <c r="K51" s="7">
        <f>IF($C51="","",IF(OR(P51="B",P51="D",P51="E",P51="N",P51="O",P51="P",P51="Q",P51="S",P51="Y",P51="Z"),0,ROUND(J51*H51/100,0)))</f>
      </c>
      <c r="L51" s="7">
        <f>IF($C51="","",0)</f>
      </c>
      <c r="M51" s="7">
        <f>IF($C51="","",0)</f>
      </c>
      <c r="N51" s="7">
        <f>IF($C51="","",IF(OR(K51=0,I51="",IFERROR(INDEX('Challan Master'!$D$4:$D$207,MATCH($B51,'Challan Master'!$S$4:$S$207,0)),"")="",IFERROR(INDEX('Challan Master'!$D$4:$D$207,MATCH($B51,'Challan Master'!$S$4:$S$207,0)),"")&lt;=0),0,IF(IFERROR(INDEX('Challan Master'!$D$4:$D$207,MATCH($B51,'Challan Master'!$S$4:$S$207,0)),"")&lt;=DATE(YEAR(I51),MONTH(I51)+1,7),0,ROUND(K51*0.015*((YEAR(IFERROR(INDEX('Challan Master'!$D$4:$D$207,MATCH($B51,'Challan Master'!$S$4:$S$207,0)),""))-YEAR(I51))*12+(MONTH(IFERROR(INDEX('Challan Master'!$D$4:$D$207,MATCH($B51,'Challan Master'!$S$4:$S$207,0)),""))-MONTH(I51))+1),0))))</f>
      </c>
      <c r="O51" s="7">
        <f>IF($C51="","",0)</f>
      </c>
      <c r="P51" s="8"/>
      <c r="Q51" s="8"/>
      <c r="R51" s="8"/>
      <c r="S51" s="8"/>
      <c r="T51" s="8"/>
      <c r="U51" s="7">
        <f>IF($B51="","",IFERROR(INDEX('Challan Master'!$AA$4:$AA$207,MATCH($B51,'Challan Master'!$S$4:$S$207,0)),""))</f>
      </c>
    </row>
    <row r="52" spans="1:22" x14ac:dyDescent="0.25">
      <c r="A52" s="7">
        <f>IF($C52="","",COUNTIF($C$4:$C52,"&lt;&gt;"))</f>
      </c>
      <c r="B52" s="8"/>
      <c r="C52" s="8"/>
      <c r="D52" s="8"/>
      <c r="E52" s="7">
        <f>IF($C52="","",IF(AND(LEN(TRIM(UPPER(D52)))=10,CODE(MID(TRIM(UPPER(D52)),1,1))&gt;=65,CODE(MID(TRIM(UPPER(D52)),1,1))&lt;=90,CODE(MID(TRIM(UPPER(D52)),2,1))&gt;=65,CODE(MID(TRIM(UPPER(D52)),2,1))&lt;=90,CODE(MID(TRIM(UPPER(D52)),3,1))&gt;=65,CODE(MID(TRIM(UPPER(D52)),3,1))&lt;=90,CODE(MID(TRIM(UPPER(D52)),4,1))&gt;=65,CODE(MID(TRIM(UPPER(D52)),4,1))&lt;=90,CODE(MID(TRIM(UPPER(D52)),5,1))&gt;=65,CODE(MID(TRIM(UPPER(D52)),5,1))&lt;=90,CODE(MID(TRIM(UPPER(D52)),10,1))&gt;=65,CODE(MID(TRIM(UPPER(D52)),10,1))&lt;=90,CODE(MID(TRIM(UPPER(D52)),6,1))&gt;=48,CODE(MID(TRIM(UPPER(D52)),6,1))&lt;=57,CODE(MID(TRIM(UPPER(D52)),7,1))&gt;=48,CODE(MID(TRIM(UPPER(D52)),7,1))&lt;=57,CODE(MID(TRIM(UPPER(D52)),8,1))&gt;=48,CODE(MID(TRIM(UPPER(D52)),8,1))&lt;=57,CODE(MID(TRIM(UPPER(D52)),9,1))&gt;=48,CODE(MID(TRIM(UPPER(D52)),9,1))&lt;=57),"N","Y"))</f>
      </c>
      <c r="F52" s="7">
        <f>IF($C52="","",IF(LEN(D52)&lt;4,"",IF(UPPER(MID(D52,4,1))="P","Individual",IF(UPPER(MID(D52,4,1))="H","HUF",IF(UPPER(MID(D52,4,1))="C","Company",IF(UPPER(MID(D52,4,1))="F","Firm",IF(UPPER(MID(D52,4,1))="L","LLP",IF(UPPER(MID(D52,4,1))="T","Trust",IF(UPPER(MID(D52,4,1))="A","AOP","")))))))))</f>
      </c>
      <c r="G52" s="8"/>
      <c r="H52" s="7">
        <f>IF($C52="","",IF(R52&lt;&gt;"",R52,IF(G52="","",IF(E52="Y",SUMPRODUCT(('Rate Lookup'!$A$1:$A$37=G52)*'Rate Lookup'!$D$1:$D$37),IF(OR(F52="Individual",F52="HUF"),SUMPRODUCT(('Rate Lookup'!$A$1:$A$37=G52)*'Rate Lookup'!$B$1:$B$37),SUMPRODUCT(('Rate Lookup'!$A$1:$A$37=G52)*'Rate Lookup'!$C$1:$C$37)))))))</f>
      </c>
      <c r="I52" s="8"/>
      <c r="J52" s="8"/>
      <c r="K52" s="7">
        <f>IF($C52="","",IF(OR(P52="B",P52="D",P52="E",P52="N",P52="O",P52="P",P52="Q",P52="S",P52="Y",P52="Z"),0,ROUND(J52*H52/100,0)))</f>
      </c>
      <c r="L52" s="7">
        <f>IF($C52="","",0)</f>
      </c>
      <c r="M52" s="7">
        <f>IF($C52="","",0)</f>
      </c>
      <c r="N52" s="7">
        <f>IF($C52="","",IF(OR(K52=0,I52="",IFERROR(INDEX('Challan Master'!$D$4:$D$207,MATCH($B52,'Challan Master'!$S$4:$S$207,0)),"")="",IFERROR(INDEX('Challan Master'!$D$4:$D$207,MATCH($B52,'Challan Master'!$S$4:$S$207,0)),"")&lt;=0),0,IF(IFERROR(INDEX('Challan Master'!$D$4:$D$207,MATCH($B52,'Challan Master'!$S$4:$S$207,0)),"")&lt;=DATE(YEAR(I52),MONTH(I52)+1,7),0,ROUND(K52*0.015*((YEAR(IFERROR(INDEX('Challan Master'!$D$4:$D$207,MATCH($B52,'Challan Master'!$S$4:$S$207,0)),""))-YEAR(I52))*12+(MONTH(IFERROR(INDEX('Challan Master'!$D$4:$D$207,MATCH($B52,'Challan Master'!$S$4:$S$207,0)),""))-MONTH(I52))+1),0))))</f>
      </c>
      <c r="O52" s="7">
        <f>IF($C52="","",0)</f>
      </c>
      <c r="P52" s="8"/>
      <c r="Q52" s="8"/>
      <c r="R52" s="8"/>
      <c r="S52" s="8"/>
      <c r="T52" s="8"/>
      <c r="U52" s="7">
        <f>IF($B52="","",IFERROR(INDEX('Challan Master'!$AA$4:$AA$207,MATCH($B52,'Challan Master'!$S$4:$S$207,0)),""))</f>
      </c>
    </row>
    <row r="53" spans="1:22" x14ac:dyDescent="0.25">
      <c r="A53" s="7">
        <f>IF($C53="","",COUNTIF($C$4:$C53,"&lt;&gt;"))</f>
      </c>
      <c r="B53" s="8"/>
      <c r="C53" s="8"/>
      <c r="D53" s="8"/>
      <c r="E53" s="7">
        <f>IF($C53="","",IF(AND(LEN(TRIM(UPPER(D53)))=10,CODE(MID(TRIM(UPPER(D53)),1,1))&gt;=65,CODE(MID(TRIM(UPPER(D53)),1,1))&lt;=90,CODE(MID(TRIM(UPPER(D53)),2,1))&gt;=65,CODE(MID(TRIM(UPPER(D53)),2,1))&lt;=90,CODE(MID(TRIM(UPPER(D53)),3,1))&gt;=65,CODE(MID(TRIM(UPPER(D53)),3,1))&lt;=90,CODE(MID(TRIM(UPPER(D53)),4,1))&gt;=65,CODE(MID(TRIM(UPPER(D53)),4,1))&lt;=90,CODE(MID(TRIM(UPPER(D53)),5,1))&gt;=65,CODE(MID(TRIM(UPPER(D53)),5,1))&lt;=90,CODE(MID(TRIM(UPPER(D53)),10,1))&gt;=65,CODE(MID(TRIM(UPPER(D53)),10,1))&lt;=90,CODE(MID(TRIM(UPPER(D53)),6,1))&gt;=48,CODE(MID(TRIM(UPPER(D53)),6,1))&lt;=57,CODE(MID(TRIM(UPPER(D53)),7,1))&gt;=48,CODE(MID(TRIM(UPPER(D53)),7,1))&lt;=57,CODE(MID(TRIM(UPPER(D53)),8,1))&gt;=48,CODE(MID(TRIM(UPPER(D53)),8,1))&lt;=57,CODE(MID(TRIM(UPPER(D53)),9,1))&gt;=48,CODE(MID(TRIM(UPPER(D53)),9,1))&lt;=57),"N","Y"))</f>
      </c>
      <c r="F53" s="7">
        <f>IF($C53="","",IF(LEN(D53)&lt;4,"",IF(UPPER(MID(D53,4,1))="P","Individual",IF(UPPER(MID(D53,4,1))="H","HUF",IF(UPPER(MID(D53,4,1))="C","Company",IF(UPPER(MID(D53,4,1))="F","Firm",IF(UPPER(MID(D53,4,1))="L","LLP",IF(UPPER(MID(D53,4,1))="T","Trust",IF(UPPER(MID(D53,4,1))="A","AOP","")))))))))</f>
      </c>
      <c r="G53" s="8"/>
      <c r="H53" s="7">
        <f>IF($C53="","",IF(R53&lt;&gt;"",R53,IF(G53="","",IF(E53="Y",SUMPRODUCT(('Rate Lookup'!$A$1:$A$37=G53)*'Rate Lookup'!$D$1:$D$37),IF(OR(F53="Individual",F53="HUF"),SUMPRODUCT(('Rate Lookup'!$A$1:$A$37=G53)*'Rate Lookup'!$B$1:$B$37),SUMPRODUCT(('Rate Lookup'!$A$1:$A$37=G53)*'Rate Lookup'!$C$1:$C$37)))))))</f>
      </c>
      <c r="I53" s="8"/>
      <c r="J53" s="8"/>
      <c r="K53" s="7">
        <f>IF($C53="","",IF(OR(P53="B",P53="D",P53="E",P53="N",P53="O",P53="P",P53="Q",P53="S",P53="Y",P53="Z"),0,ROUND(J53*H53/100,0)))</f>
      </c>
      <c r="L53" s="7">
        <f>IF($C53="","",0)</f>
      </c>
      <c r="M53" s="7">
        <f>IF($C53="","",0)</f>
      </c>
      <c r="N53" s="7">
        <f>IF($C53="","",IF(OR(K53=0,I53="",IFERROR(INDEX('Challan Master'!$D$4:$D$207,MATCH($B53,'Challan Master'!$S$4:$S$207,0)),"")="",IFERROR(INDEX('Challan Master'!$D$4:$D$207,MATCH($B53,'Challan Master'!$S$4:$S$207,0)),"")&lt;=0),0,IF(IFERROR(INDEX('Challan Master'!$D$4:$D$207,MATCH($B53,'Challan Master'!$S$4:$S$207,0)),"")&lt;=DATE(YEAR(I53),MONTH(I53)+1,7),0,ROUND(K53*0.015*((YEAR(IFERROR(INDEX('Challan Master'!$D$4:$D$207,MATCH($B53,'Challan Master'!$S$4:$S$207,0)),""))-YEAR(I53))*12+(MONTH(IFERROR(INDEX('Challan Master'!$D$4:$D$207,MATCH($B53,'Challan Master'!$S$4:$S$207,0)),""))-MONTH(I53))+1),0))))</f>
      </c>
      <c r="O53" s="7">
        <f>IF($C53="","",0)</f>
      </c>
      <c r="P53" s="8"/>
      <c r="Q53" s="8"/>
      <c r="R53" s="8"/>
      <c r="S53" s="8"/>
      <c r="T53" s="8"/>
      <c r="U53" s="7">
        <f>IF($B53="","",IFERROR(INDEX('Challan Master'!$AA$4:$AA$207,MATCH($B53,'Challan Master'!$S$4:$S$207,0)),""))</f>
      </c>
    </row>
    <row r="54" spans="1:22" x14ac:dyDescent="0.25">
      <c r="A54" s="7">
        <f>IF($C54="","",COUNTIF($C$4:$C54,"&lt;&gt;"))</f>
      </c>
      <c r="B54" s="8"/>
      <c r="C54" s="8"/>
      <c r="D54" s="8"/>
      <c r="E54" s="7">
        <f>IF($C54="","",IF(AND(LEN(TRIM(UPPER(D54)))=10,CODE(MID(TRIM(UPPER(D54)),1,1))&gt;=65,CODE(MID(TRIM(UPPER(D54)),1,1))&lt;=90,CODE(MID(TRIM(UPPER(D54)),2,1))&gt;=65,CODE(MID(TRIM(UPPER(D54)),2,1))&lt;=90,CODE(MID(TRIM(UPPER(D54)),3,1))&gt;=65,CODE(MID(TRIM(UPPER(D54)),3,1))&lt;=90,CODE(MID(TRIM(UPPER(D54)),4,1))&gt;=65,CODE(MID(TRIM(UPPER(D54)),4,1))&lt;=90,CODE(MID(TRIM(UPPER(D54)),5,1))&gt;=65,CODE(MID(TRIM(UPPER(D54)),5,1))&lt;=90,CODE(MID(TRIM(UPPER(D54)),10,1))&gt;=65,CODE(MID(TRIM(UPPER(D54)),10,1))&lt;=90,CODE(MID(TRIM(UPPER(D54)),6,1))&gt;=48,CODE(MID(TRIM(UPPER(D54)),6,1))&lt;=57,CODE(MID(TRIM(UPPER(D54)),7,1))&gt;=48,CODE(MID(TRIM(UPPER(D54)),7,1))&lt;=57,CODE(MID(TRIM(UPPER(D54)),8,1))&gt;=48,CODE(MID(TRIM(UPPER(D54)),8,1))&lt;=57,CODE(MID(TRIM(UPPER(D54)),9,1))&gt;=48,CODE(MID(TRIM(UPPER(D54)),9,1))&lt;=57),"N","Y"))</f>
      </c>
      <c r="F54" s="7">
        <f>IF($C54="","",IF(LEN(D54)&lt;4,"",IF(UPPER(MID(D54,4,1))="P","Individual",IF(UPPER(MID(D54,4,1))="H","HUF",IF(UPPER(MID(D54,4,1))="C","Company",IF(UPPER(MID(D54,4,1))="F","Firm",IF(UPPER(MID(D54,4,1))="L","LLP",IF(UPPER(MID(D54,4,1))="T","Trust",IF(UPPER(MID(D54,4,1))="A","AOP","")))))))))</f>
      </c>
      <c r="G54" s="8"/>
      <c r="H54" s="7">
        <f>IF($C54="","",IF(R54&lt;&gt;"",R54,IF(G54="","",IF(E54="Y",SUMPRODUCT(('Rate Lookup'!$A$1:$A$37=G54)*'Rate Lookup'!$D$1:$D$37),IF(OR(F54="Individual",F54="HUF"),SUMPRODUCT(('Rate Lookup'!$A$1:$A$37=G54)*'Rate Lookup'!$B$1:$B$37),SUMPRODUCT(('Rate Lookup'!$A$1:$A$37=G54)*'Rate Lookup'!$C$1:$C$37)))))))</f>
      </c>
      <c r="I54" s="8"/>
      <c r="J54" s="8"/>
      <c r="K54" s="7">
        <f>IF($C54="","",IF(OR(P54="B",P54="D",P54="E",P54="N",P54="O",P54="P",P54="Q",P54="S",P54="Y",P54="Z"),0,ROUND(J54*H54/100,0)))</f>
      </c>
      <c r="L54" s="7">
        <f>IF($C54="","",0)</f>
      </c>
      <c r="M54" s="7">
        <f>IF($C54="","",0)</f>
      </c>
      <c r="N54" s="7">
        <f>IF($C54="","",IF(OR(K54=0,I54="",IFERROR(INDEX('Challan Master'!$D$4:$D$207,MATCH($B54,'Challan Master'!$S$4:$S$207,0)),"")="",IFERROR(INDEX('Challan Master'!$D$4:$D$207,MATCH($B54,'Challan Master'!$S$4:$S$207,0)),"")&lt;=0),0,IF(IFERROR(INDEX('Challan Master'!$D$4:$D$207,MATCH($B54,'Challan Master'!$S$4:$S$207,0)),"")&lt;=DATE(YEAR(I54),MONTH(I54)+1,7),0,ROUND(K54*0.015*((YEAR(IFERROR(INDEX('Challan Master'!$D$4:$D$207,MATCH($B54,'Challan Master'!$S$4:$S$207,0)),""))-YEAR(I54))*12+(MONTH(IFERROR(INDEX('Challan Master'!$D$4:$D$207,MATCH($B54,'Challan Master'!$S$4:$S$207,0)),""))-MONTH(I54))+1),0))))</f>
      </c>
      <c r="O54" s="7">
        <f>IF($C54="","",0)</f>
      </c>
      <c r="P54" s="8"/>
      <c r="Q54" s="8"/>
      <c r="R54" s="8"/>
      <c r="S54" s="8"/>
      <c r="T54" s="8"/>
      <c r="U54" s="7">
        <f>IF($B54="","",IFERROR(INDEX('Challan Master'!$AA$4:$AA$207,MATCH($B54,'Challan Master'!$S$4:$S$207,0)),""))</f>
      </c>
    </row>
    <row r="55" spans="1:22" x14ac:dyDescent="0.25">
      <c r="A55" s="7">
        <f>IF($C55="","",COUNTIF($C$4:$C55,"&lt;&gt;"))</f>
      </c>
      <c r="B55" s="8"/>
      <c r="C55" s="8"/>
      <c r="D55" s="8"/>
      <c r="E55" s="7">
        <f>IF($C55="","",IF(AND(LEN(TRIM(UPPER(D55)))=10,CODE(MID(TRIM(UPPER(D55)),1,1))&gt;=65,CODE(MID(TRIM(UPPER(D55)),1,1))&lt;=90,CODE(MID(TRIM(UPPER(D55)),2,1))&gt;=65,CODE(MID(TRIM(UPPER(D55)),2,1))&lt;=90,CODE(MID(TRIM(UPPER(D55)),3,1))&gt;=65,CODE(MID(TRIM(UPPER(D55)),3,1))&lt;=90,CODE(MID(TRIM(UPPER(D55)),4,1))&gt;=65,CODE(MID(TRIM(UPPER(D55)),4,1))&lt;=90,CODE(MID(TRIM(UPPER(D55)),5,1))&gt;=65,CODE(MID(TRIM(UPPER(D55)),5,1))&lt;=90,CODE(MID(TRIM(UPPER(D55)),10,1))&gt;=65,CODE(MID(TRIM(UPPER(D55)),10,1))&lt;=90,CODE(MID(TRIM(UPPER(D55)),6,1))&gt;=48,CODE(MID(TRIM(UPPER(D55)),6,1))&lt;=57,CODE(MID(TRIM(UPPER(D55)),7,1))&gt;=48,CODE(MID(TRIM(UPPER(D55)),7,1))&lt;=57,CODE(MID(TRIM(UPPER(D55)),8,1))&gt;=48,CODE(MID(TRIM(UPPER(D55)),8,1))&lt;=57,CODE(MID(TRIM(UPPER(D55)),9,1))&gt;=48,CODE(MID(TRIM(UPPER(D55)),9,1))&lt;=57),"N","Y"))</f>
      </c>
      <c r="F55" s="7">
        <f>IF($C55="","",IF(LEN(D55)&lt;4,"",IF(UPPER(MID(D55,4,1))="P","Individual",IF(UPPER(MID(D55,4,1))="H","HUF",IF(UPPER(MID(D55,4,1))="C","Company",IF(UPPER(MID(D55,4,1))="F","Firm",IF(UPPER(MID(D55,4,1))="L","LLP",IF(UPPER(MID(D55,4,1))="T","Trust",IF(UPPER(MID(D55,4,1))="A","AOP","")))))))))</f>
      </c>
      <c r="G55" s="8"/>
      <c r="H55" s="7">
        <f>IF($C55="","",IF(R55&lt;&gt;"",R55,IF(G55="","",IF(E55="Y",SUMPRODUCT(('Rate Lookup'!$A$1:$A$37=G55)*'Rate Lookup'!$D$1:$D$37),IF(OR(F55="Individual",F55="HUF"),SUMPRODUCT(('Rate Lookup'!$A$1:$A$37=G55)*'Rate Lookup'!$B$1:$B$37),SUMPRODUCT(('Rate Lookup'!$A$1:$A$37=G55)*'Rate Lookup'!$C$1:$C$37)))))))</f>
      </c>
      <c r="I55" s="8"/>
      <c r="J55" s="8"/>
      <c r="K55" s="7">
        <f>IF($C55="","",IF(OR(P55="B",P55="D",P55="E",P55="N",P55="O",P55="P",P55="Q",P55="S",P55="Y",P55="Z"),0,ROUND(J55*H55/100,0)))</f>
      </c>
      <c r="L55" s="7">
        <f>IF($C55="","",0)</f>
      </c>
      <c r="M55" s="7">
        <f>IF($C55="","",0)</f>
      </c>
      <c r="N55" s="7">
        <f>IF($C55="","",IF(OR(K55=0,I55="",IFERROR(INDEX('Challan Master'!$D$4:$D$207,MATCH($B55,'Challan Master'!$S$4:$S$207,0)),"")="",IFERROR(INDEX('Challan Master'!$D$4:$D$207,MATCH($B55,'Challan Master'!$S$4:$S$207,0)),"")&lt;=0),0,IF(IFERROR(INDEX('Challan Master'!$D$4:$D$207,MATCH($B55,'Challan Master'!$S$4:$S$207,0)),"")&lt;=DATE(YEAR(I55),MONTH(I55)+1,7),0,ROUND(K55*0.015*((YEAR(IFERROR(INDEX('Challan Master'!$D$4:$D$207,MATCH($B55,'Challan Master'!$S$4:$S$207,0)),""))-YEAR(I55))*12+(MONTH(IFERROR(INDEX('Challan Master'!$D$4:$D$207,MATCH($B55,'Challan Master'!$S$4:$S$207,0)),""))-MONTH(I55))+1),0))))</f>
      </c>
      <c r="O55" s="7">
        <f>IF($C55="","",0)</f>
      </c>
      <c r="P55" s="8"/>
      <c r="Q55" s="8"/>
      <c r="R55" s="8"/>
      <c r="S55" s="8"/>
      <c r="T55" s="8"/>
      <c r="U55" s="7">
        <f>IF($B55="","",IFERROR(INDEX('Challan Master'!$AA$4:$AA$207,MATCH($B55,'Challan Master'!$S$4:$S$207,0)),""))</f>
      </c>
    </row>
    <row r="56" spans="1:22" x14ac:dyDescent="0.25">
      <c r="A56" s="7">
        <f>IF($C56="","",COUNTIF($C$4:$C56,"&lt;&gt;"))</f>
      </c>
      <c r="B56" s="8"/>
      <c r="C56" s="8"/>
      <c r="D56" s="8"/>
      <c r="E56" s="7">
        <f>IF($C56="","",IF(AND(LEN(TRIM(UPPER(D56)))=10,CODE(MID(TRIM(UPPER(D56)),1,1))&gt;=65,CODE(MID(TRIM(UPPER(D56)),1,1))&lt;=90,CODE(MID(TRIM(UPPER(D56)),2,1))&gt;=65,CODE(MID(TRIM(UPPER(D56)),2,1))&lt;=90,CODE(MID(TRIM(UPPER(D56)),3,1))&gt;=65,CODE(MID(TRIM(UPPER(D56)),3,1))&lt;=90,CODE(MID(TRIM(UPPER(D56)),4,1))&gt;=65,CODE(MID(TRIM(UPPER(D56)),4,1))&lt;=90,CODE(MID(TRIM(UPPER(D56)),5,1))&gt;=65,CODE(MID(TRIM(UPPER(D56)),5,1))&lt;=90,CODE(MID(TRIM(UPPER(D56)),10,1))&gt;=65,CODE(MID(TRIM(UPPER(D56)),10,1))&lt;=90,CODE(MID(TRIM(UPPER(D56)),6,1))&gt;=48,CODE(MID(TRIM(UPPER(D56)),6,1))&lt;=57,CODE(MID(TRIM(UPPER(D56)),7,1))&gt;=48,CODE(MID(TRIM(UPPER(D56)),7,1))&lt;=57,CODE(MID(TRIM(UPPER(D56)),8,1))&gt;=48,CODE(MID(TRIM(UPPER(D56)),8,1))&lt;=57,CODE(MID(TRIM(UPPER(D56)),9,1))&gt;=48,CODE(MID(TRIM(UPPER(D56)),9,1))&lt;=57),"N","Y"))</f>
      </c>
      <c r="F56" s="7">
        <f>IF($C56="","",IF(LEN(D56)&lt;4,"",IF(UPPER(MID(D56,4,1))="P","Individual",IF(UPPER(MID(D56,4,1))="H","HUF",IF(UPPER(MID(D56,4,1))="C","Company",IF(UPPER(MID(D56,4,1))="F","Firm",IF(UPPER(MID(D56,4,1))="L","LLP",IF(UPPER(MID(D56,4,1))="T","Trust",IF(UPPER(MID(D56,4,1))="A","AOP","")))))))))</f>
      </c>
      <c r="G56" s="8"/>
      <c r="H56" s="7">
        <f>IF($C56="","",IF(R56&lt;&gt;"",R56,IF(G56="","",IF(E56="Y",SUMPRODUCT(('Rate Lookup'!$A$1:$A$37=G56)*'Rate Lookup'!$D$1:$D$37),IF(OR(F56="Individual",F56="HUF"),SUMPRODUCT(('Rate Lookup'!$A$1:$A$37=G56)*'Rate Lookup'!$B$1:$B$37),SUMPRODUCT(('Rate Lookup'!$A$1:$A$37=G56)*'Rate Lookup'!$C$1:$C$37)))))))</f>
      </c>
      <c r="I56" s="8"/>
      <c r="J56" s="8"/>
      <c r="K56" s="7">
        <f>IF($C56="","",IF(OR(P56="B",P56="D",P56="E",P56="N",P56="O",P56="P",P56="Q",P56="S",P56="Y",P56="Z"),0,ROUND(J56*H56/100,0)))</f>
      </c>
      <c r="L56" s="7">
        <f>IF($C56="","",0)</f>
      </c>
      <c r="M56" s="7">
        <f>IF($C56="","",0)</f>
      </c>
      <c r="N56" s="7">
        <f>IF($C56="","",IF(OR(K56=0,I56="",IFERROR(INDEX('Challan Master'!$D$4:$D$207,MATCH($B56,'Challan Master'!$S$4:$S$207,0)),"")="",IFERROR(INDEX('Challan Master'!$D$4:$D$207,MATCH($B56,'Challan Master'!$S$4:$S$207,0)),"")&lt;=0),0,IF(IFERROR(INDEX('Challan Master'!$D$4:$D$207,MATCH($B56,'Challan Master'!$S$4:$S$207,0)),"")&lt;=DATE(YEAR(I56),MONTH(I56)+1,7),0,ROUND(K56*0.015*((YEAR(IFERROR(INDEX('Challan Master'!$D$4:$D$207,MATCH($B56,'Challan Master'!$S$4:$S$207,0)),""))-YEAR(I56))*12+(MONTH(IFERROR(INDEX('Challan Master'!$D$4:$D$207,MATCH($B56,'Challan Master'!$S$4:$S$207,0)),""))-MONTH(I56))+1),0))))</f>
      </c>
      <c r="O56" s="7">
        <f>IF($C56="","",0)</f>
      </c>
      <c r="P56" s="8"/>
      <c r="Q56" s="8"/>
      <c r="R56" s="8"/>
      <c r="S56" s="8"/>
      <c r="T56" s="8"/>
      <c r="U56" s="7">
        <f>IF($B56="","",IFERROR(INDEX('Challan Master'!$AA$4:$AA$207,MATCH($B56,'Challan Master'!$S$4:$S$207,0)),""))</f>
      </c>
    </row>
    <row r="57" spans="1:22" x14ac:dyDescent="0.25">
      <c r="A57" s="7">
        <f>IF($C57="","",COUNTIF($C$4:$C57,"&lt;&gt;"))</f>
      </c>
      <c r="B57" s="8"/>
      <c r="C57" s="8"/>
      <c r="D57" s="8"/>
      <c r="E57" s="7">
        <f>IF($C57="","",IF(AND(LEN(TRIM(UPPER(D57)))=10,CODE(MID(TRIM(UPPER(D57)),1,1))&gt;=65,CODE(MID(TRIM(UPPER(D57)),1,1))&lt;=90,CODE(MID(TRIM(UPPER(D57)),2,1))&gt;=65,CODE(MID(TRIM(UPPER(D57)),2,1))&lt;=90,CODE(MID(TRIM(UPPER(D57)),3,1))&gt;=65,CODE(MID(TRIM(UPPER(D57)),3,1))&lt;=90,CODE(MID(TRIM(UPPER(D57)),4,1))&gt;=65,CODE(MID(TRIM(UPPER(D57)),4,1))&lt;=90,CODE(MID(TRIM(UPPER(D57)),5,1))&gt;=65,CODE(MID(TRIM(UPPER(D57)),5,1))&lt;=90,CODE(MID(TRIM(UPPER(D57)),10,1))&gt;=65,CODE(MID(TRIM(UPPER(D57)),10,1))&lt;=90,CODE(MID(TRIM(UPPER(D57)),6,1))&gt;=48,CODE(MID(TRIM(UPPER(D57)),6,1))&lt;=57,CODE(MID(TRIM(UPPER(D57)),7,1))&gt;=48,CODE(MID(TRIM(UPPER(D57)),7,1))&lt;=57,CODE(MID(TRIM(UPPER(D57)),8,1))&gt;=48,CODE(MID(TRIM(UPPER(D57)),8,1))&lt;=57,CODE(MID(TRIM(UPPER(D57)),9,1))&gt;=48,CODE(MID(TRIM(UPPER(D57)),9,1))&lt;=57),"N","Y"))</f>
      </c>
      <c r="F57" s="7">
        <f>IF($C57="","",IF(LEN(D57)&lt;4,"",IF(UPPER(MID(D57,4,1))="P","Individual",IF(UPPER(MID(D57,4,1))="H","HUF",IF(UPPER(MID(D57,4,1))="C","Company",IF(UPPER(MID(D57,4,1))="F","Firm",IF(UPPER(MID(D57,4,1))="L","LLP",IF(UPPER(MID(D57,4,1))="T","Trust",IF(UPPER(MID(D57,4,1))="A","AOP","")))))))))</f>
      </c>
      <c r="G57" s="8"/>
      <c r="H57" s="7">
        <f>IF($C57="","",IF(R57&lt;&gt;"",R57,IF(G57="","",IF(E57="Y",SUMPRODUCT(('Rate Lookup'!$A$1:$A$37=G57)*'Rate Lookup'!$D$1:$D$37),IF(OR(F57="Individual",F57="HUF"),SUMPRODUCT(('Rate Lookup'!$A$1:$A$37=G57)*'Rate Lookup'!$B$1:$B$37),SUMPRODUCT(('Rate Lookup'!$A$1:$A$37=G57)*'Rate Lookup'!$C$1:$C$37)))))))</f>
      </c>
      <c r="I57" s="8"/>
      <c r="J57" s="8"/>
      <c r="K57" s="7">
        <f>IF($C57="","",IF(OR(P57="B",P57="D",P57="E",P57="N",P57="O",P57="P",P57="Q",P57="S",P57="Y",P57="Z"),0,ROUND(J57*H57/100,0)))</f>
      </c>
      <c r="L57" s="7">
        <f>IF($C57="","",0)</f>
      </c>
      <c r="M57" s="7">
        <f>IF($C57="","",0)</f>
      </c>
      <c r="N57" s="7">
        <f>IF($C57="","",IF(OR(K57=0,I57="",IFERROR(INDEX('Challan Master'!$D$4:$D$207,MATCH($B57,'Challan Master'!$S$4:$S$207,0)),"")="",IFERROR(INDEX('Challan Master'!$D$4:$D$207,MATCH($B57,'Challan Master'!$S$4:$S$207,0)),"")&lt;=0),0,IF(IFERROR(INDEX('Challan Master'!$D$4:$D$207,MATCH($B57,'Challan Master'!$S$4:$S$207,0)),"")&lt;=DATE(YEAR(I57),MONTH(I57)+1,7),0,ROUND(K57*0.015*((YEAR(IFERROR(INDEX('Challan Master'!$D$4:$D$207,MATCH($B57,'Challan Master'!$S$4:$S$207,0)),""))-YEAR(I57))*12+(MONTH(IFERROR(INDEX('Challan Master'!$D$4:$D$207,MATCH($B57,'Challan Master'!$S$4:$S$207,0)),""))-MONTH(I57))+1),0))))</f>
      </c>
      <c r="O57" s="7">
        <f>IF($C57="","",0)</f>
      </c>
      <c r="P57" s="8"/>
      <c r="Q57" s="8"/>
      <c r="R57" s="8"/>
      <c r="S57" s="8"/>
      <c r="T57" s="8"/>
      <c r="U57" s="7">
        <f>IF($B57="","",IFERROR(INDEX('Challan Master'!$AA$4:$AA$207,MATCH($B57,'Challan Master'!$S$4:$S$207,0)),""))</f>
      </c>
    </row>
    <row r="58" spans="1:22" x14ac:dyDescent="0.25">
      <c r="A58" s="7">
        <f>IF($C58="","",COUNTIF($C$4:$C58,"&lt;&gt;"))</f>
      </c>
      <c r="B58" s="8"/>
      <c r="C58" s="8"/>
      <c r="D58" s="8"/>
      <c r="E58" s="7">
        <f>IF($C58="","",IF(AND(LEN(TRIM(UPPER(D58)))=10,CODE(MID(TRIM(UPPER(D58)),1,1))&gt;=65,CODE(MID(TRIM(UPPER(D58)),1,1))&lt;=90,CODE(MID(TRIM(UPPER(D58)),2,1))&gt;=65,CODE(MID(TRIM(UPPER(D58)),2,1))&lt;=90,CODE(MID(TRIM(UPPER(D58)),3,1))&gt;=65,CODE(MID(TRIM(UPPER(D58)),3,1))&lt;=90,CODE(MID(TRIM(UPPER(D58)),4,1))&gt;=65,CODE(MID(TRIM(UPPER(D58)),4,1))&lt;=90,CODE(MID(TRIM(UPPER(D58)),5,1))&gt;=65,CODE(MID(TRIM(UPPER(D58)),5,1))&lt;=90,CODE(MID(TRIM(UPPER(D58)),10,1))&gt;=65,CODE(MID(TRIM(UPPER(D58)),10,1))&lt;=90,CODE(MID(TRIM(UPPER(D58)),6,1))&gt;=48,CODE(MID(TRIM(UPPER(D58)),6,1))&lt;=57,CODE(MID(TRIM(UPPER(D58)),7,1))&gt;=48,CODE(MID(TRIM(UPPER(D58)),7,1))&lt;=57,CODE(MID(TRIM(UPPER(D58)),8,1))&gt;=48,CODE(MID(TRIM(UPPER(D58)),8,1))&lt;=57,CODE(MID(TRIM(UPPER(D58)),9,1))&gt;=48,CODE(MID(TRIM(UPPER(D58)),9,1))&lt;=57),"N","Y"))</f>
      </c>
      <c r="F58" s="7">
        <f>IF($C58="","",IF(LEN(D58)&lt;4,"",IF(UPPER(MID(D58,4,1))="P","Individual",IF(UPPER(MID(D58,4,1))="H","HUF",IF(UPPER(MID(D58,4,1))="C","Company",IF(UPPER(MID(D58,4,1))="F","Firm",IF(UPPER(MID(D58,4,1))="L","LLP",IF(UPPER(MID(D58,4,1))="T","Trust",IF(UPPER(MID(D58,4,1))="A","AOP","")))))))))</f>
      </c>
      <c r="G58" s="8"/>
      <c r="H58" s="7">
        <f>IF($C58="","",IF(R58&lt;&gt;"",R58,IF(G58="","",IF(E58="Y",SUMPRODUCT(('Rate Lookup'!$A$1:$A$37=G58)*'Rate Lookup'!$D$1:$D$37),IF(OR(F58="Individual",F58="HUF"),SUMPRODUCT(('Rate Lookup'!$A$1:$A$37=G58)*'Rate Lookup'!$B$1:$B$37),SUMPRODUCT(('Rate Lookup'!$A$1:$A$37=G58)*'Rate Lookup'!$C$1:$C$37)))))))</f>
      </c>
      <c r="I58" s="8"/>
      <c r="J58" s="8"/>
      <c r="K58" s="7">
        <f>IF($C58="","",IF(OR(P58="B",P58="D",P58="E",P58="N",P58="O",P58="P",P58="Q",P58="S",P58="Y",P58="Z"),0,ROUND(J58*H58/100,0)))</f>
      </c>
      <c r="L58" s="7">
        <f>IF($C58="","",0)</f>
      </c>
      <c r="M58" s="7">
        <f>IF($C58="","",0)</f>
      </c>
      <c r="N58" s="7">
        <f>IF($C58="","",IF(OR(K58=0,I58="",IFERROR(INDEX('Challan Master'!$D$4:$D$207,MATCH($B58,'Challan Master'!$S$4:$S$207,0)),"")="",IFERROR(INDEX('Challan Master'!$D$4:$D$207,MATCH($B58,'Challan Master'!$S$4:$S$207,0)),"")&lt;=0),0,IF(IFERROR(INDEX('Challan Master'!$D$4:$D$207,MATCH($B58,'Challan Master'!$S$4:$S$207,0)),"")&lt;=DATE(YEAR(I58),MONTH(I58)+1,7),0,ROUND(K58*0.015*((YEAR(IFERROR(INDEX('Challan Master'!$D$4:$D$207,MATCH($B58,'Challan Master'!$S$4:$S$207,0)),""))-YEAR(I58))*12+(MONTH(IFERROR(INDEX('Challan Master'!$D$4:$D$207,MATCH($B58,'Challan Master'!$S$4:$S$207,0)),""))-MONTH(I58))+1),0))))</f>
      </c>
      <c r="O58" s="7">
        <f>IF($C58="","",0)</f>
      </c>
      <c r="P58" s="8"/>
      <c r="Q58" s="8"/>
      <c r="R58" s="8"/>
      <c r="S58" s="8"/>
      <c r="T58" s="8"/>
      <c r="U58" s="7">
        <f>IF($B58="","",IFERROR(INDEX('Challan Master'!$AA$4:$AA$207,MATCH($B58,'Challan Master'!$S$4:$S$207,0)),""))</f>
      </c>
    </row>
    <row r="59" spans="1:22" x14ac:dyDescent="0.25">
      <c r="A59" s="7">
        <f>IF($C59="","",COUNTIF($C$4:$C59,"&lt;&gt;"))</f>
      </c>
      <c r="B59" s="8"/>
      <c r="C59" s="8"/>
      <c r="D59" s="8"/>
      <c r="E59" s="7">
        <f>IF($C59="","",IF(AND(LEN(TRIM(UPPER(D59)))=10,CODE(MID(TRIM(UPPER(D59)),1,1))&gt;=65,CODE(MID(TRIM(UPPER(D59)),1,1))&lt;=90,CODE(MID(TRIM(UPPER(D59)),2,1))&gt;=65,CODE(MID(TRIM(UPPER(D59)),2,1))&lt;=90,CODE(MID(TRIM(UPPER(D59)),3,1))&gt;=65,CODE(MID(TRIM(UPPER(D59)),3,1))&lt;=90,CODE(MID(TRIM(UPPER(D59)),4,1))&gt;=65,CODE(MID(TRIM(UPPER(D59)),4,1))&lt;=90,CODE(MID(TRIM(UPPER(D59)),5,1))&gt;=65,CODE(MID(TRIM(UPPER(D59)),5,1))&lt;=90,CODE(MID(TRIM(UPPER(D59)),10,1))&gt;=65,CODE(MID(TRIM(UPPER(D59)),10,1))&lt;=90,CODE(MID(TRIM(UPPER(D59)),6,1))&gt;=48,CODE(MID(TRIM(UPPER(D59)),6,1))&lt;=57,CODE(MID(TRIM(UPPER(D59)),7,1))&gt;=48,CODE(MID(TRIM(UPPER(D59)),7,1))&lt;=57,CODE(MID(TRIM(UPPER(D59)),8,1))&gt;=48,CODE(MID(TRIM(UPPER(D59)),8,1))&lt;=57,CODE(MID(TRIM(UPPER(D59)),9,1))&gt;=48,CODE(MID(TRIM(UPPER(D59)),9,1))&lt;=57),"N","Y"))</f>
      </c>
      <c r="F59" s="7">
        <f>IF($C59="","",IF(LEN(D59)&lt;4,"",IF(UPPER(MID(D59,4,1))="P","Individual",IF(UPPER(MID(D59,4,1))="H","HUF",IF(UPPER(MID(D59,4,1))="C","Company",IF(UPPER(MID(D59,4,1))="F","Firm",IF(UPPER(MID(D59,4,1))="L","LLP",IF(UPPER(MID(D59,4,1))="T","Trust",IF(UPPER(MID(D59,4,1))="A","AOP","")))))))))</f>
      </c>
      <c r="G59" s="8"/>
      <c r="H59" s="7">
        <f>IF($C59="","",IF(R59&lt;&gt;"",R59,IF(G59="","",IF(E59="Y",SUMPRODUCT(('Rate Lookup'!$A$1:$A$37=G59)*'Rate Lookup'!$D$1:$D$37),IF(OR(F59="Individual",F59="HUF"),SUMPRODUCT(('Rate Lookup'!$A$1:$A$37=G59)*'Rate Lookup'!$B$1:$B$37),SUMPRODUCT(('Rate Lookup'!$A$1:$A$37=G59)*'Rate Lookup'!$C$1:$C$37)))))))</f>
      </c>
      <c r="I59" s="8"/>
      <c r="J59" s="8"/>
      <c r="K59" s="7">
        <f>IF($C59="","",IF(OR(P59="B",P59="D",P59="E",P59="N",P59="O",P59="P",P59="Q",P59="S",P59="Y",P59="Z"),0,ROUND(J59*H59/100,0)))</f>
      </c>
      <c r="L59" s="7">
        <f>IF($C59="","",0)</f>
      </c>
      <c r="M59" s="7">
        <f>IF($C59="","",0)</f>
      </c>
      <c r="N59" s="7">
        <f>IF($C59="","",IF(OR(K59=0,I59="",IFERROR(INDEX('Challan Master'!$D$4:$D$207,MATCH($B59,'Challan Master'!$S$4:$S$207,0)),"")="",IFERROR(INDEX('Challan Master'!$D$4:$D$207,MATCH($B59,'Challan Master'!$S$4:$S$207,0)),"")&lt;=0),0,IF(IFERROR(INDEX('Challan Master'!$D$4:$D$207,MATCH($B59,'Challan Master'!$S$4:$S$207,0)),"")&lt;=DATE(YEAR(I59),MONTH(I59)+1,7),0,ROUND(K59*0.015*((YEAR(IFERROR(INDEX('Challan Master'!$D$4:$D$207,MATCH($B59,'Challan Master'!$S$4:$S$207,0)),""))-YEAR(I59))*12+(MONTH(IFERROR(INDEX('Challan Master'!$D$4:$D$207,MATCH($B59,'Challan Master'!$S$4:$S$207,0)),""))-MONTH(I59))+1),0))))</f>
      </c>
      <c r="O59" s="7">
        <f>IF($C59="","",0)</f>
      </c>
      <c r="P59" s="8"/>
      <c r="Q59" s="8"/>
      <c r="R59" s="8"/>
      <c r="S59" s="8"/>
      <c r="T59" s="8"/>
      <c r="U59" s="7">
        <f>IF($B59="","",IFERROR(INDEX('Challan Master'!$AA$4:$AA$207,MATCH($B59,'Challan Master'!$S$4:$S$207,0)),""))</f>
      </c>
    </row>
    <row r="60" spans="1:22" x14ac:dyDescent="0.25">
      <c r="A60" s="7">
        <f>IF($C60="","",COUNTIF($C$4:$C60,"&lt;&gt;"))</f>
      </c>
      <c r="B60" s="8"/>
      <c r="C60" s="8"/>
      <c r="D60" s="8"/>
      <c r="E60" s="7">
        <f>IF($C60="","",IF(AND(LEN(TRIM(UPPER(D60)))=10,CODE(MID(TRIM(UPPER(D60)),1,1))&gt;=65,CODE(MID(TRIM(UPPER(D60)),1,1))&lt;=90,CODE(MID(TRIM(UPPER(D60)),2,1))&gt;=65,CODE(MID(TRIM(UPPER(D60)),2,1))&lt;=90,CODE(MID(TRIM(UPPER(D60)),3,1))&gt;=65,CODE(MID(TRIM(UPPER(D60)),3,1))&lt;=90,CODE(MID(TRIM(UPPER(D60)),4,1))&gt;=65,CODE(MID(TRIM(UPPER(D60)),4,1))&lt;=90,CODE(MID(TRIM(UPPER(D60)),5,1))&gt;=65,CODE(MID(TRIM(UPPER(D60)),5,1))&lt;=90,CODE(MID(TRIM(UPPER(D60)),10,1))&gt;=65,CODE(MID(TRIM(UPPER(D60)),10,1))&lt;=90,CODE(MID(TRIM(UPPER(D60)),6,1))&gt;=48,CODE(MID(TRIM(UPPER(D60)),6,1))&lt;=57,CODE(MID(TRIM(UPPER(D60)),7,1))&gt;=48,CODE(MID(TRIM(UPPER(D60)),7,1))&lt;=57,CODE(MID(TRIM(UPPER(D60)),8,1))&gt;=48,CODE(MID(TRIM(UPPER(D60)),8,1))&lt;=57,CODE(MID(TRIM(UPPER(D60)),9,1))&gt;=48,CODE(MID(TRIM(UPPER(D60)),9,1))&lt;=57),"N","Y"))</f>
      </c>
      <c r="F60" s="7">
        <f>IF($C60="","",IF(LEN(D60)&lt;4,"",IF(UPPER(MID(D60,4,1))="P","Individual",IF(UPPER(MID(D60,4,1))="H","HUF",IF(UPPER(MID(D60,4,1))="C","Company",IF(UPPER(MID(D60,4,1))="F","Firm",IF(UPPER(MID(D60,4,1))="L","LLP",IF(UPPER(MID(D60,4,1))="T","Trust",IF(UPPER(MID(D60,4,1))="A","AOP","")))))))))</f>
      </c>
      <c r="G60" s="8"/>
      <c r="H60" s="7">
        <f>IF($C60="","",IF(R60&lt;&gt;"",R60,IF(G60="","",IF(E60="Y",SUMPRODUCT(('Rate Lookup'!$A$1:$A$37=G60)*'Rate Lookup'!$D$1:$D$37),IF(OR(F60="Individual",F60="HUF"),SUMPRODUCT(('Rate Lookup'!$A$1:$A$37=G60)*'Rate Lookup'!$B$1:$B$37),SUMPRODUCT(('Rate Lookup'!$A$1:$A$37=G60)*'Rate Lookup'!$C$1:$C$37)))))))</f>
      </c>
      <c r="I60" s="8"/>
      <c r="J60" s="8"/>
      <c r="K60" s="7">
        <f>IF($C60="","",IF(OR(P60="B",P60="D",P60="E",P60="N",P60="O",P60="P",P60="Q",P60="S",P60="Y",P60="Z"),0,ROUND(J60*H60/100,0)))</f>
      </c>
      <c r="L60" s="7">
        <f>IF($C60="","",0)</f>
      </c>
      <c r="M60" s="7">
        <f>IF($C60="","",0)</f>
      </c>
      <c r="N60" s="7">
        <f>IF($C60="","",IF(OR(K60=0,I60="",IFERROR(INDEX('Challan Master'!$D$4:$D$207,MATCH($B60,'Challan Master'!$S$4:$S$207,0)),"")="",IFERROR(INDEX('Challan Master'!$D$4:$D$207,MATCH($B60,'Challan Master'!$S$4:$S$207,0)),"")&lt;=0),0,IF(IFERROR(INDEX('Challan Master'!$D$4:$D$207,MATCH($B60,'Challan Master'!$S$4:$S$207,0)),"")&lt;=DATE(YEAR(I60),MONTH(I60)+1,7),0,ROUND(K60*0.015*((YEAR(IFERROR(INDEX('Challan Master'!$D$4:$D$207,MATCH($B60,'Challan Master'!$S$4:$S$207,0)),""))-YEAR(I60))*12+(MONTH(IFERROR(INDEX('Challan Master'!$D$4:$D$207,MATCH($B60,'Challan Master'!$S$4:$S$207,0)),""))-MONTH(I60))+1),0))))</f>
      </c>
      <c r="O60" s="7">
        <f>IF($C60="","",0)</f>
      </c>
      <c r="P60" s="8"/>
      <c r="Q60" s="8"/>
      <c r="R60" s="8"/>
      <c r="S60" s="8"/>
      <c r="T60" s="8"/>
      <c r="U60" s="7">
        <f>IF($B60="","",IFERROR(INDEX('Challan Master'!$AA$4:$AA$207,MATCH($B60,'Challan Master'!$S$4:$S$207,0)),""))</f>
      </c>
    </row>
    <row r="61" spans="1:22" x14ac:dyDescent="0.25">
      <c r="A61" s="7">
        <f>IF($C61="","",COUNTIF($C$4:$C61,"&lt;&gt;"))</f>
      </c>
      <c r="B61" s="8"/>
      <c r="C61" s="8"/>
      <c r="D61" s="8"/>
      <c r="E61" s="7">
        <f>IF($C61="","",IF(AND(LEN(TRIM(UPPER(D61)))=10,CODE(MID(TRIM(UPPER(D61)),1,1))&gt;=65,CODE(MID(TRIM(UPPER(D61)),1,1))&lt;=90,CODE(MID(TRIM(UPPER(D61)),2,1))&gt;=65,CODE(MID(TRIM(UPPER(D61)),2,1))&lt;=90,CODE(MID(TRIM(UPPER(D61)),3,1))&gt;=65,CODE(MID(TRIM(UPPER(D61)),3,1))&lt;=90,CODE(MID(TRIM(UPPER(D61)),4,1))&gt;=65,CODE(MID(TRIM(UPPER(D61)),4,1))&lt;=90,CODE(MID(TRIM(UPPER(D61)),5,1))&gt;=65,CODE(MID(TRIM(UPPER(D61)),5,1))&lt;=90,CODE(MID(TRIM(UPPER(D61)),10,1))&gt;=65,CODE(MID(TRIM(UPPER(D61)),10,1))&lt;=90,CODE(MID(TRIM(UPPER(D61)),6,1))&gt;=48,CODE(MID(TRIM(UPPER(D61)),6,1))&lt;=57,CODE(MID(TRIM(UPPER(D61)),7,1))&gt;=48,CODE(MID(TRIM(UPPER(D61)),7,1))&lt;=57,CODE(MID(TRIM(UPPER(D61)),8,1))&gt;=48,CODE(MID(TRIM(UPPER(D61)),8,1))&lt;=57,CODE(MID(TRIM(UPPER(D61)),9,1))&gt;=48,CODE(MID(TRIM(UPPER(D61)),9,1))&lt;=57),"N","Y"))</f>
      </c>
      <c r="F61" s="7">
        <f>IF($C61="","",IF(LEN(D61)&lt;4,"",IF(UPPER(MID(D61,4,1))="P","Individual",IF(UPPER(MID(D61,4,1))="H","HUF",IF(UPPER(MID(D61,4,1))="C","Company",IF(UPPER(MID(D61,4,1))="F","Firm",IF(UPPER(MID(D61,4,1))="L","LLP",IF(UPPER(MID(D61,4,1))="T","Trust",IF(UPPER(MID(D61,4,1))="A","AOP","")))))))))</f>
      </c>
      <c r="G61" s="8"/>
      <c r="H61" s="7">
        <f>IF($C61="","",IF(R61&lt;&gt;"",R61,IF(G61="","",IF(E61="Y",SUMPRODUCT(('Rate Lookup'!$A$1:$A$37=G61)*'Rate Lookup'!$D$1:$D$37),IF(OR(F61="Individual",F61="HUF"),SUMPRODUCT(('Rate Lookup'!$A$1:$A$37=G61)*'Rate Lookup'!$B$1:$B$37),SUMPRODUCT(('Rate Lookup'!$A$1:$A$37=G61)*'Rate Lookup'!$C$1:$C$37)))))))</f>
      </c>
      <c r="I61" s="8"/>
      <c r="J61" s="8"/>
      <c r="K61" s="7">
        <f>IF($C61="","",IF(OR(P61="B",P61="D",P61="E",P61="N",P61="O",P61="P",P61="Q",P61="S",P61="Y",P61="Z"),0,ROUND(J61*H61/100,0)))</f>
      </c>
      <c r="L61" s="7">
        <f>IF($C61="","",0)</f>
      </c>
      <c r="M61" s="7">
        <f>IF($C61="","",0)</f>
      </c>
      <c r="N61" s="7">
        <f>IF($C61="","",IF(OR(K61=0,I61="",IFERROR(INDEX('Challan Master'!$D$4:$D$207,MATCH($B61,'Challan Master'!$S$4:$S$207,0)),"")="",IFERROR(INDEX('Challan Master'!$D$4:$D$207,MATCH($B61,'Challan Master'!$S$4:$S$207,0)),"")&lt;=0),0,IF(IFERROR(INDEX('Challan Master'!$D$4:$D$207,MATCH($B61,'Challan Master'!$S$4:$S$207,0)),"")&lt;=DATE(YEAR(I61),MONTH(I61)+1,7),0,ROUND(K61*0.015*((YEAR(IFERROR(INDEX('Challan Master'!$D$4:$D$207,MATCH($B61,'Challan Master'!$S$4:$S$207,0)),""))-YEAR(I61))*12+(MONTH(IFERROR(INDEX('Challan Master'!$D$4:$D$207,MATCH($B61,'Challan Master'!$S$4:$S$207,0)),""))-MONTH(I61))+1),0))))</f>
      </c>
      <c r="O61" s="7">
        <f>IF($C61="","",0)</f>
      </c>
      <c r="P61" s="8"/>
      <c r="Q61" s="8"/>
      <c r="R61" s="8"/>
      <c r="S61" s="8"/>
      <c r="T61" s="8"/>
      <c r="U61" s="7">
        <f>IF($B61="","",IFERROR(INDEX('Challan Master'!$AA$4:$AA$207,MATCH($B61,'Challan Master'!$S$4:$S$207,0)),""))</f>
      </c>
    </row>
    <row r="62" spans="1:22" x14ac:dyDescent="0.25">
      <c r="A62" s="7">
        <f>IF($C62="","",COUNTIF($C$4:$C62,"&lt;&gt;"))</f>
      </c>
      <c r="B62" s="8"/>
      <c r="C62" s="8"/>
      <c r="D62" s="8"/>
      <c r="E62" s="7">
        <f>IF($C62="","",IF(AND(LEN(TRIM(UPPER(D62)))=10,CODE(MID(TRIM(UPPER(D62)),1,1))&gt;=65,CODE(MID(TRIM(UPPER(D62)),1,1))&lt;=90,CODE(MID(TRIM(UPPER(D62)),2,1))&gt;=65,CODE(MID(TRIM(UPPER(D62)),2,1))&lt;=90,CODE(MID(TRIM(UPPER(D62)),3,1))&gt;=65,CODE(MID(TRIM(UPPER(D62)),3,1))&lt;=90,CODE(MID(TRIM(UPPER(D62)),4,1))&gt;=65,CODE(MID(TRIM(UPPER(D62)),4,1))&lt;=90,CODE(MID(TRIM(UPPER(D62)),5,1))&gt;=65,CODE(MID(TRIM(UPPER(D62)),5,1))&lt;=90,CODE(MID(TRIM(UPPER(D62)),10,1))&gt;=65,CODE(MID(TRIM(UPPER(D62)),10,1))&lt;=90,CODE(MID(TRIM(UPPER(D62)),6,1))&gt;=48,CODE(MID(TRIM(UPPER(D62)),6,1))&lt;=57,CODE(MID(TRIM(UPPER(D62)),7,1))&gt;=48,CODE(MID(TRIM(UPPER(D62)),7,1))&lt;=57,CODE(MID(TRIM(UPPER(D62)),8,1))&gt;=48,CODE(MID(TRIM(UPPER(D62)),8,1))&lt;=57,CODE(MID(TRIM(UPPER(D62)),9,1))&gt;=48,CODE(MID(TRIM(UPPER(D62)),9,1))&lt;=57),"N","Y"))</f>
      </c>
      <c r="F62" s="7">
        <f>IF($C62="","",IF(LEN(D62)&lt;4,"",IF(UPPER(MID(D62,4,1))="P","Individual",IF(UPPER(MID(D62,4,1))="H","HUF",IF(UPPER(MID(D62,4,1))="C","Company",IF(UPPER(MID(D62,4,1))="F","Firm",IF(UPPER(MID(D62,4,1))="L","LLP",IF(UPPER(MID(D62,4,1))="T","Trust",IF(UPPER(MID(D62,4,1))="A","AOP","")))))))))</f>
      </c>
      <c r="G62" s="8"/>
      <c r="H62" s="7">
        <f>IF($C62="","",IF(R62&lt;&gt;"",R62,IF(G62="","",IF(E62="Y",SUMPRODUCT(('Rate Lookup'!$A$1:$A$37=G62)*'Rate Lookup'!$D$1:$D$37),IF(OR(F62="Individual",F62="HUF"),SUMPRODUCT(('Rate Lookup'!$A$1:$A$37=G62)*'Rate Lookup'!$B$1:$B$37),SUMPRODUCT(('Rate Lookup'!$A$1:$A$37=G62)*'Rate Lookup'!$C$1:$C$37)))))))</f>
      </c>
      <c r="I62" s="8"/>
      <c r="J62" s="8"/>
      <c r="K62" s="7">
        <f>IF($C62="","",IF(OR(P62="B",P62="D",P62="E",P62="N",P62="O",P62="P",P62="Q",P62="S",P62="Y",P62="Z"),0,ROUND(J62*H62/100,0)))</f>
      </c>
      <c r="L62" s="7">
        <f>IF($C62="","",0)</f>
      </c>
      <c r="M62" s="7">
        <f>IF($C62="","",0)</f>
      </c>
      <c r="N62" s="7">
        <f>IF($C62="","",IF(OR(K62=0,I62="",IFERROR(INDEX('Challan Master'!$D$4:$D$207,MATCH($B62,'Challan Master'!$S$4:$S$207,0)),"")="",IFERROR(INDEX('Challan Master'!$D$4:$D$207,MATCH($B62,'Challan Master'!$S$4:$S$207,0)),"")&lt;=0),0,IF(IFERROR(INDEX('Challan Master'!$D$4:$D$207,MATCH($B62,'Challan Master'!$S$4:$S$207,0)),"")&lt;=DATE(YEAR(I62),MONTH(I62)+1,7),0,ROUND(K62*0.015*((YEAR(IFERROR(INDEX('Challan Master'!$D$4:$D$207,MATCH($B62,'Challan Master'!$S$4:$S$207,0)),""))-YEAR(I62))*12+(MONTH(IFERROR(INDEX('Challan Master'!$D$4:$D$207,MATCH($B62,'Challan Master'!$S$4:$S$207,0)),""))-MONTH(I62))+1),0))))</f>
      </c>
      <c r="O62" s="7">
        <f>IF($C62="","",0)</f>
      </c>
      <c r="P62" s="8"/>
      <c r="Q62" s="8"/>
      <c r="R62" s="8"/>
      <c r="S62" s="8"/>
      <c r="T62" s="8"/>
      <c r="U62" s="7">
        <f>IF($B62="","",IFERROR(INDEX('Challan Master'!$AA$4:$AA$207,MATCH($B62,'Challan Master'!$S$4:$S$207,0)),""))</f>
      </c>
    </row>
    <row r="63" spans="1:22" x14ac:dyDescent="0.25">
      <c r="A63" s="7">
        <f>IF($C63="","",COUNTIF($C$4:$C63,"&lt;&gt;"))</f>
      </c>
      <c r="B63" s="8"/>
      <c r="C63" s="8"/>
      <c r="D63" s="8"/>
      <c r="E63" s="7">
        <f>IF($C63="","",IF(AND(LEN(TRIM(UPPER(D63)))=10,CODE(MID(TRIM(UPPER(D63)),1,1))&gt;=65,CODE(MID(TRIM(UPPER(D63)),1,1))&lt;=90,CODE(MID(TRIM(UPPER(D63)),2,1))&gt;=65,CODE(MID(TRIM(UPPER(D63)),2,1))&lt;=90,CODE(MID(TRIM(UPPER(D63)),3,1))&gt;=65,CODE(MID(TRIM(UPPER(D63)),3,1))&lt;=90,CODE(MID(TRIM(UPPER(D63)),4,1))&gt;=65,CODE(MID(TRIM(UPPER(D63)),4,1))&lt;=90,CODE(MID(TRIM(UPPER(D63)),5,1))&gt;=65,CODE(MID(TRIM(UPPER(D63)),5,1))&lt;=90,CODE(MID(TRIM(UPPER(D63)),10,1))&gt;=65,CODE(MID(TRIM(UPPER(D63)),10,1))&lt;=90,CODE(MID(TRIM(UPPER(D63)),6,1))&gt;=48,CODE(MID(TRIM(UPPER(D63)),6,1))&lt;=57,CODE(MID(TRIM(UPPER(D63)),7,1))&gt;=48,CODE(MID(TRIM(UPPER(D63)),7,1))&lt;=57,CODE(MID(TRIM(UPPER(D63)),8,1))&gt;=48,CODE(MID(TRIM(UPPER(D63)),8,1))&lt;=57,CODE(MID(TRIM(UPPER(D63)),9,1))&gt;=48,CODE(MID(TRIM(UPPER(D63)),9,1))&lt;=57),"N","Y"))</f>
      </c>
      <c r="F63" s="7">
        <f>IF($C63="","",IF(LEN(D63)&lt;4,"",IF(UPPER(MID(D63,4,1))="P","Individual",IF(UPPER(MID(D63,4,1))="H","HUF",IF(UPPER(MID(D63,4,1))="C","Company",IF(UPPER(MID(D63,4,1))="F","Firm",IF(UPPER(MID(D63,4,1))="L","LLP",IF(UPPER(MID(D63,4,1))="T","Trust",IF(UPPER(MID(D63,4,1))="A","AOP","")))))))))</f>
      </c>
      <c r="G63" s="8"/>
      <c r="H63" s="7">
        <f>IF($C63="","",IF(R63&lt;&gt;"",R63,IF(G63="","",IF(E63="Y",SUMPRODUCT(('Rate Lookup'!$A$1:$A$37=G63)*'Rate Lookup'!$D$1:$D$37),IF(OR(F63="Individual",F63="HUF"),SUMPRODUCT(('Rate Lookup'!$A$1:$A$37=G63)*'Rate Lookup'!$B$1:$B$37),SUMPRODUCT(('Rate Lookup'!$A$1:$A$37=G63)*'Rate Lookup'!$C$1:$C$37)))))))</f>
      </c>
      <c r="I63" s="8"/>
      <c r="J63" s="8"/>
      <c r="K63" s="7">
        <f>IF($C63="","",IF(OR(P63="B",P63="D",P63="E",P63="N",P63="O",P63="P",P63="Q",P63="S",P63="Y",P63="Z"),0,ROUND(J63*H63/100,0)))</f>
      </c>
      <c r="L63" s="7">
        <f>IF($C63="","",0)</f>
      </c>
      <c r="M63" s="7">
        <f>IF($C63="","",0)</f>
      </c>
      <c r="N63" s="7">
        <f>IF($C63="","",IF(OR(K63=0,I63="",IFERROR(INDEX('Challan Master'!$D$4:$D$207,MATCH($B63,'Challan Master'!$S$4:$S$207,0)),"")="",IFERROR(INDEX('Challan Master'!$D$4:$D$207,MATCH($B63,'Challan Master'!$S$4:$S$207,0)),"")&lt;=0),0,IF(IFERROR(INDEX('Challan Master'!$D$4:$D$207,MATCH($B63,'Challan Master'!$S$4:$S$207,0)),"")&lt;=DATE(YEAR(I63),MONTH(I63)+1,7),0,ROUND(K63*0.015*((YEAR(IFERROR(INDEX('Challan Master'!$D$4:$D$207,MATCH($B63,'Challan Master'!$S$4:$S$207,0)),""))-YEAR(I63))*12+(MONTH(IFERROR(INDEX('Challan Master'!$D$4:$D$207,MATCH($B63,'Challan Master'!$S$4:$S$207,0)),""))-MONTH(I63))+1),0))))</f>
      </c>
      <c r="O63" s="7">
        <f>IF($C63="","",0)</f>
      </c>
      <c r="P63" s="8"/>
      <c r="Q63" s="8"/>
      <c r="R63" s="8"/>
      <c r="S63" s="8"/>
      <c r="T63" s="8"/>
      <c r="U63" s="7">
        <f>IF($B63="","",IFERROR(INDEX('Challan Master'!$AA$4:$AA$207,MATCH($B63,'Challan Master'!$S$4:$S$207,0)),""))</f>
      </c>
    </row>
    <row r="64" spans="1:22" x14ac:dyDescent="0.25">
      <c r="A64" s="7">
        <f>IF($C64="","",COUNTIF($C$4:$C64,"&lt;&gt;"))</f>
      </c>
      <c r="B64" s="8"/>
      <c r="C64" s="8"/>
      <c r="D64" s="8"/>
      <c r="E64" s="7">
        <f>IF($C64="","",IF(AND(LEN(TRIM(UPPER(D64)))=10,CODE(MID(TRIM(UPPER(D64)),1,1))&gt;=65,CODE(MID(TRIM(UPPER(D64)),1,1))&lt;=90,CODE(MID(TRIM(UPPER(D64)),2,1))&gt;=65,CODE(MID(TRIM(UPPER(D64)),2,1))&lt;=90,CODE(MID(TRIM(UPPER(D64)),3,1))&gt;=65,CODE(MID(TRIM(UPPER(D64)),3,1))&lt;=90,CODE(MID(TRIM(UPPER(D64)),4,1))&gt;=65,CODE(MID(TRIM(UPPER(D64)),4,1))&lt;=90,CODE(MID(TRIM(UPPER(D64)),5,1))&gt;=65,CODE(MID(TRIM(UPPER(D64)),5,1))&lt;=90,CODE(MID(TRIM(UPPER(D64)),10,1))&gt;=65,CODE(MID(TRIM(UPPER(D64)),10,1))&lt;=90,CODE(MID(TRIM(UPPER(D64)),6,1))&gt;=48,CODE(MID(TRIM(UPPER(D64)),6,1))&lt;=57,CODE(MID(TRIM(UPPER(D64)),7,1))&gt;=48,CODE(MID(TRIM(UPPER(D64)),7,1))&lt;=57,CODE(MID(TRIM(UPPER(D64)),8,1))&gt;=48,CODE(MID(TRIM(UPPER(D64)),8,1))&lt;=57,CODE(MID(TRIM(UPPER(D64)),9,1))&gt;=48,CODE(MID(TRIM(UPPER(D64)),9,1))&lt;=57),"N","Y"))</f>
      </c>
      <c r="F64" s="7">
        <f>IF($C64="","",IF(LEN(D64)&lt;4,"",IF(UPPER(MID(D64,4,1))="P","Individual",IF(UPPER(MID(D64,4,1))="H","HUF",IF(UPPER(MID(D64,4,1))="C","Company",IF(UPPER(MID(D64,4,1))="F","Firm",IF(UPPER(MID(D64,4,1))="L","LLP",IF(UPPER(MID(D64,4,1))="T","Trust",IF(UPPER(MID(D64,4,1))="A","AOP","")))))))))</f>
      </c>
      <c r="G64" s="8"/>
      <c r="H64" s="7">
        <f>IF($C64="","",IF(R64&lt;&gt;"",R64,IF(G64="","",IF(E64="Y",SUMPRODUCT(('Rate Lookup'!$A$1:$A$37=G64)*'Rate Lookup'!$D$1:$D$37),IF(OR(F64="Individual",F64="HUF"),SUMPRODUCT(('Rate Lookup'!$A$1:$A$37=G64)*'Rate Lookup'!$B$1:$B$37),SUMPRODUCT(('Rate Lookup'!$A$1:$A$37=G64)*'Rate Lookup'!$C$1:$C$37)))))))</f>
      </c>
      <c r="I64" s="8"/>
      <c r="J64" s="8"/>
      <c r="K64" s="7">
        <f>IF($C64="","",IF(OR(P64="B",P64="D",P64="E",P64="N",P64="O",P64="P",P64="Q",P64="S",P64="Y",P64="Z"),0,ROUND(J64*H64/100,0)))</f>
      </c>
      <c r="L64" s="7">
        <f>IF($C64="","",0)</f>
      </c>
      <c r="M64" s="7">
        <f>IF($C64="","",0)</f>
      </c>
      <c r="N64" s="7">
        <f>IF($C64="","",IF(OR(K64=0,I64="",IFERROR(INDEX('Challan Master'!$D$4:$D$207,MATCH($B64,'Challan Master'!$S$4:$S$207,0)),"")="",IFERROR(INDEX('Challan Master'!$D$4:$D$207,MATCH($B64,'Challan Master'!$S$4:$S$207,0)),"")&lt;=0),0,IF(IFERROR(INDEX('Challan Master'!$D$4:$D$207,MATCH($B64,'Challan Master'!$S$4:$S$207,0)),"")&lt;=DATE(YEAR(I64),MONTH(I64)+1,7),0,ROUND(K64*0.015*((YEAR(IFERROR(INDEX('Challan Master'!$D$4:$D$207,MATCH($B64,'Challan Master'!$S$4:$S$207,0)),""))-YEAR(I64))*12+(MONTH(IFERROR(INDEX('Challan Master'!$D$4:$D$207,MATCH($B64,'Challan Master'!$S$4:$S$207,0)),""))-MONTH(I64))+1),0))))</f>
      </c>
      <c r="O64" s="7">
        <f>IF($C64="","",0)</f>
      </c>
      <c r="P64" s="8"/>
      <c r="Q64" s="8"/>
      <c r="R64" s="8"/>
      <c r="S64" s="8"/>
      <c r="T64" s="8"/>
      <c r="U64" s="7">
        <f>IF($B64="","",IFERROR(INDEX('Challan Master'!$AA$4:$AA$207,MATCH($B64,'Challan Master'!$S$4:$S$207,0)),""))</f>
      </c>
    </row>
    <row r="65" spans="1:22" x14ac:dyDescent="0.25">
      <c r="A65" s="7">
        <f>IF($C65="","",COUNTIF($C$4:$C65,"&lt;&gt;"))</f>
      </c>
      <c r="B65" s="8"/>
      <c r="C65" s="8"/>
      <c r="D65" s="8"/>
      <c r="E65" s="7">
        <f>IF($C65="","",IF(AND(LEN(TRIM(UPPER(D65)))=10,CODE(MID(TRIM(UPPER(D65)),1,1))&gt;=65,CODE(MID(TRIM(UPPER(D65)),1,1))&lt;=90,CODE(MID(TRIM(UPPER(D65)),2,1))&gt;=65,CODE(MID(TRIM(UPPER(D65)),2,1))&lt;=90,CODE(MID(TRIM(UPPER(D65)),3,1))&gt;=65,CODE(MID(TRIM(UPPER(D65)),3,1))&lt;=90,CODE(MID(TRIM(UPPER(D65)),4,1))&gt;=65,CODE(MID(TRIM(UPPER(D65)),4,1))&lt;=90,CODE(MID(TRIM(UPPER(D65)),5,1))&gt;=65,CODE(MID(TRIM(UPPER(D65)),5,1))&lt;=90,CODE(MID(TRIM(UPPER(D65)),10,1))&gt;=65,CODE(MID(TRIM(UPPER(D65)),10,1))&lt;=90,CODE(MID(TRIM(UPPER(D65)),6,1))&gt;=48,CODE(MID(TRIM(UPPER(D65)),6,1))&lt;=57,CODE(MID(TRIM(UPPER(D65)),7,1))&gt;=48,CODE(MID(TRIM(UPPER(D65)),7,1))&lt;=57,CODE(MID(TRIM(UPPER(D65)),8,1))&gt;=48,CODE(MID(TRIM(UPPER(D65)),8,1))&lt;=57,CODE(MID(TRIM(UPPER(D65)),9,1))&gt;=48,CODE(MID(TRIM(UPPER(D65)),9,1))&lt;=57),"N","Y"))</f>
      </c>
      <c r="F65" s="7">
        <f>IF($C65="","",IF(LEN(D65)&lt;4,"",IF(UPPER(MID(D65,4,1))="P","Individual",IF(UPPER(MID(D65,4,1))="H","HUF",IF(UPPER(MID(D65,4,1))="C","Company",IF(UPPER(MID(D65,4,1))="F","Firm",IF(UPPER(MID(D65,4,1))="L","LLP",IF(UPPER(MID(D65,4,1))="T","Trust",IF(UPPER(MID(D65,4,1))="A","AOP","")))))))))</f>
      </c>
      <c r="G65" s="8"/>
      <c r="H65" s="7">
        <f>IF($C65="","",IF(R65&lt;&gt;"",R65,IF(G65="","",IF(E65="Y",SUMPRODUCT(('Rate Lookup'!$A$1:$A$37=G65)*'Rate Lookup'!$D$1:$D$37),IF(OR(F65="Individual",F65="HUF"),SUMPRODUCT(('Rate Lookup'!$A$1:$A$37=G65)*'Rate Lookup'!$B$1:$B$37),SUMPRODUCT(('Rate Lookup'!$A$1:$A$37=G65)*'Rate Lookup'!$C$1:$C$37)))))))</f>
      </c>
      <c r="I65" s="8"/>
      <c r="J65" s="8"/>
      <c r="K65" s="7">
        <f>IF($C65="","",IF(OR(P65="B",P65="D",P65="E",P65="N",P65="O",P65="P",P65="Q",P65="S",P65="Y",P65="Z"),0,ROUND(J65*H65/100,0)))</f>
      </c>
      <c r="L65" s="7">
        <f>IF($C65="","",0)</f>
      </c>
      <c r="M65" s="7">
        <f>IF($C65="","",0)</f>
      </c>
      <c r="N65" s="7">
        <f>IF($C65="","",IF(OR(K65=0,I65="",IFERROR(INDEX('Challan Master'!$D$4:$D$207,MATCH($B65,'Challan Master'!$S$4:$S$207,0)),"")="",IFERROR(INDEX('Challan Master'!$D$4:$D$207,MATCH($B65,'Challan Master'!$S$4:$S$207,0)),"")&lt;=0),0,IF(IFERROR(INDEX('Challan Master'!$D$4:$D$207,MATCH($B65,'Challan Master'!$S$4:$S$207,0)),"")&lt;=DATE(YEAR(I65),MONTH(I65)+1,7),0,ROUND(K65*0.015*((YEAR(IFERROR(INDEX('Challan Master'!$D$4:$D$207,MATCH($B65,'Challan Master'!$S$4:$S$207,0)),""))-YEAR(I65))*12+(MONTH(IFERROR(INDEX('Challan Master'!$D$4:$D$207,MATCH($B65,'Challan Master'!$S$4:$S$207,0)),""))-MONTH(I65))+1),0))))</f>
      </c>
      <c r="O65" s="7">
        <f>IF($C65="","",0)</f>
      </c>
      <c r="P65" s="8"/>
      <c r="Q65" s="8"/>
      <c r="R65" s="8"/>
      <c r="S65" s="8"/>
      <c r="T65" s="8"/>
      <c r="U65" s="7">
        <f>IF($B65="","",IFERROR(INDEX('Challan Master'!$AA$4:$AA$207,MATCH($B65,'Challan Master'!$S$4:$S$207,0)),""))</f>
      </c>
    </row>
    <row r="66" spans="1:22" x14ac:dyDescent="0.25">
      <c r="A66" s="7">
        <f>IF($C66="","",COUNTIF($C$4:$C66,"&lt;&gt;"))</f>
      </c>
      <c r="B66" s="8"/>
      <c r="C66" s="8"/>
      <c r="D66" s="8"/>
      <c r="E66" s="7">
        <f>IF($C66="","",IF(AND(LEN(TRIM(UPPER(D66)))=10,CODE(MID(TRIM(UPPER(D66)),1,1))&gt;=65,CODE(MID(TRIM(UPPER(D66)),1,1))&lt;=90,CODE(MID(TRIM(UPPER(D66)),2,1))&gt;=65,CODE(MID(TRIM(UPPER(D66)),2,1))&lt;=90,CODE(MID(TRIM(UPPER(D66)),3,1))&gt;=65,CODE(MID(TRIM(UPPER(D66)),3,1))&lt;=90,CODE(MID(TRIM(UPPER(D66)),4,1))&gt;=65,CODE(MID(TRIM(UPPER(D66)),4,1))&lt;=90,CODE(MID(TRIM(UPPER(D66)),5,1))&gt;=65,CODE(MID(TRIM(UPPER(D66)),5,1))&lt;=90,CODE(MID(TRIM(UPPER(D66)),10,1))&gt;=65,CODE(MID(TRIM(UPPER(D66)),10,1))&lt;=90,CODE(MID(TRIM(UPPER(D66)),6,1))&gt;=48,CODE(MID(TRIM(UPPER(D66)),6,1))&lt;=57,CODE(MID(TRIM(UPPER(D66)),7,1))&gt;=48,CODE(MID(TRIM(UPPER(D66)),7,1))&lt;=57,CODE(MID(TRIM(UPPER(D66)),8,1))&gt;=48,CODE(MID(TRIM(UPPER(D66)),8,1))&lt;=57,CODE(MID(TRIM(UPPER(D66)),9,1))&gt;=48,CODE(MID(TRIM(UPPER(D66)),9,1))&lt;=57),"N","Y"))</f>
      </c>
      <c r="F66" s="7">
        <f>IF($C66="","",IF(LEN(D66)&lt;4,"",IF(UPPER(MID(D66,4,1))="P","Individual",IF(UPPER(MID(D66,4,1))="H","HUF",IF(UPPER(MID(D66,4,1))="C","Company",IF(UPPER(MID(D66,4,1))="F","Firm",IF(UPPER(MID(D66,4,1))="L","LLP",IF(UPPER(MID(D66,4,1))="T","Trust",IF(UPPER(MID(D66,4,1))="A","AOP","")))))))))</f>
      </c>
      <c r="G66" s="8"/>
      <c r="H66" s="7">
        <f>IF($C66="","",IF(R66&lt;&gt;"",R66,IF(G66="","",IF(E66="Y",SUMPRODUCT(('Rate Lookup'!$A$1:$A$37=G66)*'Rate Lookup'!$D$1:$D$37),IF(OR(F66="Individual",F66="HUF"),SUMPRODUCT(('Rate Lookup'!$A$1:$A$37=G66)*'Rate Lookup'!$B$1:$B$37),SUMPRODUCT(('Rate Lookup'!$A$1:$A$37=G66)*'Rate Lookup'!$C$1:$C$37)))))))</f>
      </c>
      <c r="I66" s="8"/>
      <c r="J66" s="8"/>
      <c r="K66" s="7">
        <f>IF($C66="","",IF(OR(P66="B",P66="D",P66="E",P66="N",P66="O",P66="P",P66="Q",P66="S",P66="Y",P66="Z"),0,ROUND(J66*H66/100,0)))</f>
      </c>
      <c r="L66" s="7">
        <f>IF($C66="","",0)</f>
      </c>
      <c r="M66" s="7">
        <f>IF($C66="","",0)</f>
      </c>
      <c r="N66" s="7">
        <f>IF($C66="","",IF(OR(K66=0,I66="",IFERROR(INDEX('Challan Master'!$D$4:$D$207,MATCH($B66,'Challan Master'!$S$4:$S$207,0)),"")="",IFERROR(INDEX('Challan Master'!$D$4:$D$207,MATCH($B66,'Challan Master'!$S$4:$S$207,0)),"")&lt;=0),0,IF(IFERROR(INDEX('Challan Master'!$D$4:$D$207,MATCH($B66,'Challan Master'!$S$4:$S$207,0)),"")&lt;=DATE(YEAR(I66),MONTH(I66)+1,7),0,ROUND(K66*0.015*((YEAR(IFERROR(INDEX('Challan Master'!$D$4:$D$207,MATCH($B66,'Challan Master'!$S$4:$S$207,0)),""))-YEAR(I66))*12+(MONTH(IFERROR(INDEX('Challan Master'!$D$4:$D$207,MATCH($B66,'Challan Master'!$S$4:$S$207,0)),""))-MONTH(I66))+1),0))))</f>
      </c>
      <c r="O66" s="7">
        <f>IF($C66="","",0)</f>
      </c>
      <c r="P66" s="8"/>
      <c r="Q66" s="8"/>
      <c r="R66" s="8"/>
      <c r="S66" s="8"/>
      <c r="T66" s="8"/>
      <c r="U66" s="7">
        <f>IF($B66="","",IFERROR(INDEX('Challan Master'!$AA$4:$AA$207,MATCH($B66,'Challan Master'!$S$4:$S$207,0)),""))</f>
      </c>
    </row>
    <row r="67" spans="1:22" x14ac:dyDescent="0.25">
      <c r="A67" s="7">
        <f>IF($C67="","",COUNTIF($C$4:$C67,"&lt;&gt;"))</f>
      </c>
      <c r="B67" s="8"/>
      <c r="C67" s="8"/>
      <c r="D67" s="8"/>
      <c r="E67" s="7">
        <f>IF($C67="","",IF(AND(LEN(TRIM(UPPER(D67)))=10,CODE(MID(TRIM(UPPER(D67)),1,1))&gt;=65,CODE(MID(TRIM(UPPER(D67)),1,1))&lt;=90,CODE(MID(TRIM(UPPER(D67)),2,1))&gt;=65,CODE(MID(TRIM(UPPER(D67)),2,1))&lt;=90,CODE(MID(TRIM(UPPER(D67)),3,1))&gt;=65,CODE(MID(TRIM(UPPER(D67)),3,1))&lt;=90,CODE(MID(TRIM(UPPER(D67)),4,1))&gt;=65,CODE(MID(TRIM(UPPER(D67)),4,1))&lt;=90,CODE(MID(TRIM(UPPER(D67)),5,1))&gt;=65,CODE(MID(TRIM(UPPER(D67)),5,1))&lt;=90,CODE(MID(TRIM(UPPER(D67)),10,1))&gt;=65,CODE(MID(TRIM(UPPER(D67)),10,1))&lt;=90,CODE(MID(TRIM(UPPER(D67)),6,1))&gt;=48,CODE(MID(TRIM(UPPER(D67)),6,1))&lt;=57,CODE(MID(TRIM(UPPER(D67)),7,1))&gt;=48,CODE(MID(TRIM(UPPER(D67)),7,1))&lt;=57,CODE(MID(TRIM(UPPER(D67)),8,1))&gt;=48,CODE(MID(TRIM(UPPER(D67)),8,1))&lt;=57,CODE(MID(TRIM(UPPER(D67)),9,1))&gt;=48,CODE(MID(TRIM(UPPER(D67)),9,1))&lt;=57),"N","Y"))</f>
      </c>
      <c r="F67" s="7">
        <f>IF($C67="","",IF(LEN(D67)&lt;4,"",IF(UPPER(MID(D67,4,1))="P","Individual",IF(UPPER(MID(D67,4,1))="H","HUF",IF(UPPER(MID(D67,4,1))="C","Company",IF(UPPER(MID(D67,4,1))="F","Firm",IF(UPPER(MID(D67,4,1))="L","LLP",IF(UPPER(MID(D67,4,1))="T","Trust",IF(UPPER(MID(D67,4,1))="A","AOP","")))))))))</f>
      </c>
      <c r="G67" s="8"/>
      <c r="H67" s="7">
        <f>IF($C67="","",IF(R67&lt;&gt;"",R67,IF(G67="","",IF(E67="Y",SUMPRODUCT(('Rate Lookup'!$A$1:$A$37=G67)*'Rate Lookup'!$D$1:$D$37),IF(OR(F67="Individual",F67="HUF"),SUMPRODUCT(('Rate Lookup'!$A$1:$A$37=G67)*'Rate Lookup'!$B$1:$B$37),SUMPRODUCT(('Rate Lookup'!$A$1:$A$37=G67)*'Rate Lookup'!$C$1:$C$37)))))))</f>
      </c>
      <c r="I67" s="8"/>
      <c r="J67" s="8"/>
      <c r="K67" s="7">
        <f>IF($C67="","",IF(OR(P67="B",P67="D",P67="E",P67="N",P67="O",P67="P",P67="Q",P67="S",P67="Y",P67="Z"),0,ROUND(J67*H67/100,0)))</f>
      </c>
      <c r="L67" s="7">
        <f>IF($C67="","",0)</f>
      </c>
      <c r="M67" s="7">
        <f>IF($C67="","",0)</f>
      </c>
      <c r="N67" s="7">
        <f>IF($C67="","",IF(OR(K67=0,I67="",IFERROR(INDEX('Challan Master'!$D$4:$D$207,MATCH($B67,'Challan Master'!$S$4:$S$207,0)),"")="",IFERROR(INDEX('Challan Master'!$D$4:$D$207,MATCH($B67,'Challan Master'!$S$4:$S$207,0)),"")&lt;=0),0,IF(IFERROR(INDEX('Challan Master'!$D$4:$D$207,MATCH($B67,'Challan Master'!$S$4:$S$207,0)),"")&lt;=DATE(YEAR(I67),MONTH(I67)+1,7),0,ROUND(K67*0.015*((YEAR(IFERROR(INDEX('Challan Master'!$D$4:$D$207,MATCH($B67,'Challan Master'!$S$4:$S$207,0)),""))-YEAR(I67))*12+(MONTH(IFERROR(INDEX('Challan Master'!$D$4:$D$207,MATCH($B67,'Challan Master'!$S$4:$S$207,0)),""))-MONTH(I67))+1),0))))</f>
      </c>
      <c r="O67" s="7">
        <f>IF($C67="","",0)</f>
      </c>
      <c r="P67" s="8"/>
      <c r="Q67" s="8"/>
      <c r="R67" s="8"/>
      <c r="S67" s="8"/>
      <c r="T67" s="8"/>
      <c r="U67" s="7">
        <f>IF($B67="","",IFERROR(INDEX('Challan Master'!$AA$4:$AA$207,MATCH($B67,'Challan Master'!$S$4:$S$207,0)),""))</f>
      </c>
    </row>
    <row r="68" spans="1:22" x14ac:dyDescent="0.25">
      <c r="A68" s="7">
        <f>IF($C68="","",COUNTIF($C$4:$C68,"&lt;&gt;"))</f>
      </c>
      <c r="B68" s="8"/>
      <c r="C68" s="8"/>
      <c r="D68" s="8"/>
      <c r="E68" s="7">
        <f>IF($C68="","",IF(AND(LEN(TRIM(UPPER(D68)))=10,CODE(MID(TRIM(UPPER(D68)),1,1))&gt;=65,CODE(MID(TRIM(UPPER(D68)),1,1))&lt;=90,CODE(MID(TRIM(UPPER(D68)),2,1))&gt;=65,CODE(MID(TRIM(UPPER(D68)),2,1))&lt;=90,CODE(MID(TRIM(UPPER(D68)),3,1))&gt;=65,CODE(MID(TRIM(UPPER(D68)),3,1))&lt;=90,CODE(MID(TRIM(UPPER(D68)),4,1))&gt;=65,CODE(MID(TRIM(UPPER(D68)),4,1))&lt;=90,CODE(MID(TRIM(UPPER(D68)),5,1))&gt;=65,CODE(MID(TRIM(UPPER(D68)),5,1))&lt;=90,CODE(MID(TRIM(UPPER(D68)),10,1))&gt;=65,CODE(MID(TRIM(UPPER(D68)),10,1))&lt;=90,CODE(MID(TRIM(UPPER(D68)),6,1))&gt;=48,CODE(MID(TRIM(UPPER(D68)),6,1))&lt;=57,CODE(MID(TRIM(UPPER(D68)),7,1))&gt;=48,CODE(MID(TRIM(UPPER(D68)),7,1))&lt;=57,CODE(MID(TRIM(UPPER(D68)),8,1))&gt;=48,CODE(MID(TRIM(UPPER(D68)),8,1))&lt;=57,CODE(MID(TRIM(UPPER(D68)),9,1))&gt;=48,CODE(MID(TRIM(UPPER(D68)),9,1))&lt;=57),"N","Y"))</f>
      </c>
      <c r="F68" s="7">
        <f>IF($C68="","",IF(LEN(D68)&lt;4,"",IF(UPPER(MID(D68,4,1))="P","Individual",IF(UPPER(MID(D68,4,1))="H","HUF",IF(UPPER(MID(D68,4,1))="C","Company",IF(UPPER(MID(D68,4,1))="F","Firm",IF(UPPER(MID(D68,4,1))="L","LLP",IF(UPPER(MID(D68,4,1))="T","Trust",IF(UPPER(MID(D68,4,1))="A","AOP","")))))))))</f>
      </c>
      <c r="G68" s="8"/>
      <c r="H68" s="7">
        <f>IF($C68="","",IF(R68&lt;&gt;"",R68,IF(G68="","",IF(E68="Y",SUMPRODUCT(('Rate Lookup'!$A$1:$A$37=G68)*'Rate Lookup'!$D$1:$D$37),IF(OR(F68="Individual",F68="HUF"),SUMPRODUCT(('Rate Lookup'!$A$1:$A$37=G68)*'Rate Lookup'!$B$1:$B$37),SUMPRODUCT(('Rate Lookup'!$A$1:$A$37=G68)*'Rate Lookup'!$C$1:$C$37)))))))</f>
      </c>
      <c r="I68" s="8"/>
      <c r="J68" s="8"/>
      <c r="K68" s="7">
        <f>IF($C68="","",IF(OR(P68="B",P68="D",P68="E",P68="N",P68="O",P68="P",P68="Q",P68="S",P68="Y",P68="Z"),0,ROUND(J68*H68/100,0)))</f>
      </c>
      <c r="L68" s="7">
        <f>IF($C68="","",0)</f>
      </c>
      <c r="M68" s="7">
        <f>IF($C68="","",0)</f>
      </c>
      <c r="N68" s="7">
        <f>IF($C68="","",IF(OR(K68=0,I68="",IFERROR(INDEX('Challan Master'!$D$4:$D$207,MATCH($B68,'Challan Master'!$S$4:$S$207,0)),"")="",IFERROR(INDEX('Challan Master'!$D$4:$D$207,MATCH($B68,'Challan Master'!$S$4:$S$207,0)),"")&lt;=0),0,IF(IFERROR(INDEX('Challan Master'!$D$4:$D$207,MATCH($B68,'Challan Master'!$S$4:$S$207,0)),"")&lt;=DATE(YEAR(I68),MONTH(I68)+1,7),0,ROUND(K68*0.015*((YEAR(IFERROR(INDEX('Challan Master'!$D$4:$D$207,MATCH($B68,'Challan Master'!$S$4:$S$207,0)),""))-YEAR(I68))*12+(MONTH(IFERROR(INDEX('Challan Master'!$D$4:$D$207,MATCH($B68,'Challan Master'!$S$4:$S$207,0)),""))-MONTH(I68))+1),0))))</f>
      </c>
      <c r="O68" s="7">
        <f>IF($C68="","",0)</f>
      </c>
      <c r="P68" s="8"/>
      <c r="Q68" s="8"/>
      <c r="R68" s="8"/>
      <c r="S68" s="8"/>
      <c r="T68" s="8"/>
      <c r="U68" s="7">
        <f>IF($B68="","",IFERROR(INDEX('Challan Master'!$AA$4:$AA$207,MATCH($B68,'Challan Master'!$S$4:$S$207,0)),""))</f>
      </c>
    </row>
    <row r="69" spans="1:22" x14ac:dyDescent="0.25">
      <c r="A69" s="7">
        <f>IF($C69="","",COUNTIF($C$4:$C69,"&lt;&gt;"))</f>
      </c>
      <c r="B69" s="8"/>
      <c r="C69" s="8"/>
      <c r="D69" s="8"/>
      <c r="E69" s="7">
        <f>IF($C69="","",IF(AND(LEN(TRIM(UPPER(D69)))=10,CODE(MID(TRIM(UPPER(D69)),1,1))&gt;=65,CODE(MID(TRIM(UPPER(D69)),1,1))&lt;=90,CODE(MID(TRIM(UPPER(D69)),2,1))&gt;=65,CODE(MID(TRIM(UPPER(D69)),2,1))&lt;=90,CODE(MID(TRIM(UPPER(D69)),3,1))&gt;=65,CODE(MID(TRIM(UPPER(D69)),3,1))&lt;=90,CODE(MID(TRIM(UPPER(D69)),4,1))&gt;=65,CODE(MID(TRIM(UPPER(D69)),4,1))&lt;=90,CODE(MID(TRIM(UPPER(D69)),5,1))&gt;=65,CODE(MID(TRIM(UPPER(D69)),5,1))&lt;=90,CODE(MID(TRIM(UPPER(D69)),10,1))&gt;=65,CODE(MID(TRIM(UPPER(D69)),10,1))&lt;=90,CODE(MID(TRIM(UPPER(D69)),6,1))&gt;=48,CODE(MID(TRIM(UPPER(D69)),6,1))&lt;=57,CODE(MID(TRIM(UPPER(D69)),7,1))&gt;=48,CODE(MID(TRIM(UPPER(D69)),7,1))&lt;=57,CODE(MID(TRIM(UPPER(D69)),8,1))&gt;=48,CODE(MID(TRIM(UPPER(D69)),8,1))&lt;=57,CODE(MID(TRIM(UPPER(D69)),9,1))&gt;=48,CODE(MID(TRIM(UPPER(D69)),9,1))&lt;=57),"N","Y"))</f>
      </c>
      <c r="F69" s="7">
        <f>IF($C69="","",IF(LEN(D69)&lt;4,"",IF(UPPER(MID(D69,4,1))="P","Individual",IF(UPPER(MID(D69,4,1))="H","HUF",IF(UPPER(MID(D69,4,1))="C","Company",IF(UPPER(MID(D69,4,1))="F","Firm",IF(UPPER(MID(D69,4,1))="L","LLP",IF(UPPER(MID(D69,4,1))="T","Trust",IF(UPPER(MID(D69,4,1))="A","AOP","")))))))))</f>
      </c>
      <c r="G69" s="8"/>
      <c r="H69" s="7">
        <f>IF($C69="","",IF(R69&lt;&gt;"",R69,IF(G69="","",IF(E69="Y",SUMPRODUCT(('Rate Lookup'!$A$1:$A$37=G69)*'Rate Lookup'!$D$1:$D$37),IF(OR(F69="Individual",F69="HUF"),SUMPRODUCT(('Rate Lookup'!$A$1:$A$37=G69)*'Rate Lookup'!$B$1:$B$37),SUMPRODUCT(('Rate Lookup'!$A$1:$A$37=G69)*'Rate Lookup'!$C$1:$C$37)))))))</f>
      </c>
      <c r="I69" s="8"/>
      <c r="J69" s="8"/>
      <c r="K69" s="7">
        <f>IF($C69="","",IF(OR(P69="B",P69="D",P69="E",P69="N",P69="O",P69="P",P69="Q",P69="S",P69="Y",P69="Z"),0,ROUND(J69*H69/100,0)))</f>
      </c>
      <c r="L69" s="7">
        <f>IF($C69="","",0)</f>
      </c>
      <c r="M69" s="7">
        <f>IF($C69="","",0)</f>
      </c>
      <c r="N69" s="7">
        <f>IF($C69="","",IF(OR(K69=0,I69="",IFERROR(INDEX('Challan Master'!$D$4:$D$207,MATCH($B69,'Challan Master'!$S$4:$S$207,0)),"")="",IFERROR(INDEX('Challan Master'!$D$4:$D$207,MATCH($B69,'Challan Master'!$S$4:$S$207,0)),"")&lt;=0),0,IF(IFERROR(INDEX('Challan Master'!$D$4:$D$207,MATCH($B69,'Challan Master'!$S$4:$S$207,0)),"")&lt;=DATE(YEAR(I69),MONTH(I69)+1,7),0,ROUND(K69*0.015*((YEAR(IFERROR(INDEX('Challan Master'!$D$4:$D$207,MATCH($B69,'Challan Master'!$S$4:$S$207,0)),""))-YEAR(I69))*12+(MONTH(IFERROR(INDEX('Challan Master'!$D$4:$D$207,MATCH($B69,'Challan Master'!$S$4:$S$207,0)),""))-MONTH(I69))+1),0))))</f>
      </c>
      <c r="O69" s="7">
        <f>IF($C69="","",0)</f>
      </c>
      <c r="P69" s="8"/>
      <c r="Q69" s="8"/>
      <c r="R69" s="8"/>
      <c r="S69" s="8"/>
      <c r="T69" s="8"/>
      <c r="U69" s="7">
        <f>IF($B69="","",IFERROR(INDEX('Challan Master'!$AA$4:$AA$207,MATCH($B69,'Challan Master'!$S$4:$S$207,0)),""))</f>
      </c>
    </row>
    <row r="70" spans="1:22" x14ac:dyDescent="0.25">
      <c r="A70" s="7">
        <f>IF($C70="","",COUNTIF($C$4:$C70,"&lt;&gt;"))</f>
      </c>
      <c r="B70" s="8"/>
      <c r="C70" s="8"/>
      <c r="D70" s="8"/>
      <c r="E70" s="7">
        <f>IF($C70="","",IF(AND(LEN(TRIM(UPPER(D70)))=10,CODE(MID(TRIM(UPPER(D70)),1,1))&gt;=65,CODE(MID(TRIM(UPPER(D70)),1,1))&lt;=90,CODE(MID(TRIM(UPPER(D70)),2,1))&gt;=65,CODE(MID(TRIM(UPPER(D70)),2,1))&lt;=90,CODE(MID(TRIM(UPPER(D70)),3,1))&gt;=65,CODE(MID(TRIM(UPPER(D70)),3,1))&lt;=90,CODE(MID(TRIM(UPPER(D70)),4,1))&gt;=65,CODE(MID(TRIM(UPPER(D70)),4,1))&lt;=90,CODE(MID(TRIM(UPPER(D70)),5,1))&gt;=65,CODE(MID(TRIM(UPPER(D70)),5,1))&lt;=90,CODE(MID(TRIM(UPPER(D70)),10,1))&gt;=65,CODE(MID(TRIM(UPPER(D70)),10,1))&lt;=90,CODE(MID(TRIM(UPPER(D70)),6,1))&gt;=48,CODE(MID(TRIM(UPPER(D70)),6,1))&lt;=57,CODE(MID(TRIM(UPPER(D70)),7,1))&gt;=48,CODE(MID(TRIM(UPPER(D70)),7,1))&lt;=57,CODE(MID(TRIM(UPPER(D70)),8,1))&gt;=48,CODE(MID(TRIM(UPPER(D70)),8,1))&lt;=57,CODE(MID(TRIM(UPPER(D70)),9,1))&gt;=48,CODE(MID(TRIM(UPPER(D70)),9,1))&lt;=57),"N","Y"))</f>
      </c>
      <c r="F70" s="7">
        <f>IF($C70="","",IF(LEN(D70)&lt;4,"",IF(UPPER(MID(D70,4,1))="P","Individual",IF(UPPER(MID(D70,4,1))="H","HUF",IF(UPPER(MID(D70,4,1))="C","Company",IF(UPPER(MID(D70,4,1))="F","Firm",IF(UPPER(MID(D70,4,1))="L","LLP",IF(UPPER(MID(D70,4,1))="T","Trust",IF(UPPER(MID(D70,4,1))="A","AOP","")))))))))</f>
      </c>
      <c r="G70" s="8"/>
      <c r="H70" s="7">
        <f>IF($C70="","",IF(R70&lt;&gt;"",R70,IF(G70="","",IF(E70="Y",SUMPRODUCT(('Rate Lookup'!$A$1:$A$37=G70)*'Rate Lookup'!$D$1:$D$37),IF(OR(F70="Individual",F70="HUF"),SUMPRODUCT(('Rate Lookup'!$A$1:$A$37=G70)*'Rate Lookup'!$B$1:$B$37),SUMPRODUCT(('Rate Lookup'!$A$1:$A$37=G70)*'Rate Lookup'!$C$1:$C$37)))))))</f>
      </c>
      <c r="I70" s="8"/>
      <c r="J70" s="8"/>
      <c r="K70" s="7">
        <f>IF($C70="","",IF(OR(P70="B",P70="D",P70="E",P70="N",P70="O",P70="P",P70="Q",P70="S",P70="Y",P70="Z"),0,ROUND(J70*H70/100,0)))</f>
      </c>
      <c r="L70" s="7">
        <f>IF($C70="","",0)</f>
      </c>
      <c r="M70" s="7">
        <f>IF($C70="","",0)</f>
      </c>
      <c r="N70" s="7">
        <f>IF($C70="","",IF(OR(K70=0,I70="",IFERROR(INDEX('Challan Master'!$D$4:$D$207,MATCH($B70,'Challan Master'!$S$4:$S$207,0)),"")="",IFERROR(INDEX('Challan Master'!$D$4:$D$207,MATCH($B70,'Challan Master'!$S$4:$S$207,0)),"")&lt;=0),0,IF(IFERROR(INDEX('Challan Master'!$D$4:$D$207,MATCH($B70,'Challan Master'!$S$4:$S$207,0)),"")&lt;=DATE(YEAR(I70),MONTH(I70)+1,7),0,ROUND(K70*0.015*((YEAR(IFERROR(INDEX('Challan Master'!$D$4:$D$207,MATCH($B70,'Challan Master'!$S$4:$S$207,0)),""))-YEAR(I70))*12+(MONTH(IFERROR(INDEX('Challan Master'!$D$4:$D$207,MATCH($B70,'Challan Master'!$S$4:$S$207,0)),""))-MONTH(I70))+1),0))))</f>
      </c>
      <c r="O70" s="7">
        <f>IF($C70="","",0)</f>
      </c>
      <c r="P70" s="8"/>
      <c r="Q70" s="8"/>
      <c r="R70" s="8"/>
      <c r="S70" s="8"/>
      <c r="T70" s="8"/>
      <c r="U70" s="7">
        <f>IF($B70="","",IFERROR(INDEX('Challan Master'!$AA$4:$AA$207,MATCH($B70,'Challan Master'!$S$4:$S$207,0)),""))</f>
      </c>
    </row>
    <row r="71" spans="1:22" x14ac:dyDescent="0.25">
      <c r="A71" s="7">
        <f>IF($C71="","",COUNTIF($C$4:$C71,"&lt;&gt;"))</f>
      </c>
      <c r="B71" s="8"/>
      <c r="C71" s="8"/>
      <c r="D71" s="8"/>
      <c r="E71" s="7">
        <f>IF($C71="","",IF(AND(LEN(TRIM(UPPER(D71)))=10,CODE(MID(TRIM(UPPER(D71)),1,1))&gt;=65,CODE(MID(TRIM(UPPER(D71)),1,1))&lt;=90,CODE(MID(TRIM(UPPER(D71)),2,1))&gt;=65,CODE(MID(TRIM(UPPER(D71)),2,1))&lt;=90,CODE(MID(TRIM(UPPER(D71)),3,1))&gt;=65,CODE(MID(TRIM(UPPER(D71)),3,1))&lt;=90,CODE(MID(TRIM(UPPER(D71)),4,1))&gt;=65,CODE(MID(TRIM(UPPER(D71)),4,1))&lt;=90,CODE(MID(TRIM(UPPER(D71)),5,1))&gt;=65,CODE(MID(TRIM(UPPER(D71)),5,1))&lt;=90,CODE(MID(TRIM(UPPER(D71)),10,1))&gt;=65,CODE(MID(TRIM(UPPER(D71)),10,1))&lt;=90,CODE(MID(TRIM(UPPER(D71)),6,1))&gt;=48,CODE(MID(TRIM(UPPER(D71)),6,1))&lt;=57,CODE(MID(TRIM(UPPER(D71)),7,1))&gt;=48,CODE(MID(TRIM(UPPER(D71)),7,1))&lt;=57,CODE(MID(TRIM(UPPER(D71)),8,1))&gt;=48,CODE(MID(TRIM(UPPER(D71)),8,1))&lt;=57,CODE(MID(TRIM(UPPER(D71)),9,1))&gt;=48,CODE(MID(TRIM(UPPER(D71)),9,1))&lt;=57),"N","Y"))</f>
      </c>
      <c r="F71" s="7">
        <f>IF($C71="","",IF(LEN(D71)&lt;4,"",IF(UPPER(MID(D71,4,1))="P","Individual",IF(UPPER(MID(D71,4,1))="H","HUF",IF(UPPER(MID(D71,4,1))="C","Company",IF(UPPER(MID(D71,4,1))="F","Firm",IF(UPPER(MID(D71,4,1))="L","LLP",IF(UPPER(MID(D71,4,1))="T","Trust",IF(UPPER(MID(D71,4,1))="A","AOP","")))))))))</f>
      </c>
      <c r="G71" s="8"/>
      <c r="H71" s="7">
        <f>IF($C71="","",IF(R71&lt;&gt;"",R71,IF(G71="","",IF(E71="Y",SUMPRODUCT(('Rate Lookup'!$A$1:$A$37=G71)*'Rate Lookup'!$D$1:$D$37),IF(OR(F71="Individual",F71="HUF"),SUMPRODUCT(('Rate Lookup'!$A$1:$A$37=G71)*'Rate Lookup'!$B$1:$B$37),SUMPRODUCT(('Rate Lookup'!$A$1:$A$37=G71)*'Rate Lookup'!$C$1:$C$37)))))))</f>
      </c>
      <c r="I71" s="8"/>
      <c r="J71" s="8"/>
      <c r="K71" s="7">
        <f>IF($C71="","",IF(OR(P71="B",P71="D",P71="E",P71="N",P71="O",P71="P",P71="Q",P71="S",P71="Y",P71="Z"),0,ROUND(J71*H71/100,0)))</f>
      </c>
      <c r="L71" s="7">
        <f>IF($C71="","",0)</f>
      </c>
      <c r="M71" s="7">
        <f>IF($C71="","",0)</f>
      </c>
      <c r="N71" s="7">
        <f>IF($C71="","",IF(OR(K71=0,I71="",IFERROR(INDEX('Challan Master'!$D$4:$D$207,MATCH($B71,'Challan Master'!$S$4:$S$207,0)),"")="",IFERROR(INDEX('Challan Master'!$D$4:$D$207,MATCH($B71,'Challan Master'!$S$4:$S$207,0)),"")&lt;=0),0,IF(IFERROR(INDEX('Challan Master'!$D$4:$D$207,MATCH($B71,'Challan Master'!$S$4:$S$207,0)),"")&lt;=DATE(YEAR(I71),MONTH(I71)+1,7),0,ROUND(K71*0.015*((YEAR(IFERROR(INDEX('Challan Master'!$D$4:$D$207,MATCH($B71,'Challan Master'!$S$4:$S$207,0)),""))-YEAR(I71))*12+(MONTH(IFERROR(INDEX('Challan Master'!$D$4:$D$207,MATCH($B71,'Challan Master'!$S$4:$S$207,0)),""))-MONTH(I71))+1),0))))</f>
      </c>
      <c r="O71" s="7">
        <f>IF($C71="","",0)</f>
      </c>
      <c r="P71" s="8"/>
      <c r="Q71" s="8"/>
      <c r="R71" s="8"/>
      <c r="S71" s="8"/>
      <c r="T71" s="8"/>
      <c r="U71" s="7">
        <f>IF($B71="","",IFERROR(INDEX('Challan Master'!$AA$4:$AA$207,MATCH($B71,'Challan Master'!$S$4:$S$207,0)),""))</f>
      </c>
    </row>
    <row r="72" spans="1:22" x14ac:dyDescent="0.25">
      <c r="A72" s="7">
        <f>IF($C72="","",COUNTIF($C$4:$C72,"&lt;&gt;"))</f>
      </c>
      <c r="B72" s="8"/>
      <c r="C72" s="8"/>
      <c r="D72" s="8"/>
      <c r="E72" s="7">
        <f>IF($C72="","",IF(AND(LEN(TRIM(UPPER(D72)))=10,CODE(MID(TRIM(UPPER(D72)),1,1))&gt;=65,CODE(MID(TRIM(UPPER(D72)),1,1))&lt;=90,CODE(MID(TRIM(UPPER(D72)),2,1))&gt;=65,CODE(MID(TRIM(UPPER(D72)),2,1))&lt;=90,CODE(MID(TRIM(UPPER(D72)),3,1))&gt;=65,CODE(MID(TRIM(UPPER(D72)),3,1))&lt;=90,CODE(MID(TRIM(UPPER(D72)),4,1))&gt;=65,CODE(MID(TRIM(UPPER(D72)),4,1))&lt;=90,CODE(MID(TRIM(UPPER(D72)),5,1))&gt;=65,CODE(MID(TRIM(UPPER(D72)),5,1))&lt;=90,CODE(MID(TRIM(UPPER(D72)),10,1))&gt;=65,CODE(MID(TRIM(UPPER(D72)),10,1))&lt;=90,CODE(MID(TRIM(UPPER(D72)),6,1))&gt;=48,CODE(MID(TRIM(UPPER(D72)),6,1))&lt;=57,CODE(MID(TRIM(UPPER(D72)),7,1))&gt;=48,CODE(MID(TRIM(UPPER(D72)),7,1))&lt;=57,CODE(MID(TRIM(UPPER(D72)),8,1))&gt;=48,CODE(MID(TRIM(UPPER(D72)),8,1))&lt;=57,CODE(MID(TRIM(UPPER(D72)),9,1))&gt;=48,CODE(MID(TRIM(UPPER(D72)),9,1))&lt;=57),"N","Y"))</f>
      </c>
      <c r="F72" s="7">
        <f>IF($C72="","",IF(LEN(D72)&lt;4,"",IF(UPPER(MID(D72,4,1))="P","Individual",IF(UPPER(MID(D72,4,1))="H","HUF",IF(UPPER(MID(D72,4,1))="C","Company",IF(UPPER(MID(D72,4,1))="F","Firm",IF(UPPER(MID(D72,4,1))="L","LLP",IF(UPPER(MID(D72,4,1))="T","Trust",IF(UPPER(MID(D72,4,1))="A","AOP","")))))))))</f>
      </c>
      <c r="G72" s="8"/>
      <c r="H72" s="7">
        <f>IF($C72="","",IF(R72&lt;&gt;"",R72,IF(G72="","",IF(E72="Y",SUMPRODUCT(('Rate Lookup'!$A$1:$A$37=G72)*'Rate Lookup'!$D$1:$D$37),IF(OR(F72="Individual",F72="HUF"),SUMPRODUCT(('Rate Lookup'!$A$1:$A$37=G72)*'Rate Lookup'!$B$1:$B$37),SUMPRODUCT(('Rate Lookup'!$A$1:$A$37=G72)*'Rate Lookup'!$C$1:$C$37)))))))</f>
      </c>
      <c r="I72" s="8"/>
      <c r="J72" s="8"/>
      <c r="K72" s="7">
        <f>IF($C72="","",IF(OR(P72="B",P72="D",P72="E",P72="N",P72="O",P72="P",P72="Q",P72="S",P72="Y",P72="Z"),0,ROUND(J72*H72/100,0)))</f>
      </c>
      <c r="L72" s="7">
        <f>IF($C72="","",0)</f>
      </c>
      <c r="M72" s="7">
        <f>IF($C72="","",0)</f>
      </c>
      <c r="N72" s="7">
        <f>IF($C72="","",IF(OR(K72=0,I72="",IFERROR(INDEX('Challan Master'!$D$4:$D$207,MATCH($B72,'Challan Master'!$S$4:$S$207,0)),"")="",IFERROR(INDEX('Challan Master'!$D$4:$D$207,MATCH($B72,'Challan Master'!$S$4:$S$207,0)),"")&lt;=0),0,IF(IFERROR(INDEX('Challan Master'!$D$4:$D$207,MATCH($B72,'Challan Master'!$S$4:$S$207,0)),"")&lt;=DATE(YEAR(I72),MONTH(I72)+1,7),0,ROUND(K72*0.015*((YEAR(IFERROR(INDEX('Challan Master'!$D$4:$D$207,MATCH($B72,'Challan Master'!$S$4:$S$207,0)),""))-YEAR(I72))*12+(MONTH(IFERROR(INDEX('Challan Master'!$D$4:$D$207,MATCH($B72,'Challan Master'!$S$4:$S$207,0)),""))-MONTH(I72))+1),0))))</f>
      </c>
      <c r="O72" s="7">
        <f>IF($C72="","",0)</f>
      </c>
      <c r="P72" s="8"/>
      <c r="Q72" s="8"/>
      <c r="R72" s="8"/>
      <c r="S72" s="8"/>
      <c r="T72" s="8"/>
      <c r="U72" s="7">
        <f>IF($B72="","",IFERROR(INDEX('Challan Master'!$AA$4:$AA$207,MATCH($B72,'Challan Master'!$S$4:$S$207,0)),""))</f>
      </c>
    </row>
    <row r="73" spans="1:22" x14ac:dyDescent="0.25">
      <c r="A73" s="7">
        <f>IF($C73="","",COUNTIF($C$4:$C73,"&lt;&gt;"))</f>
      </c>
      <c r="B73" s="8"/>
      <c r="C73" s="8"/>
      <c r="D73" s="8"/>
      <c r="E73" s="7">
        <f>IF($C73="","",IF(AND(LEN(TRIM(UPPER(D73)))=10,CODE(MID(TRIM(UPPER(D73)),1,1))&gt;=65,CODE(MID(TRIM(UPPER(D73)),1,1))&lt;=90,CODE(MID(TRIM(UPPER(D73)),2,1))&gt;=65,CODE(MID(TRIM(UPPER(D73)),2,1))&lt;=90,CODE(MID(TRIM(UPPER(D73)),3,1))&gt;=65,CODE(MID(TRIM(UPPER(D73)),3,1))&lt;=90,CODE(MID(TRIM(UPPER(D73)),4,1))&gt;=65,CODE(MID(TRIM(UPPER(D73)),4,1))&lt;=90,CODE(MID(TRIM(UPPER(D73)),5,1))&gt;=65,CODE(MID(TRIM(UPPER(D73)),5,1))&lt;=90,CODE(MID(TRIM(UPPER(D73)),10,1))&gt;=65,CODE(MID(TRIM(UPPER(D73)),10,1))&lt;=90,CODE(MID(TRIM(UPPER(D73)),6,1))&gt;=48,CODE(MID(TRIM(UPPER(D73)),6,1))&lt;=57,CODE(MID(TRIM(UPPER(D73)),7,1))&gt;=48,CODE(MID(TRIM(UPPER(D73)),7,1))&lt;=57,CODE(MID(TRIM(UPPER(D73)),8,1))&gt;=48,CODE(MID(TRIM(UPPER(D73)),8,1))&lt;=57,CODE(MID(TRIM(UPPER(D73)),9,1))&gt;=48,CODE(MID(TRIM(UPPER(D73)),9,1))&lt;=57),"N","Y"))</f>
      </c>
      <c r="F73" s="7">
        <f>IF($C73="","",IF(LEN(D73)&lt;4,"",IF(UPPER(MID(D73,4,1))="P","Individual",IF(UPPER(MID(D73,4,1))="H","HUF",IF(UPPER(MID(D73,4,1))="C","Company",IF(UPPER(MID(D73,4,1))="F","Firm",IF(UPPER(MID(D73,4,1))="L","LLP",IF(UPPER(MID(D73,4,1))="T","Trust",IF(UPPER(MID(D73,4,1))="A","AOP","")))))))))</f>
      </c>
      <c r="G73" s="8"/>
      <c r="H73" s="7">
        <f>IF($C73="","",IF(R73&lt;&gt;"",R73,IF(G73="","",IF(E73="Y",SUMPRODUCT(('Rate Lookup'!$A$1:$A$37=G73)*'Rate Lookup'!$D$1:$D$37),IF(OR(F73="Individual",F73="HUF"),SUMPRODUCT(('Rate Lookup'!$A$1:$A$37=G73)*'Rate Lookup'!$B$1:$B$37),SUMPRODUCT(('Rate Lookup'!$A$1:$A$37=G73)*'Rate Lookup'!$C$1:$C$37)))))))</f>
      </c>
      <c r="I73" s="8"/>
      <c r="J73" s="8"/>
      <c r="K73" s="7">
        <f>IF($C73="","",IF(OR(P73="B",P73="D",P73="E",P73="N",P73="O",P73="P",P73="Q",P73="S",P73="Y",P73="Z"),0,ROUND(J73*H73/100,0)))</f>
      </c>
      <c r="L73" s="7">
        <f>IF($C73="","",0)</f>
      </c>
      <c r="M73" s="7">
        <f>IF($C73="","",0)</f>
      </c>
      <c r="N73" s="7">
        <f>IF($C73="","",IF(OR(K73=0,I73="",IFERROR(INDEX('Challan Master'!$D$4:$D$207,MATCH($B73,'Challan Master'!$S$4:$S$207,0)),"")="",IFERROR(INDEX('Challan Master'!$D$4:$D$207,MATCH($B73,'Challan Master'!$S$4:$S$207,0)),"")&lt;=0),0,IF(IFERROR(INDEX('Challan Master'!$D$4:$D$207,MATCH($B73,'Challan Master'!$S$4:$S$207,0)),"")&lt;=DATE(YEAR(I73),MONTH(I73)+1,7),0,ROUND(K73*0.015*((YEAR(IFERROR(INDEX('Challan Master'!$D$4:$D$207,MATCH($B73,'Challan Master'!$S$4:$S$207,0)),""))-YEAR(I73))*12+(MONTH(IFERROR(INDEX('Challan Master'!$D$4:$D$207,MATCH($B73,'Challan Master'!$S$4:$S$207,0)),""))-MONTH(I73))+1),0))))</f>
      </c>
      <c r="O73" s="7">
        <f>IF($C73="","",0)</f>
      </c>
      <c r="P73" s="8"/>
      <c r="Q73" s="8"/>
      <c r="R73" s="8"/>
      <c r="S73" s="8"/>
      <c r="T73" s="8"/>
      <c r="U73" s="7">
        <f>IF($B73="","",IFERROR(INDEX('Challan Master'!$AA$4:$AA$207,MATCH($B73,'Challan Master'!$S$4:$S$207,0)),""))</f>
      </c>
    </row>
    <row r="74" spans="1:22" x14ac:dyDescent="0.25">
      <c r="A74" s="7">
        <f>IF($C74="","",COUNTIF($C$4:$C74,"&lt;&gt;"))</f>
      </c>
      <c r="B74" s="8"/>
      <c r="C74" s="8"/>
      <c r="D74" s="8"/>
      <c r="E74" s="7">
        <f>IF($C74="","",IF(AND(LEN(TRIM(UPPER(D74)))=10,CODE(MID(TRIM(UPPER(D74)),1,1))&gt;=65,CODE(MID(TRIM(UPPER(D74)),1,1))&lt;=90,CODE(MID(TRIM(UPPER(D74)),2,1))&gt;=65,CODE(MID(TRIM(UPPER(D74)),2,1))&lt;=90,CODE(MID(TRIM(UPPER(D74)),3,1))&gt;=65,CODE(MID(TRIM(UPPER(D74)),3,1))&lt;=90,CODE(MID(TRIM(UPPER(D74)),4,1))&gt;=65,CODE(MID(TRIM(UPPER(D74)),4,1))&lt;=90,CODE(MID(TRIM(UPPER(D74)),5,1))&gt;=65,CODE(MID(TRIM(UPPER(D74)),5,1))&lt;=90,CODE(MID(TRIM(UPPER(D74)),10,1))&gt;=65,CODE(MID(TRIM(UPPER(D74)),10,1))&lt;=90,CODE(MID(TRIM(UPPER(D74)),6,1))&gt;=48,CODE(MID(TRIM(UPPER(D74)),6,1))&lt;=57,CODE(MID(TRIM(UPPER(D74)),7,1))&gt;=48,CODE(MID(TRIM(UPPER(D74)),7,1))&lt;=57,CODE(MID(TRIM(UPPER(D74)),8,1))&gt;=48,CODE(MID(TRIM(UPPER(D74)),8,1))&lt;=57,CODE(MID(TRIM(UPPER(D74)),9,1))&gt;=48,CODE(MID(TRIM(UPPER(D74)),9,1))&lt;=57),"N","Y"))</f>
      </c>
      <c r="F74" s="7">
        <f>IF($C74="","",IF(LEN(D74)&lt;4,"",IF(UPPER(MID(D74,4,1))="P","Individual",IF(UPPER(MID(D74,4,1))="H","HUF",IF(UPPER(MID(D74,4,1))="C","Company",IF(UPPER(MID(D74,4,1))="F","Firm",IF(UPPER(MID(D74,4,1))="L","LLP",IF(UPPER(MID(D74,4,1))="T","Trust",IF(UPPER(MID(D74,4,1))="A","AOP","")))))))))</f>
      </c>
      <c r="G74" s="8"/>
      <c r="H74" s="7">
        <f>IF($C74="","",IF(R74&lt;&gt;"",R74,IF(G74="","",IF(E74="Y",SUMPRODUCT(('Rate Lookup'!$A$1:$A$37=G74)*'Rate Lookup'!$D$1:$D$37),IF(OR(F74="Individual",F74="HUF"),SUMPRODUCT(('Rate Lookup'!$A$1:$A$37=G74)*'Rate Lookup'!$B$1:$B$37),SUMPRODUCT(('Rate Lookup'!$A$1:$A$37=G74)*'Rate Lookup'!$C$1:$C$37)))))))</f>
      </c>
      <c r="I74" s="8"/>
      <c r="J74" s="8"/>
      <c r="K74" s="7">
        <f>IF($C74="","",IF(OR(P74="B",P74="D",P74="E",P74="N",P74="O",P74="P",P74="Q",P74="S",P74="Y",P74="Z"),0,ROUND(J74*H74/100,0)))</f>
      </c>
      <c r="L74" s="7">
        <f>IF($C74="","",0)</f>
      </c>
      <c r="M74" s="7">
        <f>IF($C74="","",0)</f>
      </c>
      <c r="N74" s="7">
        <f>IF($C74="","",IF(OR(K74=0,I74="",IFERROR(INDEX('Challan Master'!$D$4:$D$207,MATCH($B74,'Challan Master'!$S$4:$S$207,0)),"")="",IFERROR(INDEX('Challan Master'!$D$4:$D$207,MATCH($B74,'Challan Master'!$S$4:$S$207,0)),"")&lt;=0),0,IF(IFERROR(INDEX('Challan Master'!$D$4:$D$207,MATCH($B74,'Challan Master'!$S$4:$S$207,0)),"")&lt;=DATE(YEAR(I74),MONTH(I74)+1,7),0,ROUND(K74*0.015*((YEAR(IFERROR(INDEX('Challan Master'!$D$4:$D$207,MATCH($B74,'Challan Master'!$S$4:$S$207,0)),""))-YEAR(I74))*12+(MONTH(IFERROR(INDEX('Challan Master'!$D$4:$D$207,MATCH($B74,'Challan Master'!$S$4:$S$207,0)),""))-MONTH(I74))+1),0))))</f>
      </c>
      <c r="O74" s="7">
        <f>IF($C74="","",0)</f>
      </c>
      <c r="P74" s="8"/>
      <c r="Q74" s="8"/>
      <c r="R74" s="8"/>
      <c r="S74" s="8"/>
      <c r="T74" s="8"/>
      <c r="U74" s="7">
        <f>IF($B74="","",IFERROR(INDEX('Challan Master'!$AA$4:$AA$207,MATCH($B74,'Challan Master'!$S$4:$S$207,0)),""))</f>
      </c>
    </row>
    <row r="75" spans="1:22" x14ac:dyDescent="0.25">
      <c r="A75" s="7">
        <f>IF($C75="","",COUNTIF($C$4:$C75,"&lt;&gt;"))</f>
      </c>
      <c r="B75" s="8"/>
      <c r="C75" s="8"/>
      <c r="D75" s="8"/>
      <c r="E75" s="7">
        <f>IF($C75="","",IF(AND(LEN(TRIM(UPPER(D75)))=10,CODE(MID(TRIM(UPPER(D75)),1,1))&gt;=65,CODE(MID(TRIM(UPPER(D75)),1,1))&lt;=90,CODE(MID(TRIM(UPPER(D75)),2,1))&gt;=65,CODE(MID(TRIM(UPPER(D75)),2,1))&lt;=90,CODE(MID(TRIM(UPPER(D75)),3,1))&gt;=65,CODE(MID(TRIM(UPPER(D75)),3,1))&lt;=90,CODE(MID(TRIM(UPPER(D75)),4,1))&gt;=65,CODE(MID(TRIM(UPPER(D75)),4,1))&lt;=90,CODE(MID(TRIM(UPPER(D75)),5,1))&gt;=65,CODE(MID(TRIM(UPPER(D75)),5,1))&lt;=90,CODE(MID(TRIM(UPPER(D75)),10,1))&gt;=65,CODE(MID(TRIM(UPPER(D75)),10,1))&lt;=90,CODE(MID(TRIM(UPPER(D75)),6,1))&gt;=48,CODE(MID(TRIM(UPPER(D75)),6,1))&lt;=57,CODE(MID(TRIM(UPPER(D75)),7,1))&gt;=48,CODE(MID(TRIM(UPPER(D75)),7,1))&lt;=57,CODE(MID(TRIM(UPPER(D75)),8,1))&gt;=48,CODE(MID(TRIM(UPPER(D75)),8,1))&lt;=57,CODE(MID(TRIM(UPPER(D75)),9,1))&gt;=48,CODE(MID(TRIM(UPPER(D75)),9,1))&lt;=57),"N","Y"))</f>
      </c>
      <c r="F75" s="7">
        <f>IF($C75="","",IF(LEN(D75)&lt;4,"",IF(UPPER(MID(D75,4,1))="P","Individual",IF(UPPER(MID(D75,4,1))="H","HUF",IF(UPPER(MID(D75,4,1))="C","Company",IF(UPPER(MID(D75,4,1))="F","Firm",IF(UPPER(MID(D75,4,1))="L","LLP",IF(UPPER(MID(D75,4,1))="T","Trust",IF(UPPER(MID(D75,4,1))="A","AOP","")))))))))</f>
      </c>
      <c r="G75" s="8"/>
      <c r="H75" s="7">
        <f>IF($C75="","",IF(R75&lt;&gt;"",R75,IF(G75="","",IF(E75="Y",SUMPRODUCT(('Rate Lookup'!$A$1:$A$37=G75)*'Rate Lookup'!$D$1:$D$37),IF(OR(F75="Individual",F75="HUF"),SUMPRODUCT(('Rate Lookup'!$A$1:$A$37=G75)*'Rate Lookup'!$B$1:$B$37),SUMPRODUCT(('Rate Lookup'!$A$1:$A$37=G75)*'Rate Lookup'!$C$1:$C$37)))))))</f>
      </c>
      <c r="I75" s="8"/>
      <c r="J75" s="8"/>
      <c r="K75" s="7">
        <f>IF($C75="","",IF(OR(P75="B",P75="D",P75="E",P75="N",P75="O",P75="P",P75="Q",P75="S",P75="Y",P75="Z"),0,ROUND(J75*H75/100,0)))</f>
      </c>
      <c r="L75" s="7">
        <f>IF($C75="","",0)</f>
      </c>
      <c r="M75" s="7">
        <f>IF($C75="","",0)</f>
      </c>
      <c r="N75" s="7">
        <f>IF($C75="","",IF(OR(K75=0,I75="",IFERROR(INDEX('Challan Master'!$D$4:$D$207,MATCH($B75,'Challan Master'!$S$4:$S$207,0)),"")="",IFERROR(INDEX('Challan Master'!$D$4:$D$207,MATCH($B75,'Challan Master'!$S$4:$S$207,0)),"")&lt;=0),0,IF(IFERROR(INDEX('Challan Master'!$D$4:$D$207,MATCH($B75,'Challan Master'!$S$4:$S$207,0)),"")&lt;=DATE(YEAR(I75),MONTH(I75)+1,7),0,ROUND(K75*0.015*((YEAR(IFERROR(INDEX('Challan Master'!$D$4:$D$207,MATCH($B75,'Challan Master'!$S$4:$S$207,0)),""))-YEAR(I75))*12+(MONTH(IFERROR(INDEX('Challan Master'!$D$4:$D$207,MATCH($B75,'Challan Master'!$S$4:$S$207,0)),""))-MONTH(I75))+1),0))))</f>
      </c>
      <c r="O75" s="7">
        <f>IF($C75="","",0)</f>
      </c>
      <c r="P75" s="8"/>
      <c r="Q75" s="8"/>
      <c r="R75" s="8"/>
      <c r="S75" s="8"/>
      <c r="T75" s="8"/>
      <c r="U75" s="7">
        <f>IF($B75="","",IFERROR(INDEX('Challan Master'!$AA$4:$AA$207,MATCH($B75,'Challan Master'!$S$4:$S$207,0)),""))</f>
      </c>
    </row>
    <row r="76" spans="1:22" x14ac:dyDescent="0.25">
      <c r="A76" s="7">
        <f>IF($C76="","",COUNTIF($C$4:$C76,"&lt;&gt;"))</f>
      </c>
      <c r="B76" s="8"/>
      <c r="C76" s="8"/>
      <c r="D76" s="8"/>
      <c r="E76" s="7">
        <f>IF($C76="","",IF(AND(LEN(TRIM(UPPER(D76)))=10,CODE(MID(TRIM(UPPER(D76)),1,1))&gt;=65,CODE(MID(TRIM(UPPER(D76)),1,1))&lt;=90,CODE(MID(TRIM(UPPER(D76)),2,1))&gt;=65,CODE(MID(TRIM(UPPER(D76)),2,1))&lt;=90,CODE(MID(TRIM(UPPER(D76)),3,1))&gt;=65,CODE(MID(TRIM(UPPER(D76)),3,1))&lt;=90,CODE(MID(TRIM(UPPER(D76)),4,1))&gt;=65,CODE(MID(TRIM(UPPER(D76)),4,1))&lt;=90,CODE(MID(TRIM(UPPER(D76)),5,1))&gt;=65,CODE(MID(TRIM(UPPER(D76)),5,1))&lt;=90,CODE(MID(TRIM(UPPER(D76)),10,1))&gt;=65,CODE(MID(TRIM(UPPER(D76)),10,1))&lt;=90,CODE(MID(TRIM(UPPER(D76)),6,1))&gt;=48,CODE(MID(TRIM(UPPER(D76)),6,1))&lt;=57,CODE(MID(TRIM(UPPER(D76)),7,1))&gt;=48,CODE(MID(TRIM(UPPER(D76)),7,1))&lt;=57,CODE(MID(TRIM(UPPER(D76)),8,1))&gt;=48,CODE(MID(TRIM(UPPER(D76)),8,1))&lt;=57,CODE(MID(TRIM(UPPER(D76)),9,1))&gt;=48,CODE(MID(TRIM(UPPER(D76)),9,1))&lt;=57),"N","Y"))</f>
      </c>
      <c r="F76" s="7">
        <f>IF($C76="","",IF(LEN(D76)&lt;4,"",IF(UPPER(MID(D76,4,1))="P","Individual",IF(UPPER(MID(D76,4,1))="H","HUF",IF(UPPER(MID(D76,4,1))="C","Company",IF(UPPER(MID(D76,4,1))="F","Firm",IF(UPPER(MID(D76,4,1))="L","LLP",IF(UPPER(MID(D76,4,1))="T","Trust",IF(UPPER(MID(D76,4,1))="A","AOP","")))))))))</f>
      </c>
      <c r="G76" s="8"/>
      <c r="H76" s="7">
        <f>IF($C76="","",IF(R76&lt;&gt;"",R76,IF(G76="","",IF(E76="Y",SUMPRODUCT(('Rate Lookup'!$A$1:$A$37=G76)*'Rate Lookup'!$D$1:$D$37),IF(OR(F76="Individual",F76="HUF"),SUMPRODUCT(('Rate Lookup'!$A$1:$A$37=G76)*'Rate Lookup'!$B$1:$B$37),SUMPRODUCT(('Rate Lookup'!$A$1:$A$37=G76)*'Rate Lookup'!$C$1:$C$37)))))))</f>
      </c>
      <c r="I76" s="8"/>
      <c r="J76" s="8"/>
      <c r="K76" s="7">
        <f>IF($C76="","",IF(OR(P76="B",P76="D",P76="E",P76="N",P76="O",P76="P",P76="Q",P76="S",P76="Y",P76="Z"),0,ROUND(J76*H76/100,0)))</f>
      </c>
      <c r="L76" s="7">
        <f>IF($C76="","",0)</f>
      </c>
      <c r="M76" s="7">
        <f>IF($C76="","",0)</f>
      </c>
      <c r="N76" s="7">
        <f>IF($C76="","",IF(OR(K76=0,I76="",IFERROR(INDEX('Challan Master'!$D$4:$D$207,MATCH($B76,'Challan Master'!$S$4:$S$207,0)),"")="",IFERROR(INDEX('Challan Master'!$D$4:$D$207,MATCH($B76,'Challan Master'!$S$4:$S$207,0)),"")&lt;=0),0,IF(IFERROR(INDEX('Challan Master'!$D$4:$D$207,MATCH($B76,'Challan Master'!$S$4:$S$207,0)),"")&lt;=DATE(YEAR(I76),MONTH(I76)+1,7),0,ROUND(K76*0.015*((YEAR(IFERROR(INDEX('Challan Master'!$D$4:$D$207,MATCH($B76,'Challan Master'!$S$4:$S$207,0)),""))-YEAR(I76))*12+(MONTH(IFERROR(INDEX('Challan Master'!$D$4:$D$207,MATCH($B76,'Challan Master'!$S$4:$S$207,0)),""))-MONTH(I76))+1),0))))</f>
      </c>
      <c r="O76" s="7">
        <f>IF($C76="","",0)</f>
      </c>
      <c r="P76" s="8"/>
      <c r="Q76" s="8"/>
      <c r="R76" s="8"/>
      <c r="S76" s="8"/>
      <c r="T76" s="8"/>
      <c r="U76" s="7">
        <f>IF($B76="","",IFERROR(INDEX('Challan Master'!$AA$4:$AA$207,MATCH($B76,'Challan Master'!$S$4:$S$207,0)),""))</f>
      </c>
    </row>
    <row r="77" spans="1:22" x14ac:dyDescent="0.25">
      <c r="A77" s="7">
        <f>IF($C77="","",COUNTIF($C$4:$C77,"&lt;&gt;"))</f>
      </c>
      <c r="B77" s="8"/>
      <c r="C77" s="8"/>
      <c r="D77" s="8"/>
      <c r="E77" s="7">
        <f>IF($C77="","",IF(AND(LEN(TRIM(UPPER(D77)))=10,CODE(MID(TRIM(UPPER(D77)),1,1))&gt;=65,CODE(MID(TRIM(UPPER(D77)),1,1))&lt;=90,CODE(MID(TRIM(UPPER(D77)),2,1))&gt;=65,CODE(MID(TRIM(UPPER(D77)),2,1))&lt;=90,CODE(MID(TRIM(UPPER(D77)),3,1))&gt;=65,CODE(MID(TRIM(UPPER(D77)),3,1))&lt;=90,CODE(MID(TRIM(UPPER(D77)),4,1))&gt;=65,CODE(MID(TRIM(UPPER(D77)),4,1))&lt;=90,CODE(MID(TRIM(UPPER(D77)),5,1))&gt;=65,CODE(MID(TRIM(UPPER(D77)),5,1))&lt;=90,CODE(MID(TRIM(UPPER(D77)),10,1))&gt;=65,CODE(MID(TRIM(UPPER(D77)),10,1))&lt;=90,CODE(MID(TRIM(UPPER(D77)),6,1))&gt;=48,CODE(MID(TRIM(UPPER(D77)),6,1))&lt;=57,CODE(MID(TRIM(UPPER(D77)),7,1))&gt;=48,CODE(MID(TRIM(UPPER(D77)),7,1))&lt;=57,CODE(MID(TRIM(UPPER(D77)),8,1))&gt;=48,CODE(MID(TRIM(UPPER(D77)),8,1))&lt;=57,CODE(MID(TRIM(UPPER(D77)),9,1))&gt;=48,CODE(MID(TRIM(UPPER(D77)),9,1))&lt;=57),"N","Y"))</f>
      </c>
      <c r="F77" s="7">
        <f>IF($C77="","",IF(LEN(D77)&lt;4,"",IF(UPPER(MID(D77,4,1))="P","Individual",IF(UPPER(MID(D77,4,1))="H","HUF",IF(UPPER(MID(D77,4,1))="C","Company",IF(UPPER(MID(D77,4,1))="F","Firm",IF(UPPER(MID(D77,4,1))="L","LLP",IF(UPPER(MID(D77,4,1))="T","Trust",IF(UPPER(MID(D77,4,1))="A","AOP","")))))))))</f>
      </c>
      <c r="G77" s="8"/>
      <c r="H77" s="7">
        <f>IF($C77="","",IF(R77&lt;&gt;"",R77,IF(G77="","",IF(E77="Y",SUMPRODUCT(('Rate Lookup'!$A$1:$A$37=G77)*'Rate Lookup'!$D$1:$D$37),IF(OR(F77="Individual",F77="HUF"),SUMPRODUCT(('Rate Lookup'!$A$1:$A$37=G77)*'Rate Lookup'!$B$1:$B$37),SUMPRODUCT(('Rate Lookup'!$A$1:$A$37=G77)*'Rate Lookup'!$C$1:$C$37)))))))</f>
      </c>
      <c r="I77" s="8"/>
      <c r="J77" s="8"/>
      <c r="K77" s="7">
        <f>IF($C77="","",IF(OR(P77="B",P77="D",P77="E",P77="N",P77="O",P77="P",P77="Q",P77="S",P77="Y",P77="Z"),0,ROUND(J77*H77/100,0)))</f>
      </c>
      <c r="L77" s="7">
        <f>IF($C77="","",0)</f>
      </c>
      <c r="M77" s="7">
        <f>IF($C77="","",0)</f>
      </c>
      <c r="N77" s="7">
        <f>IF($C77="","",IF(OR(K77=0,I77="",IFERROR(INDEX('Challan Master'!$D$4:$D$207,MATCH($B77,'Challan Master'!$S$4:$S$207,0)),"")="",IFERROR(INDEX('Challan Master'!$D$4:$D$207,MATCH($B77,'Challan Master'!$S$4:$S$207,0)),"")&lt;=0),0,IF(IFERROR(INDEX('Challan Master'!$D$4:$D$207,MATCH($B77,'Challan Master'!$S$4:$S$207,0)),"")&lt;=DATE(YEAR(I77),MONTH(I77)+1,7),0,ROUND(K77*0.015*((YEAR(IFERROR(INDEX('Challan Master'!$D$4:$D$207,MATCH($B77,'Challan Master'!$S$4:$S$207,0)),""))-YEAR(I77))*12+(MONTH(IFERROR(INDEX('Challan Master'!$D$4:$D$207,MATCH($B77,'Challan Master'!$S$4:$S$207,0)),""))-MONTH(I77))+1),0))))</f>
      </c>
      <c r="O77" s="7">
        <f>IF($C77="","",0)</f>
      </c>
      <c r="P77" s="8"/>
      <c r="Q77" s="8"/>
      <c r="R77" s="8"/>
      <c r="S77" s="8"/>
      <c r="T77" s="8"/>
      <c r="U77" s="7">
        <f>IF($B77="","",IFERROR(INDEX('Challan Master'!$AA$4:$AA$207,MATCH($B77,'Challan Master'!$S$4:$S$207,0)),""))</f>
      </c>
    </row>
    <row r="78" spans="1:22" x14ac:dyDescent="0.25">
      <c r="A78" s="7">
        <f>IF($C78="","",COUNTIF($C$4:$C78,"&lt;&gt;"))</f>
      </c>
      <c r="B78" s="8"/>
      <c r="C78" s="8"/>
      <c r="D78" s="8"/>
      <c r="E78" s="7">
        <f>IF($C78="","",IF(AND(LEN(TRIM(UPPER(D78)))=10,CODE(MID(TRIM(UPPER(D78)),1,1))&gt;=65,CODE(MID(TRIM(UPPER(D78)),1,1))&lt;=90,CODE(MID(TRIM(UPPER(D78)),2,1))&gt;=65,CODE(MID(TRIM(UPPER(D78)),2,1))&lt;=90,CODE(MID(TRIM(UPPER(D78)),3,1))&gt;=65,CODE(MID(TRIM(UPPER(D78)),3,1))&lt;=90,CODE(MID(TRIM(UPPER(D78)),4,1))&gt;=65,CODE(MID(TRIM(UPPER(D78)),4,1))&lt;=90,CODE(MID(TRIM(UPPER(D78)),5,1))&gt;=65,CODE(MID(TRIM(UPPER(D78)),5,1))&lt;=90,CODE(MID(TRIM(UPPER(D78)),10,1))&gt;=65,CODE(MID(TRIM(UPPER(D78)),10,1))&lt;=90,CODE(MID(TRIM(UPPER(D78)),6,1))&gt;=48,CODE(MID(TRIM(UPPER(D78)),6,1))&lt;=57,CODE(MID(TRIM(UPPER(D78)),7,1))&gt;=48,CODE(MID(TRIM(UPPER(D78)),7,1))&lt;=57,CODE(MID(TRIM(UPPER(D78)),8,1))&gt;=48,CODE(MID(TRIM(UPPER(D78)),8,1))&lt;=57,CODE(MID(TRIM(UPPER(D78)),9,1))&gt;=48,CODE(MID(TRIM(UPPER(D78)),9,1))&lt;=57),"N","Y"))</f>
      </c>
      <c r="F78" s="7">
        <f>IF($C78="","",IF(LEN(D78)&lt;4,"",IF(UPPER(MID(D78,4,1))="P","Individual",IF(UPPER(MID(D78,4,1))="H","HUF",IF(UPPER(MID(D78,4,1))="C","Company",IF(UPPER(MID(D78,4,1))="F","Firm",IF(UPPER(MID(D78,4,1))="L","LLP",IF(UPPER(MID(D78,4,1))="T","Trust",IF(UPPER(MID(D78,4,1))="A","AOP","")))))))))</f>
      </c>
      <c r="G78" s="8"/>
      <c r="H78" s="7">
        <f>IF($C78="","",IF(R78&lt;&gt;"",R78,IF(G78="","",IF(E78="Y",SUMPRODUCT(('Rate Lookup'!$A$1:$A$37=G78)*'Rate Lookup'!$D$1:$D$37),IF(OR(F78="Individual",F78="HUF"),SUMPRODUCT(('Rate Lookup'!$A$1:$A$37=G78)*'Rate Lookup'!$B$1:$B$37),SUMPRODUCT(('Rate Lookup'!$A$1:$A$37=G78)*'Rate Lookup'!$C$1:$C$37)))))))</f>
      </c>
      <c r="I78" s="8"/>
      <c r="J78" s="8"/>
      <c r="K78" s="7">
        <f>IF($C78="","",IF(OR(P78="B",P78="D",P78="E",P78="N",P78="O",P78="P",P78="Q",P78="S",P78="Y",P78="Z"),0,ROUND(J78*H78/100,0)))</f>
      </c>
      <c r="L78" s="7">
        <f>IF($C78="","",0)</f>
      </c>
      <c r="M78" s="7">
        <f>IF($C78="","",0)</f>
      </c>
      <c r="N78" s="7">
        <f>IF($C78="","",IF(OR(K78=0,I78="",IFERROR(INDEX('Challan Master'!$D$4:$D$207,MATCH($B78,'Challan Master'!$S$4:$S$207,0)),"")="",IFERROR(INDEX('Challan Master'!$D$4:$D$207,MATCH($B78,'Challan Master'!$S$4:$S$207,0)),"")&lt;=0),0,IF(IFERROR(INDEX('Challan Master'!$D$4:$D$207,MATCH($B78,'Challan Master'!$S$4:$S$207,0)),"")&lt;=DATE(YEAR(I78),MONTH(I78)+1,7),0,ROUND(K78*0.015*((YEAR(IFERROR(INDEX('Challan Master'!$D$4:$D$207,MATCH($B78,'Challan Master'!$S$4:$S$207,0)),""))-YEAR(I78))*12+(MONTH(IFERROR(INDEX('Challan Master'!$D$4:$D$207,MATCH($B78,'Challan Master'!$S$4:$S$207,0)),""))-MONTH(I78))+1),0))))</f>
      </c>
      <c r="O78" s="7">
        <f>IF($C78="","",0)</f>
      </c>
      <c r="P78" s="8"/>
      <c r="Q78" s="8"/>
      <c r="R78" s="8"/>
      <c r="S78" s="8"/>
      <c r="T78" s="8"/>
      <c r="U78" s="7">
        <f>IF($B78="","",IFERROR(INDEX('Challan Master'!$AA$4:$AA$207,MATCH($B78,'Challan Master'!$S$4:$S$207,0)),""))</f>
      </c>
    </row>
    <row r="79" spans="1:22" x14ac:dyDescent="0.25">
      <c r="A79" s="7">
        <f>IF($C79="","",COUNTIF($C$4:$C79,"&lt;&gt;"))</f>
      </c>
      <c r="B79" s="8"/>
      <c r="C79" s="8"/>
      <c r="D79" s="8"/>
      <c r="E79" s="7">
        <f>IF($C79="","",IF(AND(LEN(TRIM(UPPER(D79)))=10,CODE(MID(TRIM(UPPER(D79)),1,1))&gt;=65,CODE(MID(TRIM(UPPER(D79)),1,1))&lt;=90,CODE(MID(TRIM(UPPER(D79)),2,1))&gt;=65,CODE(MID(TRIM(UPPER(D79)),2,1))&lt;=90,CODE(MID(TRIM(UPPER(D79)),3,1))&gt;=65,CODE(MID(TRIM(UPPER(D79)),3,1))&lt;=90,CODE(MID(TRIM(UPPER(D79)),4,1))&gt;=65,CODE(MID(TRIM(UPPER(D79)),4,1))&lt;=90,CODE(MID(TRIM(UPPER(D79)),5,1))&gt;=65,CODE(MID(TRIM(UPPER(D79)),5,1))&lt;=90,CODE(MID(TRIM(UPPER(D79)),10,1))&gt;=65,CODE(MID(TRIM(UPPER(D79)),10,1))&lt;=90,CODE(MID(TRIM(UPPER(D79)),6,1))&gt;=48,CODE(MID(TRIM(UPPER(D79)),6,1))&lt;=57,CODE(MID(TRIM(UPPER(D79)),7,1))&gt;=48,CODE(MID(TRIM(UPPER(D79)),7,1))&lt;=57,CODE(MID(TRIM(UPPER(D79)),8,1))&gt;=48,CODE(MID(TRIM(UPPER(D79)),8,1))&lt;=57,CODE(MID(TRIM(UPPER(D79)),9,1))&gt;=48,CODE(MID(TRIM(UPPER(D79)),9,1))&lt;=57),"N","Y"))</f>
      </c>
      <c r="F79" s="7">
        <f>IF($C79="","",IF(LEN(D79)&lt;4,"",IF(UPPER(MID(D79,4,1))="P","Individual",IF(UPPER(MID(D79,4,1))="H","HUF",IF(UPPER(MID(D79,4,1))="C","Company",IF(UPPER(MID(D79,4,1))="F","Firm",IF(UPPER(MID(D79,4,1))="L","LLP",IF(UPPER(MID(D79,4,1))="T","Trust",IF(UPPER(MID(D79,4,1))="A","AOP","")))))))))</f>
      </c>
      <c r="G79" s="8"/>
      <c r="H79" s="7">
        <f>IF($C79="","",IF(R79&lt;&gt;"",R79,IF(G79="","",IF(E79="Y",SUMPRODUCT(('Rate Lookup'!$A$1:$A$37=G79)*'Rate Lookup'!$D$1:$D$37),IF(OR(F79="Individual",F79="HUF"),SUMPRODUCT(('Rate Lookup'!$A$1:$A$37=G79)*'Rate Lookup'!$B$1:$B$37),SUMPRODUCT(('Rate Lookup'!$A$1:$A$37=G79)*'Rate Lookup'!$C$1:$C$37)))))))</f>
      </c>
      <c r="I79" s="8"/>
      <c r="J79" s="8"/>
      <c r="K79" s="7">
        <f>IF($C79="","",IF(OR(P79="B",P79="D",P79="E",P79="N",P79="O",P79="P",P79="Q",P79="S",P79="Y",P79="Z"),0,ROUND(J79*H79/100,0)))</f>
      </c>
      <c r="L79" s="7">
        <f>IF($C79="","",0)</f>
      </c>
      <c r="M79" s="7">
        <f>IF($C79="","",0)</f>
      </c>
      <c r="N79" s="7">
        <f>IF($C79="","",IF(OR(K79=0,I79="",IFERROR(INDEX('Challan Master'!$D$4:$D$207,MATCH($B79,'Challan Master'!$S$4:$S$207,0)),"")="",IFERROR(INDEX('Challan Master'!$D$4:$D$207,MATCH($B79,'Challan Master'!$S$4:$S$207,0)),"")&lt;=0),0,IF(IFERROR(INDEX('Challan Master'!$D$4:$D$207,MATCH($B79,'Challan Master'!$S$4:$S$207,0)),"")&lt;=DATE(YEAR(I79),MONTH(I79)+1,7),0,ROUND(K79*0.015*((YEAR(IFERROR(INDEX('Challan Master'!$D$4:$D$207,MATCH($B79,'Challan Master'!$S$4:$S$207,0)),""))-YEAR(I79))*12+(MONTH(IFERROR(INDEX('Challan Master'!$D$4:$D$207,MATCH($B79,'Challan Master'!$S$4:$S$207,0)),""))-MONTH(I79))+1),0))))</f>
      </c>
      <c r="O79" s="7">
        <f>IF($C79="","",0)</f>
      </c>
      <c r="P79" s="8"/>
      <c r="Q79" s="8"/>
      <c r="R79" s="8"/>
      <c r="S79" s="8"/>
      <c r="T79" s="8"/>
      <c r="U79" s="7">
        <f>IF($B79="","",IFERROR(INDEX('Challan Master'!$AA$4:$AA$207,MATCH($B79,'Challan Master'!$S$4:$S$207,0)),""))</f>
      </c>
    </row>
    <row r="80" spans="1:22" x14ac:dyDescent="0.25">
      <c r="A80" s="7">
        <f>IF($C80="","",COUNTIF($C$4:$C80,"&lt;&gt;"))</f>
      </c>
      <c r="B80" s="8"/>
      <c r="C80" s="8"/>
      <c r="D80" s="8"/>
      <c r="E80" s="7">
        <f>IF($C80="","",IF(AND(LEN(TRIM(UPPER(D80)))=10,CODE(MID(TRIM(UPPER(D80)),1,1))&gt;=65,CODE(MID(TRIM(UPPER(D80)),1,1))&lt;=90,CODE(MID(TRIM(UPPER(D80)),2,1))&gt;=65,CODE(MID(TRIM(UPPER(D80)),2,1))&lt;=90,CODE(MID(TRIM(UPPER(D80)),3,1))&gt;=65,CODE(MID(TRIM(UPPER(D80)),3,1))&lt;=90,CODE(MID(TRIM(UPPER(D80)),4,1))&gt;=65,CODE(MID(TRIM(UPPER(D80)),4,1))&lt;=90,CODE(MID(TRIM(UPPER(D80)),5,1))&gt;=65,CODE(MID(TRIM(UPPER(D80)),5,1))&lt;=90,CODE(MID(TRIM(UPPER(D80)),10,1))&gt;=65,CODE(MID(TRIM(UPPER(D80)),10,1))&lt;=90,CODE(MID(TRIM(UPPER(D80)),6,1))&gt;=48,CODE(MID(TRIM(UPPER(D80)),6,1))&lt;=57,CODE(MID(TRIM(UPPER(D80)),7,1))&gt;=48,CODE(MID(TRIM(UPPER(D80)),7,1))&lt;=57,CODE(MID(TRIM(UPPER(D80)),8,1))&gt;=48,CODE(MID(TRIM(UPPER(D80)),8,1))&lt;=57,CODE(MID(TRIM(UPPER(D80)),9,1))&gt;=48,CODE(MID(TRIM(UPPER(D80)),9,1))&lt;=57),"N","Y"))</f>
      </c>
      <c r="F80" s="7">
        <f>IF($C80="","",IF(LEN(D80)&lt;4,"",IF(UPPER(MID(D80,4,1))="P","Individual",IF(UPPER(MID(D80,4,1))="H","HUF",IF(UPPER(MID(D80,4,1))="C","Company",IF(UPPER(MID(D80,4,1))="F","Firm",IF(UPPER(MID(D80,4,1))="L","LLP",IF(UPPER(MID(D80,4,1))="T","Trust",IF(UPPER(MID(D80,4,1))="A","AOP","")))))))))</f>
      </c>
      <c r="G80" s="8"/>
      <c r="H80" s="7">
        <f>IF($C80="","",IF(R80&lt;&gt;"",R80,IF(G80="","",IF(E80="Y",SUMPRODUCT(('Rate Lookup'!$A$1:$A$37=G80)*'Rate Lookup'!$D$1:$D$37),IF(OR(F80="Individual",F80="HUF"),SUMPRODUCT(('Rate Lookup'!$A$1:$A$37=G80)*'Rate Lookup'!$B$1:$B$37),SUMPRODUCT(('Rate Lookup'!$A$1:$A$37=G80)*'Rate Lookup'!$C$1:$C$37)))))))</f>
      </c>
      <c r="I80" s="8"/>
      <c r="J80" s="8"/>
      <c r="K80" s="7">
        <f>IF($C80="","",IF(OR(P80="B",P80="D",P80="E",P80="N",P80="O",P80="P",P80="Q",P80="S",P80="Y",P80="Z"),0,ROUND(J80*H80/100,0)))</f>
      </c>
      <c r="L80" s="7">
        <f>IF($C80="","",0)</f>
      </c>
      <c r="M80" s="7">
        <f>IF($C80="","",0)</f>
      </c>
      <c r="N80" s="7">
        <f>IF($C80="","",IF(OR(K80=0,I80="",IFERROR(INDEX('Challan Master'!$D$4:$D$207,MATCH($B80,'Challan Master'!$S$4:$S$207,0)),"")="",IFERROR(INDEX('Challan Master'!$D$4:$D$207,MATCH($B80,'Challan Master'!$S$4:$S$207,0)),"")&lt;=0),0,IF(IFERROR(INDEX('Challan Master'!$D$4:$D$207,MATCH($B80,'Challan Master'!$S$4:$S$207,0)),"")&lt;=DATE(YEAR(I80),MONTH(I80)+1,7),0,ROUND(K80*0.015*((YEAR(IFERROR(INDEX('Challan Master'!$D$4:$D$207,MATCH($B80,'Challan Master'!$S$4:$S$207,0)),""))-YEAR(I80))*12+(MONTH(IFERROR(INDEX('Challan Master'!$D$4:$D$207,MATCH($B80,'Challan Master'!$S$4:$S$207,0)),""))-MONTH(I80))+1),0))))</f>
      </c>
      <c r="O80" s="7">
        <f>IF($C80="","",0)</f>
      </c>
      <c r="P80" s="8"/>
      <c r="Q80" s="8"/>
      <c r="R80" s="8"/>
      <c r="S80" s="8"/>
      <c r="T80" s="8"/>
      <c r="U80" s="7">
        <f>IF($B80="","",IFERROR(INDEX('Challan Master'!$AA$4:$AA$207,MATCH($B80,'Challan Master'!$S$4:$S$207,0)),""))</f>
      </c>
    </row>
    <row r="81" spans="1:22" x14ac:dyDescent="0.25">
      <c r="A81" s="7">
        <f>IF($C81="","",COUNTIF($C$4:$C81,"&lt;&gt;"))</f>
      </c>
      <c r="B81" s="8"/>
      <c r="C81" s="8"/>
      <c r="D81" s="8"/>
      <c r="E81" s="7">
        <f>IF($C81="","",IF(AND(LEN(TRIM(UPPER(D81)))=10,CODE(MID(TRIM(UPPER(D81)),1,1))&gt;=65,CODE(MID(TRIM(UPPER(D81)),1,1))&lt;=90,CODE(MID(TRIM(UPPER(D81)),2,1))&gt;=65,CODE(MID(TRIM(UPPER(D81)),2,1))&lt;=90,CODE(MID(TRIM(UPPER(D81)),3,1))&gt;=65,CODE(MID(TRIM(UPPER(D81)),3,1))&lt;=90,CODE(MID(TRIM(UPPER(D81)),4,1))&gt;=65,CODE(MID(TRIM(UPPER(D81)),4,1))&lt;=90,CODE(MID(TRIM(UPPER(D81)),5,1))&gt;=65,CODE(MID(TRIM(UPPER(D81)),5,1))&lt;=90,CODE(MID(TRIM(UPPER(D81)),10,1))&gt;=65,CODE(MID(TRIM(UPPER(D81)),10,1))&lt;=90,CODE(MID(TRIM(UPPER(D81)),6,1))&gt;=48,CODE(MID(TRIM(UPPER(D81)),6,1))&lt;=57,CODE(MID(TRIM(UPPER(D81)),7,1))&gt;=48,CODE(MID(TRIM(UPPER(D81)),7,1))&lt;=57,CODE(MID(TRIM(UPPER(D81)),8,1))&gt;=48,CODE(MID(TRIM(UPPER(D81)),8,1))&lt;=57,CODE(MID(TRIM(UPPER(D81)),9,1))&gt;=48,CODE(MID(TRIM(UPPER(D81)),9,1))&lt;=57),"N","Y"))</f>
      </c>
      <c r="F81" s="7">
        <f>IF($C81="","",IF(LEN(D81)&lt;4,"",IF(UPPER(MID(D81,4,1))="P","Individual",IF(UPPER(MID(D81,4,1))="H","HUF",IF(UPPER(MID(D81,4,1))="C","Company",IF(UPPER(MID(D81,4,1))="F","Firm",IF(UPPER(MID(D81,4,1))="L","LLP",IF(UPPER(MID(D81,4,1))="T","Trust",IF(UPPER(MID(D81,4,1))="A","AOP","")))))))))</f>
      </c>
      <c r="G81" s="8"/>
      <c r="H81" s="7">
        <f>IF($C81="","",IF(R81&lt;&gt;"",R81,IF(G81="","",IF(E81="Y",SUMPRODUCT(('Rate Lookup'!$A$1:$A$37=G81)*'Rate Lookup'!$D$1:$D$37),IF(OR(F81="Individual",F81="HUF"),SUMPRODUCT(('Rate Lookup'!$A$1:$A$37=G81)*'Rate Lookup'!$B$1:$B$37),SUMPRODUCT(('Rate Lookup'!$A$1:$A$37=G81)*'Rate Lookup'!$C$1:$C$37)))))))</f>
      </c>
      <c r="I81" s="8"/>
      <c r="J81" s="8"/>
      <c r="K81" s="7">
        <f>IF($C81="","",IF(OR(P81="B",P81="D",P81="E",P81="N",P81="O",P81="P",P81="Q",P81="S",P81="Y",P81="Z"),0,ROUND(J81*H81/100,0)))</f>
      </c>
      <c r="L81" s="7">
        <f>IF($C81="","",0)</f>
      </c>
      <c r="M81" s="7">
        <f>IF($C81="","",0)</f>
      </c>
      <c r="N81" s="7">
        <f>IF($C81="","",IF(OR(K81=0,I81="",IFERROR(INDEX('Challan Master'!$D$4:$D$207,MATCH($B81,'Challan Master'!$S$4:$S$207,0)),"")="",IFERROR(INDEX('Challan Master'!$D$4:$D$207,MATCH($B81,'Challan Master'!$S$4:$S$207,0)),"")&lt;=0),0,IF(IFERROR(INDEX('Challan Master'!$D$4:$D$207,MATCH($B81,'Challan Master'!$S$4:$S$207,0)),"")&lt;=DATE(YEAR(I81),MONTH(I81)+1,7),0,ROUND(K81*0.015*((YEAR(IFERROR(INDEX('Challan Master'!$D$4:$D$207,MATCH($B81,'Challan Master'!$S$4:$S$207,0)),""))-YEAR(I81))*12+(MONTH(IFERROR(INDEX('Challan Master'!$D$4:$D$207,MATCH($B81,'Challan Master'!$S$4:$S$207,0)),""))-MONTH(I81))+1),0))))</f>
      </c>
      <c r="O81" s="7">
        <f>IF($C81="","",0)</f>
      </c>
      <c r="P81" s="8"/>
      <c r="Q81" s="8"/>
      <c r="R81" s="8"/>
      <c r="S81" s="8"/>
      <c r="T81" s="8"/>
      <c r="U81" s="7">
        <f>IF($B81="","",IFERROR(INDEX('Challan Master'!$AA$4:$AA$207,MATCH($B81,'Challan Master'!$S$4:$S$207,0)),""))</f>
      </c>
    </row>
    <row r="82" spans="1:22" x14ac:dyDescent="0.25">
      <c r="A82" s="7">
        <f>IF($C82="","",COUNTIF($C$4:$C82,"&lt;&gt;"))</f>
      </c>
      <c r="B82" s="8"/>
      <c r="C82" s="8"/>
      <c r="D82" s="8"/>
      <c r="E82" s="7">
        <f>IF($C82="","",IF(AND(LEN(TRIM(UPPER(D82)))=10,CODE(MID(TRIM(UPPER(D82)),1,1))&gt;=65,CODE(MID(TRIM(UPPER(D82)),1,1))&lt;=90,CODE(MID(TRIM(UPPER(D82)),2,1))&gt;=65,CODE(MID(TRIM(UPPER(D82)),2,1))&lt;=90,CODE(MID(TRIM(UPPER(D82)),3,1))&gt;=65,CODE(MID(TRIM(UPPER(D82)),3,1))&lt;=90,CODE(MID(TRIM(UPPER(D82)),4,1))&gt;=65,CODE(MID(TRIM(UPPER(D82)),4,1))&lt;=90,CODE(MID(TRIM(UPPER(D82)),5,1))&gt;=65,CODE(MID(TRIM(UPPER(D82)),5,1))&lt;=90,CODE(MID(TRIM(UPPER(D82)),10,1))&gt;=65,CODE(MID(TRIM(UPPER(D82)),10,1))&lt;=90,CODE(MID(TRIM(UPPER(D82)),6,1))&gt;=48,CODE(MID(TRIM(UPPER(D82)),6,1))&lt;=57,CODE(MID(TRIM(UPPER(D82)),7,1))&gt;=48,CODE(MID(TRIM(UPPER(D82)),7,1))&lt;=57,CODE(MID(TRIM(UPPER(D82)),8,1))&gt;=48,CODE(MID(TRIM(UPPER(D82)),8,1))&lt;=57,CODE(MID(TRIM(UPPER(D82)),9,1))&gt;=48,CODE(MID(TRIM(UPPER(D82)),9,1))&lt;=57),"N","Y"))</f>
      </c>
      <c r="F82" s="7">
        <f>IF($C82="","",IF(LEN(D82)&lt;4,"",IF(UPPER(MID(D82,4,1))="P","Individual",IF(UPPER(MID(D82,4,1))="H","HUF",IF(UPPER(MID(D82,4,1))="C","Company",IF(UPPER(MID(D82,4,1))="F","Firm",IF(UPPER(MID(D82,4,1))="L","LLP",IF(UPPER(MID(D82,4,1))="T","Trust",IF(UPPER(MID(D82,4,1))="A","AOP","")))))))))</f>
      </c>
      <c r="G82" s="8"/>
      <c r="H82" s="7">
        <f>IF($C82="","",IF(R82&lt;&gt;"",R82,IF(G82="","",IF(E82="Y",SUMPRODUCT(('Rate Lookup'!$A$1:$A$37=G82)*'Rate Lookup'!$D$1:$D$37),IF(OR(F82="Individual",F82="HUF"),SUMPRODUCT(('Rate Lookup'!$A$1:$A$37=G82)*'Rate Lookup'!$B$1:$B$37),SUMPRODUCT(('Rate Lookup'!$A$1:$A$37=G82)*'Rate Lookup'!$C$1:$C$37)))))))</f>
      </c>
      <c r="I82" s="8"/>
      <c r="J82" s="8"/>
      <c r="K82" s="7">
        <f>IF($C82="","",IF(OR(P82="B",P82="D",P82="E",P82="N",P82="O",P82="P",P82="Q",P82="S",P82="Y",P82="Z"),0,ROUND(J82*H82/100,0)))</f>
      </c>
      <c r="L82" s="7">
        <f>IF($C82="","",0)</f>
      </c>
      <c r="M82" s="7">
        <f>IF($C82="","",0)</f>
      </c>
      <c r="N82" s="7">
        <f>IF($C82="","",IF(OR(K82=0,I82="",IFERROR(INDEX('Challan Master'!$D$4:$D$207,MATCH($B82,'Challan Master'!$S$4:$S$207,0)),"")="",IFERROR(INDEX('Challan Master'!$D$4:$D$207,MATCH($B82,'Challan Master'!$S$4:$S$207,0)),"")&lt;=0),0,IF(IFERROR(INDEX('Challan Master'!$D$4:$D$207,MATCH($B82,'Challan Master'!$S$4:$S$207,0)),"")&lt;=DATE(YEAR(I82),MONTH(I82)+1,7),0,ROUND(K82*0.015*((YEAR(IFERROR(INDEX('Challan Master'!$D$4:$D$207,MATCH($B82,'Challan Master'!$S$4:$S$207,0)),""))-YEAR(I82))*12+(MONTH(IFERROR(INDEX('Challan Master'!$D$4:$D$207,MATCH($B82,'Challan Master'!$S$4:$S$207,0)),""))-MONTH(I82))+1),0))))</f>
      </c>
      <c r="O82" s="7">
        <f>IF($C82="","",0)</f>
      </c>
      <c r="P82" s="8"/>
      <c r="Q82" s="8"/>
      <c r="R82" s="8"/>
      <c r="S82" s="8"/>
      <c r="T82" s="8"/>
      <c r="U82" s="7">
        <f>IF($B82="","",IFERROR(INDEX('Challan Master'!$AA$4:$AA$207,MATCH($B82,'Challan Master'!$S$4:$S$207,0)),""))</f>
      </c>
    </row>
    <row r="83" spans="1:22" x14ac:dyDescent="0.25">
      <c r="A83" s="7">
        <f>IF($C83="","",COUNTIF($C$4:$C83,"&lt;&gt;"))</f>
      </c>
      <c r="B83" s="8"/>
      <c r="C83" s="8"/>
      <c r="D83" s="8"/>
      <c r="E83" s="7">
        <f>IF($C83="","",IF(AND(LEN(TRIM(UPPER(D83)))=10,CODE(MID(TRIM(UPPER(D83)),1,1))&gt;=65,CODE(MID(TRIM(UPPER(D83)),1,1))&lt;=90,CODE(MID(TRIM(UPPER(D83)),2,1))&gt;=65,CODE(MID(TRIM(UPPER(D83)),2,1))&lt;=90,CODE(MID(TRIM(UPPER(D83)),3,1))&gt;=65,CODE(MID(TRIM(UPPER(D83)),3,1))&lt;=90,CODE(MID(TRIM(UPPER(D83)),4,1))&gt;=65,CODE(MID(TRIM(UPPER(D83)),4,1))&lt;=90,CODE(MID(TRIM(UPPER(D83)),5,1))&gt;=65,CODE(MID(TRIM(UPPER(D83)),5,1))&lt;=90,CODE(MID(TRIM(UPPER(D83)),10,1))&gt;=65,CODE(MID(TRIM(UPPER(D83)),10,1))&lt;=90,CODE(MID(TRIM(UPPER(D83)),6,1))&gt;=48,CODE(MID(TRIM(UPPER(D83)),6,1))&lt;=57,CODE(MID(TRIM(UPPER(D83)),7,1))&gt;=48,CODE(MID(TRIM(UPPER(D83)),7,1))&lt;=57,CODE(MID(TRIM(UPPER(D83)),8,1))&gt;=48,CODE(MID(TRIM(UPPER(D83)),8,1))&lt;=57,CODE(MID(TRIM(UPPER(D83)),9,1))&gt;=48,CODE(MID(TRIM(UPPER(D83)),9,1))&lt;=57),"N","Y"))</f>
      </c>
      <c r="F83" s="7">
        <f>IF($C83="","",IF(LEN(D83)&lt;4,"",IF(UPPER(MID(D83,4,1))="P","Individual",IF(UPPER(MID(D83,4,1))="H","HUF",IF(UPPER(MID(D83,4,1))="C","Company",IF(UPPER(MID(D83,4,1))="F","Firm",IF(UPPER(MID(D83,4,1))="L","LLP",IF(UPPER(MID(D83,4,1))="T","Trust",IF(UPPER(MID(D83,4,1))="A","AOP","")))))))))</f>
      </c>
      <c r="G83" s="8"/>
      <c r="H83" s="7">
        <f>IF($C83="","",IF(R83&lt;&gt;"",R83,IF(G83="","",IF(E83="Y",SUMPRODUCT(('Rate Lookup'!$A$1:$A$37=G83)*'Rate Lookup'!$D$1:$D$37),IF(OR(F83="Individual",F83="HUF"),SUMPRODUCT(('Rate Lookup'!$A$1:$A$37=G83)*'Rate Lookup'!$B$1:$B$37),SUMPRODUCT(('Rate Lookup'!$A$1:$A$37=G83)*'Rate Lookup'!$C$1:$C$37)))))))</f>
      </c>
      <c r="I83" s="8"/>
      <c r="J83" s="8"/>
      <c r="K83" s="7">
        <f>IF($C83="","",IF(OR(P83="B",P83="D",P83="E",P83="N",P83="O",P83="P",P83="Q",P83="S",P83="Y",P83="Z"),0,ROUND(J83*H83/100,0)))</f>
      </c>
      <c r="L83" s="7">
        <f>IF($C83="","",0)</f>
      </c>
      <c r="M83" s="7">
        <f>IF($C83="","",0)</f>
      </c>
      <c r="N83" s="7">
        <f>IF($C83="","",IF(OR(K83=0,I83="",IFERROR(INDEX('Challan Master'!$D$4:$D$207,MATCH($B83,'Challan Master'!$S$4:$S$207,0)),"")="",IFERROR(INDEX('Challan Master'!$D$4:$D$207,MATCH($B83,'Challan Master'!$S$4:$S$207,0)),"")&lt;=0),0,IF(IFERROR(INDEX('Challan Master'!$D$4:$D$207,MATCH($B83,'Challan Master'!$S$4:$S$207,0)),"")&lt;=DATE(YEAR(I83),MONTH(I83)+1,7),0,ROUND(K83*0.015*((YEAR(IFERROR(INDEX('Challan Master'!$D$4:$D$207,MATCH($B83,'Challan Master'!$S$4:$S$207,0)),""))-YEAR(I83))*12+(MONTH(IFERROR(INDEX('Challan Master'!$D$4:$D$207,MATCH($B83,'Challan Master'!$S$4:$S$207,0)),""))-MONTH(I83))+1),0))))</f>
      </c>
      <c r="O83" s="7">
        <f>IF($C83="","",0)</f>
      </c>
      <c r="P83" s="8"/>
      <c r="Q83" s="8"/>
      <c r="R83" s="8"/>
      <c r="S83" s="8"/>
      <c r="T83" s="8"/>
      <c r="U83" s="7">
        <f>IF($B83="","",IFERROR(INDEX('Challan Master'!$AA$4:$AA$207,MATCH($B83,'Challan Master'!$S$4:$S$207,0)),""))</f>
      </c>
    </row>
    <row r="84" spans="1:22" x14ac:dyDescent="0.25">
      <c r="A84" s="7">
        <f>IF($C84="","",COUNTIF($C$4:$C84,"&lt;&gt;"))</f>
      </c>
      <c r="B84" s="8"/>
      <c r="C84" s="8"/>
      <c r="D84" s="8"/>
      <c r="E84" s="7">
        <f>IF($C84="","",IF(AND(LEN(TRIM(UPPER(D84)))=10,CODE(MID(TRIM(UPPER(D84)),1,1))&gt;=65,CODE(MID(TRIM(UPPER(D84)),1,1))&lt;=90,CODE(MID(TRIM(UPPER(D84)),2,1))&gt;=65,CODE(MID(TRIM(UPPER(D84)),2,1))&lt;=90,CODE(MID(TRIM(UPPER(D84)),3,1))&gt;=65,CODE(MID(TRIM(UPPER(D84)),3,1))&lt;=90,CODE(MID(TRIM(UPPER(D84)),4,1))&gt;=65,CODE(MID(TRIM(UPPER(D84)),4,1))&lt;=90,CODE(MID(TRIM(UPPER(D84)),5,1))&gt;=65,CODE(MID(TRIM(UPPER(D84)),5,1))&lt;=90,CODE(MID(TRIM(UPPER(D84)),10,1))&gt;=65,CODE(MID(TRIM(UPPER(D84)),10,1))&lt;=90,CODE(MID(TRIM(UPPER(D84)),6,1))&gt;=48,CODE(MID(TRIM(UPPER(D84)),6,1))&lt;=57,CODE(MID(TRIM(UPPER(D84)),7,1))&gt;=48,CODE(MID(TRIM(UPPER(D84)),7,1))&lt;=57,CODE(MID(TRIM(UPPER(D84)),8,1))&gt;=48,CODE(MID(TRIM(UPPER(D84)),8,1))&lt;=57,CODE(MID(TRIM(UPPER(D84)),9,1))&gt;=48,CODE(MID(TRIM(UPPER(D84)),9,1))&lt;=57),"N","Y"))</f>
      </c>
      <c r="F84" s="7">
        <f>IF($C84="","",IF(LEN(D84)&lt;4,"",IF(UPPER(MID(D84,4,1))="P","Individual",IF(UPPER(MID(D84,4,1))="H","HUF",IF(UPPER(MID(D84,4,1))="C","Company",IF(UPPER(MID(D84,4,1))="F","Firm",IF(UPPER(MID(D84,4,1))="L","LLP",IF(UPPER(MID(D84,4,1))="T","Trust",IF(UPPER(MID(D84,4,1))="A","AOP","")))))))))</f>
      </c>
      <c r="G84" s="8"/>
      <c r="H84" s="7">
        <f>IF($C84="","",IF(R84&lt;&gt;"",R84,IF(G84="","",IF(E84="Y",SUMPRODUCT(('Rate Lookup'!$A$1:$A$37=G84)*'Rate Lookup'!$D$1:$D$37),IF(OR(F84="Individual",F84="HUF"),SUMPRODUCT(('Rate Lookup'!$A$1:$A$37=G84)*'Rate Lookup'!$B$1:$B$37),SUMPRODUCT(('Rate Lookup'!$A$1:$A$37=G84)*'Rate Lookup'!$C$1:$C$37)))))))</f>
      </c>
      <c r="I84" s="8"/>
      <c r="J84" s="8"/>
      <c r="K84" s="7">
        <f>IF($C84="","",IF(OR(P84="B",P84="D",P84="E",P84="N",P84="O",P84="P",P84="Q",P84="S",P84="Y",P84="Z"),0,ROUND(J84*H84/100,0)))</f>
      </c>
      <c r="L84" s="7">
        <f>IF($C84="","",0)</f>
      </c>
      <c r="M84" s="7">
        <f>IF($C84="","",0)</f>
      </c>
      <c r="N84" s="7">
        <f>IF($C84="","",IF(OR(K84=0,I84="",IFERROR(INDEX('Challan Master'!$D$4:$D$207,MATCH($B84,'Challan Master'!$S$4:$S$207,0)),"")="",IFERROR(INDEX('Challan Master'!$D$4:$D$207,MATCH($B84,'Challan Master'!$S$4:$S$207,0)),"")&lt;=0),0,IF(IFERROR(INDEX('Challan Master'!$D$4:$D$207,MATCH($B84,'Challan Master'!$S$4:$S$207,0)),"")&lt;=DATE(YEAR(I84),MONTH(I84)+1,7),0,ROUND(K84*0.015*((YEAR(IFERROR(INDEX('Challan Master'!$D$4:$D$207,MATCH($B84,'Challan Master'!$S$4:$S$207,0)),""))-YEAR(I84))*12+(MONTH(IFERROR(INDEX('Challan Master'!$D$4:$D$207,MATCH($B84,'Challan Master'!$S$4:$S$207,0)),""))-MONTH(I84))+1),0))))</f>
      </c>
      <c r="O84" s="7">
        <f>IF($C84="","",0)</f>
      </c>
      <c r="P84" s="8"/>
      <c r="Q84" s="8"/>
      <c r="R84" s="8"/>
      <c r="S84" s="8"/>
      <c r="T84" s="8"/>
      <c r="U84" s="7">
        <f>IF($B84="","",IFERROR(INDEX('Challan Master'!$AA$4:$AA$207,MATCH($B84,'Challan Master'!$S$4:$S$207,0)),""))</f>
      </c>
    </row>
    <row r="85" spans="1:22" x14ac:dyDescent="0.25">
      <c r="A85" s="7">
        <f>IF($C85="","",COUNTIF($C$4:$C85,"&lt;&gt;"))</f>
      </c>
      <c r="B85" s="8"/>
      <c r="C85" s="8"/>
      <c r="D85" s="8"/>
      <c r="E85" s="7">
        <f>IF($C85="","",IF(AND(LEN(TRIM(UPPER(D85)))=10,CODE(MID(TRIM(UPPER(D85)),1,1))&gt;=65,CODE(MID(TRIM(UPPER(D85)),1,1))&lt;=90,CODE(MID(TRIM(UPPER(D85)),2,1))&gt;=65,CODE(MID(TRIM(UPPER(D85)),2,1))&lt;=90,CODE(MID(TRIM(UPPER(D85)),3,1))&gt;=65,CODE(MID(TRIM(UPPER(D85)),3,1))&lt;=90,CODE(MID(TRIM(UPPER(D85)),4,1))&gt;=65,CODE(MID(TRIM(UPPER(D85)),4,1))&lt;=90,CODE(MID(TRIM(UPPER(D85)),5,1))&gt;=65,CODE(MID(TRIM(UPPER(D85)),5,1))&lt;=90,CODE(MID(TRIM(UPPER(D85)),10,1))&gt;=65,CODE(MID(TRIM(UPPER(D85)),10,1))&lt;=90,CODE(MID(TRIM(UPPER(D85)),6,1))&gt;=48,CODE(MID(TRIM(UPPER(D85)),6,1))&lt;=57,CODE(MID(TRIM(UPPER(D85)),7,1))&gt;=48,CODE(MID(TRIM(UPPER(D85)),7,1))&lt;=57,CODE(MID(TRIM(UPPER(D85)),8,1))&gt;=48,CODE(MID(TRIM(UPPER(D85)),8,1))&lt;=57,CODE(MID(TRIM(UPPER(D85)),9,1))&gt;=48,CODE(MID(TRIM(UPPER(D85)),9,1))&lt;=57),"N","Y"))</f>
      </c>
      <c r="F85" s="7">
        <f>IF($C85="","",IF(LEN(D85)&lt;4,"",IF(UPPER(MID(D85,4,1))="P","Individual",IF(UPPER(MID(D85,4,1))="H","HUF",IF(UPPER(MID(D85,4,1))="C","Company",IF(UPPER(MID(D85,4,1))="F","Firm",IF(UPPER(MID(D85,4,1))="L","LLP",IF(UPPER(MID(D85,4,1))="T","Trust",IF(UPPER(MID(D85,4,1))="A","AOP","")))))))))</f>
      </c>
      <c r="G85" s="8"/>
      <c r="H85" s="7">
        <f>IF($C85="","",IF(R85&lt;&gt;"",R85,IF(G85="","",IF(E85="Y",SUMPRODUCT(('Rate Lookup'!$A$1:$A$37=G85)*'Rate Lookup'!$D$1:$D$37),IF(OR(F85="Individual",F85="HUF"),SUMPRODUCT(('Rate Lookup'!$A$1:$A$37=G85)*'Rate Lookup'!$B$1:$B$37),SUMPRODUCT(('Rate Lookup'!$A$1:$A$37=G85)*'Rate Lookup'!$C$1:$C$37)))))))</f>
      </c>
      <c r="I85" s="8"/>
      <c r="J85" s="8"/>
      <c r="K85" s="7">
        <f>IF($C85="","",IF(OR(P85="B",P85="D",P85="E",P85="N",P85="O",P85="P",P85="Q",P85="S",P85="Y",P85="Z"),0,ROUND(J85*H85/100,0)))</f>
      </c>
      <c r="L85" s="7">
        <f>IF($C85="","",0)</f>
      </c>
      <c r="M85" s="7">
        <f>IF($C85="","",0)</f>
      </c>
      <c r="N85" s="7">
        <f>IF($C85="","",IF(OR(K85=0,I85="",IFERROR(INDEX('Challan Master'!$D$4:$D$207,MATCH($B85,'Challan Master'!$S$4:$S$207,0)),"")="",IFERROR(INDEX('Challan Master'!$D$4:$D$207,MATCH($B85,'Challan Master'!$S$4:$S$207,0)),"")&lt;=0),0,IF(IFERROR(INDEX('Challan Master'!$D$4:$D$207,MATCH($B85,'Challan Master'!$S$4:$S$207,0)),"")&lt;=DATE(YEAR(I85),MONTH(I85)+1,7),0,ROUND(K85*0.015*((YEAR(IFERROR(INDEX('Challan Master'!$D$4:$D$207,MATCH($B85,'Challan Master'!$S$4:$S$207,0)),""))-YEAR(I85))*12+(MONTH(IFERROR(INDEX('Challan Master'!$D$4:$D$207,MATCH($B85,'Challan Master'!$S$4:$S$207,0)),""))-MONTH(I85))+1),0))))</f>
      </c>
      <c r="O85" s="7">
        <f>IF($C85="","",0)</f>
      </c>
      <c r="P85" s="8"/>
      <c r="Q85" s="8"/>
      <c r="R85" s="8"/>
      <c r="S85" s="8"/>
      <c r="T85" s="8"/>
      <c r="U85" s="7">
        <f>IF($B85="","",IFERROR(INDEX('Challan Master'!$AA$4:$AA$207,MATCH($B85,'Challan Master'!$S$4:$S$207,0)),""))</f>
      </c>
    </row>
    <row r="86" spans="1:22" x14ac:dyDescent="0.25">
      <c r="A86" s="7">
        <f>IF($C86="","",COUNTIF($C$4:$C86,"&lt;&gt;"))</f>
      </c>
      <c r="B86" s="8"/>
      <c r="C86" s="8"/>
      <c r="D86" s="8"/>
      <c r="E86" s="7">
        <f>IF($C86="","",IF(AND(LEN(TRIM(UPPER(D86)))=10,CODE(MID(TRIM(UPPER(D86)),1,1))&gt;=65,CODE(MID(TRIM(UPPER(D86)),1,1))&lt;=90,CODE(MID(TRIM(UPPER(D86)),2,1))&gt;=65,CODE(MID(TRIM(UPPER(D86)),2,1))&lt;=90,CODE(MID(TRIM(UPPER(D86)),3,1))&gt;=65,CODE(MID(TRIM(UPPER(D86)),3,1))&lt;=90,CODE(MID(TRIM(UPPER(D86)),4,1))&gt;=65,CODE(MID(TRIM(UPPER(D86)),4,1))&lt;=90,CODE(MID(TRIM(UPPER(D86)),5,1))&gt;=65,CODE(MID(TRIM(UPPER(D86)),5,1))&lt;=90,CODE(MID(TRIM(UPPER(D86)),10,1))&gt;=65,CODE(MID(TRIM(UPPER(D86)),10,1))&lt;=90,CODE(MID(TRIM(UPPER(D86)),6,1))&gt;=48,CODE(MID(TRIM(UPPER(D86)),6,1))&lt;=57,CODE(MID(TRIM(UPPER(D86)),7,1))&gt;=48,CODE(MID(TRIM(UPPER(D86)),7,1))&lt;=57,CODE(MID(TRIM(UPPER(D86)),8,1))&gt;=48,CODE(MID(TRIM(UPPER(D86)),8,1))&lt;=57,CODE(MID(TRIM(UPPER(D86)),9,1))&gt;=48,CODE(MID(TRIM(UPPER(D86)),9,1))&lt;=57),"N","Y"))</f>
      </c>
      <c r="F86" s="7">
        <f>IF($C86="","",IF(LEN(D86)&lt;4,"",IF(UPPER(MID(D86,4,1))="P","Individual",IF(UPPER(MID(D86,4,1))="H","HUF",IF(UPPER(MID(D86,4,1))="C","Company",IF(UPPER(MID(D86,4,1))="F","Firm",IF(UPPER(MID(D86,4,1))="L","LLP",IF(UPPER(MID(D86,4,1))="T","Trust",IF(UPPER(MID(D86,4,1))="A","AOP","")))))))))</f>
      </c>
      <c r="G86" s="8"/>
      <c r="H86" s="7">
        <f>IF($C86="","",IF(R86&lt;&gt;"",R86,IF(G86="","",IF(E86="Y",SUMPRODUCT(('Rate Lookup'!$A$1:$A$37=G86)*'Rate Lookup'!$D$1:$D$37),IF(OR(F86="Individual",F86="HUF"),SUMPRODUCT(('Rate Lookup'!$A$1:$A$37=G86)*'Rate Lookup'!$B$1:$B$37),SUMPRODUCT(('Rate Lookup'!$A$1:$A$37=G86)*'Rate Lookup'!$C$1:$C$37)))))))</f>
      </c>
      <c r="I86" s="8"/>
      <c r="J86" s="8"/>
      <c r="K86" s="7">
        <f>IF($C86="","",IF(OR(P86="B",P86="D",P86="E",P86="N",P86="O",P86="P",P86="Q",P86="S",P86="Y",P86="Z"),0,ROUND(J86*H86/100,0)))</f>
      </c>
      <c r="L86" s="7">
        <f>IF($C86="","",0)</f>
      </c>
      <c r="M86" s="7">
        <f>IF($C86="","",0)</f>
      </c>
      <c r="N86" s="7">
        <f>IF($C86="","",IF(OR(K86=0,I86="",IFERROR(INDEX('Challan Master'!$D$4:$D$207,MATCH($B86,'Challan Master'!$S$4:$S$207,0)),"")="",IFERROR(INDEX('Challan Master'!$D$4:$D$207,MATCH($B86,'Challan Master'!$S$4:$S$207,0)),"")&lt;=0),0,IF(IFERROR(INDEX('Challan Master'!$D$4:$D$207,MATCH($B86,'Challan Master'!$S$4:$S$207,0)),"")&lt;=DATE(YEAR(I86),MONTH(I86)+1,7),0,ROUND(K86*0.015*((YEAR(IFERROR(INDEX('Challan Master'!$D$4:$D$207,MATCH($B86,'Challan Master'!$S$4:$S$207,0)),""))-YEAR(I86))*12+(MONTH(IFERROR(INDEX('Challan Master'!$D$4:$D$207,MATCH($B86,'Challan Master'!$S$4:$S$207,0)),""))-MONTH(I86))+1),0))))</f>
      </c>
      <c r="O86" s="7">
        <f>IF($C86="","",0)</f>
      </c>
      <c r="P86" s="8"/>
      <c r="Q86" s="8"/>
      <c r="R86" s="8"/>
      <c r="S86" s="8"/>
      <c r="T86" s="8"/>
      <c r="U86" s="7">
        <f>IF($B86="","",IFERROR(INDEX('Challan Master'!$AA$4:$AA$207,MATCH($B86,'Challan Master'!$S$4:$S$207,0)),""))</f>
      </c>
    </row>
    <row r="87" spans="1:22" x14ac:dyDescent="0.25">
      <c r="A87" s="7">
        <f>IF($C87="","",COUNTIF($C$4:$C87,"&lt;&gt;"))</f>
      </c>
      <c r="B87" s="8"/>
      <c r="C87" s="8"/>
      <c r="D87" s="8"/>
      <c r="E87" s="7">
        <f>IF($C87="","",IF(AND(LEN(TRIM(UPPER(D87)))=10,CODE(MID(TRIM(UPPER(D87)),1,1))&gt;=65,CODE(MID(TRIM(UPPER(D87)),1,1))&lt;=90,CODE(MID(TRIM(UPPER(D87)),2,1))&gt;=65,CODE(MID(TRIM(UPPER(D87)),2,1))&lt;=90,CODE(MID(TRIM(UPPER(D87)),3,1))&gt;=65,CODE(MID(TRIM(UPPER(D87)),3,1))&lt;=90,CODE(MID(TRIM(UPPER(D87)),4,1))&gt;=65,CODE(MID(TRIM(UPPER(D87)),4,1))&lt;=90,CODE(MID(TRIM(UPPER(D87)),5,1))&gt;=65,CODE(MID(TRIM(UPPER(D87)),5,1))&lt;=90,CODE(MID(TRIM(UPPER(D87)),10,1))&gt;=65,CODE(MID(TRIM(UPPER(D87)),10,1))&lt;=90,CODE(MID(TRIM(UPPER(D87)),6,1))&gt;=48,CODE(MID(TRIM(UPPER(D87)),6,1))&lt;=57,CODE(MID(TRIM(UPPER(D87)),7,1))&gt;=48,CODE(MID(TRIM(UPPER(D87)),7,1))&lt;=57,CODE(MID(TRIM(UPPER(D87)),8,1))&gt;=48,CODE(MID(TRIM(UPPER(D87)),8,1))&lt;=57,CODE(MID(TRIM(UPPER(D87)),9,1))&gt;=48,CODE(MID(TRIM(UPPER(D87)),9,1))&lt;=57),"N","Y"))</f>
      </c>
      <c r="F87" s="7">
        <f>IF($C87="","",IF(LEN(D87)&lt;4,"",IF(UPPER(MID(D87,4,1))="P","Individual",IF(UPPER(MID(D87,4,1))="H","HUF",IF(UPPER(MID(D87,4,1))="C","Company",IF(UPPER(MID(D87,4,1))="F","Firm",IF(UPPER(MID(D87,4,1))="L","LLP",IF(UPPER(MID(D87,4,1))="T","Trust",IF(UPPER(MID(D87,4,1))="A","AOP","")))))))))</f>
      </c>
      <c r="G87" s="8"/>
      <c r="H87" s="7">
        <f>IF($C87="","",IF(R87&lt;&gt;"",R87,IF(G87="","",IF(E87="Y",SUMPRODUCT(('Rate Lookup'!$A$1:$A$37=G87)*'Rate Lookup'!$D$1:$D$37),IF(OR(F87="Individual",F87="HUF"),SUMPRODUCT(('Rate Lookup'!$A$1:$A$37=G87)*'Rate Lookup'!$B$1:$B$37),SUMPRODUCT(('Rate Lookup'!$A$1:$A$37=G87)*'Rate Lookup'!$C$1:$C$37)))))))</f>
      </c>
      <c r="I87" s="8"/>
      <c r="J87" s="8"/>
      <c r="K87" s="7">
        <f>IF($C87="","",IF(OR(P87="B",P87="D",P87="E",P87="N",P87="O",P87="P",P87="Q",P87="S",P87="Y",P87="Z"),0,ROUND(J87*H87/100,0)))</f>
      </c>
      <c r="L87" s="7">
        <f>IF($C87="","",0)</f>
      </c>
      <c r="M87" s="7">
        <f>IF($C87="","",0)</f>
      </c>
      <c r="N87" s="7">
        <f>IF($C87="","",IF(OR(K87=0,I87="",IFERROR(INDEX('Challan Master'!$D$4:$D$207,MATCH($B87,'Challan Master'!$S$4:$S$207,0)),"")="",IFERROR(INDEX('Challan Master'!$D$4:$D$207,MATCH($B87,'Challan Master'!$S$4:$S$207,0)),"")&lt;=0),0,IF(IFERROR(INDEX('Challan Master'!$D$4:$D$207,MATCH($B87,'Challan Master'!$S$4:$S$207,0)),"")&lt;=DATE(YEAR(I87),MONTH(I87)+1,7),0,ROUND(K87*0.015*((YEAR(IFERROR(INDEX('Challan Master'!$D$4:$D$207,MATCH($B87,'Challan Master'!$S$4:$S$207,0)),""))-YEAR(I87))*12+(MONTH(IFERROR(INDEX('Challan Master'!$D$4:$D$207,MATCH($B87,'Challan Master'!$S$4:$S$207,0)),""))-MONTH(I87))+1),0))))</f>
      </c>
      <c r="O87" s="7">
        <f>IF($C87="","",0)</f>
      </c>
      <c r="P87" s="8"/>
      <c r="Q87" s="8"/>
      <c r="R87" s="8"/>
      <c r="S87" s="8"/>
      <c r="T87" s="8"/>
      <c r="U87" s="7">
        <f>IF($B87="","",IFERROR(INDEX('Challan Master'!$AA$4:$AA$207,MATCH($B87,'Challan Master'!$S$4:$S$207,0)),""))</f>
      </c>
    </row>
    <row r="88" spans="1:22" x14ac:dyDescent="0.25">
      <c r="A88" s="7">
        <f>IF($C88="","",COUNTIF($C$4:$C88,"&lt;&gt;"))</f>
      </c>
      <c r="B88" s="8"/>
      <c r="C88" s="8"/>
      <c r="D88" s="8"/>
      <c r="E88" s="7">
        <f>IF($C88="","",IF(AND(LEN(TRIM(UPPER(D88)))=10,CODE(MID(TRIM(UPPER(D88)),1,1))&gt;=65,CODE(MID(TRIM(UPPER(D88)),1,1))&lt;=90,CODE(MID(TRIM(UPPER(D88)),2,1))&gt;=65,CODE(MID(TRIM(UPPER(D88)),2,1))&lt;=90,CODE(MID(TRIM(UPPER(D88)),3,1))&gt;=65,CODE(MID(TRIM(UPPER(D88)),3,1))&lt;=90,CODE(MID(TRIM(UPPER(D88)),4,1))&gt;=65,CODE(MID(TRIM(UPPER(D88)),4,1))&lt;=90,CODE(MID(TRIM(UPPER(D88)),5,1))&gt;=65,CODE(MID(TRIM(UPPER(D88)),5,1))&lt;=90,CODE(MID(TRIM(UPPER(D88)),10,1))&gt;=65,CODE(MID(TRIM(UPPER(D88)),10,1))&lt;=90,CODE(MID(TRIM(UPPER(D88)),6,1))&gt;=48,CODE(MID(TRIM(UPPER(D88)),6,1))&lt;=57,CODE(MID(TRIM(UPPER(D88)),7,1))&gt;=48,CODE(MID(TRIM(UPPER(D88)),7,1))&lt;=57,CODE(MID(TRIM(UPPER(D88)),8,1))&gt;=48,CODE(MID(TRIM(UPPER(D88)),8,1))&lt;=57,CODE(MID(TRIM(UPPER(D88)),9,1))&gt;=48,CODE(MID(TRIM(UPPER(D88)),9,1))&lt;=57),"N","Y"))</f>
      </c>
      <c r="F88" s="7">
        <f>IF($C88="","",IF(LEN(D88)&lt;4,"",IF(UPPER(MID(D88,4,1))="P","Individual",IF(UPPER(MID(D88,4,1))="H","HUF",IF(UPPER(MID(D88,4,1))="C","Company",IF(UPPER(MID(D88,4,1))="F","Firm",IF(UPPER(MID(D88,4,1))="L","LLP",IF(UPPER(MID(D88,4,1))="T","Trust",IF(UPPER(MID(D88,4,1))="A","AOP","")))))))))</f>
      </c>
      <c r="G88" s="8"/>
      <c r="H88" s="7">
        <f>IF($C88="","",IF(R88&lt;&gt;"",R88,IF(G88="","",IF(E88="Y",SUMPRODUCT(('Rate Lookup'!$A$1:$A$37=G88)*'Rate Lookup'!$D$1:$D$37),IF(OR(F88="Individual",F88="HUF"),SUMPRODUCT(('Rate Lookup'!$A$1:$A$37=G88)*'Rate Lookup'!$B$1:$B$37),SUMPRODUCT(('Rate Lookup'!$A$1:$A$37=G88)*'Rate Lookup'!$C$1:$C$37)))))))</f>
      </c>
      <c r="I88" s="8"/>
      <c r="J88" s="8"/>
      <c r="K88" s="7">
        <f>IF($C88="","",IF(OR(P88="B",P88="D",P88="E",P88="N",P88="O",P88="P",P88="Q",P88="S",P88="Y",P88="Z"),0,ROUND(J88*H88/100,0)))</f>
      </c>
      <c r="L88" s="7">
        <f>IF($C88="","",0)</f>
      </c>
      <c r="M88" s="7">
        <f>IF($C88="","",0)</f>
      </c>
      <c r="N88" s="7">
        <f>IF($C88="","",IF(OR(K88=0,I88="",IFERROR(INDEX('Challan Master'!$D$4:$D$207,MATCH($B88,'Challan Master'!$S$4:$S$207,0)),"")="",IFERROR(INDEX('Challan Master'!$D$4:$D$207,MATCH($B88,'Challan Master'!$S$4:$S$207,0)),"")&lt;=0),0,IF(IFERROR(INDEX('Challan Master'!$D$4:$D$207,MATCH($B88,'Challan Master'!$S$4:$S$207,0)),"")&lt;=DATE(YEAR(I88),MONTH(I88)+1,7),0,ROUND(K88*0.015*((YEAR(IFERROR(INDEX('Challan Master'!$D$4:$D$207,MATCH($B88,'Challan Master'!$S$4:$S$207,0)),""))-YEAR(I88))*12+(MONTH(IFERROR(INDEX('Challan Master'!$D$4:$D$207,MATCH($B88,'Challan Master'!$S$4:$S$207,0)),""))-MONTH(I88))+1),0))))</f>
      </c>
      <c r="O88" s="7">
        <f>IF($C88="","",0)</f>
      </c>
      <c r="P88" s="8"/>
      <c r="Q88" s="8"/>
      <c r="R88" s="8"/>
      <c r="S88" s="8"/>
      <c r="T88" s="8"/>
      <c r="U88" s="7">
        <f>IF($B88="","",IFERROR(INDEX('Challan Master'!$AA$4:$AA$207,MATCH($B88,'Challan Master'!$S$4:$S$207,0)),""))</f>
      </c>
    </row>
    <row r="89" spans="1:22" x14ac:dyDescent="0.25">
      <c r="A89" s="7">
        <f>IF($C89="","",COUNTIF($C$4:$C89,"&lt;&gt;"))</f>
      </c>
      <c r="B89" s="8"/>
      <c r="C89" s="8"/>
      <c r="D89" s="8"/>
      <c r="E89" s="7">
        <f>IF($C89="","",IF(AND(LEN(TRIM(UPPER(D89)))=10,CODE(MID(TRIM(UPPER(D89)),1,1))&gt;=65,CODE(MID(TRIM(UPPER(D89)),1,1))&lt;=90,CODE(MID(TRIM(UPPER(D89)),2,1))&gt;=65,CODE(MID(TRIM(UPPER(D89)),2,1))&lt;=90,CODE(MID(TRIM(UPPER(D89)),3,1))&gt;=65,CODE(MID(TRIM(UPPER(D89)),3,1))&lt;=90,CODE(MID(TRIM(UPPER(D89)),4,1))&gt;=65,CODE(MID(TRIM(UPPER(D89)),4,1))&lt;=90,CODE(MID(TRIM(UPPER(D89)),5,1))&gt;=65,CODE(MID(TRIM(UPPER(D89)),5,1))&lt;=90,CODE(MID(TRIM(UPPER(D89)),10,1))&gt;=65,CODE(MID(TRIM(UPPER(D89)),10,1))&lt;=90,CODE(MID(TRIM(UPPER(D89)),6,1))&gt;=48,CODE(MID(TRIM(UPPER(D89)),6,1))&lt;=57,CODE(MID(TRIM(UPPER(D89)),7,1))&gt;=48,CODE(MID(TRIM(UPPER(D89)),7,1))&lt;=57,CODE(MID(TRIM(UPPER(D89)),8,1))&gt;=48,CODE(MID(TRIM(UPPER(D89)),8,1))&lt;=57,CODE(MID(TRIM(UPPER(D89)),9,1))&gt;=48,CODE(MID(TRIM(UPPER(D89)),9,1))&lt;=57),"N","Y"))</f>
      </c>
      <c r="F89" s="7">
        <f>IF($C89="","",IF(LEN(D89)&lt;4,"",IF(UPPER(MID(D89,4,1))="P","Individual",IF(UPPER(MID(D89,4,1))="H","HUF",IF(UPPER(MID(D89,4,1))="C","Company",IF(UPPER(MID(D89,4,1))="F","Firm",IF(UPPER(MID(D89,4,1))="L","LLP",IF(UPPER(MID(D89,4,1))="T","Trust",IF(UPPER(MID(D89,4,1))="A","AOP","")))))))))</f>
      </c>
      <c r="G89" s="8"/>
      <c r="H89" s="7">
        <f>IF($C89="","",IF(R89&lt;&gt;"",R89,IF(G89="","",IF(E89="Y",SUMPRODUCT(('Rate Lookup'!$A$1:$A$37=G89)*'Rate Lookup'!$D$1:$D$37),IF(OR(F89="Individual",F89="HUF"),SUMPRODUCT(('Rate Lookup'!$A$1:$A$37=G89)*'Rate Lookup'!$B$1:$B$37),SUMPRODUCT(('Rate Lookup'!$A$1:$A$37=G89)*'Rate Lookup'!$C$1:$C$37)))))))</f>
      </c>
      <c r="I89" s="8"/>
      <c r="J89" s="8"/>
      <c r="K89" s="7">
        <f>IF($C89="","",IF(OR(P89="B",P89="D",P89="E",P89="N",P89="O",P89="P",P89="Q",P89="S",P89="Y",P89="Z"),0,ROUND(J89*H89/100,0)))</f>
      </c>
      <c r="L89" s="7">
        <f>IF($C89="","",0)</f>
      </c>
      <c r="M89" s="7">
        <f>IF($C89="","",0)</f>
      </c>
      <c r="N89" s="7">
        <f>IF($C89="","",IF(OR(K89=0,I89="",IFERROR(INDEX('Challan Master'!$D$4:$D$207,MATCH($B89,'Challan Master'!$S$4:$S$207,0)),"")="",IFERROR(INDEX('Challan Master'!$D$4:$D$207,MATCH($B89,'Challan Master'!$S$4:$S$207,0)),"")&lt;=0),0,IF(IFERROR(INDEX('Challan Master'!$D$4:$D$207,MATCH($B89,'Challan Master'!$S$4:$S$207,0)),"")&lt;=DATE(YEAR(I89),MONTH(I89)+1,7),0,ROUND(K89*0.015*((YEAR(IFERROR(INDEX('Challan Master'!$D$4:$D$207,MATCH($B89,'Challan Master'!$S$4:$S$207,0)),""))-YEAR(I89))*12+(MONTH(IFERROR(INDEX('Challan Master'!$D$4:$D$207,MATCH($B89,'Challan Master'!$S$4:$S$207,0)),""))-MONTH(I89))+1),0))))</f>
      </c>
      <c r="O89" s="7">
        <f>IF($C89="","",0)</f>
      </c>
      <c r="P89" s="8"/>
      <c r="Q89" s="8"/>
      <c r="R89" s="8"/>
      <c r="S89" s="8"/>
      <c r="T89" s="8"/>
      <c r="U89" s="7">
        <f>IF($B89="","",IFERROR(INDEX('Challan Master'!$AA$4:$AA$207,MATCH($B89,'Challan Master'!$S$4:$S$207,0)),""))</f>
      </c>
    </row>
    <row r="90" spans="1:22" x14ac:dyDescent="0.25">
      <c r="A90" s="7">
        <f>IF($C90="","",COUNTIF($C$4:$C90,"&lt;&gt;"))</f>
      </c>
      <c r="B90" s="8"/>
      <c r="C90" s="8"/>
      <c r="D90" s="8"/>
      <c r="E90" s="7">
        <f>IF($C90="","",IF(AND(LEN(TRIM(UPPER(D90)))=10,CODE(MID(TRIM(UPPER(D90)),1,1))&gt;=65,CODE(MID(TRIM(UPPER(D90)),1,1))&lt;=90,CODE(MID(TRIM(UPPER(D90)),2,1))&gt;=65,CODE(MID(TRIM(UPPER(D90)),2,1))&lt;=90,CODE(MID(TRIM(UPPER(D90)),3,1))&gt;=65,CODE(MID(TRIM(UPPER(D90)),3,1))&lt;=90,CODE(MID(TRIM(UPPER(D90)),4,1))&gt;=65,CODE(MID(TRIM(UPPER(D90)),4,1))&lt;=90,CODE(MID(TRIM(UPPER(D90)),5,1))&gt;=65,CODE(MID(TRIM(UPPER(D90)),5,1))&lt;=90,CODE(MID(TRIM(UPPER(D90)),10,1))&gt;=65,CODE(MID(TRIM(UPPER(D90)),10,1))&lt;=90,CODE(MID(TRIM(UPPER(D90)),6,1))&gt;=48,CODE(MID(TRIM(UPPER(D90)),6,1))&lt;=57,CODE(MID(TRIM(UPPER(D90)),7,1))&gt;=48,CODE(MID(TRIM(UPPER(D90)),7,1))&lt;=57,CODE(MID(TRIM(UPPER(D90)),8,1))&gt;=48,CODE(MID(TRIM(UPPER(D90)),8,1))&lt;=57,CODE(MID(TRIM(UPPER(D90)),9,1))&gt;=48,CODE(MID(TRIM(UPPER(D90)),9,1))&lt;=57),"N","Y"))</f>
      </c>
      <c r="F90" s="7">
        <f>IF($C90="","",IF(LEN(D90)&lt;4,"",IF(UPPER(MID(D90,4,1))="P","Individual",IF(UPPER(MID(D90,4,1))="H","HUF",IF(UPPER(MID(D90,4,1))="C","Company",IF(UPPER(MID(D90,4,1))="F","Firm",IF(UPPER(MID(D90,4,1))="L","LLP",IF(UPPER(MID(D90,4,1))="T","Trust",IF(UPPER(MID(D90,4,1))="A","AOP","")))))))))</f>
      </c>
      <c r="G90" s="8"/>
      <c r="H90" s="7">
        <f>IF($C90="","",IF(R90&lt;&gt;"",R90,IF(G90="","",IF(E90="Y",SUMPRODUCT(('Rate Lookup'!$A$1:$A$37=G90)*'Rate Lookup'!$D$1:$D$37),IF(OR(F90="Individual",F90="HUF"),SUMPRODUCT(('Rate Lookup'!$A$1:$A$37=G90)*'Rate Lookup'!$B$1:$B$37),SUMPRODUCT(('Rate Lookup'!$A$1:$A$37=G90)*'Rate Lookup'!$C$1:$C$37)))))))</f>
      </c>
      <c r="I90" s="8"/>
      <c r="J90" s="8"/>
      <c r="K90" s="7">
        <f>IF($C90="","",IF(OR(P90="B",P90="D",P90="E",P90="N",P90="O",P90="P",P90="Q",P90="S",P90="Y",P90="Z"),0,ROUND(J90*H90/100,0)))</f>
      </c>
      <c r="L90" s="7">
        <f>IF($C90="","",0)</f>
      </c>
      <c r="M90" s="7">
        <f>IF($C90="","",0)</f>
      </c>
      <c r="N90" s="7">
        <f>IF($C90="","",IF(OR(K90=0,I90="",IFERROR(INDEX('Challan Master'!$D$4:$D$207,MATCH($B90,'Challan Master'!$S$4:$S$207,0)),"")="",IFERROR(INDEX('Challan Master'!$D$4:$D$207,MATCH($B90,'Challan Master'!$S$4:$S$207,0)),"")&lt;=0),0,IF(IFERROR(INDEX('Challan Master'!$D$4:$D$207,MATCH($B90,'Challan Master'!$S$4:$S$207,0)),"")&lt;=DATE(YEAR(I90),MONTH(I90)+1,7),0,ROUND(K90*0.015*((YEAR(IFERROR(INDEX('Challan Master'!$D$4:$D$207,MATCH($B90,'Challan Master'!$S$4:$S$207,0)),""))-YEAR(I90))*12+(MONTH(IFERROR(INDEX('Challan Master'!$D$4:$D$207,MATCH($B90,'Challan Master'!$S$4:$S$207,0)),""))-MONTH(I90))+1),0))))</f>
      </c>
      <c r="O90" s="7">
        <f>IF($C90="","",0)</f>
      </c>
      <c r="P90" s="8"/>
      <c r="Q90" s="8"/>
      <c r="R90" s="8"/>
      <c r="S90" s="8"/>
      <c r="T90" s="8"/>
      <c r="U90" s="7">
        <f>IF($B90="","",IFERROR(INDEX('Challan Master'!$AA$4:$AA$207,MATCH($B90,'Challan Master'!$S$4:$S$207,0)),""))</f>
      </c>
    </row>
    <row r="91" spans="1:22" x14ac:dyDescent="0.25">
      <c r="A91" s="7">
        <f>IF($C91="","",COUNTIF($C$4:$C91,"&lt;&gt;"))</f>
      </c>
      <c r="B91" s="8"/>
      <c r="C91" s="8"/>
      <c r="D91" s="8"/>
      <c r="E91" s="7">
        <f>IF($C91="","",IF(AND(LEN(TRIM(UPPER(D91)))=10,CODE(MID(TRIM(UPPER(D91)),1,1))&gt;=65,CODE(MID(TRIM(UPPER(D91)),1,1))&lt;=90,CODE(MID(TRIM(UPPER(D91)),2,1))&gt;=65,CODE(MID(TRIM(UPPER(D91)),2,1))&lt;=90,CODE(MID(TRIM(UPPER(D91)),3,1))&gt;=65,CODE(MID(TRIM(UPPER(D91)),3,1))&lt;=90,CODE(MID(TRIM(UPPER(D91)),4,1))&gt;=65,CODE(MID(TRIM(UPPER(D91)),4,1))&lt;=90,CODE(MID(TRIM(UPPER(D91)),5,1))&gt;=65,CODE(MID(TRIM(UPPER(D91)),5,1))&lt;=90,CODE(MID(TRIM(UPPER(D91)),10,1))&gt;=65,CODE(MID(TRIM(UPPER(D91)),10,1))&lt;=90,CODE(MID(TRIM(UPPER(D91)),6,1))&gt;=48,CODE(MID(TRIM(UPPER(D91)),6,1))&lt;=57,CODE(MID(TRIM(UPPER(D91)),7,1))&gt;=48,CODE(MID(TRIM(UPPER(D91)),7,1))&lt;=57,CODE(MID(TRIM(UPPER(D91)),8,1))&gt;=48,CODE(MID(TRIM(UPPER(D91)),8,1))&lt;=57,CODE(MID(TRIM(UPPER(D91)),9,1))&gt;=48,CODE(MID(TRIM(UPPER(D91)),9,1))&lt;=57),"N","Y"))</f>
      </c>
      <c r="F91" s="7">
        <f>IF($C91="","",IF(LEN(D91)&lt;4,"",IF(UPPER(MID(D91,4,1))="P","Individual",IF(UPPER(MID(D91,4,1))="H","HUF",IF(UPPER(MID(D91,4,1))="C","Company",IF(UPPER(MID(D91,4,1))="F","Firm",IF(UPPER(MID(D91,4,1))="L","LLP",IF(UPPER(MID(D91,4,1))="T","Trust",IF(UPPER(MID(D91,4,1))="A","AOP","")))))))))</f>
      </c>
      <c r="G91" s="8"/>
      <c r="H91" s="7">
        <f>IF($C91="","",IF(R91&lt;&gt;"",R91,IF(G91="","",IF(E91="Y",SUMPRODUCT(('Rate Lookup'!$A$1:$A$37=G91)*'Rate Lookup'!$D$1:$D$37),IF(OR(F91="Individual",F91="HUF"),SUMPRODUCT(('Rate Lookup'!$A$1:$A$37=G91)*'Rate Lookup'!$B$1:$B$37),SUMPRODUCT(('Rate Lookup'!$A$1:$A$37=G91)*'Rate Lookup'!$C$1:$C$37)))))))</f>
      </c>
      <c r="I91" s="8"/>
      <c r="J91" s="8"/>
      <c r="K91" s="7">
        <f>IF($C91="","",IF(OR(P91="B",P91="D",P91="E",P91="N",P91="O",P91="P",P91="Q",P91="S",P91="Y",P91="Z"),0,ROUND(J91*H91/100,0)))</f>
      </c>
      <c r="L91" s="7">
        <f>IF($C91="","",0)</f>
      </c>
      <c r="M91" s="7">
        <f>IF($C91="","",0)</f>
      </c>
      <c r="N91" s="7">
        <f>IF($C91="","",IF(OR(K91=0,I91="",IFERROR(INDEX('Challan Master'!$D$4:$D$207,MATCH($B91,'Challan Master'!$S$4:$S$207,0)),"")="",IFERROR(INDEX('Challan Master'!$D$4:$D$207,MATCH($B91,'Challan Master'!$S$4:$S$207,0)),"")&lt;=0),0,IF(IFERROR(INDEX('Challan Master'!$D$4:$D$207,MATCH($B91,'Challan Master'!$S$4:$S$207,0)),"")&lt;=DATE(YEAR(I91),MONTH(I91)+1,7),0,ROUND(K91*0.015*((YEAR(IFERROR(INDEX('Challan Master'!$D$4:$D$207,MATCH($B91,'Challan Master'!$S$4:$S$207,0)),""))-YEAR(I91))*12+(MONTH(IFERROR(INDEX('Challan Master'!$D$4:$D$207,MATCH($B91,'Challan Master'!$S$4:$S$207,0)),""))-MONTH(I91))+1),0))))</f>
      </c>
      <c r="O91" s="7">
        <f>IF($C91="","",0)</f>
      </c>
      <c r="P91" s="8"/>
      <c r="Q91" s="8"/>
      <c r="R91" s="8"/>
      <c r="S91" s="8"/>
      <c r="T91" s="8"/>
      <c r="U91" s="7">
        <f>IF($B91="","",IFERROR(INDEX('Challan Master'!$AA$4:$AA$207,MATCH($B91,'Challan Master'!$S$4:$S$207,0)),""))</f>
      </c>
    </row>
    <row r="92" spans="1:22" x14ac:dyDescent="0.25">
      <c r="A92" s="7">
        <f>IF($C92="","",COUNTIF($C$4:$C92,"&lt;&gt;"))</f>
      </c>
      <c r="B92" s="8"/>
      <c r="C92" s="8"/>
      <c r="D92" s="8"/>
      <c r="E92" s="7">
        <f>IF($C92="","",IF(AND(LEN(TRIM(UPPER(D92)))=10,CODE(MID(TRIM(UPPER(D92)),1,1))&gt;=65,CODE(MID(TRIM(UPPER(D92)),1,1))&lt;=90,CODE(MID(TRIM(UPPER(D92)),2,1))&gt;=65,CODE(MID(TRIM(UPPER(D92)),2,1))&lt;=90,CODE(MID(TRIM(UPPER(D92)),3,1))&gt;=65,CODE(MID(TRIM(UPPER(D92)),3,1))&lt;=90,CODE(MID(TRIM(UPPER(D92)),4,1))&gt;=65,CODE(MID(TRIM(UPPER(D92)),4,1))&lt;=90,CODE(MID(TRIM(UPPER(D92)),5,1))&gt;=65,CODE(MID(TRIM(UPPER(D92)),5,1))&lt;=90,CODE(MID(TRIM(UPPER(D92)),10,1))&gt;=65,CODE(MID(TRIM(UPPER(D92)),10,1))&lt;=90,CODE(MID(TRIM(UPPER(D92)),6,1))&gt;=48,CODE(MID(TRIM(UPPER(D92)),6,1))&lt;=57,CODE(MID(TRIM(UPPER(D92)),7,1))&gt;=48,CODE(MID(TRIM(UPPER(D92)),7,1))&lt;=57,CODE(MID(TRIM(UPPER(D92)),8,1))&gt;=48,CODE(MID(TRIM(UPPER(D92)),8,1))&lt;=57,CODE(MID(TRIM(UPPER(D92)),9,1))&gt;=48,CODE(MID(TRIM(UPPER(D92)),9,1))&lt;=57),"N","Y"))</f>
      </c>
      <c r="F92" s="7">
        <f>IF($C92="","",IF(LEN(D92)&lt;4,"",IF(UPPER(MID(D92,4,1))="P","Individual",IF(UPPER(MID(D92,4,1))="H","HUF",IF(UPPER(MID(D92,4,1))="C","Company",IF(UPPER(MID(D92,4,1))="F","Firm",IF(UPPER(MID(D92,4,1))="L","LLP",IF(UPPER(MID(D92,4,1))="T","Trust",IF(UPPER(MID(D92,4,1))="A","AOP","")))))))))</f>
      </c>
      <c r="G92" s="8"/>
      <c r="H92" s="7">
        <f>IF($C92="","",IF(R92&lt;&gt;"",R92,IF(G92="","",IF(E92="Y",SUMPRODUCT(('Rate Lookup'!$A$1:$A$37=G92)*'Rate Lookup'!$D$1:$D$37),IF(OR(F92="Individual",F92="HUF"),SUMPRODUCT(('Rate Lookup'!$A$1:$A$37=G92)*'Rate Lookup'!$B$1:$B$37),SUMPRODUCT(('Rate Lookup'!$A$1:$A$37=G92)*'Rate Lookup'!$C$1:$C$37)))))))</f>
      </c>
      <c r="I92" s="8"/>
      <c r="J92" s="8"/>
      <c r="K92" s="7">
        <f>IF($C92="","",IF(OR(P92="B",P92="D",P92="E",P92="N",P92="O",P92="P",P92="Q",P92="S",P92="Y",P92="Z"),0,ROUND(J92*H92/100,0)))</f>
      </c>
      <c r="L92" s="7">
        <f>IF($C92="","",0)</f>
      </c>
      <c r="M92" s="7">
        <f>IF($C92="","",0)</f>
      </c>
      <c r="N92" s="7">
        <f>IF($C92="","",IF(OR(K92=0,I92="",IFERROR(INDEX('Challan Master'!$D$4:$D$207,MATCH($B92,'Challan Master'!$S$4:$S$207,0)),"")="",IFERROR(INDEX('Challan Master'!$D$4:$D$207,MATCH($B92,'Challan Master'!$S$4:$S$207,0)),"")&lt;=0),0,IF(IFERROR(INDEX('Challan Master'!$D$4:$D$207,MATCH($B92,'Challan Master'!$S$4:$S$207,0)),"")&lt;=DATE(YEAR(I92),MONTH(I92)+1,7),0,ROUND(K92*0.015*((YEAR(IFERROR(INDEX('Challan Master'!$D$4:$D$207,MATCH($B92,'Challan Master'!$S$4:$S$207,0)),""))-YEAR(I92))*12+(MONTH(IFERROR(INDEX('Challan Master'!$D$4:$D$207,MATCH($B92,'Challan Master'!$S$4:$S$207,0)),""))-MONTH(I92))+1),0))))</f>
      </c>
      <c r="O92" s="7">
        <f>IF($C92="","",0)</f>
      </c>
      <c r="P92" s="8"/>
      <c r="Q92" s="8"/>
      <c r="R92" s="8"/>
      <c r="S92" s="8"/>
      <c r="T92" s="8"/>
      <c r="U92" s="7">
        <f>IF($B92="","",IFERROR(INDEX('Challan Master'!$AA$4:$AA$207,MATCH($B92,'Challan Master'!$S$4:$S$207,0)),""))</f>
      </c>
    </row>
    <row r="93" spans="1:22" x14ac:dyDescent="0.25">
      <c r="A93" s="7">
        <f>IF($C93="","",COUNTIF($C$4:$C93,"&lt;&gt;"))</f>
      </c>
      <c r="B93" s="8"/>
      <c r="C93" s="8"/>
      <c r="D93" s="8"/>
      <c r="E93" s="7">
        <f>IF($C93="","",IF(AND(LEN(TRIM(UPPER(D93)))=10,CODE(MID(TRIM(UPPER(D93)),1,1))&gt;=65,CODE(MID(TRIM(UPPER(D93)),1,1))&lt;=90,CODE(MID(TRIM(UPPER(D93)),2,1))&gt;=65,CODE(MID(TRIM(UPPER(D93)),2,1))&lt;=90,CODE(MID(TRIM(UPPER(D93)),3,1))&gt;=65,CODE(MID(TRIM(UPPER(D93)),3,1))&lt;=90,CODE(MID(TRIM(UPPER(D93)),4,1))&gt;=65,CODE(MID(TRIM(UPPER(D93)),4,1))&lt;=90,CODE(MID(TRIM(UPPER(D93)),5,1))&gt;=65,CODE(MID(TRIM(UPPER(D93)),5,1))&lt;=90,CODE(MID(TRIM(UPPER(D93)),10,1))&gt;=65,CODE(MID(TRIM(UPPER(D93)),10,1))&lt;=90,CODE(MID(TRIM(UPPER(D93)),6,1))&gt;=48,CODE(MID(TRIM(UPPER(D93)),6,1))&lt;=57,CODE(MID(TRIM(UPPER(D93)),7,1))&gt;=48,CODE(MID(TRIM(UPPER(D93)),7,1))&lt;=57,CODE(MID(TRIM(UPPER(D93)),8,1))&gt;=48,CODE(MID(TRIM(UPPER(D93)),8,1))&lt;=57,CODE(MID(TRIM(UPPER(D93)),9,1))&gt;=48,CODE(MID(TRIM(UPPER(D93)),9,1))&lt;=57),"N","Y"))</f>
      </c>
      <c r="F93" s="7">
        <f>IF($C93="","",IF(LEN(D93)&lt;4,"",IF(UPPER(MID(D93,4,1))="P","Individual",IF(UPPER(MID(D93,4,1))="H","HUF",IF(UPPER(MID(D93,4,1))="C","Company",IF(UPPER(MID(D93,4,1))="F","Firm",IF(UPPER(MID(D93,4,1))="L","LLP",IF(UPPER(MID(D93,4,1))="T","Trust",IF(UPPER(MID(D93,4,1))="A","AOP","")))))))))</f>
      </c>
      <c r="G93" s="8"/>
      <c r="H93" s="7">
        <f>IF($C93="","",IF(R93&lt;&gt;"",R93,IF(G93="","",IF(E93="Y",SUMPRODUCT(('Rate Lookup'!$A$1:$A$37=G93)*'Rate Lookup'!$D$1:$D$37),IF(OR(F93="Individual",F93="HUF"),SUMPRODUCT(('Rate Lookup'!$A$1:$A$37=G93)*'Rate Lookup'!$B$1:$B$37),SUMPRODUCT(('Rate Lookup'!$A$1:$A$37=G93)*'Rate Lookup'!$C$1:$C$37)))))))</f>
      </c>
      <c r="I93" s="8"/>
      <c r="J93" s="8"/>
      <c r="K93" s="7">
        <f>IF($C93="","",IF(OR(P93="B",P93="D",P93="E",P93="N",P93="O",P93="P",P93="Q",P93="S",P93="Y",P93="Z"),0,ROUND(J93*H93/100,0)))</f>
      </c>
      <c r="L93" s="7">
        <f>IF($C93="","",0)</f>
      </c>
      <c r="M93" s="7">
        <f>IF($C93="","",0)</f>
      </c>
      <c r="N93" s="7">
        <f>IF($C93="","",IF(OR(K93=0,I93="",IFERROR(INDEX('Challan Master'!$D$4:$D$207,MATCH($B93,'Challan Master'!$S$4:$S$207,0)),"")="",IFERROR(INDEX('Challan Master'!$D$4:$D$207,MATCH($B93,'Challan Master'!$S$4:$S$207,0)),"")&lt;=0),0,IF(IFERROR(INDEX('Challan Master'!$D$4:$D$207,MATCH($B93,'Challan Master'!$S$4:$S$207,0)),"")&lt;=DATE(YEAR(I93),MONTH(I93)+1,7),0,ROUND(K93*0.015*((YEAR(IFERROR(INDEX('Challan Master'!$D$4:$D$207,MATCH($B93,'Challan Master'!$S$4:$S$207,0)),""))-YEAR(I93))*12+(MONTH(IFERROR(INDEX('Challan Master'!$D$4:$D$207,MATCH($B93,'Challan Master'!$S$4:$S$207,0)),""))-MONTH(I93))+1),0))))</f>
      </c>
      <c r="O93" s="7">
        <f>IF($C93="","",0)</f>
      </c>
      <c r="P93" s="8"/>
      <c r="Q93" s="8"/>
      <c r="R93" s="8"/>
      <c r="S93" s="8"/>
      <c r="T93" s="8"/>
      <c r="U93" s="7">
        <f>IF($B93="","",IFERROR(INDEX('Challan Master'!$AA$4:$AA$207,MATCH($B93,'Challan Master'!$S$4:$S$207,0)),""))</f>
      </c>
    </row>
    <row r="94" spans="1:22" x14ac:dyDescent="0.25">
      <c r="A94" s="7">
        <f>IF($C94="","",COUNTIF($C$4:$C94,"&lt;&gt;"))</f>
      </c>
      <c r="B94" s="8"/>
      <c r="C94" s="8"/>
      <c r="D94" s="8"/>
      <c r="E94" s="7">
        <f>IF($C94="","",IF(AND(LEN(TRIM(UPPER(D94)))=10,CODE(MID(TRIM(UPPER(D94)),1,1))&gt;=65,CODE(MID(TRIM(UPPER(D94)),1,1))&lt;=90,CODE(MID(TRIM(UPPER(D94)),2,1))&gt;=65,CODE(MID(TRIM(UPPER(D94)),2,1))&lt;=90,CODE(MID(TRIM(UPPER(D94)),3,1))&gt;=65,CODE(MID(TRIM(UPPER(D94)),3,1))&lt;=90,CODE(MID(TRIM(UPPER(D94)),4,1))&gt;=65,CODE(MID(TRIM(UPPER(D94)),4,1))&lt;=90,CODE(MID(TRIM(UPPER(D94)),5,1))&gt;=65,CODE(MID(TRIM(UPPER(D94)),5,1))&lt;=90,CODE(MID(TRIM(UPPER(D94)),10,1))&gt;=65,CODE(MID(TRIM(UPPER(D94)),10,1))&lt;=90,CODE(MID(TRIM(UPPER(D94)),6,1))&gt;=48,CODE(MID(TRIM(UPPER(D94)),6,1))&lt;=57,CODE(MID(TRIM(UPPER(D94)),7,1))&gt;=48,CODE(MID(TRIM(UPPER(D94)),7,1))&lt;=57,CODE(MID(TRIM(UPPER(D94)),8,1))&gt;=48,CODE(MID(TRIM(UPPER(D94)),8,1))&lt;=57,CODE(MID(TRIM(UPPER(D94)),9,1))&gt;=48,CODE(MID(TRIM(UPPER(D94)),9,1))&lt;=57),"N","Y"))</f>
      </c>
      <c r="F94" s="7">
        <f>IF($C94="","",IF(LEN(D94)&lt;4,"",IF(UPPER(MID(D94,4,1))="P","Individual",IF(UPPER(MID(D94,4,1))="H","HUF",IF(UPPER(MID(D94,4,1))="C","Company",IF(UPPER(MID(D94,4,1))="F","Firm",IF(UPPER(MID(D94,4,1))="L","LLP",IF(UPPER(MID(D94,4,1))="T","Trust",IF(UPPER(MID(D94,4,1))="A","AOP","")))))))))</f>
      </c>
      <c r="G94" s="8"/>
      <c r="H94" s="7">
        <f>IF($C94="","",IF(R94&lt;&gt;"",R94,IF(G94="","",IF(E94="Y",SUMPRODUCT(('Rate Lookup'!$A$1:$A$37=G94)*'Rate Lookup'!$D$1:$D$37),IF(OR(F94="Individual",F94="HUF"),SUMPRODUCT(('Rate Lookup'!$A$1:$A$37=G94)*'Rate Lookup'!$B$1:$B$37),SUMPRODUCT(('Rate Lookup'!$A$1:$A$37=G94)*'Rate Lookup'!$C$1:$C$37)))))))</f>
      </c>
      <c r="I94" s="8"/>
      <c r="J94" s="8"/>
      <c r="K94" s="7">
        <f>IF($C94="","",IF(OR(P94="B",P94="D",P94="E",P94="N",P94="O",P94="P",P94="Q",P94="S",P94="Y",P94="Z"),0,ROUND(J94*H94/100,0)))</f>
      </c>
      <c r="L94" s="7">
        <f>IF($C94="","",0)</f>
      </c>
      <c r="M94" s="7">
        <f>IF($C94="","",0)</f>
      </c>
      <c r="N94" s="7">
        <f>IF($C94="","",IF(OR(K94=0,I94="",IFERROR(INDEX('Challan Master'!$D$4:$D$207,MATCH($B94,'Challan Master'!$S$4:$S$207,0)),"")="",IFERROR(INDEX('Challan Master'!$D$4:$D$207,MATCH($B94,'Challan Master'!$S$4:$S$207,0)),"")&lt;=0),0,IF(IFERROR(INDEX('Challan Master'!$D$4:$D$207,MATCH($B94,'Challan Master'!$S$4:$S$207,0)),"")&lt;=DATE(YEAR(I94),MONTH(I94)+1,7),0,ROUND(K94*0.015*((YEAR(IFERROR(INDEX('Challan Master'!$D$4:$D$207,MATCH($B94,'Challan Master'!$S$4:$S$207,0)),""))-YEAR(I94))*12+(MONTH(IFERROR(INDEX('Challan Master'!$D$4:$D$207,MATCH($B94,'Challan Master'!$S$4:$S$207,0)),""))-MONTH(I94))+1),0))))</f>
      </c>
      <c r="O94" s="7">
        <f>IF($C94="","",0)</f>
      </c>
      <c r="P94" s="8"/>
      <c r="Q94" s="8"/>
      <c r="R94" s="8"/>
      <c r="S94" s="8"/>
      <c r="T94" s="8"/>
      <c r="U94" s="7">
        <f>IF($B94="","",IFERROR(INDEX('Challan Master'!$AA$4:$AA$207,MATCH($B94,'Challan Master'!$S$4:$S$207,0)),""))</f>
      </c>
    </row>
    <row r="95" spans="1:22" x14ac:dyDescent="0.25">
      <c r="A95" s="7">
        <f>IF($C95="","",COUNTIF($C$4:$C95,"&lt;&gt;"))</f>
      </c>
      <c r="B95" s="8"/>
      <c r="C95" s="8"/>
      <c r="D95" s="8"/>
      <c r="E95" s="7">
        <f>IF($C95="","",IF(AND(LEN(TRIM(UPPER(D95)))=10,CODE(MID(TRIM(UPPER(D95)),1,1))&gt;=65,CODE(MID(TRIM(UPPER(D95)),1,1))&lt;=90,CODE(MID(TRIM(UPPER(D95)),2,1))&gt;=65,CODE(MID(TRIM(UPPER(D95)),2,1))&lt;=90,CODE(MID(TRIM(UPPER(D95)),3,1))&gt;=65,CODE(MID(TRIM(UPPER(D95)),3,1))&lt;=90,CODE(MID(TRIM(UPPER(D95)),4,1))&gt;=65,CODE(MID(TRIM(UPPER(D95)),4,1))&lt;=90,CODE(MID(TRIM(UPPER(D95)),5,1))&gt;=65,CODE(MID(TRIM(UPPER(D95)),5,1))&lt;=90,CODE(MID(TRIM(UPPER(D95)),10,1))&gt;=65,CODE(MID(TRIM(UPPER(D95)),10,1))&lt;=90,CODE(MID(TRIM(UPPER(D95)),6,1))&gt;=48,CODE(MID(TRIM(UPPER(D95)),6,1))&lt;=57,CODE(MID(TRIM(UPPER(D95)),7,1))&gt;=48,CODE(MID(TRIM(UPPER(D95)),7,1))&lt;=57,CODE(MID(TRIM(UPPER(D95)),8,1))&gt;=48,CODE(MID(TRIM(UPPER(D95)),8,1))&lt;=57,CODE(MID(TRIM(UPPER(D95)),9,1))&gt;=48,CODE(MID(TRIM(UPPER(D95)),9,1))&lt;=57),"N","Y"))</f>
      </c>
      <c r="F95" s="7">
        <f>IF($C95="","",IF(LEN(D95)&lt;4,"",IF(UPPER(MID(D95,4,1))="P","Individual",IF(UPPER(MID(D95,4,1))="H","HUF",IF(UPPER(MID(D95,4,1))="C","Company",IF(UPPER(MID(D95,4,1))="F","Firm",IF(UPPER(MID(D95,4,1))="L","LLP",IF(UPPER(MID(D95,4,1))="T","Trust",IF(UPPER(MID(D95,4,1))="A","AOP","")))))))))</f>
      </c>
      <c r="G95" s="8"/>
      <c r="H95" s="7">
        <f>IF($C95="","",IF(R95&lt;&gt;"",R95,IF(G95="","",IF(E95="Y",SUMPRODUCT(('Rate Lookup'!$A$1:$A$37=G95)*'Rate Lookup'!$D$1:$D$37),IF(OR(F95="Individual",F95="HUF"),SUMPRODUCT(('Rate Lookup'!$A$1:$A$37=G95)*'Rate Lookup'!$B$1:$B$37),SUMPRODUCT(('Rate Lookup'!$A$1:$A$37=G95)*'Rate Lookup'!$C$1:$C$37)))))))</f>
      </c>
      <c r="I95" s="8"/>
      <c r="J95" s="8"/>
      <c r="K95" s="7">
        <f>IF($C95="","",IF(OR(P95="B",P95="D",P95="E",P95="N",P95="O",P95="P",P95="Q",P95="S",P95="Y",P95="Z"),0,ROUND(J95*H95/100,0)))</f>
      </c>
      <c r="L95" s="7">
        <f>IF($C95="","",0)</f>
      </c>
      <c r="M95" s="7">
        <f>IF($C95="","",0)</f>
      </c>
      <c r="N95" s="7">
        <f>IF($C95="","",IF(OR(K95=0,I95="",IFERROR(INDEX('Challan Master'!$D$4:$D$207,MATCH($B95,'Challan Master'!$S$4:$S$207,0)),"")="",IFERROR(INDEX('Challan Master'!$D$4:$D$207,MATCH($B95,'Challan Master'!$S$4:$S$207,0)),"")&lt;=0),0,IF(IFERROR(INDEX('Challan Master'!$D$4:$D$207,MATCH($B95,'Challan Master'!$S$4:$S$207,0)),"")&lt;=DATE(YEAR(I95),MONTH(I95)+1,7),0,ROUND(K95*0.015*((YEAR(IFERROR(INDEX('Challan Master'!$D$4:$D$207,MATCH($B95,'Challan Master'!$S$4:$S$207,0)),""))-YEAR(I95))*12+(MONTH(IFERROR(INDEX('Challan Master'!$D$4:$D$207,MATCH($B95,'Challan Master'!$S$4:$S$207,0)),""))-MONTH(I95))+1),0))))</f>
      </c>
      <c r="O95" s="7">
        <f>IF($C95="","",0)</f>
      </c>
      <c r="P95" s="8"/>
      <c r="Q95" s="8"/>
      <c r="R95" s="8"/>
      <c r="S95" s="8"/>
      <c r="T95" s="8"/>
      <c r="U95" s="7">
        <f>IF($B95="","",IFERROR(INDEX('Challan Master'!$AA$4:$AA$207,MATCH($B95,'Challan Master'!$S$4:$S$207,0)),""))</f>
      </c>
    </row>
    <row r="96" spans="1:22" x14ac:dyDescent="0.25">
      <c r="A96" s="7">
        <f>IF($C96="","",COUNTIF($C$4:$C96,"&lt;&gt;"))</f>
      </c>
      <c r="B96" s="8"/>
      <c r="C96" s="8"/>
      <c r="D96" s="8"/>
      <c r="E96" s="7">
        <f>IF($C96="","",IF(AND(LEN(TRIM(UPPER(D96)))=10,CODE(MID(TRIM(UPPER(D96)),1,1))&gt;=65,CODE(MID(TRIM(UPPER(D96)),1,1))&lt;=90,CODE(MID(TRIM(UPPER(D96)),2,1))&gt;=65,CODE(MID(TRIM(UPPER(D96)),2,1))&lt;=90,CODE(MID(TRIM(UPPER(D96)),3,1))&gt;=65,CODE(MID(TRIM(UPPER(D96)),3,1))&lt;=90,CODE(MID(TRIM(UPPER(D96)),4,1))&gt;=65,CODE(MID(TRIM(UPPER(D96)),4,1))&lt;=90,CODE(MID(TRIM(UPPER(D96)),5,1))&gt;=65,CODE(MID(TRIM(UPPER(D96)),5,1))&lt;=90,CODE(MID(TRIM(UPPER(D96)),10,1))&gt;=65,CODE(MID(TRIM(UPPER(D96)),10,1))&lt;=90,CODE(MID(TRIM(UPPER(D96)),6,1))&gt;=48,CODE(MID(TRIM(UPPER(D96)),6,1))&lt;=57,CODE(MID(TRIM(UPPER(D96)),7,1))&gt;=48,CODE(MID(TRIM(UPPER(D96)),7,1))&lt;=57,CODE(MID(TRIM(UPPER(D96)),8,1))&gt;=48,CODE(MID(TRIM(UPPER(D96)),8,1))&lt;=57,CODE(MID(TRIM(UPPER(D96)),9,1))&gt;=48,CODE(MID(TRIM(UPPER(D96)),9,1))&lt;=57),"N","Y"))</f>
      </c>
      <c r="F96" s="7">
        <f>IF($C96="","",IF(LEN(D96)&lt;4,"",IF(UPPER(MID(D96,4,1))="P","Individual",IF(UPPER(MID(D96,4,1))="H","HUF",IF(UPPER(MID(D96,4,1))="C","Company",IF(UPPER(MID(D96,4,1))="F","Firm",IF(UPPER(MID(D96,4,1))="L","LLP",IF(UPPER(MID(D96,4,1))="T","Trust",IF(UPPER(MID(D96,4,1))="A","AOP","")))))))))</f>
      </c>
      <c r="G96" s="8"/>
      <c r="H96" s="7">
        <f>IF($C96="","",IF(R96&lt;&gt;"",R96,IF(G96="","",IF(E96="Y",SUMPRODUCT(('Rate Lookup'!$A$1:$A$37=G96)*'Rate Lookup'!$D$1:$D$37),IF(OR(F96="Individual",F96="HUF"),SUMPRODUCT(('Rate Lookup'!$A$1:$A$37=G96)*'Rate Lookup'!$B$1:$B$37),SUMPRODUCT(('Rate Lookup'!$A$1:$A$37=G96)*'Rate Lookup'!$C$1:$C$37)))))))</f>
      </c>
      <c r="I96" s="8"/>
      <c r="J96" s="8"/>
      <c r="K96" s="7">
        <f>IF($C96="","",IF(OR(P96="B",P96="D",P96="E",P96="N",P96="O",P96="P",P96="Q",P96="S",P96="Y",P96="Z"),0,ROUND(J96*H96/100,0)))</f>
      </c>
      <c r="L96" s="7">
        <f>IF($C96="","",0)</f>
      </c>
      <c r="M96" s="7">
        <f>IF($C96="","",0)</f>
      </c>
      <c r="N96" s="7">
        <f>IF($C96="","",IF(OR(K96=0,I96="",IFERROR(INDEX('Challan Master'!$D$4:$D$207,MATCH($B96,'Challan Master'!$S$4:$S$207,0)),"")="",IFERROR(INDEX('Challan Master'!$D$4:$D$207,MATCH($B96,'Challan Master'!$S$4:$S$207,0)),"")&lt;=0),0,IF(IFERROR(INDEX('Challan Master'!$D$4:$D$207,MATCH($B96,'Challan Master'!$S$4:$S$207,0)),"")&lt;=DATE(YEAR(I96),MONTH(I96)+1,7),0,ROUND(K96*0.015*((YEAR(IFERROR(INDEX('Challan Master'!$D$4:$D$207,MATCH($B96,'Challan Master'!$S$4:$S$207,0)),""))-YEAR(I96))*12+(MONTH(IFERROR(INDEX('Challan Master'!$D$4:$D$207,MATCH($B96,'Challan Master'!$S$4:$S$207,0)),""))-MONTH(I96))+1),0))))</f>
      </c>
      <c r="O96" s="7">
        <f>IF($C96="","",0)</f>
      </c>
      <c r="P96" s="8"/>
      <c r="Q96" s="8"/>
      <c r="R96" s="8"/>
      <c r="S96" s="8"/>
      <c r="T96" s="8"/>
      <c r="U96" s="7">
        <f>IF($B96="","",IFERROR(INDEX('Challan Master'!$AA$4:$AA$207,MATCH($B96,'Challan Master'!$S$4:$S$207,0)),""))</f>
      </c>
    </row>
    <row r="97" spans="1:22" x14ac:dyDescent="0.25">
      <c r="A97" s="7">
        <f>IF($C97="","",COUNTIF($C$4:$C97,"&lt;&gt;"))</f>
      </c>
      <c r="B97" s="8"/>
      <c r="C97" s="8"/>
      <c r="D97" s="8"/>
      <c r="E97" s="7">
        <f>IF($C97="","",IF(AND(LEN(TRIM(UPPER(D97)))=10,CODE(MID(TRIM(UPPER(D97)),1,1))&gt;=65,CODE(MID(TRIM(UPPER(D97)),1,1))&lt;=90,CODE(MID(TRIM(UPPER(D97)),2,1))&gt;=65,CODE(MID(TRIM(UPPER(D97)),2,1))&lt;=90,CODE(MID(TRIM(UPPER(D97)),3,1))&gt;=65,CODE(MID(TRIM(UPPER(D97)),3,1))&lt;=90,CODE(MID(TRIM(UPPER(D97)),4,1))&gt;=65,CODE(MID(TRIM(UPPER(D97)),4,1))&lt;=90,CODE(MID(TRIM(UPPER(D97)),5,1))&gt;=65,CODE(MID(TRIM(UPPER(D97)),5,1))&lt;=90,CODE(MID(TRIM(UPPER(D97)),10,1))&gt;=65,CODE(MID(TRIM(UPPER(D97)),10,1))&lt;=90,CODE(MID(TRIM(UPPER(D97)),6,1))&gt;=48,CODE(MID(TRIM(UPPER(D97)),6,1))&lt;=57,CODE(MID(TRIM(UPPER(D97)),7,1))&gt;=48,CODE(MID(TRIM(UPPER(D97)),7,1))&lt;=57,CODE(MID(TRIM(UPPER(D97)),8,1))&gt;=48,CODE(MID(TRIM(UPPER(D97)),8,1))&lt;=57,CODE(MID(TRIM(UPPER(D97)),9,1))&gt;=48,CODE(MID(TRIM(UPPER(D97)),9,1))&lt;=57),"N","Y"))</f>
      </c>
      <c r="F97" s="7">
        <f>IF($C97="","",IF(LEN(D97)&lt;4,"",IF(UPPER(MID(D97,4,1))="P","Individual",IF(UPPER(MID(D97,4,1))="H","HUF",IF(UPPER(MID(D97,4,1))="C","Company",IF(UPPER(MID(D97,4,1))="F","Firm",IF(UPPER(MID(D97,4,1))="L","LLP",IF(UPPER(MID(D97,4,1))="T","Trust",IF(UPPER(MID(D97,4,1))="A","AOP","")))))))))</f>
      </c>
      <c r="G97" s="8"/>
      <c r="H97" s="7">
        <f>IF($C97="","",IF(R97&lt;&gt;"",R97,IF(G97="","",IF(E97="Y",SUMPRODUCT(('Rate Lookup'!$A$1:$A$37=G97)*'Rate Lookup'!$D$1:$D$37),IF(OR(F97="Individual",F97="HUF"),SUMPRODUCT(('Rate Lookup'!$A$1:$A$37=G97)*'Rate Lookup'!$B$1:$B$37),SUMPRODUCT(('Rate Lookup'!$A$1:$A$37=G97)*'Rate Lookup'!$C$1:$C$37)))))))</f>
      </c>
      <c r="I97" s="8"/>
      <c r="J97" s="8"/>
      <c r="K97" s="7">
        <f>IF($C97="","",IF(OR(P97="B",P97="D",P97="E",P97="N",P97="O",P97="P",P97="Q",P97="S",P97="Y",P97="Z"),0,ROUND(J97*H97/100,0)))</f>
      </c>
      <c r="L97" s="7">
        <f>IF($C97="","",0)</f>
      </c>
      <c r="M97" s="7">
        <f>IF($C97="","",0)</f>
      </c>
      <c r="N97" s="7">
        <f>IF($C97="","",IF(OR(K97=0,I97="",IFERROR(INDEX('Challan Master'!$D$4:$D$207,MATCH($B97,'Challan Master'!$S$4:$S$207,0)),"")="",IFERROR(INDEX('Challan Master'!$D$4:$D$207,MATCH($B97,'Challan Master'!$S$4:$S$207,0)),"")&lt;=0),0,IF(IFERROR(INDEX('Challan Master'!$D$4:$D$207,MATCH($B97,'Challan Master'!$S$4:$S$207,0)),"")&lt;=DATE(YEAR(I97),MONTH(I97)+1,7),0,ROUND(K97*0.015*((YEAR(IFERROR(INDEX('Challan Master'!$D$4:$D$207,MATCH($B97,'Challan Master'!$S$4:$S$207,0)),""))-YEAR(I97))*12+(MONTH(IFERROR(INDEX('Challan Master'!$D$4:$D$207,MATCH($B97,'Challan Master'!$S$4:$S$207,0)),""))-MONTH(I97))+1),0))))</f>
      </c>
      <c r="O97" s="7">
        <f>IF($C97="","",0)</f>
      </c>
      <c r="P97" s="8"/>
      <c r="Q97" s="8"/>
      <c r="R97" s="8"/>
      <c r="S97" s="8"/>
      <c r="T97" s="8"/>
      <c r="U97" s="7">
        <f>IF($B97="","",IFERROR(INDEX('Challan Master'!$AA$4:$AA$207,MATCH($B97,'Challan Master'!$S$4:$S$207,0)),""))</f>
      </c>
    </row>
    <row r="98" spans="1:22" x14ac:dyDescent="0.25">
      <c r="A98" s="7">
        <f>IF($C98="","",COUNTIF($C$4:$C98,"&lt;&gt;"))</f>
      </c>
      <c r="B98" s="8"/>
      <c r="C98" s="8"/>
      <c r="D98" s="8"/>
      <c r="E98" s="7">
        <f>IF($C98="","",IF(AND(LEN(TRIM(UPPER(D98)))=10,CODE(MID(TRIM(UPPER(D98)),1,1))&gt;=65,CODE(MID(TRIM(UPPER(D98)),1,1))&lt;=90,CODE(MID(TRIM(UPPER(D98)),2,1))&gt;=65,CODE(MID(TRIM(UPPER(D98)),2,1))&lt;=90,CODE(MID(TRIM(UPPER(D98)),3,1))&gt;=65,CODE(MID(TRIM(UPPER(D98)),3,1))&lt;=90,CODE(MID(TRIM(UPPER(D98)),4,1))&gt;=65,CODE(MID(TRIM(UPPER(D98)),4,1))&lt;=90,CODE(MID(TRIM(UPPER(D98)),5,1))&gt;=65,CODE(MID(TRIM(UPPER(D98)),5,1))&lt;=90,CODE(MID(TRIM(UPPER(D98)),10,1))&gt;=65,CODE(MID(TRIM(UPPER(D98)),10,1))&lt;=90,CODE(MID(TRIM(UPPER(D98)),6,1))&gt;=48,CODE(MID(TRIM(UPPER(D98)),6,1))&lt;=57,CODE(MID(TRIM(UPPER(D98)),7,1))&gt;=48,CODE(MID(TRIM(UPPER(D98)),7,1))&lt;=57,CODE(MID(TRIM(UPPER(D98)),8,1))&gt;=48,CODE(MID(TRIM(UPPER(D98)),8,1))&lt;=57,CODE(MID(TRIM(UPPER(D98)),9,1))&gt;=48,CODE(MID(TRIM(UPPER(D98)),9,1))&lt;=57),"N","Y"))</f>
      </c>
      <c r="F98" s="7">
        <f>IF($C98="","",IF(LEN(D98)&lt;4,"",IF(UPPER(MID(D98,4,1))="P","Individual",IF(UPPER(MID(D98,4,1))="H","HUF",IF(UPPER(MID(D98,4,1))="C","Company",IF(UPPER(MID(D98,4,1))="F","Firm",IF(UPPER(MID(D98,4,1))="L","LLP",IF(UPPER(MID(D98,4,1))="T","Trust",IF(UPPER(MID(D98,4,1))="A","AOP","")))))))))</f>
      </c>
      <c r="G98" s="8"/>
      <c r="H98" s="7">
        <f>IF($C98="","",IF(R98&lt;&gt;"",R98,IF(G98="","",IF(E98="Y",SUMPRODUCT(('Rate Lookup'!$A$1:$A$37=G98)*'Rate Lookup'!$D$1:$D$37),IF(OR(F98="Individual",F98="HUF"),SUMPRODUCT(('Rate Lookup'!$A$1:$A$37=G98)*'Rate Lookup'!$B$1:$B$37),SUMPRODUCT(('Rate Lookup'!$A$1:$A$37=G98)*'Rate Lookup'!$C$1:$C$37)))))))</f>
      </c>
      <c r="I98" s="8"/>
      <c r="J98" s="8"/>
      <c r="K98" s="7">
        <f>IF($C98="","",IF(OR(P98="B",P98="D",P98="E",P98="N",P98="O",P98="P",P98="Q",P98="S",P98="Y",P98="Z"),0,ROUND(J98*H98/100,0)))</f>
      </c>
      <c r="L98" s="7">
        <f>IF($C98="","",0)</f>
      </c>
      <c r="M98" s="7">
        <f>IF($C98="","",0)</f>
      </c>
      <c r="N98" s="7">
        <f>IF($C98="","",IF(OR(K98=0,I98="",IFERROR(INDEX('Challan Master'!$D$4:$D$207,MATCH($B98,'Challan Master'!$S$4:$S$207,0)),"")="",IFERROR(INDEX('Challan Master'!$D$4:$D$207,MATCH($B98,'Challan Master'!$S$4:$S$207,0)),"")&lt;=0),0,IF(IFERROR(INDEX('Challan Master'!$D$4:$D$207,MATCH($B98,'Challan Master'!$S$4:$S$207,0)),"")&lt;=DATE(YEAR(I98),MONTH(I98)+1,7),0,ROUND(K98*0.015*((YEAR(IFERROR(INDEX('Challan Master'!$D$4:$D$207,MATCH($B98,'Challan Master'!$S$4:$S$207,0)),""))-YEAR(I98))*12+(MONTH(IFERROR(INDEX('Challan Master'!$D$4:$D$207,MATCH($B98,'Challan Master'!$S$4:$S$207,0)),""))-MONTH(I98))+1),0))))</f>
      </c>
      <c r="O98" s="7">
        <f>IF($C98="","",0)</f>
      </c>
      <c r="P98" s="8"/>
      <c r="Q98" s="8"/>
      <c r="R98" s="8"/>
      <c r="S98" s="8"/>
      <c r="T98" s="8"/>
      <c r="U98" s="7">
        <f>IF($B98="","",IFERROR(INDEX('Challan Master'!$AA$4:$AA$207,MATCH($B98,'Challan Master'!$S$4:$S$207,0)),""))</f>
      </c>
    </row>
    <row r="99" spans="1:22" x14ac:dyDescent="0.25">
      <c r="A99" s="7">
        <f>IF($C99="","",COUNTIF($C$4:$C99,"&lt;&gt;"))</f>
      </c>
      <c r="B99" s="8"/>
      <c r="C99" s="8"/>
      <c r="D99" s="8"/>
      <c r="E99" s="7">
        <f>IF($C99="","",IF(AND(LEN(TRIM(UPPER(D99)))=10,CODE(MID(TRIM(UPPER(D99)),1,1))&gt;=65,CODE(MID(TRIM(UPPER(D99)),1,1))&lt;=90,CODE(MID(TRIM(UPPER(D99)),2,1))&gt;=65,CODE(MID(TRIM(UPPER(D99)),2,1))&lt;=90,CODE(MID(TRIM(UPPER(D99)),3,1))&gt;=65,CODE(MID(TRIM(UPPER(D99)),3,1))&lt;=90,CODE(MID(TRIM(UPPER(D99)),4,1))&gt;=65,CODE(MID(TRIM(UPPER(D99)),4,1))&lt;=90,CODE(MID(TRIM(UPPER(D99)),5,1))&gt;=65,CODE(MID(TRIM(UPPER(D99)),5,1))&lt;=90,CODE(MID(TRIM(UPPER(D99)),10,1))&gt;=65,CODE(MID(TRIM(UPPER(D99)),10,1))&lt;=90,CODE(MID(TRIM(UPPER(D99)),6,1))&gt;=48,CODE(MID(TRIM(UPPER(D99)),6,1))&lt;=57,CODE(MID(TRIM(UPPER(D99)),7,1))&gt;=48,CODE(MID(TRIM(UPPER(D99)),7,1))&lt;=57,CODE(MID(TRIM(UPPER(D99)),8,1))&gt;=48,CODE(MID(TRIM(UPPER(D99)),8,1))&lt;=57,CODE(MID(TRIM(UPPER(D99)),9,1))&gt;=48,CODE(MID(TRIM(UPPER(D99)),9,1))&lt;=57),"N","Y"))</f>
      </c>
      <c r="F99" s="7">
        <f>IF($C99="","",IF(LEN(D99)&lt;4,"",IF(UPPER(MID(D99,4,1))="P","Individual",IF(UPPER(MID(D99,4,1))="H","HUF",IF(UPPER(MID(D99,4,1))="C","Company",IF(UPPER(MID(D99,4,1))="F","Firm",IF(UPPER(MID(D99,4,1))="L","LLP",IF(UPPER(MID(D99,4,1))="T","Trust",IF(UPPER(MID(D99,4,1))="A","AOP","")))))))))</f>
      </c>
      <c r="G99" s="8"/>
      <c r="H99" s="7">
        <f>IF($C99="","",IF(R99&lt;&gt;"",R99,IF(G99="","",IF(E99="Y",SUMPRODUCT(('Rate Lookup'!$A$1:$A$37=G99)*'Rate Lookup'!$D$1:$D$37),IF(OR(F99="Individual",F99="HUF"),SUMPRODUCT(('Rate Lookup'!$A$1:$A$37=G99)*'Rate Lookup'!$B$1:$B$37),SUMPRODUCT(('Rate Lookup'!$A$1:$A$37=G99)*'Rate Lookup'!$C$1:$C$37)))))))</f>
      </c>
      <c r="I99" s="8"/>
      <c r="J99" s="8"/>
      <c r="K99" s="7">
        <f>IF($C99="","",IF(OR(P99="B",P99="D",P99="E",P99="N",P99="O",P99="P",P99="Q",P99="S",P99="Y",P99="Z"),0,ROUND(J99*H99/100,0)))</f>
      </c>
      <c r="L99" s="7">
        <f>IF($C99="","",0)</f>
      </c>
      <c r="M99" s="7">
        <f>IF($C99="","",0)</f>
      </c>
      <c r="N99" s="7">
        <f>IF($C99="","",IF(OR(K99=0,I99="",IFERROR(INDEX('Challan Master'!$D$4:$D$207,MATCH($B99,'Challan Master'!$S$4:$S$207,0)),"")="",IFERROR(INDEX('Challan Master'!$D$4:$D$207,MATCH($B99,'Challan Master'!$S$4:$S$207,0)),"")&lt;=0),0,IF(IFERROR(INDEX('Challan Master'!$D$4:$D$207,MATCH($B99,'Challan Master'!$S$4:$S$207,0)),"")&lt;=DATE(YEAR(I99),MONTH(I99)+1,7),0,ROUND(K99*0.015*((YEAR(IFERROR(INDEX('Challan Master'!$D$4:$D$207,MATCH($B99,'Challan Master'!$S$4:$S$207,0)),""))-YEAR(I99))*12+(MONTH(IFERROR(INDEX('Challan Master'!$D$4:$D$207,MATCH($B99,'Challan Master'!$S$4:$S$207,0)),""))-MONTH(I99))+1),0))))</f>
      </c>
      <c r="O99" s="7">
        <f>IF($C99="","",0)</f>
      </c>
      <c r="P99" s="8"/>
      <c r="Q99" s="8"/>
      <c r="R99" s="8"/>
      <c r="S99" s="8"/>
      <c r="T99" s="8"/>
      <c r="U99" s="7">
        <f>IF($B99="","",IFERROR(INDEX('Challan Master'!$AA$4:$AA$207,MATCH($B99,'Challan Master'!$S$4:$S$207,0)),""))</f>
      </c>
    </row>
    <row r="100" spans="1:22" x14ac:dyDescent="0.25">
      <c r="A100" s="7">
        <f>IF($C100="","",COUNTIF($C$4:$C100,"&lt;&gt;"))</f>
      </c>
      <c r="B100" s="8"/>
      <c r="C100" s="8"/>
      <c r="D100" s="8"/>
      <c r="E100" s="7">
        <f>IF($C100="","",IF(AND(LEN(TRIM(UPPER(D100)))=10,CODE(MID(TRIM(UPPER(D100)),1,1))&gt;=65,CODE(MID(TRIM(UPPER(D100)),1,1))&lt;=90,CODE(MID(TRIM(UPPER(D100)),2,1))&gt;=65,CODE(MID(TRIM(UPPER(D100)),2,1))&lt;=90,CODE(MID(TRIM(UPPER(D100)),3,1))&gt;=65,CODE(MID(TRIM(UPPER(D100)),3,1))&lt;=90,CODE(MID(TRIM(UPPER(D100)),4,1))&gt;=65,CODE(MID(TRIM(UPPER(D100)),4,1))&lt;=90,CODE(MID(TRIM(UPPER(D100)),5,1))&gt;=65,CODE(MID(TRIM(UPPER(D100)),5,1))&lt;=90,CODE(MID(TRIM(UPPER(D100)),10,1))&gt;=65,CODE(MID(TRIM(UPPER(D100)),10,1))&lt;=90,CODE(MID(TRIM(UPPER(D100)),6,1))&gt;=48,CODE(MID(TRIM(UPPER(D100)),6,1))&lt;=57,CODE(MID(TRIM(UPPER(D100)),7,1))&gt;=48,CODE(MID(TRIM(UPPER(D100)),7,1))&lt;=57,CODE(MID(TRIM(UPPER(D100)),8,1))&gt;=48,CODE(MID(TRIM(UPPER(D100)),8,1))&lt;=57,CODE(MID(TRIM(UPPER(D100)),9,1))&gt;=48,CODE(MID(TRIM(UPPER(D100)),9,1))&lt;=57),"N","Y"))</f>
      </c>
      <c r="F100" s="7">
        <f>IF($C100="","",IF(LEN(D100)&lt;4,"",IF(UPPER(MID(D100,4,1))="P","Individual",IF(UPPER(MID(D100,4,1))="H","HUF",IF(UPPER(MID(D100,4,1))="C","Company",IF(UPPER(MID(D100,4,1))="F","Firm",IF(UPPER(MID(D100,4,1))="L","LLP",IF(UPPER(MID(D100,4,1))="T","Trust",IF(UPPER(MID(D100,4,1))="A","AOP","")))))))))</f>
      </c>
      <c r="G100" s="8"/>
      <c r="H100" s="7">
        <f>IF($C100="","",IF(R100&lt;&gt;"",R100,IF(G100="","",IF(E100="Y",SUMPRODUCT(('Rate Lookup'!$A$1:$A$37=G100)*'Rate Lookup'!$D$1:$D$37),IF(OR(F100="Individual",F100="HUF"),SUMPRODUCT(('Rate Lookup'!$A$1:$A$37=G100)*'Rate Lookup'!$B$1:$B$37),SUMPRODUCT(('Rate Lookup'!$A$1:$A$37=G100)*'Rate Lookup'!$C$1:$C$37)))))))</f>
      </c>
      <c r="I100" s="8"/>
      <c r="J100" s="8"/>
      <c r="K100" s="7">
        <f>IF($C100="","",IF(OR(P100="B",P100="D",P100="E",P100="N",P100="O",P100="P",P100="Q",P100="S",P100="Y",P100="Z"),0,ROUND(J100*H100/100,0)))</f>
      </c>
      <c r="L100" s="7">
        <f>IF($C100="","",0)</f>
      </c>
      <c r="M100" s="7">
        <f>IF($C100="","",0)</f>
      </c>
      <c r="N100" s="7">
        <f>IF($C100="","",IF(OR(K100=0,I100="",IFERROR(INDEX('Challan Master'!$D$4:$D$207,MATCH($B100,'Challan Master'!$S$4:$S$207,0)),"")="",IFERROR(INDEX('Challan Master'!$D$4:$D$207,MATCH($B100,'Challan Master'!$S$4:$S$207,0)),"")&lt;=0),0,IF(IFERROR(INDEX('Challan Master'!$D$4:$D$207,MATCH($B100,'Challan Master'!$S$4:$S$207,0)),"")&lt;=DATE(YEAR(I100),MONTH(I100)+1,7),0,ROUND(K100*0.015*((YEAR(IFERROR(INDEX('Challan Master'!$D$4:$D$207,MATCH($B100,'Challan Master'!$S$4:$S$207,0)),""))-YEAR(I100))*12+(MONTH(IFERROR(INDEX('Challan Master'!$D$4:$D$207,MATCH($B100,'Challan Master'!$S$4:$S$207,0)),""))-MONTH(I100))+1),0))))</f>
      </c>
      <c r="O100" s="7">
        <f>IF($C100="","",0)</f>
      </c>
      <c r="P100" s="8"/>
      <c r="Q100" s="8"/>
      <c r="R100" s="8"/>
      <c r="S100" s="8"/>
      <c r="T100" s="8"/>
      <c r="U100" s="7">
        <f>IF($B100="","",IFERROR(INDEX('Challan Master'!$AA$4:$AA$207,MATCH($B100,'Challan Master'!$S$4:$S$207,0)),""))</f>
      </c>
    </row>
    <row r="101" spans="1:22" x14ac:dyDescent="0.25">
      <c r="A101" s="7">
        <f>IF($C101="","",COUNTIF($C$4:$C101,"&lt;&gt;"))</f>
      </c>
      <c r="B101" s="8"/>
      <c r="C101" s="8"/>
      <c r="D101" s="8"/>
      <c r="E101" s="7">
        <f>IF($C101="","",IF(AND(LEN(TRIM(UPPER(D101)))=10,CODE(MID(TRIM(UPPER(D101)),1,1))&gt;=65,CODE(MID(TRIM(UPPER(D101)),1,1))&lt;=90,CODE(MID(TRIM(UPPER(D101)),2,1))&gt;=65,CODE(MID(TRIM(UPPER(D101)),2,1))&lt;=90,CODE(MID(TRIM(UPPER(D101)),3,1))&gt;=65,CODE(MID(TRIM(UPPER(D101)),3,1))&lt;=90,CODE(MID(TRIM(UPPER(D101)),4,1))&gt;=65,CODE(MID(TRIM(UPPER(D101)),4,1))&lt;=90,CODE(MID(TRIM(UPPER(D101)),5,1))&gt;=65,CODE(MID(TRIM(UPPER(D101)),5,1))&lt;=90,CODE(MID(TRIM(UPPER(D101)),10,1))&gt;=65,CODE(MID(TRIM(UPPER(D101)),10,1))&lt;=90,CODE(MID(TRIM(UPPER(D101)),6,1))&gt;=48,CODE(MID(TRIM(UPPER(D101)),6,1))&lt;=57,CODE(MID(TRIM(UPPER(D101)),7,1))&gt;=48,CODE(MID(TRIM(UPPER(D101)),7,1))&lt;=57,CODE(MID(TRIM(UPPER(D101)),8,1))&gt;=48,CODE(MID(TRIM(UPPER(D101)),8,1))&lt;=57,CODE(MID(TRIM(UPPER(D101)),9,1))&gt;=48,CODE(MID(TRIM(UPPER(D101)),9,1))&lt;=57),"N","Y"))</f>
      </c>
      <c r="F101" s="7">
        <f>IF($C101="","",IF(LEN(D101)&lt;4,"",IF(UPPER(MID(D101,4,1))="P","Individual",IF(UPPER(MID(D101,4,1))="H","HUF",IF(UPPER(MID(D101,4,1))="C","Company",IF(UPPER(MID(D101,4,1))="F","Firm",IF(UPPER(MID(D101,4,1))="L","LLP",IF(UPPER(MID(D101,4,1))="T","Trust",IF(UPPER(MID(D101,4,1))="A","AOP","")))))))))</f>
      </c>
      <c r="G101" s="8"/>
      <c r="H101" s="7">
        <f>IF($C101="","",IF(R101&lt;&gt;"",R101,IF(G101="","",IF(E101="Y",SUMPRODUCT(('Rate Lookup'!$A$1:$A$37=G101)*'Rate Lookup'!$D$1:$D$37),IF(OR(F101="Individual",F101="HUF"),SUMPRODUCT(('Rate Lookup'!$A$1:$A$37=G101)*'Rate Lookup'!$B$1:$B$37),SUMPRODUCT(('Rate Lookup'!$A$1:$A$37=G101)*'Rate Lookup'!$C$1:$C$37)))))))</f>
      </c>
      <c r="I101" s="8"/>
      <c r="J101" s="8"/>
      <c r="K101" s="7">
        <f>IF($C101="","",IF(OR(P101="B",P101="D",P101="E",P101="N",P101="O",P101="P",P101="Q",P101="S",P101="Y",P101="Z"),0,ROUND(J101*H101/100,0)))</f>
      </c>
      <c r="L101" s="7">
        <f>IF($C101="","",0)</f>
      </c>
      <c r="M101" s="7">
        <f>IF($C101="","",0)</f>
      </c>
      <c r="N101" s="7">
        <f>IF($C101="","",IF(OR(K101=0,I101="",IFERROR(INDEX('Challan Master'!$D$4:$D$207,MATCH($B101,'Challan Master'!$S$4:$S$207,0)),"")="",IFERROR(INDEX('Challan Master'!$D$4:$D$207,MATCH($B101,'Challan Master'!$S$4:$S$207,0)),"")&lt;=0),0,IF(IFERROR(INDEX('Challan Master'!$D$4:$D$207,MATCH($B101,'Challan Master'!$S$4:$S$207,0)),"")&lt;=DATE(YEAR(I101),MONTH(I101)+1,7),0,ROUND(K101*0.015*((YEAR(IFERROR(INDEX('Challan Master'!$D$4:$D$207,MATCH($B101,'Challan Master'!$S$4:$S$207,0)),""))-YEAR(I101))*12+(MONTH(IFERROR(INDEX('Challan Master'!$D$4:$D$207,MATCH($B101,'Challan Master'!$S$4:$S$207,0)),""))-MONTH(I101))+1),0))))</f>
      </c>
      <c r="O101" s="7">
        <f>IF($C101="","",0)</f>
      </c>
      <c r="P101" s="8"/>
      <c r="Q101" s="8"/>
      <c r="R101" s="8"/>
      <c r="S101" s="8"/>
      <c r="T101" s="8"/>
      <c r="U101" s="7">
        <f>IF($B101="","",IFERROR(INDEX('Challan Master'!$AA$4:$AA$207,MATCH($B101,'Challan Master'!$S$4:$S$207,0)),""))</f>
      </c>
    </row>
    <row r="102" spans="1:22" x14ac:dyDescent="0.25">
      <c r="A102" s="7">
        <f>IF($C102="","",COUNTIF($C$4:$C102,"&lt;&gt;"))</f>
      </c>
      <c r="B102" s="8"/>
      <c r="C102" s="8"/>
      <c r="D102" s="8"/>
      <c r="E102" s="7">
        <f>IF($C102="","",IF(AND(LEN(TRIM(UPPER(D102)))=10,CODE(MID(TRIM(UPPER(D102)),1,1))&gt;=65,CODE(MID(TRIM(UPPER(D102)),1,1))&lt;=90,CODE(MID(TRIM(UPPER(D102)),2,1))&gt;=65,CODE(MID(TRIM(UPPER(D102)),2,1))&lt;=90,CODE(MID(TRIM(UPPER(D102)),3,1))&gt;=65,CODE(MID(TRIM(UPPER(D102)),3,1))&lt;=90,CODE(MID(TRIM(UPPER(D102)),4,1))&gt;=65,CODE(MID(TRIM(UPPER(D102)),4,1))&lt;=90,CODE(MID(TRIM(UPPER(D102)),5,1))&gt;=65,CODE(MID(TRIM(UPPER(D102)),5,1))&lt;=90,CODE(MID(TRIM(UPPER(D102)),10,1))&gt;=65,CODE(MID(TRIM(UPPER(D102)),10,1))&lt;=90,CODE(MID(TRIM(UPPER(D102)),6,1))&gt;=48,CODE(MID(TRIM(UPPER(D102)),6,1))&lt;=57,CODE(MID(TRIM(UPPER(D102)),7,1))&gt;=48,CODE(MID(TRIM(UPPER(D102)),7,1))&lt;=57,CODE(MID(TRIM(UPPER(D102)),8,1))&gt;=48,CODE(MID(TRIM(UPPER(D102)),8,1))&lt;=57,CODE(MID(TRIM(UPPER(D102)),9,1))&gt;=48,CODE(MID(TRIM(UPPER(D102)),9,1))&lt;=57),"N","Y"))</f>
      </c>
      <c r="F102" s="7">
        <f>IF($C102="","",IF(LEN(D102)&lt;4,"",IF(UPPER(MID(D102,4,1))="P","Individual",IF(UPPER(MID(D102,4,1))="H","HUF",IF(UPPER(MID(D102,4,1))="C","Company",IF(UPPER(MID(D102,4,1))="F","Firm",IF(UPPER(MID(D102,4,1))="L","LLP",IF(UPPER(MID(D102,4,1))="T","Trust",IF(UPPER(MID(D102,4,1))="A","AOP","")))))))))</f>
      </c>
      <c r="G102" s="8"/>
      <c r="H102" s="7">
        <f>IF($C102="","",IF(R102&lt;&gt;"",R102,IF(G102="","",IF(E102="Y",SUMPRODUCT(('Rate Lookup'!$A$1:$A$37=G102)*'Rate Lookup'!$D$1:$D$37),IF(OR(F102="Individual",F102="HUF"),SUMPRODUCT(('Rate Lookup'!$A$1:$A$37=G102)*'Rate Lookup'!$B$1:$B$37),SUMPRODUCT(('Rate Lookup'!$A$1:$A$37=G102)*'Rate Lookup'!$C$1:$C$37)))))))</f>
      </c>
      <c r="I102" s="8"/>
      <c r="J102" s="8"/>
      <c r="K102" s="7">
        <f>IF($C102="","",IF(OR(P102="B",P102="D",P102="E",P102="N",P102="O",P102="P",P102="Q",P102="S",P102="Y",P102="Z"),0,ROUND(J102*H102/100,0)))</f>
      </c>
      <c r="L102" s="7">
        <f>IF($C102="","",0)</f>
      </c>
      <c r="M102" s="7">
        <f>IF($C102="","",0)</f>
      </c>
      <c r="N102" s="7">
        <f>IF($C102="","",IF(OR(K102=0,I102="",IFERROR(INDEX('Challan Master'!$D$4:$D$207,MATCH($B102,'Challan Master'!$S$4:$S$207,0)),"")="",IFERROR(INDEX('Challan Master'!$D$4:$D$207,MATCH($B102,'Challan Master'!$S$4:$S$207,0)),"")&lt;=0),0,IF(IFERROR(INDEX('Challan Master'!$D$4:$D$207,MATCH($B102,'Challan Master'!$S$4:$S$207,0)),"")&lt;=DATE(YEAR(I102),MONTH(I102)+1,7),0,ROUND(K102*0.015*((YEAR(IFERROR(INDEX('Challan Master'!$D$4:$D$207,MATCH($B102,'Challan Master'!$S$4:$S$207,0)),""))-YEAR(I102))*12+(MONTH(IFERROR(INDEX('Challan Master'!$D$4:$D$207,MATCH($B102,'Challan Master'!$S$4:$S$207,0)),""))-MONTH(I102))+1),0))))</f>
      </c>
      <c r="O102" s="7">
        <f>IF($C102="","",0)</f>
      </c>
      <c r="P102" s="8"/>
      <c r="Q102" s="8"/>
      <c r="R102" s="8"/>
      <c r="S102" s="8"/>
      <c r="T102" s="8"/>
      <c r="U102" s="7">
        <f>IF($B102="","",IFERROR(INDEX('Challan Master'!$AA$4:$AA$207,MATCH($B102,'Challan Master'!$S$4:$S$207,0)),""))</f>
      </c>
    </row>
    <row r="103" spans="1:22" x14ac:dyDescent="0.25">
      <c r="A103" s="7">
        <f>IF($C103="","",COUNTIF($C$4:$C103,"&lt;&gt;"))</f>
      </c>
      <c r="B103" s="8"/>
      <c r="C103" s="8"/>
      <c r="D103" s="8"/>
      <c r="E103" s="7">
        <f>IF($C103="","",IF(AND(LEN(TRIM(UPPER(D103)))=10,CODE(MID(TRIM(UPPER(D103)),1,1))&gt;=65,CODE(MID(TRIM(UPPER(D103)),1,1))&lt;=90,CODE(MID(TRIM(UPPER(D103)),2,1))&gt;=65,CODE(MID(TRIM(UPPER(D103)),2,1))&lt;=90,CODE(MID(TRIM(UPPER(D103)),3,1))&gt;=65,CODE(MID(TRIM(UPPER(D103)),3,1))&lt;=90,CODE(MID(TRIM(UPPER(D103)),4,1))&gt;=65,CODE(MID(TRIM(UPPER(D103)),4,1))&lt;=90,CODE(MID(TRIM(UPPER(D103)),5,1))&gt;=65,CODE(MID(TRIM(UPPER(D103)),5,1))&lt;=90,CODE(MID(TRIM(UPPER(D103)),10,1))&gt;=65,CODE(MID(TRIM(UPPER(D103)),10,1))&lt;=90,CODE(MID(TRIM(UPPER(D103)),6,1))&gt;=48,CODE(MID(TRIM(UPPER(D103)),6,1))&lt;=57,CODE(MID(TRIM(UPPER(D103)),7,1))&gt;=48,CODE(MID(TRIM(UPPER(D103)),7,1))&lt;=57,CODE(MID(TRIM(UPPER(D103)),8,1))&gt;=48,CODE(MID(TRIM(UPPER(D103)),8,1))&lt;=57,CODE(MID(TRIM(UPPER(D103)),9,1))&gt;=48,CODE(MID(TRIM(UPPER(D103)),9,1))&lt;=57),"N","Y"))</f>
      </c>
      <c r="F103" s="7">
        <f>IF($C103="","",IF(LEN(D103)&lt;4,"",IF(UPPER(MID(D103,4,1))="P","Individual",IF(UPPER(MID(D103,4,1))="H","HUF",IF(UPPER(MID(D103,4,1))="C","Company",IF(UPPER(MID(D103,4,1))="F","Firm",IF(UPPER(MID(D103,4,1))="L","LLP",IF(UPPER(MID(D103,4,1))="T","Trust",IF(UPPER(MID(D103,4,1))="A","AOP","")))))))))</f>
      </c>
      <c r="G103" s="8"/>
      <c r="H103" s="7">
        <f>IF($C103="","",IF(R103&lt;&gt;"",R103,IF(G103="","",IF(E103="Y",SUMPRODUCT(('Rate Lookup'!$A$1:$A$37=G103)*'Rate Lookup'!$D$1:$D$37),IF(OR(F103="Individual",F103="HUF"),SUMPRODUCT(('Rate Lookup'!$A$1:$A$37=G103)*'Rate Lookup'!$B$1:$B$37),SUMPRODUCT(('Rate Lookup'!$A$1:$A$37=G103)*'Rate Lookup'!$C$1:$C$37)))))))</f>
      </c>
      <c r="I103" s="8"/>
      <c r="J103" s="8"/>
      <c r="K103" s="7">
        <f>IF($C103="","",IF(OR(P103="B",P103="D",P103="E",P103="N",P103="O",P103="P",P103="Q",P103="S",P103="Y",P103="Z"),0,ROUND(J103*H103/100,0)))</f>
      </c>
      <c r="L103" s="7">
        <f>IF($C103="","",0)</f>
      </c>
      <c r="M103" s="7">
        <f>IF($C103="","",0)</f>
      </c>
      <c r="N103" s="7">
        <f>IF($C103="","",IF(OR(K103=0,I103="",IFERROR(INDEX('Challan Master'!$D$4:$D$207,MATCH($B103,'Challan Master'!$S$4:$S$207,0)),"")="",IFERROR(INDEX('Challan Master'!$D$4:$D$207,MATCH($B103,'Challan Master'!$S$4:$S$207,0)),"")&lt;=0),0,IF(IFERROR(INDEX('Challan Master'!$D$4:$D$207,MATCH($B103,'Challan Master'!$S$4:$S$207,0)),"")&lt;=DATE(YEAR(I103),MONTH(I103)+1,7),0,ROUND(K103*0.015*((YEAR(IFERROR(INDEX('Challan Master'!$D$4:$D$207,MATCH($B103,'Challan Master'!$S$4:$S$207,0)),""))-YEAR(I103))*12+(MONTH(IFERROR(INDEX('Challan Master'!$D$4:$D$207,MATCH($B103,'Challan Master'!$S$4:$S$207,0)),""))-MONTH(I103))+1),0))))</f>
      </c>
      <c r="O103" s="7">
        <f>IF($C103="","",0)</f>
      </c>
      <c r="P103" s="8"/>
      <c r="Q103" s="8"/>
      <c r="R103" s="8"/>
      <c r="S103" s="8"/>
      <c r="T103" s="8"/>
      <c r="U103" s="7">
        <f>IF($B103="","",IFERROR(INDEX('Challan Master'!$AA$4:$AA$207,MATCH($B103,'Challan Master'!$S$4:$S$207,0)),""))</f>
      </c>
    </row>
    <row r="104" spans="1:22" x14ac:dyDescent="0.25">
      <c r="A104" s="7">
        <f>IF($C104="","",COUNTIF($C$4:$C104,"&lt;&gt;"))</f>
      </c>
      <c r="B104" s="8"/>
      <c r="C104" s="8"/>
      <c r="D104" s="8"/>
      <c r="E104" s="7">
        <f>IF($C104="","",IF(AND(LEN(TRIM(UPPER(D104)))=10,CODE(MID(TRIM(UPPER(D104)),1,1))&gt;=65,CODE(MID(TRIM(UPPER(D104)),1,1))&lt;=90,CODE(MID(TRIM(UPPER(D104)),2,1))&gt;=65,CODE(MID(TRIM(UPPER(D104)),2,1))&lt;=90,CODE(MID(TRIM(UPPER(D104)),3,1))&gt;=65,CODE(MID(TRIM(UPPER(D104)),3,1))&lt;=90,CODE(MID(TRIM(UPPER(D104)),4,1))&gt;=65,CODE(MID(TRIM(UPPER(D104)),4,1))&lt;=90,CODE(MID(TRIM(UPPER(D104)),5,1))&gt;=65,CODE(MID(TRIM(UPPER(D104)),5,1))&lt;=90,CODE(MID(TRIM(UPPER(D104)),10,1))&gt;=65,CODE(MID(TRIM(UPPER(D104)),10,1))&lt;=90,CODE(MID(TRIM(UPPER(D104)),6,1))&gt;=48,CODE(MID(TRIM(UPPER(D104)),6,1))&lt;=57,CODE(MID(TRIM(UPPER(D104)),7,1))&gt;=48,CODE(MID(TRIM(UPPER(D104)),7,1))&lt;=57,CODE(MID(TRIM(UPPER(D104)),8,1))&gt;=48,CODE(MID(TRIM(UPPER(D104)),8,1))&lt;=57,CODE(MID(TRIM(UPPER(D104)),9,1))&gt;=48,CODE(MID(TRIM(UPPER(D104)),9,1))&lt;=57),"N","Y"))</f>
      </c>
      <c r="F104" s="7">
        <f>IF($C104="","",IF(LEN(D104)&lt;4,"",IF(UPPER(MID(D104,4,1))="P","Individual",IF(UPPER(MID(D104,4,1))="H","HUF",IF(UPPER(MID(D104,4,1))="C","Company",IF(UPPER(MID(D104,4,1))="F","Firm",IF(UPPER(MID(D104,4,1))="L","LLP",IF(UPPER(MID(D104,4,1))="T","Trust",IF(UPPER(MID(D104,4,1))="A","AOP","")))))))))</f>
      </c>
      <c r="G104" s="8"/>
      <c r="H104" s="7">
        <f>IF($C104="","",IF(R104&lt;&gt;"",R104,IF(G104="","",IF(E104="Y",SUMPRODUCT(('Rate Lookup'!$A$1:$A$37=G104)*'Rate Lookup'!$D$1:$D$37),IF(OR(F104="Individual",F104="HUF"),SUMPRODUCT(('Rate Lookup'!$A$1:$A$37=G104)*'Rate Lookup'!$B$1:$B$37),SUMPRODUCT(('Rate Lookup'!$A$1:$A$37=G104)*'Rate Lookup'!$C$1:$C$37)))))))</f>
      </c>
      <c r="I104" s="8"/>
      <c r="J104" s="8"/>
      <c r="K104" s="7">
        <f>IF($C104="","",IF(OR(P104="B",P104="D",P104="E",P104="N",P104="O",P104="P",P104="Q",P104="S",P104="Y",P104="Z"),0,ROUND(J104*H104/100,0)))</f>
      </c>
      <c r="L104" s="7">
        <f>IF($C104="","",0)</f>
      </c>
      <c r="M104" s="7">
        <f>IF($C104="","",0)</f>
      </c>
      <c r="N104" s="7">
        <f>IF($C104="","",IF(OR(K104=0,I104="",IFERROR(INDEX('Challan Master'!$D$4:$D$207,MATCH($B104,'Challan Master'!$S$4:$S$207,0)),"")="",IFERROR(INDEX('Challan Master'!$D$4:$D$207,MATCH($B104,'Challan Master'!$S$4:$S$207,0)),"")&lt;=0),0,IF(IFERROR(INDEX('Challan Master'!$D$4:$D$207,MATCH($B104,'Challan Master'!$S$4:$S$207,0)),"")&lt;=DATE(YEAR(I104),MONTH(I104)+1,7),0,ROUND(K104*0.015*((YEAR(IFERROR(INDEX('Challan Master'!$D$4:$D$207,MATCH($B104,'Challan Master'!$S$4:$S$207,0)),""))-YEAR(I104))*12+(MONTH(IFERROR(INDEX('Challan Master'!$D$4:$D$207,MATCH($B104,'Challan Master'!$S$4:$S$207,0)),""))-MONTH(I104))+1),0))))</f>
      </c>
      <c r="O104" s="7">
        <f>IF($C104="","",0)</f>
      </c>
      <c r="P104" s="8"/>
      <c r="Q104" s="8"/>
      <c r="R104" s="8"/>
      <c r="S104" s="8"/>
      <c r="T104" s="8"/>
      <c r="U104" s="7">
        <f>IF($B104="","",IFERROR(INDEX('Challan Master'!$AA$4:$AA$207,MATCH($B104,'Challan Master'!$S$4:$S$207,0)),""))</f>
      </c>
    </row>
    <row r="105" spans="1:22" x14ac:dyDescent="0.25">
      <c r="A105" s="7">
        <f>IF($C105="","",COUNTIF($C$4:$C105,"&lt;&gt;"))</f>
      </c>
      <c r="B105" s="8"/>
      <c r="C105" s="8"/>
      <c r="D105" s="8"/>
      <c r="E105" s="7">
        <f>IF($C105="","",IF(AND(LEN(TRIM(UPPER(D105)))=10,CODE(MID(TRIM(UPPER(D105)),1,1))&gt;=65,CODE(MID(TRIM(UPPER(D105)),1,1))&lt;=90,CODE(MID(TRIM(UPPER(D105)),2,1))&gt;=65,CODE(MID(TRIM(UPPER(D105)),2,1))&lt;=90,CODE(MID(TRIM(UPPER(D105)),3,1))&gt;=65,CODE(MID(TRIM(UPPER(D105)),3,1))&lt;=90,CODE(MID(TRIM(UPPER(D105)),4,1))&gt;=65,CODE(MID(TRIM(UPPER(D105)),4,1))&lt;=90,CODE(MID(TRIM(UPPER(D105)),5,1))&gt;=65,CODE(MID(TRIM(UPPER(D105)),5,1))&lt;=90,CODE(MID(TRIM(UPPER(D105)),10,1))&gt;=65,CODE(MID(TRIM(UPPER(D105)),10,1))&lt;=90,CODE(MID(TRIM(UPPER(D105)),6,1))&gt;=48,CODE(MID(TRIM(UPPER(D105)),6,1))&lt;=57,CODE(MID(TRIM(UPPER(D105)),7,1))&gt;=48,CODE(MID(TRIM(UPPER(D105)),7,1))&lt;=57,CODE(MID(TRIM(UPPER(D105)),8,1))&gt;=48,CODE(MID(TRIM(UPPER(D105)),8,1))&lt;=57,CODE(MID(TRIM(UPPER(D105)),9,1))&gt;=48,CODE(MID(TRIM(UPPER(D105)),9,1))&lt;=57),"N","Y"))</f>
      </c>
      <c r="F105" s="7">
        <f>IF($C105="","",IF(LEN(D105)&lt;4,"",IF(UPPER(MID(D105,4,1))="P","Individual",IF(UPPER(MID(D105,4,1))="H","HUF",IF(UPPER(MID(D105,4,1))="C","Company",IF(UPPER(MID(D105,4,1))="F","Firm",IF(UPPER(MID(D105,4,1))="L","LLP",IF(UPPER(MID(D105,4,1))="T","Trust",IF(UPPER(MID(D105,4,1))="A","AOP","")))))))))</f>
      </c>
      <c r="G105" s="8"/>
      <c r="H105" s="7">
        <f>IF($C105="","",IF(R105&lt;&gt;"",R105,IF(G105="","",IF(E105="Y",SUMPRODUCT(('Rate Lookup'!$A$1:$A$37=G105)*'Rate Lookup'!$D$1:$D$37),IF(OR(F105="Individual",F105="HUF"),SUMPRODUCT(('Rate Lookup'!$A$1:$A$37=G105)*'Rate Lookup'!$B$1:$B$37),SUMPRODUCT(('Rate Lookup'!$A$1:$A$37=G105)*'Rate Lookup'!$C$1:$C$37)))))))</f>
      </c>
      <c r="I105" s="8"/>
      <c r="J105" s="8"/>
      <c r="K105" s="7">
        <f>IF($C105="","",IF(OR(P105="B",P105="D",P105="E",P105="N",P105="O",P105="P",P105="Q",P105="S",P105="Y",P105="Z"),0,ROUND(J105*H105/100,0)))</f>
      </c>
      <c r="L105" s="7">
        <f>IF($C105="","",0)</f>
      </c>
      <c r="M105" s="7">
        <f>IF($C105="","",0)</f>
      </c>
      <c r="N105" s="7">
        <f>IF($C105="","",IF(OR(K105=0,I105="",IFERROR(INDEX('Challan Master'!$D$4:$D$207,MATCH($B105,'Challan Master'!$S$4:$S$207,0)),"")="",IFERROR(INDEX('Challan Master'!$D$4:$D$207,MATCH($B105,'Challan Master'!$S$4:$S$207,0)),"")&lt;=0),0,IF(IFERROR(INDEX('Challan Master'!$D$4:$D$207,MATCH($B105,'Challan Master'!$S$4:$S$207,0)),"")&lt;=DATE(YEAR(I105),MONTH(I105)+1,7),0,ROUND(K105*0.015*((YEAR(IFERROR(INDEX('Challan Master'!$D$4:$D$207,MATCH($B105,'Challan Master'!$S$4:$S$207,0)),""))-YEAR(I105))*12+(MONTH(IFERROR(INDEX('Challan Master'!$D$4:$D$207,MATCH($B105,'Challan Master'!$S$4:$S$207,0)),""))-MONTH(I105))+1),0))))</f>
      </c>
      <c r="O105" s="7">
        <f>IF($C105="","",0)</f>
      </c>
      <c r="P105" s="8"/>
      <c r="Q105" s="8"/>
      <c r="R105" s="8"/>
      <c r="S105" s="8"/>
      <c r="T105" s="8"/>
      <c r="U105" s="7">
        <f>IF($B105="","",IFERROR(INDEX('Challan Master'!$AA$4:$AA$207,MATCH($B105,'Challan Master'!$S$4:$S$207,0)),""))</f>
      </c>
    </row>
    <row r="106" spans="1:22" x14ac:dyDescent="0.25">
      <c r="A106" s="7">
        <f>IF($C106="","",COUNTIF($C$4:$C106,"&lt;&gt;"))</f>
      </c>
      <c r="B106" s="8"/>
      <c r="C106" s="8"/>
      <c r="D106" s="8"/>
      <c r="E106" s="7">
        <f>IF($C106="","",IF(AND(LEN(TRIM(UPPER(D106)))=10,CODE(MID(TRIM(UPPER(D106)),1,1))&gt;=65,CODE(MID(TRIM(UPPER(D106)),1,1))&lt;=90,CODE(MID(TRIM(UPPER(D106)),2,1))&gt;=65,CODE(MID(TRIM(UPPER(D106)),2,1))&lt;=90,CODE(MID(TRIM(UPPER(D106)),3,1))&gt;=65,CODE(MID(TRIM(UPPER(D106)),3,1))&lt;=90,CODE(MID(TRIM(UPPER(D106)),4,1))&gt;=65,CODE(MID(TRIM(UPPER(D106)),4,1))&lt;=90,CODE(MID(TRIM(UPPER(D106)),5,1))&gt;=65,CODE(MID(TRIM(UPPER(D106)),5,1))&lt;=90,CODE(MID(TRIM(UPPER(D106)),10,1))&gt;=65,CODE(MID(TRIM(UPPER(D106)),10,1))&lt;=90,CODE(MID(TRIM(UPPER(D106)),6,1))&gt;=48,CODE(MID(TRIM(UPPER(D106)),6,1))&lt;=57,CODE(MID(TRIM(UPPER(D106)),7,1))&gt;=48,CODE(MID(TRIM(UPPER(D106)),7,1))&lt;=57,CODE(MID(TRIM(UPPER(D106)),8,1))&gt;=48,CODE(MID(TRIM(UPPER(D106)),8,1))&lt;=57,CODE(MID(TRIM(UPPER(D106)),9,1))&gt;=48,CODE(MID(TRIM(UPPER(D106)),9,1))&lt;=57),"N","Y"))</f>
      </c>
      <c r="F106" s="7">
        <f>IF($C106="","",IF(LEN(D106)&lt;4,"",IF(UPPER(MID(D106,4,1))="P","Individual",IF(UPPER(MID(D106,4,1))="H","HUF",IF(UPPER(MID(D106,4,1))="C","Company",IF(UPPER(MID(D106,4,1))="F","Firm",IF(UPPER(MID(D106,4,1))="L","LLP",IF(UPPER(MID(D106,4,1))="T","Trust",IF(UPPER(MID(D106,4,1))="A","AOP","")))))))))</f>
      </c>
      <c r="G106" s="8"/>
      <c r="H106" s="7">
        <f>IF($C106="","",IF(R106&lt;&gt;"",R106,IF(G106="","",IF(E106="Y",SUMPRODUCT(('Rate Lookup'!$A$1:$A$37=G106)*'Rate Lookup'!$D$1:$D$37),IF(OR(F106="Individual",F106="HUF"),SUMPRODUCT(('Rate Lookup'!$A$1:$A$37=G106)*'Rate Lookup'!$B$1:$B$37),SUMPRODUCT(('Rate Lookup'!$A$1:$A$37=G106)*'Rate Lookup'!$C$1:$C$37)))))))</f>
      </c>
      <c r="I106" s="8"/>
      <c r="J106" s="8"/>
      <c r="K106" s="7">
        <f>IF($C106="","",IF(OR(P106="B",P106="D",P106="E",P106="N",P106="O",P106="P",P106="Q",P106="S",P106="Y",P106="Z"),0,ROUND(J106*H106/100,0)))</f>
      </c>
      <c r="L106" s="7">
        <f>IF($C106="","",0)</f>
      </c>
      <c r="M106" s="7">
        <f>IF($C106="","",0)</f>
      </c>
      <c r="N106" s="7">
        <f>IF($C106="","",IF(OR(K106=0,I106="",IFERROR(INDEX('Challan Master'!$D$4:$D$207,MATCH($B106,'Challan Master'!$S$4:$S$207,0)),"")="",IFERROR(INDEX('Challan Master'!$D$4:$D$207,MATCH($B106,'Challan Master'!$S$4:$S$207,0)),"")&lt;=0),0,IF(IFERROR(INDEX('Challan Master'!$D$4:$D$207,MATCH($B106,'Challan Master'!$S$4:$S$207,0)),"")&lt;=DATE(YEAR(I106),MONTH(I106)+1,7),0,ROUND(K106*0.015*((YEAR(IFERROR(INDEX('Challan Master'!$D$4:$D$207,MATCH($B106,'Challan Master'!$S$4:$S$207,0)),""))-YEAR(I106))*12+(MONTH(IFERROR(INDEX('Challan Master'!$D$4:$D$207,MATCH($B106,'Challan Master'!$S$4:$S$207,0)),""))-MONTH(I106))+1),0))))</f>
      </c>
      <c r="O106" s="7">
        <f>IF($C106="","",0)</f>
      </c>
      <c r="P106" s="8"/>
      <c r="Q106" s="8"/>
      <c r="R106" s="8"/>
      <c r="S106" s="8"/>
      <c r="T106" s="8"/>
      <c r="U106" s="7">
        <f>IF($B106="","",IFERROR(INDEX('Challan Master'!$AA$4:$AA$207,MATCH($B106,'Challan Master'!$S$4:$S$207,0)),""))</f>
      </c>
    </row>
    <row r="107" spans="1:22" x14ac:dyDescent="0.25">
      <c r="A107" s="7">
        <f>IF($C107="","",COUNTIF($C$4:$C107,"&lt;&gt;"))</f>
      </c>
      <c r="B107" s="8"/>
      <c r="C107" s="8"/>
      <c r="D107" s="8"/>
      <c r="E107" s="7">
        <f>IF($C107="","",IF(AND(LEN(TRIM(UPPER(D107)))=10,CODE(MID(TRIM(UPPER(D107)),1,1))&gt;=65,CODE(MID(TRIM(UPPER(D107)),1,1))&lt;=90,CODE(MID(TRIM(UPPER(D107)),2,1))&gt;=65,CODE(MID(TRIM(UPPER(D107)),2,1))&lt;=90,CODE(MID(TRIM(UPPER(D107)),3,1))&gt;=65,CODE(MID(TRIM(UPPER(D107)),3,1))&lt;=90,CODE(MID(TRIM(UPPER(D107)),4,1))&gt;=65,CODE(MID(TRIM(UPPER(D107)),4,1))&lt;=90,CODE(MID(TRIM(UPPER(D107)),5,1))&gt;=65,CODE(MID(TRIM(UPPER(D107)),5,1))&lt;=90,CODE(MID(TRIM(UPPER(D107)),10,1))&gt;=65,CODE(MID(TRIM(UPPER(D107)),10,1))&lt;=90,CODE(MID(TRIM(UPPER(D107)),6,1))&gt;=48,CODE(MID(TRIM(UPPER(D107)),6,1))&lt;=57,CODE(MID(TRIM(UPPER(D107)),7,1))&gt;=48,CODE(MID(TRIM(UPPER(D107)),7,1))&lt;=57,CODE(MID(TRIM(UPPER(D107)),8,1))&gt;=48,CODE(MID(TRIM(UPPER(D107)),8,1))&lt;=57,CODE(MID(TRIM(UPPER(D107)),9,1))&gt;=48,CODE(MID(TRIM(UPPER(D107)),9,1))&lt;=57),"N","Y"))</f>
      </c>
      <c r="F107" s="7">
        <f>IF($C107="","",IF(LEN(D107)&lt;4,"",IF(UPPER(MID(D107,4,1))="P","Individual",IF(UPPER(MID(D107,4,1))="H","HUF",IF(UPPER(MID(D107,4,1))="C","Company",IF(UPPER(MID(D107,4,1))="F","Firm",IF(UPPER(MID(D107,4,1))="L","LLP",IF(UPPER(MID(D107,4,1))="T","Trust",IF(UPPER(MID(D107,4,1))="A","AOP","")))))))))</f>
      </c>
      <c r="G107" s="8"/>
      <c r="H107" s="7">
        <f>IF($C107="","",IF(R107&lt;&gt;"",R107,IF(G107="","",IF(E107="Y",SUMPRODUCT(('Rate Lookup'!$A$1:$A$37=G107)*'Rate Lookup'!$D$1:$D$37),IF(OR(F107="Individual",F107="HUF"),SUMPRODUCT(('Rate Lookup'!$A$1:$A$37=G107)*'Rate Lookup'!$B$1:$B$37),SUMPRODUCT(('Rate Lookup'!$A$1:$A$37=G107)*'Rate Lookup'!$C$1:$C$37)))))))</f>
      </c>
      <c r="I107" s="8"/>
      <c r="J107" s="8"/>
      <c r="K107" s="7">
        <f>IF($C107="","",IF(OR(P107="B",P107="D",P107="E",P107="N",P107="O",P107="P",P107="Q",P107="S",P107="Y",P107="Z"),0,ROUND(J107*H107/100,0)))</f>
      </c>
      <c r="L107" s="7">
        <f>IF($C107="","",0)</f>
      </c>
      <c r="M107" s="7">
        <f>IF($C107="","",0)</f>
      </c>
      <c r="N107" s="7">
        <f>IF($C107="","",IF(OR(K107=0,I107="",IFERROR(INDEX('Challan Master'!$D$4:$D$207,MATCH($B107,'Challan Master'!$S$4:$S$207,0)),"")="",IFERROR(INDEX('Challan Master'!$D$4:$D$207,MATCH($B107,'Challan Master'!$S$4:$S$207,0)),"")&lt;=0),0,IF(IFERROR(INDEX('Challan Master'!$D$4:$D$207,MATCH($B107,'Challan Master'!$S$4:$S$207,0)),"")&lt;=DATE(YEAR(I107),MONTH(I107)+1,7),0,ROUND(K107*0.015*((YEAR(IFERROR(INDEX('Challan Master'!$D$4:$D$207,MATCH($B107,'Challan Master'!$S$4:$S$207,0)),""))-YEAR(I107))*12+(MONTH(IFERROR(INDEX('Challan Master'!$D$4:$D$207,MATCH($B107,'Challan Master'!$S$4:$S$207,0)),""))-MONTH(I107))+1),0))))</f>
      </c>
      <c r="O107" s="7">
        <f>IF($C107="","",0)</f>
      </c>
      <c r="P107" s="8"/>
      <c r="Q107" s="8"/>
      <c r="R107" s="8"/>
      <c r="S107" s="8"/>
      <c r="T107" s="8"/>
      <c r="U107" s="7">
        <f>IF($B107="","",IFERROR(INDEX('Challan Master'!$AA$4:$AA$207,MATCH($B107,'Challan Master'!$S$4:$S$207,0)),""))</f>
      </c>
    </row>
    <row r="108" spans="1:22" x14ac:dyDescent="0.25">
      <c r="A108" s="7">
        <f>IF($C108="","",COUNTIF($C$4:$C108,"&lt;&gt;"))</f>
      </c>
      <c r="B108" s="8"/>
      <c r="C108" s="8"/>
      <c r="D108" s="8"/>
      <c r="E108" s="7">
        <f>IF($C108="","",IF(AND(LEN(TRIM(UPPER(D108)))=10,CODE(MID(TRIM(UPPER(D108)),1,1))&gt;=65,CODE(MID(TRIM(UPPER(D108)),1,1))&lt;=90,CODE(MID(TRIM(UPPER(D108)),2,1))&gt;=65,CODE(MID(TRIM(UPPER(D108)),2,1))&lt;=90,CODE(MID(TRIM(UPPER(D108)),3,1))&gt;=65,CODE(MID(TRIM(UPPER(D108)),3,1))&lt;=90,CODE(MID(TRIM(UPPER(D108)),4,1))&gt;=65,CODE(MID(TRIM(UPPER(D108)),4,1))&lt;=90,CODE(MID(TRIM(UPPER(D108)),5,1))&gt;=65,CODE(MID(TRIM(UPPER(D108)),5,1))&lt;=90,CODE(MID(TRIM(UPPER(D108)),10,1))&gt;=65,CODE(MID(TRIM(UPPER(D108)),10,1))&lt;=90,CODE(MID(TRIM(UPPER(D108)),6,1))&gt;=48,CODE(MID(TRIM(UPPER(D108)),6,1))&lt;=57,CODE(MID(TRIM(UPPER(D108)),7,1))&gt;=48,CODE(MID(TRIM(UPPER(D108)),7,1))&lt;=57,CODE(MID(TRIM(UPPER(D108)),8,1))&gt;=48,CODE(MID(TRIM(UPPER(D108)),8,1))&lt;=57,CODE(MID(TRIM(UPPER(D108)),9,1))&gt;=48,CODE(MID(TRIM(UPPER(D108)),9,1))&lt;=57),"N","Y"))</f>
      </c>
      <c r="F108" s="7">
        <f>IF($C108="","",IF(LEN(D108)&lt;4,"",IF(UPPER(MID(D108,4,1))="P","Individual",IF(UPPER(MID(D108,4,1))="H","HUF",IF(UPPER(MID(D108,4,1))="C","Company",IF(UPPER(MID(D108,4,1))="F","Firm",IF(UPPER(MID(D108,4,1))="L","LLP",IF(UPPER(MID(D108,4,1))="T","Trust",IF(UPPER(MID(D108,4,1))="A","AOP","")))))))))</f>
      </c>
      <c r="G108" s="8"/>
      <c r="H108" s="7">
        <f>IF($C108="","",IF(R108&lt;&gt;"",R108,IF(G108="","",IF(E108="Y",SUMPRODUCT(('Rate Lookup'!$A$1:$A$37=G108)*'Rate Lookup'!$D$1:$D$37),IF(OR(F108="Individual",F108="HUF"),SUMPRODUCT(('Rate Lookup'!$A$1:$A$37=G108)*'Rate Lookup'!$B$1:$B$37),SUMPRODUCT(('Rate Lookup'!$A$1:$A$37=G108)*'Rate Lookup'!$C$1:$C$37)))))))</f>
      </c>
      <c r="I108" s="8"/>
      <c r="J108" s="8"/>
      <c r="K108" s="7">
        <f>IF($C108="","",IF(OR(P108="B",P108="D",P108="E",P108="N",P108="O",P108="P",P108="Q",P108="S",P108="Y",P108="Z"),0,ROUND(J108*H108/100,0)))</f>
      </c>
      <c r="L108" s="7">
        <f>IF($C108="","",0)</f>
      </c>
      <c r="M108" s="7">
        <f>IF($C108="","",0)</f>
      </c>
      <c r="N108" s="7">
        <f>IF($C108="","",IF(OR(K108=0,I108="",IFERROR(INDEX('Challan Master'!$D$4:$D$207,MATCH($B108,'Challan Master'!$S$4:$S$207,0)),"")="",IFERROR(INDEX('Challan Master'!$D$4:$D$207,MATCH($B108,'Challan Master'!$S$4:$S$207,0)),"")&lt;=0),0,IF(IFERROR(INDEX('Challan Master'!$D$4:$D$207,MATCH($B108,'Challan Master'!$S$4:$S$207,0)),"")&lt;=DATE(YEAR(I108),MONTH(I108)+1,7),0,ROUND(K108*0.015*((YEAR(IFERROR(INDEX('Challan Master'!$D$4:$D$207,MATCH($B108,'Challan Master'!$S$4:$S$207,0)),""))-YEAR(I108))*12+(MONTH(IFERROR(INDEX('Challan Master'!$D$4:$D$207,MATCH($B108,'Challan Master'!$S$4:$S$207,0)),""))-MONTH(I108))+1),0))))</f>
      </c>
      <c r="O108" s="7">
        <f>IF($C108="","",0)</f>
      </c>
      <c r="P108" s="8"/>
      <c r="Q108" s="8"/>
      <c r="R108" s="8"/>
      <c r="S108" s="8"/>
      <c r="T108" s="8"/>
      <c r="U108" s="7">
        <f>IF($B108="","",IFERROR(INDEX('Challan Master'!$AA$4:$AA$207,MATCH($B108,'Challan Master'!$S$4:$S$207,0)),""))</f>
      </c>
    </row>
    <row r="109" spans="1:22" x14ac:dyDescent="0.25">
      <c r="A109" s="7">
        <f>IF($C109="","",COUNTIF($C$4:$C109,"&lt;&gt;"))</f>
      </c>
      <c r="B109" s="8"/>
      <c r="C109" s="8"/>
      <c r="D109" s="8"/>
      <c r="E109" s="7">
        <f>IF($C109="","",IF(AND(LEN(TRIM(UPPER(D109)))=10,CODE(MID(TRIM(UPPER(D109)),1,1))&gt;=65,CODE(MID(TRIM(UPPER(D109)),1,1))&lt;=90,CODE(MID(TRIM(UPPER(D109)),2,1))&gt;=65,CODE(MID(TRIM(UPPER(D109)),2,1))&lt;=90,CODE(MID(TRIM(UPPER(D109)),3,1))&gt;=65,CODE(MID(TRIM(UPPER(D109)),3,1))&lt;=90,CODE(MID(TRIM(UPPER(D109)),4,1))&gt;=65,CODE(MID(TRIM(UPPER(D109)),4,1))&lt;=90,CODE(MID(TRIM(UPPER(D109)),5,1))&gt;=65,CODE(MID(TRIM(UPPER(D109)),5,1))&lt;=90,CODE(MID(TRIM(UPPER(D109)),10,1))&gt;=65,CODE(MID(TRIM(UPPER(D109)),10,1))&lt;=90,CODE(MID(TRIM(UPPER(D109)),6,1))&gt;=48,CODE(MID(TRIM(UPPER(D109)),6,1))&lt;=57,CODE(MID(TRIM(UPPER(D109)),7,1))&gt;=48,CODE(MID(TRIM(UPPER(D109)),7,1))&lt;=57,CODE(MID(TRIM(UPPER(D109)),8,1))&gt;=48,CODE(MID(TRIM(UPPER(D109)),8,1))&lt;=57,CODE(MID(TRIM(UPPER(D109)),9,1))&gt;=48,CODE(MID(TRIM(UPPER(D109)),9,1))&lt;=57),"N","Y"))</f>
      </c>
      <c r="F109" s="7">
        <f>IF($C109="","",IF(LEN(D109)&lt;4,"",IF(UPPER(MID(D109,4,1))="P","Individual",IF(UPPER(MID(D109,4,1))="H","HUF",IF(UPPER(MID(D109,4,1))="C","Company",IF(UPPER(MID(D109,4,1))="F","Firm",IF(UPPER(MID(D109,4,1))="L","LLP",IF(UPPER(MID(D109,4,1))="T","Trust",IF(UPPER(MID(D109,4,1))="A","AOP","")))))))))</f>
      </c>
      <c r="G109" s="8"/>
      <c r="H109" s="7">
        <f>IF($C109="","",IF(R109&lt;&gt;"",R109,IF(G109="","",IF(E109="Y",SUMPRODUCT(('Rate Lookup'!$A$1:$A$37=G109)*'Rate Lookup'!$D$1:$D$37),IF(OR(F109="Individual",F109="HUF"),SUMPRODUCT(('Rate Lookup'!$A$1:$A$37=G109)*'Rate Lookup'!$B$1:$B$37),SUMPRODUCT(('Rate Lookup'!$A$1:$A$37=G109)*'Rate Lookup'!$C$1:$C$37)))))))</f>
      </c>
      <c r="I109" s="8"/>
      <c r="J109" s="8"/>
      <c r="K109" s="7">
        <f>IF($C109="","",IF(OR(P109="B",P109="D",P109="E",P109="N",P109="O",P109="P",P109="Q",P109="S",P109="Y",P109="Z"),0,ROUND(J109*H109/100,0)))</f>
      </c>
      <c r="L109" s="7">
        <f>IF($C109="","",0)</f>
      </c>
      <c r="M109" s="7">
        <f>IF($C109="","",0)</f>
      </c>
      <c r="N109" s="7">
        <f>IF($C109="","",IF(OR(K109=0,I109="",IFERROR(INDEX('Challan Master'!$D$4:$D$207,MATCH($B109,'Challan Master'!$S$4:$S$207,0)),"")="",IFERROR(INDEX('Challan Master'!$D$4:$D$207,MATCH($B109,'Challan Master'!$S$4:$S$207,0)),"")&lt;=0),0,IF(IFERROR(INDEX('Challan Master'!$D$4:$D$207,MATCH($B109,'Challan Master'!$S$4:$S$207,0)),"")&lt;=DATE(YEAR(I109),MONTH(I109)+1,7),0,ROUND(K109*0.015*((YEAR(IFERROR(INDEX('Challan Master'!$D$4:$D$207,MATCH($B109,'Challan Master'!$S$4:$S$207,0)),""))-YEAR(I109))*12+(MONTH(IFERROR(INDEX('Challan Master'!$D$4:$D$207,MATCH($B109,'Challan Master'!$S$4:$S$207,0)),""))-MONTH(I109))+1),0))))</f>
      </c>
      <c r="O109" s="7">
        <f>IF($C109="","",0)</f>
      </c>
      <c r="P109" s="8"/>
      <c r="Q109" s="8"/>
      <c r="R109" s="8"/>
      <c r="S109" s="8"/>
      <c r="T109" s="8"/>
      <c r="U109" s="7">
        <f>IF($B109="","",IFERROR(INDEX('Challan Master'!$AA$4:$AA$207,MATCH($B109,'Challan Master'!$S$4:$S$207,0)),""))</f>
      </c>
    </row>
    <row r="110" spans="1:22" x14ac:dyDescent="0.25">
      <c r="A110" s="7">
        <f>IF($C110="","",COUNTIF($C$4:$C110,"&lt;&gt;"))</f>
      </c>
      <c r="B110" s="8"/>
      <c r="C110" s="8"/>
      <c r="D110" s="8"/>
      <c r="E110" s="7">
        <f>IF($C110="","",IF(AND(LEN(TRIM(UPPER(D110)))=10,CODE(MID(TRIM(UPPER(D110)),1,1))&gt;=65,CODE(MID(TRIM(UPPER(D110)),1,1))&lt;=90,CODE(MID(TRIM(UPPER(D110)),2,1))&gt;=65,CODE(MID(TRIM(UPPER(D110)),2,1))&lt;=90,CODE(MID(TRIM(UPPER(D110)),3,1))&gt;=65,CODE(MID(TRIM(UPPER(D110)),3,1))&lt;=90,CODE(MID(TRIM(UPPER(D110)),4,1))&gt;=65,CODE(MID(TRIM(UPPER(D110)),4,1))&lt;=90,CODE(MID(TRIM(UPPER(D110)),5,1))&gt;=65,CODE(MID(TRIM(UPPER(D110)),5,1))&lt;=90,CODE(MID(TRIM(UPPER(D110)),10,1))&gt;=65,CODE(MID(TRIM(UPPER(D110)),10,1))&lt;=90,CODE(MID(TRIM(UPPER(D110)),6,1))&gt;=48,CODE(MID(TRIM(UPPER(D110)),6,1))&lt;=57,CODE(MID(TRIM(UPPER(D110)),7,1))&gt;=48,CODE(MID(TRIM(UPPER(D110)),7,1))&lt;=57,CODE(MID(TRIM(UPPER(D110)),8,1))&gt;=48,CODE(MID(TRIM(UPPER(D110)),8,1))&lt;=57,CODE(MID(TRIM(UPPER(D110)),9,1))&gt;=48,CODE(MID(TRIM(UPPER(D110)),9,1))&lt;=57),"N","Y"))</f>
      </c>
      <c r="F110" s="7">
        <f>IF($C110="","",IF(LEN(D110)&lt;4,"",IF(UPPER(MID(D110,4,1))="P","Individual",IF(UPPER(MID(D110,4,1))="H","HUF",IF(UPPER(MID(D110,4,1))="C","Company",IF(UPPER(MID(D110,4,1))="F","Firm",IF(UPPER(MID(D110,4,1))="L","LLP",IF(UPPER(MID(D110,4,1))="T","Trust",IF(UPPER(MID(D110,4,1))="A","AOP","")))))))))</f>
      </c>
      <c r="G110" s="8"/>
      <c r="H110" s="7">
        <f>IF($C110="","",IF(R110&lt;&gt;"",R110,IF(G110="","",IF(E110="Y",SUMPRODUCT(('Rate Lookup'!$A$1:$A$37=G110)*'Rate Lookup'!$D$1:$D$37),IF(OR(F110="Individual",F110="HUF"),SUMPRODUCT(('Rate Lookup'!$A$1:$A$37=G110)*'Rate Lookup'!$B$1:$B$37),SUMPRODUCT(('Rate Lookup'!$A$1:$A$37=G110)*'Rate Lookup'!$C$1:$C$37)))))))</f>
      </c>
      <c r="I110" s="8"/>
      <c r="J110" s="8"/>
      <c r="K110" s="7">
        <f>IF($C110="","",IF(OR(P110="B",P110="D",P110="E",P110="N",P110="O",P110="P",P110="Q",P110="S",P110="Y",P110="Z"),0,ROUND(J110*H110/100,0)))</f>
      </c>
      <c r="L110" s="7">
        <f>IF($C110="","",0)</f>
      </c>
      <c r="M110" s="7">
        <f>IF($C110="","",0)</f>
      </c>
      <c r="N110" s="7">
        <f>IF($C110="","",IF(OR(K110=0,I110="",IFERROR(INDEX('Challan Master'!$D$4:$D$207,MATCH($B110,'Challan Master'!$S$4:$S$207,0)),"")="",IFERROR(INDEX('Challan Master'!$D$4:$D$207,MATCH($B110,'Challan Master'!$S$4:$S$207,0)),"")&lt;=0),0,IF(IFERROR(INDEX('Challan Master'!$D$4:$D$207,MATCH($B110,'Challan Master'!$S$4:$S$207,0)),"")&lt;=DATE(YEAR(I110),MONTH(I110)+1,7),0,ROUND(K110*0.015*((YEAR(IFERROR(INDEX('Challan Master'!$D$4:$D$207,MATCH($B110,'Challan Master'!$S$4:$S$207,0)),""))-YEAR(I110))*12+(MONTH(IFERROR(INDEX('Challan Master'!$D$4:$D$207,MATCH($B110,'Challan Master'!$S$4:$S$207,0)),""))-MONTH(I110))+1),0))))</f>
      </c>
      <c r="O110" s="7">
        <f>IF($C110="","",0)</f>
      </c>
      <c r="P110" s="8"/>
      <c r="Q110" s="8"/>
      <c r="R110" s="8"/>
      <c r="S110" s="8"/>
      <c r="T110" s="8"/>
      <c r="U110" s="7">
        <f>IF($B110="","",IFERROR(INDEX('Challan Master'!$AA$4:$AA$207,MATCH($B110,'Challan Master'!$S$4:$S$207,0)),""))</f>
      </c>
    </row>
    <row r="111" spans="1:22" x14ac:dyDescent="0.25">
      <c r="A111" s="7">
        <f>IF($C111="","",COUNTIF($C$4:$C111,"&lt;&gt;"))</f>
      </c>
      <c r="B111" s="8"/>
      <c r="C111" s="8"/>
      <c r="D111" s="8"/>
      <c r="E111" s="7">
        <f>IF($C111="","",IF(AND(LEN(TRIM(UPPER(D111)))=10,CODE(MID(TRIM(UPPER(D111)),1,1))&gt;=65,CODE(MID(TRIM(UPPER(D111)),1,1))&lt;=90,CODE(MID(TRIM(UPPER(D111)),2,1))&gt;=65,CODE(MID(TRIM(UPPER(D111)),2,1))&lt;=90,CODE(MID(TRIM(UPPER(D111)),3,1))&gt;=65,CODE(MID(TRIM(UPPER(D111)),3,1))&lt;=90,CODE(MID(TRIM(UPPER(D111)),4,1))&gt;=65,CODE(MID(TRIM(UPPER(D111)),4,1))&lt;=90,CODE(MID(TRIM(UPPER(D111)),5,1))&gt;=65,CODE(MID(TRIM(UPPER(D111)),5,1))&lt;=90,CODE(MID(TRIM(UPPER(D111)),10,1))&gt;=65,CODE(MID(TRIM(UPPER(D111)),10,1))&lt;=90,CODE(MID(TRIM(UPPER(D111)),6,1))&gt;=48,CODE(MID(TRIM(UPPER(D111)),6,1))&lt;=57,CODE(MID(TRIM(UPPER(D111)),7,1))&gt;=48,CODE(MID(TRIM(UPPER(D111)),7,1))&lt;=57,CODE(MID(TRIM(UPPER(D111)),8,1))&gt;=48,CODE(MID(TRIM(UPPER(D111)),8,1))&lt;=57,CODE(MID(TRIM(UPPER(D111)),9,1))&gt;=48,CODE(MID(TRIM(UPPER(D111)),9,1))&lt;=57),"N","Y"))</f>
      </c>
      <c r="F111" s="7">
        <f>IF($C111="","",IF(LEN(D111)&lt;4,"",IF(UPPER(MID(D111,4,1))="P","Individual",IF(UPPER(MID(D111,4,1))="H","HUF",IF(UPPER(MID(D111,4,1))="C","Company",IF(UPPER(MID(D111,4,1))="F","Firm",IF(UPPER(MID(D111,4,1))="L","LLP",IF(UPPER(MID(D111,4,1))="T","Trust",IF(UPPER(MID(D111,4,1))="A","AOP","")))))))))</f>
      </c>
      <c r="G111" s="8"/>
      <c r="H111" s="7">
        <f>IF($C111="","",IF(R111&lt;&gt;"",R111,IF(G111="","",IF(E111="Y",SUMPRODUCT(('Rate Lookup'!$A$1:$A$37=G111)*'Rate Lookup'!$D$1:$D$37),IF(OR(F111="Individual",F111="HUF"),SUMPRODUCT(('Rate Lookup'!$A$1:$A$37=G111)*'Rate Lookup'!$B$1:$B$37),SUMPRODUCT(('Rate Lookup'!$A$1:$A$37=G111)*'Rate Lookup'!$C$1:$C$37)))))))</f>
      </c>
      <c r="I111" s="8"/>
      <c r="J111" s="8"/>
      <c r="K111" s="7">
        <f>IF($C111="","",IF(OR(P111="B",P111="D",P111="E",P111="N",P111="O",P111="P",P111="Q",P111="S",P111="Y",P111="Z"),0,ROUND(J111*H111/100,0)))</f>
      </c>
      <c r="L111" s="7">
        <f>IF($C111="","",0)</f>
      </c>
      <c r="M111" s="7">
        <f>IF($C111="","",0)</f>
      </c>
      <c r="N111" s="7">
        <f>IF($C111="","",IF(OR(K111=0,I111="",IFERROR(INDEX('Challan Master'!$D$4:$D$207,MATCH($B111,'Challan Master'!$S$4:$S$207,0)),"")="",IFERROR(INDEX('Challan Master'!$D$4:$D$207,MATCH($B111,'Challan Master'!$S$4:$S$207,0)),"")&lt;=0),0,IF(IFERROR(INDEX('Challan Master'!$D$4:$D$207,MATCH($B111,'Challan Master'!$S$4:$S$207,0)),"")&lt;=DATE(YEAR(I111),MONTH(I111)+1,7),0,ROUND(K111*0.015*((YEAR(IFERROR(INDEX('Challan Master'!$D$4:$D$207,MATCH($B111,'Challan Master'!$S$4:$S$207,0)),""))-YEAR(I111))*12+(MONTH(IFERROR(INDEX('Challan Master'!$D$4:$D$207,MATCH($B111,'Challan Master'!$S$4:$S$207,0)),""))-MONTH(I111))+1),0))))</f>
      </c>
      <c r="O111" s="7">
        <f>IF($C111="","",0)</f>
      </c>
      <c r="P111" s="8"/>
      <c r="Q111" s="8"/>
      <c r="R111" s="8"/>
      <c r="S111" s="8"/>
      <c r="T111" s="8"/>
      <c r="U111" s="7">
        <f>IF($B111="","",IFERROR(INDEX('Challan Master'!$AA$4:$AA$207,MATCH($B111,'Challan Master'!$S$4:$S$207,0)),""))</f>
      </c>
    </row>
    <row r="112" spans="1:22" x14ac:dyDescent="0.25">
      <c r="A112" s="7">
        <f>IF($C112="","",COUNTIF($C$4:$C112,"&lt;&gt;"))</f>
      </c>
      <c r="B112" s="8"/>
      <c r="C112" s="8"/>
      <c r="D112" s="8"/>
      <c r="E112" s="7">
        <f>IF($C112="","",IF(AND(LEN(TRIM(UPPER(D112)))=10,CODE(MID(TRIM(UPPER(D112)),1,1))&gt;=65,CODE(MID(TRIM(UPPER(D112)),1,1))&lt;=90,CODE(MID(TRIM(UPPER(D112)),2,1))&gt;=65,CODE(MID(TRIM(UPPER(D112)),2,1))&lt;=90,CODE(MID(TRIM(UPPER(D112)),3,1))&gt;=65,CODE(MID(TRIM(UPPER(D112)),3,1))&lt;=90,CODE(MID(TRIM(UPPER(D112)),4,1))&gt;=65,CODE(MID(TRIM(UPPER(D112)),4,1))&lt;=90,CODE(MID(TRIM(UPPER(D112)),5,1))&gt;=65,CODE(MID(TRIM(UPPER(D112)),5,1))&lt;=90,CODE(MID(TRIM(UPPER(D112)),10,1))&gt;=65,CODE(MID(TRIM(UPPER(D112)),10,1))&lt;=90,CODE(MID(TRIM(UPPER(D112)),6,1))&gt;=48,CODE(MID(TRIM(UPPER(D112)),6,1))&lt;=57,CODE(MID(TRIM(UPPER(D112)),7,1))&gt;=48,CODE(MID(TRIM(UPPER(D112)),7,1))&lt;=57,CODE(MID(TRIM(UPPER(D112)),8,1))&gt;=48,CODE(MID(TRIM(UPPER(D112)),8,1))&lt;=57,CODE(MID(TRIM(UPPER(D112)),9,1))&gt;=48,CODE(MID(TRIM(UPPER(D112)),9,1))&lt;=57),"N","Y"))</f>
      </c>
      <c r="F112" s="7">
        <f>IF($C112="","",IF(LEN(D112)&lt;4,"",IF(UPPER(MID(D112,4,1))="P","Individual",IF(UPPER(MID(D112,4,1))="H","HUF",IF(UPPER(MID(D112,4,1))="C","Company",IF(UPPER(MID(D112,4,1))="F","Firm",IF(UPPER(MID(D112,4,1))="L","LLP",IF(UPPER(MID(D112,4,1))="T","Trust",IF(UPPER(MID(D112,4,1))="A","AOP","")))))))))</f>
      </c>
      <c r="G112" s="8"/>
      <c r="H112" s="7">
        <f>IF($C112="","",IF(R112&lt;&gt;"",R112,IF(G112="","",IF(E112="Y",SUMPRODUCT(('Rate Lookup'!$A$1:$A$37=G112)*'Rate Lookup'!$D$1:$D$37),IF(OR(F112="Individual",F112="HUF"),SUMPRODUCT(('Rate Lookup'!$A$1:$A$37=G112)*'Rate Lookup'!$B$1:$B$37),SUMPRODUCT(('Rate Lookup'!$A$1:$A$37=G112)*'Rate Lookup'!$C$1:$C$37)))))))</f>
      </c>
      <c r="I112" s="8"/>
      <c r="J112" s="8"/>
      <c r="K112" s="7">
        <f>IF($C112="","",IF(OR(P112="B",P112="D",P112="E",P112="N",P112="O",P112="P",P112="Q",P112="S",P112="Y",P112="Z"),0,ROUND(J112*H112/100,0)))</f>
      </c>
      <c r="L112" s="7">
        <f>IF($C112="","",0)</f>
      </c>
      <c r="M112" s="7">
        <f>IF($C112="","",0)</f>
      </c>
      <c r="N112" s="7">
        <f>IF($C112="","",IF(OR(K112=0,I112="",IFERROR(INDEX('Challan Master'!$D$4:$D$207,MATCH($B112,'Challan Master'!$S$4:$S$207,0)),"")="",IFERROR(INDEX('Challan Master'!$D$4:$D$207,MATCH($B112,'Challan Master'!$S$4:$S$207,0)),"")&lt;=0),0,IF(IFERROR(INDEX('Challan Master'!$D$4:$D$207,MATCH($B112,'Challan Master'!$S$4:$S$207,0)),"")&lt;=DATE(YEAR(I112),MONTH(I112)+1,7),0,ROUND(K112*0.015*((YEAR(IFERROR(INDEX('Challan Master'!$D$4:$D$207,MATCH($B112,'Challan Master'!$S$4:$S$207,0)),""))-YEAR(I112))*12+(MONTH(IFERROR(INDEX('Challan Master'!$D$4:$D$207,MATCH($B112,'Challan Master'!$S$4:$S$207,0)),""))-MONTH(I112))+1),0))))</f>
      </c>
      <c r="O112" s="7">
        <f>IF($C112="","",0)</f>
      </c>
      <c r="P112" s="8"/>
      <c r="Q112" s="8"/>
      <c r="R112" s="8"/>
      <c r="S112" s="8"/>
      <c r="T112" s="8"/>
      <c r="U112" s="7">
        <f>IF($B112="","",IFERROR(INDEX('Challan Master'!$AA$4:$AA$207,MATCH($B112,'Challan Master'!$S$4:$S$207,0)),""))</f>
      </c>
    </row>
    <row r="113" spans="1:22" x14ac:dyDescent="0.25">
      <c r="A113" s="7">
        <f>IF($C113="","",COUNTIF($C$4:$C113,"&lt;&gt;"))</f>
      </c>
      <c r="B113" s="8"/>
      <c r="C113" s="8"/>
      <c r="D113" s="8"/>
      <c r="E113" s="7">
        <f>IF($C113="","",IF(AND(LEN(TRIM(UPPER(D113)))=10,CODE(MID(TRIM(UPPER(D113)),1,1))&gt;=65,CODE(MID(TRIM(UPPER(D113)),1,1))&lt;=90,CODE(MID(TRIM(UPPER(D113)),2,1))&gt;=65,CODE(MID(TRIM(UPPER(D113)),2,1))&lt;=90,CODE(MID(TRIM(UPPER(D113)),3,1))&gt;=65,CODE(MID(TRIM(UPPER(D113)),3,1))&lt;=90,CODE(MID(TRIM(UPPER(D113)),4,1))&gt;=65,CODE(MID(TRIM(UPPER(D113)),4,1))&lt;=90,CODE(MID(TRIM(UPPER(D113)),5,1))&gt;=65,CODE(MID(TRIM(UPPER(D113)),5,1))&lt;=90,CODE(MID(TRIM(UPPER(D113)),10,1))&gt;=65,CODE(MID(TRIM(UPPER(D113)),10,1))&lt;=90,CODE(MID(TRIM(UPPER(D113)),6,1))&gt;=48,CODE(MID(TRIM(UPPER(D113)),6,1))&lt;=57,CODE(MID(TRIM(UPPER(D113)),7,1))&gt;=48,CODE(MID(TRIM(UPPER(D113)),7,1))&lt;=57,CODE(MID(TRIM(UPPER(D113)),8,1))&gt;=48,CODE(MID(TRIM(UPPER(D113)),8,1))&lt;=57,CODE(MID(TRIM(UPPER(D113)),9,1))&gt;=48,CODE(MID(TRIM(UPPER(D113)),9,1))&lt;=57),"N","Y"))</f>
      </c>
      <c r="F113" s="7">
        <f>IF($C113="","",IF(LEN(D113)&lt;4,"",IF(UPPER(MID(D113,4,1))="P","Individual",IF(UPPER(MID(D113,4,1))="H","HUF",IF(UPPER(MID(D113,4,1))="C","Company",IF(UPPER(MID(D113,4,1))="F","Firm",IF(UPPER(MID(D113,4,1))="L","LLP",IF(UPPER(MID(D113,4,1))="T","Trust",IF(UPPER(MID(D113,4,1))="A","AOP","")))))))))</f>
      </c>
      <c r="G113" s="8"/>
      <c r="H113" s="7">
        <f>IF($C113="","",IF(R113&lt;&gt;"",R113,IF(G113="","",IF(E113="Y",SUMPRODUCT(('Rate Lookup'!$A$1:$A$37=G113)*'Rate Lookup'!$D$1:$D$37),IF(OR(F113="Individual",F113="HUF"),SUMPRODUCT(('Rate Lookup'!$A$1:$A$37=G113)*'Rate Lookup'!$B$1:$B$37),SUMPRODUCT(('Rate Lookup'!$A$1:$A$37=G113)*'Rate Lookup'!$C$1:$C$37)))))))</f>
      </c>
      <c r="I113" s="8"/>
      <c r="J113" s="8"/>
      <c r="K113" s="7">
        <f>IF($C113="","",IF(OR(P113="B",P113="D",P113="E",P113="N",P113="O",P113="P",P113="Q",P113="S",P113="Y",P113="Z"),0,ROUND(J113*H113/100,0)))</f>
      </c>
      <c r="L113" s="7">
        <f>IF($C113="","",0)</f>
      </c>
      <c r="M113" s="7">
        <f>IF($C113="","",0)</f>
      </c>
      <c r="N113" s="7">
        <f>IF($C113="","",IF(OR(K113=0,I113="",IFERROR(INDEX('Challan Master'!$D$4:$D$207,MATCH($B113,'Challan Master'!$S$4:$S$207,0)),"")="",IFERROR(INDEX('Challan Master'!$D$4:$D$207,MATCH($B113,'Challan Master'!$S$4:$S$207,0)),"")&lt;=0),0,IF(IFERROR(INDEX('Challan Master'!$D$4:$D$207,MATCH($B113,'Challan Master'!$S$4:$S$207,0)),"")&lt;=DATE(YEAR(I113),MONTH(I113)+1,7),0,ROUND(K113*0.015*((YEAR(IFERROR(INDEX('Challan Master'!$D$4:$D$207,MATCH($B113,'Challan Master'!$S$4:$S$207,0)),""))-YEAR(I113))*12+(MONTH(IFERROR(INDEX('Challan Master'!$D$4:$D$207,MATCH($B113,'Challan Master'!$S$4:$S$207,0)),""))-MONTH(I113))+1),0))))</f>
      </c>
      <c r="O113" s="7">
        <f>IF($C113="","",0)</f>
      </c>
      <c r="P113" s="8"/>
      <c r="Q113" s="8"/>
      <c r="R113" s="8"/>
      <c r="S113" s="8"/>
      <c r="T113" s="8"/>
      <c r="U113" s="7">
        <f>IF($B113="","",IFERROR(INDEX('Challan Master'!$AA$4:$AA$207,MATCH($B113,'Challan Master'!$S$4:$S$207,0)),""))</f>
      </c>
    </row>
    <row r="114" spans="1:22" x14ac:dyDescent="0.25">
      <c r="A114" s="7">
        <f>IF($C114="","",COUNTIF($C$4:$C114,"&lt;&gt;"))</f>
      </c>
      <c r="B114" s="8"/>
      <c r="C114" s="8"/>
      <c r="D114" s="8"/>
      <c r="E114" s="7">
        <f>IF($C114="","",IF(AND(LEN(TRIM(UPPER(D114)))=10,CODE(MID(TRIM(UPPER(D114)),1,1))&gt;=65,CODE(MID(TRIM(UPPER(D114)),1,1))&lt;=90,CODE(MID(TRIM(UPPER(D114)),2,1))&gt;=65,CODE(MID(TRIM(UPPER(D114)),2,1))&lt;=90,CODE(MID(TRIM(UPPER(D114)),3,1))&gt;=65,CODE(MID(TRIM(UPPER(D114)),3,1))&lt;=90,CODE(MID(TRIM(UPPER(D114)),4,1))&gt;=65,CODE(MID(TRIM(UPPER(D114)),4,1))&lt;=90,CODE(MID(TRIM(UPPER(D114)),5,1))&gt;=65,CODE(MID(TRIM(UPPER(D114)),5,1))&lt;=90,CODE(MID(TRIM(UPPER(D114)),10,1))&gt;=65,CODE(MID(TRIM(UPPER(D114)),10,1))&lt;=90,CODE(MID(TRIM(UPPER(D114)),6,1))&gt;=48,CODE(MID(TRIM(UPPER(D114)),6,1))&lt;=57,CODE(MID(TRIM(UPPER(D114)),7,1))&gt;=48,CODE(MID(TRIM(UPPER(D114)),7,1))&lt;=57,CODE(MID(TRIM(UPPER(D114)),8,1))&gt;=48,CODE(MID(TRIM(UPPER(D114)),8,1))&lt;=57,CODE(MID(TRIM(UPPER(D114)),9,1))&gt;=48,CODE(MID(TRIM(UPPER(D114)),9,1))&lt;=57),"N","Y"))</f>
      </c>
      <c r="F114" s="7">
        <f>IF($C114="","",IF(LEN(D114)&lt;4,"",IF(UPPER(MID(D114,4,1))="P","Individual",IF(UPPER(MID(D114,4,1))="H","HUF",IF(UPPER(MID(D114,4,1))="C","Company",IF(UPPER(MID(D114,4,1))="F","Firm",IF(UPPER(MID(D114,4,1))="L","LLP",IF(UPPER(MID(D114,4,1))="T","Trust",IF(UPPER(MID(D114,4,1))="A","AOP","")))))))))</f>
      </c>
      <c r="G114" s="8"/>
      <c r="H114" s="7">
        <f>IF($C114="","",IF(R114&lt;&gt;"",R114,IF(G114="","",IF(E114="Y",SUMPRODUCT(('Rate Lookup'!$A$1:$A$37=G114)*'Rate Lookup'!$D$1:$D$37),IF(OR(F114="Individual",F114="HUF"),SUMPRODUCT(('Rate Lookup'!$A$1:$A$37=G114)*'Rate Lookup'!$B$1:$B$37),SUMPRODUCT(('Rate Lookup'!$A$1:$A$37=G114)*'Rate Lookup'!$C$1:$C$37)))))))</f>
      </c>
      <c r="I114" s="8"/>
      <c r="J114" s="8"/>
      <c r="K114" s="7">
        <f>IF($C114="","",IF(OR(P114="B",P114="D",P114="E",P114="N",P114="O",P114="P",P114="Q",P114="S",P114="Y",P114="Z"),0,ROUND(J114*H114/100,0)))</f>
      </c>
      <c r="L114" s="7">
        <f>IF($C114="","",0)</f>
      </c>
      <c r="M114" s="7">
        <f>IF($C114="","",0)</f>
      </c>
      <c r="N114" s="7">
        <f>IF($C114="","",IF(OR(K114=0,I114="",IFERROR(INDEX('Challan Master'!$D$4:$D$207,MATCH($B114,'Challan Master'!$S$4:$S$207,0)),"")="",IFERROR(INDEX('Challan Master'!$D$4:$D$207,MATCH($B114,'Challan Master'!$S$4:$S$207,0)),"")&lt;=0),0,IF(IFERROR(INDEX('Challan Master'!$D$4:$D$207,MATCH($B114,'Challan Master'!$S$4:$S$207,0)),"")&lt;=DATE(YEAR(I114),MONTH(I114)+1,7),0,ROUND(K114*0.015*((YEAR(IFERROR(INDEX('Challan Master'!$D$4:$D$207,MATCH($B114,'Challan Master'!$S$4:$S$207,0)),""))-YEAR(I114))*12+(MONTH(IFERROR(INDEX('Challan Master'!$D$4:$D$207,MATCH($B114,'Challan Master'!$S$4:$S$207,0)),""))-MONTH(I114))+1),0))))</f>
      </c>
      <c r="O114" s="7">
        <f>IF($C114="","",0)</f>
      </c>
      <c r="P114" s="8"/>
      <c r="Q114" s="8"/>
      <c r="R114" s="8"/>
      <c r="S114" s="8"/>
      <c r="T114" s="8"/>
      <c r="U114" s="7">
        <f>IF($B114="","",IFERROR(INDEX('Challan Master'!$AA$4:$AA$207,MATCH($B114,'Challan Master'!$S$4:$S$207,0)),""))</f>
      </c>
    </row>
    <row r="115" spans="1:22" x14ac:dyDescent="0.25">
      <c r="A115" s="7">
        <f>IF($C115="","",COUNTIF($C$4:$C115,"&lt;&gt;"))</f>
      </c>
      <c r="B115" s="8"/>
      <c r="C115" s="8"/>
      <c r="D115" s="8"/>
      <c r="E115" s="7">
        <f>IF($C115="","",IF(AND(LEN(TRIM(UPPER(D115)))=10,CODE(MID(TRIM(UPPER(D115)),1,1))&gt;=65,CODE(MID(TRIM(UPPER(D115)),1,1))&lt;=90,CODE(MID(TRIM(UPPER(D115)),2,1))&gt;=65,CODE(MID(TRIM(UPPER(D115)),2,1))&lt;=90,CODE(MID(TRIM(UPPER(D115)),3,1))&gt;=65,CODE(MID(TRIM(UPPER(D115)),3,1))&lt;=90,CODE(MID(TRIM(UPPER(D115)),4,1))&gt;=65,CODE(MID(TRIM(UPPER(D115)),4,1))&lt;=90,CODE(MID(TRIM(UPPER(D115)),5,1))&gt;=65,CODE(MID(TRIM(UPPER(D115)),5,1))&lt;=90,CODE(MID(TRIM(UPPER(D115)),10,1))&gt;=65,CODE(MID(TRIM(UPPER(D115)),10,1))&lt;=90,CODE(MID(TRIM(UPPER(D115)),6,1))&gt;=48,CODE(MID(TRIM(UPPER(D115)),6,1))&lt;=57,CODE(MID(TRIM(UPPER(D115)),7,1))&gt;=48,CODE(MID(TRIM(UPPER(D115)),7,1))&lt;=57,CODE(MID(TRIM(UPPER(D115)),8,1))&gt;=48,CODE(MID(TRIM(UPPER(D115)),8,1))&lt;=57,CODE(MID(TRIM(UPPER(D115)),9,1))&gt;=48,CODE(MID(TRIM(UPPER(D115)),9,1))&lt;=57),"N","Y"))</f>
      </c>
      <c r="F115" s="7">
        <f>IF($C115="","",IF(LEN(D115)&lt;4,"",IF(UPPER(MID(D115,4,1))="P","Individual",IF(UPPER(MID(D115,4,1))="H","HUF",IF(UPPER(MID(D115,4,1))="C","Company",IF(UPPER(MID(D115,4,1))="F","Firm",IF(UPPER(MID(D115,4,1))="L","LLP",IF(UPPER(MID(D115,4,1))="T","Trust",IF(UPPER(MID(D115,4,1))="A","AOP","")))))))))</f>
      </c>
      <c r="G115" s="8"/>
      <c r="H115" s="7">
        <f>IF($C115="","",IF(R115&lt;&gt;"",R115,IF(G115="","",IF(E115="Y",SUMPRODUCT(('Rate Lookup'!$A$1:$A$37=G115)*'Rate Lookup'!$D$1:$D$37),IF(OR(F115="Individual",F115="HUF"),SUMPRODUCT(('Rate Lookup'!$A$1:$A$37=G115)*'Rate Lookup'!$B$1:$B$37),SUMPRODUCT(('Rate Lookup'!$A$1:$A$37=G115)*'Rate Lookup'!$C$1:$C$37)))))))</f>
      </c>
      <c r="I115" s="8"/>
      <c r="J115" s="8"/>
      <c r="K115" s="7">
        <f>IF($C115="","",IF(OR(P115="B",P115="D",P115="E",P115="N",P115="O",P115="P",P115="Q",P115="S",P115="Y",P115="Z"),0,ROUND(J115*H115/100,0)))</f>
      </c>
      <c r="L115" s="7">
        <f>IF($C115="","",0)</f>
      </c>
      <c r="M115" s="7">
        <f>IF($C115="","",0)</f>
      </c>
      <c r="N115" s="7">
        <f>IF($C115="","",IF(OR(K115=0,I115="",IFERROR(INDEX('Challan Master'!$D$4:$D$207,MATCH($B115,'Challan Master'!$S$4:$S$207,0)),"")="",IFERROR(INDEX('Challan Master'!$D$4:$D$207,MATCH($B115,'Challan Master'!$S$4:$S$207,0)),"")&lt;=0),0,IF(IFERROR(INDEX('Challan Master'!$D$4:$D$207,MATCH($B115,'Challan Master'!$S$4:$S$207,0)),"")&lt;=DATE(YEAR(I115),MONTH(I115)+1,7),0,ROUND(K115*0.015*((YEAR(IFERROR(INDEX('Challan Master'!$D$4:$D$207,MATCH($B115,'Challan Master'!$S$4:$S$207,0)),""))-YEAR(I115))*12+(MONTH(IFERROR(INDEX('Challan Master'!$D$4:$D$207,MATCH($B115,'Challan Master'!$S$4:$S$207,0)),""))-MONTH(I115))+1),0))))</f>
      </c>
      <c r="O115" s="7">
        <f>IF($C115="","",0)</f>
      </c>
      <c r="P115" s="8"/>
      <c r="Q115" s="8"/>
      <c r="R115" s="8"/>
      <c r="S115" s="8"/>
      <c r="T115" s="8"/>
      <c r="U115" s="7">
        <f>IF($B115="","",IFERROR(INDEX('Challan Master'!$AA$4:$AA$207,MATCH($B115,'Challan Master'!$S$4:$S$207,0)),""))</f>
      </c>
    </row>
    <row r="116" spans="1:22" x14ac:dyDescent="0.25">
      <c r="A116" s="7">
        <f>IF($C116="","",COUNTIF($C$4:$C116,"&lt;&gt;"))</f>
      </c>
      <c r="B116" s="8"/>
      <c r="C116" s="8"/>
      <c r="D116" s="8"/>
      <c r="E116" s="7">
        <f>IF($C116="","",IF(AND(LEN(TRIM(UPPER(D116)))=10,CODE(MID(TRIM(UPPER(D116)),1,1))&gt;=65,CODE(MID(TRIM(UPPER(D116)),1,1))&lt;=90,CODE(MID(TRIM(UPPER(D116)),2,1))&gt;=65,CODE(MID(TRIM(UPPER(D116)),2,1))&lt;=90,CODE(MID(TRIM(UPPER(D116)),3,1))&gt;=65,CODE(MID(TRIM(UPPER(D116)),3,1))&lt;=90,CODE(MID(TRIM(UPPER(D116)),4,1))&gt;=65,CODE(MID(TRIM(UPPER(D116)),4,1))&lt;=90,CODE(MID(TRIM(UPPER(D116)),5,1))&gt;=65,CODE(MID(TRIM(UPPER(D116)),5,1))&lt;=90,CODE(MID(TRIM(UPPER(D116)),10,1))&gt;=65,CODE(MID(TRIM(UPPER(D116)),10,1))&lt;=90,CODE(MID(TRIM(UPPER(D116)),6,1))&gt;=48,CODE(MID(TRIM(UPPER(D116)),6,1))&lt;=57,CODE(MID(TRIM(UPPER(D116)),7,1))&gt;=48,CODE(MID(TRIM(UPPER(D116)),7,1))&lt;=57,CODE(MID(TRIM(UPPER(D116)),8,1))&gt;=48,CODE(MID(TRIM(UPPER(D116)),8,1))&lt;=57,CODE(MID(TRIM(UPPER(D116)),9,1))&gt;=48,CODE(MID(TRIM(UPPER(D116)),9,1))&lt;=57),"N","Y"))</f>
      </c>
      <c r="F116" s="7">
        <f>IF($C116="","",IF(LEN(D116)&lt;4,"",IF(UPPER(MID(D116,4,1))="P","Individual",IF(UPPER(MID(D116,4,1))="H","HUF",IF(UPPER(MID(D116,4,1))="C","Company",IF(UPPER(MID(D116,4,1))="F","Firm",IF(UPPER(MID(D116,4,1))="L","LLP",IF(UPPER(MID(D116,4,1))="T","Trust",IF(UPPER(MID(D116,4,1))="A","AOP","")))))))))</f>
      </c>
      <c r="G116" s="8"/>
      <c r="H116" s="7">
        <f>IF($C116="","",IF(R116&lt;&gt;"",R116,IF(G116="","",IF(E116="Y",SUMPRODUCT(('Rate Lookup'!$A$1:$A$37=G116)*'Rate Lookup'!$D$1:$D$37),IF(OR(F116="Individual",F116="HUF"),SUMPRODUCT(('Rate Lookup'!$A$1:$A$37=G116)*'Rate Lookup'!$B$1:$B$37),SUMPRODUCT(('Rate Lookup'!$A$1:$A$37=G116)*'Rate Lookup'!$C$1:$C$37)))))))</f>
      </c>
      <c r="I116" s="8"/>
      <c r="J116" s="8"/>
      <c r="K116" s="7">
        <f>IF($C116="","",IF(OR(P116="B",P116="D",P116="E",P116="N",P116="O",P116="P",P116="Q",P116="S",P116="Y",P116="Z"),0,ROUND(J116*H116/100,0)))</f>
      </c>
      <c r="L116" s="7">
        <f>IF($C116="","",0)</f>
      </c>
      <c r="M116" s="7">
        <f>IF($C116="","",0)</f>
      </c>
      <c r="N116" s="7">
        <f>IF($C116="","",IF(OR(K116=0,I116="",IFERROR(INDEX('Challan Master'!$D$4:$D$207,MATCH($B116,'Challan Master'!$S$4:$S$207,0)),"")="",IFERROR(INDEX('Challan Master'!$D$4:$D$207,MATCH($B116,'Challan Master'!$S$4:$S$207,0)),"")&lt;=0),0,IF(IFERROR(INDEX('Challan Master'!$D$4:$D$207,MATCH($B116,'Challan Master'!$S$4:$S$207,0)),"")&lt;=DATE(YEAR(I116),MONTH(I116)+1,7),0,ROUND(K116*0.015*((YEAR(IFERROR(INDEX('Challan Master'!$D$4:$D$207,MATCH($B116,'Challan Master'!$S$4:$S$207,0)),""))-YEAR(I116))*12+(MONTH(IFERROR(INDEX('Challan Master'!$D$4:$D$207,MATCH($B116,'Challan Master'!$S$4:$S$207,0)),""))-MONTH(I116))+1),0))))</f>
      </c>
      <c r="O116" s="7">
        <f>IF($C116="","",0)</f>
      </c>
      <c r="P116" s="8"/>
      <c r="Q116" s="8"/>
      <c r="R116" s="8"/>
      <c r="S116" s="8"/>
      <c r="T116" s="8"/>
      <c r="U116" s="7">
        <f>IF($B116="","",IFERROR(INDEX('Challan Master'!$AA$4:$AA$207,MATCH($B116,'Challan Master'!$S$4:$S$207,0)),""))</f>
      </c>
    </row>
    <row r="117" spans="1:22" x14ac:dyDescent="0.25">
      <c r="A117" s="7">
        <f>IF($C117="","",COUNTIF($C$4:$C117,"&lt;&gt;"))</f>
      </c>
      <c r="B117" s="8"/>
      <c r="C117" s="8"/>
      <c r="D117" s="8"/>
      <c r="E117" s="7">
        <f>IF($C117="","",IF(AND(LEN(TRIM(UPPER(D117)))=10,CODE(MID(TRIM(UPPER(D117)),1,1))&gt;=65,CODE(MID(TRIM(UPPER(D117)),1,1))&lt;=90,CODE(MID(TRIM(UPPER(D117)),2,1))&gt;=65,CODE(MID(TRIM(UPPER(D117)),2,1))&lt;=90,CODE(MID(TRIM(UPPER(D117)),3,1))&gt;=65,CODE(MID(TRIM(UPPER(D117)),3,1))&lt;=90,CODE(MID(TRIM(UPPER(D117)),4,1))&gt;=65,CODE(MID(TRIM(UPPER(D117)),4,1))&lt;=90,CODE(MID(TRIM(UPPER(D117)),5,1))&gt;=65,CODE(MID(TRIM(UPPER(D117)),5,1))&lt;=90,CODE(MID(TRIM(UPPER(D117)),10,1))&gt;=65,CODE(MID(TRIM(UPPER(D117)),10,1))&lt;=90,CODE(MID(TRIM(UPPER(D117)),6,1))&gt;=48,CODE(MID(TRIM(UPPER(D117)),6,1))&lt;=57,CODE(MID(TRIM(UPPER(D117)),7,1))&gt;=48,CODE(MID(TRIM(UPPER(D117)),7,1))&lt;=57,CODE(MID(TRIM(UPPER(D117)),8,1))&gt;=48,CODE(MID(TRIM(UPPER(D117)),8,1))&lt;=57,CODE(MID(TRIM(UPPER(D117)),9,1))&gt;=48,CODE(MID(TRIM(UPPER(D117)),9,1))&lt;=57),"N","Y"))</f>
      </c>
      <c r="F117" s="7">
        <f>IF($C117="","",IF(LEN(D117)&lt;4,"",IF(UPPER(MID(D117,4,1))="P","Individual",IF(UPPER(MID(D117,4,1))="H","HUF",IF(UPPER(MID(D117,4,1))="C","Company",IF(UPPER(MID(D117,4,1))="F","Firm",IF(UPPER(MID(D117,4,1))="L","LLP",IF(UPPER(MID(D117,4,1))="T","Trust",IF(UPPER(MID(D117,4,1))="A","AOP","")))))))))</f>
      </c>
      <c r="G117" s="8"/>
      <c r="H117" s="7">
        <f>IF($C117="","",IF(R117&lt;&gt;"",R117,IF(G117="","",IF(E117="Y",SUMPRODUCT(('Rate Lookup'!$A$1:$A$37=G117)*'Rate Lookup'!$D$1:$D$37),IF(OR(F117="Individual",F117="HUF"),SUMPRODUCT(('Rate Lookup'!$A$1:$A$37=G117)*'Rate Lookup'!$B$1:$B$37),SUMPRODUCT(('Rate Lookup'!$A$1:$A$37=G117)*'Rate Lookup'!$C$1:$C$37)))))))</f>
      </c>
      <c r="I117" s="8"/>
      <c r="J117" s="8"/>
      <c r="K117" s="7">
        <f>IF($C117="","",IF(OR(P117="B",P117="D",P117="E",P117="N",P117="O",P117="P",P117="Q",P117="S",P117="Y",P117="Z"),0,ROUND(J117*H117/100,0)))</f>
      </c>
      <c r="L117" s="7">
        <f>IF($C117="","",0)</f>
      </c>
      <c r="M117" s="7">
        <f>IF($C117="","",0)</f>
      </c>
      <c r="N117" s="7">
        <f>IF($C117="","",IF(OR(K117=0,I117="",IFERROR(INDEX('Challan Master'!$D$4:$D$207,MATCH($B117,'Challan Master'!$S$4:$S$207,0)),"")="",IFERROR(INDEX('Challan Master'!$D$4:$D$207,MATCH($B117,'Challan Master'!$S$4:$S$207,0)),"")&lt;=0),0,IF(IFERROR(INDEX('Challan Master'!$D$4:$D$207,MATCH($B117,'Challan Master'!$S$4:$S$207,0)),"")&lt;=DATE(YEAR(I117),MONTH(I117)+1,7),0,ROUND(K117*0.015*((YEAR(IFERROR(INDEX('Challan Master'!$D$4:$D$207,MATCH($B117,'Challan Master'!$S$4:$S$207,0)),""))-YEAR(I117))*12+(MONTH(IFERROR(INDEX('Challan Master'!$D$4:$D$207,MATCH($B117,'Challan Master'!$S$4:$S$207,0)),""))-MONTH(I117))+1),0))))</f>
      </c>
      <c r="O117" s="7">
        <f>IF($C117="","",0)</f>
      </c>
      <c r="P117" s="8"/>
      <c r="Q117" s="8"/>
      <c r="R117" s="8"/>
      <c r="S117" s="8"/>
      <c r="T117" s="8"/>
      <c r="U117" s="7">
        <f>IF($B117="","",IFERROR(INDEX('Challan Master'!$AA$4:$AA$207,MATCH($B117,'Challan Master'!$S$4:$S$207,0)),""))</f>
      </c>
    </row>
    <row r="118" spans="1:22" x14ac:dyDescent="0.25">
      <c r="A118" s="7">
        <f>IF($C118="","",COUNTIF($C$4:$C118,"&lt;&gt;"))</f>
      </c>
      <c r="B118" s="8"/>
      <c r="C118" s="8"/>
      <c r="D118" s="8"/>
      <c r="E118" s="7">
        <f>IF($C118="","",IF(AND(LEN(TRIM(UPPER(D118)))=10,CODE(MID(TRIM(UPPER(D118)),1,1))&gt;=65,CODE(MID(TRIM(UPPER(D118)),1,1))&lt;=90,CODE(MID(TRIM(UPPER(D118)),2,1))&gt;=65,CODE(MID(TRIM(UPPER(D118)),2,1))&lt;=90,CODE(MID(TRIM(UPPER(D118)),3,1))&gt;=65,CODE(MID(TRIM(UPPER(D118)),3,1))&lt;=90,CODE(MID(TRIM(UPPER(D118)),4,1))&gt;=65,CODE(MID(TRIM(UPPER(D118)),4,1))&lt;=90,CODE(MID(TRIM(UPPER(D118)),5,1))&gt;=65,CODE(MID(TRIM(UPPER(D118)),5,1))&lt;=90,CODE(MID(TRIM(UPPER(D118)),10,1))&gt;=65,CODE(MID(TRIM(UPPER(D118)),10,1))&lt;=90,CODE(MID(TRIM(UPPER(D118)),6,1))&gt;=48,CODE(MID(TRIM(UPPER(D118)),6,1))&lt;=57,CODE(MID(TRIM(UPPER(D118)),7,1))&gt;=48,CODE(MID(TRIM(UPPER(D118)),7,1))&lt;=57,CODE(MID(TRIM(UPPER(D118)),8,1))&gt;=48,CODE(MID(TRIM(UPPER(D118)),8,1))&lt;=57,CODE(MID(TRIM(UPPER(D118)),9,1))&gt;=48,CODE(MID(TRIM(UPPER(D118)),9,1))&lt;=57),"N","Y"))</f>
      </c>
      <c r="F118" s="7">
        <f>IF($C118="","",IF(LEN(D118)&lt;4,"",IF(UPPER(MID(D118,4,1))="P","Individual",IF(UPPER(MID(D118,4,1))="H","HUF",IF(UPPER(MID(D118,4,1))="C","Company",IF(UPPER(MID(D118,4,1))="F","Firm",IF(UPPER(MID(D118,4,1))="L","LLP",IF(UPPER(MID(D118,4,1))="T","Trust",IF(UPPER(MID(D118,4,1))="A","AOP","")))))))))</f>
      </c>
      <c r="G118" s="8"/>
      <c r="H118" s="7">
        <f>IF($C118="","",IF(R118&lt;&gt;"",R118,IF(G118="","",IF(E118="Y",SUMPRODUCT(('Rate Lookup'!$A$1:$A$37=G118)*'Rate Lookup'!$D$1:$D$37),IF(OR(F118="Individual",F118="HUF"),SUMPRODUCT(('Rate Lookup'!$A$1:$A$37=G118)*'Rate Lookup'!$B$1:$B$37),SUMPRODUCT(('Rate Lookup'!$A$1:$A$37=G118)*'Rate Lookup'!$C$1:$C$37)))))))</f>
      </c>
      <c r="I118" s="8"/>
      <c r="J118" s="8"/>
      <c r="K118" s="7">
        <f>IF($C118="","",IF(OR(P118="B",P118="D",P118="E",P118="N",P118="O",P118="P",P118="Q",P118="S",P118="Y",P118="Z"),0,ROUND(J118*H118/100,0)))</f>
      </c>
      <c r="L118" s="7">
        <f>IF($C118="","",0)</f>
      </c>
      <c r="M118" s="7">
        <f>IF($C118="","",0)</f>
      </c>
      <c r="N118" s="7">
        <f>IF($C118="","",IF(OR(K118=0,I118="",IFERROR(INDEX('Challan Master'!$D$4:$D$207,MATCH($B118,'Challan Master'!$S$4:$S$207,0)),"")="",IFERROR(INDEX('Challan Master'!$D$4:$D$207,MATCH($B118,'Challan Master'!$S$4:$S$207,0)),"")&lt;=0),0,IF(IFERROR(INDEX('Challan Master'!$D$4:$D$207,MATCH($B118,'Challan Master'!$S$4:$S$207,0)),"")&lt;=DATE(YEAR(I118),MONTH(I118)+1,7),0,ROUND(K118*0.015*((YEAR(IFERROR(INDEX('Challan Master'!$D$4:$D$207,MATCH($B118,'Challan Master'!$S$4:$S$207,0)),""))-YEAR(I118))*12+(MONTH(IFERROR(INDEX('Challan Master'!$D$4:$D$207,MATCH($B118,'Challan Master'!$S$4:$S$207,0)),""))-MONTH(I118))+1),0))))</f>
      </c>
      <c r="O118" s="7">
        <f>IF($C118="","",0)</f>
      </c>
      <c r="P118" s="8"/>
      <c r="Q118" s="8"/>
      <c r="R118" s="8"/>
      <c r="S118" s="8"/>
      <c r="T118" s="8"/>
      <c r="U118" s="7">
        <f>IF($B118="","",IFERROR(INDEX('Challan Master'!$AA$4:$AA$207,MATCH($B118,'Challan Master'!$S$4:$S$207,0)),""))</f>
      </c>
    </row>
    <row r="119" spans="1:22" x14ac:dyDescent="0.25">
      <c r="A119" s="7">
        <f>IF($C119="","",COUNTIF($C$4:$C119,"&lt;&gt;"))</f>
      </c>
      <c r="B119" s="8"/>
      <c r="C119" s="8"/>
      <c r="D119" s="8"/>
      <c r="E119" s="7">
        <f>IF($C119="","",IF(AND(LEN(TRIM(UPPER(D119)))=10,CODE(MID(TRIM(UPPER(D119)),1,1))&gt;=65,CODE(MID(TRIM(UPPER(D119)),1,1))&lt;=90,CODE(MID(TRIM(UPPER(D119)),2,1))&gt;=65,CODE(MID(TRIM(UPPER(D119)),2,1))&lt;=90,CODE(MID(TRIM(UPPER(D119)),3,1))&gt;=65,CODE(MID(TRIM(UPPER(D119)),3,1))&lt;=90,CODE(MID(TRIM(UPPER(D119)),4,1))&gt;=65,CODE(MID(TRIM(UPPER(D119)),4,1))&lt;=90,CODE(MID(TRIM(UPPER(D119)),5,1))&gt;=65,CODE(MID(TRIM(UPPER(D119)),5,1))&lt;=90,CODE(MID(TRIM(UPPER(D119)),10,1))&gt;=65,CODE(MID(TRIM(UPPER(D119)),10,1))&lt;=90,CODE(MID(TRIM(UPPER(D119)),6,1))&gt;=48,CODE(MID(TRIM(UPPER(D119)),6,1))&lt;=57,CODE(MID(TRIM(UPPER(D119)),7,1))&gt;=48,CODE(MID(TRIM(UPPER(D119)),7,1))&lt;=57,CODE(MID(TRIM(UPPER(D119)),8,1))&gt;=48,CODE(MID(TRIM(UPPER(D119)),8,1))&lt;=57,CODE(MID(TRIM(UPPER(D119)),9,1))&gt;=48,CODE(MID(TRIM(UPPER(D119)),9,1))&lt;=57),"N","Y"))</f>
      </c>
      <c r="F119" s="7">
        <f>IF($C119="","",IF(LEN(D119)&lt;4,"",IF(UPPER(MID(D119,4,1))="P","Individual",IF(UPPER(MID(D119,4,1))="H","HUF",IF(UPPER(MID(D119,4,1))="C","Company",IF(UPPER(MID(D119,4,1))="F","Firm",IF(UPPER(MID(D119,4,1))="L","LLP",IF(UPPER(MID(D119,4,1))="T","Trust",IF(UPPER(MID(D119,4,1))="A","AOP","")))))))))</f>
      </c>
      <c r="G119" s="8"/>
      <c r="H119" s="7">
        <f>IF($C119="","",IF(R119&lt;&gt;"",R119,IF(G119="","",IF(E119="Y",SUMPRODUCT(('Rate Lookup'!$A$1:$A$37=G119)*'Rate Lookup'!$D$1:$D$37),IF(OR(F119="Individual",F119="HUF"),SUMPRODUCT(('Rate Lookup'!$A$1:$A$37=G119)*'Rate Lookup'!$B$1:$B$37),SUMPRODUCT(('Rate Lookup'!$A$1:$A$37=G119)*'Rate Lookup'!$C$1:$C$37)))))))</f>
      </c>
      <c r="I119" s="8"/>
      <c r="J119" s="8"/>
      <c r="K119" s="7">
        <f>IF($C119="","",IF(OR(P119="B",P119="D",P119="E",P119="N",P119="O",P119="P",P119="Q",P119="S",P119="Y",P119="Z"),0,ROUND(J119*H119/100,0)))</f>
      </c>
      <c r="L119" s="7">
        <f>IF($C119="","",0)</f>
      </c>
      <c r="M119" s="7">
        <f>IF($C119="","",0)</f>
      </c>
      <c r="N119" s="7">
        <f>IF($C119="","",IF(OR(K119=0,I119="",IFERROR(INDEX('Challan Master'!$D$4:$D$207,MATCH($B119,'Challan Master'!$S$4:$S$207,0)),"")="",IFERROR(INDEX('Challan Master'!$D$4:$D$207,MATCH($B119,'Challan Master'!$S$4:$S$207,0)),"")&lt;=0),0,IF(IFERROR(INDEX('Challan Master'!$D$4:$D$207,MATCH($B119,'Challan Master'!$S$4:$S$207,0)),"")&lt;=DATE(YEAR(I119),MONTH(I119)+1,7),0,ROUND(K119*0.015*((YEAR(IFERROR(INDEX('Challan Master'!$D$4:$D$207,MATCH($B119,'Challan Master'!$S$4:$S$207,0)),""))-YEAR(I119))*12+(MONTH(IFERROR(INDEX('Challan Master'!$D$4:$D$207,MATCH($B119,'Challan Master'!$S$4:$S$207,0)),""))-MONTH(I119))+1),0))))</f>
      </c>
      <c r="O119" s="7">
        <f>IF($C119="","",0)</f>
      </c>
      <c r="P119" s="8"/>
      <c r="Q119" s="8"/>
      <c r="R119" s="8"/>
      <c r="S119" s="8"/>
      <c r="T119" s="8"/>
      <c r="U119" s="7">
        <f>IF($B119="","",IFERROR(INDEX('Challan Master'!$AA$4:$AA$207,MATCH($B119,'Challan Master'!$S$4:$S$207,0)),""))</f>
      </c>
    </row>
    <row r="120" spans="1:22" x14ac:dyDescent="0.25">
      <c r="A120" s="7">
        <f>IF($C120="","",COUNTIF($C$4:$C120,"&lt;&gt;"))</f>
      </c>
      <c r="B120" s="8"/>
      <c r="C120" s="8"/>
      <c r="D120" s="8"/>
      <c r="E120" s="7">
        <f>IF($C120="","",IF(AND(LEN(TRIM(UPPER(D120)))=10,CODE(MID(TRIM(UPPER(D120)),1,1))&gt;=65,CODE(MID(TRIM(UPPER(D120)),1,1))&lt;=90,CODE(MID(TRIM(UPPER(D120)),2,1))&gt;=65,CODE(MID(TRIM(UPPER(D120)),2,1))&lt;=90,CODE(MID(TRIM(UPPER(D120)),3,1))&gt;=65,CODE(MID(TRIM(UPPER(D120)),3,1))&lt;=90,CODE(MID(TRIM(UPPER(D120)),4,1))&gt;=65,CODE(MID(TRIM(UPPER(D120)),4,1))&lt;=90,CODE(MID(TRIM(UPPER(D120)),5,1))&gt;=65,CODE(MID(TRIM(UPPER(D120)),5,1))&lt;=90,CODE(MID(TRIM(UPPER(D120)),10,1))&gt;=65,CODE(MID(TRIM(UPPER(D120)),10,1))&lt;=90,CODE(MID(TRIM(UPPER(D120)),6,1))&gt;=48,CODE(MID(TRIM(UPPER(D120)),6,1))&lt;=57,CODE(MID(TRIM(UPPER(D120)),7,1))&gt;=48,CODE(MID(TRIM(UPPER(D120)),7,1))&lt;=57,CODE(MID(TRIM(UPPER(D120)),8,1))&gt;=48,CODE(MID(TRIM(UPPER(D120)),8,1))&lt;=57,CODE(MID(TRIM(UPPER(D120)),9,1))&gt;=48,CODE(MID(TRIM(UPPER(D120)),9,1))&lt;=57),"N","Y"))</f>
      </c>
      <c r="F120" s="7">
        <f>IF($C120="","",IF(LEN(D120)&lt;4,"",IF(UPPER(MID(D120,4,1))="P","Individual",IF(UPPER(MID(D120,4,1))="H","HUF",IF(UPPER(MID(D120,4,1))="C","Company",IF(UPPER(MID(D120,4,1))="F","Firm",IF(UPPER(MID(D120,4,1))="L","LLP",IF(UPPER(MID(D120,4,1))="T","Trust",IF(UPPER(MID(D120,4,1))="A","AOP","")))))))))</f>
      </c>
      <c r="G120" s="8"/>
      <c r="H120" s="7">
        <f>IF($C120="","",IF(R120&lt;&gt;"",R120,IF(G120="","",IF(E120="Y",SUMPRODUCT(('Rate Lookup'!$A$1:$A$37=G120)*'Rate Lookup'!$D$1:$D$37),IF(OR(F120="Individual",F120="HUF"),SUMPRODUCT(('Rate Lookup'!$A$1:$A$37=G120)*'Rate Lookup'!$B$1:$B$37),SUMPRODUCT(('Rate Lookup'!$A$1:$A$37=G120)*'Rate Lookup'!$C$1:$C$37)))))))</f>
      </c>
      <c r="I120" s="8"/>
      <c r="J120" s="8"/>
      <c r="K120" s="7">
        <f>IF($C120="","",IF(OR(P120="B",P120="D",P120="E",P120="N",P120="O",P120="P",P120="Q",P120="S",P120="Y",P120="Z"),0,ROUND(J120*H120/100,0)))</f>
      </c>
      <c r="L120" s="7">
        <f>IF($C120="","",0)</f>
      </c>
      <c r="M120" s="7">
        <f>IF($C120="","",0)</f>
      </c>
      <c r="N120" s="7">
        <f>IF($C120="","",IF(OR(K120=0,I120="",IFERROR(INDEX('Challan Master'!$D$4:$D$207,MATCH($B120,'Challan Master'!$S$4:$S$207,0)),"")="",IFERROR(INDEX('Challan Master'!$D$4:$D$207,MATCH($B120,'Challan Master'!$S$4:$S$207,0)),"")&lt;=0),0,IF(IFERROR(INDEX('Challan Master'!$D$4:$D$207,MATCH($B120,'Challan Master'!$S$4:$S$207,0)),"")&lt;=DATE(YEAR(I120),MONTH(I120)+1,7),0,ROUND(K120*0.015*((YEAR(IFERROR(INDEX('Challan Master'!$D$4:$D$207,MATCH($B120,'Challan Master'!$S$4:$S$207,0)),""))-YEAR(I120))*12+(MONTH(IFERROR(INDEX('Challan Master'!$D$4:$D$207,MATCH($B120,'Challan Master'!$S$4:$S$207,0)),""))-MONTH(I120))+1),0))))</f>
      </c>
      <c r="O120" s="7">
        <f>IF($C120="","",0)</f>
      </c>
      <c r="P120" s="8"/>
      <c r="Q120" s="8"/>
      <c r="R120" s="8"/>
      <c r="S120" s="8"/>
      <c r="T120" s="8"/>
      <c r="U120" s="7">
        <f>IF($B120="","",IFERROR(INDEX('Challan Master'!$AA$4:$AA$207,MATCH($B120,'Challan Master'!$S$4:$S$207,0)),""))</f>
      </c>
    </row>
    <row r="121" spans="1:22" x14ac:dyDescent="0.25">
      <c r="A121" s="7">
        <f>IF($C121="","",COUNTIF($C$4:$C121,"&lt;&gt;"))</f>
      </c>
      <c r="B121" s="8"/>
      <c r="C121" s="8"/>
      <c r="D121" s="8"/>
      <c r="E121" s="7">
        <f>IF($C121="","",IF(AND(LEN(TRIM(UPPER(D121)))=10,CODE(MID(TRIM(UPPER(D121)),1,1))&gt;=65,CODE(MID(TRIM(UPPER(D121)),1,1))&lt;=90,CODE(MID(TRIM(UPPER(D121)),2,1))&gt;=65,CODE(MID(TRIM(UPPER(D121)),2,1))&lt;=90,CODE(MID(TRIM(UPPER(D121)),3,1))&gt;=65,CODE(MID(TRIM(UPPER(D121)),3,1))&lt;=90,CODE(MID(TRIM(UPPER(D121)),4,1))&gt;=65,CODE(MID(TRIM(UPPER(D121)),4,1))&lt;=90,CODE(MID(TRIM(UPPER(D121)),5,1))&gt;=65,CODE(MID(TRIM(UPPER(D121)),5,1))&lt;=90,CODE(MID(TRIM(UPPER(D121)),10,1))&gt;=65,CODE(MID(TRIM(UPPER(D121)),10,1))&lt;=90,CODE(MID(TRIM(UPPER(D121)),6,1))&gt;=48,CODE(MID(TRIM(UPPER(D121)),6,1))&lt;=57,CODE(MID(TRIM(UPPER(D121)),7,1))&gt;=48,CODE(MID(TRIM(UPPER(D121)),7,1))&lt;=57,CODE(MID(TRIM(UPPER(D121)),8,1))&gt;=48,CODE(MID(TRIM(UPPER(D121)),8,1))&lt;=57,CODE(MID(TRIM(UPPER(D121)),9,1))&gt;=48,CODE(MID(TRIM(UPPER(D121)),9,1))&lt;=57),"N","Y"))</f>
      </c>
      <c r="F121" s="7">
        <f>IF($C121="","",IF(LEN(D121)&lt;4,"",IF(UPPER(MID(D121,4,1))="P","Individual",IF(UPPER(MID(D121,4,1))="H","HUF",IF(UPPER(MID(D121,4,1))="C","Company",IF(UPPER(MID(D121,4,1))="F","Firm",IF(UPPER(MID(D121,4,1))="L","LLP",IF(UPPER(MID(D121,4,1))="T","Trust",IF(UPPER(MID(D121,4,1))="A","AOP","")))))))))</f>
      </c>
      <c r="G121" s="8"/>
      <c r="H121" s="7">
        <f>IF($C121="","",IF(R121&lt;&gt;"",R121,IF(G121="","",IF(E121="Y",SUMPRODUCT(('Rate Lookup'!$A$1:$A$37=G121)*'Rate Lookup'!$D$1:$D$37),IF(OR(F121="Individual",F121="HUF"),SUMPRODUCT(('Rate Lookup'!$A$1:$A$37=G121)*'Rate Lookup'!$B$1:$B$37),SUMPRODUCT(('Rate Lookup'!$A$1:$A$37=G121)*'Rate Lookup'!$C$1:$C$37)))))))</f>
      </c>
      <c r="I121" s="8"/>
      <c r="J121" s="8"/>
      <c r="K121" s="7">
        <f>IF($C121="","",IF(OR(P121="B",P121="D",P121="E",P121="N",P121="O",P121="P",P121="Q",P121="S",P121="Y",P121="Z"),0,ROUND(J121*H121/100,0)))</f>
      </c>
      <c r="L121" s="7">
        <f>IF($C121="","",0)</f>
      </c>
      <c r="M121" s="7">
        <f>IF($C121="","",0)</f>
      </c>
      <c r="N121" s="7">
        <f>IF($C121="","",IF(OR(K121=0,I121="",IFERROR(INDEX('Challan Master'!$D$4:$D$207,MATCH($B121,'Challan Master'!$S$4:$S$207,0)),"")="",IFERROR(INDEX('Challan Master'!$D$4:$D$207,MATCH($B121,'Challan Master'!$S$4:$S$207,0)),"")&lt;=0),0,IF(IFERROR(INDEX('Challan Master'!$D$4:$D$207,MATCH($B121,'Challan Master'!$S$4:$S$207,0)),"")&lt;=DATE(YEAR(I121),MONTH(I121)+1,7),0,ROUND(K121*0.015*((YEAR(IFERROR(INDEX('Challan Master'!$D$4:$D$207,MATCH($B121,'Challan Master'!$S$4:$S$207,0)),""))-YEAR(I121))*12+(MONTH(IFERROR(INDEX('Challan Master'!$D$4:$D$207,MATCH($B121,'Challan Master'!$S$4:$S$207,0)),""))-MONTH(I121))+1),0))))</f>
      </c>
      <c r="O121" s="7">
        <f>IF($C121="","",0)</f>
      </c>
      <c r="P121" s="8"/>
      <c r="Q121" s="8"/>
      <c r="R121" s="8"/>
      <c r="S121" s="8"/>
      <c r="T121" s="8"/>
      <c r="U121" s="7">
        <f>IF($B121="","",IFERROR(INDEX('Challan Master'!$AA$4:$AA$207,MATCH($B121,'Challan Master'!$S$4:$S$207,0)),""))</f>
      </c>
    </row>
    <row r="122" spans="1:22" x14ac:dyDescent="0.25">
      <c r="A122" s="7">
        <f>IF($C122="","",COUNTIF($C$4:$C122,"&lt;&gt;"))</f>
      </c>
      <c r="B122" s="8"/>
      <c r="C122" s="8"/>
      <c r="D122" s="8"/>
      <c r="E122" s="7">
        <f>IF($C122="","",IF(AND(LEN(TRIM(UPPER(D122)))=10,CODE(MID(TRIM(UPPER(D122)),1,1))&gt;=65,CODE(MID(TRIM(UPPER(D122)),1,1))&lt;=90,CODE(MID(TRIM(UPPER(D122)),2,1))&gt;=65,CODE(MID(TRIM(UPPER(D122)),2,1))&lt;=90,CODE(MID(TRIM(UPPER(D122)),3,1))&gt;=65,CODE(MID(TRIM(UPPER(D122)),3,1))&lt;=90,CODE(MID(TRIM(UPPER(D122)),4,1))&gt;=65,CODE(MID(TRIM(UPPER(D122)),4,1))&lt;=90,CODE(MID(TRIM(UPPER(D122)),5,1))&gt;=65,CODE(MID(TRIM(UPPER(D122)),5,1))&lt;=90,CODE(MID(TRIM(UPPER(D122)),10,1))&gt;=65,CODE(MID(TRIM(UPPER(D122)),10,1))&lt;=90,CODE(MID(TRIM(UPPER(D122)),6,1))&gt;=48,CODE(MID(TRIM(UPPER(D122)),6,1))&lt;=57,CODE(MID(TRIM(UPPER(D122)),7,1))&gt;=48,CODE(MID(TRIM(UPPER(D122)),7,1))&lt;=57,CODE(MID(TRIM(UPPER(D122)),8,1))&gt;=48,CODE(MID(TRIM(UPPER(D122)),8,1))&lt;=57,CODE(MID(TRIM(UPPER(D122)),9,1))&gt;=48,CODE(MID(TRIM(UPPER(D122)),9,1))&lt;=57),"N","Y"))</f>
      </c>
      <c r="F122" s="7">
        <f>IF($C122="","",IF(LEN(D122)&lt;4,"",IF(UPPER(MID(D122,4,1))="P","Individual",IF(UPPER(MID(D122,4,1))="H","HUF",IF(UPPER(MID(D122,4,1))="C","Company",IF(UPPER(MID(D122,4,1))="F","Firm",IF(UPPER(MID(D122,4,1))="L","LLP",IF(UPPER(MID(D122,4,1))="T","Trust",IF(UPPER(MID(D122,4,1))="A","AOP","")))))))))</f>
      </c>
      <c r="G122" s="8"/>
      <c r="H122" s="7">
        <f>IF($C122="","",IF(R122&lt;&gt;"",R122,IF(G122="","",IF(E122="Y",SUMPRODUCT(('Rate Lookup'!$A$1:$A$37=G122)*'Rate Lookup'!$D$1:$D$37),IF(OR(F122="Individual",F122="HUF"),SUMPRODUCT(('Rate Lookup'!$A$1:$A$37=G122)*'Rate Lookup'!$B$1:$B$37),SUMPRODUCT(('Rate Lookup'!$A$1:$A$37=G122)*'Rate Lookup'!$C$1:$C$37)))))))</f>
      </c>
      <c r="I122" s="8"/>
      <c r="J122" s="8"/>
      <c r="K122" s="7">
        <f>IF($C122="","",IF(OR(P122="B",P122="D",P122="E",P122="N",P122="O",P122="P",P122="Q",P122="S",P122="Y",P122="Z"),0,ROUND(J122*H122/100,0)))</f>
      </c>
      <c r="L122" s="7">
        <f>IF($C122="","",0)</f>
      </c>
      <c r="M122" s="7">
        <f>IF($C122="","",0)</f>
      </c>
      <c r="N122" s="7">
        <f>IF($C122="","",IF(OR(K122=0,I122="",IFERROR(INDEX('Challan Master'!$D$4:$D$207,MATCH($B122,'Challan Master'!$S$4:$S$207,0)),"")="",IFERROR(INDEX('Challan Master'!$D$4:$D$207,MATCH($B122,'Challan Master'!$S$4:$S$207,0)),"")&lt;=0),0,IF(IFERROR(INDEX('Challan Master'!$D$4:$D$207,MATCH($B122,'Challan Master'!$S$4:$S$207,0)),"")&lt;=DATE(YEAR(I122),MONTH(I122)+1,7),0,ROUND(K122*0.015*((YEAR(IFERROR(INDEX('Challan Master'!$D$4:$D$207,MATCH($B122,'Challan Master'!$S$4:$S$207,0)),""))-YEAR(I122))*12+(MONTH(IFERROR(INDEX('Challan Master'!$D$4:$D$207,MATCH($B122,'Challan Master'!$S$4:$S$207,0)),""))-MONTH(I122))+1),0))))</f>
      </c>
      <c r="O122" s="7">
        <f>IF($C122="","",0)</f>
      </c>
      <c r="P122" s="8"/>
      <c r="Q122" s="8"/>
      <c r="R122" s="8"/>
      <c r="S122" s="8"/>
      <c r="T122" s="8"/>
      <c r="U122" s="7">
        <f>IF($B122="","",IFERROR(INDEX('Challan Master'!$AA$4:$AA$207,MATCH($B122,'Challan Master'!$S$4:$S$207,0)),""))</f>
      </c>
    </row>
    <row r="123" spans="1:22" x14ac:dyDescent="0.25">
      <c r="A123" s="7">
        <f>IF($C123="","",COUNTIF($C$4:$C123,"&lt;&gt;"))</f>
      </c>
      <c r="B123" s="8"/>
      <c r="C123" s="8"/>
      <c r="D123" s="8"/>
      <c r="E123" s="7">
        <f>IF($C123="","",IF(AND(LEN(TRIM(UPPER(D123)))=10,CODE(MID(TRIM(UPPER(D123)),1,1))&gt;=65,CODE(MID(TRIM(UPPER(D123)),1,1))&lt;=90,CODE(MID(TRIM(UPPER(D123)),2,1))&gt;=65,CODE(MID(TRIM(UPPER(D123)),2,1))&lt;=90,CODE(MID(TRIM(UPPER(D123)),3,1))&gt;=65,CODE(MID(TRIM(UPPER(D123)),3,1))&lt;=90,CODE(MID(TRIM(UPPER(D123)),4,1))&gt;=65,CODE(MID(TRIM(UPPER(D123)),4,1))&lt;=90,CODE(MID(TRIM(UPPER(D123)),5,1))&gt;=65,CODE(MID(TRIM(UPPER(D123)),5,1))&lt;=90,CODE(MID(TRIM(UPPER(D123)),10,1))&gt;=65,CODE(MID(TRIM(UPPER(D123)),10,1))&lt;=90,CODE(MID(TRIM(UPPER(D123)),6,1))&gt;=48,CODE(MID(TRIM(UPPER(D123)),6,1))&lt;=57,CODE(MID(TRIM(UPPER(D123)),7,1))&gt;=48,CODE(MID(TRIM(UPPER(D123)),7,1))&lt;=57,CODE(MID(TRIM(UPPER(D123)),8,1))&gt;=48,CODE(MID(TRIM(UPPER(D123)),8,1))&lt;=57,CODE(MID(TRIM(UPPER(D123)),9,1))&gt;=48,CODE(MID(TRIM(UPPER(D123)),9,1))&lt;=57),"N","Y"))</f>
      </c>
      <c r="F123" s="7">
        <f>IF($C123="","",IF(LEN(D123)&lt;4,"",IF(UPPER(MID(D123,4,1))="P","Individual",IF(UPPER(MID(D123,4,1))="H","HUF",IF(UPPER(MID(D123,4,1))="C","Company",IF(UPPER(MID(D123,4,1))="F","Firm",IF(UPPER(MID(D123,4,1))="L","LLP",IF(UPPER(MID(D123,4,1))="T","Trust",IF(UPPER(MID(D123,4,1))="A","AOP","")))))))))</f>
      </c>
      <c r="G123" s="8"/>
      <c r="H123" s="7">
        <f>IF($C123="","",IF(R123&lt;&gt;"",R123,IF(G123="","",IF(E123="Y",SUMPRODUCT(('Rate Lookup'!$A$1:$A$37=G123)*'Rate Lookup'!$D$1:$D$37),IF(OR(F123="Individual",F123="HUF"),SUMPRODUCT(('Rate Lookup'!$A$1:$A$37=G123)*'Rate Lookup'!$B$1:$B$37),SUMPRODUCT(('Rate Lookup'!$A$1:$A$37=G123)*'Rate Lookup'!$C$1:$C$37)))))))</f>
      </c>
      <c r="I123" s="8"/>
      <c r="J123" s="8"/>
      <c r="K123" s="7">
        <f>IF($C123="","",IF(OR(P123="B",P123="D",P123="E",P123="N",P123="O",P123="P",P123="Q",P123="S",P123="Y",P123="Z"),0,ROUND(J123*H123/100,0)))</f>
      </c>
      <c r="L123" s="7">
        <f>IF($C123="","",0)</f>
      </c>
      <c r="M123" s="7">
        <f>IF($C123="","",0)</f>
      </c>
      <c r="N123" s="7">
        <f>IF($C123="","",IF(OR(K123=0,I123="",IFERROR(INDEX('Challan Master'!$D$4:$D$207,MATCH($B123,'Challan Master'!$S$4:$S$207,0)),"")="",IFERROR(INDEX('Challan Master'!$D$4:$D$207,MATCH($B123,'Challan Master'!$S$4:$S$207,0)),"")&lt;=0),0,IF(IFERROR(INDEX('Challan Master'!$D$4:$D$207,MATCH($B123,'Challan Master'!$S$4:$S$207,0)),"")&lt;=DATE(YEAR(I123),MONTH(I123)+1,7),0,ROUND(K123*0.015*((YEAR(IFERROR(INDEX('Challan Master'!$D$4:$D$207,MATCH($B123,'Challan Master'!$S$4:$S$207,0)),""))-YEAR(I123))*12+(MONTH(IFERROR(INDEX('Challan Master'!$D$4:$D$207,MATCH($B123,'Challan Master'!$S$4:$S$207,0)),""))-MONTH(I123))+1),0))))</f>
      </c>
      <c r="O123" s="7">
        <f>IF($C123="","",0)</f>
      </c>
      <c r="P123" s="8"/>
      <c r="Q123" s="8"/>
      <c r="R123" s="8"/>
      <c r="S123" s="8"/>
      <c r="T123" s="8"/>
      <c r="U123" s="7">
        <f>IF($B123="","",IFERROR(INDEX('Challan Master'!$AA$4:$AA$207,MATCH($B123,'Challan Master'!$S$4:$S$207,0)),""))</f>
      </c>
    </row>
    <row r="124" spans="1:22" x14ac:dyDescent="0.25">
      <c r="A124" s="7">
        <f>IF($C124="","",COUNTIF($C$4:$C124,"&lt;&gt;"))</f>
      </c>
      <c r="B124" s="8"/>
      <c r="C124" s="8"/>
      <c r="D124" s="8"/>
      <c r="E124" s="7">
        <f>IF($C124="","",IF(AND(LEN(TRIM(UPPER(D124)))=10,CODE(MID(TRIM(UPPER(D124)),1,1))&gt;=65,CODE(MID(TRIM(UPPER(D124)),1,1))&lt;=90,CODE(MID(TRIM(UPPER(D124)),2,1))&gt;=65,CODE(MID(TRIM(UPPER(D124)),2,1))&lt;=90,CODE(MID(TRIM(UPPER(D124)),3,1))&gt;=65,CODE(MID(TRIM(UPPER(D124)),3,1))&lt;=90,CODE(MID(TRIM(UPPER(D124)),4,1))&gt;=65,CODE(MID(TRIM(UPPER(D124)),4,1))&lt;=90,CODE(MID(TRIM(UPPER(D124)),5,1))&gt;=65,CODE(MID(TRIM(UPPER(D124)),5,1))&lt;=90,CODE(MID(TRIM(UPPER(D124)),10,1))&gt;=65,CODE(MID(TRIM(UPPER(D124)),10,1))&lt;=90,CODE(MID(TRIM(UPPER(D124)),6,1))&gt;=48,CODE(MID(TRIM(UPPER(D124)),6,1))&lt;=57,CODE(MID(TRIM(UPPER(D124)),7,1))&gt;=48,CODE(MID(TRIM(UPPER(D124)),7,1))&lt;=57,CODE(MID(TRIM(UPPER(D124)),8,1))&gt;=48,CODE(MID(TRIM(UPPER(D124)),8,1))&lt;=57,CODE(MID(TRIM(UPPER(D124)),9,1))&gt;=48,CODE(MID(TRIM(UPPER(D124)),9,1))&lt;=57),"N","Y"))</f>
      </c>
      <c r="F124" s="7">
        <f>IF($C124="","",IF(LEN(D124)&lt;4,"",IF(UPPER(MID(D124,4,1))="P","Individual",IF(UPPER(MID(D124,4,1))="H","HUF",IF(UPPER(MID(D124,4,1))="C","Company",IF(UPPER(MID(D124,4,1))="F","Firm",IF(UPPER(MID(D124,4,1))="L","LLP",IF(UPPER(MID(D124,4,1))="T","Trust",IF(UPPER(MID(D124,4,1))="A","AOP","")))))))))</f>
      </c>
      <c r="G124" s="8"/>
      <c r="H124" s="7">
        <f>IF($C124="","",IF(R124&lt;&gt;"",R124,IF(G124="","",IF(E124="Y",SUMPRODUCT(('Rate Lookup'!$A$1:$A$37=G124)*'Rate Lookup'!$D$1:$D$37),IF(OR(F124="Individual",F124="HUF"),SUMPRODUCT(('Rate Lookup'!$A$1:$A$37=G124)*'Rate Lookup'!$B$1:$B$37),SUMPRODUCT(('Rate Lookup'!$A$1:$A$37=G124)*'Rate Lookup'!$C$1:$C$37)))))))</f>
      </c>
      <c r="I124" s="8"/>
      <c r="J124" s="8"/>
      <c r="K124" s="7">
        <f>IF($C124="","",IF(OR(P124="B",P124="D",P124="E",P124="N",P124="O",P124="P",P124="Q",P124="S",P124="Y",P124="Z"),0,ROUND(J124*H124/100,0)))</f>
      </c>
      <c r="L124" s="7">
        <f>IF($C124="","",0)</f>
      </c>
      <c r="M124" s="7">
        <f>IF($C124="","",0)</f>
      </c>
      <c r="N124" s="7">
        <f>IF($C124="","",IF(OR(K124=0,I124="",IFERROR(INDEX('Challan Master'!$D$4:$D$207,MATCH($B124,'Challan Master'!$S$4:$S$207,0)),"")="",IFERROR(INDEX('Challan Master'!$D$4:$D$207,MATCH($B124,'Challan Master'!$S$4:$S$207,0)),"")&lt;=0),0,IF(IFERROR(INDEX('Challan Master'!$D$4:$D$207,MATCH($B124,'Challan Master'!$S$4:$S$207,0)),"")&lt;=DATE(YEAR(I124),MONTH(I124)+1,7),0,ROUND(K124*0.015*((YEAR(IFERROR(INDEX('Challan Master'!$D$4:$D$207,MATCH($B124,'Challan Master'!$S$4:$S$207,0)),""))-YEAR(I124))*12+(MONTH(IFERROR(INDEX('Challan Master'!$D$4:$D$207,MATCH($B124,'Challan Master'!$S$4:$S$207,0)),""))-MONTH(I124))+1),0))))</f>
      </c>
      <c r="O124" s="7">
        <f>IF($C124="","",0)</f>
      </c>
      <c r="P124" s="8"/>
      <c r="Q124" s="8"/>
      <c r="R124" s="8"/>
      <c r="S124" s="8"/>
      <c r="T124" s="8"/>
      <c r="U124" s="7">
        <f>IF($B124="","",IFERROR(INDEX('Challan Master'!$AA$4:$AA$207,MATCH($B124,'Challan Master'!$S$4:$S$207,0)),""))</f>
      </c>
    </row>
    <row r="125" spans="1:22" x14ac:dyDescent="0.25">
      <c r="A125" s="7">
        <f>IF($C125="","",COUNTIF($C$4:$C125,"&lt;&gt;"))</f>
      </c>
      <c r="B125" s="8"/>
      <c r="C125" s="8"/>
      <c r="D125" s="8"/>
      <c r="E125" s="7">
        <f>IF($C125="","",IF(AND(LEN(TRIM(UPPER(D125)))=10,CODE(MID(TRIM(UPPER(D125)),1,1))&gt;=65,CODE(MID(TRIM(UPPER(D125)),1,1))&lt;=90,CODE(MID(TRIM(UPPER(D125)),2,1))&gt;=65,CODE(MID(TRIM(UPPER(D125)),2,1))&lt;=90,CODE(MID(TRIM(UPPER(D125)),3,1))&gt;=65,CODE(MID(TRIM(UPPER(D125)),3,1))&lt;=90,CODE(MID(TRIM(UPPER(D125)),4,1))&gt;=65,CODE(MID(TRIM(UPPER(D125)),4,1))&lt;=90,CODE(MID(TRIM(UPPER(D125)),5,1))&gt;=65,CODE(MID(TRIM(UPPER(D125)),5,1))&lt;=90,CODE(MID(TRIM(UPPER(D125)),10,1))&gt;=65,CODE(MID(TRIM(UPPER(D125)),10,1))&lt;=90,CODE(MID(TRIM(UPPER(D125)),6,1))&gt;=48,CODE(MID(TRIM(UPPER(D125)),6,1))&lt;=57,CODE(MID(TRIM(UPPER(D125)),7,1))&gt;=48,CODE(MID(TRIM(UPPER(D125)),7,1))&lt;=57,CODE(MID(TRIM(UPPER(D125)),8,1))&gt;=48,CODE(MID(TRIM(UPPER(D125)),8,1))&lt;=57,CODE(MID(TRIM(UPPER(D125)),9,1))&gt;=48,CODE(MID(TRIM(UPPER(D125)),9,1))&lt;=57),"N","Y"))</f>
      </c>
      <c r="F125" s="7">
        <f>IF($C125="","",IF(LEN(D125)&lt;4,"",IF(UPPER(MID(D125,4,1))="P","Individual",IF(UPPER(MID(D125,4,1))="H","HUF",IF(UPPER(MID(D125,4,1))="C","Company",IF(UPPER(MID(D125,4,1))="F","Firm",IF(UPPER(MID(D125,4,1))="L","LLP",IF(UPPER(MID(D125,4,1))="T","Trust",IF(UPPER(MID(D125,4,1))="A","AOP","")))))))))</f>
      </c>
      <c r="G125" s="8"/>
      <c r="H125" s="7">
        <f>IF($C125="","",IF(R125&lt;&gt;"",R125,IF(G125="","",IF(E125="Y",SUMPRODUCT(('Rate Lookup'!$A$1:$A$37=G125)*'Rate Lookup'!$D$1:$D$37),IF(OR(F125="Individual",F125="HUF"),SUMPRODUCT(('Rate Lookup'!$A$1:$A$37=G125)*'Rate Lookup'!$B$1:$B$37),SUMPRODUCT(('Rate Lookup'!$A$1:$A$37=G125)*'Rate Lookup'!$C$1:$C$37)))))))</f>
      </c>
      <c r="I125" s="8"/>
      <c r="J125" s="8"/>
      <c r="K125" s="7">
        <f>IF($C125="","",IF(OR(P125="B",P125="D",P125="E",P125="N",P125="O",P125="P",P125="Q",P125="S",P125="Y",P125="Z"),0,ROUND(J125*H125/100,0)))</f>
      </c>
      <c r="L125" s="7">
        <f>IF($C125="","",0)</f>
      </c>
      <c r="M125" s="7">
        <f>IF($C125="","",0)</f>
      </c>
      <c r="N125" s="7">
        <f>IF($C125="","",IF(OR(K125=0,I125="",IFERROR(INDEX('Challan Master'!$D$4:$D$207,MATCH($B125,'Challan Master'!$S$4:$S$207,0)),"")="",IFERROR(INDEX('Challan Master'!$D$4:$D$207,MATCH($B125,'Challan Master'!$S$4:$S$207,0)),"")&lt;=0),0,IF(IFERROR(INDEX('Challan Master'!$D$4:$D$207,MATCH($B125,'Challan Master'!$S$4:$S$207,0)),"")&lt;=DATE(YEAR(I125),MONTH(I125)+1,7),0,ROUND(K125*0.015*((YEAR(IFERROR(INDEX('Challan Master'!$D$4:$D$207,MATCH($B125,'Challan Master'!$S$4:$S$207,0)),""))-YEAR(I125))*12+(MONTH(IFERROR(INDEX('Challan Master'!$D$4:$D$207,MATCH($B125,'Challan Master'!$S$4:$S$207,0)),""))-MONTH(I125))+1),0))))</f>
      </c>
      <c r="O125" s="7">
        <f>IF($C125="","",0)</f>
      </c>
      <c r="P125" s="8"/>
      <c r="Q125" s="8"/>
      <c r="R125" s="8"/>
      <c r="S125" s="8"/>
      <c r="T125" s="8"/>
      <c r="U125" s="7">
        <f>IF($B125="","",IFERROR(INDEX('Challan Master'!$AA$4:$AA$207,MATCH($B125,'Challan Master'!$S$4:$S$207,0)),""))</f>
      </c>
    </row>
    <row r="126" spans="1:22" x14ac:dyDescent="0.25">
      <c r="A126" s="7">
        <f>IF($C126="","",COUNTIF($C$4:$C126,"&lt;&gt;"))</f>
      </c>
      <c r="B126" s="8"/>
      <c r="C126" s="8"/>
      <c r="D126" s="8"/>
      <c r="E126" s="7">
        <f>IF($C126="","",IF(AND(LEN(TRIM(UPPER(D126)))=10,CODE(MID(TRIM(UPPER(D126)),1,1))&gt;=65,CODE(MID(TRIM(UPPER(D126)),1,1))&lt;=90,CODE(MID(TRIM(UPPER(D126)),2,1))&gt;=65,CODE(MID(TRIM(UPPER(D126)),2,1))&lt;=90,CODE(MID(TRIM(UPPER(D126)),3,1))&gt;=65,CODE(MID(TRIM(UPPER(D126)),3,1))&lt;=90,CODE(MID(TRIM(UPPER(D126)),4,1))&gt;=65,CODE(MID(TRIM(UPPER(D126)),4,1))&lt;=90,CODE(MID(TRIM(UPPER(D126)),5,1))&gt;=65,CODE(MID(TRIM(UPPER(D126)),5,1))&lt;=90,CODE(MID(TRIM(UPPER(D126)),10,1))&gt;=65,CODE(MID(TRIM(UPPER(D126)),10,1))&lt;=90,CODE(MID(TRIM(UPPER(D126)),6,1))&gt;=48,CODE(MID(TRIM(UPPER(D126)),6,1))&lt;=57,CODE(MID(TRIM(UPPER(D126)),7,1))&gt;=48,CODE(MID(TRIM(UPPER(D126)),7,1))&lt;=57,CODE(MID(TRIM(UPPER(D126)),8,1))&gt;=48,CODE(MID(TRIM(UPPER(D126)),8,1))&lt;=57,CODE(MID(TRIM(UPPER(D126)),9,1))&gt;=48,CODE(MID(TRIM(UPPER(D126)),9,1))&lt;=57),"N","Y"))</f>
      </c>
      <c r="F126" s="7">
        <f>IF($C126="","",IF(LEN(D126)&lt;4,"",IF(UPPER(MID(D126,4,1))="P","Individual",IF(UPPER(MID(D126,4,1))="H","HUF",IF(UPPER(MID(D126,4,1))="C","Company",IF(UPPER(MID(D126,4,1))="F","Firm",IF(UPPER(MID(D126,4,1))="L","LLP",IF(UPPER(MID(D126,4,1))="T","Trust",IF(UPPER(MID(D126,4,1))="A","AOP","")))))))))</f>
      </c>
      <c r="G126" s="8"/>
      <c r="H126" s="7">
        <f>IF($C126="","",IF(R126&lt;&gt;"",R126,IF(G126="","",IF(E126="Y",SUMPRODUCT(('Rate Lookup'!$A$1:$A$37=G126)*'Rate Lookup'!$D$1:$D$37),IF(OR(F126="Individual",F126="HUF"),SUMPRODUCT(('Rate Lookup'!$A$1:$A$37=G126)*'Rate Lookup'!$B$1:$B$37),SUMPRODUCT(('Rate Lookup'!$A$1:$A$37=G126)*'Rate Lookup'!$C$1:$C$37)))))))</f>
      </c>
      <c r="I126" s="8"/>
      <c r="J126" s="8"/>
      <c r="K126" s="7">
        <f>IF($C126="","",IF(OR(P126="B",P126="D",P126="E",P126="N",P126="O",P126="P",P126="Q",P126="S",P126="Y",P126="Z"),0,ROUND(J126*H126/100,0)))</f>
      </c>
      <c r="L126" s="7">
        <f>IF($C126="","",0)</f>
      </c>
      <c r="M126" s="7">
        <f>IF($C126="","",0)</f>
      </c>
      <c r="N126" s="7">
        <f>IF($C126="","",IF(OR(K126=0,I126="",IFERROR(INDEX('Challan Master'!$D$4:$D$207,MATCH($B126,'Challan Master'!$S$4:$S$207,0)),"")="",IFERROR(INDEX('Challan Master'!$D$4:$D$207,MATCH($B126,'Challan Master'!$S$4:$S$207,0)),"")&lt;=0),0,IF(IFERROR(INDEX('Challan Master'!$D$4:$D$207,MATCH($B126,'Challan Master'!$S$4:$S$207,0)),"")&lt;=DATE(YEAR(I126),MONTH(I126)+1,7),0,ROUND(K126*0.015*((YEAR(IFERROR(INDEX('Challan Master'!$D$4:$D$207,MATCH($B126,'Challan Master'!$S$4:$S$207,0)),""))-YEAR(I126))*12+(MONTH(IFERROR(INDEX('Challan Master'!$D$4:$D$207,MATCH($B126,'Challan Master'!$S$4:$S$207,0)),""))-MONTH(I126))+1),0))))</f>
      </c>
      <c r="O126" s="7">
        <f>IF($C126="","",0)</f>
      </c>
      <c r="P126" s="8"/>
      <c r="Q126" s="8"/>
      <c r="R126" s="8"/>
      <c r="S126" s="8"/>
      <c r="T126" s="8"/>
      <c r="U126" s="7">
        <f>IF($B126="","",IFERROR(INDEX('Challan Master'!$AA$4:$AA$207,MATCH($B126,'Challan Master'!$S$4:$S$207,0)),""))</f>
      </c>
    </row>
    <row r="127" spans="1:22" x14ac:dyDescent="0.25">
      <c r="A127" s="7">
        <f>IF($C127="","",COUNTIF($C$4:$C127,"&lt;&gt;"))</f>
      </c>
      <c r="B127" s="8"/>
      <c r="C127" s="8"/>
      <c r="D127" s="8"/>
      <c r="E127" s="7">
        <f>IF($C127="","",IF(AND(LEN(TRIM(UPPER(D127)))=10,CODE(MID(TRIM(UPPER(D127)),1,1))&gt;=65,CODE(MID(TRIM(UPPER(D127)),1,1))&lt;=90,CODE(MID(TRIM(UPPER(D127)),2,1))&gt;=65,CODE(MID(TRIM(UPPER(D127)),2,1))&lt;=90,CODE(MID(TRIM(UPPER(D127)),3,1))&gt;=65,CODE(MID(TRIM(UPPER(D127)),3,1))&lt;=90,CODE(MID(TRIM(UPPER(D127)),4,1))&gt;=65,CODE(MID(TRIM(UPPER(D127)),4,1))&lt;=90,CODE(MID(TRIM(UPPER(D127)),5,1))&gt;=65,CODE(MID(TRIM(UPPER(D127)),5,1))&lt;=90,CODE(MID(TRIM(UPPER(D127)),10,1))&gt;=65,CODE(MID(TRIM(UPPER(D127)),10,1))&lt;=90,CODE(MID(TRIM(UPPER(D127)),6,1))&gt;=48,CODE(MID(TRIM(UPPER(D127)),6,1))&lt;=57,CODE(MID(TRIM(UPPER(D127)),7,1))&gt;=48,CODE(MID(TRIM(UPPER(D127)),7,1))&lt;=57,CODE(MID(TRIM(UPPER(D127)),8,1))&gt;=48,CODE(MID(TRIM(UPPER(D127)),8,1))&lt;=57,CODE(MID(TRIM(UPPER(D127)),9,1))&gt;=48,CODE(MID(TRIM(UPPER(D127)),9,1))&lt;=57),"N","Y"))</f>
      </c>
      <c r="F127" s="7">
        <f>IF($C127="","",IF(LEN(D127)&lt;4,"",IF(UPPER(MID(D127,4,1))="P","Individual",IF(UPPER(MID(D127,4,1))="H","HUF",IF(UPPER(MID(D127,4,1))="C","Company",IF(UPPER(MID(D127,4,1))="F","Firm",IF(UPPER(MID(D127,4,1))="L","LLP",IF(UPPER(MID(D127,4,1))="T","Trust",IF(UPPER(MID(D127,4,1))="A","AOP","")))))))))</f>
      </c>
      <c r="G127" s="8"/>
      <c r="H127" s="7">
        <f>IF($C127="","",IF(R127&lt;&gt;"",R127,IF(G127="","",IF(E127="Y",SUMPRODUCT(('Rate Lookup'!$A$1:$A$37=G127)*'Rate Lookup'!$D$1:$D$37),IF(OR(F127="Individual",F127="HUF"),SUMPRODUCT(('Rate Lookup'!$A$1:$A$37=G127)*'Rate Lookup'!$B$1:$B$37),SUMPRODUCT(('Rate Lookup'!$A$1:$A$37=G127)*'Rate Lookup'!$C$1:$C$37)))))))</f>
      </c>
      <c r="I127" s="8"/>
      <c r="J127" s="8"/>
      <c r="K127" s="7">
        <f>IF($C127="","",IF(OR(P127="B",P127="D",P127="E",P127="N",P127="O",P127="P",P127="Q",P127="S",P127="Y",P127="Z"),0,ROUND(J127*H127/100,0)))</f>
      </c>
      <c r="L127" s="7">
        <f>IF($C127="","",0)</f>
      </c>
      <c r="M127" s="7">
        <f>IF($C127="","",0)</f>
      </c>
      <c r="N127" s="7">
        <f>IF($C127="","",IF(OR(K127=0,I127="",IFERROR(INDEX('Challan Master'!$D$4:$D$207,MATCH($B127,'Challan Master'!$S$4:$S$207,0)),"")="",IFERROR(INDEX('Challan Master'!$D$4:$D$207,MATCH($B127,'Challan Master'!$S$4:$S$207,0)),"")&lt;=0),0,IF(IFERROR(INDEX('Challan Master'!$D$4:$D$207,MATCH($B127,'Challan Master'!$S$4:$S$207,0)),"")&lt;=DATE(YEAR(I127),MONTH(I127)+1,7),0,ROUND(K127*0.015*((YEAR(IFERROR(INDEX('Challan Master'!$D$4:$D$207,MATCH($B127,'Challan Master'!$S$4:$S$207,0)),""))-YEAR(I127))*12+(MONTH(IFERROR(INDEX('Challan Master'!$D$4:$D$207,MATCH($B127,'Challan Master'!$S$4:$S$207,0)),""))-MONTH(I127))+1),0))))</f>
      </c>
      <c r="O127" s="7">
        <f>IF($C127="","",0)</f>
      </c>
      <c r="P127" s="8"/>
      <c r="Q127" s="8"/>
      <c r="R127" s="8"/>
      <c r="S127" s="8"/>
      <c r="T127" s="8"/>
      <c r="U127" s="7">
        <f>IF($B127="","",IFERROR(INDEX('Challan Master'!$AA$4:$AA$207,MATCH($B127,'Challan Master'!$S$4:$S$207,0)),""))</f>
      </c>
    </row>
    <row r="128" spans="1:22" x14ac:dyDescent="0.25">
      <c r="A128" s="7">
        <f>IF($C128="","",COUNTIF($C$4:$C128,"&lt;&gt;"))</f>
      </c>
      <c r="B128" s="8"/>
      <c r="C128" s="8"/>
      <c r="D128" s="8"/>
      <c r="E128" s="7">
        <f>IF($C128="","",IF(AND(LEN(TRIM(UPPER(D128)))=10,CODE(MID(TRIM(UPPER(D128)),1,1))&gt;=65,CODE(MID(TRIM(UPPER(D128)),1,1))&lt;=90,CODE(MID(TRIM(UPPER(D128)),2,1))&gt;=65,CODE(MID(TRIM(UPPER(D128)),2,1))&lt;=90,CODE(MID(TRIM(UPPER(D128)),3,1))&gt;=65,CODE(MID(TRIM(UPPER(D128)),3,1))&lt;=90,CODE(MID(TRIM(UPPER(D128)),4,1))&gt;=65,CODE(MID(TRIM(UPPER(D128)),4,1))&lt;=90,CODE(MID(TRIM(UPPER(D128)),5,1))&gt;=65,CODE(MID(TRIM(UPPER(D128)),5,1))&lt;=90,CODE(MID(TRIM(UPPER(D128)),10,1))&gt;=65,CODE(MID(TRIM(UPPER(D128)),10,1))&lt;=90,CODE(MID(TRIM(UPPER(D128)),6,1))&gt;=48,CODE(MID(TRIM(UPPER(D128)),6,1))&lt;=57,CODE(MID(TRIM(UPPER(D128)),7,1))&gt;=48,CODE(MID(TRIM(UPPER(D128)),7,1))&lt;=57,CODE(MID(TRIM(UPPER(D128)),8,1))&gt;=48,CODE(MID(TRIM(UPPER(D128)),8,1))&lt;=57,CODE(MID(TRIM(UPPER(D128)),9,1))&gt;=48,CODE(MID(TRIM(UPPER(D128)),9,1))&lt;=57),"N","Y"))</f>
      </c>
      <c r="F128" s="7">
        <f>IF($C128="","",IF(LEN(D128)&lt;4,"",IF(UPPER(MID(D128,4,1))="P","Individual",IF(UPPER(MID(D128,4,1))="H","HUF",IF(UPPER(MID(D128,4,1))="C","Company",IF(UPPER(MID(D128,4,1))="F","Firm",IF(UPPER(MID(D128,4,1))="L","LLP",IF(UPPER(MID(D128,4,1))="T","Trust",IF(UPPER(MID(D128,4,1))="A","AOP","")))))))))</f>
      </c>
      <c r="G128" s="8"/>
      <c r="H128" s="7">
        <f>IF($C128="","",IF(R128&lt;&gt;"",R128,IF(G128="","",IF(E128="Y",SUMPRODUCT(('Rate Lookup'!$A$1:$A$37=G128)*'Rate Lookup'!$D$1:$D$37),IF(OR(F128="Individual",F128="HUF"),SUMPRODUCT(('Rate Lookup'!$A$1:$A$37=G128)*'Rate Lookup'!$B$1:$B$37),SUMPRODUCT(('Rate Lookup'!$A$1:$A$37=G128)*'Rate Lookup'!$C$1:$C$37)))))))</f>
      </c>
      <c r="I128" s="8"/>
      <c r="J128" s="8"/>
      <c r="K128" s="7">
        <f>IF($C128="","",IF(OR(P128="B",P128="D",P128="E",P128="N",P128="O",P128="P",P128="Q",P128="S",P128="Y",P128="Z"),0,ROUND(J128*H128/100,0)))</f>
      </c>
      <c r="L128" s="7">
        <f>IF($C128="","",0)</f>
      </c>
      <c r="M128" s="7">
        <f>IF($C128="","",0)</f>
      </c>
      <c r="N128" s="7">
        <f>IF($C128="","",IF(OR(K128=0,I128="",IFERROR(INDEX('Challan Master'!$D$4:$D$207,MATCH($B128,'Challan Master'!$S$4:$S$207,0)),"")="",IFERROR(INDEX('Challan Master'!$D$4:$D$207,MATCH($B128,'Challan Master'!$S$4:$S$207,0)),"")&lt;=0),0,IF(IFERROR(INDEX('Challan Master'!$D$4:$D$207,MATCH($B128,'Challan Master'!$S$4:$S$207,0)),"")&lt;=DATE(YEAR(I128),MONTH(I128)+1,7),0,ROUND(K128*0.015*((YEAR(IFERROR(INDEX('Challan Master'!$D$4:$D$207,MATCH($B128,'Challan Master'!$S$4:$S$207,0)),""))-YEAR(I128))*12+(MONTH(IFERROR(INDEX('Challan Master'!$D$4:$D$207,MATCH($B128,'Challan Master'!$S$4:$S$207,0)),""))-MONTH(I128))+1),0))))</f>
      </c>
      <c r="O128" s="7">
        <f>IF($C128="","",0)</f>
      </c>
      <c r="P128" s="8"/>
      <c r="Q128" s="8"/>
      <c r="R128" s="8"/>
      <c r="S128" s="8"/>
      <c r="T128" s="8"/>
      <c r="U128" s="7">
        <f>IF($B128="","",IFERROR(INDEX('Challan Master'!$AA$4:$AA$207,MATCH($B128,'Challan Master'!$S$4:$S$207,0)),""))</f>
      </c>
    </row>
    <row r="129" spans="1:22" x14ac:dyDescent="0.25">
      <c r="A129" s="7">
        <f>IF($C129="","",COUNTIF($C$4:$C129,"&lt;&gt;"))</f>
      </c>
      <c r="B129" s="8"/>
      <c r="C129" s="8"/>
      <c r="D129" s="8"/>
      <c r="E129" s="7">
        <f>IF($C129="","",IF(AND(LEN(TRIM(UPPER(D129)))=10,CODE(MID(TRIM(UPPER(D129)),1,1))&gt;=65,CODE(MID(TRIM(UPPER(D129)),1,1))&lt;=90,CODE(MID(TRIM(UPPER(D129)),2,1))&gt;=65,CODE(MID(TRIM(UPPER(D129)),2,1))&lt;=90,CODE(MID(TRIM(UPPER(D129)),3,1))&gt;=65,CODE(MID(TRIM(UPPER(D129)),3,1))&lt;=90,CODE(MID(TRIM(UPPER(D129)),4,1))&gt;=65,CODE(MID(TRIM(UPPER(D129)),4,1))&lt;=90,CODE(MID(TRIM(UPPER(D129)),5,1))&gt;=65,CODE(MID(TRIM(UPPER(D129)),5,1))&lt;=90,CODE(MID(TRIM(UPPER(D129)),10,1))&gt;=65,CODE(MID(TRIM(UPPER(D129)),10,1))&lt;=90,CODE(MID(TRIM(UPPER(D129)),6,1))&gt;=48,CODE(MID(TRIM(UPPER(D129)),6,1))&lt;=57,CODE(MID(TRIM(UPPER(D129)),7,1))&gt;=48,CODE(MID(TRIM(UPPER(D129)),7,1))&lt;=57,CODE(MID(TRIM(UPPER(D129)),8,1))&gt;=48,CODE(MID(TRIM(UPPER(D129)),8,1))&lt;=57,CODE(MID(TRIM(UPPER(D129)),9,1))&gt;=48,CODE(MID(TRIM(UPPER(D129)),9,1))&lt;=57),"N","Y"))</f>
      </c>
      <c r="F129" s="7">
        <f>IF($C129="","",IF(LEN(D129)&lt;4,"",IF(UPPER(MID(D129,4,1))="P","Individual",IF(UPPER(MID(D129,4,1))="H","HUF",IF(UPPER(MID(D129,4,1))="C","Company",IF(UPPER(MID(D129,4,1))="F","Firm",IF(UPPER(MID(D129,4,1))="L","LLP",IF(UPPER(MID(D129,4,1))="T","Trust",IF(UPPER(MID(D129,4,1))="A","AOP","")))))))))</f>
      </c>
      <c r="G129" s="8"/>
      <c r="H129" s="7">
        <f>IF($C129="","",IF(R129&lt;&gt;"",R129,IF(G129="","",IF(E129="Y",SUMPRODUCT(('Rate Lookup'!$A$1:$A$37=G129)*'Rate Lookup'!$D$1:$D$37),IF(OR(F129="Individual",F129="HUF"),SUMPRODUCT(('Rate Lookup'!$A$1:$A$37=G129)*'Rate Lookup'!$B$1:$B$37),SUMPRODUCT(('Rate Lookup'!$A$1:$A$37=G129)*'Rate Lookup'!$C$1:$C$37)))))))</f>
      </c>
      <c r="I129" s="8"/>
      <c r="J129" s="8"/>
      <c r="K129" s="7">
        <f>IF($C129="","",IF(OR(P129="B",P129="D",P129="E",P129="N",P129="O",P129="P",P129="Q",P129="S",P129="Y",P129="Z"),0,ROUND(J129*H129/100,0)))</f>
      </c>
      <c r="L129" s="7">
        <f>IF($C129="","",0)</f>
      </c>
      <c r="M129" s="7">
        <f>IF($C129="","",0)</f>
      </c>
      <c r="N129" s="7">
        <f>IF($C129="","",IF(OR(K129=0,I129="",IFERROR(INDEX('Challan Master'!$D$4:$D$207,MATCH($B129,'Challan Master'!$S$4:$S$207,0)),"")="",IFERROR(INDEX('Challan Master'!$D$4:$D$207,MATCH($B129,'Challan Master'!$S$4:$S$207,0)),"")&lt;=0),0,IF(IFERROR(INDEX('Challan Master'!$D$4:$D$207,MATCH($B129,'Challan Master'!$S$4:$S$207,0)),"")&lt;=DATE(YEAR(I129),MONTH(I129)+1,7),0,ROUND(K129*0.015*((YEAR(IFERROR(INDEX('Challan Master'!$D$4:$D$207,MATCH($B129,'Challan Master'!$S$4:$S$207,0)),""))-YEAR(I129))*12+(MONTH(IFERROR(INDEX('Challan Master'!$D$4:$D$207,MATCH($B129,'Challan Master'!$S$4:$S$207,0)),""))-MONTH(I129))+1),0))))</f>
      </c>
      <c r="O129" s="7">
        <f>IF($C129="","",0)</f>
      </c>
      <c r="P129" s="8"/>
      <c r="Q129" s="8"/>
      <c r="R129" s="8"/>
      <c r="S129" s="8"/>
      <c r="T129" s="8"/>
      <c r="U129" s="7">
        <f>IF($B129="","",IFERROR(INDEX('Challan Master'!$AA$4:$AA$207,MATCH($B129,'Challan Master'!$S$4:$S$207,0)),""))</f>
      </c>
    </row>
    <row r="130" spans="1:22" x14ac:dyDescent="0.25">
      <c r="A130" s="7">
        <f>IF($C130="","",COUNTIF($C$4:$C130,"&lt;&gt;"))</f>
      </c>
      <c r="B130" s="8"/>
      <c r="C130" s="8"/>
      <c r="D130" s="8"/>
      <c r="E130" s="7">
        <f>IF($C130="","",IF(AND(LEN(TRIM(UPPER(D130)))=10,CODE(MID(TRIM(UPPER(D130)),1,1))&gt;=65,CODE(MID(TRIM(UPPER(D130)),1,1))&lt;=90,CODE(MID(TRIM(UPPER(D130)),2,1))&gt;=65,CODE(MID(TRIM(UPPER(D130)),2,1))&lt;=90,CODE(MID(TRIM(UPPER(D130)),3,1))&gt;=65,CODE(MID(TRIM(UPPER(D130)),3,1))&lt;=90,CODE(MID(TRIM(UPPER(D130)),4,1))&gt;=65,CODE(MID(TRIM(UPPER(D130)),4,1))&lt;=90,CODE(MID(TRIM(UPPER(D130)),5,1))&gt;=65,CODE(MID(TRIM(UPPER(D130)),5,1))&lt;=90,CODE(MID(TRIM(UPPER(D130)),10,1))&gt;=65,CODE(MID(TRIM(UPPER(D130)),10,1))&lt;=90,CODE(MID(TRIM(UPPER(D130)),6,1))&gt;=48,CODE(MID(TRIM(UPPER(D130)),6,1))&lt;=57,CODE(MID(TRIM(UPPER(D130)),7,1))&gt;=48,CODE(MID(TRIM(UPPER(D130)),7,1))&lt;=57,CODE(MID(TRIM(UPPER(D130)),8,1))&gt;=48,CODE(MID(TRIM(UPPER(D130)),8,1))&lt;=57,CODE(MID(TRIM(UPPER(D130)),9,1))&gt;=48,CODE(MID(TRIM(UPPER(D130)),9,1))&lt;=57),"N","Y"))</f>
      </c>
      <c r="F130" s="7">
        <f>IF($C130="","",IF(LEN(D130)&lt;4,"",IF(UPPER(MID(D130,4,1))="P","Individual",IF(UPPER(MID(D130,4,1))="H","HUF",IF(UPPER(MID(D130,4,1))="C","Company",IF(UPPER(MID(D130,4,1))="F","Firm",IF(UPPER(MID(D130,4,1))="L","LLP",IF(UPPER(MID(D130,4,1))="T","Trust",IF(UPPER(MID(D130,4,1))="A","AOP","")))))))))</f>
      </c>
      <c r="G130" s="8"/>
      <c r="H130" s="7">
        <f>IF($C130="","",IF(R130&lt;&gt;"",R130,IF(G130="","",IF(E130="Y",SUMPRODUCT(('Rate Lookup'!$A$1:$A$37=G130)*'Rate Lookup'!$D$1:$D$37),IF(OR(F130="Individual",F130="HUF"),SUMPRODUCT(('Rate Lookup'!$A$1:$A$37=G130)*'Rate Lookup'!$B$1:$B$37),SUMPRODUCT(('Rate Lookup'!$A$1:$A$37=G130)*'Rate Lookup'!$C$1:$C$37)))))))</f>
      </c>
      <c r="I130" s="8"/>
      <c r="J130" s="8"/>
      <c r="K130" s="7">
        <f>IF($C130="","",IF(OR(P130="B",P130="D",P130="E",P130="N",P130="O",P130="P",P130="Q",P130="S",P130="Y",P130="Z"),0,ROUND(J130*H130/100,0)))</f>
      </c>
      <c r="L130" s="7">
        <f>IF($C130="","",0)</f>
      </c>
      <c r="M130" s="7">
        <f>IF($C130="","",0)</f>
      </c>
      <c r="N130" s="7">
        <f>IF($C130="","",IF(OR(K130=0,I130="",IFERROR(INDEX('Challan Master'!$D$4:$D$207,MATCH($B130,'Challan Master'!$S$4:$S$207,0)),"")="",IFERROR(INDEX('Challan Master'!$D$4:$D$207,MATCH($B130,'Challan Master'!$S$4:$S$207,0)),"")&lt;=0),0,IF(IFERROR(INDEX('Challan Master'!$D$4:$D$207,MATCH($B130,'Challan Master'!$S$4:$S$207,0)),"")&lt;=DATE(YEAR(I130),MONTH(I130)+1,7),0,ROUND(K130*0.015*((YEAR(IFERROR(INDEX('Challan Master'!$D$4:$D$207,MATCH($B130,'Challan Master'!$S$4:$S$207,0)),""))-YEAR(I130))*12+(MONTH(IFERROR(INDEX('Challan Master'!$D$4:$D$207,MATCH($B130,'Challan Master'!$S$4:$S$207,0)),""))-MONTH(I130))+1),0))))</f>
      </c>
      <c r="O130" s="7">
        <f>IF($C130="","",0)</f>
      </c>
      <c r="P130" s="8"/>
      <c r="Q130" s="8"/>
      <c r="R130" s="8"/>
      <c r="S130" s="8"/>
      <c r="T130" s="8"/>
      <c r="U130" s="7">
        <f>IF($B130="","",IFERROR(INDEX('Challan Master'!$AA$4:$AA$207,MATCH($B130,'Challan Master'!$S$4:$S$207,0)),""))</f>
      </c>
    </row>
    <row r="131" spans="1:22" x14ac:dyDescent="0.25">
      <c r="A131" s="7">
        <f>IF($C131="","",COUNTIF($C$4:$C131,"&lt;&gt;"))</f>
      </c>
      <c r="B131" s="8"/>
      <c r="C131" s="8"/>
      <c r="D131" s="8"/>
      <c r="E131" s="7">
        <f>IF($C131="","",IF(AND(LEN(TRIM(UPPER(D131)))=10,CODE(MID(TRIM(UPPER(D131)),1,1))&gt;=65,CODE(MID(TRIM(UPPER(D131)),1,1))&lt;=90,CODE(MID(TRIM(UPPER(D131)),2,1))&gt;=65,CODE(MID(TRIM(UPPER(D131)),2,1))&lt;=90,CODE(MID(TRIM(UPPER(D131)),3,1))&gt;=65,CODE(MID(TRIM(UPPER(D131)),3,1))&lt;=90,CODE(MID(TRIM(UPPER(D131)),4,1))&gt;=65,CODE(MID(TRIM(UPPER(D131)),4,1))&lt;=90,CODE(MID(TRIM(UPPER(D131)),5,1))&gt;=65,CODE(MID(TRIM(UPPER(D131)),5,1))&lt;=90,CODE(MID(TRIM(UPPER(D131)),10,1))&gt;=65,CODE(MID(TRIM(UPPER(D131)),10,1))&lt;=90,CODE(MID(TRIM(UPPER(D131)),6,1))&gt;=48,CODE(MID(TRIM(UPPER(D131)),6,1))&lt;=57,CODE(MID(TRIM(UPPER(D131)),7,1))&gt;=48,CODE(MID(TRIM(UPPER(D131)),7,1))&lt;=57,CODE(MID(TRIM(UPPER(D131)),8,1))&gt;=48,CODE(MID(TRIM(UPPER(D131)),8,1))&lt;=57,CODE(MID(TRIM(UPPER(D131)),9,1))&gt;=48,CODE(MID(TRIM(UPPER(D131)),9,1))&lt;=57),"N","Y"))</f>
      </c>
      <c r="F131" s="7">
        <f>IF($C131="","",IF(LEN(D131)&lt;4,"",IF(UPPER(MID(D131,4,1))="P","Individual",IF(UPPER(MID(D131,4,1))="H","HUF",IF(UPPER(MID(D131,4,1))="C","Company",IF(UPPER(MID(D131,4,1))="F","Firm",IF(UPPER(MID(D131,4,1))="L","LLP",IF(UPPER(MID(D131,4,1))="T","Trust",IF(UPPER(MID(D131,4,1))="A","AOP","")))))))))</f>
      </c>
      <c r="G131" s="8"/>
      <c r="H131" s="7">
        <f>IF($C131="","",IF(R131&lt;&gt;"",R131,IF(G131="","",IF(E131="Y",SUMPRODUCT(('Rate Lookup'!$A$1:$A$37=G131)*'Rate Lookup'!$D$1:$D$37),IF(OR(F131="Individual",F131="HUF"),SUMPRODUCT(('Rate Lookup'!$A$1:$A$37=G131)*'Rate Lookup'!$B$1:$B$37),SUMPRODUCT(('Rate Lookup'!$A$1:$A$37=G131)*'Rate Lookup'!$C$1:$C$37)))))))</f>
      </c>
      <c r="I131" s="8"/>
      <c r="J131" s="8"/>
      <c r="K131" s="7">
        <f>IF($C131="","",IF(OR(P131="B",P131="D",P131="E",P131="N",P131="O",P131="P",P131="Q",P131="S",P131="Y",P131="Z"),0,ROUND(J131*H131/100,0)))</f>
      </c>
      <c r="L131" s="7">
        <f>IF($C131="","",0)</f>
      </c>
      <c r="M131" s="7">
        <f>IF($C131="","",0)</f>
      </c>
      <c r="N131" s="7">
        <f>IF($C131="","",IF(OR(K131=0,I131="",IFERROR(INDEX('Challan Master'!$D$4:$D$207,MATCH($B131,'Challan Master'!$S$4:$S$207,0)),"")="",IFERROR(INDEX('Challan Master'!$D$4:$D$207,MATCH($B131,'Challan Master'!$S$4:$S$207,0)),"")&lt;=0),0,IF(IFERROR(INDEX('Challan Master'!$D$4:$D$207,MATCH($B131,'Challan Master'!$S$4:$S$207,0)),"")&lt;=DATE(YEAR(I131),MONTH(I131)+1,7),0,ROUND(K131*0.015*((YEAR(IFERROR(INDEX('Challan Master'!$D$4:$D$207,MATCH($B131,'Challan Master'!$S$4:$S$207,0)),""))-YEAR(I131))*12+(MONTH(IFERROR(INDEX('Challan Master'!$D$4:$D$207,MATCH($B131,'Challan Master'!$S$4:$S$207,0)),""))-MONTH(I131))+1),0))))</f>
      </c>
      <c r="O131" s="7">
        <f>IF($C131="","",0)</f>
      </c>
      <c r="P131" s="8"/>
      <c r="Q131" s="8"/>
      <c r="R131" s="8"/>
      <c r="S131" s="8"/>
      <c r="T131" s="8"/>
      <c r="U131" s="7">
        <f>IF($B131="","",IFERROR(INDEX('Challan Master'!$AA$4:$AA$207,MATCH($B131,'Challan Master'!$S$4:$S$207,0)),""))</f>
      </c>
    </row>
    <row r="132" spans="1:22" x14ac:dyDescent="0.25">
      <c r="A132" s="7">
        <f>IF($C132="","",COUNTIF($C$4:$C132,"&lt;&gt;"))</f>
      </c>
      <c r="B132" s="8"/>
      <c r="C132" s="8"/>
      <c r="D132" s="8"/>
      <c r="E132" s="7">
        <f>IF($C132="","",IF(AND(LEN(TRIM(UPPER(D132)))=10,CODE(MID(TRIM(UPPER(D132)),1,1))&gt;=65,CODE(MID(TRIM(UPPER(D132)),1,1))&lt;=90,CODE(MID(TRIM(UPPER(D132)),2,1))&gt;=65,CODE(MID(TRIM(UPPER(D132)),2,1))&lt;=90,CODE(MID(TRIM(UPPER(D132)),3,1))&gt;=65,CODE(MID(TRIM(UPPER(D132)),3,1))&lt;=90,CODE(MID(TRIM(UPPER(D132)),4,1))&gt;=65,CODE(MID(TRIM(UPPER(D132)),4,1))&lt;=90,CODE(MID(TRIM(UPPER(D132)),5,1))&gt;=65,CODE(MID(TRIM(UPPER(D132)),5,1))&lt;=90,CODE(MID(TRIM(UPPER(D132)),10,1))&gt;=65,CODE(MID(TRIM(UPPER(D132)),10,1))&lt;=90,CODE(MID(TRIM(UPPER(D132)),6,1))&gt;=48,CODE(MID(TRIM(UPPER(D132)),6,1))&lt;=57,CODE(MID(TRIM(UPPER(D132)),7,1))&gt;=48,CODE(MID(TRIM(UPPER(D132)),7,1))&lt;=57,CODE(MID(TRIM(UPPER(D132)),8,1))&gt;=48,CODE(MID(TRIM(UPPER(D132)),8,1))&lt;=57,CODE(MID(TRIM(UPPER(D132)),9,1))&gt;=48,CODE(MID(TRIM(UPPER(D132)),9,1))&lt;=57),"N","Y"))</f>
      </c>
      <c r="F132" s="7">
        <f>IF($C132="","",IF(LEN(D132)&lt;4,"",IF(UPPER(MID(D132,4,1))="P","Individual",IF(UPPER(MID(D132,4,1))="H","HUF",IF(UPPER(MID(D132,4,1))="C","Company",IF(UPPER(MID(D132,4,1))="F","Firm",IF(UPPER(MID(D132,4,1))="L","LLP",IF(UPPER(MID(D132,4,1))="T","Trust",IF(UPPER(MID(D132,4,1))="A","AOP","")))))))))</f>
      </c>
      <c r="G132" s="8"/>
      <c r="H132" s="7">
        <f>IF($C132="","",IF(R132&lt;&gt;"",R132,IF(G132="","",IF(E132="Y",SUMPRODUCT(('Rate Lookup'!$A$1:$A$37=G132)*'Rate Lookup'!$D$1:$D$37),IF(OR(F132="Individual",F132="HUF"),SUMPRODUCT(('Rate Lookup'!$A$1:$A$37=G132)*'Rate Lookup'!$B$1:$B$37),SUMPRODUCT(('Rate Lookup'!$A$1:$A$37=G132)*'Rate Lookup'!$C$1:$C$37)))))))</f>
      </c>
      <c r="I132" s="8"/>
      <c r="J132" s="8"/>
      <c r="K132" s="7">
        <f>IF($C132="","",IF(OR(P132="B",P132="D",P132="E",P132="N",P132="O",P132="P",P132="Q",P132="S",P132="Y",P132="Z"),0,ROUND(J132*H132/100,0)))</f>
      </c>
      <c r="L132" s="7">
        <f>IF($C132="","",0)</f>
      </c>
      <c r="M132" s="7">
        <f>IF($C132="","",0)</f>
      </c>
      <c r="N132" s="7">
        <f>IF($C132="","",IF(OR(K132=0,I132="",IFERROR(INDEX('Challan Master'!$D$4:$D$207,MATCH($B132,'Challan Master'!$S$4:$S$207,0)),"")="",IFERROR(INDEX('Challan Master'!$D$4:$D$207,MATCH($B132,'Challan Master'!$S$4:$S$207,0)),"")&lt;=0),0,IF(IFERROR(INDEX('Challan Master'!$D$4:$D$207,MATCH($B132,'Challan Master'!$S$4:$S$207,0)),"")&lt;=DATE(YEAR(I132),MONTH(I132)+1,7),0,ROUND(K132*0.015*((YEAR(IFERROR(INDEX('Challan Master'!$D$4:$D$207,MATCH($B132,'Challan Master'!$S$4:$S$207,0)),""))-YEAR(I132))*12+(MONTH(IFERROR(INDEX('Challan Master'!$D$4:$D$207,MATCH($B132,'Challan Master'!$S$4:$S$207,0)),""))-MONTH(I132))+1),0))))</f>
      </c>
      <c r="O132" s="7">
        <f>IF($C132="","",0)</f>
      </c>
      <c r="P132" s="8"/>
      <c r="Q132" s="8"/>
      <c r="R132" s="8"/>
      <c r="S132" s="8"/>
      <c r="T132" s="8"/>
      <c r="U132" s="7">
        <f>IF($B132="","",IFERROR(INDEX('Challan Master'!$AA$4:$AA$207,MATCH($B132,'Challan Master'!$S$4:$S$207,0)),""))</f>
      </c>
    </row>
    <row r="133" spans="1:22" x14ac:dyDescent="0.25">
      <c r="A133" s="7">
        <f>IF($C133="","",COUNTIF($C$4:$C133,"&lt;&gt;"))</f>
      </c>
      <c r="B133" s="8"/>
      <c r="C133" s="8"/>
      <c r="D133" s="8"/>
      <c r="E133" s="7">
        <f>IF($C133="","",IF(AND(LEN(TRIM(UPPER(D133)))=10,CODE(MID(TRIM(UPPER(D133)),1,1))&gt;=65,CODE(MID(TRIM(UPPER(D133)),1,1))&lt;=90,CODE(MID(TRIM(UPPER(D133)),2,1))&gt;=65,CODE(MID(TRIM(UPPER(D133)),2,1))&lt;=90,CODE(MID(TRIM(UPPER(D133)),3,1))&gt;=65,CODE(MID(TRIM(UPPER(D133)),3,1))&lt;=90,CODE(MID(TRIM(UPPER(D133)),4,1))&gt;=65,CODE(MID(TRIM(UPPER(D133)),4,1))&lt;=90,CODE(MID(TRIM(UPPER(D133)),5,1))&gt;=65,CODE(MID(TRIM(UPPER(D133)),5,1))&lt;=90,CODE(MID(TRIM(UPPER(D133)),10,1))&gt;=65,CODE(MID(TRIM(UPPER(D133)),10,1))&lt;=90,CODE(MID(TRIM(UPPER(D133)),6,1))&gt;=48,CODE(MID(TRIM(UPPER(D133)),6,1))&lt;=57,CODE(MID(TRIM(UPPER(D133)),7,1))&gt;=48,CODE(MID(TRIM(UPPER(D133)),7,1))&lt;=57,CODE(MID(TRIM(UPPER(D133)),8,1))&gt;=48,CODE(MID(TRIM(UPPER(D133)),8,1))&lt;=57,CODE(MID(TRIM(UPPER(D133)),9,1))&gt;=48,CODE(MID(TRIM(UPPER(D133)),9,1))&lt;=57),"N","Y"))</f>
      </c>
      <c r="F133" s="7">
        <f>IF($C133="","",IF(LEN(D133)&lt;4,"",IF(UPPER(MID(D133,4,1))="P","Individual",IF(UPPER(MID(D133,4,1))="H","HUF",IF(UPPER(MID(D133,4,1))="C","Company",IF(UPPER(MID(D133,4,1))="F","Firm",IF(UPPER(MID(D133,4,1))="L","LLP",IF(UPPER(MID(D133,4,1))="T","Trust",IF(UPPER(MID(D133,4,1))="A","AOP","")))))))))</f>
      </c>
      <c r="G133" s="8"/>
      <c r="H133" s="7">
        <f>IF($C133="","",IF(R133&lt;&gt;"",R133,IF(G133="","",IF(E133="Y",SUMPRODUCT(('Rate Lookup'!$A$1:$A$37=G133)*'Rate Lookup'!$D$1:$D$37),IF(OR(F133="Individual",F133="HUF"),SUMPRODUCT(('Rate Lookup'!$A$1:$A$37=G133)*'Rate Lookup'!$B$1:$B$37),SUMPRODUCT(('Rate Lookup'!$A$1:$A$37=G133)*'Rate Lookup'!$C$1:$C$37)))))))</f>
      </c>
      <c r="I133" s="8"/>
      <c r="J133" s="8"/>
      <c r="K133" s="7">
        <f>IF($C133="","",IF(OR(P133="B",P133="D",P133="E",P133="N",P133="O",P133="P",P133="Q",P133="S",P133="Y",P133="Z"),0,ROUND(J133*H133/100,0)))</f>
      </c>
      <c r="L133" s="7">
        <f>IF($C133="","",0)</f>
      </c>
      <c r="M133" s="7">
        <f>IF($C133="","",0)</f>
      </c>
      <c r="N133" s="7">
        <f>IF($C133="","",IF(OR(K133=0,I133="",IFERROR(INDEX('Challan Master'!$D$4:$D$207,MATCH($B133,'Challan Master'!$S$4:$S$207,0)),"")="",IFERROR(INDEX('Challan Master'!$D$4:$D$207,MATCH($B133,'Challan Master'!$S$4:$S$207,0)),"")&lt;=0),0,IF(IFERROR(INDEX('Challan Master'!$D$4:$D$207,MATCH($B133,'Challan Master'!$S$4:$S$207,0)),"")&lt;=DATE(YEAR(I133),MONTH(I133)+1,7),0,ROUND(K133*0.015*((YEAR(IFERROR(INDEX('Challan Master'!$D$4:$D$207,MATCH($B133,'Challan Master'!$S$4:$S$207,0)),""))-YEAR(I133))*12+(MONTH(IFERROR(INDEX('Challan Master'!$D$4:$D$207,MATCH($B133,'Challan Master'!$S$4:$S$207,0)),""))-MONTH(I133))+1),0))))</f>
      </c>
      <c r="O133" s="7">
        <f>IF($C133="","",0)</f>
      </c>
      <c r="P133" s="8"/>
      <c r="Q133" s="8"/>
      <c r="R133" s="8"/>
      <c r="S133" s="8"/>
      <c r="T133" s="8"/>
      <c r="U133" s="7">
        <f>IF($B133="","",IFERROR(INDEX('Challan Master'!$AA$4:$AA$207,MATCH($B133,'Challan Master'!$S$4:$S$207,0)),""))</f>
      </c>
    </row>
    <row r="134" spans="1:22" x14ac:dyDescent="0.25">
      <c r="A134" s="7">
        <f>IF($C134="","",COUNTIF($C$4:$C134,"&lt;&gt;"))</f>
      </c>
      <c r="B134" s="8"/>
      <c r="C134" s="8"/>
      <c r="D134" s="8"/>
      <c r="E134" s="7">
        <f>IF($C134="","",IF(AND(LEN(TRIM(UPPER(D134)))=10,CODE(MID(TRIM(UPPER(D134)),1,1))&gt;=65,CODE(MID(TRIM(UPPER(D134)),1,1))&lt;=90,CODE(MID(TRIM(UPPER(D134)),2,1))&gt;=65,CODE(MID(TRIM(UPPER(D134)),2,1))&lt;=90,CODE(MID(TRIM(UPPER(D134)),3,1))&gt;=65,CODE(MID(TRIM(UPPER(D134)),3,1))&lt;=90,CODE(MID(TRIM(UPPER(D134)),4,1))&gt;=65,CODE(MID(TRIM(UPPER(D134)),4,1))&lt;=90,CODE(MID(TRIM(UPPER(D134)),5,1))&gt;=65,CODE(MID(TRIM(UPPER(D134)),5,1))&lt;=90,CODE(MID(TRIM(UPPER(D134)),10,1))&gt;=65,CODE(MID(TRIM(UPPER(D134)),10,1))&lt;=90,CODE(MID(TRIM(UPPER(D134)),6,1))&gt;=48,CODE(MID(TRIM(UPPER(D134)),6,1))&lt;=57,CODE(MID(TRIM(UPPER(D134)),7,1))&gt;=48,CODE(MID(TRIM(UPPER(D134)),7,1))&lt;=57,CODE(MID(TRIM(UPPER(D134)),8,1))&gt;=48,CODE(MID(TRIM(UPPER(D134)),8,1))&lt;=57,CODE(MID(TRIM(UPPER(D134)),9,1))&gt;=48,CODE(MID(TRIM(UPPER(D134)),9,1))&lt;=57),"N","Y"))</f>
      </c>
      <c r="F134" s="7">
        <f>IF($C134="","",IF(LEN(D134)&lt;4,"",IF(UPPER(MID(D134,4,1))="P","Individual",IF(UPPER(MID(D134,4,1))="H","HUF",IF(UPPER(MID(D134,4,1))="C","Company",IF(UPPER(MID(D134,4,1))="F","Firm",IF(UPPER(MID(D134,4,1))="L","LLP",IF(UPPER(MID(D134,4,1))="T","Trust",IF(UPPER(MID(D134,4,1))="A","AOP","")))))))))</f>
      </c>
      <c r="G134" s="8"/>
      <c r="H134" s="7">
        <f>IF($C134="","",IF(R134&lt;&gt;"",R134,IF(G134="","",IF(E134="Y",SUMPRODUCT(('Rate Lookup'!$A$1:$A$37=G134)*'Rate Lookup'!$D$1:$D$37),IF(OR(F134="Individual",F134="HUF"),SUMPRODUCT(('Rate Lookup'!$A$1:$A$37=G134)*'Rate Lookup'!$B$1:$B$37),SUMPRODUCT(('Rate Lookup'!$A$1:$A$37=G134)*'Rate Lookup'!$C$1:$C$37)))))))</f>
      </c>
      <c r="I134" s="8"/>
      <c r="J134" s="8"/>
      <c r="K134" s="7">
        <f>IF($C134="","",IF(OR(P134="B",P134="D",P134="E",P134="N",P134="O",P134="P",P134="Q",P134="S",P134="Y",P134="Z"),0,ROUND(J134*H134/100,0)))</f>
      </c>
      <c r="L134" s="7">
        <f>IF($C134="","",0)</f>
      </c>
      <c r="M134" s="7">
        <f>IF($C134="","",0)</f>
      </c>
      <c r="N134" s="7">
        <f>IF($C134="","",IF(OR(K134=0,I134="",IFERROR(INDEX('Challan Master'!$D$4:$D$207,MATCH($B134,'Challan Master'!$S$4:$S$207,0)),"")="",IFERROR(INDEX('Challan Master'!$D$4:$D$207,MATCH($B134,'Challan Master'!$S$4:$S$207,0)),"")&lt;=0),0,IF(IFERROR(INDEX('Challan Master'!$D$4:$D$207,MATCH($B134,'Challan Master'!$S$4:$S$207,0)),"")&lt;=DATE(YEAR(I134),MONTH(I134)+1,7),0,ROUND(K134*0.015*((YEAR(IFERROR(INDEX('Challan Master'!$D$4:$D$207,MATCH($B134,'Challan Master'!$S$4:$S$207,0)),""))-YEAR(I134))*12+(MONTH(IFERROR(INDEX('Challan Master'!$D$4:$D$207,MATCH($B134,'Challan Master'!$S$4:$S$207,0)),""))-MONTH(I134))+1),0))))</f>
      </c>
      <c r="O134" s="7">
        <f>IF($C134="","",0)</f>
      </c>
      <c r="P134" s="8"/>
      <c r="Q134" s="8"/>
      <c r="R134" s="8"/>
      <c r="S134" s="8"/>
      <c r="T134" s="8"/>
      <c r="U134" s="7">
        <f>IF($B134="","",IFERROR(INDEX('Challan Master'!$AA$4:$AA$207,MATCH($B134,'Challan Master'!$S$4:$S$207,0)),""))</f>
      </c>
    </row>
    <row r="135" spans="1:22" x14ac:dyDescent="0.25">
      <c r="A135" s="7">
        <f>IF($C135="","",COUNTIF($C$4:$C135,"&lt;&gt;"))</f>
      </c>
      <c r="B135" s="8"/>
      <c r="C135" s="8"/>
      <c r="D135" s="8"/>
      <c r="E135" s="7">
        <f>IF($C135="","",IF(AND(LEN(TRIM(UPPER(D135)))=10,CODE(MID(TRIM(UPPER(D135)),1,1))&gt;=65,CODE(MID(TRIM(UPPER(D135)),1,1))&lt;=90,CODE(MID(TRIM(UPPER(D135)),2,1))&gt;=65,CODE(MID(TRIM(UPPER(D135)),2,1))&lt;=90,CODE(MID(TRIM(UPPER(D135)),3,1))&gt;=65,CODE(MID(TRIM(UPPER(D135)),3,1))&lt;=90,CODE(MID(TRIM(UPPER(D135)),4,1))&gt;=65,CODE(MID(TRIM(UPPER(D135)),4,1))&lt;=90,CODE(MID(TRIM(UPPER(D135)),5,1))&gt;=65,CODE(MID(TRIM(UPPER(D135)),5,1))&lt;=90,CODE(MID(TRIM(UPPER(D135)),10,1))&gt;=65,CODE(MID(TRIM(UPPER(D135)),10,1))&lt;=90,CODE(MID(TRIM(UPPER(D135)),6,1))&gt;=48,CODE(MID(TRIM(UPPER(D135)),6,1))&lt;=57,CODE(MID(TRIM(UPPER(D135)),7,1))&gt;=48,CODE(MID(TRIM(UPPER(D135)),7,1))&lt;=57,CODE(MID(TRIM(UPPER(D135)),8,1))&gt;=48,CODE(MID(TRIM(UPPER(D135)),8,1))&lt;=57,CODE(MID(TRIM(UPPER(D135)),9,1))&gt;=48,CODE(MID(TRIM(UPPER(D135)),9,1))&lt;=57),"N","Y"))</f>
      </c>
      <c r="F135" s="7">
        <f>IF($C135="","",IF(LEN(D135)&lt;4,"",IF(UPPER(MID(D135,4,1))="P","Individual",IF(UPPER(MID(D135,4,1))="H","HUF",IF(UPPER(MID(D135,4,1))="C","Company",IF(UPPER(MID(D135,4,1))="F","Firm",IF(UPPER(MID(D135,4,1))="L","LLP",IF(UPPER(MID(D135,4,1))="T","Trust",IF(UPPER(MID(D135,4,1))="A","AOP","")))))))))</f>
      </c>
      <c r="G135" s="8"/>
      <c r="H135" s="7">
        <f>IF($C135="","",IF(R135&lt;&gt;"",R135,IF(G135="","",IF(E135="Y",SUMPRODUCT(('Rate Lookup'!$A$1:$A$37=G135)*'Rate Lookup'!$D$1:$D$37),IF(OR(F135="Individual",F135="HUF"),SUMPRODUCT(('Rate Lookup'!$A$1:$A$37=G135)*'Rate Lookup'!$B$1:$B$37),SUMPRODUCT(('Rate Lookup'!$A$1:$A$37=G135)*'Rate Lookup'!$C$1:$C$37)))))))</f>
      </c>
      <c r="I135" s="8"/>
      <c r="J135" s="8"/>
      <c r="K135" s="7">
        <f>IF($C135="","",IF(OR(P135="B",P135="D",P135="E",P135="N",P135="O",P135="P",P135="Q",P135="S",P135="Y",P135="Z"),0,ROUND(J135*H135/100,0)))</f>
      </c>
      <c r="L135" s="7">
        <f>IF($C135="","",0)</f>
      </c>
      <c r="M135" s="7">
        <f>IF($C135="","",0)</f>
      </c>
      <c r="N135" s="7">
        <f>IF($C135="","",IF(OR(K135=0,I135="",IFERROR(INDEX('Challan Master'!$D$4:$D$207,MATCH($B135,'Challan Master'!$S$4:$S$207,0)),"")="",IFERROR(INDEX('Challan Master'!$D$4:$D$207,MATCH($B135,'Challan Master'!$S$4:$S$207,0)),"")&lt;=0),0,IF(IFERROR(INDEX('Challan Master'!$D$4:$D$207,MATCH($B135,'Challan Master'!$S$4:$S$207,0)),"")&lt;=DATE(YEAR(I135),MONTH(I135)+1,7),0,ROUND(K135*0.015*((YEAR(IFERROR(INDEX('Challan Master'!$D$4:$D$207,MATCH($B135,'Challan Master'!$S$4:$S$207,0)),""))-YEAR(I135))*12+(MONTH(IFERROR(INDEX('Challan Master'!$D$4:$D$207,MATCH($B135,'Challan Master'!$S$4:$S$207,0)),""))-MONTH(I135))+1),0))))</f>
      </c>
      <c r="O135" s="7">
        <f>IF($C135="","",0)</f>
      </c>
      <c r="P135" s="8"/>
      <c r="Q135" s="8"/>
      <c r="R135" s="8"/>
      <c r="S135" s="8"/>
      <c r="T135" s="8"/>
      <c r="U135" s="7">
        <f>IF($B135="","",IFERROR(INDEX('Challan Master'!$AA$4:$AA$207,MATCH($B135,'Challan Master'!$S$4:$S$207,0)),""))</f>
      </c>
    </row>
    <row r="136" spans="1:22" x14ac:dyDescent="0.25">
      <c r="A136" s="7">
        <f>IF($C136="","",COUNTIF($C$4:$C136,"&lt;&gt;"))</f>
      </c>
      <c r="B136" s="8"/>
      <c r="C136" s="8"/>
      <c r="D136" s="8"/>
      <c r="E136" s="7">
        <f>IF($C136="","",IF(AND(LEN(TRIM(UPPER(D136)))=10,CODE(MID(TRIM(UPPER(D136)),1,1))&gt;=65,CODE(MID(TRIM(UPPER(D136)),1,1))&lt;=90,CODE(MID(TRIM(UPPER(D136)),2,1))&gt;=65,CODE(MID(TRIM(UPPER(D136)),2,1))&lt;=90,CODE(MID(TRIM(UPPER(D136)),3,1))&gt;=65,CODE(MID(TRIM(UPPER(D136)),3,1))&lt;=90,CODE(MID(TRIM(UPPER(D136)),4,1))&gt;=65,CODE(MID(TRIM(UPPER(D136)),4,1))&lt;=90,CODE(MID(TRIM(UPPER(D136)),5,1))&gt;=65,CODE(MID(TRIM(UPPER(D136)),5,1))&lt;=90,CODE(MID(TRIM(UPPER(D136)),10,1))&gt;=65,CODE(MID(TRIM(UPPER(D136)),10,1))&lt;=90,CODE(MID(TRIM(UPPER(D136)),6,1))&gt;=48,CODE(MID(TRIM(UPPER(D136)),6,1))&lt;=57,CODE(MID(TRIM(UPPER(D136)),7,1))&gt;=48,CODE(MID(TRIM(UPPER(D136)),7,1))&lt;=57,CODE(MID(TRIM(UPPER(D136)),8,1))&gt;=48,CODE(MID(TRIM(UPPER(D136)),8,1))&lt;=57,CODE(MID(TRIM(UPPER(D136)),9,1))&gt;=48,CODE(MID(TRIM(UPPER(D136)),9,1))&lt;=57),"N","Y"))</f>
      </c>
      <c r="F136" s="7">
        <f>IF($C136="","",IF(LEN(D136)&lt;4,"",IF(UPPER(MID(D136,4,1))="P","Individual",IF(UPPER(MID(D136,4,1))="H","HUF",IF(UPPER(MID(D136,4,1))="C","Company",IF(UPPER(MID(D136,4,1))="F","Firm",IF(UPPER(MID(D136,4,1))="L","LLP",IF(UPPER(MID(D136,4,1))="T","Trust",IF(UPPER(MID(D136,4,1))="A","AOP","")))))))))</f>
      </c>
      <c r="G136" s="8"/>
      <c r="H136" s="7">
        <f>IF($C136="","",IF(R136&lt;&gt;"",R136,IF(G136="","",IF(E136="Y",SUMPRODUCT(('Rate Lookup'!$A$1:$A$37=G136)*'Rate Lookup'!$D$1:$D$37),IF(OR(F136="Individual",F136="HUF"),SUMPRODUCT(('Rate Lookup'!$A$1:$A$37=G136)*'Rate Lookup'!$B$1:$B$37),SUMPRODUCT(('Rate Lookup'!$A$1:$A$37=G136)*'Rate Lookup'!$C$1:$C$37)))))))</f>
      </c>
      <c r="I136" s="8"/>
      <c r="J136" s="8"/>
      <c r="K136" s="7">
        <f>IF($C136="","",IF(OR(P136="B",P136="D",P136="E",P136="N",P136="O",P136="P",P136="Q",P136="S",P136="Y",P136="Z"),0,ROUND(J136*H136/100,0)))</f>
      </c>
      <c r="L136" s="7">
        <f>IF($C136="","",0)</f>
      </c>
      <c r="M136" s="7">
        <f>IF($C136="","",0)</f>
      </c>
      <c r="N136" s="7">
        <f>IF($C136="","",IF(OR(K136=0,I136="",IFERROR(INDEX('Challan Master'!$D$4:$D$207,MATCH($B136,'Challan Master'!$S$4:$S$207,0)),"")="",IFERROR(INDEX('Challan Master'!$D$4:$D$207,MATCH($B136,'Challan Master'!$S$4:$S$207,0)),"")&lt;=0),0,IF(IFERROR(INDEX('Challan Master'!$D$4:$D$207,MATCH($B136,'Challan Master'!$S$4:$S$207,0)),"")&lt;=DATE(YEAR(I136),MONTH(I136)+1,7),0,ROUND(K136*0.015*((YEAR(IFERROR(INDEX('Challan Master'!$D$4:$D$207,MATCH($B136,'Challan Master'!$S$4:$S$207,0)),""))-YEAR(I136))*12+(MONTH(IFERROR(INDEX('Challan Master'!$D$4:$D$207,MATCH($B136,'Challan Master'!$S$4:$S$207,0)),""))-MONTH(I136))+1),0))))</f>
      </c>
      <c r="O136" s="7">
        <f>IF($C136="","",0)</f>
      </c>
      <c r="P136" s="8"/>
      <c r="Q136" s="8"/>
      <c r="R136" s="8"/>
      <c r="S136" s="8"/>
      <c r="T136" s="8"/>
      <c r="U136" s="7">
        <f>IF($B136="","",IFERROR(INDEX('Challan Master'!$AA$4:$AA$207,MATCH($B136,'Challan Master'!$S$4:$S$207,0)),""))</f>
      </c>
    </row>
    <row r="137" spans="1:22" x14ac:dyDescent="0.25">
      <c r="A137" s="7">
        <f>IF($C137="","",COUNTIF($C$4:$C137,"&lt;&gt;"))</f>
      </c>
      <c r="B137" s="8"/>
      <c r="C137" s="8"/>
      <c r="D137" s="8"/>
      <c r="E137" s="7">
        <f>IF($C137="","",IF(AND(LEN(TRIM(UPPER(D137)))=10,CODE(MID(TRIM(UPPER(D137)),1,1))&gt;=65,CODE(MID(TRIM(UPPER(D137)),1,1))&lt;=90,CODE(MID(TRIM(UPPER(D137)),2,1))&gt;=65,CODE(MID(TRIM(UPPER(D137)),2,1))&lt;=90,CODE(MID(TRIM(UPPER(D137)),3,1))&gt;=65,CODE(MID(TRIM(UPPER(D137)),3,1))&lt;=90,CODE(MID(TRIM(UPPER(D137)),4,1))&gt;=65,CODE(MID(TRIM(UPPER(D137)),4,1))&lt;=90,CODE(MID(TRIM(UPPER(D137)),5,1))&gt;=65,CODE(MID(TRIM(UPPER(D137)),5,1))&lt;=90,CODE(MID(TRIM(UPPER(D137)),10,1))&gt;=65,CODE(MID(TRIM(UPPER(D137)),10,1))&lt;=90,CODE(MID(TRIM(UPPER(D137)),6,1))&gt;=48,CODE(MID(TRIM(UPPER(D137)),6,1))&lt;=57,CODE(MID(TRIM(UPPER(D137)),7,1))&gt;=48,CODE(MID(TRIM(UPPER(D137)),7,1))&lt;=57,CODE(MID(TRIM(UPPER(D137)),8,1))&gt;=48,CODE(MID(TRIM(UPPER(D137)),8,1))&lt;=57,CODE(MID(TRIM(UPPER(D137)),9,1))&gt;=48,CODE(MID(TRIM(UPPER(D137)),9,1))&lt;=57),"N","Y"))</f>
      </c>
      <c r="F137" s="7">
        <f>IF($C137="","",IF(LEN(D137)&lt;4,"",IF(UPPER(MID(D137,4,1))="P","Individual",IF(UPPER(MID(D137,4,1))="H","HUF",IF(UPPER(MID(D137,4,1))="C","Company",IF(UPPER(MID(D137,4,1))="F","Firm",IF(UPPER(MID(D137,4,1))="L","LLP",IF(UPPER(MID(D137,4,1))="T","Trust",IF(UPPER(MID(D137,4,1))="A","AOP","")))))))))</f>
      </c>
      <c r="G137" s="8"/>
      <c r="H137" s="7">
        <f>IF($C137="","",IF(R137&lt;&gt;"",R137,IF(G137="","",IF(E137="Y",SUMPRODUCT(('Rate Lookup'!$A$1:$A$37=G137)*'Rate Lookup'!$D$1:$D$37),IF(OR(F137="Individual",F137="HUF"),SUMPRODUCT(('Rate Lookup'!$A$1:$A$37=G137)*'Rate Lookup'!$B$1:$B$37),SUMPRODUCT(('Rate Lookup'!$A$1:$A$37=G137)*'Rate Lookup'!$C$1:$C$37)))))))</f>
      </c>
      <c r="I137" s="8"/>
      <c r="J137" s="8"/>
      <c r="K137" s="7">
        <f>IF($C137="","",IF(OR(P137="B",P137="D",P137="E",P137="N",P137="O",P137="P",P137="Q",P137="S",P137="Y",P137="Z"),0,ROUND(J137*H137/100,0)))</f>
      </c>
      <c r="L137" s="7">
        <f>IF($C137="","",0)</f>
      </c>
      <c r="M137" s="7">
        <f>IF($C137="","",0)</f>
      </c>
      <c r="N137" s="7">
        <f>IF($C137="","",IF(OR(K137=0,I137="",IFERROR(INDEX('Challan Master'!$D$4:$D$207,MATCH($B137,'Challan Master'!$S$4:$S$207,0)),"")="",IFERROR(INDEX('Challan Master'!$D$4:$D$207,MATCH($B137,'Challan Master'!$S$4:$S$207,0)),"")&lt;=0),0,IF(IFERROR(INDEX('Challan Master'!$D$4:$D$207,MATCH($B137,'Challan Master'!$S$4:$S$207,0)),"")&lt;=DATE(YEAR(I137),MONTH(I137)+1,7),0,ROUND(K137*0.015*((YEAR(IFERROR(INDEX('Challan Master'!$D$4:$D$207,MATCH($B137,'Challan Master'!$S$4:$S$207,0)),""))-YEAR(I137))*12+(MONTH(IFERROR(INDEX('Challan Master'!$D$4:$D$207,MATCH($B137,'Challan Master'!$S$4:$S$207,0)),""))-MONTH(I137))+1),0))))</f>
      </c>
      <c r="O137" s="7">
        <f>IF($C137="","",0)</f>
      </c>
      <c r="P137" s="8"/>
      <c r="Q137" s="8"/>
      <c r="R137" s="8"/>
      <c r="S137" s="8"/>
      <c r="T137" s="8"/>
      <c r="U137" s="7">
        <f>IF($B137="","",IFERROR(INDEX('Challan Master'!$AA$4:$AA$207,MATCH($B137,'Challan Master'!$S$4:$S$207,0)),""))</f>
      </c>
    </row>
    <row r="138" spans="1:22" x14ac:dyDescent="0.25">
      <c r="A138" s="7">
        <f>IF($C138="","",COUNTIF($C$4:$C138,"&lt;&gt;"))</f>
      </c>
      <c r="B138" s="8"/>
      <c r="C138" s="8"/>
      <c r="D138" s="8"/>
      <c r="E138" s="7">
        <f>IF($C138="","",IF(AND(LEN(TRIM(UPPER(D138)))=10,CODE(MID(TRIM(UPPER(D138)),1,1))&gt;=65,CODE(MID(TRIM(UPPER(D138)),1,1))&lt;=90,CODE(MID(TRIM(UPPER(D138)),2,1))&gt;=65,CODE(MID(TRIM(UPPER(D138)),2,1))&lt;=90,CODE(MID(TRIM(UPPER(D138)),3,1))&gt;=65,CODE(MID(TRIM(UPPER(D138)),3,1))&lt;=90,CODE(MID(TRIM(UPPER(D138)),4,1))&gt;=65,CODE(MID(TRIM(UPPER(D138)),4,1))&lt;=90,CODE(MID(TRIM(UPPER(D138)),5,1))&gt;=65,CODE(MID(TRIM(UPPER(D138)),5,1))&lt;=90,CODE(MID(TRIM(UPPER(D138)),10,1))&gt;=65,CODE(MID(TRIM(UPPER(D138)),10,1))&lt;=90,CODE(MID(TRIM(UPPER(D138)),6,1))&gt;=48,CODE(MID(TRIM(UPPER(D138)),6,1))&lt;=57,CODE(MID(TRIM(UPPER(D138)),7,1))&gt;=48,CODE(MID(TRIM(UPPER(D138)),7,1))&lt;=57,CODE(MID(TRIM(UPPER(D138)),8,1))&gt;=48,CODE(MID(TRIM(UPPER(D138)),8,1))&lt;=57,CODE(MID(TRIM(UPPER(D138)),9,1))&gt;=48,CODE(MID(TRIM(UPPER(D138)),9,1))&lt;=57),"N","Y"))</f>
      </c>
      <c r="F138" s="7">
        <f>IF($C138="","",IF(LEN(D138)&lt;4,"",IF(UPPER(MID(D138,4,1))="P","Individual",IF(UPPER(MID(D138,4,1))="H","HUF",IF(UPPER(MID(D138,4,1))="C","Company",IF(UPPER(MID(D138,4,1))="F","Firm",IF(UPPER(MID(D138,4,1))="L","LLP",IF(UPPER(MID(D138,4,1))="T","Trust",IF(UPPER(MID(D138,4,1))="A","AOP","")))))))))</f>
      </c>
      <c r="G138" s="8"/>
      <c r="H138" s="7">
        <f>IF($C138="","",IF(R138&lt;&gt;"",R138,IF(G138="","",IF(E138="Y",SUMPRODUCT(('Rate Lookup'!$A$1:$A$37=G138)*'Rate Lookup'!$D$1:$D$37),IF(OR(F138="Individual",F138="HUF"),SUMPRODUCT(('Rate Lookup'!$A$1:$A$37=G138)*'Rate Lookup'!$B$1:$B$37),SUMPRODUCT(('Rate Lookup'!$A$1:$A$37=G138)*'Rate Lookup'!$C$1:$C$37)))))))</f>
      </c>
      <c r="I138" s="8"/>
      <c r="J138" s="8"/>
      <c r="K138" s="7">
        <f>IF($C138="","",IF(OR(P138="B",P138="D",P138="E",P138="N",P138="O",P138="P",P138="Q",P138="S",P138="Y",P138="Z"),0,ROUND(J138*H138/100,0)))</f>
      </c>
      <c r="L138" s="7">
        <f>IF($C138="","",0)</f>
      </c>
      <c r="M138" s="7">
        <f>IF($C138="","",0)</f>
      </c>
      <c r="N138" s="7">
        <f>IF($C138="","",IF(OR(K138=0,I138="",IFERROR(INDEX('Challan Master'!$D$4:$D$207,MATCH($B138,'Challan Master'!$S$4:$S$207,0)),"")="",IFERROR(INDEX('Challan Master'!$D$4:$D$207,MATCH($B138,'Challan Master'!$S$4:$S$207,0)),"")&lt;=0),0,IF(IFERROR(INDEX('Challan Master'!$D$4:$D$207,MATCH($B138,'Challan Master'!$S$4:$S$207,0)),"")&lt;=DATE(YEAR(I138),MONTH(I138)+1,7),0,ROUND(K138*0.015*((YEAR(IFERROR(INDEX('Challan Master'!$D$4:$D$207,MATCH($B138,'Challan Master'!$S$4:$S$207,0)),""))-YEAR(I138))*12+(MONTH(IFERROR(INDEX('Challan Master'!$D$4:$D$207,MATCH($B138,'Challan Master'!$S$4:$S$207,0)),""))-MONTH(I138))+1),0))))</f>
      </c>
      <c r="O138" s="7">
        <f>IF($C138="","",0)</f>
      </c>
      <c r="P138" s="8"/>
      <c r="Q138" s="8"/>
      <c r="R138" s="8"/>
      <c r="S138" s="8"/>
      <c r="T138" s="8"/>
      <c r="U138" s="7">
        <f>IF($B138="","",IFERROR(INDEX('Challan Master'!$AA$4:$AA$207,MATCH($B138,'Challan Master'!$S$4:$S$207,0)),""))</f>
      </c>
    </row>
    <row r="139" spans="1:22" x14ac:dyDescent="0.25">
      <c r="A139" s="7">
        <f>IF($C139="","",COUNTIF($C$4:$C139,"&lt;&gt;"))</f>
      </c>
      <c r="B139" s="8"/>
      <c r="C139" s="8"/>
      <c r="D139" s="8"/>
      <c r="E139" s="7">
        <f>IF($C139="","",IF(AND(LEN(TRIM(UPPER(D139)))=10,CODE(MID(TRIM(UPPER(D139)),1,1))&gt;=65,CODE(MID(TRIM(UPPER(D139)),1,1))&lt;=90,CODE(MID(TRIM(UPPER(D139)),2,1))&gt;=65,CODE(MID(TRIM(UPPER(D139)),2,1))&lt;=90,CODE(MID(TRIM(UPPER(D139)),3,1))&gt;=65,CODE(MID(TRIM(UPPER(D139)),3,1))&lt;=90,CODE(MID(TRIM(UPPER(D139)),4,1))&gt;=65,CODE(MID(TRIM(UPPER(D139)),4,1))&lt;=90,CODE(MID(TRIM(UPPER(D139)),5,1))&gt;=65,CODE(MID(TRIM(UPPER(D139)),5,1))&lt;=90,CODE(MID(TRIM(UPPER(D139)),10,1))&gt;=65,CODE(MID(TRIM(UPPER(D139)),10,1))&lt;=90,CODE(MID(TRIM(UPPER(D139)),6,1))&gt;=48,CODE(MID(TRIM(UPPER(D139)),6,1))&lt;=57,CODE(MID(TRIM(UPPER(D139)),7,1))&gt;=48,CODE(MID(TRIM(UPPER(D139)),7,1))&lt;=57,CODE(MID(TRIM(UPPER(D139)),8,1))&gt;=48,CODE(MID(TRIM(UPPER(D139)),8,1))&lt;=57,CODE(MID(TRIM(UPPER(D139)),9,1))&gt;=48,CODE(MID(TRIM(UPPER(D139)),9,1))&lt;=57),"N","Y"))</f>
      </c>
      <c r="F139" s="7">
        <f>IF($C139="","",IF(LEN(D139)&lt;4,"",IF(UPPER(MID(D139,4,1))="P","Individual",IF(UPPER(MID(D139,4,1))="H","HUF",IF(UPPER(MID(D139,4,1))="C","Company",IF(UPPER(MID(D139,4,1))="F","Firm",IF(UPPER(MID(D139,4,1))="L","LLP",IF(UPPER(MID(D139,4,1))="T","Trust",IF(UPPER(MID(D139,4,1))="A","AOP","")))))))))</f>
      </c>
      <c r="G139" s="8"/>
      <c r="H139" s="7">
        <f>IF($C139="","",IF(R139&lt;&gt;"",R139,IF(G139="","",IF(E139="Y",SUMPRODUCT(('Rate Lookup'!$A$1:$A$37=G139)*'Rate Lookup'!$D$1:$D$37),IF(OR(F139="Individual",F139="HUF"),SUMPRODUCT(('Rate Lookup'!$A$1:$A$37=G139)*'Rate Lookup'!$B$1:$B$37),SUMPRODUCT(('Rate Lookup'!$A$1:$A$37=G139)*'Rate Lookup'!$C$1:$C$37)))))))</f>
      </c>
      <c r="I139" s="8"/>
      <c r="J139" s="8"/>
      <c r="K139" s="7">
        <f>IF($C139="","",IF(OR(P139="B",P139="D",P139="E",P139="N",P139="O",P139="P",P139="Q",P139="S",P139="Y",P139="Z"),0,ROUND(J139*H139/100,0)))</f>
      </c>
      <c r="L139" s="7">
        <f>IF($C139="","",0)</f>
      </c>
      <c r="M139" s="7">
        <f>IF($C139="","",0)</f>
      </c>
      <c r="N139" s="7">
        <f>IF($C139="","",IF(OR(K139=0,I139="",IFERROR(INDEX('Challan Master'!$D$4:$D$207,MATCH($B139,'Challan Master'!$S$4:$S$207,0)),"")="",IFERROR(INDEX('Challan Master'!$D$4:$D$207,MATCH($B139,'Challan Master'!$S$4:$S$207,0)),"")&lt;=0),0,IF(IFERROR(INDEX('Challan Master'!$D$4:$D$207,MATCH($B139,'Challan Master'!$S$4:$S$207,0)),"")&lt;=DATE(YEAR(I139),MONTH(I139)+1,7),0,ROUND(K139*0.015*((YEAR(IFERROR(INDEX('Challan Master'!$D$4:$D$207,MATCH($B139,'Challan Master'!$S$4:$S$207,0)),""))-YEAR(I139))*12+(MONTH(IFERROR(INDEX('Challan Master'!$D$4:$D$207,MATCH($B139,'Challan Master'!$S$4:$S$207,0)),""))-MONTH(I139))+1),0))))</f>
      </c>
      <c r="O139" s="7">
        <f>IF($C139="","",0)</f>
      </c>
      <c r="P139" s="8"/>
      <c r="Q139" s="8"/>
      <c r="R139" s="8"/>
      <c r="S139" s="8"/>
      <c r="T139" s="8"/>
      <c r="U139" s="7">
        <f>IF($B139="","",IFERROR(INDEX('Challan Master'!$AA$4:$AA$207,MATCH($B139,'Challan Master'!$S$4:$S$207,0)),""))</f>
      </c>
    </row>
    <row r="140" spans="1:22" x14ac:dyDescent="0.25">
      <c r="A140" s="7">
        <f>IF($C140="","",COUNTIF($C$4:$C140,"&lt;&gt;"))</f>
      </c>
      <c r="B140" s="8"/>
      <c r="C140" s="8"/>
      <c r="D140" s="8"/>
      <c r="E140" s="7">
        <f>IF($C140="","",IF(AND(LEN(TRIM(UPPER(D140)))=10,CODE(MID(TRIM(UPPER(D140)),1,1))&gt;=65,CODE(MID(TRIM(UPPER(D140)),1,1))&lt;=90,CODE(MID(TRIM(UPPER(D140)),2,1))&gt;=65,CODE(MID(TRIM(UPPER(D140)),2,1))&lt;=90,CODE(MID(TRIM(UPPER(D140)),3,1))&gt;=65,CODE(MID(TRIM(UPPER(D140)),3,1))&lt;=90,CODE(MID(TRIM(UPPER(D140)),4,1))&gt;=65,CODE(MID(TRIM(UPPER(D140)),4,1))&lt;=90,CODE(MID(TRIM(UPPER(D140)),5,1))&gt;=65,CODE(MID(TRIM(UPPER(D140)),5,1))&lt;=90,CODE(MID(TRIM(UPPER(D140)),10,1))&gt;=65,CODE(MID(TRIM(UPPER(D140)),10,1))&lt;=90,CODE(MID(TRIM(UPPER(D140)),6,1))&gt;=48,CODE(MID(TRIM(UPPER(D140)),6,1))&lt;=57,CODE(MID(TRIM(UPPER(D140)),7,1))&gt;=48,CODE(MID(TRIM(UPPER(D140)),7,1))&lt;=57,CODE(MID(TRIM(UPPER(D140)),8,1))&gt;=48,CODE(MID(TRIM(UPPER(D140)),8,1))&lt;=57,CODE(MID(TRIM(UPPER(D140)),9,1))&gt;=48,CODE(MID(TRIM(UPPER(D140)),9,1))&lt;=57),"N","Y"))</f>
      </c>
      <c r="F140" s="7">
        <f>IF($C140="","",IF(LEN(D140)&lt;4,"",IF(UPPER(MID(D140,4,1))="P","Individual",IF(UPPER(MID(D140,4,1))="H","HUF",IF(UPPER(MID(D140,4,1))="C","Company",IF(UPPER(MID(D140,4,1))="F","Firm",IF(UPPER(MID(D140,4,1))="L","LLP",IF(UPPER(MID(D140,4,1))="T","Trust",IF(UPPER(MID(D140,4,1))="A","AOP","")))))))))</f>
      </c>
      <c r="G140" s="8"/>
      <c r="H140" s="7">
        <f>IF($C140="","",IF(R140&lt;&gt;"",R140,IF(G140="","",IF(E140="Y",SUMPRODUCT(('Rate Lookup'!$A$1:$A$37=G140)*'Rate Lookup'!$D$1:$D$37),IF(OR(F140="Individual",F140="HUF"),SUMPRODUCT(('Rate Lookup'!$A$1:$A$37=G140)*'Rate Lookup'!$B$1:$B$37),SUMPRODUCT(('Rate Lookup'!$A$1:$A$37=G140)*'Rate Lookup'!$C$1:$C$37)))))))</f>
      </c>
      <c r="I140" s="8"/>
      <c r="J140" s="8"/>
      <c r="K140" s="7">
        <f>IF($C140="","",IF(OR(P140="B",P140="D",P140="E",P140="N",P140="O",P140="P",P140="Q",P140="S",P140="Y",P140="Z"),0,ROUND(J140*H140/100,0)))</f>
      </c>
      <c r="L140" s="7">
        <f>IF($C140="","",0)</f>
      </c>
      <c r="M140" s="7">
        <f>IF($C140="","",0)</f>
      </c>
      <c r="N140" s="7">
        <f>IF($C140="","",IF(OR(K140=0,I140="",IFERROR(INDEX('Challan Master'!$D$4:$D$207,MATCH($B140,'Challan Master'!$S$4:$S$207,0)),"")="",IFERROR(INDEX('Challan Master'!$D$4:$D$207,MATCH($B140,'Challan Master'!$S$4:$S$207,0)),"")&lt;=0),0,IF(IFERROR(INDEX('Challan Master'!$D$4:$D$207,MATCH($B140,'Challan Master'!$S$4:$S$207,0)),"")&lt;=DATE(YEAR(I140),MONTH(I140)+1,7),0,ROUND(K140*0.015*((YEAR(IFERROR(INDEX('Challan Master'!$D$4:$D$207,MATCH($B140,'Challan Master'!$S$4:$S$207,0)),""))-YEAR(I140))*12+(MONTH(IFERROR(INDEX('Challan Master'!$D$4:$D$207,MATCH($B140,'Challan Master'!$S$4:$S$207,0)),""))-MONTH(I140))+1),0))))</f>
      </c>
      <c r="O140" s="7">
        <f>IF($C140="","",0)</f>
      </c>
      <c r="P140" s="8"/>
      <c r="Q140" s="8"/>
      <c r="R140" s="8"/>
      <c r="S140" s="8"/>
      <c r="T140" s="8"/>
      <c r="U140" s="7">
        <f>IF($B140="","",IFERROR(INDEX('Challan Master'!$AA$4:$AA$207,MATCH($B140,'Challan Master'!$S$4:$S$207,0)),""))</f>
      </c>
    </row>
    <row r="141" spans="1:22" x14ac:dyDescent="0.25">
      <c r="A141" s="7">
        <f>IF($C141="","",COUNTIF($C$4:$C141,"&lt;&gt;"))</f>
      </c>
      <c r="B141" s="8"/>
      <c r="C141" s="8"/>
      <c r="D141" s="8"/>
      <c r="E141" s="7">
        <f>IF($C141="","",IF(AND(LEN(TRIM(UPPER(D141)))=10,CODE(MID(TRIM(UPPER(D141)),1,1))&gt;=65,CODE(MID(TRIM(UPPER(D141)),1,1))&lt;=90,CODE(MID(TRIM(UPPER(D141)),2,1))&gt;=65,CODE(MID(TRIM(UPPER(D141)),2,1))&lt;=90,CODE(MID(TRIM(UPPER(D141)),3,1))&gt;=65,CODE(MID(TRIM(UPPER(D141)),3,1))&lt;=90,CODE(MID(TRIM(UPPER(D141)),4,1))&gt;=65,CODE(MID(TRIM(UPPER(D141)),4,1))&lt;=90,CODE(MID(TRIM(UPPER(D141)),5,1))&gt;=65,CODE(MID(TRIM(UPPER(D141)),5,1))&lt;=90,CODE(MID(TRIM(UPPER(D141)),10,1))&gt;=65,CODE(MID(TRIM(UPPER(D141)),10,1))&lt;=90,CODE(MID(TRIM(UPPER(D141)),6,1))&gt;=48,CODE(MID(TRIM(UPPER(D141)),6,1))&lt;=57,CODE(MID(TRIM(UPPER(D141)),7,1))&gt;=48,CODE(MID(TRIM(UPPER(D141)),7,1))&lt;=57,CODE(MID(TRIM(UPPER(D141)),8,1))&gt;=48,CODE(MID(TRIM(UPPER(D141)),8,1))&lt;=57,CODE(MID(TRIM(UPPER(D141)),9,1))&gt;=48,CODE(MID(TRIM(UPPER(D141)),9,1))&lt;=57),"N","Y"))</f>
      </c>
      <c r="F141" s="7">
        <f>IF($C141="","",IF(LEN(D141)&lt;4,"",IF(UPPER(MID(D141,4,1))="P","Individual",IF(UPPER(MID(D141,4,1))="H","HUF",IF(UPPER(MID(D141,4,1))="C","Company",IF(UPPER(MID(D141,4,1))="F","Firm",IF(UPPER(MID(D141,4,1))="L","LLP",IF(UPPER(MID(D141,4,1))="T","Trust",IF(UPPER(MID(D141,4,1))="A","AOP","")))))))))</f>
      </c>
      <c r="G141" s="8"/>
      <c r="H141" s="7">
        <f>IF($C141="","",IF(R141&lt;&gt;"",R141,IF(G141="","",IF(E141="Y",SUMPRODUCT(('Rate Lookup'!$A$1:$A$37=G141)*'Rate Lookup'!$D$1:$D$37),IF(OR(F141="Individual",F141="HUF"),SUMPRODUCT(('Rate Lookup'!$A$1:$A$37=G141)*'Rate Lookup'!$B$1:$B$37),SUMPRODUCT(('Rate Lookup'!$A$1:$A$37=G141)*'Rate Lookup'!$C$1:$C$37)))))))</f>
      </c>
      <c r="I141" s="8"/>
      <c r="J141" s="8"/>
      <c r="K141" s="7">
        <f>IF($C141="","",IF(OR(P141="B",P141="D",P141="E",P141="N",P141="O",P141="P",P141="Q",P141="S",P141="Y",P141="Z"),0,ROUND(J141*H141/100,0)))</f>
      </c>
      <c r="L141" s="7">
        <f>IF($C141="","",0)</f>
      </c>
      <c r="M141" s="7">
        <f>IF($C141="","",0)</f>
      </c>
      <c r="N141" s="7">
        <f>IF($C141="","",IF(OR(K141=0,I141="",IFERROR(INDEX('Challan Master'!$D$4:$D$207,MATCH($B141,'Challan Master'!$S$4:$S$207,0)),"")="",IFERROR(INDEX('Challan Master'!$D$4:$D$207,MATCH($B141,'Challan Master'!$S$4:$S$207,0)),"")&lt;=0),0,IF(IFERROR(INDEX('Challan Master'!$D$4:$D$207,MATCH($B141,'Challan Master'!$S$4:$S$207,0)),"")&lt;=DATE(YEAR(I141),MONTH(I141)+1,7),0,ROUND(K141*0.015*((YEAR(IFERROR(INDEX('Challan Master'!$D$4:$D$207,MATCH($B141,'Challan Master'!$S$4:$S$207,0)),""))-YEAR(I141))*12+(MONTH(IFERROR(INDEX('Challan Master'!$D$4:$D$207,MATCH($B141,'Challan Master'!$S$4:$S$207,0)),""))-MONTH(I141))+1),0))))</f>
      </c>
      <c r="O141" s="7">
        <f>IF($C141="","",0)</f>
      </c>
      <c r="P141" s="8"/>
      <c r="Q141" s="8"/>
      <c r="R141" s="8"/>
      <c r="S141" s="8"/>
      <c r="T141" s="8"/>
      <c r="U141" s="7">
        <f>IF($B141="","",IFERROR(INDEX('Challan Master'!$AA$4:$AA$207,MATCH($B141,'Challan Master'!$S$4:$S$207,0)),""))</f>
      </c>
    </row>
    <row r="142" spans="1:22" x14ac:dyDescent="0.25">
      <c r="A142" s="7">
        <f>IF($C142="","",COUNTIF($C$4:$C142,"&lt;&gt;"))</f>
      </c>
      <c r="B142" s="8"/>
      <c r="C142" s="8"/>
      <c r="D142" s="8"/>
      <c r="E142" s="7">
        <f>IF($C142="","",IF(AND(LEN(TRIM(UPPER(D142)))=10,CODE(MID(TRIM(UPPER(D142)),1,1))&gt;=65,CODE(MID(TRIM(UPPER(D142)),1,1))&lt;=90,CODE(MID(TRIM(UPPER(D142)),2,1))&gt;=65,CODE(MID(TRIM(UPPER(D142)),2,1))&lt;=90,CODE(MID(TRIM(UPPER(D142)),3,1))&gt;=65,CODE(MID(TRIM(UPPER(D142)),3,1))&lt;=90,CODE(MID(TRIM(UPPER(D142)),4,1))&gt;=65,CODE(MID(TRIM(UPPER(D142)),4,1))&lt;=90,CODE(MID(TRIM(UPPER(D142)),5,1))&gt;=65,CODE(MID(TRIM(UPPER(D142)),5,1))&lt;=90,CODE(MID(TRIM(UPPER(D142)),10,1))&gt;=65,CODE(MID(TRIM(UPPER(D142)),10,1))&lt;=90,CODE(MID(TRIM(UPPER(D142)),6,1))&gt;=48,CODE(MID(TRIM(UPPER(D142)),6,1))&lt;=57,CODE(MID(TRIM(UPPER(D142)),7,1))&gt;=48,CODE(MID(TRIM(UPPER(D142)),7,1))&lt;=57,CODE(MID(TRIM(UPPER(D142)),8,1))&gt;=48,CODE(MID(TRIM(UPPER(D142)),8,1))&lt;=57,CODE(MID(TRIM(UPPER(D142)),9,1))&gt;=48,CODE(MID(TRIM(UPPER(D142)),9,1))&lt;=57),"N","Y"))</f>
      </c>
      <c r="F142" s="7">
        <f>IF($C142="","",IF(LEN(D142)&lt;4,"",IF(UPPER(MID(D142,4,1))="P","Individual",IF(UPPER(MID(D142,4,1))="H","HUF",IF(UPPER(MID(D142,4,1))="C","Company",IF(UPPER(MID(D142,4,1))="F","Firm",IF(UPPER(MID(D142,4,1))="L","LLP",IF(UPPER(MID(D142,4,1))="T","Trust",IF(UPPER(MID(D142,4,1))="A","AOP","")))))))))</f>
      </c>
      <c r="G142" s="8"/>
      <c r="H142" s="7">
        <f>IF($C142="","",IF(R142&lt;&gt;"",R142,IF(G142="","",IF(E142="Y",SUMPRODUCT(('Rate Lookup'!$A$1:$A$37=G142)*'Rate Lookup'!$D$1:$D$37),IF(OR(F142="Individual",F142="HUF"),SUMPRODUCT(('Rate Lookup'!$A$1:$A$37=G142)*'Rate Lookup'!$B$1:$B$37),SUMPRODUCT(('Rate Lookup'!$A$1:$A$37=G142)*'Rate Lookup'!$C$1:$C$37)))))))</f>
      </c>
      <c r="I142" s="8"/>
      <c r="J142" s="8"/>
      <c r="K142" s="7">
        <f>IF($C142="","",IF(OR(P142="B",P142="D",P142="E",P142="N",P142="O",P142="P",P142="Q",P142="S",P142="Y",P142="Z"),0,ROUND(J142*H142/100,0)))</f>
      </c>
      <c r="L142" s="7">
        <f>IF($C142="","",0)</f>
      </c>
      <c r="M142" s="7">
        <f>IF($C142="","",0)</f>
      </c>
      <c r="N142" s="7">
        <f>IF($C142="","",IF(OR(K142=0,I142="",IFERROR(INDEX('Challan Master'!$D$4:$D$207,MATCH($B142,'Challan Master'!$S$4:$S$207,0)),"")="",IFERROR(INDEX('Challan Master'!$D$4:$D$207,MATCH($B142,'Challan Master'!$S$4:$S$207,0)),"")&lt;=0),0,IF(IFERROR(INDEX('Challan Master'!$D$4:$D$207,MATCH($B142,'Challan Master'!$S$4:$S$207,0)),"")&lt;=DATE(YEAR(I142),MONTH(I142)+1,7),0,ROUND(K142*0.015*((YEAR(IFERROR(INDEX('Challan Master'!$D$4:$D$207,MATCH($B142,'Challan Master'!$S$4:$S$207,0)),""))-YEAR(I142))*12+(MONTH(IFERROR(INDEX('Challan Master'!$D$4:$D$207,MATCH($B142,'Challan Master'!$S$4:$S$207,0)),""))-MONTH(I142))+1),0))))</f>
      </c>
      <c r="O142" s="7">
        <f>IF($C142="","",0)</f>
      </c>
      <c r="P142" s="8"/>
      <c r="Q142" s="8"/>
      <c r="R142" s="8"/>
      <c r="S142" s="8"/>
      <c r="T142" s="8"/>
      <c r="U142" s="7">
        <f>IF($B142="","",IFERROR(INDEX('Challan Master'!$AA$4:$AA$207,MATCH($B142,'Challan Master'!$S$4:$S$207,0)),""))</f>
      </c>
    </row>
    <row r="143" spans="1:22" x14ac:dyDescent="0.25">
      <c r="A143" s="7">
        <f>IF($C143="","",COUNTIF($C$4:$C143,"&lt;&gt;"))</f>
      </c>
      <c r="B143" s="8"/>
      <c r="C143" s="8"/>
      <c r="D143" s="8"/>
      <c r="E143" s="7">
        <f>IF($C143="","",IF(AND(LEN(TRIM(UPPER(D143)))=10,CODE(MID(TRIM(UPPER(D143)),1,1))&gt;=65,CODE(MID(TRIM(UPPER(D143)),1,1))&lt;=90,CODE(MID(TRIM(UPPER(D143)),2,1))&gt;=65,CODE(MID(TRIM(UPPER(D143)),2,1))&lt;=90,CODE(MID(TRIM(UPPER(D143)),3,1))&gt;=65,CODE(MID(TRIM(UPPER(D143)),3,1))&lt;=90,CODE(MID(TRIM(UPPER(D143)),4,1))&gt;=65,CODE(MID(TRIM(UPPER(D143)),4,1))&lt;=90,CODE(MID(TRIM(UPPER(D143)),5,1))&gt;=65,CODE(MID(TRIM(UPPER(D143)),5,1))&lt;=90,CODE(MID(TRIM(UPPER(D143)),10,1))&gt;=65,CODE(MID(TRIM(UPPER(D143)),10,1))&lt;=90,CODE(MID(TRIM(UPPER(D143)),6,1))&gt;=48,CODE(MID(TRIM(UPPER(D143)),6,1))&lt;=57,CODE(MID(TRIM(UPPER(D143)),7,1))&gt;=48,CODE(MID(TRIM(UPPER(D143)),7,1))&lt;=57,CODE(MID(TRIM(UPPER(D143)),8,1))&gt;=48,CODE(MID(TRIM(UPPER(D143)),8,1))&lt;=57,CODE(MID(TRIM(UPPER(D143)),9,1))&gt;=48,CODE(MID(TRIM(UPPER(D143)),9,1))&lt;=57),"N","Y"))</f>
      </c>
      <c r="F143" s="7">
        <f>IF($C143="","",IF(LEN(D143)&lt;4,"",IF(UPPER(MID(D143,4,1))="P","Individual",IF(UPPER(MID(D143,4,1))="H","HUF",IF(UPPER(MID(D143,4,1))="C","Company",IF(UPPER(MID(D143,4,1))="F","Firm",IF(UPPER(MID(D143,4,1))="L","LLP",IF(UPPER(MID(D143,4,1))="T","Trust",IF(UPPER(MID(D143,4,1))="A","AOP","")))))))))</f>
      </c>
      <c r="G143" s="8"/>
      <c r="H143" s="7">
        <f>IF($C143="","",IF(R143&lt;&gt;"",R143,IF(G143="","",IF(E143="Y",SUMPRODUCT(('Rate Lookup'!$A$1:$A$37=G143)*'Rate Lookup'!$D$1:$D$37),IF(OR(F143="Individual",F143="HUF"),SUMPRODUCT(('Rate Lookup'!$A$1:$A$37=G143)*'Rate Lookup'!$B$1:$B$37),SUMPRODUCT(('Rate Lookup'!$A$1:$A$37=G143)*'Rate Lookup'!$C$1:$C$37)))))))</f>
      </c>
      <c r="I143" s="8"/>
      <c r="J143" s="8"/>
      <c r="K143" s="7">
        <f>IF($C143="","",IF(OR(P143="B",P143="D",P143="E",P143="N",P143="O",P143="P",P143="Q",P143="S",P143="Y",P143="Z"),0,ROUND(J143*H143/100,0)))</f>
      </c>
      <c r="L143" s="7">
        <f>IF($C143="","",0)</f>
      </c>
      <c r="M143" s="7">
        <f>IF($C143="","",0)</f>
      </c>
      <c r="N143" s="7">
        <f>IF($C143="","",IF(OR(K143=0,I143="",IFERROR(INDEX('Challan Master'!$D$4:$D$207,MATCH($B143,'Challan Master'!$S$4:$S$207,0)),"")="",IFERROR(INDEX('Challan Master'!$D$4:$D$207,MATCH($B143,'Challan Master'!$S$4:$S$207,0)),"")&lt;=0),0,IF(IFERROR(INDEX('Challan Master'!$D$4:$D$207,MATCH($B143,'Challan Master'!$S$4:$S$207,0)),"")&lt;=DATE(YEAR(I143),MONTH(I143)+1,7),0,ROUND(K143*0.015*((YEAR(IFERROR(INDEX('Challan Master'!$D$4:$D$207,MATCH($B143,'Challan Master'!$S$4:$S$207,0)),""))-YEAR(I143))*12+(MONTH(IFERROR(INDEX('Challan Master'!$D$4:$D$207,MATCH($B143,'Challan Master'!$S$4:$S$207,0)),""))-MONTH(I143))+1),0))))</f>
      </c>
      <c r="O143" s="7">
        <f>IF($C143="","",0)</f>
      </c>
      <c r="P143" s="8"/>
      <c r="Q143" s="8"/>
      <c r="R143" s="8"/>
      <c r="S143" s="8"/>
      <c r="T143" s="8"/>
      <c r="U143" s="7">
        <f>IF($B143="","",IFERROR(INDEX('Challan Master'!$AA$4:$AA$207,MATCH($B143,'Challan Master'!$S$4:$S$207,0)),""))</f>
      </c>
    </row>
    <row r="144" spans="1:22" x14ac:dyDescent="0.25">
      <c r="A144" s="7">
        <f>IF($C144="","",COUNTIF($C$4:$C144,"&lt;&gt;"))</f>
      </c>
      <c r="B144" s="8"/>
      <c r="C144" s="8"/>
      <c r="D144" s="8"/>
      <c r="E144" s="7">
        <f>IF($C144="","",IF(AND(LEN(TRIM(UPPER(D144)))=10,CODE(MID(TRIM(UPPER(D144)),1,1))&gt;=65,CODE(MID(TRIM(UPPER(D144)),1,1))&lt;=90,CODE(MID(TRIM(UPPER(D144)),2,1))&gt;=65,CODE(MID(TRIM(UPPER(D144)),2,1))&lt;=90,CODE(MID(TRIM(UPPER(D144)),3,1))&gt;=65,CODE(MID(TRIM(UPPER(D144)),3,1))&lt;=90,CODE(MID(TRIM(UPPER(D144)),4,1))&gt;=65,CODE(MID(TRIM(UPPER(D144)),4,1))&lt;=90,CODE(MID(TRIM(UPPER(D144)),5,1))&gt;=65,CODE(MID(TRIM(UPPER(D144)),5,1))&lt;=90,CODE(MID(TRIM(UPPER(D144)),10,1))&gt;=65,CODE(MID(TRIM(UPPER(D144)),10,1))&lt;=90,CODE(MID(TRIM(UPPER(D144)),6,1))&gt;=48,CODE(MID(TRIM(UPPER(D144)),6,1))&lt;=57,CODE(MID(TRIM(UPPER(D144)),7,1))&gt;=48,CODE(MID(TRIM(UPPER(D144)),7,1))&lt;=57,CODE(MID(TRIM(UPPER(D144)),8,1))&gt;=48,CODE(MID(TRIM(UPPER(D144)),8,1))&lt;=57,CODE(MID(TRIM(UPPER(D144)),9,1))&gt;=48,CODE(MID(TRIM(UPPER(D144)),9,1))&lt;=57),"N","Y"))</f>
      </c>
      <c r="F144" s="7">
        <f>IF($C144="","",IF(LEN(D144)&lt;4,"",IF(UPPER(MID(D144,4,1))="P","Individual",IF(UPPER(MID(D144,4,1))="H","HUF",IF(UPPER(MID(D144,4,1))="C","Company",IF(UPPER(MID(D144,4,1))="F","Firm",IF(UPPER(MID(D144,4,1))="L","LLP",IF(UPPER(MID(D144,4,1))="T","Trust",IF(UPPER(MID(D144,4,1))="A","AOP","")))))))))</f>
      </c>
      <c r="G144" s="8"/>
      <c r="H144" s="7">
        <f>IF($C144="","",IF(R144&lt;&gt;"",R144,IF(G144="","",IF(E144="Y",SUMPRODUCT(('Rate Lookup'!$A$1:$A$37=G144)*'Rate Lookup'!$D$1:$D$37),IF(OR(F144="Individual",F144="HUF"),SUMPRODUCT(('Rate Lookup'!$A$1:$A$37=G144)*'Rate Lookup'!$B$1:$B$37),SUMPRODUCT(('Rate Lookup'!$A$1:$A$37=G144)*'Rate Lookup'!$C$1:$C$37)))))))</f>
      </c>
      <c r="I144" s="8"/>
      <c r="J144" s="8"/>
      <c r="K144" s="7">
        <f>IF($C144="","",IF(OR(P144="B",P144="D",P144="E",P144="N",P144="O",P144="P",P144="Q",P144="S",P144="Y",P144="Z"),0,ROUND(J144*H144/100,0)))</f>
      </c>
      <c r="L144" s="7">
        <f>IF($C144="","",0)</f>
      </c>
      <c r="M144" s="7">
        <f>IF($C144="","",0)</f>
      </c>
      <c r="N144" s="7">
        <f>IF($C144="","",IF(OR(K144=0,I144="",IFERROR(INDEX('Challan Master'!$D$4:$D$207,MATCH($B144,'Challan Master'!$S$4:$S$207,0)),"")="",IFERROR(INDEX('Challan Master'!$D$4:$D$207,MATCH($B144,'Challan Master'!$S$4:$S$207,0)),"")&lt;=0),0,IF(IFERROR(INDEX('Challan Master'!$D$4:$D$207,MATCH($B144,'Challan Master'!$S$4:$S$207,0)),"")&lt;=DATE(YEAR(I144),MONTH(I144)+1,7),0,ROUND(K144*0.015*((YEAR(IFERROR(INDEX('Challan Master'!$D$4:$D$207,MATCH($B144,'Challan Master'!$S$4:$S$207,0)),""))-YEAR(I144))*12+(MONTH(IFERROR(INDEX('Challan Master'!$D$4:$D$207,MATCH($B144,'Challan Master'!$S$4:$S$207,0)),""))-MONTH(I144))+1),0))))</f>
      </c>
      <c r="O144" s="7">
        <f>IF($C144="","",0)</f>
      </c>
      <c r="P144" s="8"/>
      <c r="Q144" s="8"/>
      <c r="R144" s="8"/>
      <c r="S144" s="8"/>
      <c r="T144" s="8"/>
      <c r="U144" s="7">
        <f>IF($B144="","",IFERROR(INDEX('Challan Master'!$AA$4:$AA$207,MATCH($B144,'Challan Master'!$S$4:$S$207,0)),""))</f>
      </c>
    </row>
    <row r="145" spans="1:22" x14ac:dyDescent="0.25">
      <c r="A145" s="7">
        <f>IF($C145="","",COUNTIF($C$4:$C145,"&lt;&gt;"))</f>
      </c>
      <c r="B145" s="8"/>
      <c r="C145" s="8"/>
      <c r="D145" s="8"/>
      <c r="E145" s="7">
        <f>IF($C145="","",IF(AND(LEN(TRIM(UPPER(D145)))=10,CODE(MID(TRIM(UPPER(D145)),1,1))&gt;=65,CODE(MID(TRIM(UPPER(D145)),1,1))&lt;=90,CODE(MID(TRIM(UPPER(D145)),2,1))&gt;=65,CODE(MID(TRIM(UPPER(D145)),2,1))&lt;=90,CODE(MID(TRIM(UPPER(D145)),3,1))&gt;=65,CODE(MID(TRIM(UPPER(D145)),3,1))&lt;=90,CODE(MID(TRIM(UPPER(D145)),4,1))&gt;=65,CODE(MID(TRIM(UPPER(D145)),4,1))&lt;=90,CODE(MID(TRIM(UPPER(D145)),5,1))&gt;=65,CODE(MID(TRIM(UPPER(D145)),5,1))&lt;=90,CODE(MID(TRIM(UPPER(D145)),10,1))&gt;=65,CODE(MID(TRIM(UPPER(D145)),10,1))&lt;=90,CODE(MID(TRIM(UPPER(D145)),6,1))&gt;=48,CODE(MID(TRIM(UPPER(D145)),6,1))&lt;=57,CODE(MID(TRIM(UPPER(D145)),7,1))&gt;=48,CODE(MID(TRIM(UPPER(D145)),7,1))&lt;=57,CODE(MID(TRIM(UPPER(D145)),8,1))&gt;=48,CODE(MID(TRIM(UPPER(D145)),8,1))&lt;=57,CODE(MID(TRIM(UPPER(D145)),9,1))&gt;=48,CODE(MID(TRIM(UPPER(D145)),9,1))&lt;=57),"N","Y"))</f>
      </c>
      <c r="F145" s="7">
        <f>IF($C145="","",IF(LEN(D145)&lt;4,"",IF(UPPER(MID(D145,4,1))="P","Individual",IF(UPPER(MID(D145,4,1))="H","HUF",IF(UPPER(MID(D145,4,1))="C","Company",IF(UPPER(MID(D145,4,1))="F","Firm",IF(UPPER(MID(D145,4,1))="L","LLP",IF(UPPER(MID(D145,4,1))="T","Trust",IF(UPPER(MID(D145,4,1))="A","AOP","")))))))))</f>
      </c>
      <c r="G145" s="8"/>
      <c r="H145" s="7">
        <f>IF($C145="","",IF(R145&lt;&gt;"",R145,IF(G145="","",IF(E145="Y",SUMPRODUCT(('Rate Lookup'!$A$1:$A$37=G145)*'Rate Lookup'!$D$1:$D$37),IF(OR(F145="Individual",F145="HUF"),SUMPRODUCT(('Rate Lookup'!$A$1:$A$37=G145)*'Rate Lookup'!$B$1:$B$37),SUMPRODUCT(('Rate Lookup'!$A$1:$A$37=G145)*'Rate Lookup'!$C$1:$C$37)))))))</f>
      </c>
      <c r="I145" s="8"/>
      <c r="J145" s="8"/>
      <c r="K145" s="7">
        <f>IF($C145="","",IF(OR(P145="B",P145="D",P145="E",P145="N",P145="O",P145="P",P145="Q",P145="S",P145="Y",P145="Z"),0,ROUND(J145*H145/100,0)))</f>
      </c>
      <c r="L145" s="7">
        <f>IF($C145="","",0)</f>
      </c>
      <c r="M145" s="7">
        <f>IF($C145="","",0)</f>
      </c>
      <c r="N145" s="7">
        <f>IF($C145="","",IF(OR(K145=0,I145="",IFERROR(INDEX('Challan Master'!$D$4:$D$207,MATCH($B145,'Challan Master'!$S$4:$S$207,0)),"")="",IFERROR(INDEX('Challan Master'!$D$4:$D$207,MATCH($B145,'Challan Master'!$S$4:$S$207,0)),"")&lt;=0),0,IF(IFERROR(INDEX('Challan Master'!$D$4:$D$207,MATCH($B145,'Challan Master'!$S$4:$S$207,0)),"")&lt;=DATE(YEAR(I145),MONTH(I145)+1,7),0,ROUND(K145*0.015*((YEAR(IFERROR(INDEX('Challan Master'!$D$4:$D$207,MATCH($B145,'Challan Master'!$S$4:$S$207,0)),""))-YEAR(I145))*12+(MONTH(IFERROR(INDEX('Challan Master'!$D$4:$D$207,MATCH($B145,'Challan Master'!$S$4:$S$207,0)),""))-MONTH(I145))+1),0))))</f>
      </c>
      <c r="O145" s="7">
        <f>IF($C145="","",0)</f>
      </c>
      <c r="P145" s="8"/>
      <c r="Q145" s="8"/>
      <c r="R145" s="8"/>
      <c r="S145" s="8"/>
      <c r="T145" s="8"/>
      <c r="U145" s="7">
        <f>IF($B145="","",IFERROR(INDEX('Challan Master'!$AA$4:$AA$207,MATCH($B145,'Challan Master'!$S$4:$S$207,0)),""))</f>
      </c>
    </row>
    <row r="146" spans="1:22" x14ac:dyDescent="0.25">
      <c r="A146" s="7">
        <f>IF($C146="","",COUNTIF($C$4:$C146,"&lt;&gt;"))</f>
      </c>
      <c r="B146" s="8"/>
      <c r="C146" s="8"/>
      <c r="D146" s="8"/>
      <c r="E146" s="7">
        <f>IF($C146="","",IF(AND(LEN(TRIM(UPPER(D146)))=10,CODE(MID(TRIM(UPPER(D146)),1,1))&gt;=65,CODE(MID(TRIM(UPPER(D146)),1,1))&lt;=90,CODE(MID(TRIM(UPPER(D146)),2,1))&gt;=65,CODE(MID(TRIM(UPPER(D146)),2,1))&lt;=90,CODE(MID(TRIM(UPPER(D146)),3,1))&gt;=65,CODE(MID(TRIM(UPPER(D146)),3,1))&lt;=90,CODE(MID(TRIM(UPPER(D146)),4,1))&gt;=65,CODE(MID(TRIM(UPPER(D146)),4,1))&lt;=90,CODE(MID(TRIM(UPPER(D146)),5,1))&gt;=65,CODE(MID(TRIM(UPPER(D146)),5,1))&lt;=90,CODE(MID(TRIM(UPPER(D146)),10,1))&gt;=65,CODE(MID(TRIM(UPPER(D146)),10,1))&lt;=90,CODE(MID(TRIM(UPPER(D146)),6,1))&gt;=48,CODE(MID(TRIM(UPPER(D146)),6,1))&lt;=57,CODE(MID(TRIM(UPPER(D146)),7,1))&gt;=48,CODE(MID(TRIM(UPPER(D146)),7,1))&lt;=57,CODE(MID(TRIM(UPPER(D146)),8,1))&gt;=48,CODE(MID(TRIM(UPPER(D146)),8,1))&lt;=57,CODE(MID(TRIM(UPPER(D146)),9,1))&gt;=48,CODE(MID(TRIM(UPPER(D146)),9,1))&lt;=57),"N","Y"))</f>
      </c>
      <c r="F146" s="7">
        <f>IF($C146="","",IF(LEN(D146)&lt;4,"",IF(UPPER(MID(D146,4,1))="P","Individual",IF(UPPER(MID(D146,4,1))="H","HUF",IF(UPPER(MID(D146,4,1))="C","Company",IF(UPPER(MID(D146,4,1))="F","Firm",IF(UPPER(MID(D146,4,1))="L","LLP",IF(UPPER(MID(D146,4,1))="T","Trust",IF(UPPER(MID(D146,4,1))="A","AOP","")))))))))</f>
      </c>
      <c r="G146" s="8"/>
      <c r="H146" s="7">
        <f>IF($C146="","",IF(R146&lt;&gt;"",R146,IF(G146="","",IF(E146="Y",SUMPRODUCT(('Rate Lookup'!$A$1:$A$37=G146)*'Rate Lookup'!$D$1:$D$37),IF(OR(F146="Individual",F146="HUF"),SUMPRODUCT(('Rate Lookup'!$A$1:$A$37=G146)*'Rate Lookup'!$B$1:$B$37),SUMPRODUCT(('Rate Lookup'!$A$1:$A$37=G146)*'Rate Lookup'!$C$1:$C$37)))))))</f>
      </c>
      <c r="I146" s="8"/>
      <c r="J146" s="8"/>
      <c r="K146" s="7">
        <f>IF($C146="","",IF(OR(P146="B",P146="D",P146="E",P146="N",P146="O",P146="P",P146="Q",P146="S",P146="Y",P146="Z"),0,ROUND(J146*H146/100,0)))</f>
      </c>
      <c r="L146" s="7">
        <f>IF($C146="","",0)</f>
      </c>
      <c r="M146" s="7">
        <f>IF($C146="","",0)</f>
      </c>
      <c r="N146" s="7">
        <f>IF($C146="","",IF(OR(K146=0,I146="",IFERROR(INDEX('Challan Master'!$D$4:$D$207,MATCH($B146,'Challan Master'!$S$4:$S$207,0)),"")="",IFERROR(INDEX('Challan Master'!$D$4:$D$207,MATCH($B146,'Challan Master'!$S$4:$S$207,0)),"")&lt;=0),0,IF(IFERROR(INDEX('Challan Master'!$D$4:$D$207,MATCH($B146,'Challan Master'!$S$4:$S$207,0)),"")&lt;=DATE(YEAR(I146),MONTH(I146)+1,7),0,ROUND(K146*0.015*((YEAR(IFERROR(INDEX('Challan Master'!$D$4:$D$207,MATCH($B146,'Challan Master'!$S$4:$S$207,0)),""))-YEAR(I146))*12+(MONTH(IFERROR(INDEX('Challan Master'!$D$4:$D$207,MATCH($B146,'Challan Master'!$S$4:$S$207,0)),""))-MONTH(I146))+1),0))))</f>
      </c>
      <c r="O146" s="7">
        <f>IF($C146="","",0)</f>
      </c>
      <c r="P146" s="8"/>
      <c r="Q146" s="8"/>
      <c r="R146" s="8"/>
      <c r="S146" s="8"/>
      <c r="T146" s="8"/>
      <c r="U146" s="7">
        <f>IF($B146="","",IFERROR(INDEX('Challan Master'!$AA$4:$AA$207,MATCH($B146,'Challan Master'!$S$4:$S$207,0)),""))</f>
      </c>
    </row>
    <row r="147" spans="1:22" x14ac:dyDescent="0.25">
      <c r="A147" s="7">
        <f>IF($C147="","",COUNTIF($C$4:$C147,"&lt;&gt;"))</f>
      </c>
      <c r="B147" s="8"/>
      <c r="C147" s="8"/>
      <c r="D147" s="8"/>
      <c r="E147" s="7">
        <f>IF($C147="","",IF(AND(LEN(TRIM(UPPER(D147)))=10,CODE(MID(TRIM(UPPER(D147)),1,1))&gt;=65,CODE(MID(TRIM(UPPER(D147)),1,1))&lt;=90,CODE(MID(TRIM(UPPER(D147)),2,1))&gt;=65,CODE(MID(TRIM(UPPER(D147)),2,1))&lt;=90,CODE(MID(TRIM(UPPER(D147)),3,1))&gt;=65,CODE(MID(TRIM(UPPER(D147)),3,1))&lt;=90,CODE(MID(TRIM(UPPER(D147)),4,1))&gt;=65,CODE(MID(TRIM(UPPER(D147)),4,1))&lt;=90,CODE(MID(TRIM(UPPER(D147)),5,1))&gt;=65,CODE(MID(TRIM(UPPER(D147)),5,1))&lt;=90,CODE(MID(TRIM(UPPER(D147)),10,1))&gt;=65,CODE(MID(TRIM(UPPER(D147)),10,1))&lt;=90,CODE(MID(TRIM(UPPER(D147)),6,1))&gt;=48,CODE(MID(TRIM(UPPER(D147)),6,1))&lt;=57,CODE(MID(TRIM(UPPER(D147)),7,1))&gt;=48,CODE(MID(TRIM(UPPER(D147)),7,1))&lt;=57,CODE(MID(TRIM(UPPER(D147)),8,1))&gt;=48,CODE(MID(TRIM(UPPER(D147)),8,1))&lt;=57,CODE(MID(TRIM(UPPER(D147)),9,1))&gt;=48,CODE(MID(TRIM(UPPER(D147)),9,1))&lt;=57),"N","Y"))</f>
      </c>
      <c r="F147" s="7">
        <f>IF($C147="","",IF(LEN(D147)&lt;4,"",IF(UPPER(MID(D147,4,1))="P","Individual",IF(UPPER(MID(D147,4,1))="H","HUF",IF(UPPER(MID(D147,4,1))="C","Company",IF(UPPER(MID(D147,4,1))="F","Firm",IF(UPPER(MID(D147,4,1))="L","LLP",IF(UPPER(MID(D147,4,1))="T","Trust",IF(UPPER(MID(D147,4,1))="A","AOP","")))))))))</f>
      </c>
      <c r="G147" s="8"/>
      <c r="H147" s="7">
        <f>IF($C147="","",IF(R147&lt;&gt;"",R147,IF(G147="","",IF(E147="Y",SUMPRODUCT(('Rate Lookup'!$A$1:$A$37=G147)*'Rate Lookup'!$D$1:$D$37),IF(OR(F147="Individual",F147="HUF"),SUMPRODUCT(('Rate Lookup'!$A$1:$A$37=G147)*'Rate Lookup'!$B$1:$B$37),SUMPRODUCT(('Rate Lookup'!$A$1:$A$37=G147)*'Rate Lookup'!$C$1:$C$37)))))))</f>
      </c>
      <c r="I147" s="8"/>
      <c r="J147" s="8"/>
      <c r="K147" s="7">
        <f>IF($C147="","",IF(OR(P147="B",P147="D",P147="E",P147="N",P147="O",P147="P",P147="Q",P147="S",P147="Y",P147="Z"),0,ROUND(J147*H147/100,0)))</f>
      </c>
      <c r="L147" s="7">
        <f>IF($C147="","",0)</f>
      </c>
      <c r="M147" s="7">
        <f>IF($C147="","",0)</f>
      </c>
      <c r="N147" s="7">
        <f>IF($C147="","",IF(OR(K147=0,I147="",IFERROR(INDEX('Challan Master'!$D$4:$D$207,MATCH($B147,'Challan Master'!$S$4:$S$207,0)),"")="",IFERROR(INDEX('Challan Master'!$D$4:$D$207,MATCH($B147,'Challan Master'!$S$4:$S$207,0)),"")&lt;=0),0,IF(IFERROR(INDEX('Challan Master'!$D$4:$D$207,MATCH($B147,'Challan Master'!$S$4:$S$207,0)),"")&lt;=DATE(YEAR(I147),MONTH(I147)+1,7),0,ROUND(K147*0.015*((YEAR(IFERROR(INDEX('Challan Master'!$D$4:$D$207,MATCH($B147,'Challan Master'!$S$4:$S$207,0)),""))-YEAR(I147))*12+(MONTH(IFERROR(INDEX('Challan Master'!$D$4:$D$207,MATCH($B147,'Challan Master'!$S$4:$S$207,0)),""))-MONTH(I147))+1),0))))</f>
      </c>
      <c r="O147" s="7">
        <f>IF($C147="","",0)</f>
      </c>
      <c r="P147" s="8"/>
      <c r="Q147" s="8"/>
      <c r="R147" s="8"/>
      <c r="S147" s="8"/>
      <c r="T147" s="8"/>
      <c r="U147" s="7">
        <f>IF($B147="","",IFERROR(INDEX('Challan Master'!$AA$4:$AA$207,MATCH($B147,'Challan Master'!$S$4:$S$207,0)),""))</f>
      </c>
    </row>
    <row r="148" spans="1:22" x14ac:dyDescent="0.25">
      <c r="A148" s="7">
        <f>IF($C148="","",COUNTIF($C$4:$C148,"&lt;&gt;"))</f>
      </c>
      <c r="B148" s="8"/>
      <c r="C148" s="8"/>
      <c r="D148" s="8"/>
      <c r="E148" s="7">
        <f>IF($C148="","",IF(AND(LEN(TRIM(UPPER(D148)))=10,CODE(MID(TRIM(UPPER(D148)),1,1))&gt;=65,CODE(MID(TRIM(UPPER(D148)),1,1))&lt;=90,CODE(MID(TRIM(UPPER(D148)),2,1))&gt;=65,CODE(MID(TRIM(UPPER(D148)),2,1))&lt;=90,CODE(MID(TRIM(UPPER(D148)),3,1))&gt;=65,CODE(MID(TRIM(UPPER(D148)),3,1))&lt;=90,CODE(MID(TRIM(UPPER(D148)),4,1))&gt;=65,CODE(MID(TRIM(UPPER(D148)),4,1))&lt;=90,CODE(MID(TRIM(UPPER(D148)),5,1))&gt;=65,CODE(MID(TRIM(UPPER(D148)),5,1))&lt;=90,CODE(MID(TRIM(UPPER(D148)),10,1))&gt;=65,CODE(MID(TRIM(UPPER(D148)),10,1))&lt;=90,CODE(MID(TRIM(UPPER(D148)),6,1))&gt;=48,CODE(MID(TRIM(UPPER(D148)),6,1))&lt;=57,CODE(MID(TRIM(UPPER(D148)),7,1))&gt;=48,CODE(MID(TRIM(UPPER(D148)),7,1))&lt;=57,CODE(MID(TRIM(UPPER(D148)),8,1))&gt;=48,CODE(MID(TRIM(UPPER(D148)),8,1))&lt;=57,CODE(MID(TRIM(UPPER(D148)),9,1))&gt;=48,CODE(MID(TRIM(UPPER(D148)),9,1))&lt;=57),"N","Y"))</f>
      </c>
      <c r="F148" s="7">
        <f>IF($C148="","",IF(LEN(D148)&lt;4,"",IF(UPPER(MID(D148,4,1))="P","Individual",IF(UPPER(MID(D148,4,1))="H","HUF",IF(UPPER(MID(D148,4,1))="C","Company",IF(UPPER(MID(D148,4,1))="F","Firm",IF(UPPER(MID(D148,4,1))="L","LLP",IF(UPPER(MID(D148,4,1))="T","Trust",IF(UPPER(MID(D148,4,1))="A","AOP","")))))))))</f>
      </c>
      <c r="G148" s="8"/>
      <c r="H148" s="7">
        <f>IF($C148="","",IF(R148&lt;&gt;"",R148,IF(G148="","",IF(E148="Y",SUMPRODUCT(('Rate Lookup'!$A$1:$A$37=G148)*'Rate Lookup'!$D$1:$D$37),IF(OR(F148="Individual",F148="HUF"),SUMPRODUCT(('Rate Lookup'!$A$1:$A$37=G148)*'Rate Lookup'!$B$1:$B$37),SUMPRODUCT(('Rate Lookup'!$A$1:$A$37=G148)*'Rate Lookup'!$C$1:$C$37)))))))</f>
      </c>
      <c r="I148" s="8"/>
      <c r="J148" s="8"/>
      <c r="K148" s="7">
        <f>IF($C148="","",IF(OR(P148="B",P148="D",P148="E",P148="N",P148="O",P148="P",P148="Q",P148="S",P148="Y",P148="Z"),0,ROUND(J148*H148/100,0)))</f>
      </c>
      <c r="L148" s="7">
        <f>IF($C148="","",0)</f>
      </c>
      <c r="M148" s="7">
        <f>IF($C148="","",0)</f>
      </c>
      <c r="N148" s="7">
        <f>IF($C148="","",IF(OR(K148=0,I148="",IFERROR(INDEX('Challan Master'!$D$4:$D$207,MATCH($B148,'Challan Master'!$S$4:$S$207,0)),"")="",IFERROR(INDEX('Challan Master'!$D$4:$D$207,MATCH($B148,'Challan Master'!$S$4:$S$207,0)),"")&lt;=0),0,IF(IFERROR(INDEX('Challan Master'!$D$4:$D$207,MATCH($B148,'Challan Master'!$S$4:$S$207,0)),"")&lt;=DATE(YEAR(I148),MONTH(I148)+1,7),0,ROUND(K148*0.015*((YEAR(IFERROR(INDEX('Challan Master'!$D$4:$D$207,MATCH($B148,'Challan Master'!$S$4:$S$207,0)),""))-YEAR(I148))*12+(MONTH(IFERROR(INDEX('Challan Master'!$D$4:$D$207,MATCH($B148,'Challan Master'!$S$4:$S$207,0)),""))-MONTH(I148))+1),0))))</f>
      </c>
      <c r="O148" s="7">
        <f>IF($C148="","",0)</f>
      </c>
      <c r="P148" s="8"/>
      <c r="Q148" s="8"/>
      <c r="R148" s="8"/>
      <c r="S148" s="8"/>
      <c r="T148" s="8"/>
      <c r="U148" s="7">
        <f>IF($B148="","",IFERROR(INDEX('Challan Master'!$AA$4:$AA$207,MATCH($B148,'Challan Master'!$S$4:$S$207,0)),""))</f>
      </c>
    </row>
    <row r="149" spans="1:22" x14ac:dyDescent="0.25">
      <c r="A149" s="7">
        <f>IF($C149="","",COUNTIF($C$4:$C149,"&lt;&gt;"))</f>
      </c>
      <c r="B149" s="8"/>
      <c r="C149" s="8"/>
      <c r="D149" s="8"/>
      <c r="E149" s="7">
        <f>IF($C149="","",IF(AND(LEN(TRIM(UPPER(D149)))=10,CODE(MID(TRIM(UPPER(D149)),1,1))&gt;=65,CODE(MID(TRIM(UPPER(D149)),1,1))&lt;=90,CODE(MID(TRIM(UPPER(D149)),2,1))&gt;=65,CODE(MID(TRIM(UPPER(D149)),2,1))&lt;=90,CODE(MID(TRIM(UPPER(D149)),3,1))&gt;=65,CODE(MID(TRIM(UPPER(D149)),3,1))&lt;=90,CODE(MID(TRIM(UPPER(D149)),4,1))&gt;=65,CODE(MID(TRIM(UPPER(D149)),4,1))&lt;=90,CODE(MID(TRIM(UPPER(D149)),5,1))&gt;=65,CODE(MID(TRIM(UPPER(D149)),5,1))&lt;=90,CODE(MID(TRIM(UPPER(D149)),10,1))&gt;=65,CODE(MID(TRIM(UPPER(D149)),10,1))&lt;=90,CODE(MID(TRIM(UPPER(D149)),6,1))&gt;=48,CODE(MID(TRIM(UPPER(D149)),6,1))&lt;=57,CODE(MID(TRIM(UPPER(D149)),7,1))&gt;=48,CODE(MID(TRIM(UPPER(D149)),7,1))&lt;=57,CODE(MID(TRIM(UPPER(D149)),8,1))&gt;=48,CODE(MID(TRIM(UPPER(D149)),8,1))&lt;=57,CODE(MID(TRIM(UPPER(D149)),9,1))&gt;=48,CODE(MID(TRIM(UPPER(D149)),9,1))&lt;=57),"N","Y"))</f>
      </c>
      <c r="F149" s="7">
        <f>IF($C149="","",IF(LEN(D149)&lt;4,"",IF(UPPER(MID(D149,4,1))="P","Individual",IF(UPPER(MID(D149,4,1))="H","HUF",IF(UPPER(MID(D149,4,1))="C","Company",IF(UPPER(MID(D149,4,1))="F","Firm",IF(UPPER(MID(D149,4,1))="L","LLP",IF(UPPER(MID(D149,4,1))="T","Trust",IF(UPPER(MID(D149,4,1))="A","AOP","")))))))))</f>
      </c>
      <c r="G149" s="8"/>
      <c r="H149" s="7">
        <f>IF($C149="","",IF(R149&lt;&gt;"",R149,IF(G149="","",IF(E149="Y",SUMPRODUCT(('Rate Lookup'!$A$1:$A$37=G149)*'Rate Lookup'!$D$1:$D$37),IF(OR(F149="Individual",F149="HUF"),SUMPRODUCT(('Rate Lookup'!$A$1:$A$37=G149)*'Rate Lookup'!$B$1:$B$37),SUMPRODUCT(('Rate Lookup'!$A$1:$A$37=G149)*'Rate Lookup'!$C$1:$C$37)))))))</f>
      </c>
      <c r="I149" s="8"/>
      <c r="J149" s="8"/>
      <c r="K149" s="7">
        <f>IF($C149="","",IF(OR(P149="B",P149="D",P149="E",P149="N",P149="O",P149="P",P149="Q",P149="S",P149="Y",P149="Z"),0,ROUND(J149*H149/100,0)))</f>
      </c>
      <c r="L149" s="7">
        <f>IF($C149="","",0)</f>
      </c>
      <c r="M149" s="7">
        <f>IF($C149="","",0)</f>
      </c>
      <c r="N149" s="7">
        <f>IF($C149="","",IF(OR(K149=0,I149="",IFERROR(INDEX('Challan Master'!$D$4:$D$207,MATCH($B149,'Challan Master'!$S$4:$S$207,0)),"")="",IFERROR(INDEX('Challan Master'!$D$4:$D$207,MATCH($B149,'Challan Master'!$S$4:$S$207,0)),"")&lt;=0),0,IF(IFERROR(INDEX('Challan Master'!$D$4:$D$207,MATCH($B149,'Challan Master'!$S$4:$S$207,0)),"")&lt;=DATE(YEAR(I149),MONTH(I149)+1,7),0,ROUND(K149*0.015*((YEAR(IFERROR(INDEX('Challan Master'!$D$4:$D$207,MATCH($B149,'Challan Master'!$S$4:$S$207,0)),""))-YEAR(I149))*12+(MONTH(IFERROR(INDEX('Challan Master'!$D$4:$D$207,MATCH($B149,'Challan Master'!$S$4:$S$207,0)),""))-MONTH(I149))+1),0))))</f>
      </c>
      <c r="O149" s="7">
        <f>IF($C149="","",0)</f>
      </c>
      <c r="P149" s="8"/>
      <c r="Q149" s="8"/>
      <c r="R149" s="8"/>
      <c r="S149" s="8"/>
      <c r="T149" s="8"/>
      <c r="U149" s="7">
        <f>IF($B149="","",IFERROR(INDEX('Challan Master'!$AA$4:$AA$207,MATCH($B149,'Challan Master'!$S$4:$S$207,0)),""))</f>
      </c>
    </row>
    <row r="150" spans="1:22" x14ac:dyDescent="0.25">
      <c r="A150" s="7">
        <f>IF($C150="","",COUNTIF($C$4:$C150,"&lt;&gt;"))</f>
      </c>
      <c r="B150" s="8"/>
      <c r="C150" s="8"/>
      <c r="D150" s="8"/>
      <c r="E150" s="7">
        <f>IF($C150="","",IF(AND(LEN(TRIM(UPPER(D150)))=10,CODE(MID(TRIM(UPPER(D150)),1,1))&gt;=65,CODE(MID(TRIM(UPPER(D150)),1,1))&lt;=90,CODE(MID(TRIM(UPPER(D150)),2,1))&gt;=65,CODE(MID(TRIM(UPPER(D150)),2,1))&lt;=90,CODE(MID(TRIM(UPPER(D150)),3,1))&gt;=65,CODE(MID(TRIM(UPPER(D150)),3,1))&lt;=90,CODE(MID(TRIM(UPPER(D150)),4,1))&gt;=65,CODE(MID(TRIM(UPPER(D150)),4,1))&lt;=90,CODE(MID(TRIM(UPPER(D150)),5,1))&gt;=65,CODE(MID(TRIM(UPPER(D150)),5,1))&lt;=90,CODE(MID(TRIM(UPPER(D150)),10,1))&gt;=65,CODE(MID(TRIM(UPPER(D150)),10,1))&lt;=90,CODE(MID(TRIM(UPPER(D150)),6,1))&gt;=48,CODE(MID(TRIM(UPPER(D150)),6,1))&lt;=57,CODE(MID(TRIM(UPPER(D150)),7,1))&gt;=48,CODE(MID(TRIM(UPPER(D150)),7,1))&lt;=57,CODE(MID(TRIM(UPPER(D150)),8,1))&gt;=48,CODE(MID(TRIM(UPPER(D150)),8,1))&lt;=57,CODE(MID(TRIM(UPPER(D150)),9,1))&gt;=48,CODE(MID(TRIM(UPPER(D150)),9,1))&lt;=57),"N","Y"))</f>
      </c>
      <c r="F150" s="7">
        <f>IF($C150="","",IF(LEN(D150)&lt;4,"",IF(UPPER(MID(D150,4,1))="P","Individual",IF(UPPER(MID(D150,4,1))="H","HUF",IF(UPPER(MID(D150,4,1))="C","Company",IF(UPPER(MID(D150,4,1))="F","Firm",IF(UPPER(MID(D150,4,1))="L","LLP",IF(UPPER(MID(D150,4,1))="T","Trust",IF(UPPER(MID(D150,4,1))="A","AOP","")))))))))</f>
      </c>
      <c r="G150" s="8"/>
      <c r="H150" s="7">
        <f>IF($C150="","",IF(R150&lt;&gt;"",R150,IF(G150="","",IF(E150="Y",SUMPRODUCT(('Rate Lookup'!$A$1:$A$37=G150)*'Rate Lookup'!$D$1:$D$37),IF(OR(F150="Individual",F150="HUF"),SUMPRODUCT(('Rate Lookup'!$A$1:$A$37=G150)*'Rate Lookup'!$B$1:$B$37),SUMPRODUCT(('Rate Lookup'!$A$1:$A$37=G150)*'Rate Lookup'!$C$1:$C$37)))))))</f>
      </c>
      <c r="I150" s="8"/>
      <c r="J150" s="8"/>
      <c r="K150" s="7">
        <f>IF($C150="","",IF(OR(P150="B",P150="D",P150="E",P150="N",P150="O",P150="P",P150="Q",P150="S",P150="Y",P150="Z"),0,ROUND(J150*H150/100,0)))</f>
      </c>
      <c r="L150" s="7">
        <f>IF($C150="","",0)</f>
      </c>
      <c r="M150" s="7">
        <f>IF($C150="","",0)</f>
      </c>
      <c r="N150" s="7">
        <f>IF($C150="","",IF(OR(K150=0,I150="",IFERROR(INDEX('Challan Master'!$D$4:$D$207,MATCH($B150,'Challan Master'!$S$4:$S$207,0)),"")="",IFERROR(INDEX('Challan Master'!$D$4:$D$207,MATCH($B150,'Challan Master'!$S$4:$S$207,0)),"")&lt;=0),0,IF(IFERROR(INDEX('Challan Master'!$D$4:$D$207,MATCH($B150,'Challan Master'!$S$4:$S$207,0)),"")&lt;=DATE(YEAR(I150),MONTH(I150)+1,7),0,ROUND(K150*0.015*((YEAR(IFERROR(INDEX('Challan Master'!$D$4:$D$207,MATCH($B150,'Challan Master'!$S$4:$S$207,0)),""))-YEAR(I150))*12+(MONTH(IFERROR(INDEX('Challan Master'!$D$4:$D$207,MATCH($B150,'Challan Master'!$S$4:$S$207,0)),""))-MONTH(I150))+1),0))))</f>
      </c>
      <c r="O150" s="7">
        <f>IF($C150="","",0)</f>
      </c>
      <c r="P150" s="8"/>
      <c r="Q150" s="8"/>
      <c r="R150" s="8"/>
      <c r="S150" s="8"/>
      <c r="T150" s="8"/>
      <c r="U150" s="7">
        <f>IF($B150="","",IFERROR(INDEX('Challan Master'!$AA$4:$AA$207,MATCH($B150,'Challan Master'!$S$4:$S$207,0)),""))</f>
      </c>
    </row>
    <row r="151" spans="1:22" x14ac:dyDescent="0.25">
      <c r="A151" s="7">
        <f>IF($C151="","",COUNTIF($C$4:$C151,"&lt;&gt;"))</f>
      </c>
      <c r="B151" s="8"/>
      <c r="C151" s="8"/>
      <c r="D151" s="8"/>
      <c r="E151" s="7">
        <f>IF($C151="","",IF(AND(LEN(TRIM(UPPER(D151)))=10,CODE(MID(TRIM(UPPER(D151)),1,1))&gt;=65,CODE(MID(TRIM(UPPER(D151)),1,1))&lt;=90,CODE(MID(TRIM(UPPER(D151)),2,1))&gt;=65,CODE(MID(TRIM(UPPER(D151)),2,1))&lt;=90,CODE(MID(TRIM(UPPER(D151)),3,1))&gt;=65,CODE(MID(TRIM(UPPER(D151)),3,1))&lt;=90,CODE(MID(TRIM(UPPER(D151)),4,1))&gt;=65,CODE(MID(TRIM(UPPER(D151)),4,1))&lt;=90,CODE(MID(TRIM(UPPER(D151)),5,1))&gt;=65,CODE(MID(TRIM(UPPER(D151)),5,1))&lt;=90,CODE(MID(TRIM(UPPER(D151)),10,1))&gt;=65,CODE(MID(TRIM(UPPER(D151)),10,1))&lt;=90,CODE(MID(TRIM(UPPER(D151)),6,1))&gt;=48,CODE(MID(TRIM(UPPER(D151)),6,1))&lt;=57,CODE(MID(TRIM(UPPER(D151)),7,1))&gt;=48,CODE(MID(TRIM(UPPER(D151)),7,1))&lt;=57,CODE(MID(TRIM(UPPER(D151)),8,1))&gt;=48,CODE(MID(TRIM(UPPER(D151)),8,1))&lt;=57,CODE(MID(TRIM(UPPER(D151)),9,1))&gt;=48,CODE(MID(TRIM(UPPER(D151)),9,1))&lt;=57),"N","Y"))</f>
      </c>
      <c r="F151" s="7">
        <f>IF($C151="","",IF(LEN(D151)&lt;4,"",IF(UPPER(MID(D151,4,1))="P","Individual",IF(UPPER(MID(D151,4,1))="H","HUF",IF(UPPER(MID(D151,4,1))="C","Company",IF(UPPER(MID(D151,4,1))="F","Firm",IF(UPPER(MID(D151,4,1))="L","LLP",IF(UPPER(MID(D151,4,1))="T","Trust",IF(UPPER(MID(D151,4,1))="A","AOP","")))))))))</f>
      </c>
      <c r="G151" s="8"/>
      <c r="H151" s="7">
        <f>IF($C151="","",IF(R151&lt;&gt;"",R151,IF(G151="","",IF(E151="Y",SUMPRODUCT(('Rate Lookup'!$A$1:$A$37=G151)*'Rate Lookup'!$D$1:$D$37),IF(OR(F151="Individual",F151="HUF"),SUMPRODUCT(('Rate Lookup'!$A$1:$A$37=G151)*'Rate Lookup'!$B$1:$B$37),SUMPRODUCT(('Rate Lookup'!$A$1:$A$37=G151)*'Rate Lookup'!$C$1:$C$37)))))))</f>
      </c>
      <c r="I151" s="8"/>
      <c r="J151" s="8"/>
      <c r="K151" s="7">
        <f>IF($C151="","",IF(OR(P151="B",P151="D",P151="E",P151="N",P151="O",P151="P",P151="Q",P151="S",P151="Y",P151="Z"),0,ROUND(J151*H151/100,0)))</f>
      </c>
      <c r="L151" s="7">
        <f>IF($C151="","",0)</f>
      </c>
      <c r="M151" s="7">
        <f>IF($C151="","",0)</f>
      </c>
      <c r="N151" s="7">
        <f>IF($C151="","",IF(OR(K151=0,I151="",IFERROR(INDEX('Challan Master'!$D$4:$D$207,MATCH($B151,'Challan Master'!$S$4:$S$207,0)),"")="",IFERROR(INDEX('Challan Master'!$D$4:$D$207,MATCH($B151,'Challan Master'!$S$4:$S$207,0)),"")&lt;=0),0,IF(IFERROR(INDEX('Challan Master'!$D$4:$D$207,MATCH($B151,'Challan Master'!$S$4:$S$207,0)),"")&lt;=DATE(YEAR(I151),MONTH(I151)+1,7),0,ROUND(K151*0.015*((YEAR(IFERROR(INDEX('Challan Master'!$D$4:$D$207,MATCH($B151,'Challan Master'!$S$4:$S$207,0)),""))-YEAR(I151))*12+(MONTH(IFERROR(INDEX('Challan Master'!$D$4:$D$207,MATCH($B151,'Challan Master'!$S$4:$S$207,0)),""))-MONTH(I151))+1),0))))</f>
      </c>
      <c r="O151" s="7">
        <f>IF($C151="","",0)</f>
      </c>
      <c r="P151" s="8"/>
      <c r="Q151" s="8"/>
      <c r="R151" s="8"/>
      <c r="S151" s="8"/>
      <c r="T151" s="8"/>
      <c r="U151" s="7">
        <f>IF($B151="","",IFERROR(INDEX('Challan Master'!$AA$4:$AA$207,MATCH($B151,'Challan Master'!$S$4:$S$207,0)),""))</f>
      </c>
    </row>
    <row r="152" spans="1:22" x14ac:dyDescent="0.25">
      <c r="A152" s="7">
        <f>IF($C152="","",COUNTIF($C$4:$C152,"&lt;&gt;"))</f>
      </c>
      <c r="B152" s="8"/>
      <c r="C152" s="8"/>
      <c r="D152" s="8"/>
      <c r="E152" s="7">
        <f>IF($C152="","",IF(AND(LEN(TRIM(UPPER(D152)))=10,CODE(MID(TRIM(UPPER(D152)),1,1))&gt;=65,CODE(MID(TRIM(UPPER(D152)),1,1))&lt;=90,CODE(MID(TRIM(UPPER(D152)),2,1))&gt;=65,CODE(MID(TRIM(UPPER(D152)),2,1))&lt;=90,CODE(MID(TRIM(UPPER(D152)),3,1))&gt;=65,CODE(MID(TRIM(UPPER(D152)),3,1))&lt;=90,CODE(MID(TRIM(UPPER(D152)),4,1))&gt;=65,CODE(MID(TRIM(UPPER(D152)),4,1))&lt;=90,CODE(MID(TRIM(UPPER(D152)),5,1))&gt;=65,CODE(MID(TRIM(UPPER(D152)),5,1))&lt;=90,CODE(MID(TRIM(UPPER(D152)),10,1))&gt;=65,CODE(MID(TRIM(UPPER(D152)),10,1))&lt;=90,CODE(MID(TRIM(UPPER(D152)),6,1))&gt;=48,CODE(MID(TRIM(UPPER(D152)),6,1))&lt;=57,CODE(MID(TRIM(UPPER(D152)),7,1))&gt;=48,CODE(MID(TRIM(UPPER(D152)),7,1))&lt;=57,CODE(MID(TRIM(UPPER(D152)),8,1))&gt;=48,CODE(MID(TRIM(UPPER(D152)),8,1))&lt;=57,CODE(MID(TRIM(UPPER(D152)),9,1))&gt;=48,CODE(MID(TRIM(UPPER(D152)),9,1))&lt;=57),"N","Y"))</f>
      </c>
      <c r="F152" s="7">
        <f>IF($C152="","",IF(LEN(D152)&lt;4,"",IF(UPPER(MID(D152,4,1))="P","Individual",IF(UPPER(MID(D152,4,1))="H","HUF",IF(UPPER(MID(D152,4,1))="C","Company",IF(UPPER(MID(D152,4,1))="F","Firm",IF(UPPER(MID(D152,4,1))="L","LLP",IF(UPPER(MID(D152,4,1))="T","Trust",IF(UPPER(MID(D152,4,1))="A","AOP","")))))))))</f>
      </c>
      <c r="G152" s="8"/>
      <c r="H152" s="7">
        <f>IF($C152="","",IF(R152&lt;&gt;"",R152,IF(G152="","",IF(E152="Y",SUMPRODUCT(('Rate Lookup'!$A$1:$A$37=G152)*'Rate Lookup'!$D$1:$D$37),IF(OR(F152="Individual",F152="HUF"),SUMPRODUCT(('Rate Lookup'!$A$1:$A$37=G152)*'Rate Lookup'!$B$1:$B$37),SUMPRODUCT(('Rate Lookup'!$A$1:$A$37=G152)*'Rate Lookup'!$C$1:$C$37)))))))</f>
      </c>
      <c r="I152" s="8"/>
      <c r="J152" s="8"/>
      <c r="K152" s="7">
        <f>IF($C152="","",IF(OR(P152="B",P152="D",P152="E",P152="N",P152="O",P152="P",P152="Q",P152="S",P152="Y",P152="Z"),0,ROUND(J152*H152/100,0)))</f>
      </c>
      <c r="L152" s="7">
        <f>IF($C152="","",0)</f>
      </c>
      <c r="M152" s="7">
        <f>IF($C152="","",0)</f>
      </c>
      <c r="N152" s="7">
        <f>IF($C152="","",IF(OR(K152=0,I152="",IFERROR(INDEX('Challan Master'!$D$4:$D$207,MATCH($B152,'Challan Master'!$S$4:$S$207,0)),"")="",IFERROR(INDEX('Challan Master'!$D$4:$D$207,MATCH($B152,'Challan Master'!$S$4:$S$207,0)),"")&lt;=0),0,IF(IFERROR(INDEX('Challan Master'!$D$4:$D$207,MATCH($B152,'Challan Master'!$S$4:$S$207,0)),"")&lt;=DATE(YEAR(I152),MONTH(I152)+1,7),0,ROUND(K152*0.015*((YEAR(IFERROR(INDEX('Challan Master'!$D$4:$D$207,MATCH($B152,'Challan Master'!$S$4:$S$207,0)),""))-YEAR(I152))*12+(MONTH(IFERROR(INDEX('Challan Master'!$D$4:$D$207,MATCH($B152,'Challan Master'!$S$4:$S$207,0)),""))-MONTH(I152))+1),0))))</f>
      </c>
      <c r="O152" s="7">
        <f>IF($C152="","",0)</f>
      </c>
      <c r="P152" s="8"/>
      <c r="Q152" s="8"/>
      <c r="R152" s="8"/>
      <c r="S152" s="8"/>
      <c r="T152" s="8"/>
      <c r="U152" s="7">
        <f>IF($B152="","",IFERROR(INDEX('Challan Master'!$AA$4:$AA$207,MATCH($B152,'Challan Master'!$S$4:$S$207,0)),""))</f>
      </c>
    </row>
    <row r="153" spans="1:22" x14ac:dyDescent="0.25">
      <c r="A153" s="7">
        <f>IF($C153="","",COUNTIF($C$4:$C153,"&lt;&gt;"))</f>
      </c>
      <c r="B153" s="8"/>
      <c r="C153" s="8"/>
      <c r="D153" s="8"/>
      <c r="E153" s="7">
        <f>IF($C153="","",IF(AND(LEN(TRIM(UPPER(D153)))=10,CODE(MID(TRIM(UPPER(D153)),1,1))&gt;=65,CODE(MID(TRIM(UPPER(D153)),1,1))&lt;=90,CODE(MID(TRIM(UPPER(D153)),2,1))&gt;=65,CODE(MID(TRIM(UPPER(D153)),2,1))&lt;=90,CODE(MID(TRIM(UPPER(D153)),3,1))&gt;=65,CODE(MID(TRIM(UPPER(D153)),3,1))&lt;=90,CODE(MID(TRIM(UPPER(D153)),4,1))&gt;=65,CODE(MID(TRIM(UPPER(D153)),4,1))&lt;=90,CODE(MID(TRIM(UPPER(D153)),5,1))&gt;=65,CODE(MID(TRIM(UPPER(D153)),5,1))&lt;=90,CODE(MID(TRIM(UPPER(D153)),10,1))&gt;=65,CODE(MID(TRIM(UPPER(D153)),10,1))&lt;=90,CODE(MID(TRIM(UPPER(D153)),6,1))&gt;=48,CODE(MID(TRIM(UPPER(D153)),6,1))&lt;=57,CODE(MID(TRIM(UPPER(D153)),7,1))&gt;=48,CODE(MID(TRIM(UPPER(D153)),7,1))&lt;=57,CODE(MID(TRIM(UPPER(D153)),8,1))&gt;=48,CODE(MID(TRIM(UPPER(D153)),8,1))&lt;=57,CODE(MID(TRIM(UPPER(D153)),9,1))&gt;=48,CODE(MID(TRIM(UPPER(D153)),9,1))&lt;=57),"N","Y"))</f>
      </c>
      <c r="F153" s="7">
        <f>IF($C153="","",IF(LEN(D153)&lt;4,"",IF(UPPER(MID(D153,4,1))="P","Individual",IF(UPPER(MID(D153,4,1))="H","HUF",IF(UPPER(MID(D153,4,1))="C","Company",IF(UPPER(MID(D153,4,1))="F","Firm",IF(UPPER(MID(D153,4,1))="L","LLP",IF(UPPER(MID(D153,4,1))="T","Trust",IF(UPPER(MID(D153,4,1))="A","AOP","")))))))))</f>
      </c>
      <c r="G153" s="8"/>
      <c r="H153" s="7">
        <f>IF($C153="","",IF(R153&lt;&gt;"",R153,IF(G153="","",IF(E153="Y",SUMPRODUCT(('Rate Lookup'!$A$1:$A$37=G153)*'Rate Lookup'!$D$1:$D$37),IF(OR(F153="Individual",F153="HUF"),SUMPRODUCT(('Rate Lookup'!$A$1:$A$37=G153)*'Rate Lookup'!$B$1:$B$37),SUMPRODUCT(('Rate Lookup'!$A$1:$A$37=G153)*'Rate Lookup'!$C$1:$C$37)))))))</f>
      </c>
      <c r="I153" s="8"/>
      <c r="J153" s="8"/>
      <c r="K153" s="7">
        <f>IF($C153="","",IF(OR(P153="B",P153="D",P153="E",P153="N",P153="O",P153="P",P153="Q",P153="S",P153="Y",P153="Z"),0,ROUND(J153*H153/100,0)))</f>
      </c>
      <c r="L153" s="7">
        <f>IF($C153="","",0)</f>
      </c>
      <c r="M153" s="7">
        <f>IF($C153="","",0)</f>
      </c>
      <c r="N153" s="7">
        <f>IF($C153="","",IF(OR(K153=0,I153="",IFERROR(INDEX('Challan Master'!$D$4:$D$207,MATCH($B153,'Challan Master'!$S$4:$S$207,0)),"")="",IFERROR(INDEX('Challan Master'!$D$4:$D$207,MATCH($B153,'Challan Master'!$S$4:$S$207,0)),"")&lt;=0),0,IF(IFERROR(INDEX('Challan Master'!$D$4:$D$207,MATCH($B153,'Challan Master'!$S$4:$S$207,0)),"")&lt;=DATE(YEAR(I153),MONTH(I153)+1,7),0,ROUND(K153*0.015*((YEAR(IFERROR(INDEX('Challan Master'!$D$4:$D$207,MATCH($B153,'Challan Master'!$S$4:$S$207,0)),""))-YEAR(I153))*12+(MONTH(IFERROR(INDEX('Challan Master'!$D$4:$D$207,MATCH($B153,'Challan Master'!$S$4:$S$207,0)),""))-MONTH(I153))+1),0))))</f>
      </c>
      <c r="O153" s="7">
        <f>IF($C153="","",0)</f>
      </c>
      <c r="P153" s="8"/>
      <c r="Q153" s="8"/>
      <c r="R153" s="8"/>
      <c r="S153" s="8"/>
      <c r="T153" s="8"/>
      <c r="U153" s="7">
        <f>IF($B153="","",IFERROR(INDEX('Challan Master'!$AA$4:$AA$207,MATCH($B153,'Challan Master'!$S$4:$S$207,0)),""))</f>
      </c>
    </row>
    <row r="154" spans="1:22" x14ac:dyDescent="0.25">
      <c r="A154" s="7">
        <f>IF($C154="","",COUNTIF($C$4:$C154,"&lt;&gt;"))</f>
      </c>
      <c r="B154" s="8"/>
      <c r="C154" s="8"/>
      <c r="D154" s="8"/>
      <c r="E154" s="7">
        <f>IF($C154="","",IF(AND(LEN(TRIM(UPPER(D154)))=10,CODE(MID(TRIM(UPPER(D154)),1,1))&gt;=65,CODE(MID(TRIM(UPPER(D154)),1,1))&lt;=90,CODE(MID(TRIM(UPPER(D154)),2,1))&gt;=65,CODE(MID(TRIM(UPPER(D154)),2,1))&lt;=90,CODE(MID(TRIM(UPPER(D154)),3,1))&gt;=65,CODE(MID(TRIM(UPPER(D154)),3,1))&lt;=90,CODE(MID(TRIM(UPPER(D154)),4,1))&gt;=65,CODE(MID(TRIM(UPPER(D154)),4,1))&lt;=90,CODE(MID(TRIM(UPPER(D154)),5,1))&gt;=65,CODE(MID(TRIM(UPPER(D154)),5,1))&lt;=90,CODE(MID(TRIM(UPPER(D154)),10,1))&gt;=65,CODE(MID(TRIM(UPPER(D154)),10,1))&lt;=90,CODE(MID(TRIM(UPPER(D154)),6,1))&gt;=48,CODE(MID(TRIM(UPPER(D154)),6,1))&lt;=57,CODE(MID(TRIM(UPPER(D154)),7,1))&gt;=48,CODE(MID(TRIM(UPPER(D154)),7,1))&lt;=57,CODE(MID(TRIM(UPPER(D154)),8,1))&gt;=48,CODE(MID(TRIM(UPPER(D154)),8,1))&lt;=57,CODE(MID(TRIM(UPPER(D154)),9,1))&gt;=48,CODE(MID(TRIM(UPPER(D154)),9,1))&lt;=57),"N","Y"))</f>
      </c>
      <c r="F154" s="7">
        <f>IF($C154="","",IF(LEN(D154)&lt;4,"",IF(UPPER(MID(D154,4,1))="P","Individual",IF(UPPER(MID(D154,4,1))="H","HUF",IF(UPPER(MID(D154,4,1))="C","Company",IF(UPPER(MID(D154,4,1))="F","Firm",IF(UPPER(MID(D154,4,1))="L","LLP",IF(UPPER(MID(D154,4,1))="T","Trust",IF(UPPER(MID(D154,4,1))="A","AOP","")))))))))</f>
      </c>
      <c r="G154" s="8"/>
      <c r="H154" s="7">
        <f>IF($C154="","",IF(R154&lt;&gt;"",R154,IF(G154="","",IF(E154="Y",SUMPRODUCT(('Rate Lookup'!$A$1:$A$37=G154)*'Rate Lookup'!$D$1:$D$37),IF(OR(F154="Individual",F154="HUF"),SUMPRODUCT(('Rate Lookup'!$A$1:$A$37=G154)*'Rate Lookup'!$B$1:$B$37),SUMPRODUCT(('Rate Lookup'!$A$1:$A$37=G154)*'Rate Lookup'!$C$1:$C$37)))))))</f>
      </c>
      <c r="I154" s="8"/>
      <c r="J154" s="8"/>
      <c r="K154" s="7">
        <f>IF($C154="","",IF(OR(P154="B",P154="D",P154="E",P154="N",P154="O",P154="P",P154="Q",P154="S",P154="Y",P154="Z"),0,ROUND(J154*H154/100,0)))</f>
      </c>
      <c r="L154" s="7">
        <f>IF($C154="","",0)</f>
      </c>
      <c r="M154" s="7">
        <f>IF($C154="","",0)</f>
      </c>
      <c r="N154" s="7">
        <f>IF($C154="","",IF(OR(K154=0,I154="",IFERROR(INDEX('Challan Master'!$D$4:$D$207,MATCH($B154,'Challan Master'!$S$4:$S$207,0)),"")="",IFERROR(INDEX('Challan Master'!$D$4:$D$207,MATCH($B154,'Challan Master'!$S$4:$S$207,0)),"")&lt;=0),0,IF(IFERROR(INDEX('Challan Master'!$D$4:$D$207,MATCH($B154,'Challan Master'!$S$4:$S$207,0)),"")&lt;=DATE(YEAR(I154),MONTH(I154)+1,7),0,ROUND(K154*0.015*((YEAR(IFERROR(INDEX('Challan Master'!$D$4:$D$207,MATCH($B154,'Challan Master'!$S$4:$S$207,0)),""))-YEAR(I154))*12+(MONTH(IFERROR(INDEX('Challan Master'!$D$4:$D$207,MATCH($B154,'Challan Master'!$S$4:$S$207,0)),""))-MONTH(I154))+1),0))))</f>
      </c>
      <c r="O154" s="7">
        <f>IF($C154="","",0)</f>
      </c>
      <c r="P154" s="8"/>
      <c r="Q154" s="8"/>
      <c r="R154" s="8"/>
      <c r="S154" s="8"/>
      <c r="T154" s="8"/>
      <c r="U154" s="7">
        <f>IF($B154="","",IFERROR(INDEX('Challan Master'!$AA$4:$AA$207,MATCH($B154,'Challan Master'!$S$4:$S$207,0)),""))</f>
      </c>
    </row>
    <row r="155" spans="1:22" x14ac:dyDescent="0.25">
      <c r="A155" s="7">
        <f>IF($C155="","",COUNTIF($C$4:$C155,"&lt;&gt;"))</f>
      </c>
      <c r="B155" s="8"/>
      <c r="C155" s="8"/>
      <c r="D155" s="8"/>
      <c r="E155" s="7">
        <f>IF($C155="","",IF(AND(LEN(TRIM(UPPER(D155)))=10,CODE(MID(TRIM(UPPER(D155)),1,1))&gt;=65,CODE(MID(TRIM(UPPER(D155)),1,1))&lt;=90,CODE(MID(TRIM(UPPER(D155)),2,1))&gt;=65,CODE(MID(TRIM(UPPER(D155)),2,1))&lt;=90,CODE(MID(TRIM(UPPER(D155)),3,1))&gt;=65,CODE(MID(TRIM(UPPER(D155)),3,1))&lt;=90,CODE(MID(TRIM(UPPER(D155)),4,1))&gt;=65,CODE(MID(TRIM(UPPER(D155)),4,1))&lt;=90,CODE(MID(TRIM(UPPER(D155)),5,1))&gt;=65,CODE(MID(TRIM(UPPER(D155)),5,1))&lt;=90,CODE(MID(TRIM(UPPER(D155)),10,1))&gt;=65,CODE(MID(TRIM(UPPER(D155)),10,1))&lt;=90,CODE(MID(TRIM(UPPER(D155)),6,1))&gt;=48,CODE(MID(TRIM(UPPER(D155)),6,1))&lt;=57,CODE(MID(TRIM(UPPER(D155)),7,1))&gt;=48,CODE(MID(TRIM(UPPER(D155)),7,1))&lt;=57,CODE(MID(TRIM(UPPER(D155)),8,1))&gt;=48,CODE(MID(TRIM(UPPER(D155)),8,1))&lt;=57,CODE(MID(TRIM(UPPER(D155)),9,1))&gt;=48,CODE(MID(TRIM(UPPER(D155)),9,1))&lt;=57),"N","Y"))</f>
      </c>
      <c r="F155" s="7">
        <f>IF($C155="","",IF(LEN(D155)&lt;4,"",IF(UPPER(MID(D155,4,1))="P","Individual",IF(UPPER(MID(D155,4,1))="H","HUF",IF(UPPER(MID(D155,4,1))="C","Company",IF(UPPER(MID(D155,4,1))="F","Firm",IF(UPPER(MID(D155,4,1))="L","LLP",IF(UPPER(MID(D155,4,1))="T","Trust",IF(UPPER(MID(D155,4,1))="A","AOP","")))))))))</f>
      </c>
      <c r="G155" s="8"/>
      <c r="H155" s="7">
        <f>IF($C155="","",IF(R155&lt;&gt;"",R155,IF(G155="","",IF(E155="Y",SUMPRODUCT(('Rate Lookup'!$A$1:$A$37=G155)*'Rate Lookup'!$D$1:$D$37),IF(OR(F155="Individual",F155="HUF"),SUMPRODUCT(('Rate Lookup'!$A$1:$A$37=G155)*'Rate Lookup'!$B$1:$B$37),SUMPRODUCT(('Rate Lookup'!$A$1:$A$37=G155)*'Rate Lookup'!$C$1:$C$37)))))))</f>
      </c>
      <c r="I155" s="8"/>
      <c r="J155" s="8"/>
      <c r="K155" s="7">
        <f>IF($C155="","",IF(OR(P155="B",P155="D",P155="E",P155="N",P155="O",P155="P",P155="Q",P155="S",P155="Y",P155="Z"),0,ROUND(J155*H155/100,0)))</f>
      </c>
      <c r="L155" s="7">
        <f>IF($C155="","",0)</f>
      </c>
      <c r="M155" s="7">
        <f>IF($C155="","",0)</f>
      </c>
      <c r="N155" s="7">
        <f>IF($C155="","",IF(OR(K155=0,I155="",IFERROR(INDEX('Challan Master'!$D$4:$D$207,MATCH($B155,'Challan Master'!$S$4:$S$207,0)),"")="",IFERROR(INDEX('Challan Master'!$D$4:$D$207,MATCH($B155,'Challan Master'!$S$4:$S$207,0)),"")&lt;=0),0,IF(IFERROR(INDEX('Challan Master'!$D$4:$D$207,MATCH($B155,'Challan Master'!$S$4:$S$207,0)),"")&lt;=DATE(YEAR(I155),MONTH(I155)+1,7),0,ROUND(K155*0.015*((YEAR(IFERROR(INDEX('Challan Master'!$D$4:$D$207,MATCH($B155,'Challan Master'!$S$4:$S$207,0)),""))-YEAR(I155))*12+(MONTH(IFERROR(INDEX('Challan Master'!$D$4:$D$207,MATCH($B155,'Challan Master'!$S$4:$S$207,0)),""))-MONTH(I155))+1),0))))</f>
      </c>
      <c r="O155" s="7">
        <f>IF($C155="","",0)</f>
      </c>
      <c r="P155" s="8"/>
      <c r="Q155" s="8"/>
      <c r="R155" s="8"/>
      <c r="S155" s="8"/>
      <c r="T155" s="8"/>
      <c r="U155" s="7">
        <f>IF($B155="","",IFERROR(INDEX('Challan Master'!$AA$4:$AA$207,MATCH($B155,'Challan Master'!$S$4:$S$207,0)),""))</f>
      </c>
    </row>
    <row r="156" spans="1:22" x14ac:dyDescent="0.25">
      <c r="A156" s="7">
        <f>IF($C156="","",COUNTIF($C$4:$C156,"&lt;&gt;"))</f>
      </c>
      <c r="B156" s="8"/>
      <c r="C156" s="8"/>
      <c r="D156" s="8"/>
      <c r="E156" s="7">
        <f>IF($C156="","",IF(AND(LEN(TRIM(UPPER(D156)))=10,CODE(MID(TRIM(UPPER(D156)),1,1))&gt;=65,CODE(MID(TRIM(UPPER(D156)),1,1))&lt;=90,CODE(MID(TRIM(UPPER(D156)),2,1))&gt;=65,CODE(MID(TRIM(UPPER(D156)),2,1))&lt;=90,CODE(MID(TRIM(UPPER(D156)),3,1))&gt;=65,CODE(MID(TRIM(UPPER(D156)),3,1))&lt;=90,CODE(MID(TRIM(UPPER(D156)),4,1))&gt;=65,CODE(MID(TRIM(UPPER(D156)),4,1))&lt;=90,CODE(MID(TRIM(UPPER(D156)),5,1))&gt;=65,CODE(MID(TRIM(UPPER(D156)),5,1))&lt;=90,CODE(MID(TRIM(UPPER(D156)),10,1))&gt;=65,CODE(MID(TRIM(UPPER(D156)),10,1))&lt;=90,CODE(MID(TRIM(UPPER(D156)),6,1))&gt;=48,CODE(MID(TRIM(UPPER(D156)),6,1))&lt;=57,CODE(MID(TRIM(UPPER(D156)),7,1))&gt;=48,CODE(MID(TRIM(UPPER(D156)),7,1))&lt;=57,CODE(MID(TRIM(UPPER(D156)),8,1))&gt;=48,CODE(MID(TRIM(UPPER(D156)),8,1))&lt;=57,CODE(MID(TRIM(UPPER(D156)),9,1))&gt;=48,CODE(MID(TRIM(UPPER(D156)),9,1))&lt;=57),"N","Y"))</f>
      </c>
      <c r="F156" s="7">
        <f>IF($C156="","",IF(LEN(D156)&lt;4,"",IF(UPPER(MID(D156,4,1))="P","Individual",IF(UPPER(MID(D156,4,1))="H","HUF",IF(UPPER(MID(D156,4,1))="C","Company",IF(UPPER(MID(D156,4,1))="F","Firm",IF(UPPER(MID(D156,4,1))="L","LLP",IF(UPPER(MID(D156,4,1))="T","Trust",IF(UPPER(MID(D156,4,1))="A","AOP","")))))))))</f>
      </c>
      <c r="G156" s="8"/>
      <c r="H156" s="7">
        <f>IF($C156="","",IF(R156&lt;&gt;"",R156,IF(G156="","",IF(E156="Y",SUMPRODUCT(('Rate Lookup'!$A$1:$A$37=G156)*'Rate Lookup'!$D$1:$D$37),IF(OR(F156="Individual",F156="HUF"),SUMPRODUCT(('Rate Lookup'!$A$1:$A$37=G156)*'Rate Lookup'!$B$1:$B$37),SUMPRODUCT(('Rate Lookup'!$A$1:$A$37=G156)*'Rate Lookup'!$C$1:$C$37)))))))</f>
      </c>
      <c r="I156" s="8"/>
      <c r="J156" s="8"/>
      <c r="K156" s="7">
        <f>IF($C156="","",IF(OR(P156="B",P156="D",P156="E",P156="N",P156="O",P156="P",P156="Q",P156="S",P156="Y",P156="Z"),0,ROUND(J156*H156/100,0)))</f>
      </c>
      <c r="L156" s="7">
        <f>IF($C156="","",0)</f>
      </c>
      <c r="M156" s="7">
        <f>IF($C156="","",0)</f>
      </c>
      <c r="N156" s="7">
        <f>IF($C156="","",IF(OR(K156=0,I156="",IFERROR(INDEX('Challan Master'!$D$4:$D$207,MATCH($B156,'Challan Master'!$S$4:$S$207,0)),"")="",IFERROR(INDEX('Challan Master'!$D$4:$D$207,MATCH($B156,'Challan Master'!$S$4:$S$207,0)),"")&lt;=0),0,IF(IFERROR(INDEX('Challan Master'!$D$4:$D$207,MATCH($B156,'Challan Master'!$S$4:$S$207,0)),"")&lt;=DATE(YEAR(I156),MONTH(I156)+1,7),0,ROUND(K156*0.015*((YEAR(IFERROR(INDEX('Challan Master'!$D$4:$D$207,MATCH($B156,'Challan Master'!$S$4:$S$207,0)),""))-YEAR(I156))*12+(MONTH(IFERROR(INDEX('Challan Master'!$D$4:$D$207,MATCH($B156,'Challan Master'!$S$4:$S$207,0)),""))-MONTH(I156))+1),0))))</f>
      </c>
      <c r="O156" s="7">
        <f>IF($C156="","",0)</f>
      </c>
      <c r="P156" s="8"/>
      <c r="Q156" s="8"/>
      <c r="R156" s="8"/>
      <c r="S156" s="8"/>
      <c r="T156" s="8"/>
      <c r="U156" s="7">
        <f>IF($B156="","",IFERROR(INDEX('Challan Master'!$AA$4:$AA$207,MATCH($B156,'Challan Master'!$S$4:$S$207,0)),""))</f>
      </c>
    </row>
    <row r="157" spans="1:22" x14ac:dyDescent="0.25">
      <c r="A157" s="7">
        <f>IF($C157="","",COUNTIF($C$4:$C157,"&lt;&gt;"))</f>
      </c>
      <c r="B157" s="8"/>
      <c r="C157" s="8"/>
      <c r="D157" s="8"/>
      <c r="E157" s="7">
        <f>IF($C157="","",IF(AND(LEN(TRIM(UPPER(D157)))=10,CODE(MID(TRIM(UPPER(D157)),1,1))&gt;=65,CODE(MID(TRIM(UPPER(D157)),1,1))&lt;=90,CODE(MID(TRIM(UPPER(D157)),2,1))&gt;=65,CODE(MID(TRIM(UPPER(D157)),2,1))&lt;=90,CODE(MID(TRIM(UPPER(D157)),3,1))&gt;=65,CODE(MID(TRIM(UPPER(D157)),3,1))&lt;=90,CODE(MID(TRIM(UPPER(D157)),4,1))&gt;=65,CODE(MID(TRIM(UPPER(D157)),4,1))&lt;=90,CODE(MID(TRIM(UPPER(D157)),5,1))&gt;=65,CODE(MID(TRIM(UPPER(D157)),5,1))&lt;=90,CODE(MID(TRIM(UPPER(D157)),10,1))&gt;=65,CODE(MID(TRIM(UPPER(D157)),10,1))&lt;=90,CODE(MID(TRIM(UPPER(D157)),6,1))&gt;=48,CODE(MID(TRIM(UPPER(D157)),6,1))&lt;=57,CODE(MID(TRIM(UPPER(D157)),7,1))&gt;=48,CODE(MID(TRIM(UPPER(D157)),7,1))&lt;=57,CODE(MID(TRIM(UPPER(D157)),8,1))&gt;=48,CODE(MID(TRIM(UPPER(D157)),8,1))&lt;=57,CODE(MID(TRIM(UPPER(D157)),9,1))&gt;=48,CODE(MID(TRIM(UPPER(D157)),9,1))&lt;=57),"N","Y"))</f>
      </c>
      <c r="F157" s="7">
        <f>IF($C157="","",IF(LEN(D157)&lt;4,"",IF(UPPER(MID(D157,4,1))="P","Individual",IF(UPPER(MID(D157,4,1))="H","HUF",IF(UPPER(MID(D157,4,1))="C","Company",IF(UPPER(MID(D157,4,1))="F","Firm",IF(UPPER(MID(D157,4,1))="L","LLP",IF(UPPER(MID(D157,4,1))="T","Trust",IF(UPPER(MID(D157,4,1))="A","AOP","")))))))))</f>
      </c>
      <c r="G157" s="8"/>
      <c r="H157" s="7">
        <f>IF($C157="","",IF(R157&lt;&gt;"",R157,IF(G157="","",IF(E157="Y",SUMPRODUCT(('Rate Lookup'!$A$1:$A$37=G157)*'Rate Lookup'!$D$1:$D$37),IF(OR(F157="Individual",F157="HUF"),SUMPRODUCT(('Rate Lookup'!$A$1:$A$37=G157)*'Rate Lookup'!$B$1:$B$37),SUMPRODUCT(('Rate Lookup'!$A$1:$A$37=G157)*'Rate Lookup'!$C$1:$C$37)))))))</f>
      </c>
      <c r="I157" s="8"/>
      <c r="J157" s="8"/>
      <c r="K157" s="7">
        <f>IF($C157="","",IF(OR(P157="B",P157="D",P157="E",P157="N",P157="O",P157="P",P157="Q",P157="S",P157="Y",P157="Z"),0,ROUND(J157*H157/100,0)))</f>
      </c>
      <c r="L157" s="7">
        <f>IF($C157="","",0)</f>
      </c>
      <c r="M157" s="7">
        <f>IF($C157="","",0)</f>
      </c>
      <c r="N157" s="7">
        <f>IF($C157="","",IF(OR(K157=0,I157="",IFERROR(INDEX('Challan Master'!$D$4:$D$207,MATCH($B157,'Challan Master'!$S$4:$S$207,0)),"")="",IFERROR(INDEX('Challan Master'!$D$4:$D$207,MATCH($B157,'Challan Master'!$S$4:$S$207,0)),"")&lt;=0),0,IF(IFERROR(INDEX('Challan Master'!$D$4:$D$207,MATCH($B157,'Challan Master'!$S$4:$S$207,0)),"")&lt;=DATE(YEAR(I157),MONTH(I157)+1,7),0,ROUND(K157*0.015*((YEAR(IFERROR(INDEX('Challan Master'!$D$4:$D$207,MATCH($B157,'Challan Master'!$S$4:$S$207,0)),""))-YEAR(I157))*12+(MONTH(IFERROR(INDEX('Challan Master'!$D$4:$D$207,MATCH($B157,'Challan Master'!$S$4:$S$207,0)),""))-MONTH(I157))+1),0))))</f>
      </c>
      <c r="O157" s="7">
        <f>IF($C157="","",0)</f>
      </c>
      <c r="P157" s="8"/>
      <c r="Q157" s="8"/>
      <c r="R157" s="8"/>
      <c r="S157" s="8"/>
      <c r="T157" s="8"/>
      <c r="U157" s="7">
        <f>IF($B157="","",IFERROR(INDEX('Challan Master'!$AA$4:$AA$207,MATCH($B157,'Challan Master'!$S$4:$S$207,0)),""))</f>
      </c>
    </row>
    <row r="158" spans="1:22" x14ac:dyDescent="0.25">
      <c r="A158" s="7">
        <f>IF($C158="","",COUNTIF($C$4:$C158,"&lt;&gt;"))</f>
      </c>
      <c r="B158" s="8"/>
      <c r="C158" s="8"/>
      <c r="D158" s="8"/>
      <c r="E158" s="7">
        <f>IF($C158="","",IF(AND(LEN(TRIM(UPPER(D158)))=10,CODE(MID(TRIM(UPPER(D158)),1,1))&gt;=65,CODE(MID(TRIM(UPPER(D158)),1,1))&lt;=90,CODE(MID(TRIM(UPPER(D158)),2,1))&gt;=65,CODE(MID(TRIM(UPPER(D158)),2,1))&lt;=90,CODE(MID(TRIM(UPPER(D158)),3,1))&gt;=65,CODE(MID(TRIM(UPPER(D158)),3,1))&lt;=90,CODE(MID(TRIM(UPPER(D158)),4,1))&gt;=65,CODE(MID(TRIM(UPPER(D158)),4,1))&lt;=90,CODE(MID(TRIM(UPPER(D158)),5,1))&gt;=65,CODE(MID(TRIM(UPPER(D158)),5,1))&lt;=90,CODE(MID(TRIM(UPPER(D158)),10,1))&gt;=65,CODE(MID(TRIM(UPPER(D158)),10,1))&lt;=90,CODE(MID(TRIM(UPPER(D158)),6,1))&gt;=48,CODE(MID(TRIM(UPPER(D158)),6,1))&lt;=57,CODE(MID(TRIM(UPPER(D158)),7,1))&gt;=48,CODE(MID(TRIM(UPPER(D158)),7,1))&lt;=57,CODE(MID(TRIM(UPPER(D158)),8,1))&gt;=48,CODE(MID(TRIM(UPPER(D158)),8,1))&lt;=57,CODE(MID(TRIM(UPPER(D158)),9,1))&gt;=48,CODE(MID(TRIM(UPPER(D158)),9,1))&lt;=57),"N","Y"))</f>
      </c>
      <c r="F158" s="7">
        <f>IF($C158="","",IF(LEN(D158)&lt;4,"",IF(UPPER(MID(D158,4,1))="P","Individual",IF(UPPER(MID(D158,4,1))="H","HUF",IF(UPPER(MID(D158,4,1))="C","Company",IF(UPPER(MID(D158,4,1))="F","Firm",IF(UPPER(MID(D158,4,1))="L","LLP",IF(UPPER(MID(D158,4,1))="T","Trust",IF(UPPER(MID(D158,4,1))="A","AOP","")))))))))</f>
      </c>
      <c r="G158" s="8"/>
      <c r="H158" s="7">
        <f>IF($C158="","",IF(R158&lt;&gt;"",R158,IF(G158="","",IF(E158="Y",SUMPRODUCT(('Rate Lookup'!$A$1:$A$37=G158)*'Rate Lookup'!$D$1:$D$37),IF(OR(F158="Individual",F158="HUF"),SUMPRODUCT(('Rate Lookup'!$A$1:$A$37=G158)*'Rate Lookup'!$B$1:$B$37),SUMPRODUCT(('Rate Lookup'!$A$1:$A$37=G158)*'Rate Lookup'!$C$1:$C$37)))))))</f>
      </c>
      <c r="I158" s="8"/>
      <c r="J158" s="8"/>
      <c r="K158" s="7">
        <f>IF($C158="","",IF(OR(P158="B",P158="D",P158="E",P158="N",P158="O",P158="P",P158="Q",P158="S",P158="Y",P158="Z"),0,ROUND(J158*H158/100,0)))</f>
      </c>
      <c r="L158" s="7">
        <f>IF($C158="","",0)</f>
      </c>
      <c r="M158" s="7">
        <f>IF($C158="","",0)</f>
      </c>
      <c r="N158" s="7">
        <f>IF($C158="","",IF(OR(K158=0,I158="",IFERROR(INDEX('Challan Master'!$D$4:$D$207,MATCH($B158,'Challan Master'!$S$4:$S$207,0)),"")="",IFERROR(INDEX('Challan Master'!$D$4:$D$207,MATCH($B158,'Challan Master'!$S$4:$S$207,0)),"")&lt;=0),0,IF(IFERROR(INDEX('Challan Master'!$D$4:$D$207,MATCH($B158,'Challan Master'!$S$4:$S$207,0)),"")&lt;=DATE(YEAR(I158),MONTH(I158)+1,7),0,ROUND(K158*0.015*((YEAR(IFERROR(INDEX('Challan Master'!$D$4:$D$207,MATCH($B158,'Challan Master'!$S$4:$S$207,0)),""))-YEAR(I158))*12+(MONTH(IFERROR(INDEX('Challan Master'!$D$4:$D$207,MATCH($B158,'Challan Master'!$S$4:$S$207,0)),""))-MONTH(I158))+1),0))))</f>
      </c>
      <c r="O158" s="7">
        <f>IF($C158="","",0)</f>
      </c>
      <c r="P158" s="8"/>
      <c r="Q158" s="8"/>
      <c r="R158" s="8"/>
      <c r="S158" s="8"/>
      <c r="T158" s="8"/>
      <c r="U158" s="7">
        <f>IF($B158="","",IFERROR(INDEX('Challan Master'!$AA$4:$AA$207,MATCH($B158,'Challan Master'!$S$4:$S$207,0)),""))</f>
      </c>
    </row>
    <row r="159" spans="1:22" x14ac:dyDescent="0.25">
      <c r="A159" s="7">
        <f>IF($C159="","",COUNTIF($C$4:$C159,"&lt;&gt;"))</f>
      </c>
      <c r="B159" s="8"/>
      <c r="C159" s="8"/>
      <c r="D159" s="8"/>
      <c r="E159" s="7">
        <f>IF($C159="","",IF(AND(LEN(TRIM(UPPER(D159)))=10,CODE(MID(TRIM(UPPER(D159)),1,1))&gt;=65,CODE(MID(TRIM(UPPER(D159)),1,1))&lt;=90,CODE(MID(TRIM(UPPER(D159)),2,1))&gt;=65,CODE(MID(TRIM(UPPER(D159)),2,1))&lt;=90,CODE(MID(TRIM(UPPER(D159)),3,1))&gt;=65,CODE(MID(TRIM(UPPER(D159)),3,1))&lt;=90,CODE(MID(TRIM(UPPER(D159)),4,1))&gt;=65,CODE(MID(TRIM(UPPER(D159)),4,1))&lt;=90,CODE(MID(TRIM(UPPER(D159)),5,1))&gt;=65,CODE(MID(TRIM(UPPER(D159)),5,1))&lt;=90,CODE(MID(TRIM(UPPER(D159)),10,1))&gt;=65,CODE(MID(TRIM(UPPER(D159)),10,1))&lt;=90,CODE(MID(TRIM(UPPER(D159)),6,1))&gt;=48,CODE(MID(TRIM(UPPER(D159)),6,1))&lt;=57,CODE(MID(TRIM(UPPER(D159)),7,1))&gt;=48,CODE(MID(TRIM(UPPER(D159)),7,1))&lt;=57,CODE(MID(TRIM(UPPER(D159)),8,1))&gt;=48,CODE(MID(TRIM(UPPER(D159)),8,1))&lt;=57,CODE(MID(TRIM(UPPER(D159)),9,1))&gt;=48,CODE(MID(TRIM(UPPER(D159)),9,1))&lt;=57),"N","Y"))</f>
      </c>
      <c r="F159" s="7">
        <f>IF($C159="","",IF(LEN(D159)&lt;4,"",IF(UPPER(MID(D159,4,1))="P","Individual",IF(UPPER(MID(D159,4,1))="H","HUF",IF(UPPER(MID(D159,4,1))="C","Company",IF(UPPER(MID(D159,4,1))="F","Firm",IF(UPPER(MID(D159,4,1))="L","LLP",IF(UPPER(MID(D159,4,1))="T","Trust",IF(UPPER(MID(D159,4,1))="A","AOP","")))))))))</f>
      </c>
      <c r="G159" s="8"/>
      <c r="H159" s="7">
        <f>IF($C159="","",IF(R159&lt;&gt;"",R159,IF(G159="","",IF(E159="Y",SUMPRODUCT(('Rate Lookup'!$A$1:$A$37=G159)*'Rate Lookup'!$D$1:$D$37),IF(OR(F159="Individual",F159="HUF"),SUMPRODUCT(('Rate Lookup'!$A$1:$A$37=G159)*'Rate Lookup'!$B$1:$B$37),SUMPRODUCT(('Rate Lookup'!$A$1:$A$37=G159)*'Rate Lookup'!$C$1:$C$37)))))))</f>
      </c>
      <c r="I159" s="8"/>
      <c r="J159" s="8"/>
      <c r="K159" s="7">
        <f>IF($C159="","",IF(OR(P159="B",P159="D",P159="E",P159="N",P159="O",P159="P",P159="Q",P159="S",P159="Y",P159="Z"),0,ROUND(J159*H159/100,0)))</f>
      </c>
      <c r="L159" s="7">
        <f>IF($C159="","",0)</f>
      </c>
      <c r="M159" s="7">
        <f>IF($C159="","",0)</f>
      </c>
      <c r="N159" s="7">
        <f>IF($C159="","",IF(OR(K159=0,I159="",IFERROR(INDEX('Challan Master'!$D$4:$D$207,MATCH($B159,'Challan Master'!$S$4:$S$207,0)),"")="",IFERROR(INDEX('Challan Master'!$D$4:$D$207,MATCH($B159,'Challan Master'!$S$4:$S$207,0)),"")&lt;=0),0,IF(IFERROR(INDEX('Challan Master'!$D$4:$D$207,MATCH($B159,'Challan Master'!$S$4:$S$207,0)),"")&lt;=DATE(YEAR(I159),MONTH(I159)+1,7),0,ROUND(K159*0.015*((YEAR(IFERROR(INDEX('Challan Master'!$D$4:$D$207,MATCH($B159,'Challan Master'!$S$4:$S$207,0)),""))-YEAR(I159))*12+(MONTH(IFERROR(INDEX('Challan Master'!$D$4:$D$207,MATCH($B159,'Challan Master'!$S$4:$S$207,0)),""))-MONTH(I159))+1),0))))</f>
      </c>
      <c r="O159" s="7">
        <f>IF($C159="","",0)</f>
      </c>
      <c r="P159" s="8"/>
      <c r="Q159" s="8"/>
      <c r="R159" s="8"/>
      <c r="S159" s="8"/>
      <c r="T159" s="8"/>
      <c r="U159" s="7">
        <f>IF($B159="","",IFERROR(INDEX('Challan Master'!$AA$4:$AA$207,MATCH($B159,'Challan Master'!$S$4:$S$207,0)),""))</f>
      </c>
    </row>
    <row r="160" spans="1:22" x14ac:dyDescent="0.25">
      <c r="A160" s="7">
        <f>IF($C160="","",COUNTIF($C$4:$C160,"&lt;&gt;"))</f>
      </c>
      <c r="B160" s="8"/>
      <c r="C160" s="8"/>
      <c r="D160" s="8"/>
      <c r="E160" s="7">
        <f>IF($C160="","",IF(AND(LEN(TRIM(UPPER(D160)))=10,CODE(MID(TRIM(UPPER(D160)),1,1))&gt;=65,CODE(MID(TRIM(UPPER(D160)),1,1))&lt;=90,CODE(MID(TRIM(UPPER(D160)),2,1))&gt;=65,CODE(MID(TRIM(UPPER(D160)),2,1))&lt;=90,CODE(MID(TRIM(UPPER(D160)),3,1))&gt;=65,CODE(MID(TRIM(UPPER(D160)),3,1))&lt;=90,CODE(MID(TRIM(UPPER(D160)),4,1))&gt;=65,CODE(MID(TRIM(UPPER(D160)),4,1))&lt;=90,CODE(MID(TRIM(UPPER(D160)),5,1))&gt;=65,CODE(MID(TRIM(UPPER(D160)),5,1))&lt;=90,CODE(MID(TRIM(UPPER(D160)),10,1))&gt;=65,CODE(MID(TRIM(UPPER(D160)),10,1))&lt;=90,CODE(MID(TRIM(UPPER(D160)),6,1))&gt;=48,CODE(MID(TRIM(UPPER(D160)),6,1))&lt;=57,CODE(MID(TRIM(UPPER(D160)),7,1))&gt;=48,CODE(MID(TRIM(UPPER(D160)),7,1))&lt;=57,CODE(MID(TRIM(UPPER(D160)),8,1))&gt;=48,CODE(MID(TRIM(UPPER(D160)),8,1))&lt;=57,CODE(MID(TRIM(UPPER(D160)),9,1))&gt;=48,CODE(MID(TRIM(UPPER(D160)),9,1))&lt;=57),"N","Y"))</f>
      </c>
      <c r="F160" s="7">
        <f>IF($C160="","",IF(LEN(D160)&lt;4,"",IF(UPPER(MID(D160,4,1))="P","Individual",IF(UPPER(MID(D160,4,1))="H","HUF",IF(UPPER(MID(D160,4,1))="C","Company",IF(UPPER(MID(D160,4,1))="F","Firm",IF(UPPER(MID(D160,4,1))="L","LLP",IF(UPPER(MID(D160,4,1))="T","Trust",IF(UPPER(MID(D160,4,1))="A","AOP","")))))))))</f>
      </c>
      <c r="G160" s="8"/>
      <c r="H160" s="7">
        <f>IF($C160="","",IF(R160&lt;&gt;"",R160,IF(G160="","",IF(E160="Y",SUMPRODUCT(('Rate Lookup'!$A$1:$A$37=G160)*'Rate Lookup'!$D$1:$D$37),IF(OR(F160="Individual",F160="HUF"),SUMPRODUCT(('Rate Lookup'!$A$1:$A$37=G160)*'Rate Lookup'!$B$1:$B$37),SUMPRODUCT(('Rate Lookup'!$A$1:$A$37=G160)*'Rate Lookup'!$C$1:$C$37)))))))</f>
      </c>
      <c r="I160" s="8"/>
      <c r="J160" s="8"/>
      <c r="K160" s="7">
        <f>IF($C160="","",IF(OR(P160="B",P160="D",P160="E",P160="N",P160="O",P160="P",P160="Q",P160="S",P160="Y",P160="Z"),0,ROUND(J160*H160/100,0)))</f>
      </c>
      <c r="L160" s="7">
        <f>IF($C160="","",0)</f>
      </c>
      <c r="M160" s="7">
        <f>IF($C160="","",0)</f>
      </c>
      <c r="N160" s="7">
        <f>IF($C160="","",IF(OR(K160=0,I160="",IFERROR(INDEX('Challan Master'!$D$4:$D$207,MATCH($B160,'Challan Master'!$S$4:$S$207,0)),"")="",IFERROR(INDEX('Challan Master'!$D$4:$D$207,MATCH($B160,'Challan Master'!$S$4:$S$207,0)),"")&lt;=0),0,IF(IFERROR(INDEX('Challan Master'!$D$4:$D$207,MATCH($B160,'Challan Master'!$S$4:$S$207,0)),"")&lt;=DATE(YEAR(I160),MONTH(I160)+1,7),0,ROUND(K160*0.015*((YEAR(IFERROR(INDEX('Challan Master'!$D$4:$D$207,MATCH($B160,'Challan Master'!$S$4:$S$207,0)),""))-YEAR(I160))*12+(MONTH(IFERROR(INDEX('Challan Master'!$D$4:$D$207,MATCH($B160,'Challan Master'!$S$4:$S$207,0)),""))-MONTH(I160))+1),0))))</f>
      </c>
      <c r="O160" s="7">
        <f>IF($C160="","",0)</f>
      </c>
      <c r="P160" s="8"/>
      <c r="Q160" s="8"/>
      <c r="R160" s="8"/>
      <c r="S160" s="8"/>
      <c r="T160" s="8"/>
      <c r="U160" s="7">
        <f>IF($B160="","",IFERROR(INDEX('Challan Master'!$AA$4:$AA$207,MATCH($B160,'Challan Master'!$S$4:$S$207,0)),""))</f>
      </c>
    </row>
    <row r="161" spans="1:22" x14ac:dyDescent="0.25">
      <c r="A161" s="7">
        <f>IF($C161="","",COUNTIF($C$4:$C161,"&lt;&gt;"))</f>
      </c>
      <c r="B161" s="8"/>
      <c r="C161" s="8"/>
      <c r="D161" s="8"/>
      <c r="E161" s="7">
        <f>IF($C161="","",IF(AND(LEN(TRIM(UPPER(D161)))=10,CODE(MID(TRIM(UPPER(D161)),1,1))&gt;=65,CODE(MID(TRIM(UPPER(D161)),1,1))&lt;=90,CODE(MID(TRIM(UPPER(D161)),2,1))&gt;=65,CODE(MID(TRIM(UPPER(D161)),2,1))&lt;=90,CODE(MID(TRIM(UPPER(D161)),3,1))&gt;=65,CODE(MID(TRIM(UPPER(D161)),3,1))&lt;=90,CODE(MID(TRIM(UPPER(D161)),4,1))&gt;=65,CODE(MID(TRIM(UPPER(D161)),4,1))&lt;=90,CODE(MID(TRIM(UPPER(D161)),5,1))&gt;=65,CODE(MID(TRIM(UPPER(D161)),5,1))&lt;=90,CODE(MID(TRIM(UPPER(D161)),10,1))&gt;=65,CODE(MID(TRIM(UPPER(D161)),10,1))&lt;=90,CODE(MID(TRIM(UPPER(D161)),6,1))&gt;=48,CODE(MID(TRIM(UPPER(D161)),6,1))&lt;=57,CODE(MID(TRIM(UPPER(D161)),7,1))&gt;=48,CODE(MID(TRIM(UPPER(D161)),7,1))&lt;=57,CODE(MID(TRIM(UPPER(D161)),8,1))&gt;=48,CODE(MID(TRIM(UPPER(D161)),8,1))&lt;=57,CODE(MID(TRIM(UPPER(D161)),9,1))&gt;=48,CODE(MID(TRIM(UPPER(D161)),9,1))&lt;=57),"N","Y"))</f>
      </c>
      <c r="F161" s="7">
        <f>IF($C161="","",IF(LEN(D161)&lt;4,"",IF(UPPER(MID(D161,4,1))="P","Individual",IF(UPPER(MID(D161,4,1))="H","HUF",IF(UPPER(MID(D161,4,1))="C","Company",IF(UPPER(MID(D161,4,1))="F","Firm",IF(UPPER(MID(D161,4,1))="L","LLP",IF(UPPER(MID(D161,4,1))="T","Trust",IF(UPPER(MID(D161,4,1))="A","AOP","")))))))))</f>
      </c>
      <c r="G161" s="8"/>
      <c r="H161" s="7">
        <f>IF($C161="","",IF(R161&lt;&gt;"",R161,IF(G161="","",IF(E161="Y",SUMPRODUCT(('Rate Lookup'!$A$1:$A$37=G161)*'Rate Lookup'!$D$1:$D$37),IF(OR(F161="Individual",F161="HUF"),SUMPRODUCT(('Rate Lookup'!$A$1:$A$37=G161)*'Rate Lookup'!$B$1:$B$37),SUMPRODUCT(('Rate Lookup'!$A$1:$A$37=G161)*'Rate Lookup'!$C$1:$C$37)))))))</f>
      </c>
      <c r="I161" s="8"/>
      <c r="J161" s="8"/>
      <c r="K161" s="7">
        <f>IF($C161="","",IF(OR(P161="B",P161="D",P161="E",P161="N",P161="O",P161="P",P161="Q",P161="S",P161="Y",P161="Z"),0,ROUND(J161*H161/100,0)))</f>
      </c>
      <c r="L161" s="7">
        <f>IF($C161="","",0)</f>
      </c>
      <c r="M161" s="7">
        <f>IF($C161="","",0)</f>
      </c>
      <c r="N161" s="7">
        <f>IF($C161="","",IF(OR(K161=0,I161="",IFERROR(INDEX('Challan Master'!$D$4:$D$207,MATCH($B161,'Challan Master'!$S$4:$S$207,0)),"")="",IFERROR(INDEX('Challan Master'!$D$4:$D$207,MATCH($B161,'Challan Master'!$S$4:$S$207,0)),"")&lt;=0),0,IF(IFERROR(INDEX('Challan Master'!$D$4:$D$207,MATCH($B161,'Challan Master'!$S$4:$S$207,0)),"")&lt;=DATE(YEAR(I161),MONTH(I161)+1,7),0,ROUND(K161*0.015*((YEAR(IFERROR(INDEX('Challan Master'!$D$4:$D$207,MATCH($B161,'Challan Master'!$S$4:$S$207,0)),""))-YEAR(I161))*12+(MONTH(IFERROR(INDEX('Challan Master'!$D$4:$D$207,MATCH($B161,'Challan Master'!$S$4:$S$207,0)),""))-MONTH(I161))+1),0))))</f>
      </c>
      <c r="O161" s="7">
        <f>IF($C161="","",0)</f>
      </c>
      <c r="P161" s="8"/>
      <c r="Q161" s="8"/>
      <c r="R161" s="8"/>
      <c r="S161" s="8"/>
      <c r="T161" s="8"/>
      <c r="U161" s="7">
        <f>IF($B161="","",IFERROR(INDEX('Challan Master'!$AA$4:$AA$207,MATCH($B161,'Challan Master'!$S$4:$S$207,0)),""))</f>
      </c>
    </row>
    <row r="162" spans="1:22" x14ac:dyDescent="0.25">
      <c r="A162" s="7">
        <f>IF($C162="","",COUNTIF($C$4:$C162,"&lt;&gt;"))</f>
      </c>
      <c r="B162" s="8"/>
      <c r="C162" s="8"/>
      <c r="D162" s="8"/>
      <c r="E162" s="7">
        <f>IF($C162="","",IF(AND(LEN(TRIM(UPPER(D162)))=10,CODE(MID(TRIM(UPPER(D162)),1,1))&gt;=65,CODE(MID(TRIM(UPPER(D162)),1,1))&lt;=90,CODE(MID(TRIM(UPPER(D162)),2,1))&gt;=65,CODE(MID(TRIM(UPPER(D162)),2,1))&lt;=90,CODE(MID(TRIM(UPPER(D162)),3,1))&gt;=65,CODE(MID(TRIM(UPPER(D162)),3,1))&lt;=90,CODE(MID(TRIM(UPPER(D162)),4,1))&gt;=65,CODE(MID(TRIM(UPPER(D162)),4,1))&lt;=90,CODE(MID(TRIM(UPPER(D162)),5,1))&gt;=65,CODE(MID(TRIM(UPPER(D162)),5,1))&lt;=90,CODE(MID(TRIM(UPPER(D162)),10,1))&gt;=65,CODE(MID(TRIM(UPPER(D162)),10,1))&lt;=90,CODE(MID(TRIM(UPPER(D162)),6,1))&gt;=48,CODE(MID(TRIM(UPPER(D162)),6,1))&lt;=57,CODE(MID(TRIM(UPPER(D162)),7,1))&gt;=48,CODE(MID(TRIM(UPPER(D162)),7,1))&lt;=57,CODE(MID(TRIM(UPPER(D162)),8,1))&gt;=48,CODE(MID(TRIM(UPPER(D162)),8,1))&lt;=57,CODE(MID(TRIM(UPPER(D162)),9,1))&gt;=48,CODE(MID(TRIM(UPPER(D162)),9,1))&lt;=57),"N","Y"))</f>
      </c>
      <c r="F162" s="7">
        <f>IF($C162="","",IF(LEN(D162)&lt;4,"",IF(UPPER(MID(D162,4,1))="P","Individual",IF(UPPER(MID(D162,4,1))="H","HUF",IF(UPPER(MID(D162,4,1))="C","Company",IF(UPPER(MID(D162,4,1))="F","Firm",IF(UPPER(MID(D162,4,1))="L","LLP",IF(UPPER(MID(D162,4,1))="T","Trust",IF(UPPER(MID(D162,4,1))="A","AOP","")))))))))</f>
      </c>
      <c r="G162" s="8"/>
      <c r="H162" s="7">
        <f>IF($C162="","",IF(R162&lt;&gt;"",R162,IF(G162="","",IF(E162="Y",SUMPRODUCT(('Rate Lookup'!$A$1:$A$37=G162)*'Rate Lookup'!$D$1:$D$37),IF(OR(F162="Individual",F162="HUF"),SUMPRODUCT(('Rate Lookup'!$A$1:$A$37=G162)*'Rate Lookup'!$B$1:$B$37),SUMPRODUCT(('Rate Lookup'!$A$1:$A$37=G162)*'Rate Lookup'!$C$1:$C$37)))))))</f>
      </c>
      <c r="I162" s="8"/>
      <c r="J162" s="8"/>
      <c r="K162" s="7">
        <f>IF($C162="","",IF(OR(P162="B",P162="D",P162="E",P162="N",P162="O",P162="P",P162="Q",P162="S",P162="Y",P162="Z"),0,ROUND(J162*H162/100,0)))</f>
      </c>
      <c r="L162" s="7">
        <f>IF($C162="","",0)</f>
      </c>
      <c r="M162" s="7">
        <f>IF($C162="","",0)</f>
      </c>
      <c r="N162" s="7">
        <f>IF($C162="","",IF(OR(K162=0,I162="",IFERROR(INDEX('Challan Master'!$D$4:$D$207,MATCH($B162,'Challan Master'!$S$4:$S$207,0)),"")="",IFERROR(INDEX('Challan Master'!$D$4:$D$207,MATCH($B162,'Challan Master'!$S$4:$S$207,0)),"")&lt;=0),0,IF(IFERROR(INDEX('Challan Master'!$D$4:$D$207,MATCH($B162,'Challan Master'!$S$4:$S$207,0)),"")&lt;=DATE(YEAR(I162),MONTH(I162)+1,7),0,ROUND(K162*0.015*((YEAR(IFERROR(INDEX('Challan Master'!$D$4:$D$207,MATCH($B162,'Challan Master'!$S$4:$S$207,0)),""))-YEAR(I162))*12+(MONTH(IFERROR(INDEX('Challan Master'!$D$4:$D$207,MATCH($B162,'Challan Master'!$S$4:$S$207,0)),""))-MONTH(I162))+1),0))))</f>
      </c>
      <c r="O162" s="7">
        <f>IF($C162="","",0)</f>
      </c>
      <c r="P162" s="8"/>
      <c r="Q162" s="8"/>
      <c r="R162" s="8"/>
      <c r="S162" s="8"/>
      <c r="T162" s="8"/>
      <c r="U162" s="7">
        <f>IF($B162="","",IFERROR(INDEX('Challan Master'!$AA$4:$AA$207,MATCH($B162,'Challan Master'!$S$4:$S$207,0)),""))</f>
      </c>
    </row>
    <row r="163" spans="1:22" x14ac:dyDescent="0.25">
      <c r="A163" s="7">
        <f>IF($C163="","",COUNTIF($C$4:$C163,"&lt;&gt;"))</f>
      </c>
      <c r="B163" s="8"/>
      <c r="C163" s="8"/>
      <c r="D163" s="8"/>
      <c r="E163" s="7">
        <f>IF($C163="","",IF(AND(LEN(TRIM(UPPER(D163)))=10,CODE(MID(TRIM(UPPER(D163)),1,1))&gt;=65,CODE(MID(TRIM(UPPER(D163)),1,1))&lt;=90,CODE(MID(TRIM(UPPER(D163)),2,1))&gt;=65,CODE(MID(TRIM(UPPER(D163)),2,1))&lt;=90,CODE(MID(TRIM(UPPER(D163)),3,1))&gt;=65,CODE(MID(TRIM(UPPER(D163)),3,1))&lt;=90,CODE(MID(TRIM(UPPER(D163)),4,1))&gt;=65,CODE(MID(TRIM(UPPER(D163)),4,1))&lt;=90,CODE(MID(TRIM(UPPER(D163)),5,1))&gt;=65,CODE(MID(TRIM(UPPER(D163)),5,1))&lt;=90,CODE(MID(TRIM(UPPER(D163)),10,1))&gt;=65,CODE(MID(TRIM(UPPER(D163)),10,1))&lt;=90,CODE(MID(TRIM(UPPER(D163)),6,1))&gt;=48,CODE(MID(TRIM(UPPER(D163)),6,1))&lt;=57,CODE(MID(TRIM(UPPER(D163)),7,1))&gt;=48,CODE(MID(TRIM(UPPER(D163)),7,1))&lt;=57,CODE(MID(TRIM(UPPER(D163)),8,1))&gt;=48,CODE(MID(TRIM(UPPER(D163)),8,1))&lt;=57,CODE(MID(TRIM(UPPER(D163)),9,1))&gt;=48,CODE(MID(TRIM(UPPER(D163)),9,1))&lt;=57),"N","Y"))</f>
      </c>
      <c r="F163" s="7">
        <f>IF($C163="","",IF(LEN(D163)&lt;4,"",IF(UPPER(MID(D163,4,1))="P","Individual",IF(UPPER(MID(D163,4,1))="H","HUF",IF(UPPER(MID(D163,4,1))="C","Company",IF(UPPER(MID(D163,4,1))="F","Firm",IF(UPPER(MID(D163,4,1))="L","LLP",IF(UPPER(MID(D163,4,1))="T","Trust",IF(UPPER(MID(D163,4,1))="A","AOP","")))))))))</f>
      </c>
      <c r="G163" s="8"/>
      <c r="H163" s="7">
        <f>IF($C163="","",IF(R163&lt;&gt;"",R163,IF(G163="","",IF(E163="Y",SUMPRODUCT(('Rate Lookup'!$A$1:$A$37=G163)*'Rate Lookup'!$D$1:$D$37),IF(OR(F163="Individual",F163="HUF"),SUMPRODUCT(('Rate Lookup'!$A$1:$A$37=G163)*'Rate Lookup'!$B$1:$B$37),SUMPRODUCT(('Rate Lookup'!$A$1:$A$37=G163)*'Rate Lookup'!$C$1:$C$37)))))))</f>
      </c>
      <c r="I163" s="8"/>
      <c r="J163" s="8"/>
      <c r="K163" s="7">
        <f>IF($C163="","",IF(OR(P163="B",P163="D",P163="E",P163="N",P163="O",P163="P",P163="Q",P163="S",P163="Y",P163="Z"),0,ROUND(J163*H163/100,0)))</f>
      </c>
      <c r="L163" s="7">
        <f>IF($C163="","",0)</f>
      </c>
      <c r="M163" s="7">
        <f>IF($C163="","",0)</f>
      </c>
      <c r="N163" s="7">
        <f>IF($C163="","",IF(OR(K163=0,I163="",IFERROR(INDEX('Challan Master'!$D$4:$D$207,MATCH($B163,'Challan Master'!$S$4:$S$207,0)),"")="",IFERROR(INDEX('Challan Master'!$D$4:$D$207,MATCH($B163,'Challan Master'!$S$4:$S$207,0)),"")&lt;=0),0,IF(IFERROR(INDEX('Challan Master'!$D$4:$D$207,MATCH($B163,'Challan Master'!$S$4:$S$207,0)),"")&lt;=DATE(YEAR(I163),MONTH(I163)+1,7),0,ROUND(K163*0.015*((YEAR(IFERROR(INDEX('Challan Master'!$D$4:$D$207,MATCH($B163,'Challan Master'!$S$4:$S$207,0)),""))-YEAR(I163))*12+(MONTH(IFERROR(INDEX('Challan Master'!$D$4:$D$207,MATCH($B163,'Challan Master'!$S$4:$S$207,0)),""))-MONTH(I163))+1),0))))</f>
      </c>
      <c r="O163" s="7">
        <f>IF($C163="","",0)</f>
      </c>
      <c r="P163" s="8"/>
      <c r="Q163" s="8"/>
      <c r="R163" s="8"/>
      <c r="S163" s="8"/>
      <c r="T163" s="8"/>
      <c r="U163" s="7">
        <f>IF($B163="","",IFERROR(INDEX('Challan Master'!$AA$4:$AA$207,MATCH($B163,'Challan Master'!$S$4:$S$207,0)),""))</f>
      </c>
    </row>
    <row r="164" spans="1:22" x14ac:dyDescent="0.25">
      <c r="A164" s="7">
        <f>IF($C164="","",COUNTIF($C$4:$C164,"&lt;&gt;"))</f>
      </c>
      <c r="B164" s="8"/>
      <c r="C164" s="8"/>
      <c r="D164" s="8"/>
      <c r="E164" s="7">
        <f>IF($C164="","",IF(AND(LEN(TRIM(UPPER(D164)))=10,CODE(MID(TRIM(UPPER(D164)),1,1))&gt;=65,CODE(MID(TRIM(UPPER(D164)),1,1))&lt;=90,CODE(MID(TRIM(UPPER(D164)),2,1))&gt;=65,CODE(MID(TRIM(UPPER(D164)),2,1))&lt;=90,CODE(MID(TRIM(UPPER(D164)),3,1))&gt;=65,CODE(MID(TRIM(UPPER(D164)),3,1))&lt;=90,CODE(MID(TRIM(UPPER(D164)),4,1))&gt;=65,CODE(MID(TRIM(UPPER(D164)),4,1))&lt;=90,CODE(MID(TRIM(UPPER(D164)),5,1))&gt;=65,CODE(MID(TRIM(UPPER(D164)),5,1))&lt;=90,CODE(MID(TRIM(UPPER(D164)),10,1))&gt;=65,CODE(MID(TRIM(UPPER(D164)),10,1))&lt;=90,CODE(MID(TRIM(UPPER(D164)),6,1))&gt;=48,CODE(MID(TRIM(UPPER(D164)),6,1))&lt;=57,CODE(MID(TRIM(UPPER(D164)),7,1))&gt;=48,CODE(MID(TRIM(UPPER(D164)),7,1))&lt;=57,CODE(MID(TRIM(UPPER(D164)),8,1))&gt;=48,CODE(MID(TRIM(UPPER(D164)),8,1))&lt;=57,CODE(MID(TRIM(UPPER(D164)),9,1))&gt;=48,CODE(MID(TRIM(UPPER(D164)),9,1))&lt;=57),"N","Y"))</f>
      </c>
      <c r="F164" s="7">
        <f>IF($C164="","",IF(LEN(D164)&lt;4,"",IF(UPPER(MID(D164,4,1))="P","Individual",IF(UPPER(MID(D164,4,1))="H","HUF",IF(UPPER(MID(D164,4,1))="C","Company",IF(UPPER(MID(D164,4,1))="F","Firm",IF(UPPER(MID(D164,4,1))="L","LLP",IF(UPPER(MID(D164,4,1))="T","Trust",IF(UPPER(MID(D164,4,1))="A","AOP","")))))))))</f>
      </c>
      <c r="G164" s="8"/>
      <c r="H164" s="7">
        <f>IF($C164="","",IF(R164&lt;&gt;"",R164,IF(G164="","",IF(E164="Y",SUMPRODUCT(('Rate Lookup'!$A$1:$A$37=G164)*'Rate Lookup'!$D$1:$D$37),IF(OR(F164="Individual",F164="HUF"),SUMPRODUCT(('Rate Lookup'!$A$1:$A$37=G164)*'Rate Lookup'!$B$1:$B$37),SUMPRODUCT(('Rate Lookup'!$A$1:$A$37=G164)*'Rate Lookup'!$C$1:$C$37)))))))</f>
      </c>
      <c r="I164" s="8"/>
      <c r="J164" s="8"/>
      <c r="K164" s="7">
        <f>IF($C164="","",IF(OR(P164="B",P164="D",P164="E",P164="N",P164="O",P164="P",P164="Q",P164="S",P164="Y",P164="Z"),0,ROUND(J164*H164/100,0)))</f>
      </c>
      <c r="L164" s="7">
        <f>IF($C164="","",0)</f>
      </c>
      <c r="M164" s="7">
        <f>IF($C164="","",0)</f>
      </c>
      <c r="N164" s="7">
        <f>IF($C164="","",IF(OR(K164=0,I164="",IFERROR(INDEX('Challan Master'!$D$4:$D$207,MATCH($B164,'Challan Master'!$S$4:$S$207,0)),"")="",IFERROR(INDEX('Challan Master'!$D$4:$D$207,MATCH($B164,'Challan Master'!$S$4:$S$207,0)),"")&lt;=0),0,IF(IFERROR(INDEX('Challan Master'!$D$4:$D$207,MATCH($B164,'Challan Master'!$S$4:$S$207,0)),"")&lt;=DATE(YEAR(I164),MONTH(I164)+1,7),0,ROUND(K164*0.015*((YEAR(IFERROR(INDEX('Challan Master'!$D$4:$D$207,MATCH($B164,'Challan Master'!$S$4:$S$207,0)),""))-YEAR(I164))*12+(MONTH(IFERROR(INDEX('Challan Master'!$D$4:$D$207,MATCH($B164,'Challan Master'!$S$4:$S$207,0)),""))-MONTH(I164))+1),0))))</f>
      </c>
      <c r="O164" s="7">
        <f>IF($C164="","",0)</f>
      </c>
      <c r="P164" s="8"/>
      <c r="Q164" s="8"/>
      <c r="R164" s="8"/>
      <c r="S164" s="8"/>
      <c r="T164" s="8"/>
      <c r="U164" s="7">
        <f>IF($B164="","",IFERROR(INDEX('Challan Master'!$AA$4:$AA$207,MATCH($B164,'Challan Master'!$S$4:$S$207,0)),""))</f>
      </c>
    </row>
    <row r="165" spans="1:22" x14ac:dyDescent="0.25">
      <c r="A165" s="7">
        <f>IF($C165="","",COUNTIF($C$4:$C165,"&lt;&gt;"))</f>
      </c>
      <c r="B165" s="8"/>
      <c r="C165" s="8"/>
      <c r="D165" s="8"/>
      <c r="E165" s="7">
        <f>IF($C165="","",IF(AND(LEN(TRIM(UPPER(D165)))=10,CODE(MID(TRIM(UPPER(D165)),1,1))&gt;=65,CODE(MID(TRIM(UPPER(D165)),1,1))&lt;=90,CODE(MID(TRIM(UPPER(D165)),2,1))&gt;=65,CODE(MID(TRIM(UPPER(D165)),2,1))&lt;=90,CODE(MID(TRIM(UPPER(D165)),3,1))&gt;=65,CODE(MID(TRIM(UPPER(D165)),3,1))&lt;=90,CODE(MID(TRIM(UPPER(D165)),4,1))&gt;=65,CODE(MID(TRIM(UPPER(D165)),4,1))&lt;=90,CODE(MID(TRIM(UPPER(D165)),5,1))&gt;=65,CODE(MID(TRIM(UPPER(D165)),5,1))&lt;=90,CODE(MID(TRIM(UPPER(D165)),10,1))&gt;=65,CODE(MID(TRIM(UPPER(D165)),10,1))&lt;=90,CODE(MID(TRIM(UPPER(D165)),6,1))&gt;=48,CODE(MID(TRIM(UPPER(D165)),6,1))&lt;=57,CODE(MID(TRIM(UPPER(D165)),7,1))&gt;=48,CODE(MID(TRIM(UPPER(D165)),7,1))&lt;=57,CODE(MID(TRIM(UPPER(D165)),8,1))&gt;=48,CODE(MID(TRIM(UPPER(D165)),8,1))&lt;=57,CODE(MID(TRIM(UPPER(D165)),9,1))&gt;=48,CODE(MID(TRIM(UPPER(D165)),9,1))&lt;=57),"N","Y"))</f>
      </c>
      <c r="F165" s="7">
        <f>IF($C165="","",IF(LEN(D165)&lt;4,"",IF(UPPER(MID(D165,4,1))="P","Individual",IF(UPPER(MID(D165,4,1))="H","HUF",IF(UPPER(MID(D165,4,1))="C","Company",IF(UPPER(MID(D165,4,1))="F","Firm",IF(UPPER(MID(D165,4,1))="L","LLP",IF(UPPER(MID(D165,4,1))="T","Trust",IF(UPPER(MID(D165,4,1))="A","AOP","")))))))))</f>
      </c>
      <c r="G165" s="8"/>
      <c r="H165" s="7">
        <f>IF($C165="","",IF(R165&lt;&gt;"",R165,IF(G165="","",IF(E165="Y",SUMPRODUCT(('Rate Lookup'!$A$1:$A$37=G165)*'Rate Lookup'!$D$1:$D$37),IF(OR(F165="Individual",F165="HUF"),SUMPRODUCT(('Rate Lookup'!$A$1:$A$37=G165)*'Rate Lookup'!$B$1:$B$37),SUMPRODUCT(('Rate Lookup'!$A$1:$A$37=G165)*'Rate Lookup'!$C$1:$C$37)))))))</f>
      </c>
      <c r="I165" s="8"/>
      <c r="J165" s="8"/>
      <c r="K165" s="7">
        <f>IF($C165="","",IF(OR(P165="B",P165="D",P165="E",P165="N",P165="O",P165="P",P165="Q",P165="S",P165="Y",P165="Z"),0,ROUND(J165*H165/100,0)))</f>
      </c>
      <c r="L165" s="7">
        <f>IF($C165="","",0)</f>
      </c>
      <c r="M165" s="7">
        <f>IF($C165="","",0)</f>
      </c>
      <c r="N165" s="7">
        <f>IF($C165="","",IF(OR(K165=0,I165="",IFERROR(INDEX('Challan Master'!$D$4:$D$207,MATCH($B165,'Challan Master'!$S$4:$S$207,0)),"")="",IFERROR(INDEX('Challan Master'!$D$4:$D$207,MATCH($B165,'Challan Master'!$S$4:$S$207,0)),"")&lt;=0),0,IF(IFERROR(INDEX('Challan Master'!$D$4:$D$207,MATCH($B165,'Challan Master'!$S$4:$S$207,0)),"")&lt;=DATE(YEAR(I165),MONTH(I165)+1,7),0,ROUND(K165*0.015*((YEAR(IFERROR(INDEX('Challan Master'!$D$4:$D$207,MATCH($B165,'Challan Master'!$S$4:$S$207,0)),""))-YEAR(I165))*12+(MONTH(IFERROR(INDEX('Challan Master'!$D$4:$D$207,MATCH($B165,'Challan Master'!$S$4:$S$207,0)),""))-MONTH(I165))+1),0))))</f>
      </c>
      <c r="O165" s="7">
        <f>IF($C165="","",0)</f>
      </c>
      <c r="P165" s="8"/>
      <c r="Q165" s="8"/>
      <c r="R165" s="8"/>
      <c r="S165" s="8"/>
      <c r="T165" s="8"/>
      <c r="U165" s="7">
        <f>IF($B165="","",IFERROR(INDEX('Challan Master'!$AA$4:$AA$207,MATCH($B165,'Challan Master'!$S$4:$S$207,0)),""))</f>
      </c>
    </row>
    <row r="166" spans="1:22" x14ac:dyDescent="0.25">
      <c r="A166" s="7">
        <f>IF($C166="","",COUNTIF($C$4:$C166,"&lt;&gt;"))</f>
      </c>
      <c r="B166" s="8"/>
      <c r="C166" s="8"/>
      <c r="D166" s="8"/>
      <c r="E166" s="7">
        <f>IF($C166="","",IF(AND(LEN(TRIM(UPPER(D166)))=10,CODE(MID(TRIM(UPPER(D166)),1,1))&gt;=65,CODE(MID(TRIM(UPPER(D166)),1,1))&lt;=90,CODE(MID(TRIM(UPPER(D166)),2,1))&gt;=65,CODE(MID(TRIM(UPPER(D166)),2,1))&lt;=90,CODE(MID(TRIM(UPPER(D166)),3,1))&gt;=65,CODE(MID(TRIM(UPPER(D166)),3,1))&lt;=90,CODE(MID(TRIM(UPPER(D166)),4,1))&gt;=65,CODE(MID(TRIM(UPPER(D166)),4,1))&lt;=90,CODE(MID(TRIM(UPPER(D166)),5,1))&gt;=65,CODE(MID(TRIM(UPPER(D166)),5,1))&lt;=90,CODE(MID(TRIM(UPPER(D166)),10,1))&gt;=65,CODE(MID(TRIM(UPPER(D166)),10,1))&lt;=90,CODE(MID(TRIM(UPPER(D166)),6,1))&gt;=48,CODE(MID(TRIM(UPPER(D166)),6,1))&lt;=57,CODE(MID(TRIM(UPPER(D166)),7,1))&gt;=48,CODE(MID(TRIM(UPPER(D166)),7,1))&lt;=57,CODE(MID(TRIM(UPPER(D166)),8,1))&gt;=48,CODE(MID(TRIM(UPPER(D166)),8,1))&lt;=57,CODE(MID(TRIM(UPPER(D166)),9,1))&gt;=48,CODE(MID(TRIM(UPPER(D166)),9,1))&lt;=57),"N","Y"))</f>
      </c>
      <c r="F166" s="7">
        <f>IF($C166="","",IF(LEN(D166)&lt;4,"",IF(UPPER(MID(D166,4,1))="P","Individual",IF(UPPER(MID(D166,4,1))="H","HUF",IF(UPPER(MID(D166,4,1))="C","Company",IF(UPPER(MID(D166,4,1))="F","Firm",IF(UPPER(MID(D166,4,1))="L","LLP",IF(UPPER(MID(D166,4,1))="T","Trust",IF(UPPER(MID(D166,4,1))="A","AOP","")))))))))</f>
      </c>
      <c r="G166" s="8"/>
      <c r="H166" s="7">
        <f>IF($C166="","",IF(R166&lt;&gt;"",R166,IF(G166="","",IF(E166="Y",SUMPRODUCT(('Rate Lookup'!$A$1:$A$37=G166)*'Rate Lookup'!$D$1:$D$37),IF(OR(F166="Individual",F166="HUF"),SUMPRODUCT(('Rate Lookup'!$A$1:$A$37=G166)*'Rate Lookup'!$B$1:$B$37),SUMPRODUCT(('Rate Lookup'!$A$1:$A$37=G166)*'Rate Lookup'!$C$1:$C$37)))))))</f>
      </c>
      <c r="I166" s="8"/>
      <c r="J166" s="8"/>
      <c r="K166" s="7">
        <f>IF($C166="","",IF(OR(P166="B",P166="D",P166="E",P166="N",P166="O",P166="P",P166="Q",P166="S",P166="Y",P166="Z"),0,ROUND(J166*H166/100,0)))</f>
      </c>
      <c r="L166" s="7">
        <f>IF($C166="","",0)</f>
      </c>
      <c r="M166" s="7">
        <f>IF($C166="","",0)</f>
      </c>
      <c r="N166" s="7">
        <f>IF($C166="","",IF(OR(K166=0,I166="",IFERROR(INDEX('Challan Master'!$D$4:$D$207,MATCH($B166,'Challan Master'!$S$4:$S$207,0)),"")="",IFERROR(INDEX('Challan Master'!$D$4:$D$207,MATCH($B166,'Challan Master'!$S$4:$S$207,0)),"")&lt;=0),0,IF(IFERROR(INDEX('Challan Master'!$D$4:$D$207,MATCH($B166,'Challan Master'!$S$4:$S$207,0)),"")&lt;=DATE(YEAR(I166),MONTH(I166)+1,7),0,ROUND(K166*0.015*((YEAR(IFERROR(INDEX('Challan Master'!$D$4:$D$207,MATCH($B166,'Challan Master'!$S$4:$S$207,0)),""))-YEAR(I166))*12+(MONTH(IFERROR(INDEX('Challan Master'!$D$4:$D$207,MATCH($B166,'Challan Master'!$S$4:$S$207,0)),""))-MONTH(I166))+1),0))))</f>
      </c>
      <c r="O166" s="7">
        <f>IF($C166="","",0)</f>
      </c>
      <c r="P166" s="8"/>
      <c r="Q166" s="8"/>
      <c r="R166" s="8"/>
      <c r="S166" s="8"/>
      <c r="T166" s="8"/>
      <c r="U166" s="7">
        <f>IF($B166="","",IFERROR(INDEX('Challan Master'!$AA$4:$AA$207,MATCH($B166,'Challan Master'!$S$4:$S$207,0)),""))</f>
      </c>
    </row>
    <row r="167" spans="1:22" x14ac:dyDescent="0.25">
      <c r="A167" s="7">
        <f>IF($C167="","",COUNTIF($C$4:$C167,"&lt;&gt;"))</f>
      </c>
      <c r="B167" s="8"/>
      <c r="C167" s="8"/>
      <c r="D167" s="8"/>
      <c r="E167" s="7">
        <f>IF($C167="","",IF(AND(LEN(TRIM(UPPER(D167)))=10,CODE(MID(TRIM(UPPER(D167)),1,1))&gt;=65,CODE(MID(TRIM(UPPER(D167)),1,1))&lt;=90,CODE(MID(TRIM(UPPER(D167)),2,1))&gt;=65,CODE(MID(TRIM(UPPER(D167)),2,1))&lt;=90,CODE(MID(TRIM(UPPER(D167)),3,1))&gt;=65,CODE(MID(TRIM(UPPER(D167)),3,1))&lt;=90,CODE(MID(TRIM(UPPER(D167)),4,1))&gt;=65,CODE(MID(TRIM(UPPER(D167)),4,1))&lt;=90,CODE(MID(TRIM(UPPER(D167)),5,1))&gt;=65,CODE(MID(TRIM(UPPER(D167)),5,1))&lt;=90,CODE(MID(TRIM(UPPER(D167)),10,1))&gt;=65,CODE(MID(TRIM(UPPER(D167)),10,1))&lt;=90,CODE(MID(TRIM(UPPER(D167)),6,1))&gt;=48,CODE(MID(TRIM(UPPER(D167)),6,1))&lt;=57,CODE(MID(TRIM(UPPER(D167)),7,1))&gt;=48,CODE(MID(TRIM(UPPER(D167)),7,1))&lt;=57,CODE(MID(TRIM(UPPER(D167)),8,1))&gt;=48,CODE(MID(TRIM(UPPER(D167)),8,1))&lt;=57,CODE(MID(TRIM(UPPER(D167)),9,1))&gt;=48,CODE(MID(TRIM(UPPER(D167)),9,1))&lt;=57),"N","Y"))</f>
      </c>
      <c r="F167" s="7">
        <f>IF($C167="","",IF(LEN(D167)&lt;4,"",IF(UPPER(MID(D167,4,1))="P","Individual",IF(UPPER(MID(D167,4,1))="H","HUF",IF(UPPER(MID(D167,4,1))="C","Company",IF(UPPER(MID(D167,4,1))="F","Firm",IF(UPPER(MID(D167,4,1))="L","LLP",IF(UPPER(MID(D167,4,1))="T","Trust",IF(UPPER(MID(D167,4,1))="A","AOP","")))))))))</f>
      </c>
      <c r="G167" s="8"/>
      <c r="H167" s="7">
        <f>IF($C167="","",IF(R167&lt;&gt;"",R167,IF(G167="","",IF(E167="Y",SUMPRODUCT(('Rate Lookup'!$A$1:$A$37=G167)*'Rate Lookup'!$D$1:$D$37),IF(OR(F167="Individual",F167="HUF"),SUMPRODUCT(('Rate Lookup'!$A$1:$A$37=G167)*'Rate Lookup'!$B$1:$B$37),SUMPRODUCT(('Rate Lookup'!$A$1:$A$37=G167)*'Rate Lookup'!$C$1:$C$37)))))))</f>
      </c>
      <c r="I167" s="8"/>
      <c r="J167" s="8"/>
      <c r="K167" s="7">
        <f>IF($C167="","",IF(OR(P167="B",P167="D",P167="E",P167="N",P167="O",P167="P",P167="Q",P167="S",P167="Y",P167="Z"),0,ROUND(J167*H167/100,0)))</f>
      </c>
      <c r="L167" s="7">
        <f>IF($C167="","",0)</f>
      </c>
      <c r="M167" s="7">
        <f>IF($C167="","",0)</f>
      </c>
      <c r="N167" s="7">
        <f>IF($C167="","",IF(OR(K167=0,I167="",IFERROR(INDEX('Challan Master'!$D$4:$D$207,MATCH($B167,'Challan Master'!$S$4:$S$207,0)),"")="",IFERROR(INDEX('Challan Master'!$D$4:$D$207,MATCH($B167,'Challan Master'!$S$4:$S$207,0)),"")&lt;=0),0,IF(IFERROR(INDEX('Challan Master'!$D$4:$D$207,MATCH($B167,'Challan Master'!$S$4:$S$207,0)),"")&lt;=DATE(YEAR(I167),MONTH(I167)+1,7),0,ROUND(K167*0.015*((YEAR(IFERROR(INDEX('Challan Master'!$D$4:$D$207,MATCH($B167,'Challan Master'!$S$4:$S$207,0)),""))-YEAR(I167))*12+(MONTH(IFERROR(INDEX('Challan Master'!$D$4:$D$207,MATCH($B167,'Challan Master'!$S$4:$S$207,0)),""))-MONTH(I167))+1),0))))</f>
      </c>
      <c r="O167" s="7">
        <f>IF($C167="","",0)</f>
      </c>
      <c r="P167" s="8"/>
      <c r="Q167" s="8"/>
      <c r="R167" s="8"/>
      <c r="S167" s="8"/>
      <c r="T167" s="8"/>
      <c r="U167" s="7">
        <f>IF($B167="","",IFERROR(INDEX('Challan Master'!$AA$4:$AA$207,MATCH($B167,'Challan Master'!$S$4:$S$207,0)),""))</f>
      </c>
    </row>
    <row r="168" spans="1:22" x14ac:dyDescent="0.25">
      <c r="A168" s="7">
        <f>IF($C168="","",COUNTIF($C$4:$C168,"&lt;&gt;"))</f>
      </c>
      <c r="B168" s="8"/>
      <c r="C168" s="8"/>
      <c r="D168" s="8"/>
      <c r="E168" s="7">
        <f>IF($C168="","",IF(AND(LEN(TRIM(UPPER(D168)))=10,CODE(MID(TRIM(UPPER(D168)),1,1))&gt;=65,CODE(MID(TRIM(UPPER(D168)),1,1))&lt;=90,CODE(MID(TRIM(UPPER(D168)),2,1))&gt;=65,CODE(MID(TRIM(UPPER(D168)),2,1))&lt;=90,CODE(MID(TRIM(UPPER(D168)),3,1))&gt;=65,CODE(MID(TRIM(UPPER(D168)),3,1))&lt;=90,CODE(MID(TRIM(UPPER(D168)),4,1))&gt;=65,CODE(MID(TRIM(UPPER(D168)),4,1))&lt;=90,CODE(MID(TRIM(UPPER(D168)),5,1))&gt;=65,CODE(MID(TRIM(UPPER(D168)),5,1))&lt;=90,CODE(MID(TRIM(UPPER(D168)),10,1))&gt;=65,CODE(MID(TRIM(UPPER(D168)),10,1))&lt;=90,CODE(MID(TRIM(UPPER(D168)),6,1))&gt;=48,CODE(MID(TRIM(UPPER(D168)),6,1))&lt;=57,CODE(MID(TRIM(UPPER(D168)),7,1))&gt;=48,CODE(MID(TRIM(UPPER(D168)),7,1))&lt;=57,CODE(MID(TRIM(UPPER(D168)),8,1))&gt;=48,CODE(MID(TRIM(UPPER(D168)),8,1))&lt;=57,CODE(MID(TRIM(UPPER(D168)),9,1))&gt;=48,CODE(MID(TRIM(UPPER(D168)),9,1))&lt;=57),"N","Y"))</f>
      </c>
      <c r="F168" s="7">
        <f>IF($C168="","",IF(LEN(D168)&lt;4,"",IF(UPPER(MID(D168,4,1))="P","Individual",IF(UPPER(MID(D168,4,1))="H","HUF",IF(UPPER(MID(D168,4,1))="C","Company",IF(UPPER(MID(D168,4,1))="F","Firm",IF(UPPER(MID(D168,4,1))="L","LLP",IF(UPPER(MID(D168,4,1))="T","Trust",IF(UPPER(MID(D168,4,1))="A","AOP","")))))))))</f>
      </c>
      <c r="G168" s="8"/>
      <c r="H168" s="7">
        <f>IF($C168="","",IF(R168&lt;&gt;"",R168,IF(G168="","",IF(E168="Y",SUMPRODUCT(('Rate Lookup'!$A$1:$A$37=G168)*'Rate Lookup'!$D$1:$D$37),IF(OR(F168="Individual",F168="HUF"),SUMPRODUCT(('Rate Lookup'!$A$1:$A$37=G168)*'Rate Lookup'!$B$1:$B$37),SUMPRODUCT(('Rate Lookup'!$A$1:$A$37=G168)*'Rate Lookup'!$C$1:$C$37)))))))</f>
      </c>
      <c r="I168" s="8"/>
      <c r="J168" s="8"/>
      <c r="K168" s="7">
        <f>IF($C168="","",IF(OR(P168="B",P168="D",P168="E",P168="N",P168="O",P168="P",P168="Q",P168="S",P168="Y",P168="Z"),0,ROUND(J168*H168/100,0)))</f>
      </c>
      <c r="L168" s="7">
        <f>IF($C168="","",0)</f>
      </c>
      <c r="M168" s="7">
        <f>IF($C168="","",0)</f>
      </c>
      <c r="N168" s="7">
        <f>IF($C168="","",IF(OR(K168=0,I168="",IFERROR(INDEX('Challan Master'!$D$4:$D$207,MATCH($B168,'Challan Master'!$S$4:$S$207,0)),"")="",IFERROR(INDEX('Challan Master'!$D$4:$D$207,MATCH($B168,'Challan Master'!$S$4:$S$207,0)),"")&lt;=0),0,IF(IFERROR(INDEX('Challan Master'!$D$4:$D$207,MATCH($B168,'Challan Master'!$S$4:$S$207,0)),"")&lt;=DATE(YEAR(I168),MONTH(I168)+1,7),0,ROUND(K168*0.015*((YEAR(IFERROR(INDEX('Challan Master'!$D$4:$D$207,MATCH($B168,'Challan Master'!$S$4:$S$207,0)),""))-YEAR(I168))*12+(MONTH(IFERROR(INDEX('Challan Master'!$D$4:$D$207,MATCH($B168,'Challan Master'!$S$4:$S$207,0)),""))-MONTH(I168))+1),0))))</f>
      </c>
      <c r="O168" s="7">
        <f>IF($C168="","",0)</f>
      </c>
      <c r="P168" s="8"/>
      <c r="Q168" s="8"/>
      <c r="R168" s="8"/>
      <c r="S168" s="8"/>
      <c r="T168" s="8"/>
      <c r="U168" s="7">
        <f>IF($B168="","",IFERROR(INDEX('Challan Master'!$AA$4:$AA$207,MATCH($B168,'Challan Master'!$S$4:$S$207,0)),""))</f>
      </c>
    </row>
    <row r="169" spans="1:22" x14ac:dyDescent="0.25">
      <c r="A169" s="7">
        <f>IF($C169="","",COUNTIF($C$4:$C169,"&lt;&gt;"))</f>
      </c>
      <c r="B169" s="8"/>
      <c r="C169" s="8"/>
      <c r="D169" s="8"/>
      <c r="E169" s="7">
        <f>IF($C169="","",IF(AND(LEN(TRIM(UPPER(D169)))=10,CODE(MID(TRIM(UPPER(D169)),1,1))&gt;=65,CODE(MID(TRIM(UPPER(D169)),1,1))&lt;=90,CODE(MID(TRIM(UPPER(D169)),2,1))&gt;=65,CODE(MID(TRIM(UPPER(D169)),2,1))&lt;=90,CODE(MID(TRIM(UPPER(D169)),3,1))&gt;=65,CODE(MID(TRIM(UPPER(D169)),3,1))&lt;=90,CODE(MID(TRIM(UPPER(D169)),4,1))&gt;=65,CODE(MID(TRIM(UPPER(D169)),4,1))&lt;=90,CODE(MID(TRIM(UPPER(D169)),5,1))&gt;=65,CODE(MID(TRIM(UPPER(D169)),5,1))&lt;=90,CODE(MID(TRIM(UPPER(D169)),10,1))&gt;=65,CODE(MID(TRIM(UPPER(D169)),10,1))&lt;=90,CODE(MID(TRIM(UPPER(D169)),6,1))&gt;=48,CODE(MID(TRIM(UPPER(D169)),6,1))&lt;=57,CODE(MID(TRIM(UPPER(D169)),7,1))&gt;=48,CODE(MID(TRIM(UPPER(D169)),7,1))&lt;=57,CODE(MID(TRIM(UPPER(D169)),8,1))&gt;=48,CODE(MID(TRIM(UPPER(D169)),8,1))&lt;=57,CODE(MID(TRIM(UPPER(D169)),9,1))&gt;=48,CODE(MID(TRIM(UPPER(D169)),9,1))&lt;=57),"N","Y"))</f>
      </c>
      <c r="F169" s="7">
        <f>IF($C169="","",IF(LEN(D169)&lt;4,"",IF(UPPER(MID(D169,4,1))="P","Individual",IF(UPPER(MID(D169,4,1))="H","HUF",IF(UPPER(MID(D169,4,1))="C","Company",IF(UPPER(MID(D169,4,1))="F","Firm",IF(UPPER(MID(D169,4,1))="L","LLP",IF(UPPER(MID(D169,4,1))="T","Trust",IF(UPPER(MID(D169,4,1))="A","AOP","")))))))))</f>
      </c>
      <c r="G169" s="8"/>
      <c r="H169" s="7">
        <f>IF($C169="","",IF(R169&lt;&gt;"",R169,IF(G169="","",IF(E169="Y",SUMPRODUCT(('Rate Lookup'!$A$1:$A$37=G169)*'Rate Lookup'!$D$1:$D$37),IF(OR(F169="Individual",F169="HUF"),SUMPRODUCT(('Rate Lookup'!$A$1:$A$37=G169)*'Rate Lookup'!$B$1:$B$37),SUMPRODUCT(('Rate Lookup'!$A$1:$A$37=G169)*'Rate Lookup'!$C$1:$C$37)))))))</f>
      </c>
      <c r="I169" s="8"/>
      <c r="J169" s="8"/>
      <c r="K169" s="7">
        <f>IF($C169="","",IF(OR(P169="B",P169="D",P169="E",P169="N",P169="O",P169="P",P169="Q",P169="S",P169="Y",P169="Z"),0,ROUND(J169*H169/100,0)))</f>
      </c>
      <c r="L169" s="7">
        <f>IF($C169="","",0)</f>
      </c>
      <c r="M169" s="7">
        <f>IF($C169="","",0)</f>
      </c>
      <c r="N169" s="7">
        <f>IF($C169="","",IF(OR(K169=0,I169="",IFERROR(INDEX('Challan Master'!$D$4:$D$207,MATCH($B169,'Challan Master'!$S$4:$S$207,0)),"")="",IFERROR(INDEX('Challan Master'!$D$4:$D$207,MATCH($B169,'Challan Master'!$S$4:$S$207,0)),"")&lt;=0),0,IF(IFERROR(INDEX('Challan Master'!$D$4:$D$207,MATCH($B169,'Challan Master'!$S$4:$S$207,0)),"")&lt;=DATE(YEAR(I169),MONTH(I169)+1,7),0,ROUND(K169*0.015*((YEAR(IFERROR(INDEX('Challan Master'!$D$4:$D$207,MATCH($B169,'Challan Master'!$S$4:$S$207,0)),""))-YEAR(I169))*12+(MONTH(IFERROR(INDEX('Challan Master'!$D$4:$D$207,MATCH($B169,'Challan Master'!$S$4:$S$207,0)),""))-MONTH(I169))+1),0))))</f>
      </c>
      <c r="O169" s="7">
        <f>IF($C169="","",0)</f>
      </c>
      <c r="P169" s="8"/>
      <c r="Q169" s="8"/>
      <c r="R169" s="8"/>
      <c r="S169" s="8"/>
      <c r="T169" s="8"/>
      <c r="U169" s="7">
        <f>IF($B169="","",IFERROR(INDEX('Challan Master'!$AA$4:$AA$207,MATCH($B169,'Challan Master'!$S$4:$S$207,0)),""))</f>
      </c>
    </row>
    <row r="170" spans="1:22" x14ac:dyDescent="0.25">
      <c r="A170" s="7">
        <f>IF($C170="","",COUNTIF($C$4:$C170,"&lt;&gt;"))</f>
      </c>
      <c r="B170" s="8"/>
      <c r="C170" s="8"/>
      <c r="D170" s="8"/>
      <c r="E170" s="7">
        <f>IF($C170="","",IF(AND(LEN(TRIM(UPPER(D170)))=10,CODE(MID(TRIM(UPPER(D170)),1,1))&gt;=65,CODE(MID(TRIM(UPPER(D170)),1,1))&lt;=90,CODE(MID(TRIM(UPPER(D170)),2,1))&gt;=65,CODE(MID(TRIM(UPPER(D170)),2,1))&lt;=90,CODE(MID(TRIM(UPPER(D170)),3,1))&gt;=65,CODE(MID(TRIM(UPPER(D170)),3,1))&lt;=90,CODE(MID(TRIM(UPPER(D170)),4,1))&gt;=65,CODE(MID(TRIM(UPPER(D170)),4,1))&lt;=90,CODE(MID(TRIM(UPPER(D170)),5,1))&gt;=65,CODE(MID(TRIM(UPPER(D170)),5,1))&lt;=90,CODE(MID(TRIM(UPPER(D170)),10,1))&gt;=65,CODE(MID(TRIM(UPPER(D170)),10,1))&lt;=90,CODE(MID(TRIM(UPPER(D170)),6,1))&gt;=48,CODE(MID(TRIM(UPPER(D170)),6,1))&lt;=57,CODE(MID(TRIM(UPPER(D170)),7,1))&gt;=48,CODE(MID(TRIM(UPPER(D170)),7,1))&lt;=57,CODE(MID(TRIM(UPPER(D170)),8,1))&gt;=48,CODE(MID(TRIM(UPPER(D170)),8,1))&lt;=57,CODE(MID(TRIM(UPPER(D170)),9,1))&gt;=48,CODE(MID(TRIM(UPPER(D170)),9,1))&lt;=57),"N","Y"))</f>
      </c>
      <c r="F170" s="7">
        <f>IF($C170="","",IF(LEN(D170)&lt;4,"",IF(UPPER(MID(D170,4,1))="P","Individual",IF(UPPER(MID(D170,4,1))="H","HUF",IF(UPPER(MID(D170,4,1))="C","Company",IF(UPPER(MID(D170,4,1))="F","Firm",IF(UPPER(MID(D170,4,1))="L","LLP",IF(UPPER(MID(D170,4,1))="T","Trust",IF(UPPER(MID(D170,4,1))="A","AOP","")))))))))</f>
      </c>
      <c r="G170" s="8"/>
      <c r="H170" s="7">
        <f>IF($C170="","",IF(R170&lt;&gt;"",R170,IF(G170="","",IF(E170="Y",SUMPRODUCT(('Rate Lookup'!$A$1:$A$37=G170)*'Rate Lookup'!$D$1:$D$37),IF(OR(F170="Individual",F170="HUF"),SUMPRODUCT(('Rate Lookup'!$A$1:$A$37=G170)*'Rate Lookup'!$B$1:$B$37),SUMPRODUCT(('Rate Lookup'!$A$1:$A$37=G170)*'Rate Lookup'!$C$1:$C$37)))))))</f>
      </c>
      <c r="I170" s="8"/>
      <c r="J170" s="8"/>
      <c r="K170" s="7">
        <f>IF($C170="","",IF(OR(P170="B",P170="D",P170="E",P170="N",P170="O",P170="P",P170="Q",P170="S",P170="Y",P170="Z"),0,ROUND(J170*H170/100,0)))</f>
      </c>
      <c r="L170" s="7">
        <f>IF($C170="","",0)</f>
      </c>
      <c r="M170" s="7">
        <f>IF($C170="","",0)</f>
      </c>
      <c r="N170" s="7">
        <f>IF($C170="","",IF(OR(K170=0,I170="",IFERROR(INDEX('Challan Master'!$D$4:$D$207,MATCH($B170,'Challan Master'!$S$4:$S$207,0)),"")="",IFERROR(INDEX('Challan Master'!$D$4:$D$207,MATCH($B170,'Challan Master'!$S$4:$S$207,0)),"")&lt;=0),0,IF(IFERROR(INDEX('Challan Master'!$D$4:$D$207,MATCH($B170,'Challan Master'!$S$4:$S$207,0)),"")&lt;=DATE(YEAR(I170),MONTH(I170)+1,7),0,ROUND(K170*0.015*((YEAR(IFERROR(INDEX('Challan Master'!$D$4:$D$207,MATCH($B170,'Challan Master'!$S$4:$S$207,0)),""))-YEAR(I170))*12+(MONTH(IFERROR(INDEX('Challan Master'!$D$4:$D$207,MATCH($B170,'Challan Master'!$S$4:$S$207,0)),""))-MONTH(I170))+1),0))))</f>
      </c>
      <c r="O170" s="7">
        <f>IF($C170="","",0)</f>
      </c>
      <c r="P170" s="8"/>
      <c r="Q170" s="8"/>
      <c r="R170" s="8"/>
      <c r="S170" s="8"/>
      <c r="T170" s="8"/>
      <c r="U170" s="7">
        <f>IF($B170="","",IFERROR(INDEX('Challan Master'!$AA$4:$AA$207,MATCH($B170,'Challan Master'!$S$4:$S$207,0)),""))</f>
      </c>
    </row>
    <row r="171" spans="1:22" x14ac:dyDescent="0.25">
      <c r="A171" s="7">
        <f>IF($C171="","",COUNTIF($C$4:$C171,"&lt;&gt;"))</f>
      </c>
      <c r="B171" s="8"/>
      <c r="C171" s="8"/>
      <c r="D171" s="8"/>
      <c r="E171" s="7">
        <f>IF($C171="","",IF(AND(LEN(TRIM(UPPER(D171)))=10,CODE(MID(TRIM(UPPER(D171)),1,1))&gt;=65,CODE(MID(TRIM(UPPER(D171)),1,1))&lt;=90,CODE(MID(TRIM(UPPER(D171)),2,1))&gt;=65,CODE(MID(TRIM(UPPER(D171)),2,1))&lt;=90,CODE(MID(TRIM(UPPER(D171)),3,1))&gt;=65,CODE(MID(TRIM(UPPER(D171)),3,1))&lt;=90,CODE(MID(TRIM(UPPER(D171)),4,1))&gt;=65,CODE(MID(TRIM(UPPER(D171)),4,1))&lt;=90,CODE(MID(TRIM(UPPER(D171)),5,1))&gt;=65,CODE(MID(TRIM(UPPER(D171)),5,1))&lt;=90,CODE(MID(TRIM(UPPER(D171)),10,1))&gt;=65,CODE(MID(TRIM(UPPER(D171)),10,1))&lt;=90,CODE(MID(TRIM(UPPER(D171)),6,1))&gt;=48,CODE(MID(TRIM(UPPER(D171)),6,1))&lt;=57,CODE(MID(TRIM(UPPER(D171)),7,1))&gt;=48,CODE(MID(TRIM(UPPER(D171)),7,1))&lt;=57,CODE(MID(TRIM(UPPER(D171)),8,1))&gt;=48,CODE(MID(TRIM(UPPER(D171)),8,1))&lt;=57,CODE(MID(TRIM(UPPER(D171)),9,1))&gt;=48,CODE(MID(TRIM(UPPER(D171)),9,1))&lt;=57),"N","Y"))</f>
      </c>
      <c r="F171" s="7">
        <f>IF($C171="","",IF(LEN(D171)&lt;4,"",IF(UPPER(MID(D171,4,1))="P","Individual",IF(UPPER(MID(D171,4,1))="H","HUF",IF(UPPER(MID(D171,4,1))="C","Company",IF(UPPER(MID(D171,4,1))="F","Firm",IF(UPPER(MID(D171,4,1))="L","LLP",IF(UPPER(MID(D171,4,1))="T","Trust",IF(UPPER(MID(D171,4,1))="A","AOP","")))))))))</f>
      </c>
      <c r="G171" s="8"/>
      <c r="H171" s="7">
        <f>IF($C171="","",IF(R171&lt;&gt;"",R171,IF(G171="","",IF(E171="Y",SUMPRODUCT(('Rate Lookup'!$A$1:$A$37=G171)*'Rate Lookup'!$D$1:$D$37),IF(OR(F171="Individual",F171="HUF"),SUMPRODUCT(('Rate Lookup'!$A$1:$A$37=G171)*'Rate Lookup'!$B$1:$B$37),SUMPRODUCT(('Rate Lookup'!$A$1:$A$37=G171)*'Rate Lookup'!$C$1:$C$37)))))))</f>
      </c>
      <c r="I171" s="8"/>
      <c r="J171" s="8"/>
      <c r="K171" s="7">
        <f>IF($C171="","",IF(OR(P171="B",P171="D",P171="E",P171="N",P171="O",P171="P",P171="Q",P171="S",P171="Y",P171="Z"),0,ROUND(J171*H171/100,0)))</f>
      </c>
      <c r="L171" s="7">
        <f>IF($C171="","",0)</f>
      </c>
      <c r="M171" s="7">
        <f>IF($C171="","",0)</f>
      </c>
      <c r="N171" s="7">
        <f>IF($C171="","",IF(OR(K171=0,I171="",IFERROR(INDEX('Challan Master'!$D$4:$D$207,MATCH($B171,'Challan Master'!$S$4:$S$207,0)),"")="",IFERROR(INDEX('Challan Master'!$D$4:$D$207,MATCH($B171,'Challan Master'!$S$4:$S$207,0)),"")&lt;=0),0,IF(IFERROR(INDEX('Challan Master'!$D$4:$D$207,MATCH($B171,'Challan Master'!$S$4:$S$207,0)),"")&lt;=DATE(YEAR(I171),MONTH(I171)+1,7),0,ROUND(K171*0.015*((YEAR(IFERROR(INDEX('Challan Master'!$D$4:$D$207,MATCH($B171,'Challan Master'!$S$4:$S$207,0)),""))-YEAR(I171))*12+(MONTH(IFERROR(INDEX('Challan Master'!$D$4:$D$207,MATCH($B171,'Challan Master'!$S$4:$S$207,0)),""))-MONTH(I171))+1),0))))</f>
      </c>
      <c r="O171" s="7">
        <f>IF($C171="","",0)</f>
      </c>
      <c r="P171" s="8"/>
      <c r="Q171" s="8"/>
      <c r="R171" s="8"/>
      <c r="S171" s="8"/>
      <c r="T171" s="8"/>
      <c r="U171" s="7">
        <f>IF($B171="","",IFERROR(INDEX('Challan Master'!$AA$4:$AA$207,MATCH($B171,'Challan Master'!$S$4:$S$207,0)),""))</f>
      </c>
    </row>
    <row r="172" spans="1:22" x14ac:dyDescent="0.25">
      <c r="A172" s="7">
        <f>IF($C172="","",COUNTIF($C$4:$C172,"&lt;&gt;"))</f>
      </c>
      <c r="B172" s="8"/>
      <c r="C172" s="8"/>
      <c r="D172" s="8"/>
      <c r="E172" s="7">
        <f>IF($C172="","",IF(AND(LEN(TRIM(UPPER(D172)))=10,CODE(MID(TRIM(UPPER(D172)),1,1))&gt;=65,CODE(MID(TRIM(UPPER(D172)),1,1))&lt;=90,CODE(MID(TRIM(UPPER(D172)),2,1))&gt;=65,CODE(MID(TRIM(UPPER(D172)),2,1))&lt;=90,CODE(MID(TRIM(UPPER(D172)),3,1))&gt;=65,CODE(MID(TRIM(UPPER(D172)),3,1))&lt;=90,CODE(MID(TRIM(UPPER(D172)),4,1))&gt;=65,CODE(MID(TRIM(UPPER(D172)),4,1))&lt;=90,CODE(MID(TRIM(UPPER(D172)),5,1))&gt;=65,CODE(MID(TRIM(UPPER(D172)),5,1))&lt;=90,CODE(MID(TRIM(UPPER(D172)),10,1))&gt;=65,CODE(MID(TRIM(UPPER(D172)),10,1))&lt;=90,CODE(MID(TRIM(UPPER(D172)),6,1))&gt;=48,CODE(MID(TRIM(UPPER(D172)),6,1))&lt;=57,CODE(MID(TRIM(UPPER(D172)),7,1))&gt;=48,CODE(MID(TRIM(UPPER(D172)),7,1))&lt;=57,CODE(MID(TRIM(UPPER(D172)),8,1))&gt;=48,CODE(MID(TRIM(UPPER(D172)),8,1))&lt;=57,CODE(MID(TRIM(UPPER(D172)),9,1))&gt;=48,CODE(MID(TRIM(UPPER(D172)),9,1))&lt;=57),"N","Y"))</f>
      </c>
      <c r="F172" s="7">
        <f>IF($C172="","",IF(LEN(D172)&lt;4,"",IF(UPPER(MID(D172,4,1))="P","Individual",IF(UPPER(MID(D172,4,1))="H","HUF",IF(UPPER(MID(D172,4,1))="C","Company",IF(UPPER(MID(D172,4,1))="F","Firm",IF(UPPER(MID(D172,4,1))="L","LLP",IF(UPPER(MID(D172,4,1))="T","Trust",IF(UPPER(MID(D172,4,1))="A","AOP","")))))))))</f>
      </c>
      <c r="G172" s="8"/>
      <c r="H172" s="7">
        <f>IF($C172="","",IF(R172&lt;&gt;"",R172,IF(G172="","",IF(E172="Y",SUMPRODUCT(('Rate Lookup'!$A$1:$A$37=G172)*'Rate Lookup'!$D$1:$D$37),IF(OR(F172="Individual",F172="HUF"),SUMPRODUCT(('Rate Lookup'!$A$1:$A$37=G172)*'Rate Lookup'!$B$1:$B$37),SUMPRODUCT(('Rate Lookup'!$A$1:$A$37=G172)*'Rate Lookup'!$C$1:$C$37)))))))</f>
      </c>
      <c r="I172" s="8"/>
      <c r="J172" s="8"/>
      <c r="K172" s="7">
        <f>IF($C172="","",IF(OR(P172="B",P172="D",P172="E",P172="N",P172="O",P172="P",P172="Q",P172="S",P172="Y",P172="Z"),0,ROUND(J172*H172/100,0)))</f>
      </c>
      <c r="L172" s="7">
        <f>IF($C172="","",0)</f>
      </c>
      <c r="M172" s="7">
        <f>IF($C172="","",0)</f>
      </c>
      <c r="N172" s="7">
        <f>IF($C172="","",IF(OR(K172=0,I172="",IFERROR(INDEX('Challan Master'!$D$4:$D$207,MATCH($B172,'Challan Master'!$S$4:$S$207,0)),"")="",IFERROR(INDEX('Challan Master'!$D$4:$D$207,MATCH($B172,'Challan Master'!$S$4:$S$207,0)),"")&lt;=0),0,IF(IFERROR(INDEX('Challan Master'!$D$4:$D$207,MATCH($B172,'Challan Master'!$S$4:$S$207,0)),"")&lt;=DATE(YEAR(I172),MONTH(I172)+1,7),0,ROUND(K172*0.015*((YEAR(IFERROR(INDEX('Challan Master'!$D$4:$D$207,MATCH($B172,'Challan Master'!$S$4:$S$207,0)),""))-YEAR(I172))*12+(MONTH(IFERROR(INDEX('Challan Master'!$D$4:$D$207,MATCH($B172,'Challan Master'!$S$4:$S$207,0)),""))-MONTH(I172))+1),0))))</f>
      </c>
      <c r="O172" s="7">
        <f>IF($C172="","",0)</f>
      </c>
      <c r="P172" s="8"/>
      <c r="Q172" s="8"/>
      <c r="R172" s="8"/>
      <c r="S172" s="8"/>
      <c r="T172" s="8"/>
      <c r="U172" s="7">
        <f>IF($B172="","",IFERROR(INDEX('Challan Master'!$AA$4:$AA$207,MATCH($B172,'Challan Master'!$S$4:$S$207,0)),""))</f>
      </c>
    </row>
    <row r="173" spans="1:22" x14ac:dyDescent="0.25">
      <c r="A173" s="7">
        <f>IF($C173="","",COUNTIF($C$4:$C173,"&lt;&gt;"))</f>
      </c>
      <c r="B173" s="8"/>
      <c r="C173" s="8"/>
      <c r="D173" s="8"/>
      <c r="E173" s="7">
        <f>IF($C173="","",IF(AND(LEN(TRIM(UPPER(D173)))=10,CODE(MID(TRIM(UPPER(D173)),1,1))&gt;=65,CODE(MID(TRIM(UPPER(D173)),1,1))&lt;=90,CODE(MID(TRIM(UPPER(D173)),2,1))&gt;=65,CODE(MID(TRIM(UPPER(D173)),2,1))&lt;=90,CODE(MID(TRIM(UPPER(D173)),3,1))&gt;=65,CODE(MID(TRIM(UPPER(D173)),3,1))&lt;=90,CODE(MID(TRIM(UPPER(D173)),4,1))&gt;=65,CODE(MID(TRIM(UPPER(D173)),4,1))&lt;=90,CODE(MID(TRIM(UPPER(D173)),5,1))&gt;=65,CODE(MID(TRIM(UPPER(D173)),5,1))&lt;=90,CODE(MID(TRIM(UPPER(D173)),10,1))&gt;=65,CODE(MID(TRIM(UPPER(D173)),10,1))&lt;=90,CODE(MID(TRIM(UPPER(D173)),6,1))&gt;=48,CODE(MID(TRIM(UPPER(D173)),6,1))&lt;=57,CODE(MID(TRIM(UPPER(D173)),7,1))&gt;=48,CODE(MID(TRIM(UPPER(D173)),7,1))&lt;=57,CODE(MID(TRIM(UPPER(D173)),8,1))&gt;=48,CODE(MID(TRIM(UPPER(D173)),8,1))&lt;=57,CODE(MID(TRIM(UPPER(D173)),9,1))&gt;=48,CODE(MID(TRIM(UPPER(D173)),9,1))&lt;=57),"N","Y"))</f>
      </c>
      <c r="F173" s="7">
        <f>IF($C173="","",IF(LEN(D173)&lt;4,"",IF(UPPER(MID(D173,4,1))="P","Individual",IF(UPPER(MID(D173,4,1))="H","HUF",IF(UPPER(MID(D173,4,1))="C","Company",IF(UPPER(MID(D173,4,1))="F","Firm",IF(UPPER(MID(D173,4,1))="L","LLP",IF(UPPER(MID(D173,4,1))="T","Trust",IF(UPPER(MID(D173,4,1))="A","AOP","")))))))))</f>
      </c>
      <c r="G173" s="8"/>
      <c r="H173" s="7">
        <f>IF($C173="","",IF(R173&lt;&gt;"",R173,IF(G173="","",IF(E173="Y",SUMPRODUCT(('Rate Lookup'!$A$1:$A$37=G173)*'Rate Lookup'!$D$1:$D$37),IF(OR(F173="Individual",F173="HUF"),SUMPRODUCT(('Rate Lookup'!$A$1:$A$37=G173)*'Rate Lookup'!$B$1:$B$37),SUMPRODUCT(('Rate Lookup'!$A$1:$A$37=G173)*'Rate Lookup'!$C$1:$C$37)))))))</f>
      </c>
      <c r="I173" s="8"/>
      <c r="J173" s="8"/>
      <c r="K173" s="7">
        <f>IF($C173="","",IF(OR(P173="B",P173="D",P173="E",P173="N",P173="O",P173="P",P173="Q",P173="S",P173="Y",P173="Z"),0,ROUND(J173*H173/100,0)))</f>
      </c>
      <c r="L173" s="7">
        <f>IF($C173="","",0)</f>
      </c>
      <c r="M173" s="7">
        <f>IF($C173="","",0)</f>
      </c>
      <c r="N173" s="7">
        <f>IF($C173="","",IF(OR(K173=0,I173="",IFERROR(INDEX('Challan Master'!$D$4:$D$207,MATCH($B173,'Challan Master'!$S$4:$S$207,0)),"")="",IFERROR(INDEX('Challan Master'!$D$4:$D$207,MATCH($B173,'Challan Master'!$S$4:$S$207,0)),"")&lt;=0),0,IF(IFERROR(INDEX('Challan Master'!$D$4:$D$207,MATCH($B173,'Challan Master'!$S$4:$S$207,0)),"")&lt;=DATE(YEAR(I173),MONTH(I173)+1,7),0,ROUND(K173*0.015*((YEAR(IFERROR(INDEX('Challan Master'!$D$4:$D$207,MATCH($B173,'Challan Master'!$S$4:$S$207,0)),""))-YEAR(I173))*12+(MONTH(IFERROR(INDEX('Challan Master'!$D$4:$D$207,MATCH($B173,'Challan Master'!$S$4:$S$207,0)),""))-MONTH(I173))+1),0))))</f>
      </c>
      <c r="O173" s="7">
        <f>IF($C173="","",0)</f>
      </c>
      <c r="P173" s="8"/>
      <c r="Q173" s="8"/>
      <c r="R173" s="8"/>
      <c r="S173" s="8"/>
      <c r="T173" s="8"/>
      <c r="U173" s="7">
        <f>IF($B173="","",IFERROR(INDEX('Challan Master'!$AA$4:$AA$207,MATCH($B173,'Challan Master'!$S$4:$S$207,0)),""))</f>
      </c>
    </row>
    <row r="174" spans="1:22" x14ac:dyDescent="0.25">
      <c r="A174" s="7">
        <f>IF($C174="","",COUNTIF($C$4:$C174,"&lt;&gt;"))</f>
      </c>
      <c r="B174" s="8"/>
      <c r="C174" s="8"/>
      <c r="D174" s="8"/>
      <c r="E174" s="7">
        <f>IF($C174="","",IF(AND(LEN(TRIM(UPPER(D174)))=10,CODE(MID(TRIM(UPPER(D174)),1,1))&gt;=65,CODE(MID(TRIM(UPPER(D174)),1,1))&lt;=90,CODE(MID(TRIM(UPPER(D174)),2,1))&gt;=65,CODE(MID(TRIM(UPPER(D174)),2,1))&lt;=90,CODE(MID(TRIM(UPPER(D174)),3,1))&gt;=65,CODE(MID(TRIM(UPPER(D174)),3,1))&lt;=90,CODE(MID(TRIM(UPPER(D174)),4,1))&gt;=65,CODE(MID(TRIM(UPPER(D174)),4,1))&lt;=90,CODE(MID(TRIM(UPPER(D174)),5,1))&gt;=65,CODE(MID(TRIM(UPPER(D174)),5,1))&lt;=90,CODE(MID(TRIM(UPPER(D174)),10,1))&gt;=65,CODE(MID(TRIM(UPPER(D174)),10,1))&lt;=90,CODE(MID(TRIM(UPPER(D174)),6,1))&gt;=48,CODE(MID(TRIM(UPPER(D174)),6,1))&lt;=57,CODE(MID(TRIM(UPPER(D174)),7,1))&gt;=48,CODE(MID(TRIM(UPPER(D174)),7,1))&lt;=57,CODE(MID(TRIM(UPPER(D174)),8,1))&gt;=48,CODE(MID(TRIM(UPPER(D174)),8,1))&lt;=57,CODE(MID(TRIM(UPPER(D174)),9,1))&gt;=48,CODE(MID(TRIM(UPPER(D174)),9,1))&lt;=57),"N","Y"))</f>
      </c>
      <c r="F174" s="7">
        <f>IF($C174="","",IF(LEN(D174)&lt;4,"",IF(UPPER(MID(D174,4,1))="P","Individual",IF(UPPER(MID(D174,4,1))="H","HUF",IF(UPPER(MID(D174,4,1))="C","Company",IF(UPPER(MID(D174,4,1))="F","Firm",IF(UPPER(MID(D174,4,1))="L","LLP",IF(UPPER(MID(D174,4,1))="T","Trust",IF(UPPER(MID(D174,4,1))="A","AOP","")))))))))</f>
      </c>
      <c r="G174" s="8"/>
      <c r="H174" s="7">
        <f>IF($C174="","",IF(R174&lt;&gt;"",R174,IF(G174="","",IF(E174="Y",SUMPRODUCT(('Rate Lookup'!$A$1:$A$37=G174)*'Rate Lookup'!$D$1:$D$37),IF(OR(F174="Individual",F174="HUF"),SUMPRODUCT(('Rate Lookup'!$A$1:$A$37=G174)*'Rate Lookup'!$B$1:$B$37),SUMPRODUCT(('Rate Lookup'!$A$1:$A$37=G174)*'Rate Lookup'!$C$1:$C$37)))))))</f>
      </c>
      <c r="I174" s="8"/>
      <c r="J174" s="8"/>
      <c r="K174" s="7">
        <f>IF($C174="","",IF(OR(P174="B",P174="D",P174="E",P174="N",P174="O",P174="P",P174="Q",P174="S",P174="Y",P174="Z"),0,ROUND(J174*H174/100,0)))</f>
      </c>
      <c r="L174" s="7">
        <f>IF($C174="","",0)</f>
      </c>
      <c r="M174" s="7">
        <f>IF($C174="","",0)</f>
      </c>
      <c r="N174" s="7">
        <f>IF($C174="","",IF(OR(K174=0,I174="",IFERROR(INDEX('Challan Master'!$D$4:$D$207,MATCH($B174,'Challan Master'!$S$4:$S$207,0)),"")="",IFERROR(INDEX('Challan Master'!$D$4:$D$207,MATCH($B174,'Challan Master'!$S$4:$S$207,0)),"")&lt;=0),0,IF(IFERROR(INDEX('Challan Master'!$D$4:$D$207,MATCH($B174,'Challan Master'!$S$4:$S$207,0)),"")&lt;=DATE(YEAR(I174),MONTH(I174)+1,7),0,ROUND(K174*0.015*((YEAR(IFERROR(INDEX('Challan Master'!$D$4:$D$207,MATCH($B174,'Challan Master'!$S$4:$S$207,0)),""))-YEAR(I174))*12+(MONTH(IFERROR(INDEX('Challan Master'!$D$4:$D$207,MATCH($B174,'Challan Master'!$S$4:$S$207,0)),""))-MONTH(I174))+1),0))))</f>
      </c>
      <c r="O174" s="7">
        <f>IF($C174="","",0)</f>
      </c>
      <c r="P174" s="8"/>
      <c r="Q174" s="8"/>
      <c r="R174" s="8"/>
      <c r="S174" s="8"/>
      <c r="T174" s="8"/>
      <c r="U174" s="7">
        <f>IF($B174="","",IFERROR(INDEX('Challan Master'!$AA$4:$AA$207,MATCH($B174,'Challan Master'!$S$4:$S$207,0)),""))</f>
      </c>
    </row>
    <row r="175" spans="1:22" x14ac:dyDescent="0.25">
      <c r="A175" s="7">
        <f>IF($C175="","",COUNTIF($C$4:$C175,"&lt;&gt;"))</f>
      </c>
      <c r="B175" s="8"/>
      <c r="C175" s="8"/>
      <c r="D175" s="8"/>
      <c r="E175" s="7">
        <f>IF($C175="","",IF(AND(LEN(TRIM(UPPER(D175)))=10,CODE(MID(TRIM(UPPER(D175)),1,1))&gt;=65,CODE(MID(TRIM(UPPER(D175)),1,1))&lt;=90,CODE(MID(TRIM(UPPER(D175)),2,1))&gt;=65,CODE(MID(TRIM(UPPER(D175)),2,1))&lt;=90,CODE(MID(TRIM(UPPER(D175)),3,1))&gt;=65,CODE(MID(TRIM(UPPER(D175)),3,1))&lt;=90,CODE(MID(TRIM(UPPER(D175)),4,1))&gt;=65,CODE(MID(TRIM(UPPER(D175)),4,1))&lt;=90,CODE(MID(TRIM(UPPER(D175)),5,1))&gt;=65,CODE(MID(TRIM(UPPER(D175)),5,1))&lt;=90,CODE(MID(TRIM(UPPER(D175)),10,1))&gt;=65,CODE(MID(TRIM(UPPER(D175)),10,1))&lt;=90,CODE(MID(TRIM(UPPER(D175)),6,1))&gt;=48,CODE(MID(TRIM(UPPER(D175)),6,1))&lt;=57,CODE(MID(TRIM(UPPER(D175)),7,1))&gt;=48,CODE(MID(TRIM(UPPER(D175)),7,1))&lt;=57,CODE(MID(TRIM(UPPER(D175)),8,1))&gt;=48,CODE(MID(TRIM(UPPER(D175)),8,1))&lt;=57,CODE(MID(TRIM(UPPER(D175)),9,1))&gt;=48,CODE(MID(TRIM(UPPER(D175)),9,1))&lt;=57),"N","Y"))</f>
      </c>
      <c r="F175" s="7">
        <f>IF($C175="","",IF(LEN(D175)&lt;4,"",IF(UPPER(MID(D175,4,1))="P","Individual",IF(UPPER(MID(D175,4,1))="H","HUF",IF(UPPER(MID(D175,4,1))="C","Company",IF(UPPER(MID(D175,4,1))="F","Firm",IF(UPPER(MID(D175,4,1))="L","LLP",IF(UPPER(MID(D175,4,1))="T","Trust",IF(UPPER(MID(D175,4,1))="A","AOP","")))))))))</f>
      </c>
      <c r="G175" s="8"/>
      <c r="H175" s="7">
        <f>IF($C175="","",IF(R175&lt;&gt;"",R175,IF(G175="","",IF(E175="Y",SUMPRODUCT(('Rate Lookup'!$A$1:$A$37=G175)*'Rate Lookup'!$D$1:$D$37),IF(OR(F175="Individual",F175="HUF"),SUMPRODUCT(('Rate Lookup'!$A$1:$A$37=G175)*'Rate Lookup'!$B$1:$B$37),SUMPRODUCT(('Rate Lookup'!$A$1:$A$37=G175)*'Rate Lookup'!$C$1:$C$37)))))))</f>
      </c>
      <c r="I175" s="8"/>
      <c r="J175" s="8"/>
      <c r="K175" s="7">
        <f>IF($C175="","",IF(OR(P175="B",P175="D",P175="E",P175="N",P175="O",P175="P",P175="Q",P175="S",P175="Y",P175="Z"),0,ROUND(J175*H175/100,0)))</f>
      </c>
      <c r="L175" s="7">
        <f>IF($C175="","",0)</f>
      </c>
      <c r="M175" s="7">
        <f>IF($C175="","",0)</f>
      </c>
      <c r="N175" s="7">
        <f>IF($C175="","",IF(OR(K175=0,I175="",IFERROR(INDEX('Challan Master'!$D$4:$D$207,MATCH($B175,'Challan Master'!$S$4:$S$207,0)),"")="",IFERROR(INDEX('Challan Master'!$D$4:$D$207,MATCH($B175,'Challan Master'!$S$4:$S$207,0)),"")&lt;=0),0,IF(IFERROR(INDEX('Challan Master'!$D$4:$D$207,MATCH($B175,'Challan Master'!$S$4:$S$207,0)),"")&lt;=DATE(YEAR(I175),MONTH(I175)+1,7),0,ROUND(K175*0.015*((YEAR(IFERROR(INDEX('Challan Master'!$D$4:$D$207,MATCH($B175,'Challan Master'!$S$4:$S$207,0)),""))-YEAR(I175))*12+(MONTH(IFERROR(INDEX('Challan Master'!$D$4:$D$207,MATCH($B175,'Challan Master'!$S$4:$S$207,0)),""))-MONTH(I175))+1),0))))</f>
      </c>
      <c r="O175" s="7">
        <f>IF($C175="","",0)</f>
      </c>
      <c r="P175" s="8"/>
      <c r="Q175" s="8"/>
      <c r="R175" s="8"/>
      <c r="S175" s="8"/>
      <c r="T175" s="8"/>
      <c r="U175" s="7">
        <f>IF($B175="","",IFERROR(INDEX('Challan Master'!$AA$4:$AA$207,MATCH($B175,'Challan Master'!$S$4:$S$207,0)),""))</f>
      </c>
    </row>
    <row r="176" spans="1:22" x14ac:dyDescent="0.25">
      <c r="A176" s="7">
        <f>IF($C176="","",COUNTIF($C$4:$C176,"&lt;&gt;"))</f>
      </c>
      <c r="B176" s="8"/>
      <c r="C176" s="8"/>
      <c r="D176" s="8"/>
      <c r="E176" s="7">
        <f>IF($C176="","",IF(AND(LEN(TRIM(UPPER(D176)))=10,CODE(MID(TRIM(UPPER(D176)),1,1))&gt;=65,CODE(MID(TRIM(UPPER(D176)),1,1))&lt;=90,CODE(MID(TRIM(UPPER(D176)),2,1))&gt;=65,CODE(MID(TRIM(UPPER(D176)),2,1))&lt;=90,CODE(MID(TRIM(UPPER(D176)),3,1))&gt;=65,CODE(MID(TRIM(UPPER(D176)),3,1))&lt;=90,CODE(MID(TRIM(UPPER(D176)),4,1))&gt;=65,CODE(MID(TRIM(UPPER(D176)),4,1))&lt;=90,CODE(MID(TRIM(UPPER(D176)),5,1))&gt;=65,CODE(MID(TRIM(UPPER(D176)),5,1))&lt;=90,CODE(MID(TRIM(UPPER(D176)),10,1))&gt;=65,CODE(MID(TRIM(UPPER(D176)),10,1))&lt;=90,CODE(MID(TRIM(UPPER(D176)),6,1))&gt;=48,CODE(MID(TRIM(UPPER(D176)),6,1))&lt;=57,CODE(MID(TRIM(UPPER(D176)),7,1))&gt;=48,CODE(MID(TRIM(UPPER(D176)),7,1))&lt;=57,CODE(MID(TRIM(UPPER(D176)),8,1))&gt;=48,CODE(MID(TRIM(UPPER(D176)),8,1))&lt;=57,CODE(MID(TRIM(UPPER(D176)),9,1))&gt;=48,CODE(MID(TRIM(UPPER(D176)),9,1))&lt;=57),"N","Y"))</f>
      </c>
      <c r="F176" s="7">
        <f>IF($C176="","",IF(LEN(D176)&lt;4,"",IF(UPPER(MID(D176,4,1))="P","Individual",IF(UPPER(MID(D176,4,1))="H","HUF",IF(UPPER(MID(D176,4,1))="C","Company",IF(UPPER(MID(D176,4,1))="F","Firm",IF(UPPER(MID(D176,4,1))="L","LLP",IF(UPPER(MID(D176,4,1))="T","Trust",IF(UPPER(MID(D176,4,1))="A","AOP","")))))))))</f>
      </c>
      <c r="G176" s="8"/>
      <c r="H176" s="7">
        <f>IF($C176="","",IF(R176&lt;&gt;"",R176,IF(G176="","",IF(E176="Y",SUMPRODUCT(('Rate Lookup'!$A$1:$A$37=G176)*'Rate Lookup'!$D$1:$D$37),IF(OR(F176="Individual",F176="HUF"),SUMPRODUCT(('Rate Lookup'!$A$1:$A$37=G176)*'Rate Lookup'!$B$1:$B$37),SUMPRODUCT(('Rate Lookup'!$A$1:$A$37=G176)*'Rate Lookup'!$C$1:$C$37)))))))</f>
      </c>
      <c r="I176" s="8"/>
      <c r="J176" s="8"/>
      <c r="K176" s="7">
        <f>IF($C176="","",IF(OR(P176="B",P176="D",P176="E",P176="N",P176="O",P176="P",P176="Q",P176="S",P176="Y",P176="Z"),0,ROUND(J176*H176/100,0)))</f>
      </c>
      <c r="L176" s="7">
        <f>IF($C176="","",0)</f>
      </c>
      <c r="M176" s="7">
        <f>IF($C176="","",0)</f>
      </c>
      <c r="N176" s="7">
        <f>IF($C176="","",IF(OR(K176=0,I176="",IFERROR(INDEX('Challan Master'!$D$4:$D$207,MATCH($B176,'Challan Master'!$S$4:$S$207,0)),"")="",IFERROR(INDEX('Challan Master'!$D$4:$D$207,MATCH($B176,'Challan Master'!$S$4:$S$207,0)),"")&lt;=0),0,IF(IFERROR(INDEX('Challan Master'!$D$4:$D$207,MATCH($B176,'Challan Master'!$S$4:$S$207,0)),"")&lt;=DATE(YEAR(I176),MONTH(I176)+1,7),0,ROUND(K176*0.015*((YEAR(IFERROR(INDEX('Challan Master'!$D$4:$D$207,MATCH($B176,'Challan Master'!$S$4:$S$207,0)),""))-YEAR(I176))*12+(MONTH(IFERROR(INDEX('Challan Master'!$D$4:$D$207,MATCH($B176,'Challan Master'!$S$4:$S$207,0)),""))-MONTH(I176))+1),0))))</f>
      </c>
      <c r="O176" s="7">
        <f>IF($C176="","",0)</f>
      </c>
      <c r="P176" s="8"/>
      <c r="Q176" s="8"/>
      <c r="R176" s="8"/>
      <c r="S176" s="8"/>
      <c r="T176" s="8"/>
      <c r="U176" s="7">
        <f>IF($B176="","",IFERROR(INDEX('Challan Master'!$AA$4:$AA$207,MATCH($B176,'Challan Master'!$S$4:$S$207,0)),""))</f>
      </c>
    </row>
    <row r="177" spans="1:22" x14ac:dyDescent="0.25">
      <c r="A177" s="7">
        <f>IF($C177="","",COUNTIF($C$4:$C177,"&lt;&gt;"))</f>
      </c>
      <c r="B177" s="8"/>
      <c r="C177" s="8"/>
      <c r="D177" s="8"/>
      <c r="E177" s="7">
        <f>IF($C177="","",IF(AND(LEN(TRIM(UPPER(D177)))=10,CODE(MID(TRIM(UPPER(D177)),1,1))&gt;=65,CODE(MID(TRIM(UPPER(D177)),1,1))&lt;=90,CODE(MID(TRIM(UPPER(D177)),2,1))&gt;=65,CODE(MID(TRIM(UPPER(D177)),2,1))&lt;=90,CODE(MID(TRIM(UPPER(D177)),3,1))&gt;=65,CODE(MID(TRIM(UPPER(D177)),3,1))&lt;=90,CODE(MID(TRIM(UPPER(D177)),4,1))&gt;=65,CODE(MID(TRIM(UPPER(D177)),4,1))&lt;=90,CODE(MID(TRIM(UPPER(D177)),5,1))&gt;=65,CODE(MID(TRIM(UPPER(D177)),5,1))&lt;=90,CODE(MID(TRIM(UPPER(D177)),10,1))&gt;=65,CODE(MID(TRIM(UPPER(D177)),10,1))&lt;=90,CODE(MID(TRIM(UPPER(D177)),6,1))&gt;=48,CODE(MID(TRIM(UPPER(D177)),6,1))&lt;=57,CODE(MID(TRIM(UPPER(D177)),7,1))&gt;=48,CODE(MID(TRIM(UPPER(D177)),7,1))&lt;=57,CODE(MID(TRIM(UPPER(D177)),8,1))&gt;=48,CODE(MID(TRIM(UPPER(D177)),8,1))&lt;=57,CODE(MID(TRIM(UPPER(D177)),9,1))&gt;=48,CODE(MID(TRIM(UPPER(D177)),9,1))&lt;=57),"N","Y"))</f>
      </c>
      <c r="F177" s="7">
        <f>IF($C177="","",IF(LEN(D177)&lt;4,"",IF(UPPER(MID(D177,4,1))="P","Individual",IF(UPPER(MID(D177,4,1))="H","HUF",IF(UPPER(MID(D177,4,1))="C","Company",IF(UPPER(MID(D177,4,1))="F","Firm",IF(UPPER(MID(D177,4,1))="L","LLP",IF(UPPER(MID(D177,4,1))="T","Trust",IF(UPPER(MID(D177,4,1))="A","AOP","")))))))))</f>
      </c>
      <c r="G177" s="8"/>
      <c r="H177" s="7">
        <f>IF($C177="","",IF(R177&lt;&gt;"",R177,IF(G177="","",IF(E177="Y",SUMPRODUCT(('Rate Lookup'!$A$1:$A$37=G177)*'Rate Lookup'!$D$1:$D$37),IF(OR(F177="Individual",F177="HUF"),SUMPRODUCT(('Rate Lookup'!$A$1:$A$37=G177)*'Rate Lookup'!$B$1:$B$37),SUMPRODUCT(('Rate Lookup'!$A$1:$A$37=G177)*'Rate Lookup'!$C$1:$C$37)))))))</f>
      </c>
      <c r="I177" s="8"/>
      <c r="J177" s="8"/>
      <c r="K177" s="7">
        <f>IF($C177="","",IF(OR(P177="B",P177="D",P177="E",P177="N",P177="O",P177="P",P177="Q",P177="S",P177="Y",P177="Z"),0,ROUND(J177*H177/100,0)))</f>
      </c>
      <c r="L177" s="7">
        <f>IF($C177="","",0)</f>
      </c>
      <c r="M177" s="7">
        <f>IF($C177="","",0)</f>
      </c>
      <c r="N177" s="7">
        <f>IF($C177="","",IF(OR(K177=0,I177="",IFERROR(INDEX('Challan Master'!$D$4:$D$207,MATCH($B177,'Challan Master'!$S$4:$S$207,0)),"")="",IFERROR(INDEX('Challan Master'!$D$4:$D$207,MATCH($B177,'Challan Master'!$S$4:$S$207,0)),"")&lt;=0),0,IF(IFERROR(INDEX('Challan Master'!$D$4:$D$207,MATCH($B177,'Challan Master'!$S$4:$S$207,0)),"")&lt;=DATE(YEAR(I177),MONTH(I177)+1,7),0,ROUND(K177*0.015*((YEAR(IFERROR(INDEX('Challan Master'!$D$4:$D$207,MATCH($B177,'Challan Master'!$S$4:$S$207,0)),""))-YEAR(I177))*12+(MONTH(IFERROR(INDEX('Challan Master'!$D$4:$D$207,MATCH($B177,'Challan Master'!$S$4:$S$207,0)),""))-MONTH(I177))+1),0))))</f>
      </c>
      <c r="O177" s="7">
        <f>IF($C177="","",0)</f>
      </c>
      <c r="P177" s="8"/>
      <c r="Q177" s="8"/>
      <c r="R177" s="8"/>
      <c r="S177" s="8"/>
      <c r="T177" s="8"/>
      <c r="U177" s="7">
        <f>IF($B177="","",IFERROR(INDEX('Challan Master'!$AA$4:$AA$207,MATCH($B177,'Challan Master'!$S$4:$S$207,0)),""))</f>
      </c>
    </row>
    <row r="178" spans="1:22" x14ac:dyDescent="0.25">
      <c r="A178" s="7">
        <f>IF($C178="","",COUNTIF($C$4:$C178,"&lt;&gt;"))</f>
      </c>
      <c r="B178" s="8"/>
      <c r="C178" s="8"/>
      <c r="D178" s="8"/>
      <c r="E178" s="7">
        <f>IF($C178="","",IF(AND(LEN(TRIM(UPPER(D178)))=10,CODE(MID(TRIM(UPPER(D178)),1,1))&gt;=65,CODE(MID(TRIM(UPPER(D178)),1,1))&lt;=90,CODE(MID(TRIM(UPPER(D178)),2,1))&gt;=65,CODE(MID(TRIM(UPPER(D178)),2,1))&lt;=90,CODE(MID(TRIM(UPPER(D178)),3,1))&gt;=65,CODE(MID(TRIM(UPPER(D178)),3,1))&lt;=90,CODE(MID(TRIM(UPPER(D178)),4,1))&gt;=65,CODE(MID(TRIM(UPPER(D178)),4,1))&lt;=90,CODE(MID(TRIM(UPPER(D178)),5,1))&gt;=65,CODE(MID(TRIM(UPPER(D178)),5,1))&lt;=90,CODE(MID(TRIM(UPPER(D178)),10,1))&gt;=65,CODE(MID(TRIM(UPPER(D178)),10,1))&lt;=90,CODE(MID(TRIM(UPPER(D178)),6,1))&gt;=48,CODE(MID(TRIM(UPPER(D178)),6,1))&lt;=57,CODE(MID(TRIM(UPPER(D178)),7,1))&gt;=48,CODE(MID(TRIM(UPPER(D178)),7,1))&lt;=57,CODE(MID(TRIM(UPPER(D178)),8,1))&gt;=48,CODE(MID(TRIM(UPPER(D178)),8,1))&lt;=57,CODE(MID(TRIM(UPPER(D178)),9,1))&gt;=48,CODE(MID(TRIM(UPPER(D178)),9,1))&lt;=57),"N","Y"))</f>
      </c>
      <c r="F178" s="7">
        <f>IF($C178="","",IF(LEN(D178)&lt;4,"",IF(UPPER(MID(D178,4,1))="P","Individual",IF(UPPER(MID(D178,4,1))="H","HUF",IF(UPPER(MID(D178,4,1))="C","Company",IF(UPPER(MID(D178,4,1))="F","Firm",IF(UPPER(MID(D178,4,1))="L","LLP",IF(UPPER(MID(D178,4,1))="T","Trust",IF(UPPER(MID(D178,4,1))="A","AOP","")))))))))</f>
      </c>
      <c r="G178" s="8"/>
      <c r="H178" s="7">
        <f>IF($C178="","",IF(R178&lt;&gt;"",R178,IF(G178="","",IF(E178="Y",SUMPRODUCT(('Rate Lookup'!$A$1:$A$37=G178)*'Rate Lookup'!$D$1:$D$37),IF(OR(F178="Individual",F178="HUF"),SUMPRODUCT(('Rate Lookup'!$A$1:$A$37=G178)*'Rate Lookup'!$B$1:$B$37),SUMPRODUCT(('Rate Lookup'!$A$1:$A$37=G178)*'Rate Lookup'!$C$1:$C$37)))))))</f>
      </c>
      <c r="I178" s="8"/>
      <c r="J178" s="8"/>
      <c r="K178" s="7">
        <f>IF($C178="","",IF(OR(P178="B",P178="D",P178="E",P178="N",P178="O",P178="P",P178="Q",P178="S",P178="Y",P178="Z"),0,ROUND(J178*H178/100,0)))</f>
      </c>
      <c r="L178" s="7">
        <f>IF($C178="","",0)</f>
      </c>
      <c r="M178" s="7">
        <f>IF($C178="","",0)</f>
      </c>
      <c r="N178" s="7">
        <f>IF($C178="","",IF(OR(K178=0,I178="",IFERROR(INDEX('Challan Master'!$D$4:$D$207,MATCH($B178,'Challan Master'!$S$4:$S$207,0)),"")="",IFERROR(INDEX('Challan Master'!$D$4:$D$207,MATCH($B178,'Challan Master'!$S$4:$S$207,0)),"")&lt;=0),0,IF(IFERROR(INDEX('Challan Master'!$D$4:$D$207,MATCH($B178,'Challan Master'!$S$4:$S$207,0)),"")&lt;=DATE(YEAR(I178),MONTH(I178)+1,7),0,ROUND(K178*0.015*((YEAR(IFERROR(INDEX('Challan Master'!$D$4:$D$207,MATCH($B178,'Challan Master'!$S$4:$S$207,0)),""))-YEAR(I178))*12+(MONTH(IFERROR(INDEX('Challan Master'!$D$4:$D$207,MATCH($B178,'Challan Master'!$S$4:$S$207,0)),""))-MONTH(I178))+1),0))))</f>
      </c>
      <c r="O178" s="7">
        <f>IF($C178="","",0)</f>
      </c>
      <c r="P178" s="8"/>
      <c r="Q178" s="8"/>
      <c r="R178" s="8"/>
      <c r="S178" s="8"/>
      <c r="T178" s="8"/>
      <c r="U178" s="7">
        <f>IF($B178="","",IFERROR(INDEX('Challan Master'!$AA$4:$AA$207,MATCH($B178,'Challan Master'!$S$4:$S$207,0)),""))</f>
      </c>
    </row>
    <row r="179" spans="1:22" x14ac:dyDescent="0.25">
      <c r="A179" s="7">
        <f>IF($C179="","",COUNTIF($C$4:$C179,"&lt;&gt;"))</f>
      </c>
      <c r="B179" s="8"/>
      <c r="C179" s="8"/>
      <c r="D179" s="8"/>
      <c r="E179" s="7">
        <f>IF($C179="","",IF(AND(LEN(TRIM(UPPER(D179)))=10,CODE(MID(TRIM(UPPER(D179)),1,1))&gt;=65,CODE(MID(TRIM(UPPER(D179)),1,1))&lt;=90,CODE(MID(TRIM(UPPER(D179)),2,1))&gt;=65,CODE(MID(TRIM(UPPER(D179)),2,1))&lt;=90,CODE(MID(TRIM(UPPER(D179)),3,1))&gt;=65,CODE(MID(TRIM(UPPER(D179)),3,1))&lt;=90,CODE(MID(TRIM(UPPER(D179)),4,1))&gt;=65,CODE(MID(TRIM(UPPER(D179)),4,1))&lt;=90,CODE(MID(TRIM(UPPER(D179)),5,1))&gt;=65,CODE(MID(TRIM(UPPER(D179)),5,1))&lt;=90,CODE(MID(TRIM(UPPER(D179)),10,1))&gt;=65,CODE(MID(TRIM(UPPER(D179)),10,1))&lt;=90,CODE(MID(TRIM(UPPER(D179)),6,1))&gt;=48,CODE(MID(TRIM(UPPER(D179)),6,1))&lt;=57,CODE(MID(TRIM(UPPER(D179)),7,1))&gt;=48,CODE(MID(TRIM(UPPER(D179)),7,1))&lt;=57,CODE(MID(TRIM(UPPER(D179)),8,1))&gt;=48,CODE(MID(TRIM(UPPER(D179)),8,1))&lt;=57,CODE(MID(TRIM(UPPER(D179)),9,1))&gt;=48,CODE(MID(TRIM(UPPER(D179)),9,1))&lt;=57),"N","Y"))</f>
      </c>
      <c r="F179" s="7">
        <f>IF($C179="","",IF(LEN(D179)&lt;4,"",IF(UPPER(MID(D179,4,1))="P","Individual",IF(UPPER(MID(D179,4,1))="H","HUF",IF(UPPER(MID(D179,4,1))="C","Company",IF(UPPER(MID(D179,4,1))="F","Firm",IF(UPPER(MID(D179,4,1))="L","LLP",IF(UPPER(MID(D179,4,1))="T","Trust",IF(UPPER(MID(D179,4,1))="A","AOP","")))))))))</f>
      </c>
      <c r="G179" s="8"/>
      <c r="H179" s="7">
        <f>IF($C179="","",IF(R179&lt;&gt;"",R179,IF(G179="","",IF(E179="Y",SUMPRODUCT(('Rate Lookup'!$A$1:$A$37=G179)*'Rate Lookup'!$D$1:$D$37),IF(OR(F179="Individual",F179="HUF"),SUMPRODUCT(('Rate Lookup'!$A$1:$A$37=G179)*'Rate Lookup'!$B$1:$B$37),SUMPRODUCT(('Rate Lookup'!$A$1:$A$37=G179)*'Rate Lookup'!$C$1:$C$37)))))))</f>
      </c>
      <c r="I179" s="8"/>
      <c r="J179" s="8"/>
      <c r="K179" s="7">
        <f>IF($C179="","",IF(OR(P179="B",P179="D",P179="E",P179="N",P179="O",P179="P",P179="Q",P179="S",P179="Y",P179="Z"),0,ROUND(J179*H179/100,0)))</f>
      </c>
      <c r="L179" s="7">
        <f>IF($C179="","",0)</f>
      </c>
      <c r="M179" s="7">
        <f>IF($C179="","",0)</f>
      </c>
      <c r="N179" s="7">
        <f>IF($C179="","",IF(OR(K179=0,I179="",IFERROR(INDEX('Challan Master'!$D$4:$D$207,MATCH($B179,'Challan Master'!$S$4:$S$207,0)),"")="",IFERROR(INDEX('Challan Master'!$D$4:$D$207,MATCH($B179,'Challan Master'!$S$4:$S$207,0)),"")&lt;=0),0,IF(IFERROR(INDEX('Challan Master'!$D$4:$D$207,MATCH($B179,'Challan Master'!$S$4:$S$207,0)),"")&lt;=DATE(YEAR(I179),MONTH(I179)+1,7),0,ROUND(K179*0.015*((YEAR(IFERROR(INDEX('Challan Master'!$D$4:$D$207,MATCH($B179,'Challan Master'!$S$4:$S$207,0)),""))-YEAR(I179))*12+(MONTH(IFERROR(INDEX('Challan Master'!$D$4:$D$207,MATCH($B179,'Challan Master'!$S$4:$S$207,0)),""))-MONTH(I179))+1),0))))</f>
      </c>
      <c r="O179" s="7">
        <f>IF($C179="","",0)</f>
      </c>
      <c r="P179" s="8"/>
      <c r="Q179" s="8"/>
      <c r="R179" s="8"/>
      <c r="S179" s="8"/>
      <c r="T179" s="8"/>
      <c r="U179" s="7">
        <f>IF($B179="","",IFERROR(INDEX('Challan Master'!$AA$4:$AA$207,MATCH($B179,'Challan Master'!$S$4:$S$207,0)),""))</f>
      </c>
    </row>
    <row r="180" spans="1:22" x14ac:dyDescent="0.25">
      <c r="A180" s="7">
        <f>IF($C180="","",COUNTIF($C$4:$C180,"&lt;&gt;"))</f>
      </c>
      <c r="B180" s="8"/>
      <c r="C180" s="8"/>
      <c r="D180" s="8"/>
      <c r="E180" s="7">
        <f>IF($C180="","",IF(AND(LEN(TRIM(UPPER(D180)))=10,CODE(MID(TRIM(UPPER(D180)),1,1))&gt;=65,CODE(MID(TRIM(UPPER(D180)),1,1))&lt;=90,CODE(MID(TRIM(UPPER(D180)),2,1))&gt;=65,CODE(MID(TRIM(UPPER(D180)),2,1))&lt;=90,CODE(MID(TRIM(UPPER(D180)),3,1))&gt;=65,CODE(MID(TRIM(UPPER(D180)),3,1))&lt;=90,CODE(MID(TRIM(UPPER(D180)),4,1))&gt;=65,CODE(MID(TRIM(UPPER(D180)),4,1))&lt;=90,CODE(MID(TRIM(UPPER(D180)),5,1))&gt;=65,CODE(MID(TRIM(UPPER(D180)),5,1))&lt;=90,CODE(MID(TRIM(UPPER(D180)),10,1))&gt;=65,CODE(MID(TRIM(UPPER(D180)),10,1))&lt;=90,CODE(MID(TRIM(UPPER(D180)),6,1))&gt;=48,CODE(MID(TRIM(UPPER(D180)),6,1))&lt;=57,CODE(MID(TRIM(UPPER(D180)),7,1))&gt;=48,CODE(MID(TRIM(UPPER(D180)),7,1))&lt;=57,CODE(MID(TRIM(UPPER(D180)),8,1))&gt;=48,CODE(MID(TRIM(UPPER(D180)),8,1))&lt;=57,CODE(MID(TRIM(UPPER(D180)),9,1))&gt;=48,CODE(MID(TRIM(UPPER(D180)),9,1))&lt;=57),"N","Y"))</f>
      </c>
      <c r="F180" s="7">
        <f>IF($C180="","",IF(LEN(D180)&lt;4,"",IF(UPPER(MID(D180,4,1))="P","Individual",IF(UPPER(MID(D180,4,1))="H","HUF",IF(UPPER(MID(D180,4,1))="C","Company",IF(UPPER(MID(D180,4,1))="F","Firm",IF(UPPER(MID(D180,4,1))="L","LLP",IF(UPPER(MID(D180,4,1))="T","Trust",IF(UPPER(MID(D180,4,1))="A","AOP","")))))))))</f>
      </c>
      <c r="G180" s="8"/>
      <c r="H180" s="7">
        <f>IF($C180="","",IF(R180&lt;&gt;"",R180,IF(G180="","",IF(E180="Y",SUMPRODUCT(('Rate Lookup'!$A$1:$A$37=G180)*'Rate Lookup'!$D$1:$D$37),IF(OR(F180="Individual",F180="HUF"),SUMPRODUCT(('Rate Lookup'!$A$1:$A$37=G180)*'Rate Lookup'!$B$1:$B$37),SUMPRODUCT(('Rate Lookup'!$A$1:$A$37=G180)*'Rate Lookup'!$C$1:$C$37)))))))</f>
      </c>
      <c r="I180" s="8"/>
      <c r="J180" s="8"/>
      <c r="K180" s="7">
        <f>IF($C180="","",IF(OR(P180="B",P180="D",P180="E",P180="N",P180="O",P180="P",P180="Q",P180="S",P180="Y",P180="Z"),0,ROUND(J180*H180/100,0)))</f>
      </c>
      <c r="L180" s="7">
        <f>IF($C180="","",0)</f>
      </c>
      <c r="M180" s="7">
        <f>IF($C180="","",0)</f>
      </c>
      <c r="N180" s="7">
        <f>IF($C180="","",IF(OR(K180=0,I180="",IFERROR(INDEX('Challan Master'!$D$4:$D$207,MATCH($B180,'Challan Master'!$S$4:$S$207,0)),"")="",IFERROR(INDEX('Challan Master'!$D$4:$D$207,MATCH($B180,'Challan Master'!$S$4:$S$207,0)),"")&lt;=0),0,IF(IFERROR(INDEX('Challan Master'!$D$4:$D$207,MATCH($B180,'Challan Master'!$S$4:$S$207,0)),"")&lt;=DATE(YEAR(I180),MONTH(I180)+1,7),0,ROUND(K180*0.015*((YEAR(IFERROR(INDEX('Challan Master'!$D$4:$D$207,MATCH($B180,'Challan Master'!$S$4:$S$207,0)),""))-YEAR(I180))*12+(MONTH(IFERROR(INDEX('Challan Master'!$D$4:$D$207,MATCH($B180,'Challan Master'!$S$4:$S$207,0)),""))-MONTH(I180))+1),0))))</f>
      </c>
      <c r="O180" s="7">
        <f>IF($C180="","",0)</f>
      </c>
      <c r="P180" s="8"/>
      <c r="Q180" s="8"/>
      <c r="R180" s="8"/>
      <c r="S180" s="8"/>
      <c r="T180" s="8"/>
      <c r="U180" s="7">
        <f>IF($B180="","",IFERROR(INDEX('Challan Master'!$AA$4:$AA$207,MATCH($B180,'Challan Master'!$S$4:$S$207,0)),""))</f>
      </c>
    </row>
    <row r="181" spans="1:22" x14ac:dyDescent="0.25">
      <c r="A181" s="7">
        <f>IF($C181="","",COUNTIF($C$4:$C181,"&lt;&gt;"))</f>
      </c>
      <c r="B181" s="8"/>
      <c r="C181" s="8"/>
      <c r="D181" s="8"/>
      <c r="E181" s="7">
        <f>IF($C181="","",IF(AND(LEN(TRIM(UPPER(D181)))=10,CODE(MID(TRIM(UPPER(D181)),1,1))&gt;=65,CODE(MID(TRIM(UPPER(D181)),1,1))&lt;=90,CODE(MID(TRIM(UPPER(D181)),2,1))&gt;=65,CODE(MID(TRIM(UPPER(D181)),2,1))&lt;=90,CODE(MID(TRIM(UPPER(D181)),3,1))&gt;=65,CODE(MID(TRIM(UPPER(D181)),3,1))&lt;=90,CODE(MID(TRIM(UPPER(D181)),4,1))&gt;=65,CODE(MID(TRIM(UPPER(D181)),4,1))&lt;=90,CODE(MID(TRIM(UPPER(D181)),5,1))&gt;=65,CODE(MID(TRIM(UPPER(D181)),5,1))&lt;=90,CODE(MID(TRIM(UPPER(D181)),10,1))&gt;=65,CODE(MID(TRIM(UPPER(D181)),10,1))&lt;=90,CODE(MID(TRIM(UPPER(D181)),6,1))&gt;=48,CODE(MID(TRIM(UPPER(D181)),6,1))&lt;=57,CODE(MID(TRIM(UPPER(D181)),7,1))&gt;=48,CODE(MID(TRIM(UPPER(D181)),7,1))&lt;=57,CODE(MID(TRIM(UPPER(D181)),8,1))&gt;=48,CODE(MID(TRIM(UPPER(D181)),8,1))&lt;=57,CODE(MID(TRIM(UPPER(D181)),9,1))&gt;=48,CODE(MID(TRIM(UPPER(D181)),9,1))&lt;=57),"N","Y"))</f>
      </c>
      <c r="F181" s="7">
        <f>IF($C181="","",IF(LEN(D181)&lt;4,"",IF(UPPER(MID(D181,4,1))="P","Individual",IF(UPPER(MID(D181,4,1))="H","HUF",IF(UPPER(MID(D181,4,1))="C","Company",IF(UPPER(MID(D181,4,1))="F","Firm",IF(UPPER(MID(D181,4,1))="L","LLP",IF(UPPER(MID(D181,4,1))="T","Trust",IF(UPPER(MID(D181,4,1))="A","AOP","")))))))))</f>
      </c>
      <c r="G181" s="8"/>
      <c r="H181" s="7">
        <f>IF($C181="","",IF(R181&lt;&gt;"",R181,IF(G181="","",IF(E181="Y",SUMPRODUCT(('Rate Lookup'!$A$1:$A$37=G181)*'Rate Lookup'!$D$1:$D$37),IF(OR(F181="Individual",F181="HUF"),SUMPRODUCT(('Rate Lookup'!$A$1:$A$37=G181)*'Rate Lookup'!$B$1:$B$37),SUMPRODUCT(('Rate Lookup'!$A$1:$A$37=G181)*'Rate Lookup'!$C$1:$C$37)))))))</f>
      </c>
      <c r="I181" s="8"/>
      <c r="J181" s="8"/>
      <c r="K181" s="7">
        <f>IF($C181="","",IF(OR(P181="B",P181="D",P181="E",P181="N",P181="O",P181="P",P181="Q",P181="S",P181="Y",P181="Z"),0,ROUND(J181*H181/100,0)))</f>
      </c>
      <c r="L181" s="7">
        <f>IF($C181="","",0)</f>
      </c>
      <c r="M181" s="7">
        <f>IF($C181="","",0)</f>
      </c>
      <c r="N181" s="7">
        <f>IF($C181="","",IF(OR(K181=0,I181="",IFERROR(INDEX('Challan Master'!$D$4:$D$207,MATCH($B181,'Challan Master'!$S$4:$S$207,0)),"")="",IFERROR(INDEX('Challan Master'!$D$4:$D$207,MATCH($B181,'Challan Master'!$S$4:$S$207,0)),"")&lt;=0),0,IF(IFERROR(INDEX('Challan Master'!$D$4:$D$207,MATCH($B181,'Challan Master'!$S$4:$S$207,0)),"")&lt;=DATE(YEAR(I181),MONTH(I181)+1,7),0,ROUND(K181*0.015*((YEAR(IFERROR(INDEX('Challan Master'!$D$4:$D$207,MATCH($B181,'Challan Master'!$S$4:$S$207,0)),""))-YEAR(I181))*12+(MONTH(IFERROR(INDEX('Challan Master'!$D$4:$D$207,MATCH($B181,'Challan Master'!$S$4:$S$207,0)),""))-MONTH(I181))+1),0))))</f>
      </c>
      <c r="O181" s="7">
        <f>IF($C181="","",0)</f>
      </c>
      <c r="P181" s="8"/>
      <c r="Q181" s="8"/>
      <c r="R181" s="8"/>
      <c r="S181" s="8"/>
      <c r="T181" s="8"/>
      <c r="U181" s="7">
        <f>IF($B181="","",IFERROR(INDEX('Challan Master'!$AA$4:$AA$207,MATCH($B181,'Challan Master'!$S$4:$S$207,0)),""))</f>
      </c>
    </row>
    <row r="182" spans="1:22" x14ac:dyDescent="0.25">
      <c r="A182" s="7">
        <f>IF($C182="","",COUNTIF($C$4:$C182,"&lt;&gt;"))</f>
      </c>
      <c r="B182" s="8"/>
      <c r="C182" s="8"/>
      <c r="D182" s="8"/>
      <c r="E182" s="7">
        <f>IF($C182="","",IF(AND(LEN(TRIM(UPPER(D182)))=10,CODE(MID(TRIM(UPPER(D182)),1,1))&gt;=65,CODE(MID(TRIM(UPPER(D182)),1,1))&lt;=90,CODE(MID(TRIM(UPPER(D182)),2,1))&gt;=65,CODE(MID(TRIM(UPPER(D182)),2,1))&lt;=90,CODE(MID(TRIM(UPPER(D182)),3,1))&gt;=65,CODE(MID(TRIM(UPPER(D182)),3,1))&lt;=90,CODE(MID(TRIM(UPPER(D182)),4,1))&gt;=65,CODE(MID(TRIM(UPPER(D182)),4,1))&lt;=90,CODE(MID(TRIM(UPPER(D182)),5,1))&gt;=65,CODE(MID(TRIM(UPPER(D182)),5,1))&lt;=90,CODE(MID(TRIM(UPPER(D182)),10,1))&gt;=65,CODE(MID(TRIM(UPPER(D182)),10,1))&lt;=90,CODE(MID(TRIM(UPPER(D182)),6,1))&gt;=48,CODE(MID(TRIM(UPPER(D182)),6,1))&lt;=57,CODE(MID(TRIM(UPPER(D182)),7,1))&gt;=48,CODE(MID(TRIM(UPPER(D182)),7,1))&lt;=57,CODE(MID(TRIM(UPPER(D182)),8,1))&gt;=48,CODE(MID(TRIM(UPPER(D182)),8,1))&lt;=57,CODE(MID(TRIM(UPPER(D182)),9,1))&gt;=48,CODE(MID(TRIM(UPPER(D182)),9,1))&lt;=57),"N","Y"))</f>
      </c>
      <c r="F182" s="7">
        <f>IF($C182="","",IF(LEN(D182)&lt;4,"",IF(UPPER(MID(D182,4,1))="P","Individual",IF(UPPER(MID(D182,4,1))="H","HUF",IF(UPPER(MID(D182,4,1))="C","Company",IF(UPPER(MID(D182,4,1))="F","Firm",IF(UPPER(MID(D182,4,1))="L","LLP",IF(UPPER(MID(D182,4,1))="T","Trust",IF(UPPER(MID(D182,4,1))="A","AOP","")))))))))</f>
      </c>
      <c r="G182" s="8"/>
      <c r="H182" s="7">
        <f>IF($C182="","",IF(R182&lt;&gt;"",R182,IF(G182="","",IF(E182="Y",SUMPRODUCT(('Rate Lookup'!$A$1:$A$37=G182)*'Rate Lookup'!$D$1:$D$37),IF(OR(F182="Individual",F182="HUF"),SUMPRODUCT(('Rate Lookup'!$A$1:$A$37=G182)*'Rate Lookup'!$B$1:$B$37),SUMPRODUCT(('Rate Lookup'!$A$1:$A$37=G182)*'Rate Lookup'!$C$1:$C$37)))))))</f>
      </c>
      <c r="I182" s="8"/>
      <c r="J182" s="8"/>
      <c r="K182" s="7">
        <f>IF($C182="","",IF(OR(P182="B",P182="D",P182="E",P182="N",P182="O",P182="P",P182="Q",P182="S",P182="Y",P182="Z"),0,ROUND(J182*H182/100,0)))</f>
      </c>
      <c r="L182" s="7">
        <f>IF($C182="","",0)</f>
      </c>
      <c r="M182" s="7">
        <f>IF($C182="","",0)</f>
      </c>
      <c r="N182" s="7">
        <f>IF($C182="","",IF(OR(K182=0,I182="",IFERROR(INDEX('Challan Master'!$D$4:$D$207,MATCH($B182,'Challan Master'!$S$4:$S$207,0)),"")="",IFERROR(INDEX('Challan Master'!$D$4:$D$207,MATCH($B182,'Challan Master'!$S$4:$S$207,0)),"")&lt;=0),0,IF(IFERROR(INDEX('Challan Master'!$D$4:$D$207,MATCH($B182,'Challan Master'!$S$4:$S$207,0)),"")&lt;=DATE(YEAR(I182),MONTH(I182)+1,7),0,ROUND(K182*0.015*((YEAR(IFERROR(INDEX('Challan Master'!$D$4:$D$207,MATCH($B182,'Challan Master'!$S$4:$S$207,0)),""))-YEAR(I182))*12+(MONTH(IFERROR(INDEX('Challan Master'!$D$4:$D$207,MATCH($B182,'Challan Master'!$S$4:$S$207,0)),""))-MONTH(I182))+1),0))))</f>
      </c>
      <c r="O182" s="7">
        <f>IF($C182="","",0)</f>
      </c>
      <c r="P182" s="8"/>
      <c r="Q182" s="8"/>
      <c r="R182" s="8"/>
      <c r="S182" s="8"/>
      <c r="T182" s="8"/>
      <c r="U182" s="7">
        <f>IF($B182="","",IFERROR(INDEX('Challan Master'!$AA$4:$AA$207,MATCH($B182,'Challan Master'!$S$4:$S$207,0)),""))</f>
      </c>
    </row>
    <row r="183" spans="1:22" x14ac:dyDescent="0.25">
      <c r="A183" s="7">
        <f>IF($C183="","",COUNTIF($C$4:$C183,"&lt;&gt;"))</f>
      </c>
      <c r="B183" s="8"/>
      <c r="C183" s="8"/>
      <c r="D183" s="8"/>
      <c r="E183" s="7">
        <f>IF($C183="","",IF(AND(LEN(TRIM(UPPER(D183)))=10,CODE(MID(TRIM(UPPER(D183)),1,1))&gt;=65,CODE(MID(TRIM(UPPER(D183)),1,1))&lt;=90,CODE(MID(TRIM(UPPER(D183)),2,1))&gt;=65,CODE(MID(TRIM(UPPER(D183)),2,1))&lt;=90,CODE(MID(TRIM(UPPER(D183)),3,1))&gt;=65,CODE(MID(TRIM(UPPER(D183)),3,1))&lt;=90,CODE(MID(TRIM(UPPER(D183)),4,1))&gt;=65,CODE(MID(TRIM(UPPER(D183)),4,1))&lt;=90,CODE(MID(TRIM(UPPER(D183)),5,1))&gt;=65,CODE(MID(TRIM(UPPER(D183)),5,1))&lt;=90,CODE(MID(TRIM(UPPER(D183)),10,1))&gt;=65,CODE(MID(TRIM(UPPER(D183)),10,1))&lt;=90,CODE(MID(TRIM(UPPER(D183)),6,1))&gt;=48,CODE(MID(TRIM(UPPER(D183)),6,1))&lt;=57,CODE(MID(TRIM(UPPER(D183)),7,1))&gt;=48,CODE(MID(TRIM(UPPER(D183)),7,1))&lt;=57,CODE(MID(TRIM(UPPER(D183)),8,1))&gt;=48,CODE(MID(TRIM(UPPER(D183)),8,1))&lt;=57,CODE(MID(TRIM(UPPER(D183)),9,1))&gt;=48,CODE(MID(TRIM(UPPER(D183)),9,1))&lt;=57),"N","Y"))</f>
      </c>
      <c r="F183" s="7">
        <f>IF($C183="","",IF(LEN(D183)&lt;4,"",IF(UPPER(MID(D183,4,1))="P","Individual",IF(UPPER(MID(D183,4,1))="H","HUF",IF(UPPER(MID(D183,4,1))="C","Company",IF(UPPER(MID(D183,4,1))="F","Firm",IF(UPPER(MID(D183,4,1))="L","LLP",IF(UPPER(MID(D183,4,1))="T","Trust",IF(UPPER(MID(D183,4,1))="A","AOP","")))))))))</f>
      </c>
      <c r="G183" s="8"/>
      <c r="H183" s="7">
        <f>IF($C183="","",IF(R183&lt;&gt;"",R183,IF(G183="","",IF(E183="Y",SUMPRODUCT(('Rate Lookup'!$A$1:$A$37=G183)*'Rate Lookup'!$D$1:$D$37),IF(OR(F183="Individual",F183="HUF"),SUMPRODUCT(('Rate Lookup'!$A$1:$A$37=G183)*'Rate Lookup'!$B$1:$B$37),SUMPRODUCT(('Rate Lookup'!$A$1:$A$37=G183)*'Rate Lookup'!$C$1:$C$37)))))))</f>
      </c>
      <c r="I183" s="8"/>
      <c r="J183" s="8"/>
      <c r="K183" s="7">
        <f>IF($C183="","",IF(OR(P183="B",P183="D",P183="E",P183="N",P183="O",P183="P",P183="Q",P183="S",P183="Y",P183="Z"),0,ROUND(J183*H183/100,0)))</f>
      </c>
      <c r="L183" s="7">
        <f>IF($C183="","",0)</f>
      </c>
      <c r="M183" s="7">
        <f>IF($C183="","",0)</f>
      </c>
      <c r="N183" s="7">
        <f>IF($C183="","",IF(OR(K183=0,I183="",IFERROR(INDEX('Challan Master'!$D$4:$D$207,MATCH($B183,'Challan Master'!$S$4:$S$207,0)),"")="",IFERROR(INDEX('Challan Master'!$D$4:$D$207,MATCH($B183,'Challan Master'!$S$4:$S$207,0)),"")&lt;=0),0,IF(IFERROR(INDEX('Challan Master'!$D$4:$D$207,MATCH($B183,'Challan Master'!$S$4:$S$207,0)),"")&lt;=DATE(YEAR(I183),MONTH(I183)+1,7),0,ROUND(K183*0.015*((YEAR(IFERROR(INDEX('Challan Master'!$D$4:$D$207,MATCH($B183,'Challan Master'!$S$4:$S$207,0)),""))-YEAR(I183))*12+(MONTH(IFERROR(INDEX('Challan Master'!$D$4:$D$207,MATCH($B183,'Challan Master'!$S$4:$S$207,0)),""))-MONTH(I183))+1),0))))</f>
      </c>
      <c r="O183" s="7">
        <f>IF($C183="","",0)</f>
      </c>
      <c r="P183" s="8"/>
      <c r="Q183" s="8"/>
      <c r="R183" s="8"/>
      <c r="S183" s="8"/>
      <c r="T183" s="8"/>
      <c r="U183" s="7">
        <f>IF($B183="","",IFERROR(INDEX('Challan Master'!$AA$4:$AA$207,MATCH($B183,'Challan Master'!$S$4:$S$207,0)),""))</f>
      </c>
    </row>
    <row r="184" spans="1:22" x14ac:dyDescent="0.25">
      <c r="A184" s="7">
        <f>IF($C184="","",COUNTIF($C$4:$C184,"&lt;&gt;"))</f>
      </c>
      <c r="B184" s="8"/>
      <c r="C184" s="8"/>
      <c r="D184" s="8"/>
      <c r="E184" s="7">
        <f>IF($C184="","",IF(AND(LEN(TRIM(UPPER(D184)))=10,CODE(MID(TRIM(UPPER(D184)),1,1))&gt;=65,CODE(MID(TRIM(UPPER(D184)),1,1))&lt;=90,CODE(MID(TRIM(UPPER(D184)),2,1))&gt;=65,CODE(MID(TRIM(UPPER(D184)),2,1))&lt;=90,CODE(MID(TRIM(UPPER(D184)),3,1))&gt;=65,CODE(MID(TRIM(UPPER(D184)),3,1))&lt;=90,CODE(MID(TRIM(UPPER(D184)),4,1))&gt;=65,CODE(MID(TRIM(UPPER(D184)),4,1))&lt;=90,CODE(MID(TRIM(UPPER(D184)),5,1))&gt;=65,CODE(MID(TRIM(UPPER(D184)),5,1))&lt;=90,CODE(MID(TRIM(UPPER(D184)),10,1))&gt;=65,CODE(MID(TRIM(UPPER(D184)),10,1))&lt;=90,CODE(MID(TRIM(UPPER(D184)),6,1))&gt;=48,CODE(MID(TRIM(UPPER(D184)),6,1))&lt;=57,CODE(MID(TRIM(UPPER(D184)),7,1))&gt;=48,CODE(MID(TRIM(UPPER(D184)),7,1))&lt;=57,CODE(MID(TRIM(UPPER(D184)),8,1))&gt;=48,CODE(MID(TRIM(UPPER(D184)),8,1))&lt;=57,CODE(MID(TRIM(UPPER(D184)),9,1))&gt;=48,CODE(MID(TRIM(UPPER(D184)),9,1))&lt;=57),"N","Y"))</f>
      </c>
      <c r="F184" s="7">
        <f>IF($C184="","",IF(LEN(D184)&lt;4,"",IF(UPPER(MID(D184,4,1))="P","Individual",IF(UPPER(MID(D184,4,1))="H","HUF",IF(UPPER(MID(D184,4,1))="C","Company",IF(UPPER(MID(D184,4,1))="F","Firm",IF(UPPER(MID(D184,4,1))="L","LLP",IF(UPPER(MID(D184,4,1))="T","Trust",IF(UPPER(MID(D184,4,1))="A","AOP","")))))))))</f>
      </c>
      <c r="G184" s="8"/>
      <c r="H184" s="7">
        <f>IF($C184="","",IF(R184&lt;&gt;"",R184,IF(G184="","",IF(E184="Y",SUMPRODUCT(('Rate Lookup'!$A$1:$A$37=G184)*'Rate Lookup'!$D$1:$D$37),IF(OR(F184="Individual",F184="HUF"),SUMPRODUCT(('Rate Lookup'!$A$1:$A$37=G184)*'Rate Lookup'!$B$1:$B$37),SUMPRODUCT(('Rate Lookup'!$A$1:$A$37=G184)*'Rate Lookup'!$C$1:$C$37)))))))</f>
      </c>
      <c r="I184" s="8"/>
      <c r="J184" s="8"/>
      <c r="K184" s="7">
        <f>IF($C184="","",IF(OR(P184="B",P184="D",P184="E",P184="N",P184="O",P184="P",P184="Q",P184="S",P184="Y",P184="Z"),0,ROUND(J184*H184/100,0)))</f>
      </c>
      <c r="L184" s="7">
        <f>IF($C184="","",0)</f>
      </c>
      <c r="M184" s="7">
        <f>IF($C184="","",0)</f>
      </c>
      <c r="N184" s="7">
        <f>IF($C184="","",IF(OR(K184=0,I184="",IFERROR(INDEX('Challan Master'!$D$4:$D$207,MATCH($B184,'Challan Master'!$S$4:$S$207,0)),"")="",IFERROR(INDEX('Challan Master'!$D$4:$D$207,MATCH($B184,'Challan Master'!$S$4:$S$207,0)),"")&lt;=0),0,IF(IFERROR(INDEX('Challan Master'!$D$4:$D$207,MATCH($B184,'Challan Master'!$S$4:$S$207,0)),"")&lt;=DATE(YEAR(I184),MONTH(I184)+1,7),0,ROUND(K184*0.015*((YEAR(IFERROR(INDEX('Challan Master'!$D$4:$D$207,MATCH($B184,'Challan Master'!$S$4:$S$207,0)),""))-YEAR(I184))*12+(MONTH(IFERROR(INDEX('Challan Master'!$D$4:$D$207,MATCH($B184,'Challan Master'!$S$4:$S$207,0)),""))-MONTH(I184))+1),0))))</f>
      </c>
      <c r="O184" s="7">
        <f>IF($C184="","",0)</f>
      </c>
      <c r="P184" s="8"/>
      <c r="Q184" s="8"/>
      <c r="R184" s="8"/>
      <c r="S184" s="8"/>
      <c r="T184" s="8"/>
      <c r="U184" s="7">
        <f>IF($B184="","",IFERROR(INDEX('Challan Master'!$AA$4:$AA$207,MATCH($B184,'Challan Master'!$S$4:$S$207,0)),""))</f>
      </c>
    </row>
    <row r="185" spans="1:22" x14ac:dyDescent="0.25">
      <c r="A185" s="7">
        <f>IF($C185="","",COUNTIF($C$4:$C185,"&lt;&gt;"))</f>
      </c>
      <c r="B185" s="8"/>
      <c r="C185" s="8"/>
      <c r="D185" s="8"/>
      <c r="E185" s="7">
        <f>IF($C185="","",IF(AND(LEN(TRIM(UPPER(D185)))=10,CODE(MID(TRIM(UPPER(D185)),1,1))&gt;=65,CODE(MID(TRIM(UPPER(D185)),1,1))&lt;=90,CODE(MID(TRIM(UPPER(D185)),2,1))&gt;=65,CODE(MID(TRIM(UPPER(D185)),2,1))&lt;=90,CODE(MID(TRIM(UPPER(D185)),3,1))&gt;=65,CODE(MID(TRIM(UPPER(D185)),3,1))&lt;=90,CODE(MID(TRIM(UPPER(D185)),4,1))&gt;=65,CODE(MID(TRIM(UPPER(D185)),4,1))&lt;=90,CODE(MID(TRIM(UPPER(D185)),5,1))&gt;=65,CODE(MID(TRIM(UPPER(D185)),5,1))&lt;=90,CODE(MID(TRIM(UPPER(D185)),10,1))&gt;=65,CODE(MID(TRIM(UPPER(D185)),10,1))&lt;=90,CODE(MID(TRIM(UPPER(D185)),6,1))&gt;=48,CODE(MID(TRIM(UPPER(D185)),6,1))&lt;=57,CODE(MID(TRIM(UPPER(D185)),7,1))&gt;=48,CODE(MID(TRIM(UPPER(D185)),7,1))&lt;=57,CODE(MID(TRIM(UPPER(D185)),8,1))&gt;=48,CODE(MID(TRIM(UPPER(D185)),8,1))&lt;=57,CODE(MID(TRIM(UPPER(D185)),9,1))&gt;=48,CODE(MID(TRIM(UPPER(D185)),9,1))&lt;=57),"N","Y"))</f>
      </c>
      <c r="F185" s="7">
        <f>IF($C185="","",IF(LEN(D185)&lt;4,"",IF(UPPER(MID(D185,4,1))="P","Individual",IF(UPPER(MID(D185,4,1))="H","HUF",IF(UPPER(MID(D185,4,1))="C","Company",IF(UPPER(MID(D185,4,1))="F","Firm",IF(UPPER(MID(D185,4,1))="L","LLP",IF(UPPER(MID(D185,4,1))="T","Trust",IF(UPPER(MID(D185,4,1))="A","AOP","")))))))))</f>
      </c>
      <c r="G185" s="8"/>
      <c r="H185" s="7">
        <f>IF($C185="","",IF(R185&lt;&gt;"",R185,IF(G185="","",IF(E185="Y",SUMPRODUCT(('Rate Lookup'!$A$1:$A$37=G185)*'Rate Lookup'!$D$1:$D$37),IF(OR(F185="Individual",F185="HUF"),SUMPRODUCT(('Rate Lookup'!$A$1:$A$37=G185)*'Rate Lookup'!$B$1:$B$37),SUMPRODUCT(('Rate Lookup'!$A$1:$A$37=G185)*'Rate Lookup'!$C$1:$C$37)))))))</f>
      </c>
      <c r="I185" s="8"/>
      <c r="J185" s="8"/>
      <c r="K185" s="7">
        <f>IF($C185="","",IF(OR(P185="B",P185="D",P185="E",P185="N",P185="O",P185="P",P185="Q",P185="S",P185="Y",P185="Z"),0,ROUND(J185*H185/100,0)))</f>
      </c>
      <c r="L185" s="7">
        <f>IF($C185="","",0)</f>
      </c>
      <c r="M185" s="7">
        <f>IF($C185="","",0)</f>
      </c>
      <c r="N185" s="7">
        <f>IF($C185="","",IF(OR(K185=0,I185="",IFERROR(INDEX('Challan Master'!$D$4:$D$207,MATCH($B185,'Challan Master'!$S$4:$S$207,0)),"")="",IFERROR(INDEX('Challan Master'!$D$4:$D$207,MATCH($B185,'Challan Master'!$S$4:$S$207,0)),"")&lt;=0),0,IF(IFERROR(INDEX('Challan Master'!$D$4:$D$207,MATCH($B185,'Challan Master'!$S$4:$S$207,0)),"")&lt;=DATE(YEAR(I185),MONTH(I185)+1,7),0,ROUND(K185*0.015*((YEAR(IFERROR(INDEX('Challan Master'!$D$4:$D$207,MATCH($B185,'Challan Master'!$S$4:$S$207,0)),""))-YEAR(I185))*12+(MONTH(IFERROR(INDEX('Challan Master'!$D$4:$D$207,MATCH($B185,'Challan Master'!$S$4:$S$207,0)),""))-MONTH(I185))+1),0))))</f>
      </c>
      <c r="O185" s="7">
        <f>IF($C185="","",0)</f>
      </c>
      <c r="P185" s="8"/>
      <c r="Q185" s="8"/>
      <c r="R185" s="8"/>
      <c r="S185" s="8"/>
      <c r="T185" s="8"/>
      <c r="U185" s="7">
        <f>IF($B185="","",IFERROR(INDEX('Challan Master'!$AA$4:$AA$207,MATCH($B185,'Challan Master'!$S$4:$S$207,0)),""))</f>
      </c>
    </row>
    <row r="186" spans="1:22" x14ac:dyDescent="0.25">
      <c r="A186" s="7">
        <f>IF($C186="","",COUNTIF($C$4:$C186,"&lt;&gt;"))</f>
      </c>
      <c r="B186" s="8"/>
      <c r="C186" s="8"/>
      <c r="D186" s="8"/>
      <c r="E186" s="7">
        <f>IF($C186="","",IF(AND(LEN(TRIM(UPPER(D186)))=10,CODE(MID(TRIM(UPPER(D186)),1,1))&gt;=65,CODE(MID(TRIM(UPPER(D186)),1,1))&lt;=90,CODE(MID(TRIM(UPPER(D186)),2,1))&gt;=65,CODE(MID(TRIM(UPPER(D186)),2,1))&lt;=90,CODE(MID(TRIM(UPPER(D186)),3,1))&gt;=65,CODE(MID(TRIM(UPPER(D186)),3,1))&lt;=90,CODE(MID(TRIM(UPPER(D186)),4,1))&gt;=65,CODE(MID(TRIM(UPPER(D186)),4,1))&lt;=90,CODE(MID(TRIM(UPPER(D186)),5,1))&gt;=65,CODE(MID(TRIM(UPPER(D186)),5,1))&lt;=90,CODE(MID(TRIM(UPPER(D186)),10,1))&gt;=65,CODE(MID(TRIM(UPPER(D186)),10,1))&lt;=90,CODE(MID(TRIM(UPPER(D186)),6,1))&gt;=48,CODE(MID(TRIM(UPPER(D186)),6,1))&lt;=57,CODE(MID(TRIM(UPPER(D186)),7,1))&gt;=48,CODE(MID(TRIM(UPPER(D186)),7,1))&lt;=57,CODE(MID(TRIM(UPPER(D186)),8,1))&gt;=48,CODE(MID(TRIM(UPPER(D186)),8,1))&lt;=57,CODE(MID(TRIM(UPPER(D186)),9,1))&gt;=48,CODE(MID(TRIM(UPPER(D186)),9,1))&lt;=57),"N","Y"))</f>
      </c>
      <c r="F186" s="7">
        <f>IF($C186="","",IF(LEN(D186)&lt;4,"",IF(UPPER(MID(D186,4,1))="P","Individual",IF(UPPER(MID(D186,4,1))="H","HUF",IF(UPPER(MID(D186,4,1))="C","Company",IF(UPPER(MID(D186,4,1))="F","Firm",IF(UPPER(MID(D186,4,1))="L","LLP",IF(UPPER(MID(D186,4,1))="T","Trust",IF(UPPER(MID(D186,4,1))="A","AOP","")))))))))</f>
      </c>
      <c r="G186" s="8"/>
      <c r="H186" s="7">
        <f>IF($C186="","",IF(R186&lt;&gt;"",R186,IF(G186="","",IF(E186="Y",SUMPRODUCT(('Rate Lookup'!$A$1:$A$37=G186)*'Rate Lookup'!$D$1:$D$37),IF(OR(F186="Individual",F186="HUF"),SUMPRODUCT(('Rate Lookup'!$A$1:$A$37=G186)*'Rate Lookup'!$B$1:$B$37),SUMPRODUCT(('Rate Lookup'!$A$1:$A$37=G186)*'Rate Lookup'!$C$1:$C$37)))))))</f>
      </c>
      <c r="I186" s="8"/>
      <c r="J186" s="8"/>
      <c r="K186" s="7">
        <f>IF($C186="","",IF(OR(P186="B",P186="D",P186="E",P186="N",P186="O",P186="P",P186="Q",P186="S",P186="Y",P186="Z"),0,ROUND(J186*H186/100,0)))</f>
      </c>
      <c r="L186" s="7">
        <f>IF($C186="","",0)</f>
      </c>
      <c r="M186" s="7">
        <f>IF($C186="","",0)</f>
      </c>
      <c r="N186" s="7">
        <f>IF($C186="","",IF(OR(K186=0,I186="",IFERROR(INDEX('Challan Master'!$D$4:$D$207,MATCH($B186,'Challan Master'!$S$4:$S$207,0)),"")="",IFERROR(INDEX('Challan Master'!$D$4:$D$207,MATCH($B186,'Challan Master'!$S$4:$S$207,0)),"")&lt;=0),0,IF(IFERROR(INDEX('Challan Master'!$D$4:$D$207,MATCH($B186,'Challan Master'!$S$4:$S$207,0)),"")&lt;=DATE(YEAR(I186),MONTH(I186)+1,7),0,ROUND(K186*0.015*((YEAR(IFERROR(INDEX('Challan Master'!$D$4:$D$207,MATCH($B186,'Challan Master'!$S$4:$S$207,0)),""))-YEAR(I186))*12+(MONTH(IFERROR(INDEX('Challan Master'!$D$4:$D$207,MATCH($B186,'Challan Master'!$S$4:$S$207,0)),""))-MONTH(I186))+1),0))))</f>
      </c>
      <c r="O186" s="7">
        <f>IF($C186="","",0)</f>
      </c>
      <c r="P186" s="8"/>
      <c r="Q186" s="8"/>
      <c r="R186" s="8"/>
      <c r="S186" s="8"/>
      <c r="T186" s="8"/>
      <c r="U186" s="7">
        <f>IF($B186="","",IFERROR(INDEX('Challan Master'!$AA$4:$AA$207,MATCH($B186,'Challan Master'!$S$4:$S$207,0)),""))</f>
      </c>
    </row>
    <row r="187" spans="1:22" x14ac:dyDescent="0.25">
      <c r="A187" s="7">
        <f>IF($C187="","",COUNTIF($C$4:$C187,"&lt;&gt;"))</f>
      </c>
      <c r="B187" s="8"/>
      <c r="C187" s="8"/>
      <c r="D187" s="8"/>
      <c r="E187" s="7">
        <f>IF($C187="","",IF(AND(LEN(TRIM(UPPER(D187)))=10,CODE(MID(TRIM(UPPER(D187)),1,1))&gt;=65,CODE(MID(TRIM(UPPER(D187)),1,1))&lt;=90,CODE(MID(TRIM(UPPER(D187)),2,1))&gt;=65,CODE(MID(TRIM(UPPER(D187)),2,1))&lt;=90,CODE(MID(TRIM(UPPER(D187)),3,1))&gt;=65,CODE(MID(TRIM(UPPER(D187)),3,1))&lt;=90,CODE(MID(TRIM(UPPER(D187)),4,1))&gt;=65,CODE(MID(TRIM(UPPER(D187)),4,1))&lt;=90,CODE(MID(TRIM(UPPER(D187)),5,1))&gt;=65,CODE(MID(TRIM(UPPER(D187)),5,1))&lt;=90,CODE(MID(TRIM(UPPER(D187)),10,1))&gt;=65,CODE(MID(TRIM(UPPER(D187)),10,1))&lt;=90,CODE(MID(TRIM(UPPER(D187)),6,1))&gt;=48,CODE(MID(TRIM(UPPER(D187)),6,1))&lt;=57,CODE(MID(TRIM(UPPER(D187)),7,1))&gt;=48,CODE(MID(TRIM(UPPER(D187)),7,1))&lt;=57,CODE(MID(TRIM(UPPER(D187)),8,1))&gt;=48,CODE(MID(TRIM(UPPER(D187)),8,1))&lt;=57,CODE(MID(TRIM(UPPER(D187)),9,1))&gt;=48,CODE(MID(TRIM(UPPER(D187)),9,1))&lt;=57),"N","Y"))</f>
      </c>
      <c r="F187" s="7">
        <f>IF($C187="","",IF(LEN(D187)&lt;4,"",IF(UPPER(MID(D187,4,1))="P","Individual",IF(UPPER(MID(D187,4,1))="H","HUF",IF(UPPER(MID(D187,4,1))="C","Company",IF(UPPER(MID(D187,4,1))="F","Firm",IF(UPPER(MID(D187,4,1))="L","LLP",IF(UPPER(MID(D187,4,1))="T","Trust",IF(UPPER(MID(D187,4,1))="A","AOP","")))))))))</f>
      </c>
      <c r="G187" s="8"/>
      <c r="H187" s="7">
        <f>IF($C187="","",IF(R187&lt;&gt;"",R187,IF(G187="","",IF(E187="Y",SUMPRODUCT(('Rate Lookup'!$A$1:$A$37=G187)*'Rate Lookup'!$D$1:$D$37),IF(OR(F187="Individual",F187="HUF"),SUMPRODUCT(('Rate Lookup'!$A$1:$A$37=G187)*'Rate Lookup'!$B$1:$B$37),SUMPRODUCT(('Rate Lookup'!$A$1:$A$37=G187)*'Rate Lookup'!$C$1:$C$37)))))))</f>
      </c>
      <c r="I187" s="8"/>
      <c r="J187" s="8"/>
      <c r="K187" s="7">
        <f>IF($C187="","",IF(OR(P187="B",P187="D",P187="E",P187="N",P187="O",P187="P",P187="Q",P187="S",P187="Y",P187="Z"),0,ROUND(J187*H187/100,0)))</f>
      </c>
      <c r="L187" s="7">
        <f>IF($C187="","",0)</f>
      </c>
      <c r="M187" s="7">
        <f>IF($C187="","",0)</f>
      </c>
      <c r="N187" s="7">
        <f>IF($C187="","",IF(OR(K187=0,I187="",IFERROR(INDEX('Challan Master'!$D$4:$D$207,MATCH($B187,'Challan Master'!$S$4:$S$207,0)),"")="",IFERROR(INDEX('Challan Master'!$D$4:$D$207,MATCH($B187,'Challan Master'!$S$4:$S$207,0)),"")&lt;=0),0,IF(IFERROR(INDEX('Challan Master'!$D$4:$D$207,MATCH($B187,'Challan Master'!$S$4:$S$207,0)),"")&lt;=DATE(YEAR(I187),MONTH(I187)+1,7),0,ROUND(K187*0.015*((YEAR(IFERROR(INDEX('Challan Master'!$D$4:$D$207,MATCH($B187,'Challan Master'!$S$4:$S$207,0)),""))-YEAR(I187))*12+(MONTH(IFERROR(INDEX('Challan Master'!$D$4:$D$207,MATCH($B187,'Challan Master'!$S$4:$S$207,0)),""))-MONTH(I187))+1),0))))</f>
      </c>
      <c r="O187" s="7">
        <f>IF($C187="","",0)</f>
      </c>
      <c r="P187" s="8"/>
      <c r="Q187" s="8"/>
      <c r="R187" s="8"/>
      <c r="S187" s="8"/>
      <c r="T187" s="8"/>
      <c r="U187" s="7">
        <f>IF($B187="","",IFERROR(INDEX('Challan Master'!$AA$4:$AA$207,MATCH($B187,'Challan Master'!$S$4:$S$207,0)),""))</f>
      </c>
    </row>
    <row r="188" spans="1:22" x14ac:dyDescent="0.25">
      <c r="A188" s="7">
        <f>IF($C188="","",COUNTIF($C$4:$C188,"&lt;&gt;"))</f>
      </c>
      <c r="B188" s="8"/>
      <c r="C188" s="8"/>
      <c r="D188" s="8"/>
      <c r="E188" s="7">
        <f>IF($C188="","",IF(AND(LEN(TRIM(UPPER(D188)))=10,CODE(MID(TRIM(UPPER(D188)),1,1))&gt;=65,CODE(MID(TRIM(UPPER(D188)),1,1))&lt;=90,CODE(MID(TRIM(UPPER(D188)),2,1))&gt;=65,CODE(MID(TRIM(UPPER(D188)),2,1))&lt;=90,CODE(MID(TRIM(UPPER(D188)),3,1))&gt;=65,CODE(MID(TRIM(UPPER(D188)),3,1))&lt;=90,CODE(MID(TRIM(UPPER(D188)),4,1))&gt;=65,CODE(MID(TRIM(UPPER(D188)),4,1))&lt;=90,CODE(MID(TRIM(UPPER(D188)),5,1))&gt;=65,CODE(MID(TRIM(UPPER(D188)),5,1))&lt;=90,CODE(MID(TRIM(UPPER(D188)),10,1))&gt;=65,CODE(MID(TRIM(UPPER(D188)),10,1))&lt;=90,CODE(MID(TRIM(UPPER(D188)),6,1))&gt;=48,CODE(MID(TRIM(UPPER(D188)),6,1))&lt;=57,CODE(MID(TRIM(UPPER(D188)),7,1))&gt;=48,CODE(MID(TRIM(UPPER(D188)),7,1))&lt;=57,CODE(MID(TRIM(UPPER(D188)),8,1))&gt;=48,CODE(MID(TRIM(UPPER(D188)),8,1))&lt;=57,CODE(MID(TRIM(UPPER(D188)),9,1))&gt;=48,CODE(MID(TRIM(UPPER(D188)),9,1))&lt;=57),"N","Y"))</f>
      </c>
      <c r="F188" s="7">
        <f>IF($C188="","",IF(LEN(D188)&lt;4,"",IF(UPPER(MID(D188,4,1))="P","Individual",IF(UPPER(MID(D188,4,1))="H","HUF",IF(UPPER(MID(D188,4,1))="C","Company",IF(UPPER(MID(D188,4,1))="F","Firm",IF(UPPER(MID(D188,4,1))="L","LLP",IF(UPPER(MID(D188,4,1))="T","Trust",IF(UPPER(MID(D188,4,1))="A","AOP","")))))))))</f>
      </c>
      <c r="G188" s="8"/>
      <c r="H188" s="7">
        <f>IF($C188="","",IF(R188&lt;&gt;"",R188,IF(G188="","",IF(E188="Y",SUMPRODUCT(('Rate Lookup'!$A$1:$A$37=G188)*'Rate Lookup'!$D$1:$D$37),IF(OR(F188="Individual",F188="HUF"),SUMPRODUCT(('Rate Lookup'!$A$1:$A$37=G188)*'Rate Lookup'!$B$1:$B$37),SUMPRODUCT(('Rate Lookup'!$A$1:$A$37=G188)*'Rate Lookup'!$C$1:$C$37)))))))</f>
      </c>
      <c r="I188" s="8"/>
      <c r="J188" s="8"/>
      <c r="K188" s="7">
        <f>IF($C188="","",IF(OR(P188="B",P188="D",P188="E",P188="N",P188="O",P188="P",P188="Q",P188="S",P188="Y",P188="Z"),0,ROUND(J188*H188/100,0)))</f>
      </c>
      <c r="L188" s="7">
        <f>IF($C188="","",0)</f>
      </c>
      <c r="M188" s="7">
        <f>IF($C188="","",0)</f>
      </c>
      <c r="N188" s="7">
        <f>IF($C188="","",IF(OR(K188=0,I188="",IFERROR(INDEX('Challan Master'!$D$4:$D$207,MATCH($B188,'Challan Master'!$S$4:$S$207,0)),"")="",IFERROR(INDEX('Challan Master'!$D$4:$D$207,MATCH($B188,'Challan Master'!$S$4:$S$207,0)),"")&lt;=0),0,IF(IFERROR(INDEX('Challan Master'!$D$4:$D$207,MATCH($B188,'Challan Master'!$S$4:$S$207,0)),"")&lt;=DATE(YEAR(I188),MONTH(I188)+1,7),0,ROUND(K188*0.015*((YEAR(IFERROR(INDEX('Challan Master'!$D$4:$D$207,MATCH($B188,'Challan Master'!$S$4:$S$207,0)),""))-YEAR(I188))*12+(MONTH(IFERROR(INDEX('Challan Master'!$D$4:$D$207,MATCH($B188,'Challan Master'!$S$4:$S$207,0)),""))-MONTH(I188))+1),0))))</f>
      </c>
      <c r="O188" s="7">
        <f>IF($C188="","",0)</f>
      </c>
      <c r="P188" s="8"/>
      <c r="Q188" s="8"/>
      <c r="R188" s="8"/>
      <c r="S188" s="8"/>
      <c r="T188" s="8"/>
      <c r="U188" s="7">
        <f>IF($B188="","",IFERROR(INDEX('Challan Master'!$AA$4:$AA$207,MATCH($B188,'Challan Master'!$S$4:$S$207,0)),""))</f>
      </c>
    </row>
    <row r="189" spans="1:22" x14ac:dyDescent="0.25">
      <c r="A189" s="7">
        <f>IF($C189="","",COUNTIF($C$4:$C189,"&lt;&gt;"))</f>
      </c>
      <c r="B189" s="8"/>
      <c r="C189" s="8"/>
      <c r="D189" s="8"/>
      <c r="E189" s="7">
        <f>IF($C189="","",IF(AND(LEN(TRIM(UPPER(D189)))=10,CODE(MID(TRIM(UPPER(D189)),1,1))&gt;=65,CODE(MID(TRIM(UPPER(D189)),1,1))&lt;=90,CODE(MID(TRIM(UPPER(D189)),2,1))&gt;=65,CODE(MID(TRIM(UPPER(D189)),2,1))&lt;=90,CODE(MID(TRIM(UPPER(D189)),3,1))&gt;=65,CODE(MID(TRIM(UPPER(D189)),3,1))&lt;=90,CODE(MID(TRIM(UPPER(D189)),4,1))&gt;=65,CODE(MID(TRIM(UPPER(D189)),4,1))&lt;=90,CODE(MID(TRIM(UPPER(D189)),5,1))&gt;=65,CODE(MID(TRIM(UPPER(D189)),5,1))&lt;=90,CODE(MID(TRIM(UPPER(D189)),10,1))&gt;=65,CODE(MID(TRIM(UPPER(D189)),10,1))&lt;=90,CODE(MID(TRIM(UPPER(D189)),6,1))&gt;=48,CODE(MID(TRIM(UPPER(D189)),6,1))&lt;=57,CODE(MID(TRIM(UPPER(D189)),7,1))&gt;=48,CODE(MID(TRIM(UPPER(D189)),7,1))&lt;=57,CODE(MID(TRIM(UPPER(D189)),8,1))&gt;=48,CODE(MID(TRIM(UPPER(D189)),8,1))&lt;=57,CODE(MID(TRIM(UPPER(D189)),9,1))&gt;=48,CODE(MID(TRIM(UPPER(D189)),9,1))&lt;=57),"N","Y"))</f>
      </c>
      <c r="F189" s="7">
        <f>IF($C189="","",IF(LEN(D189)&lt;4,"",IF(UPPER(MID(D189,4,1))="P","Individual",IF(UPPER(MID(D189,4,1))="H","HUF",IF(UPPER(MID(D189,4,1))="C","Company",IF(UPPER(MID(D189,4,1))="F","Firm",IF(UPPER(MID(D189,4,1))="L","LLP",IF(UPPER(MID(D189,4,1))="T","Trust",IF(UPPER(MID(D189,4,1))="A","AOP","")))))))))</f>
      </c>
      <c r="G189" s="8"/>
      <c r="H189" s="7">
        <f>IF($C189="","",IF(R189&lt;&gt;"",R189,IF(G189="","",IF(E189="Y",SUMPRODUCT(('Rate Lookup'!$A$1:$A$37=G189)*'Rate Lookup'!$D$1:$D$37),IF(OR(F189="Individual",F189="HUF"),SUMPRODUCT(('Rate Lookup'!$A$1:$A$37=G189)*'Rate Lookup'!$B$1:$B$37),SUMPRODUCT(('Rate Lookup'!$A$1:$A$37=G189)*'Rate Lookup'!$C$1:$C$37)))))))</f>
      </c>
      <c r="I189" s="8"/>
      <c r="J189" s="8"/>
      <c r="K189" s="7">
        <f>IF($C189="","",IF(OR(P189="B",P189="D",P189="E",P189="N",P189="O",P189="P",P189="Q",P189="S",P189="Y",P189="Z"),0,ROUND(J189*H189/100,0)))</f>
      </c>
      <c r="L189" s="7">
        <f>IF($C189="","",0)</f>
      </c>
      <c r="M189" s="7">
        <f>IF($C189="","",0)</f>
      </c>
      <c r="N189" s="7">
        <f>IF($C189="","",IF(OR(K189=0,I189="",IFERROR(INDEX('Challan Master'!$D$4:$D$207,MATCH($B189,'Challan Master'!$S$4:$S$207,0)),"")="",IFERROR(INDEX('Challan Master'!$D$4:$D$207,MATCH($B189,'Challan Master'!$S$4:$S$207,0)),"")&lt;=0),0,IF(IFERROR(INDEX('Challan Master'!$D$4:$D$207,MATCH($B189,'Challan Master'!$S$4:$S$207,0)),"")&lt;=DATE(YEAR(I189),MONTH(I189)+1,7),0,ROUND(K189*0.015*((YEAR(IFERROR(INDEX('Challan Master'!$D$4:$D$207,MATCH($B189,'Challan Master'!$S$4:$S$207,0)),""))-YEAR(I189))*12+(MONTH(IFERROR(INDEX('Challan Master'!$D$4:$D$207,MATCH($B189,'Challan Master'!$S$4:$S$207,0)),""))-MONTH(I189))+1),0))))</f>
      </c>
      <c r="O189" s="7">
        <f>IF($C189="","",0)</f>
      </c>
      <c r="P189" s="8"/>
      <c r="Q189" s="8"/>
      <c r="R189" s="8"/>
      <c r="S189" s="8"/>
      <c r="T189" s="8"/>
      <c r="U189" s="7">
        <f>IF($B189="","",IFERROR(INDEX('Challan Master'!$AA$4:$AA$207,MATCH($B189,'Challan Master'!$S$4:$S$207,0)),""))</f>
      </c>
    </row>
    <row r="190" spans="1:22" x14ac:dyDescent="0.25">
      <c r="A190" s="7">
        <f>IF($C190="","",COUNTIF($C$4:$C190,"&lt;&gt;"))</f>
      </c>
      <c r="B190" s="8"/>
      <c r="C190" s="8"/>
      <c r="D190" s="8"/>
      <c r="E190" s="7">
        <f>IF($C190="","",IF(AND(LEN(TRIM(UPPER(D190)))=10,CODE(MID(TRIM(UPPER(D190)),1,1))&gt;=65,CODE(MID(TRIM(UPPER(D190)),1,1))&lt;=90,CODE(MID(TRIM(UPPER(D190)),2,1))&gt;=65,CODE(MID(TRIM(UPPER(D190)),2,1))&lt;=90,CODE(MID(TRIM(UPPER(D190)),3,1))&gt;=65,CODE(MID(TRIM(UPPER(D190)),3,1))&lt;=90,CODE(MID(TRIM(UPPER(D190)),4,1))&gt;=65,CODE(MID(TRIM(UPPER(D190)),4,1))&lt;=90,CODE(MID(TRIM(UPPER(D190)),5,1))&gt;=65,CODE(MID(TRIM(UPPER(D190)),5,1))&lt;=90,CODE(MID(TRIM(UPPER(D190)),10,1))&gt;=65,CODE(MID(TRIM(UPPER(D190)),10,1))&lt;=90,CODE(MID(TRIM(UPPER(D190)),6,1))&gt;=48,CODE(MID(TRIM(UPPER(D190)),6,1))&lt;=57,CODE(MID(TRIM(UPPER(D190)),7,1))&gt;=48,CODE(MID(TRIM(UPPER(D190)),7,1))&lt;=57,CODE(MID(TRIM(UPPER(D190)),8,1))&gt;=48,CODE(MID(TRIM(UPPER(D190)),8,1))&lt;=57,CODE(MID(TRIM(UPPER(D190)),9,1))&gt;=48,CODE(MID(TRIM(UPPER(D190)),9,1))&lt;=57),"N","Y"))</f>
      </c>
      <c r="F190" s="7">
        <f>IF($C190="","",IF(LEN(D190)&lt;4,"",IF(UPPER(MID(D190,4,1))="P","Individual",IF(UPPER(MID(D190,4,1))="H","HUF",IF(UPPER(MID(D190,4,1))="C","Company",IF(UPPER(MID(D190,4,1))="F","Firm",IF(UPPER(MID(D190,4,1))="L","LLP",IF(UPPER(MID(D190,4,1))="T","Trust",IF(UPPER(MID(D190,4,1))="A","AOP","")))))))))</f>
      </c>
      <c r="G190" s="8"/>
      <c r="H190" s="7">
        <f>IF($C190="","",IF(R190&lt;&gt;"",R190,IF(G190="","",IF(E190="Y",SUMPRODUCT(('Rate Lookup'!$A$1:$A$37=G190)*'Rate Lookup'!$D$1:$D$37),IF(OR(F190="Individual",F190="HUF"),SUMPRODUCT(('Rate Lookup'!$A$1:$A$37=G190)*'Rate Lookup'!$B$1:$B$37),SUMPRODUCT(('Rate Lookup'!$A$1:$A$37=G190)*'Rate Lookup'!$C$1:$C$37)))))))</f>
      </c>
      <c r="I190" s="8"/>
      <c r="J190" s="8"/>
      <c r="K190" s="7">
        <f>IF($C190="","",IF(OR(P190="B",P190="D",P190="E",P190="N",P190="O",P190="P",P190="Q",P190="S",P190="Y",P190="Z"),0,ROUND(J190*H190/100,0)))</f>
      </c>
      <c r="L190" s="7">
        <f>IF($C190="","",0)</f>
      </c>
      <c r="M190" s="7">
        <f>IF($C190="","",0)</f>
      </c>
      <c r="N190" s="7">
        <f>IF($C190="","",IF(OR(K190=0,I190="",IFERROR(INDEX('Challan Master'!$D$4:$D$207,MATCH($B190,'Challan Master'!$S$4:$S$207,0)),"")="",IFERROR(INDEX('Challan Master'!$D$4:$D$207,MATCH($B190,'Challan Master'!$S$4:$S$207,0)),"")&lt;=0),0,IF(IFERROR(INDEX('Challan Master'!$D$4:$D$207,MATCH($B190,'Challan Master'!$S$4:$S$207,0)),"")&lt;=DATE(YEAR(I190),MONTH(I190)+1,7),0,ROUND(K190*0.015*((YEAR(IFERROR(INDEX('Challan Master'!$D$4:$D$207,MATCH($B190,'Challan Master'!$S$4:$S$207,0)),""))-YEAR(I190))*12+(MONTH(IFERROR(INDEX('Challan Master'!$D$4:$D$207,MATCH($B190,'Challan Master'!$S$4:$S$207,0)),""))-MONTH(I190))+1),0))))</f>
      </c>
      <c r="O190" s="7">
        <f>IF($C190="","",0)</f>
      </c>
      <c r="P190" s="8"/>
      <c r="Q190" s="8"/>
      <c r="R190" s="8"/>
      <c r="S190" s="8"/>
      <c r="T190" s="8"/>
      <c r="U190" s="7">
        <f>IF($B190="","",IFERROR(INDEX('Challan Master'!$AA$4:$AA$207,MATCH($B190,'Challan Master'!$S$4:$S$207,0)),""))</f>
      </c>
    </row>
    <row r="191" spans="1:22" x14ac:dyDescent="0.25">
      <c r="A191" s="7">
        <f>IF($C191="","",COUNTIF($C$4:$C191,"&lt;&gt;"))</f>
      </c>
      <c r="B191" s="8"/>
      <c r="C191" s="8"/>
      <c r="D191" s="8"/>
      <c r="E191" s="7">
        <f>IF($C191="","",IF(AND(LEN(TRIM(UPPER(D191)))=10,CODE(MID(TRIM(UPPER(D191)),1,1))&gt;=65,CODE(MID(TRIM(UPPER(D191)),1,1))&lt;=90,CODE(MID(TRIM(UPPER(D191)),2,1))&gt;=65,CODE(MID(TRIM(UPPER(D191)),2,1))&lt;=90,CODE(MID(TRIM(UPPER(D191)),3,1))&gt;=65,CODE(MID(TRIM(UPPER(D191)),3,1))&lt;=90,CODE(MID(TRIM(UPPER(D191)),4,1))&gt;=65,CODE(MID(TRIM(UPPER(D191)),4,1))&lt;=90,CODE(MID(TRIM(UPPER(D191)),5,1))&gt;=65,CODE(MID(TRIM(UPPER(D191)),5,1))&lt;=90,CODE(MID(TRIM(UPPER(D191)),10,1))&gt;=65,CODE(MID(TRIM(UPPER(D191)),10,1))&lt;=90,CODE(MID(TRIM(UPPER(D191)),6,1))&gt;=48,CODE(MID(TRIM(UPPER(D191)),6,1))&lt;=57,CODE(MID(TRIM(UPPER(D191)),7,1))&gt;=48,CODE(MID(TRIM(UPPER(D191)),7,1))&lt;=57,CODE(MID(TRIM(UPPER(D191)),8,1))&gt;=48,CODE(MID(TRIM(UPPER(D191)),8,1))&lt;=57,CODE(MID(TRIM(UPPER(D191)),9,1))&gt;=48,CODE(MID(TRIM(UPPER(D191)),9,1))&lt;=57),"N","Y"))</f>
      </c>
      <c r="F191" s="7">
        <f>IF($C191="","",IF(LEN(D191)&lt;4,"",IF(UPPER(MID(D191,4,1))="P","Individual",IF(UPPER(MID(D191,4,1))="H","HUF",IF(UPPER(MID(D191,4,1))="C","Company",IF(UPPER(MID(D191,4,1))="F","Firm",IF(UPPER(MID(D191,4,1))="L","LLP",IF(UPPER(MID(D191,4,1))="T","Trust",IF(UPPER(MID(D191,4,1))="A","AOP","")))))))))</f>
      </c>
      <c r="G191" s="8"/>
      <c r="H191" s="7">
        <f>IF($C191="","",IF(R191&lt;&gt;"",R191,IF(G191="","",IF(E191="Y",SUMPRODUCT(('Rate Lookup'!$A$1:$A$37=G191)*'Rate Lookup'!$D$1:$D$37),IF(OR(F191="Individual",F191="HUF"),SUMPRODUCT(('Rate Lookup'!$A$1:$A$37=G191)*'Rate Lookup'!$B$1:$B$37),SUMPRODUCT(('Rate Lookup'!$A$1:$A$37=G191)*'Rate Lookup'!$C$1:$C$37)))))))</f>
      </c>
      <c r="I191" s="8"/>
      <c r="J191" s="8"/>
      <c r="K191" s="7">
        <f>IF($C191="","",IF(OR(P191="B",P191="D",P191="E",P191="N",P191="O",P191="P",P191="Q",P191="S",P191="Y",P191="Z"),0,ROUND(J191*H191/100,0)))</f>
      </c>
      <c r="L191" s="7">
        <f>IF($C191="","",0)</f>
      </c>
      <c r="M191" s="7">
        <f>IF($C191="","",0)</f>
      </c>
      <c r="N191" s="7">
        <f>IF($C191="","",IF(OR(K191=0,I191="",IFERROR(INDEX('Challan Master'!$D$4:$D$207,MATCH($B191,'Challan Master'!$S$4:$S$207,0)),"")="",IFERROR(INDEX('Challan Master'!$D$4:$D$207,MATCH($B191,'Challan Master'!$S$4:$S$207,0)),"")&lt;=0),0,IF(IFERROR(INDEX('Challan Master'!$D$4:$D$207,MATCH($B191,'Challan Master'!$S$4:$S$207,0)),"")&lt;=DATE(YEAR(I191),MONTH(I191)+1,7),0,ROUND(K191*0.015*((YEAR(IFERROR(INDEX('Challan Master'!$D$4:$D$207,MATCH($B191,'Challan Master'!$S$4:$S$207,0)),""))-YEAR(I191))*12+(MONTH(IFERROR(INDEX('Challan Master'!$D$4:$D$207,MATCH($B191,'Challan Master'!$S$4:$S$207,0)),""))-MONTH(I191))+1),0))))</f>
      </c>
      <c r="O191" s="7">
        <f>IF($C191="","",0)</f>
      </c>
      <c r="P191" s="8"/>
      <c r="Q191" s="8"/>
      <c r="R191" s="8"/>
      <c r="S191" s="8"/>
      <c r="T191" s="8"/>
      <c r="U191" s="7">
        <f>IF($B191="","",IFERROR(INDEX('Challan Master'!$AA$4:$AA$207,MATCH($B191,'Challan Master'!$S$4:$S$207,0)),""))</f>
      </c>
    </row>
    <row r="192" spans="1:22" x14ac:dyDescent="0.25">
      <c r="A192" s="7">
        <f>IF($C192="","",COUNTIF($C$4:$C192,"&lt;&gt;"))</f>
      </c>
      <c r="B192" s="8"/>
      <c r="C192" s="8"/>
      <c r="D192" s="8"/>
      <c r="E192" s="7">
        <f>IF($C192="","",IF(AND(LEN(TRIM(UPPER(D192)))=10,CODE(MID(TRIM(UPPER(D192)),1,1))&gt;=65,CODE(MID(TRIM(UPPER(D192)),1,1))&lt;=90,CODE(MID(TRIM(UPPER(D192)),2,1))&gt;=65,CODE(MID(TRIM(UPPER(D192)),2,1))&lt;=90,CODE(MID(TRIM(UPPER(D192)),3,1))&gt;=65,CODE(MID(TRIM(UPPER(D192)),3,1))&lt;=90,CODE(MID(TRIM(UPPER(D192)),4,1))&gt;=65,CODE(MID(TRIM(UPPER(D192)),4,1))&lt;=90,CODE(MID(TRIM(UPPER(D192)),5,1))&gt;=65,CODE(MID(TRIM(UPPER(D192)),5,1))&lt;=90,CODE(MID(TRIM(UPPER(D192)),10,1))&gt;=65,CODE(MID(TRIM(UPPER(D192)),10,1))&lt;=90,CODE(MID(TRIM(UPPER(D192)),6,1))&gt;=48,CODE(MID(TRIM(UPPER(D192)),6,1))&lt;=57,CODE(MID(TRIM(UPPER(D192)),7,1))&gt;=48,CODE(MID(TRIM(UPPER(D192)),7,1))&lt;=57,CODE(MID(TRIM(UPPER(D192)),8,1))&gt;=48,CODE(MID(TRIM(UPPER(D192)),8,1))&lt;=57,CODE(MID(TRIM(UPPER(D192)),9,1))&gt;=48,CODE(MID(TRIM(UPPER(D192)),9,1))&lt;=57),"N","Y"))</f>
      </c>
      <c r="F192" s="7">
        <f>IF($C192="","",IF(LEN(D192)&lt;4,"",IF(UPPER(MID(D192,4,1))="P","Individual",IF(UPPER(MID(D192,4,1))="H","HUF",IF(UPPER(MID(D192,4,1))="C","Company",IF(UPPER(MID(D192,4,1))="F","Firm",IF(UPPER(MID(D192,4,1))="L","LLP",IF(UPPER(MID(D192,4,1))="T","Trust",IF(UPPER(MID(D192,4,1))="A","AOP","")))))))))</f>
      </c>
      <c r="G192" s="8"/>
      <c r="H192" s="7">
        <f>IF($C192="","",IF(R192&lt;&gt;"",R192,IF(G192="","",IF(E192="Y",SUMPRODUCT(('Rate Lookup'!$A$1:$A$37=G192)*'Rate Lookup'!$D$1:$D$37),IF(OR(F192="Individual",F192="HUF"),SUMPRODUCT(('Rate Lookup'!$A$1:$A$37=G192)*'Rate Lookup'!$B$1:$B$37),SUMPRODUCT(('Rate Lookup'!$A$1:$A$37=G192)*'Rate Lookup'!$C$1:$C$37)))))))</f>
      </c>
      <c r="I192" s="8"/>
      <c r="J192" s="8"/>
      <c r="K192" s="7">
        <f>IF($C192="","",IF(OR(P192="B",P192="D",P192="E",P192="N",P192="O",P192="P",P192="Q",P192="S",P192="Y",P192="Z"),0,ROUND(J192*H192/100,0)))</f>
      </c>
      <c r="L192" s="7">
        <f>IF($C192="","",0)</f>
      </c>
      <c r="M192" s="7">
        <f>IF($C192="","",0)</f>
      </c>
      <c r="N192" s="7">
        <f>IF($C192="","",IF(OR(K192=0,I192="",IFERROR(INDEX('Challan Master'!$D$4:$D$207,MATCH($B192,'Challan Master'!$S$4:$S$207,0)),"")="",IFERROR(INDEX('Challan Master'!$D$4:$D$207,MATCH($B192,'Challan Master'!$S$4:$S$207,0)),"")&lt;=0),0,IF(IFERROR(INDEX('Challan Master'!$D$4:$D$207,MATCH($B192,'Challan Master'!$S$4:$S$207,0)),"")&lt;=DATE(YEAR(I192),MONTH(I192)+1,7),0,ROUND(K192*0.015*((YEAR(IFERROR(INDEX('Challan Master'!$D$4:$D$207,MATCH($B192,'Challan Master'!$S$4:$S$207,0)),""))-YEAR(I192))*12+(MONTH(IFERROR(INDEX('Challan Master'!$D$4:$D$207,MATCH($B192,'Challan Master'!$S$4:$S$207,0)),""))-MONTH(I192))+1),0))))</f>
      </c>
      <c r="O192" s="7">
        <f>IF($C192="","",0)</f>
      </c>
      <c r="P192" s="8"/>
      <c r="Q192" s="8"/>
      <c r="R192" s="8"/>
      <c r="S192" s="8"/>
      <c r="T192" s="8"/>
      <c r="U192" s="7">
        <f>IF($B192="","",IFERROR(INDEX('Challan Master'!$AA$4:$AA$207,MATCH($B192,'Challan Master'!$S$4:$S$207,0)),""))</f>
      </c>
    </row>
    <row r="193" spans="1:22" x14ac:dyDescent="0.25">
      <c r="A193" s="7">
        <f>IF($C193="","",COUNTIF($C$4:$C193,"&lt;&gt;"))</f>
      </c>
      <c r="B193" s="8"/>
      <c r="C193" s="8"/>
      <c r="D193" s="8"/>
      <c r="E193" s="7">
        <f>IF($C193="","",IF(AND(LEN(TRIM(UPPER(D193)))=10,CODE(MID(TRIM(UPPER(D193)),1,1))&gt;=65,CODE(MID(TRIM(UPPER(D193)),1,1))&lt;=90,CODE(MID(TRIM(UPPER(D193)),2,1))&gt;=65,CODE(MID(TRIM(UPPER(D193)),2,1))&lt;=90,CODE(MID(TRIM(UPPER(D193)),3,1))&gt;=65,CODE(MID(TRIM(UPPER(D193)),3,1))&lt;=90,CODE(MID(TRIM(UPPER(D193)),4,1))&gt;=65,CODE(MID(TRIM(UPPER(D193)),4,1))&lt;=90,CODE(MID(TRIM(UPPER(D193)),5,1))&gt;=65,CODE(MID(TRIM(UPPER(D193)),5,1))&lt;=90,CODE(MID(TRIM(UPPER(D193)),10,1))&gt;=65,CODE(MID(TRIM(UPPER(D193)),10,1))&lt;=90,CODE(MID(TRIM(UPPER(D193)),6,1))&gt;=48,CODE(MID(TRIM(UPPER(D193)),6,1))&lt;=57,CODE(MID(TRIM(UPPER(D193)),7,1))&gt;=48,CODE(MID(TRIM(UPPER(D193)),7,1))&lt;=57,CODE(MID(TRIM(UPPER(D193)),8,1))&gt;=48,CODE(MID(TRIM(UPPER(D193)),8,1))&lt;=57,CODE(MID(TRIM(UPPER(D193)),9,1))&gt;=48,CODE(MID(TRIM(UPPER(D193)),9,1))&lt;=57),"N","Y"))</f>
      </c>
      <c r="F193" s="7">
        <f>IF($C193="","",IF(LEN(D193)&lt;4,"",IF(UPPER(MID(D193,4,1))="P","Individual",IF(UPPER(MID(D193,4,1))="H","HUF",IF(UPPER(MID(D193,4,1))="C","Company",IF(UPPER(MID(D193,4,1))="F","Firm",IF(UPPER(MID(D193,4,1))="L","LLP",IF(UPPER(MID(D193,4,1))="T","Trust",IF(UPPER(MID(D193,4,1))="A","AOP","")))))))))</f>
      </c>
      <c r="G193" s="8"/>
      <c r="H193" s="7">
        <f>IF($C193="","",IF(R193&lt;&gt;"",R193,IF(G193="","",IF(E193="Y",SUMPRODUCT(('Rate Lookup'!$A$1:$A$37=G193)*'Rate Lookup'!$D$1:$D$37),IF(OR(F193="Individual",F193="HUF"),SUMPRODUCT(('Rate Lookup'!$A$1:$A$37=G193)*'Rate Lookup'!$B$1:$B$37),SUMPRODUCT(('Rate Lookup'!$A$1:$A$37=G193)*'Rate Lookup'!$C$1:$C$37)))))))</f>
      </c>
      <c r="I193" s="8"/>
      <c r="J193" s="8"/>
      <c r="K193" s="7">
        <f>IF($C193="","",IF(OR(P193="B",P193="D",P193="E",P193="N",P193="O",P193="P",P193="Q",P193="S",P193="Y",P193="Z"),0,ROUND(J193*H193/100,0)))</f>
      </c>
      <c r="L193" s="7">
        <f>IF($C193="","",0)</f>
      </c>
      <c r="M193" s="7">
        <f>IF($C193="","",0)</f>
      </c>
      <c r="N193" s="7">
        <f>IF($C193="","",IF(OR(K193=0,I193="",IFERROR(INDEX('Challan Master'!$D$4:$D$207,MATCH($B193,'Challan Master'!$S$4:$S$207,0)),"")="",IFERROR(INDEX('Challan Master'!$D$4:$D$207,MATCH($B193,'Challan Master'!$S$4:$S$207,0)),"")&lt;=0),0,IF(IFERROR(INDEX('Challan Master'!$D$4:$D$207,MATCH($B193,'Challan Master'!$S$4:$S$207,0)),"")&lt;=DATE(YEAR(I193),MONTH(I193)+1,7),0,ROUND(K193*0.015*((YEAR(IFERROR(INDEX('Challan Master'!$D$4:$D$207,MATCH($B193,'Challan Master'!$S$4:$S$207,0)),""))-YEAR(I193))*12+(MONTH(IFERROR(INDEX('Challan Master'!$D$4:$D$207,MATCH($B193,'Challan Master'!$S$4:$S$207,0)),""))-MONTH(I193))+1),0))))</f>
      </c>
      <c r="O193" s="7">
        <f>IF($C193="","",0)</f>
      </c>
      <c r="P193" s="8"/>
      <c r="Q193" s="8"/>
      <c r="R193" s="8"/>
      <c r="S193" s="8"/>
      <c r="T193" s="8"/>
      <c r="U193" s="7">
        <f>IF($B193="","",IFERROR(INDEX('Challan Master'!$AA$4:$AA$207,MATCH($B193,'Challan Master'!$S$4:$S$207,0)),""))</f>
      </c>
    </row>
    <row r="194" spans="1:22" x14ac:dyDescent="0.25">
      <c r="A194" s="7">
        <f>IF($C194="","",COUNTIF($C$4:$C194,"&lt;&gt;"))</f>
      </c>
      <c r="B194" s="8"/>
      <c r="C194" s="8"/>
      <c r="D194" s="8"/>
      <c r="E194" s="7">
        <f>IF($C194="","",IF(AND(LEN(TRIM(UPPER(D194)))=10,CODE(MID(TRIM(UPPER(D194)),1,1))&gt;=65,CODE(MID(TRIM(UPPER(D194)),1,1))&lt;=90,CODE(MID(TRIM(UPPER(D194)),2,1))&gt;=65,CODE(MID(TRIM(UPPER(D194)),2,1))&lt;=90,CODE(MID(TRIM(UPPER(D194)),3,1))&gt;=65,CODE(MID(TRIM(UPPER(D194)),3,1))&lt;=90,CODE(MID(TRIM(UPPER(D194)),4,1))&gt;=65,CODE(MID(TRIM(UPPER(D194)),4,1))&lt;=90,CODE(MID(TRIM(UPPER(D194)),5,1))&gt;=65,CODE(MID(TRIM(UPPER(D194)),5,1))&lt;=90,CODE(MID(TRIM(UPPER(D194)),10,1))&gt;=65,CODE(MID(TRIM(UPPER(D194)),10,1))&lt;=90,CODE(MID(TRIM(UPPER(D194)),6,1))&gt;=48,CODE(MID(TRIM(UPPER(D194)),6,1))&lt;=57,CODE(MID(TRIM(UPPER(D194)),7,1))&gt;=48,CODE(MID(TRIM(UPPER(D194)),7,1))&lt;=57,CODE(MID(TRIM(UPPER(D194)),8,1))&gt;=48,CODE(MID(TRIM(UPPER(D194)),8,1))&lt;=57,CODE(MID(TRIM(UPPER(D194)),9,1))&gt;=48,CODE(MID(TRIM(UPPER(D194)),9,1))&lt;=57),"N","Y"))</f>
      </c>
      <c r="F194" s="7">
        <f>IF($C194="","",IF(LEN(D194)&lt;4,"",IF(UPPER(MID(D194,4,1))="P","Individual",IF(UPPER(MID(D194,4,1))="H","HUF",IF(UPPER(MID(D194,4,1))="C","Company",IF(UPPER(MID(D194,4,1))="F","Firm",IF(UPPER(MID(D194,4,1))="L","LLP",IF(UPPER(MID(D194,4,1))="T","Trust",IF(UPPER(MID(D194,4,1))="A","AOP","")))))))))</f>
      </c>
      <c r="G194" s="8"/>
      <c r="H194" s="7">
        <f>IF($C194="","",IF(R194&lt;&gt;"",R194,IF(G194="","",IF(E194="Y",SUMPRODUCT(('Rate Lookup'!$A$1:$A$37=G194)*'Rate Lookup'!$D$1:$D$37),IF(OR(F194="Individual",F194="HUF"),SUMPRODUCT(('Rate Lookup'!$A$1:$A$37=G194)*'Rate Lookup'!$B$1:$B$37),SUMPRODUCT(('Rate Lookup'!$A$1:$A$37=G194)*'Rate Lookup'!$C$1:$C$37)))))))</f>
      </c>
      <c r="I194" s="8"/>
      <c r="J194" s="8"/>
      <c r="K194" s="7">
        <f>IF($C194="","",IF(OR(P194="B",P194="D",P194="E",P194="N",P194="O",P194="P",P194="Q",P194="S",P194="Y",P194="Z"),0,ROUND(J194*H194/100,0)))</f>
      </c>
      <c r="L194" s="7">
        <f>IF($C194="","",0)</f>
      </c>
      <c r="M194" s="7">
        <f>IF($C194="","",0)</f>
      </c>
      <c r="N194" s="7">
        <f>IF($C194="","",IF(OR(K194=0,I194="",IFERROR(INDEX('Challan Master'!$D$4:$D$207,MATCH($B194,'Challan Master'!$S$4:$S$207,0)),"")="",IFERROR(INDEX('Challan Master'!$D$4:$D$207,MATCH($B194,'Challan Master'!$S$4:$S$207,0)),"")&lt;=0),0,IF(IFERROR(INDEX('Challan Master'!$D$4:$D$207,MATCH($B194,'Challan Master'!$S$4:$S$207,0)),"")&lt;=DATE(YEAR(I194),MONTH(I194)+1,7),0,ROUND(K194*0.015*((YEAR(IFERROR(INDEX('Challan Master'!$D$4:$D$207,MATCH($B194,'Challan Master'!$S$4:$S$207,0)),""))-YEAR(I194))*12+(MONTH(IFERROR(INDEX('Challan Master'!$D$4:$D$207,MATCH($B194,'Challan Master'!$S$4:$S$207,0)),""))-MONTH(I194))+1),0))))</f>
      </c>
      <c r="O194" s="7">
        <f>IF($C194="","",0)</f>
      </c>
      <c r="P194" s="8"/>
      <c r="Q194" s="8"/>
      <c r="R194" s="8"/>
      <c r="S194" s="8"/>
      <c r="T194" s="8"/>
      <c r="U194" s="7">
        <f>IF($B194="","",IFERROR(INDEX('Challan Master'!$AA$4:$AA$207,MATCH($B194,'Challan Master'!$S$4:$S$207,0)),""))</f>
      </c>
    </row>
    <row r="195" spans="1:22" x14ac:dyDescent="0.25">
      <c r="A195" s="7">
        <f>IF($C195="","",COUNTIF($C$4:$C195,"&lt;&gt;"))</f>
      </c>
      <c r="B195" s="8"/>
      <c r="C195" s="8"/>
      <c r="D195" s="8"/>
      <c r="E195" s="7">
        <f>IF($C195="","",IF(AND(LEN(TRIM(UPPER(D195)))=10,CODE(MID(TRIM(UPPER(D195)),1,1))&gt;=65,CODE(MID(TRIM(UPPER(D195)),1,1))&lt;=90,CODE(MID(TRIM(UPPER(D195)),2,1))&gt;=65,CODE(MID(TRIM(UPPER(D195)),2,1))&lt;=90,CODE(MID(TRIM(UPPER(D195)),3,1))&gt;=65,CODE(MID(TRIM(UPPER(D195)),3,1))&lt;=90,CODE(MID(TRIM(UPPER(D195)),4,1))&gt;=65,CODE(MID(TRIM(UPPER(D195)),4,1))&lt;=90,CODE(MID(TRIM(UPPER(D195)),5,1))&gt;=65,CODE(MID(TRIM(UPPER(D195)),5,1))&lt;=90,CODE(MID(TRIM(UPPER(D195)),10,1))&gt;=65,CODE(MID(TRIM(UPPER(D195)),10,1))&lt;=90,CODE(MID(TRIM(UPPER(D195)),6,1))&gt;=48,CODE(MID(TRIM(UPPER(D195)),6,1))&lt;=57,CODE(MID(TRIM(UPPER(D195)),7,1))&gt;=48,CODE(MID(TRIM(UPPER(D195)),7,1))&lt;=57,CODE(MID(TRIM(UPPER(D195)),8,1))&gt;=48,CODE(MID(TRIM(UPPER(D195)),8,1))&lt;=57,CODE(MID(TRIM(UPPER(D195)),9,1))&gt;=48,CODE(MID(TRIM(UPPER(D195)),9,1))&lt;=57),"N","Y"))</f>
      </c>
      <c r="F195" s="7">
        <f>IF($C195="","",IF(LEN(D195)&lt;4,"",IF(UPPER(MID(D195,4,1))="P","Individual",IF(UPPER(MID(D195,4,1))="H","HUF",IF(UPPER(MID(D195,4,1))="C","Company",IF(UPPER(MID(D195,4,1))="F","Firm",IF(UPPER(MID(D195,4,1))="L","LLP",IF(UPPER(MID(D195,4,1))="T","Trust",IF(UPPER(MID(D195,4,1))="A","AOP","")))))))))</f>
      </c>
      <c r="G195" s="8"/>
      <c r="H195" s="7">
        <f>IF($C195="","",IF(R195&lt;&gt;"",R195,IF(G195="","",IF(E195="Y",SUMPRODUCT(('Rate Lookup'!$A$1:$A$37=G195)*'Rate Lookup'!$D$1:$D$37),IF(OR(F195="Individual",F195="HUF"),SUMPRODUCT(('Rate Lookup'!$A$1:$A$37=G195)*'Rate Lookup'!$B$1:$B$37),SUMPRODUCT(('Rate Lookup'!$A$1:$A$37=G195)*'Rate Lookup'!$C$1:$C$37)))))))</f>
      </c>
      <c r="I195" s="8"/>
      <c r="J195" s="8"/>
      <c r="K195" s="7">
        <f>IF($C195="","",IF(OR(P195="B",P195="D",P195="E",P195="N",P195="O",P195="P",P195="Q",P195="S",P195="Y",P195="Z"),0,ROUND(J195*H195/100,0)))</f>
      </c>
      <c r="L195" s="7">
        <f>IF($C195="","",0)</f>
      </c>
      <c r="M195" s="7">
        <f>IF($C195="","",0)</f>
      </c>
      <c r="N195" s="7">
        <f>IF($C195="","",IF(OR(K195=0,I195="",IFERROR(INDEX('Challan Master'!$D$4:$D$207,MATCH($B195,'Challan Master'!$S$4:$S$207,0)),"")="",IFERROR(INDEX('Challan Master'!$D$4:$D$207,MATCH($B195,'Challan Master'!$S$4:$S$207,0)),"")&lt;=0),0,IF(IFERROR(INDEX('Challan Master'!$D$4:$D$207,MATCH($B195,'Challan Master'!$S$4:$S$207,0)),"")&lt;=DATE(YEAR(I195),MONTH(I195)+1,7),0,ROUND(K195*0.015*((YEAR(IFERROR(INDEX('Challan Master'!$D$4:$D$207,MATCH($B195,'Challan Master'!$S$4:$S$207,0)),""))-YEAR(I195))*12+(MONTH(IFERROR(INDEX('Challan Master'!$D$4:$D$207,MATCH($B195,'Challan Master'!$S$4:$S$207,0)),""))-MONTH(I195))+1),0))))</f>
      </c>
      <c r="O195" s="7">
        <f>IF($C195="","",0)</f>
      </c>
      <c r="P195" s="8"/>
      <c r="Q195" s="8"/>
      <c r="R195" s="8"/>
      <c r="S195" s="8"/>
      <c r="T195" s="8"/>
      <c r="U195" s="7">
        <f>IF($B195="","",IFERROR(INDEX('Challan Master'!$AA$4:$AA$207,MATCH($B195,'Challan Master'!$S$4:$S$207,0)),""))</f>
      </c>
    </row>
    <row r="196" spans="1:22" x14ac:dyDescent="0.25">
      <c r="A196" s="7">
        <f>IF($C196="","",COUNTIF($C$4:$C196,"&lt;&gt;"))</f>
      </c>
      <c r="B196" s="8"/>
      <c r="C196" s="8"/>
      <c r="D196" s="8"/>
      <c r="E196" s="7">
        <f>IF($C196="","",IF(AND(LEN(TRIM(UPPER(D196)))=10,CODE(MID(TRIM(UPPER(D196)),1,1))&gt;=65,CODE(MID(TRIM(UPPER(D196)),1,1))&lt;=90,CODE(MID(TRIM(UPPER(D196)),2,1))&gt;=65,CODE(MID(TRIM(UPPER(D196)),2,1))&lt;=90,CODE(MID(TRIM(UPPER(D196)),3,1))&gt;=65,CODE(MID(TRIM(UPPER(D196)),3,1))&lt;=90,CODE(MID(TRIM(UPPER(D196)),4,1))&gt;=65,CODE(MID(TRIM(UPPER(D196)),4,1))&lt;=90,CODE(MID(TRIM(UPPER(D196)),5,1))&gt;=65,CODE(MID(TRIM(UPPER(D196)),5,1))&lt;=90,CODE(MID(TRIM(UPPER(D196)),10,1))&gt;=65,CODE(MID(TRIM(UPPER(D196)),10,1))&lt;=90,CODE(MID(TRIM(UPPER(D196)),6,1))&gt;=48,CODE(MID(TRIM(UPPER(D196)),6,1))&lt;=57,CODE(MID(TRIM(UPPER(D196)),7,1))&gt;=48,CODE(MID(TRIM(UPPER(D196)),7,1))&lt;=57,CODE(MID(TRIM(UPPER(D196)),8,1))&gt;=48,CODE(MID(TRIM(UPPER(D196)),8,1))&lt;=57,CODE(MID(TRIM(UPPER(D196)),9,1))&gt;=48,CODE(MID(TRIM(UPPER(D196)),9,1))&lt;=57),"N","Y"))</f>
      </c>
      <c r="F196" s="7">
        <f>IF($C196="","",IF(LEN(D196)&lt;4,"",IF(UPPER(MID(D196,4,1))="P","Individual",IF(UPPER(MID(D196,4,1))="H","HUF",IF(UPPER(MID(D196,4,1))="C","Company",IF(UPPER(MID(D196,4,1))="F","Firm",IF(UPPER(MID(D196,4,1))="L","LLP",IF(UPPER(MID(D196,4,1))="T","Trust",IF(UPPER(MID(D196,4,1))="A","AOP","")))))))))</f>
      </c>
      <c r="G196" s="8"/>
      <c r="H196" s="7">
        <f>IF($C196="","",IF(R196&lt;&gt;"",R196,IF(G196="","",IF(E196="Y",SUMPRODUCT(('Rate Lookup'!$A$1:$A$37=G196)*'Rate Lookup'!$D$1:$D$37),IF(OR(F196="Individual",F196="HUF"),SUMPRODUCT(('Rate Lookup'!$A$1:$A$37=G196)*'Rate Lookup'!$B$1:$B$37),SUMPRODUCT(('Rate Lookup'!$A$1:$A$37=G196)*'Rate Lookup'!$C$1:$C$37)))))))</f>
      </c>
      <c r="I196" s="8"/>
      <c r="J196" s="8"/>
      <c r="K196" s="7">
        <f>IF($C196="","",IF(OR(P196="B",P196="D",P196="E",P196="N",P196="O",P196="P",P196="Q",P196="S",P196="Y",P196="Z"),0,ROUND(J196*H196/100,0)))</f>
      </c>
      <c r="L196" s="7">
        <f>IF($C196="","",0)</f>
      </c>
      <c r="M196" s="7">
        <f>IF($C196="","",0)</f>
      </c>
      <c r="N196" s="7">
        <f>IF($C196="","",IF(OR(K196=0,I196="",IFERROR(INDEX('Challan Master'!$D$4:$D$207,MATCH($B196,'Challan Master'!$S$4:$S$207,0)),"")="",IFERROR(INDEX('Challan Master'!$D$4:$D$207,MATCH($B196,'Challan Master'!$S$4:$S$207,0)),"")&lt;=0),0,IF(IFERROR(INDEX('Challan Master'!$D$4:$D$207,MATCH($B196,'Challan Master'!$S$4:$S$207,0)),"")&lt;=DATE(YEAR(I196),MONTH(I196)+1,7),0,ROUND(K196*0.015*((YEAR(IFERROR(INDEX('Challan Master'!$D$4:$D$207,MATCH($B196,'Challan Master'!$S$4:$S$207,0)),""))-YEAR(I196))*12+(MONTH(IFERROR(INDEX('Challan Master'!$D$4:$D$207,MATCH($B196,'Challan Master'!$S$4:$S$207,0)),""))-MONTH(I196))+1),0))))</f>
      </c>
      <c r="O196" s="7">
        <f>IF($C196="","",0)</f>
      </c>
      <c r="P196" s="8"/>
      <c r="Q196" s="8"/>
      <c r="R196" s="8"/>
      <c r="S196" s="8"/>
      <c r="T196" s="8"/>
      <c r="U196" s="7">
        <f>IF($B196="","",IFERROR(INDEX('Challan Master'!$AA$4:$AA$207,MATCH($B196,'Challan Master'!$S$4:$S$207,0)),""))</f>
      </c>
    </row>
    <row r="197" spans="1:22" x14ac:dyDescent="0.25">
      <c r="A197" s="7">
        <f>IF($C197="","",COUNTIF($C$4:$C197,"&lt;&gt;"))</f>
      </c>
      <c r="B197" s="8"/>
      <c r="C197" s="8"/>
      <c r="D197" s="8"/>
      <c r="E197" s="7">
        <f>IF($C197="","",IF(AND(LEN(TRIM(UPPER(D197)))=10,CODE(MID(TRIM(UPPER(D197)),1,1))&gt;=65,CODE(MID(TRIM(UPPER(D197)),1,1))&lt;=90,CODE(MID(TRIM(UPPER(D197)),2,1))&gt;=65,CODE(MID(TRIM(UPPER(D197)),2,1))&lt;=90,CODE(MID(TRIM(UPPER(D197)),3,1))&gt;=65,CODE(MID(TRIM(UPPER(D197)),3,1))&lt;=90,CODE(MID(TRIM(UPPER(D197)),4,1))&gt;=65,CODE(MID(TRIM(UPPER(D197)),4,1))&lt;=90,CODE(MID(TRIM(UPPER(D197)),5,1))&gt;=65,CODE(MID(TRIM(UPPER(D197)),5,1))&lt;=90,CODE(MID(TRIM(UPPER(D197)),10,1))&gt;=65,CODE(MID(TRIM(UPPER(D197)),10,1))&lt;=90,CODE(MID(TRIM(UPPER(D197)),6,1))&gt;=48,CODE(MID(TRIM(UPPER(D197)),6,1))&lt;=57,CODE(MID(TRIM(UPPER(D197)),7,1))&gt;=48,CODE(MID(TRIM(UPPER(D197)),7,1))&lt;=57,CODE(MID(TRIM(UPPER(D197)),8,1))&gt;=48,CODE(MID(TRIM(UPPER(D197)),8,1))&lt;=57,CODE(MID(TRIM(UPPER(D197)),9,1))&gt;=48,CODE(MID(TRIM(UPPER(D197)),9,1))&lt;=57),"N","Y"))</f>
      </c>
      <c r="F197" s="7">
        <f>IF($C197="","",IF(LEN(D197)&lt;4,"",IF(UPPER(MID(D197,4,1))="P","Individual",IF(UPPER(MID(D197,4,1))="H","HUF",IF(UPPER(MID(D197,4,1))="C","Company",IF(UPPER(MID(D197,4,1))="F","Firm",IF(UPPER(MID(D197,4,1))="L","LLP",IF(UPPER(MID(D197,4,1))="T","Trust",IF(UPPER(MID(D197,4,1))="A","AOP","")))))))))</f>
      </c>
      <c r="G197" s="8"/>
      <c r="H197" s="7">
        <f>IF($C197="","",IF(R197&lt;&gt;"",R197,IF(G197="","",IF(E197="Y",SUMPRODUCT(('Rate Lookup'!$A$1:$A$37=G197)*'Rate Lookup'!$D$1:$D$37),IF(OR(F197="Individual",F197="HUF"),SUMPRODUCT(('Rate Lookup'!$A$1:$A$37=G197)*'Rate Lookup'!$B$1:$B$37),SUMPRODUCT(('Rate Lookup'!$A$1:$A$37=G197)*'Rate Lookup'!$C$1:$C$37)))))))</f>
      </c>
      <c r="I197" s="8"/>
      <c r="J197" s="8"/>
      <c r="K197" s="7">
        <f>IF($C197="","",IF(OR(P197="B",P197="D",P197="E",P197="N",P197="O",P197="P",P197="Q",P197="S",P197="Y",P197="Z"),0,ROUND(J197*H197/100,0)))</f>
      </c>
      <c r="L197" s="7">
        <f>IF($C197="","",0)</f>
      </c>
      <c r="M197" s="7">
        <f>IF($C197="","",0)</f>
      </c>
      <c r="N197" s="7">
        <f>IF($C197="","",IF(OR(K197=0,I197="",IFERROR(INDEX('Challan Master'!$D$4:$D$207,MATCH($B197,'Challan Master'!$S$4:$S$207,0)),"")="",IFERROR(INDEX('Challan Master'!$D$4:$D$207,MATCH($B197,'Challan Master'!$S$4:$S$207,0)),"")&lt;=0),0,IF(IFERROR(INDEX('Challan Master'!$D$4:$D$207,MATCH($B197,'Challan Master'!$S$4:$S$207,0)),"")&lt;=DATE(YEAR(I197),MONTH(I197)+1,7),0,ROUND(K197*0.015*((YEAR(IFERROR(INDEX('Challan Master'!$D$4:$D$207,MATCH($B197,'Challan Master'!$S$4:$S$207,0)),""))-YEAR(I197))*12+(MONTH(IFERROR(INDEX('Challan Master'!$D$4:$D$207,MATCH($B197,'Challan Master'!$S$4:$S$207,0)),""))-MONTH(I197))+1),0))))</f>
      </c>
      <c r="O197" s="7">
        <f>IF($C197="","",0)</f>
      </c>
      <c r="P197" s="8"/>
      <c r="Q197" s="8"/>
      <c r="R197" s="8"/>
      <c r="S197" s="8"/>
      <c r="T197" s="8"/>
      <c r="U197" s="7">
        <f>IF($B197="","",IFERROR(INDEX('Challan Master'!$AA$4:$AA$207,MATCH($B197,'Challan Master'!$S$4:$S$207,0)),""))</f>
      </c>
    </row>
    <row r="198" spans="1:22" x14ac:dyDescent="0.25">
      <c r="A198" s="7">
        <f>IF($C198="","",COUNTIF($C$4:$C198,"&lt;&gt;"))</f>
      </c>
      <c r="B198" s="8"/>
      <c r="C198" s="8"/>
      <c r="D198" s="8"/>
      <c r="E198" s="7">
        <f>IF($C198="","",IF(AND(LEN(TRIM(UPPER(D198)))=10,CODE(MID(TRIM(UPPER(D198)),1,1))&gt;=65,CODE(MID(TRIM(UPPER(D198)),1,1))&lt;=90,CODE(MID(TRIM(UPPER(D198)),2,1))&gt;=65,CODE(MID(TRIM(UPPER(D198)),2,1))&lt;=90,CODE(MID(TRIM(UPPER(D198)),3,1))&gt;=65,CODE(MID(TRIM(UPPER(D198)),3,1))&lt;=90,CODE(MID(TRIM(UPPER(D198)),4,1))&gt;=65,CODE(MID(TRIM(UPPER(D198)),4,1))&lt;=90,CODE(MID(TRIM(UPPER(D198)),5,1))&gt;=65,CODE(MID(TRIM(UPPER(D198)),5,1))&lt;=90,CODE(MID(TRIM(UPPER(D198)),10,1))&gt;=65,CODE(MID(TRIM(UPPER(D198)),10,1))&lt;=90,CODE(MID(TRIM(UPPER(D198)),6,1))&gt;=48,CODE(MID(TRIM(UPPER(D198)),6,1))&lt;=57,CODE(MID(TRIM(UPPER(D198)),7,1))&gt;=48,CODE(MID(TRIM(UPPER(D198)),7,1))&lt;=57,CODE(MID(TRIM(UPPER(D198)),8,1))&gt;=48,CODE(MID(TRIM(UPPER(D198)),8,1))&lt;=57,CODE(MID(TRIM(UPPER(D198)),9,1))&gt;=48,CODE(MID(TRIM(UPPER(D198)),9,1))&lt;=57),"N","Y"))</f>
      </c>
      <c r="F198" s="7">
        <f>IF($C198="","",IF(LEN(D198)&lt;4,"",IF(UPPER(MID(D198,4,1))="P","Individual",IF(UPPER(MID(D198,4,1))="H","HUF",IF(UPPER(MID(D198,4,1))="C","Company",IF(UPPER(MID(D198,4,1))="F","Firm",IF(UPPER(MID(D198,4,1))="L","LLP",IF(UPPER(MID(D198,4,1))="T","Trust",IF(UPPER(MID(D198,4,1))="A","AOP","")))))))))</f>
      </c>
      <c r="G198" s="8"/>
      <c r="H198" s="7">
        <f>IF($C198="","",IF(R198&lt;&gt;"",R198,IF(G198="","",IF(E198="Y",SUMPRODUCT(('Rate Lookup'!$A$1:$A$37=G198)*'Rate Lookup'!$D$1:$D$37),IF(OR(F198="Individual",F198="HUF"),SUMPRODUCT(('Rate Lookup'!$A$1:$A$37=G198)*'Rate Lookup'!$B$1:$B$37),SUMPRODUCT(('Rate Lookup'!$A$1:$A$37=G198)*'Rate Lookup'!$C$1:$C$37)))))))</f>
      </c>
      <c r="I198" s="8"/>
      <c r="J198" s="8"/>
      <c r="K198" s="7">
        <f>IF($C198="","",IF(OR(P198="B",P198="D",P198="E",P198="N",P198="O",P198="P",P198="Q",P198="S",P198="Y",P198="Z"),0,ROUND(J198*H198/100,0)))</f>
      </c>
      <c r="L198" s="7">
        <f>IF($C198="","",0)</f>
      </c>
      <c r="M198" s="7">
        <f>IF($C198="","",0)</f>
      </c>
      <c r="N198" s="7">
        <f>IF($C198="","",IF(OR(K198=0,I198="",IFERROR(INDEX('Challan Master'!$D$4:$D$207,MATCH($B198,'Challan Master'!$S$4:$S$207,0)),"")="",IFERROR(INDEX('Challan Master'!$D$4:$D$207,MATCH($B198,'Challan Master'!$S$4:$S$207,0)),"")&lt;=0),0,IF(IFERROR(INDEX('Challan Master'!$D$4:$D$207,MATCH($B198,'Challan Master'!$S$4:$S$207,0)),"")&lt;=DATE(YEAR(I198),MONTH(I198)+1,7),0,ROUND(K198*0.015*((YEAR(IFERROR(INDEX('Challan Master'!$D$4:$D$207,MATCH($B198,'Challan Master'!$S$4:$S$207,0)),""))-YEAR(I198))*12+(MONTH(IFERROR(INDEX('Challan Master'!$D$4:$D$207,MATCH($B198,'Challan Master'!$S$4:$S$207,0)),""))-MONTH(I198))+1),0))))</f>
      </c>
      <c r="O198" s="7">
        <f>IF($C198="","",0)</f>
      </c>
      <c r="P198" s="8"/>
      <c r="Q198" s="8"/>
      <c r="R198" s="8"/>
      <c r="S198" s="8"/>
      <c r="T198" s="8"/>
      <c r="U198" s="7">
        <f>IF($B198="","",IFERROR(INDEX('Challan Master'!$AA$4:$AA$207,MATCH($B198,'Challan Master'!$S$4:$S$207,0)),""))</f>
      </c>
    </row>
    <row r="199" spans="1:22" x14ac:dyDescent="0.25">
      <c r="A199" s="7">
        <f>IF($C199="","",COUNTIF($C$4:$C199,"&lt;&gt;"))</f>
      </c>
      <c r="B199" s="8"/>
      <c r="C199" s="8"/>
      <c r="D199" s="8"/>
      <c r="E199" s="7">
        <f>IF($C199="","",IF(AND(LEN(TRIM(UPPER(D199)))=10,CODE(MID(TRIM(UPPER(D199)),1,1))&gt;=65,CODE(MID(TRIM(UPPER(D199)),1,1))&lt;=90,CODE(MID(TRIM(UPPER(D199)),2,1))&gt;=65,CODE(MID(TRIM(UPPER(D199)),2,1))&lt;=90,CODE(MID(TRIM(UPPER(D199)),3,1))&gt;=65,CODE(MID(TRIM(UPPER(D199)),3,1))&lt;=90,CODE(MID(TRIM(UPPER(D199)),4,1))&gt;=65,CODE(MID(TRIM(UPPER(D199)),4,1))&lt;=90,CODE(MID(TRIM(UPPER(D199)),5,1))&gt;=65,CODE(MID(TRIM(UPPER(D199)),5,1))&lt;=90,CODE(MID(TRIM(UPPER(D199)),10,1))&gt;=65,CODE(MID(TRIM(UPPER(D199)),10,1))&lt;=90,CODE(MID(TRIM(UPPER(D199)),6,1))&gt;=48,CODE(MID(TRIM(UPPER(D199)),6,1))&lt;=57,CODE(MID(TRIM(UPPER(D199)),7,1))&gt;=48,CODE(MID(TRIM(UPPER(D199)),7,1))&lt;=57,CODE(MID(TRIM(UPPER(D199)),8,1))&gt;=48,CODE(MID(TRIM(UPPER(D199)),8,1))&lt;=57,CODE(MID(TRIM(UPPER(D199)),9,1))&gt;=48,CODE(MID(TRIM(UPPER(D199)),9,1))&lt;=57),"N","Y"))</f>
      </c>
      <c r="F199" s="7">
        <f>IF($C199="","",IF(LEN(D199)&lt;4,"",IF(UPPER(MID(D199,4,1))="P","Individual",IF(UPPER(MID(D199,4,1))="H","HUF",IF(UPPER(MID(D199,4,1))="C","Company",IF(UPPER(MID(D199,4,1))="F","Firm",IF(UPPER(MID(D199,4,1))="L","LLP",IF(UPPER(MID(D199,4,1))="T","Trust",IF(UPPER(MID(D199,4,1))="A","AOP","")))))))))</f>
      </c>
      <c r="G199" s="8"/>
      <c r="H199" s="7">
        <f>IF($C199="","",IF(R199&lt;&gt;"",R199,IF(G199="","",IF(E199="Y",SUMPRODUCT(('Rate Lookup'!$A$1:$A$37=G199)*'Rate Lookup'!$D$1:$D$37),IF(OR(F199="Individual",F199="HUF"),SUMPRODUCT(('Rate Lookup'!$A$1:$A$37=G199)*'Rate Lookup'!$B$1:$B$37),SUMPRODUCT(('Rate Lookup'!$A$1:$A$37=G199)*'Rate Lookup'!$C$1:$C$37)))))))</f>
      </c>
      <c r="I199" s="8"/>
      <c r="J199" s="8"/>
      <c r="K199" s="7">
        <f>IF($C199="","",IF(OR(P199="B",P199="D",P199="E",P199="N",P199="O",P199="P",P199="Q",P199="S",P199="Y",P199="Z"),0,ROUND(J199*H199/100,0)))</f>
      </c>
      <c r="L199" s="7">
        <f>IF($C199="","",0)</f>
      </c>
      <c r="M199" s="7">
        <f>IF($C199="","",0)</f>
      </c>
      <c r="N199" s="7">
        <f>IF($C199="","",IF(OR(K199=0,I199="",IFERROR(INDEX('Challan Master'!$D$4:$D$207,MATCH($B199,'Challan Master'!$S$4:$S$207,0)),"")="",IFERROR(INDEX('Challan Master'!$D$4:$D$207,MATCH($B199,'Challan Master'!$S$4:$S$207,0)),"")&lt;=0),0,IF(IFERROR(INDEX('Challan Master'!$D$4:$D$207,MATCH($B199,'Challan Master'!$S$4:$S$207,0)),"")&lt;=DATE(YEAR(I199),MONTH(I199)+1,7),0,ROUND(K199*0.015*((YEAR(IFERROR(INDEX('Challan Master'!$D$4:$D$207,MATCH($B199,'Challan Master'!$S$4:$S$207,0)),""))-YEAR(I199))*12+(MONTH(IFERROR(INDEX('Challan Master'!$D$4:$D$207,MATCH($B199,'Challan Master'!$S$4:$S$207,0)),""))-MONTH(I199))+1),0))))</f>
      </c>
      <c r="O199" s="7">
        <f>IF($C199="","",0)</f>
      </c>
      <c r="P199" s="8"/>
      <c r="Q199" s="8"/>
      <c r="R199" s="8"/>
      <c r="S199" s="8"/>
      <c r="T199" s="8"/>
      <c r="U199" s="7">
        <f>IF($B199="","",IFERROR(INDEX('Challan Master'!$AA$4:$AA$207,MATCH($B199,'Challan Master'!$S$4:$S$207,0)),""))</f>
      </c>
    </row>
    <row r="200" spans="1:22" x14ac:dyDescent="0.25">
      <c r="A200" s="7">
        <f>IF($C200="","",COUNTIF($C$4:$C200,"&lt;&gt;"))</f>
      </c>
      <c r="B200" s="8"/>
      <c r="C200" s="8"/>
      <c r="D200" s="8"/>
      <c r="E200" s="7">
        <f>IF($C200="","",IF(AND(LEN(TRIM(UPPER(D200)))=10,CODE(MID(TRIM(UPPER(D200)),1,1))&gt;=65,CODE(MID(TRIM(UPPER(D200)),1,1))&lt;=90,CODE(MID(TRIM(UPPER(D200)),2,1))&gt;=65,CODE(MID(TRIM(UPPER(D200)),2,1))&lt;=90,CODE(MID(TRIM(UPPER(D200)),3,1))&gt;=65,CODE(MID(TRIM(UPPER(D200)),3,1))&lt;=90,CODE(MID(TRIM(UPPER(D200)),4,1))&gt;=65,CODE(MID(TRIM(UPPER(D200)),4,1))&lt;=90,CODE(MID(TRIM(UPPER(D200)),5,1))&gt;=65,CODE(MID(TRIM(UPPER(D200)),5,1))&lt;=90,CODE(MID(TRIM(UPPER(D200)),10,1))&gt;=65,CODE(MID(TRIM(UPPER(D200)),10,1))&lt;=90,CODE(MID(TRIM(UPPER(D200)),6,1))&gt;=48,CODE(MID(TRIM(UPPER(D200)),6,1))&lt;=57,CODE(MID(TRIM(UPPER(D200)),7,1))&gt;=48,CODE(MID(TRIM(UPPER(D200)),7,1))&lt;=57,CODE(MID(TRIM(UPPER(D200)),8,1))&gt;=48,CODE(MID(TRIM(UPPER(D200)),8,1))&lt;=57,CODE(MID(TRIM(UPPER(D200)),9,1))&gt;=48,CODE(MID(TRIM(UPPER(D200)),9,1))&lt;=57),"N","Y"))</f>
      </c>
      <c r="F200" s="7">
        <f>IF($C200="","",IF(LEN(D200)&lt;4,"",IF(UPPER(MID(D200,4,1))="P","Individual",IF(UPPER(MID(D200,4,1))="H","HUF",IF(UPPER(MID(D200,4,1))="C","Company",IF(UPPER(MID(D200,4,1))="F","Firm",IF(UPPER(MID(D200,4,1))="L","LLP",IF(UPPER(MID(D200,4,1))="T","Trust",IF(UPPER(MID(D200,4,1))="A","AOP","")))))))))</f>
      </c>
      <c r="G200" s="8"/>
      <c r="H200" s="7">
        <f>IF($C200="","",IF(R200&lt;&gt;"",R200,IF(G200="","",IF(E200="Y",SUMPRODUCT(('Rate Lookup'!$A$1:$A$37=G200)*'Rate Lookup'!$D$1:$D$37),IF(OR(F200="Individual",F200="HUF"),SUMPRODUCT(('Rate Lookup'!$A$1:$A$37=G200)*'Rate Lookup'!$B$1:$B$37),SUMPRODUCT(('Rate Lookup'!$A$1:$A$37=G200)*'Rate Lookup'!$C$1:$C$37)))))))</f>
      </c>
      <c r="I200" s="8"/>
      <c r="J200" s="8"/>
      <c r="K200" s="7">
        <f>IF($C200="","",IF(OR(P200="B",P200="D",P200="E",P200="N",P200="O",P200="P",P200="Q",P200="S",P200="Y",P200="Z"),0,ROUND(J200*H200/100,0)))</f>
      </c>
      <c r="L200" s="7">
        <f>IF($C200="","",0)</f>
      </c>
      <c r="M200" s="7">
        <f>IF($C200="","",0)</f>
      </c>
      <c r="N200" s="7">
        <f>IF($C200="","",IF(OR(K200=0,I200="",IFERROR(INDEX('Challan Master'!$D$4:$D$207,MATCH($B200,'Challan Master'!$S$4:$S$207,0)),"")="",IFERROR(INDEX('Challan Master'!$D$4:$D$207,MATCH($B200,'Challan Master'!$S$4:$S$207,0)),"")&lt;=0),0,IF(IFERROR(INDEX('Challan Master'!$D$4:$D$207,MATCH($B200,'Challan Master'!$S$4:$S$207,0)),"")&lt;=DATE(YEAR(I200),MONTH(I200)+1,7),0,ROUND(K200*0.015*((YEAR(IFERROR(INDEX('Challan Master'!$D$4:$D$207,MATCH($B200,'Challan Master'!$S$4:$S$207,0)),""))-YEAR(I200))*12+(MONTH(IFERROR(INDEX('Challan Master'!$D$4:$D$207,MATCH($B200,'Challan Master'!$S$4:$S$207,0)),""))-MONTH(I200))+1),0))))</f>
      </c>
      <c r="O200" s="7">
        <f>IF($C200="","",0)</f>
      </c>
      <c r="P200" s="8"/>
      <c r="Q200" s="8"/>
      <c r="R200" s="8"/>
      <c r="S200" s="8"/>
      <c r="T200" s="8"/>
      <c r="U200" s="7">
        <f>IF($B200="","",IFERROR(INDEX('Challan Master'!$AA$4:$AA$207,MATCH($B200,'Challan Master'!$S$4:$S$207,0)),""))</f>
      </c>
    </row>
    <row r="201" spans="1:22" x14ac:dyDescent="0.25">
      <c r="A201" s="7">
        <f>IF($C201="","",COUNTIF($C$4:$C201,"&lt;&gt;"))</f>
      </c>
      <c r="B201" s="8"/>
      <c r="C201" s="8"/>
      <c r="D201" s="8"/>
      <c r="E201" s="7">
        <f>IF($C201="","",IF(AND(LEN(TRIM(UPPER(D201)))=10,CODE(MID(TRIM(UPPER(D201)),1,1))&gt;=65,CODE(MID(TRIM(UPPER(D201)),1,1))&lt;=90,CODE(MID(TRIM(UPPER(D201)),2,1))&gt;=65,CODE(MID(TRIM(UPPER(D201)),2,1))&lt;=90,CODE(MID(TRIM(UPPER(D201)),3,1))&gt;=65,CODE(MID(TRIM(UPPER(D201)),3,1))&lt;=90,CODE(MID(TRIM(UPPER(D201)),4,1))&gt;=65,CODE(MID(TRIM(UPPER(D201)),4,1))&lt;=90,CODE(MID(TRIM(UPPER(D201)),5,1))&gt;=65,CODE(MID(TRIM(UPPER(D201)),5,1))&lt;=90,CODE(MID(TRIM(UPPER(D201)),10,1))&gt;=65,CODE(MID(TRIM(UPPER(D201)),10,1))&lt;=90,CODE(MID(TRIM(UPPER(D201)),6,1))&gt;=48,CODE(MID(TRIM(UPPER(D201)),6,1))&lt;=57,CODE(MID(TRIM(UPPER(D201)),7,1))&gt;=48,CODE(MID(TRIM(UPPER(D201)),7,1))&lt;=57,CODE(MID(TRIM(UPPER(D201)),8,1))&gt;=48,CODE(MID(TRIM(UPPER(D201)),8,1))&lt;=57,CODE(MID(TRIM(UPPER(D201)),9,1))&gt;=48,CODE(MID(TRIM(UPPER(D201)),9,1))&lt;=57),"N","Y"))</f>
      </c>
      <c r="F201" s="7">
        <f>IF($C201="","",IF(LEN(D201)&lt;4,"",IF(UPPER(MID(D201,4,1))="P","Individual",IF(UPPER(MID(D201,4,1))="H","HUF",IF(UPPER(MID(D201,4,1))="C","Company",IF(UPPER(MID(D201,4,1))="F","Firm",IF(UPPER(MID(D201,4,1))="L","LLP",IF(UPPER(MID(D201,4,1))="T","Trust",IF(UPPER(MID(D201,4,1))="A","AOP","")))))))))</f>
      </c>
      <c r="G201" s="8"/>
      <c r="H201" s="7">
        <f>IF($C201="","",IF(R201&lt;&gt;"",R201,IF(G201="","",IF(E201="Y",SUMPRODUCT(('Rate Lookup'!$A$1:$A$37=G201)*'Rate Lookup'!$D$1:$D$37),IF(OR(F201="Individual",F201="HUF"),SUMPRODUCT(('Rate Lookup'!$A$1:$A$37=G201)*'Rate Lookup'!$B$1:$B$37),SUMPRODUCT(('Rate Lookup'!$A$1:$A$37=G201)*'Rate Lookup'!$C$1:$C$37)))))))</f>
      </c>
      <c r="I201" s="8"/>
      <c r="J201" s="8"/>
      <c r="K201" s="7">
        <f>IF($C201="","",IF(OR(P201="B",P201="D",P201="E",P201="N",P201="O",P201="P",P201="Q",P201="S",P201="Y",P201="Z"),0,ROUND(J201*H201/100,0)))</f>
      </c>
      <c r="L201" s="7">
        <f>IF($C201="","",0)</f>
      </c>
      <c r="M201" s="7">
        <f>IF($C201="","",0)</f>
      </c>
      <c r="N201" s="7">
        <f>IF($C201="","",IF(OR(K201=0,I201="",IFERROR(INDEX('Challan Master'!$D$4:$D$207,MATCH($B201,'Challan Master'!$S$4:$S$207,0)),"")="",IFERROR(INDEX('Challan Master'!$D$4:$D$207,MATCH($B201,'Challan Master'!$S$4:$S$207,0)),"")&lt;=0),0,IF(IFERROR(INDEX('Challan Master'!$D$4:$D$207,MATCH($B201,'Challan Master'!$S$4:$S$207,0)),"")&lt;=DATE(YEAR(I201),MONTH(I201)+1,7),0,ROUND(K201*0.015*((YEAR(IFERROR(INDEX('Challan Master'!$D$4:$D$207,MATCH($B201,'Challan Master'!$S$4:$S$207,0)),""))-YEAR(I201))*12+(MONTH(IFERROR(INDEX('Challan Master'!$D$4:$D$207,MATCH($B201,'Challan Master'!$S$4:$S$207,0)),""))-MONTH(I201))+1),0))))</f>
      </c>
      <c r="O201" s="7">
        <f>IF($C201="","",0)</f>
      </c>
      <c r="P201" s="8"/>
      <c r="Q201" s="8"/>
      <c r="R201" s="8"/>
      <c r="S201" s="8"/>
      <c r="T201" s="8"/>
      <c r="U201" s="7">
        <f>IF($B201="","",IFERROR(INDEX('Challan Master'!$AA$4:$AA$207,MATCH($B201,'Challan Master'!$S$4:$S$207,0)),""))</f>
      </c>
    </row>
    <row r="202" spans="1:22" x14ac:dyDescent="0.25">
      <c r="A202" s="7">
        <f>IF($C202="","",COUNTIF($C$4:$C202,"&lt;&gt;"))</f>
      </c>
      <c r="B202" s="8"/>
      <c r="C202" s="8"/>
      <c r="D202" s="8"/>
      <c r="E202" s="7">
        <f>IF($C202="","",IF(AND(LEN(TRIM(UPPER(D202)))=10,CODE(MID(TRIM(UPPER(D202)),1,1))&gt;=65,CODE(MID(TRIM(UPPER(D202)),1,1))&lt;=90,CODE(MID(TRIM(UPPER(D202)),2,1))&gt;=65,CODE(MID(TRIM(UPPER(D202)),2,1))&lt;=90,CODE(MID(TRIM(UPPER(D202)),3,1))&gt;=65,CODE(MID(TRIM(UPPER(D202)),3,1))&lt;=90,CODE(MID(TRIM(UPPER(D202)),4,1))&gt;=65,CODE(MID(TRIM(UPPER(D202)),4,1))&lt;=90,CODE(MID(TRIM(UPPER(D202)),5,1))&gt;=65,CODE(MID(TRIM(UPPER(D202)),5,1))&lt;=90,CODE(MID(TRIM(UPPER(D202)),10,1))&gt;=65,CODE(MID(TRIM(UPPER(D202)),10,1))&lt;=90,CODE(MID(TRIM(UPPER(D202)),6,1))&gt;=48,CODE(MID(TRIM(UPPER(D202)),6,1))&lt;=57,CODE(MID(TRIM(UPPER(D202)),7,1))&gt;=48,CODE(MID(TRIM(UPPER(D202)),7,1))&lt;=57,CODE(MID(TRIM(UPPER(D202)),8,1))&gt;=48,CODE(MID(TRIM(UPPER(D202)),8,1))&lt;=57,CODE(MID(TRIM(UPPER(D202)),9,1))&gt;=48,CODE(MID(TRIM(UPPER(D202)),9,1))&lt;=57),"N","Y"))</f>
      </c>
      <c r="F202" s="7">
        <f>IF($C202="","",IF(LEN(D202)&lt;4,"",IF(UPPER(MID(D202,4,1))="P","Individual",IF(UPPER(MID(D202,4,1))="H","HUF",IF(UPPER(MID(D202,4,1))="C","Company",IF(UPPER(MID(D202,4,1))="F","Firm",IF(UPPER(MID(D202,4,1))="L","LLP",IF(UPPER(MID(D202,4,1))="T","Trust",IF(UPPER(MID(D202,4,1))="A","AOP","")))))))))</f>
      </c>
      <c r="G202" s="8"/>
      <c r="H202" s="7">
        <f>IF($C202="","",IF(R202&lt;&gt;"",R202,IF(G202="","",IF(E202="Y",SUMPRODUCT(('Rate Lookup'!$A$1:$A$37=G202)*'Rate Lookup'!$D$1:$D$37),IF(OR(F202="Individual",F202="HUF"),SUMPRODUCT(('Rate Lookup'!$A$1:$A$37=G202)*'Rate Lookup'!$B$1:$B$37),SUMPRODUCT(('Rate Lookup'!$A$1:$A$37=G202)*'Rate Lookup'!$C$1:$C$37)))))))</f>
      </c>
      <c r="I202" s="8"/>
      <c r="J202" s="8"/>
      <c r="K202" s="7">
        <f>IF($C202="","",IF(OR(P202="B",P202="D",P202="E",P202="N",P202="O",P202="P",P202="Q",P202="S",P202="Y",P202="Z"),0,ROUND(J202*H202/100,0)))</f>
      </c>
      <c r="L202" s="7">
        <f>IF($C202="","",0)</f>
      </c>
      <c r="M202" s="7">
        <f>IF($C202="","",0)</f>
      </c>
      <c r="N202" s="7">
        <f>IF($C202="","",IF(OR(K202=0,I202="",IFERROR(INDEX('Challan Master'!$D$4:$D$207,MATCH($B202,'Challan Master'!$S$4:$S$207,0)),"")="",IFERROR(INDEX('Challan Master'!$D$4:$D$207,MATCH($B202,'Challan Master'!$S$4:$S$207,0)),"")&lt;=0),0,IF(IFERROR(INDEX('Challan Master'!$D$4:$D$207,MATCH($B202,'Challan Master'!$S$4:$S$207,0)),"")&lt;=DATE(YEAR(I202),MONTH(I202)+1,7),0,ROUND(K202*0.015*((YEAR(IFERROR(INDEX('Challan Master'!$D$4:$D$207,MATCH($B202,'Challan Master'!$S$4:$S$207,0)),""))-YEAR(I202))*12+(MONTH(IFERROR(INDEX('Challan Master'!$D$4:$D$207,MATCH($B202,'Challan Master'!$S$4:$S$207,0)),""))-MONTH(I202))+1),0))))</f>
      </c>
      <c r="O202" s="7">
        <f>IF($C202="","",0)</f>
      </c>
      <c r="P202" s="8"/>
      <c r="Q202" s="8"/>
      <c r="R202" s="8"/>
      <c r="S202" s="8"/>
      <c r="T202" s="8"/>
      <c r="U202" s="7">
        <f>IF($B202="","",IFERROR(INDEX('Challan Master'!$AA$4:$AA$207,MATCH($B202,'Challan Master'!$S$4:$S$207,0)),""))</f>
      </c>
    </row>
    <row r="203" spans="1:22" x14ac:dyDescent="0.25">
      <c r="A203" s="7">
        <f>IF($C203="","",COUNTIF($C$4:$C203,"&lt;&gt;"))</f>
      </c>
      <c r="B203" s="8"/>
      <c r="C203" s="8"/>
      <c r="D203" s="8"/>
      <c r="E203" s="7">
        <f>IF($C203="","",IF(AND(LEN(TRIM(UPPER(D203)))=10,CODE(MID(TRIM(UPPER(D203)),1,1))&gt;=65,CODE(MID(TRIM(UPPER(D203)),1,1))&lt;=90,CODE(MID(TRIM(UPPER(D203)),2,1))&gt;=65,CODE(MID(TRIM(UPPER(D203)),2,1))&lt;=90,CODE(MID(TRIM(UPPER(D203)),3,1))&gt;=65,CODE(MID(TRIM(UPPER(D203)),3,1))&lt;=90,CODE(MID(TRIM(UPPER(D203)),4,1))&gt;=65,CODE(MID(TRIM(UPPER(D203)),4,1))&lt;=90,CODE(MID(TRIM(UPPER(D203)),5,1))&gt;=65,CODE(MID(TRIM(UPPER(D203)),5,1))&lt;=90,CODE(MID(TRIM(UPPER(D203)),10,1))&gt;=65,CODE(MID(TRIM(UPPER(D203)),10,1))&lt;=90,CODE(MID(TRIM(UPPER(D203)),6,1))&gt;=48,CODE(MID(TRIM(UPPER(D203)),6,1))&lt;=57,CODE(MID(TRIM(UPPER(D203)),7,1))&gt;=48,CODE(MID(TRIM(UPPER(D203)),7,1))&lt;=57,CODE(MID(TRIM(UPPER(D203)),8,1))&gt;=48,CODE(MID(TRIM(UPPER(D203)),8,1))&lt;=57,CODE(MID(TRIM(UPPER(D203)),9,1))&gt;=48,CODE(MID(TRIM(UPPER(D203)),9,1))&lt;=57),"N","Y"))</f>
      </c>
      <c r="F203" s="7">
        <f>IF($C203="","",IF(LEN(D203)&lt;4,"",IF(UPPER(MID(D203,4,1))="P","Individual",IF(UPPER(MID(D203,4,1))="H","HUF",IF(UPPER(MID(D203,4,1))="C","Company",IF(UPPER(MID(D203,4,1))="F","Firm",IF(UPPER(MID(D203,4,1))="L","LLP",IF(UPPER(MID(D203,4,1))="T","Trust",IF(UPPER(MID(D203,4,1))="A","AOP","")))))))))</f>
      </c>
      <c r="G203" s="8"/>
      <c r="H203" s="7">
        <f>IF($C203="","",IF(R203&lt;&gt;"",R203,IF(G203="","",IF(E203="Y",SUMPRODUCT(('Rate Lookup'!$A$1:$A$37=G203)*'Rate Lookup'!$D$1:$D$37),IF(OR(F203="Individual",F203="HUF"),SUMPRODUCT(('Rate Lookup'!$A$1:$A$37=G203)*'Rate Lookup'!$B$1:$B$37),SUMPRODUCT(('Rate Lookup'!$A$1:$A$37=G203)*'Rate Lookup'!$C$1:$C$37)))))))</f>
      </c>
      <c r="I203" s="8"/>
      <c r="J203" s="8"/>
      <c r="K203" s="7">
        <f>IF($C203="","",IF(OR(P203="B",P203="D",P203="E",P203="N",P203="O",P203="P",P203="Q",P203="S",P203="Y",P203="Z"),0,ROUND(J203*H203/100,0)))</f>
      </c>
      <c r="L203" s="7">
        <f>IF($C203="","",0)</f>
      </c>
      <c r="M203" s="7">
        <f>IF($C203="","",0)</f>
      </c>
      <c r="N203" s="7">
        <f>IF($C203="","",IF(OR(K203=0,I203="",IFERROR(INDEX('Challan Master'!$D$4:$D$207,MATCH($B203,'Challan Master'!$S$4:$S$207,0)),"")="",IFERROR(INDEX('Challan Master'!$D$4:$D$207,MATCH($B203,'Challan Master'!$S$4:$S$207,0)),"")&lt;=0),0,IF(IFERROR(INDEX('Challan Master'!$D$4:$D$207,MATCH($B203,'Challan Master'!$S$4:$S$207,0)),"")&lt;=DATE(YEAR(I203),MONTH(I203)+1,7),0,ROUND(K203*0.015*((YEAR(IFERROR(INDEX('Challan Master'!$D$4:$D$207,MATCH($B203,'Challan Master'!$S$4:$S$207,0)),""))-YEAR(I203))*12+(MONTH(IFERROR(INDEX('Challan Master'!$D$4:$D$207,MATCH($B203,'Challan Master'!$S$4:$S$207,0)),""))-MONTH(I203))+1),0))))</f>
      </c>
      <c r="O203" s="7">
        <f>IF($C203="","",0)</f>
      </c>
      <c r="P203" s="8"/>
      <c r="Q203" s="8"/>
      <c r="R203" s="8"/>
      <c r="S203" s="8"/>
      <c r="T203" s="8"/>
      <c r="U203" s="7">
        <f>IF($B203="","",IFERROR(INDEX('Challan Master'!$AA$4:$AA$207,MATCH($B203,'Challan Master'!$S$4:$S$207,0)),""))</f>
      </c>
    </row>
    <row r="204" spans="1:22" x14ac:dyDescent="0.25">
      <c r="A204" s="7">
        <f>IF($C204="","",COUNTIF($C$4:$C204,"&lt;&gt;"))</f>
      </c>
      <c r="B204" s="8"/>
      <c r="C204" s="8"/>
      <c r="D204" s="8"/>
      <c r="E204" s="7">
        <f>IF($C204="","",IF(AND(LEN(TRIM(UPPER(D204)))=10,CODE(MID(TRIM(UPPER(D204)),1,1))&gt;=65,CODE(MID(TRIM(UPPER(D204)),1,1))&lt;=90,CODE(MID(TRIM(UPPER(D204)),2,1))&gt;=65,CODE(MID(TRIM(UPPER(D204)),2,1))&lt;=90,CODE(MID(TRIM(UPPER(D204)),3,1))&gt;=65,CODE(MID(TRIM(UPPER(D204)),3,1))&lt;=90,CODE(MID(TRIM(UPPER(D204)),4,1))&gt;=65,CODE(MID(TRIM(UPPER(D204)),4,1))&lt;=90,CODE(MID(TRIM(UPPER(D204)),5,1))&gt;=65,CODE(MID(TRIM(UPPER(D204)),5,1))&lt;=90,CODE(MID(TRIM(UPPER(D204)),10,1))&gt;=65,CODE(MID(TRIM(UPPER(D204)),10,1))&lt;=90,CODE(MID(TRIM(UPPER(D204)),6,1))&gt;=48,CODE(MID(TRIM(UPPER(D204)),6,1))&lt;=57,CODE(MID(TRIM(UPPER(D204)),7,1))&gt;=48,CODE(MID(TRIM(UPPER(D204)),7,1))&lt;=57,CODE(MID(TRIM(UPPER(D204)),8,1))&gt;=48,CODE(MID(TRIM(UPPER(D204)),8,1))&lt;=57,CODE(MID(TRIM(UPPER(D204)),9,1))&gt;=48,CODE(MID(TRIM(UPPER(D204)),9,1))&lt;=57),"N","Y"))</f>
      </c>
      <c r="F204" s="7">
        <f>IF($C204="","",IF(LEN(D204)&lt;4,"",IF(UPPER(MID(D204,4,1))="P","Individual",IF(UPPER(MID(D204,4,1))="H","HUF",IF(UPPER(MID(D204,4,1))="C","Company",IF(UPPER(MID(D204,4,1))="F","Firm",IF(UPPER(MID(D204,4,1))="L","LLP",IF(UPPER(MID(D204,4,1))="T","Trust",IF(UPPER(MID(D204,4,1))="A","AOP","")))))))))</f>
      </c>
      <c r="G204" s="8"/>
      <c r="H204" s="7">
        <f>IF($C204="","",IF(R204&lt;&gt;"",R204,IF(G204="","",IF(E204="Y",SUMPRODUCT(('Rate Lookup'!$A$1:$A$37=G204)*'Rate Lookup'!$D$1:$D$37),IF(OR(F204="Individual",F204="HUF"),SUMPRODUCT(('Rate Lookup'!$A$1:$A$37=G204)*'Rate Lookup'!$B$1:$B$37),SUMPRODUCT(('Rate Lookup'!$A$1:$A$37=G204)*'Rate Lookup'!$C$1:$C$37)))))))</f>
      </c>
      <c r="I204" s="8"/>
      <c r="J204" s="8"/>
      <c r="K204" s="7">
        <f>IF($C204="","",IF(OR(P204="B",P204="D",P204="E",P204="N",P204="O",P204="P",P204="Q",P204="S",P204="Y",P204="Z"),0,ROUND(J204*H204/100,0)))</f>
      </c>
      <c r="L204" s="7">
        <f>IF($C204="","",0)</f>
      </c>
      <c r="M204" s="7">
        <f>IF($C204="","",0)</f>
      </c>
      <c r="N204" s="7">
        <f>IF($C204="","",IF(OR(K204=0,I204="",IFERROR(INDEX('Challan Master'!$D$4:$D$207,MATCH($B204,'Challan Master'!$S$4:$S$207,0)),"")="",IFERROR(INDEX('Challan Master'!$D$4:$D$207,MATCH($B204,'Challan Master'!$S$4:$S$207,0)),"")&lt;=0),0,IF(IFERROR(INDEX('Challan Master'!$D$4:$D$207,MATCH($B204,'Challan Master'!$S$4:$S$207,0)),"")&lt;=DATE(YEAR(I204),MONTH(I204)+1,7),0,ROUND(K204*0.015*((YEAR(IFERROR(INDEX('Challan Master'!$D$4:$D$207,MATCH($B204,'Challan Master'!$S$4:$S$207,0)),""))-YEAR(I204))*12+(MONTH(IFERROR(INDEX('Challan Master'!$D$4:$D$207,MATCH($B204,'Challan Master'!$S$4:$S$207,0)),""))-MONTH(I204))+1),0))))</f>
      </c>
      <c r="O204" s="7">
        <f>IF($C204="","",0)</f>
      </c>
      <c r="P204" s="8"/>
      <c r="Q204" s="8"/>
      <c r="R204" s="8"/>
      <c r="S204" s="8"/>
      <c r="T204" s="8"/>
      <c r="U204" s="7">
        <f>IF($B204="","",IFERROR(INDEX('Challan Master'!$AA$4:$AA$207,MATCH($B204,'Challan Master'!$S$4:$S$207,0)),""))</f>
      </c>
    </row>
    <row r="205" spans="1:22" x14ac:dyDescent="0.25">
      <c r="A205" s="7">
        <f>IF($C205="","",COUNTIF($C$4:$C205,"&lt;&gt;"))</f>
      </c>
      <c r="B205" s="8"/>
      <c r="C205" s="8"/>
      <c r="D205" s="8"/>
      <c r="E205" s="7">
        <f>IF($C205="","",IF(AND(LEN(TRIM(UPPER(D205)))=10,CODE(MID(TRIM(UPPER(D205)),1,1))&gt;=65,CODE(MID(TRIM(UPPER(D205)),1,1))&lt;=90,CODE(MID(TRIM(UPPER(D205)),2,1))&gt;=65,CODE(MID(TRIM(UPPER(D205)),2,1))&lt;=90,CODE(MID(TRIM(UPPER(D205)),3,1))&gt;=65,CODE(MID(TRIM(UPPER(D205)),3,1))&lt;=90,CODE(MID(TRIM(UPPER(D205)),4,1))&gt;=65,CODE(MID(TRIM(UPPER(D205)),4,1))&lt;=90,CODE(MID(TRIM(UPPER(D205)),5,1))&gt;=65,CODE(MID(TRIM(UPPER(D205)),5,1))&lt;=90,CODE(MID(TRIM(UPPER(D205)),10,1))&gt;=65,CODE(MID(TRIM(UPPER(D205)),10,1))&lt;=90,CODE(MID(TRIM(UPPER(D205)),6,1))&gt;=48,CODE(MID(TRIM(UPPER(D205)),6,1))&lt;=57,CODE(MID(TRIM(UPPER(D205)),7,1))&gt;=48,CODE(MID(TRIM(UPPER(D205)),7,1))&lt;=57,CODE(MID(TRIM(UPPER(D205)),8,1))&gt;=48,CODE(MID(TRIM(UPPER(D205)),8,1))&lt;=57,CODE(MID(TRIM(UPPER(D205)),9,1))&gt;=48,CODE(MID(TRIM(UPPER(D205)),9,1))&lt;=57),"N","Y"))</f>
      </c>
      <c r="F205" s="7">
        <f>IF($C205="","",IF(LEN(D205)&lt;4,"",IF(UPPER(MID(D205,4,1))="P","Individual",IF(UPPER(MID(D205,4,1))="H","HUF",IF(UPPER(MID(D205,4,1))="C","Company",IF(UPPER(MID(D205,4,1))="F","Firm",IF(UPPER(MID(D205,4,1))="L","LLP",IF(UPPER(MID(D205,4,1))="T","Trust",IF(UPPER(MID(D205,4,1))="A","AOP","")))))))))</f>
      </c>
      <c r="G205" s="8"/>
      <c r="H205" s="7">
        <f>IF($C205="","",IF(R205&lt;&gt;"",R205,IF(G205="","",IF(E205="Y",SUMPRODUCT(('Rate Lookup'!$A$1:$A$37=G205)*'Rate Lookup'!$D$1:$D$37),IF(OR(F205="Individual",F205="HUF"),SUMPRODUCT(('Rate Lookup'!$A$1:$A$37=G205)*'Rate Lookup'!$B$1:$B$37),SUMPRODUCT(('Rate Lookup'!$A$1:$A$37=G205)*'Rate Lookup'!$C$1:$C$37)))))))</f>
      </c>
      <c r="I205" s="8"/>
      <c r="J205" s="8"/>
      <c r="K205" s="7">
        <f>IF($C205="","",IF(OR(P205="B",P205="D",P205="E",P205="N",P205="O",P205="P",P205="Q",P205="S",P205="Y",P205="Z"),0,ROUND(J205*H205/100,0)))</f>
      </c>
      <c r="L205" s="7">
        <f>IF($C205="","",0)</f>
      </c>
      <c r="M205" s="7">
        <f>IF($C205="","",0)</f>
      </c>
      <c r="N205" s="7">
        <f>IF($C205="","",IF(OR(K205=0,I205="",IFERROR(INDEX('Challan Master'!$D$4:$D$207,MATCH($B205,'Challan Master'!$S$4:$S$207,0)),"")="",IFERROR(INDEX('Challan Master'!$D$4:$D$207,MATCH($B205,'Challan Master'!$S$4:$S$207,0)),"")&lt;=0),0,IF(IFERROR(INDEX('Challan Master'!$D$4:$D$207,MATCH($B205,'Challan Master'!$S$4:$S$207,0)),"")&lt;=DATE(YEAR(I205),MONTH(I205)+1,7),0,ROUND(K205*0.015*((YEAR(IFERROR(INDEX('Challan Master'!$D$4:$D$207,MATCH($B205,'Challan Master'!$S$4:$S$207,0)),""))-YEAR(I205))*12+(MONTH(IFERROR(INDEX('Challan Master'!$D$4:$D$207,MATCH($B205,'Challan Master'!$S$4:$S$207,0)),""))-MONTH(I205))+1),0))))</f>
      </c>
      <c r="O205" s="7">
        <f>IF($C205="","",0)</f>
      </c>
      <c r="P205" s="8"/>
      <c r="Q205" s="8"/>
      <c r="R205" s="8"/>
      <c r="S205" s="8"/>
      <c r="T205" s="8"/>
      <c r="U205" s="7">
        <f>IF($B205="","",IFERROR(INDEX('Challan Master'!$AA$4:$AA$207,MATCH($B205,'Challan Master'!$S$4:$S$207,0)),""))</f>
      </c>
    </row>
    <row r="206" spans="1:22" x14ac:dyDescent="0.25">
      <c r="A206" s="7">
        <f>IF($C206="","",COUNTIF($C$4:$C206,"&lt;&gt;"))</f>
      </c>
      <c r="B206" s="8"/>
      <c r="C206" s="8"/>
      <c r="D206" s="8"/>
      <c r="E206" s="7">
        <f>IF($C206="","",IF(AND(LEN(TRIM(UPPER(D206)))=10,CODE(MID(TRIM(UPPER(D206)),1,1))&gt;=65,CODE(MID(TRIM(UPPER(D206)),1,1))&lt;=90,CODE(MID(TRIM(UPPER(D206)),2,1))&gt;=65,CODE(MID(TRIM(UPPER(D206)),2,1))&lt;=90,CODE(MID(TRIM(UPPER(D206)),3,1))&gt;=65,CODE(MID(TRIM(UPPER(D206)),3,1))&lt;=90,CODE(MID(TRIM(UPPER(D206)),4,1))&gt;=65,CODE(MID(TRIM(UPPER(D206)),4,1))&lt;=90,CODE(MID(TRIM(UPPER(D206)),5,1))&gt;=65,CODE(MID(TRIM(UPPER(D206)),5,1))&lt;=90,CODE(MID(TRIM(UPPER(D206)),10,1))&gt;=65,CODE(MID(TRIM(UPPER(D206)),10,1))&lt;=90,CODE(MID(TRIM(UPPER(D206)),6,1))&gt;=48,CODE(MID(TRIM(UPPER(D206)),6,1))&lt;=57,CODE(MID(TRIM(UPPER(D206)),7,1))&gt;=48,CODE(MID(TRIM(UPPER(D206)),7,1))&lt;=57,CODE(MID(TRIM(UPPER(D206)),8,1))&gt;=48,CODE(MID(TRIM(UPPER(D206)),8,1))&lt;=57,CODE(MID(TRIM(UPPER(D206)),9,1))&gt;=48,CODE(MID(TRIM(UPPER(D206)),9,1))&lt;=57),"N","Y"))</f>
      </c>
      <c r="F206" s="7">
        <f>IF($C206="","",IF(LEN(D206)&lt;4,"",IF(UPPER(MID(D206,4,1))="P","Individual",IF(UPPER(MID(D206,4,1))="H","HUF",IF(UPPER(MID(D206,4,1))="C","Company",IF(UPPER(MID(D206,4,1))="F","Firm",IF(UPPER(MID(D206,4,1))="L","LLP",IF(UPPER(MID(D206,4,1))="T","Trust",IF(UPPER(MID(D206,4,1))="A","AOP","")))))))))</f>
      </c>
      <c r="G206" s="8"/>
      <c r="H206" s="7">
        <f>IF($C206="","",IF(R206&lt;&gt;"",R206,IF(G206="","",IF(E206="Y",SUMPRODUCT(('Rate Lookup'!$A$1:$A$37=G206)*'Rate Lookup'!$D$1:$D$37),IF(OR(F206="Individual",F206="HUF"),SUMPRODUCT(('Rate Lookup'!$A$1:$A$37=G206)*'Rate Lookup'!$B$1:$B$37),SUMPRODUCT(('Rate Lookup'!$A$1:$A$37=G206)*'Rate Lookup'!$C$1:$C$37)))))))</f>
      </c>
      <c r="I206" s="8"/>
      <c r="J206" s="8"/>
      <c r="K206" s="7">
        <f>IF($C206="","",IF(OR(P206="B",P206="D",P206="E",P206="N",P206="O",P206="P",P206="Q",P206="S",P206="Y",P206="Z"),0,ROUND(J206*H206/100,0)))</f>
      </c>
      <c r="L206" s="7">
        <f>IF($C206="","",0)</f>
      </c>
      <c r="M206" s="7">
        <f>IF($C206="","",0)</f>
      </c>
      <c r="N206" s="7">
        <f>IF($C206="","",IF(OR(K206=0,I206="",IFERROR(INDEX('Challan Master'!$D$4:$D$207,MATCH($B206,'Challan Master'!$S$4:$S$207,0)),"")="",IFERROR(INDEX('Challan Master'!$D$4:$D$207,MATCH($B206,'Challan Master'!$S$4:$S$207,0)),"")&lt;=0),0,IF(IFERROR(INDEX('Challan Master'!$D$4:$D$207,MATCH($B206,'Challan Master'!$S$4:$S$207,0)),"")&lt;=DATE(YEAR(I206),MONTH(I206)+1,7),0,ROUND(K206*0.015*((YEAR(IFERROR(INDEX('Challan Master'!$D$4:$D$207,MATCH($B206,'Challan Master'!$S$4:$S$207,0)),""))-YEAR(I206))*12+(MONTH(IFERROR(INDEX('Challan Master'!$D$4:$D$207,MATCH($B206,'Challan Master'!$S$4:$S$207,0)),""))-MONTH(I206))+1),0))))</f>
      </c>
      <c r="O206" s="7">
        <f>IF($C206="","",0)</f>
      </c>
      <c r="P206" s="8"/>
      <c r="Q206" s="8"/>
      <c r="R206" s="8"/>
      <c r="S206" s="8"/>
      <c r="T206" s="8"/>
      <c r="U206" s="7">
        <f>IF($B206="","",IFERROR(INDEX('Challan Master'!$AA$4:$AA$207,MATCH($B206,'Challan Master'!$S$4:$S$207,0)),""))</f>
      </c>
    </row>
    <row r="207" spans="1:22" x14ac:dyDescent="0.25">
      <c r="A207" s="7">
        <f>IF($C207="","",COUNTIF($C$4:$C207,"&lt;&gt;"))</f>
      </c>
      <c r="B207" s="8"/>
      <c r="C207" s="8"/>
      <c r="D207" s="8"/>
      <c r="E207" s="7">
        <f>IF($C207="","",IF(AND(LEN(TRIM(UPPER(D207)))=10,CODE(MID(TRIM(UPPER(D207)),1,1))&gt;=65,CODE(MID(TRIM(UPPER(D207)),1,1))&lt;=90,CODE(MID(TRIM(UPPER(D207)),2,1))&gt;=65,CODE(MID(TRIM(UPPER(D207)),2,1))&lt;=90,CODE(MID(TRIM(UPPER(D207)),3,1))&gt;=65,CODE(MID(TRIM(UPPER(D207)),3,1))&lt;=90,CODE(MID(TRIM(UPPER(D207)),4,1))&gt;=65,CODE(MID(TRIM(UPPER(D207)),4,1))&lt;=90,CODE(MID(TRIM(UPPER(D207)),5,1))&gt;=65,CODE(MID(TRIM(UPPER(D207)),5,1))&lt;=90,CODE(MID(TRIM(UPPER(D207)),10,1))&gt;=65,CODE(MID(TRIM(UPPER(D207)),10,1))&lt;=90,CODE(MID(TRIM(UPPER(D207)),6,1))&gt;=48,CODE(MID(TRIM(UPPER(D207)),6,1))&lt;=57,CODE(MID(TRIM(UPPER(D207)),7,1))&gt;=48,CODE(MID(TRIM(UPPER(D207)),7,1))&lt;=57,CODE(MID(TRIM(UPPER(D207)),8,1))&gt;=48,CODE(MID(TRIM(UPPER(D207)),8,1))&lt;=57,CODE(MID(TRIM(UPPER(D207)),9,1))&gt;=48,CODE(MID(TRIM(UPPER(D207)),9,1))&lt;=57),"N","Y"))</f>
      </c>
      <c r="F207" s="7">
        <f>IF($C207="","",IF(LEN(D207)&lt;4,"",IF(UPPER(MID(D207,4,1))="P","Individual",IF(UPPER(MID(D207,4,1))="H","HUF",IF(UPPER(MID(D207,4,1))="C","Company",IF(UPPER(MID(D207,4,1))="F","Firm",IF(UPPER(MID(D207,4,1))="L","LLP",IF(UPPER(MID(D207,4,1))="T","Trust",IF(UPPER(MID(D207,4,1))="A","AOP","")))))))))</f>
      </c>
      <c r="G207" s="8"/>
      <c r="H207" s="7">
        <f>IF($C207="","",IF(R207&lt;&gt;"",R207,IF(G207="","",IF(E207="Y",SUMPRODUCT(('Rate Lookup'!$A$1:$A$37=G207)*'Rate Lookup'!$D$1:$D$37),IF(OR(F207="Individual",F207="HUF"),SUMPRODUCT(('Rate Lookup'!$A$1:$A$37=G207)*'Rate Lookup'!$B$1:$B$37),SUMPRODUCT(('Rate Lookup'!$A$1:$A$37=G207)*'Rate Lookup'!$C$1:$C$37)))))))</f>
      </c>
      <c r="I207" s="8"/>
      <c r="J207" s="8"/>
      <c r="K207" s="7">
        <f>IF($C207="","",IF(OR(P207="B",P207="D",P207="E",P207="N",P207="O",P207="P",P207="Q",P207="S",P207="Y",P207="Z"),0,ROUND(J207*H207/100,0)))</f>
      </c>
      <c r="L207" s="7">
        <f>IF($C207="","",0)</f>
      </c>
      <c r="M207" s="7">
        <f>IF($C207="","",0)</f>
      </c>
      <c r="N207" s="7">
        <f>IF($C207="","",IF(OR(K207=0,I207="",IFERROR(INDEX('Challan Master'!$D$4:$D$207,MATCH($B207,'Challan Master'!$S$4:$S$207,0)),"")="",IFERROR(INDEX('Challan Master'!$D$4:$D$207,MATCH($B207,'Challan Master'!$S$4:$S$207,0)),"")&lt;=0),0,IF(IFERROR(INDEX('Challan Master'!$D$4:$D$207,MATCH($B207,'Challan Master'!$S$4:$S$207,0)),"")&lt;=DATE(YEAR(I207),MONTH(I207)+1,7),0,ROUND(K207*0.015*((YEAR(IFERROR(INDEX('Challan Master'!$D$4:$D$207,MATCH($B207,'Challan Master'!$S$4:$S$207,0)),""))-YEAR(I207))*12+(MONTH(IFERROR(INDEX('Challan Master'!$D$4:$D$207,MATCH($B207,'Challan Master'!$S$4:$S$207,0)),""))-MONTH(I207))+1),0))))</f>
      </c>
      <c r="O207" s="7">
        <f>IF($C207="","",0)</f>
      </c>
      <c r="P207" s="8"/>
      <c r="Q207" s="8"/>
      <c r="R207" s="8"/>
      <c r="S207" s="8"/>
      <c r="T207" s="8"/>
      <c r="U207" s="7">
        <f>IF($B207="","",IFERROR(INDEX('Challan Master'!$AA$4:$AA$207,MATCH($B207,'Challan Master'!$S$4:$S$207,0)),""))</f>
      </c>
    </row>
  </sheetData>
  <sheetProtection sheet="1" formatCells="0" formatColumns="0" formatRows="0"/>
  <mergeCells count="2">
    <mergeCell ref="A1:U1"/>
    <mergeCell ref="A2:U2"/>
  </mergeCells>
  <conditionalFormatting sqref="A2:U2">
    <cfRule type="expression" dxfId="35" priority="1">
      <formula>ISNUMBER(SEARCH("VALIDATION FAILED",$A2))</formula>
    </cfRule>
    <cfRule type="expression" dxfId="36" priority="2">
      <formula>ISNUMBER(SEARCH("Validation Successful",$A2))</formula>
    </cfRule>
  </conditionalFormatting>
  <conditionalFormatting sqref="B4:B207">
    <cfRule type="expression" dxfId="37" priority="3">
      <formula>AND($C4&lt;&gt;"",$B4="")</formula>
    </cfRule>
  </conditionalFormatting>
  <conditionalFormatting sqref="D4:D207">
    <cfRule type="expression" dxfId="38" priority="4">
      <formula>$E4="Y"</formula>
    </cfRule>
  </conditionalFormatting>
  <conditionalFormatting sqref="A4:U207">
    <cfRule type="expression" dxfId="39" priority="5">
      <formula>$U4="Over-applied"</formula>
    </cfRule>
  </conditionalFormatting>
  <conditionalFormatting sqref="Q4:R207">
    <cfRule type="expression" dxfId="40" priority="6">
      <formula>AND($P4="A",OR($Q4="",$R4=""))</formula>
    </cfRule>
  </conditionalFormatting>
  <conditionalFormatting sqref="P4:P207">
    <cfRule type="expression" dxfId="41" priority="7">
      <formula>AND($P4="C",$E4&lt;&gt;"Y")</formula>
    </cfRule>
  </conditionalFormatting>
  <conditionalFormatting sqref="P4:P207">
    <cfRule type="expression" dxfId="42" priority="8">
      <formula>AND($P4="T",$E4="Y")</formula>
    </cfRule>
  </conditionalFormatting>
  <conditionalFormatting sqref="T4:T207">
    <cfRule type="expression" dxfId="43" priority="9">
      <formula>AND(OR($P4="D",$P4="E",$P4="N",$P4="O",$P4="P",$P4="Q",$P4="S",$P4="Z"),$T4="")</formula>
    </cfRule>
  </conditionalFormatting>
  <dataValidations count="10">
    <dataValidation type="list" allowBlank="1" showErrorMessage="1" errorTitle="Invalid Challan" error="Pick a challan from the dropdown — it must already exist on the Challan Master sheet." sqref="B10:B207">
      <formula1>'Challan Master'!$S$4:$S$207</formula1>
    </dataValidation>
    <dataValidation type="list" allowBlank="1" showErrorMessage="1" errorTitle="Invalid Challan" error="Pick a challan from the dropdown — it must already exist on the Challan Master sheet." sqref="B4:B207">
      <formula1>'Challan Master'!$S$4:$S$207</formula1>
    </dataValidation>
    <dataValidation type="list" allowBlank="1" showErrorMessage="1" errorTitle="Invalid Section" error="Pick a section from the dropdown list." sqref="G10:G207">
      <formula1>'Rate Lookup'!$A$1:$A$37</formula1>
    </dataValidation>
    <dataValidation type="list" allowBlank="1" showErrorMessage="1" errorTitle="Invalid Section" error="Pick a section from the dropdown list." sqref="G4:G207">
      <formula1>'Rate Lookup'!$A$1:$A$37</formula1>
    </dataValidation>
    <dataValidation type="date" allowBlank="1" showErrorMessage="1" errorTitle="Invalid Date" error="Enter a real date (use the date picker), between 01-Apr-2020 and 31-Mar-2030." sqref="I10:I207">
      <formula1>43922</formula1>
      <formula2>47573</formula2>
    </dataValidation>
    <dataValidation type="date" allowBlank="1" showErrorMessage="1" errorTitle="Invalid Date" error="Enter a real date (use the date picker), between 01-Apr-2020 and 31-Mar-2030." sqref="I4:I207">
      <formula1>43922</formula1>
      <formula2>47573</formula2>
    </dataValidation>
    <dataValidation type="decimal" operator="greaterThanOrEqual" allowBlank="1" showErrorMessage="1" errorTitle="Invalid Amount" error="Must be a number of 0 or more." sqref="J10:J207">
      <formula1>0</formula1>
    </dataValidation>
    <dataValidation type="decimal" operator="greaterThanOrEqual" allowBlank="1" showErrorMessage="1" errorTitle="Invalid Amount" error="Must be a number of 0 or more." sqref="J4:J207">
      <formula1>0</formula1>
    </dataValidation>
    <dataValidation type="list" allowBlank="1" showErrorMessage="1" errorTitle="Invalid Reason Code" error="Pick a Reason Code from the dropdown (A/B/C/D/E/N/O/P/Q/S/T/Y/Z)." sqref="P10:P207">
      <formula1>"A,B,C,D,E,N,O,P,Q,S,T,Y,Z"</formula1>
    </dataValidation>
    <dataValidation type="list" allowBlank="1" showErrorMessage="1" errorTitle="Invalid Reason Code" error="Pick a Reason Code from the dropdown (A/B/C/D/E/N/O/P/Q/S/T/Y/Z)." sqref="P4:P207">
      <formula1>"A,B,C,D,E,N,O,P,Q,S,T,Y,Z"</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Rate Lookup</vt:lpstr>
      <vt:lpstr>Challan Master</vt:lpstr>
      <vt:lpstr>Q1 Data</vt:lpstr>
      <vt:lpstr>Q2 Data</vt:lpstr>
      <vt:lpstr>Q3 Data</vt:lpstr>
      <vt:lpstr>Q4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2026-09-21T11:20:20Z</dcterms:created>
  <dcterms:modified xsi:type="dcterms:W3CDTF">2026-09-21T11:20:20Z</dcterms:modified>
</cp:coreProperties>
</file>