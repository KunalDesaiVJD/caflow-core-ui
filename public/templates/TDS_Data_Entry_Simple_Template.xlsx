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Mode="auto" calcId="171027" fullCalcOnLoad="1"/>
</workbook>
</file>

<file path=xl/sharedStrings.xml><?xml version="1.0" encoding="utf-8"?>
<sst xmlns="http://schemas.openxmlformats.org/spreadsheetml/2006/main" count="186" uniqueCount="170">
  <si>
    <t>TDS Data Entry — Client Template</t>
  </si>
  <si>
    <t>A single sheet mirroring the software's own Data Entry screen as closely as a static workbook can.</t>
  </si>
  <si>
    <t>How This Template Works</t>
  </si>
  <si>
    <t>•  This workbook has TWO sheets: this Instructions sheet, and "TDS Data" — the only sheet you fill in.</t>
  </si>
  <si>
    <t>•  A challan is identified the SAME way the software identifies it — by BSR Code + Challan Serial No. There is no separate "Challan ID" to invent.</t>
  </si>
  <si>
    <t>•  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</si>
  <si>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  One challan can have MANY entries. "Applied", "Allocatable", "Balance" and "Status" (green columns, Challan rows only) update live as you add entries — mirrors the software's own utilisation tracking. Status sits right after Challan Serial No. so you can see at a glance whether a challan is Over-applied, Fully Utilised, or still has room — and an Over-applied challan's ENTIRE row is highlighted red, not just the Status cell.</t>
  </si>
  <si>
    <t>•  Row 2 is a live Validation Summary banner — it recalculates automatically on every keystroke and shows "✅ Validation Successful" (green) when no challan is over-applied, or "❌ VALIDATION FAILED" (red) with a count when one or more challans are. A plain Excel file (no macros) can't have a clickable "Validate" button with a pop-up message — this is the equivalent that can never go stale, needs no "Enable Macros" security prompt, and works the same in Google Sheets/LibreOffice too. If you specifically want a literal button instead, that needs a macro-enabled (.xlsm) version — ask and it can be built, with the trade-off that macros are blocked by many firms' security policies by default.</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</si>
  <si>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</si>
  <si>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</si>
  <si>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</si>
  <si>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</si>
  <si>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</si>
  <si>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  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</si>
  <si>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</si>
  <si>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  Do not rename the sheet tab, insert/delete columns, or change the header row (row 3)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</si>
  <si>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</si>
  <si>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What This Template CANNOT Do (please read)</t>
  </si>
  <si>
    <t>•  Multi-quarter carry-forward: in the software, an unused challan balance is automatically rediscovered in a LATER quarter by querying the live database. A static Excel file can't do that — "Applied"/"Balance" here only sees entries typed into THIS workbook.</t>
  </si>
  <si>
    <t>•  Global Challan Number uniqueness: the software checks a new Challan Number against every challan for every client and firm, live. This workbook can only check for duplicates WITHIN itself.</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</si>
  <si>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</si>
  <si>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</si>
  <si>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</si>
  <si>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</si>
  <si>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</si>
  <si>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</si>
  <si>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</si>
  <si>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</si>
  <si>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t>
    </r>
  </si>
  <si>
    <r>
      <rPr>
        <b/>
        <sz val="10"/>
        <rFont val="Arial"/>
      </rPr>
      <t xml:space="preserve">Status (auto): </t>
    </r>
    <r>
      <rPr>
        <sz val="10"/>
        <rFont val="Arial"/>
      </rPr>
      <t>Calculates automatically — Over-applied, Fully Utilised, or Unconsumed, based on Applied vs Allocatable. Do not edit. An Over-applied challan's entire row is shaded red as a heads-up.</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</si>
  <si>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</si>
  <si>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</si>
  <si>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</si>
  <si>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</si>
  <si>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</si>
  <si>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</si>
  <si>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</si>
  <si>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</si>
  <si>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</si>
  <si>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</si>
  <si>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</si>
  <si>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</si>
  <si>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</si>
  <si>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</si>
  <si>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</si>
  <si>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</si>
  <si>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</si>
  <si>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above — this is how the entry links to its challan.</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</si>
  <si>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</si>
  <si>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</si>
  <si>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</si>
  <si>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</si>
  <si>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</si>
  <si>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</si>
  <si>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</si>
  <si>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</si>
  <si>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</si>
  <si>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</si>
  <si>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</si>
  <si>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</si>
  <si>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</si>
  <si>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</si>
  <si>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</si>
  <si>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</si>
  <si>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</si>
  <si>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</si>
  <si>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</si>
  <si>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t>
    </r>
    <r>
      <rPr>
        <sz val="10"/>
        <rFont val="Arial"/>
      </rPr>
      <t>Sum of TDS + Interest + Surcharge across every Entry row linked to this challan (within this workbook).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</si>
  <si>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</si>
  <si>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t>
    </r>
    <r>
      <rPr>
        <sz val="10"/>
        <rFont val="Arial"/>
      </rPr>
      <t>MAX(0, Allocatable − Applied) — how much of this challan is still unconsumed.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</si>
  <si>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</si>
  <si>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</si>
  <si>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</si>
  <si>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</si>
  <si>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</si>
  <si>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</si>
  <si>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</si>
  <si>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194B — Lottery/Crossword</t>
  </si>
  <si>
    <t>194BB — Horse Racing</t>
  </si>
  <si>
    <t>1023 : [194C] : 393(1) [Table: S.N. 6(i).D(a)] – Payments to contractors and sub-contractors (Individual/HUF)</t>
  </si>
  <si>
    <t>1024 : [194C] : 393(1) [Table: S.N. 6(i).D(b)] – Payments to contractors and sub-contractors (Others)</t>
  </si>
  <si>
    <t>194D — Insurance Commission</t>
  </si>
  <si>
    <t>194DA — Life Insurance Payout</t>
  </si>
  <si>
    <t>194G — Lottery Agent Commission</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</si>
  <si>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</si>
  <si>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</si>
  <si>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</si>
  <si>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</si>
  <si>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</si>
  <si>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194IC — Joint Dev Agreement</t>
  </si>
  <si>
    <t>1027 : [194J(a)] : 393(1) [Table: S.N. 6(iii).D(b)] – Professional services / director remuneration</t>
  </si>
  <si>
    <t>1026 : [194J(b)] : 393(1) [Table: S.N. 6(iii).D(a)] – Fees for technical services</t>
  </si>
  <si>
    <t>194K — MF/UTI Units Income</t>
  </si>
  <si>
    <t>194LA — Compulsory Acquisition</t>
  </si>
  <si>
    <t>194LB — Infrastructure Bond Interest</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</si>
  <si>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</si>
  <si>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</si>
  <si>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</si>
  <si>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</si>
  <si>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</si>
  <si>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194S — Virtual Digital Asset</t>
  </si>
  <si>
    <t>1067 : [194T] : 393(3) [Table: S.N. 7] – Payment to partners of a firm (salary/remuneration/interest)</t>
  </si>
  <si>
    <t>195 — Other Payments to NR</t>
  </si>
  <si>
    <t>196A — MF Income to NR</t>
  </si>
  <si>
    <t>196D — FII Securities</t>
  </si>
  <si>
    <t>1073 : [206C(1)] : 394(1) [Table: S.N. 4] – Sale of scrap (TCS)</t>
  </si>
  <si>
    <t>206C(1H) — Sale of Goods (TCS)</t>
  </si>
  <si>
    <t>TDS DATA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</si>
  <si>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</si>
  <si>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</si>
  <si>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</si>
  <si>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</si>
  <si>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</si>
  <si>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</si>
  <si>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</si>
  <si>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</si>
  <si>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</si>
  <si>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</si>
  <si>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</si>
  <si>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</si>
  <si>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</si>
  <si>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</si>
  <si>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</si>
  <si>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</si>
  <si>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</si>
  <si>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</si>
  <si>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</si>
  <si>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</si>
  <si>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</si>
  <si>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</si>
  <si>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</si>
  <si>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</si>
  <si>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</si>
  <si>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</si>
  <si>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</si>
  <si>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</si>
  <si>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</si>
  <si>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</si>
  <si>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</si>
  <si>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</si>
  <si>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</si>
  <si>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</si>
  <si>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</si>
  <si>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</si>
  <si>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</si>
  <si>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</si>
  <si>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</si>
  <si>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t>
  </si>
  <si>
    <t>Allocatable (₹)</t>
  </si>
  <si>
    <t>Balance (₹)</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</si>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</sst>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9">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7"/>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35" customHeight="1" spans="1:1" x14ac:dyDescent="0.25">
      <c r="A6" s="4" t="s">
        <v>3</v>
      </c>
    </row>
    <row r="7" ht="35" customHeight="1" spans="1:1" x14ac:dyDescent="0.25">
      <c r="A7" s="4" t="s">
        <v>4</v>
      </c>
    </row>
    <row r="8" ht="65" customHeight="1" spans="1:1" x14ac:dyDescent="0.25">
      <c r="A8" s="4" t="s">
        <v>5</v>
      </c>
    </row>
    <row r="9" ht="80" customHeight="1" spans="1:1" x14ac:dyDescent="0.25">
      <c r="A9" s="4" t="s">
        <v>6</v>
      </c>
    </row>
    <row r="10" ht="125" customHeight="1" spans="1:1" x14ac:dyDescent="0.25">
      <c r="A10" s="4" t="s">
        <v>7</v>
      </c>
    </row>
    <row r="11" ht="95" customHeight="1" spans="1:1" x14ac:dyDescent="0.25">
      <c r="A11" s="4" t="s">
        <v>8</v>
      </c>
    </row>
    <row r="12" ht="50" customHeight="1" spans="1:1" x14ac:dyDescent="0.25">
      <c r="A12" s="4" t="s">
        <v>9</v>
      </c>
    </row>
    <row r="13" ht="80" customHeight="1" spans="1:1" x14ac:dyDescent="0.25">
      <c r="A13" s="4" t="s">
        <v>10</v>
      </c>
    </row>
    <row r="14" ht="50" customHeight="1" spans="1:1" x14ac:dyDescent="0.25">
      <c r="A14" s="4" t="s">
        <v>11</v>
      </c>
    </row>
    <row r="15" ht="65" customHeight="1" spans="1:1" x14ac:dyDescent="0.25">
      <c r="A15" s="4" t="s">
        <v>12</v>
      </c>
    </row>
    <row r="16" ht="65" customHeight="1" spans="1:1" x14ac:dyDescent="0.25">
      <c r="A16" s="4" t="s">
        <v>13</v>
      </c>
    </row>
    <row r="17" ht="95" customHeight="1" spans="1:1" x14ac:dyDescent="0.25">
      <c r="A17" s="4" t="s">
        <v>14</v>
      </c>
    </row>
    <row r="18" ht="35" customHeight="1" spans="1:1" x14ac:dyDescent="0.25">
      <c r="A18" s="4" t="s">
        <v>15</v>
      </c>
    </row>
    <row r="19" ht="65" customHeight="1" spans="1:1" x14ac:dyDescent="0.25">
      <c r="A19" s="4" t="s">
        <v>16</v>
      </c>
    </row>
    <row r="21" spans="1:1" x14ac:dyDescent="0.25">
      <c r="A21" s="3" t="s">
        <v>17</v>
      </c>
    </row>
    <row r="22" ht="50" customHeight="1" spans="1:1" x14ac:dyDescent="0.25">
      <c r="A22" s="4" t="s">
        <v>18</v>
      </c>
    </row>
    <row r="23" ht="35" customHeight="1" spans="1:1" x14ac:dyDescent="0.25">
      <c r="A23" s="4" t="s">
        <v>19</v>
      </c>
    </row>
    <row r="24" ht="50" customHeight="1" spans="1:1" x14ac:dyDescent="0.25">
      <c r="A24" s="4" t="s">
        <v>20</v>
      </c>
    </row>
    <row r="25" ht="65" customHeight="1" spans="1:1" x14ac:dyDescent="0.25">
      <c r="A25" s="4" t="s">
        <v>21</v>
      </c>
    </row>
    <row r="27" spans="1:1" x14ac:dyDescent="0.25">
      <c r="A27" s="3" t="s">
        <v>22</v>
      </c>
    </row>
    <row r="28" ht="80" customHeight="1" spans="1:1" x14ac:dyDescent="0.25">
      <c r="A28" s="4" t="s">
        <v>23</v>
      </c>
    </row>
    <row r="29" ht="65" customHeight="1" spans="1:1" x14ac:dyDescent="0.25">
      <c r="A29" s="4" t="s">
        <v>24</v>
      </c>
    </row>
    <row r="30" ht="140" customHeight="1" spans="1:1" x14ac:dyDescent="0.25">
      <c r="A30" s="4" t="s">
        <v>25</v>
      </c>
    </row>
    <row r="32" spans="1:1" x14ac:dyDescent="0.25">
      <c r="A32" s="3" t="s">
        <v>26</v>
      </c>
    </row>
    <row r="33" ht="20" customHeight="1" spans="1:1" x14ac:dyDescent="0.25">
      <c r="A33" s="5" t="s">
        <v>27</v>
      </c>
    </row>
    <row r="34" ht="35" customHeight="1" spans="1:1" x14ac:dyDescent="0.25">
      <c r="A34" s="5" t="s">
        <v>28</v>
      </c>
    </row>
    <row r="35" ht="50" customHeight="1" spans="1:1" x14ac:dyDescent="0.25">
      <c r="A35" s="5" t="s">
        <v>29</v>
      </c>
    </row>
    <row r="36" ht="20" customHeight="1" spans="1:1" x14ac:dyDescent="0.25">
      <c r="A36" s="5" t="s">
        <v>30</v>
      </c>
    </row>
    <row r="37" ht="20" customHeight="1" spans="1:1" x14ac:dyDescent="0.25">
      <c r="A37" s="5" t="s">
        <v>31</v>
      </c>
    </row>
    <row r="38" ht="50" customHeight="1" spans="1:1" x14ac:dyDescent="0.25">
      <c r="A38" s="5" t="s">
        <v>32</v>
      </c>
    </row>
    <row r="39" ht="20" customHeight="1" spans="1:1" x14ac:dyDescent="0.25">
      <c r="A39" s="5" t="s">
        <v>33</v>
      </c>
    </row>
    <row r="40" ht="20" customHeight="1" spans="1:1" x14ac:dyDescent="0.25">
      <c r="A40" s="5" t="s">
        <v>34</v>
      </c>
    </row>
    <row r="41" ht="20" customHeight="1" spans="1:1" x14ac:dyDescent="0.25">
      <c r="A41" s="5" t="s">
        <v>35</v>
      </c>
    </row>
    <row r="42" ht="20" customHeight="1" spans="1:1" x14ac:dyDescent="0.25">
      <c r="A42" s="5" t="s">
        <v>36</v>
      </c>
    </row>
    <row r="43" ht="20" customHeight="1" spans="1:1" x14ac:dyDescent="0.25">
      <c r="A43" s="5" t="s">
        <v>37</v>
      </c>
    </row>
    <row r="44" ht="35" customHeight="1" spans="1:1" x14ac:dyDescent="0.25">
      <c r="A44" s="5" t="s">
        <v>38</v>
      </c>
    </row>
    <row r="45" ht="35" customHeight="1" spans="1:1" x14ac:dyDescent="0.25">
      <c r="A45" s="5" t="s">
        <v>39</v>
      </c>
    </row>
    <row r="46" ht="35" customHeight="1" spans="1:1" x14ac:dyDescent="0.25">
      <c r="A46" s="5" t="s">
        <v>40</v>
      </c>
    </row>
    <row r="47" ht="20" customHeight="1" spans="1:1" x14ac:dyDescent="0.25">
      <c r="A47" s="5" t="s">
        <v>41</v>
      </c>
    </row>
    <row r="48" ht="20" customHeight="1" spans="1:1" x14ac:dyDescent="0.25">
      <c r="A48" s="5" t="s">
        <v>42</v>
      </c>
    </row>
    <row r="49" ht="20" customHeight="1" spans="1:1" x14ac:dyDescent="0.25">
      <c r="A49" s="5" t="s">
        <v>43</v>
      </c>
    </row>
    <row r="50" ht="50" customHeight="1" spans="1:1" x14ac:dyDescent="0.25">
      <c r="A50" s="5" t="s">
        <v>44</v>
      </c>
    </row>
    <row r="51" ht="20" customHeight="1" spans="1:1" x14ac:dyDescent="0.25">
      <c r="A51" s="5" t="s">
        <v>45</v>
      </c>
    </row>
    <row r="53" spans="1:1" x14ac:dyDescent="0.25">
      <c r="A53" s="3" t="s">
        <v>46</v>
      </c>
    </row>
    <row r="54" ht="35" customHeight="1" spans="1:1" x14ac:dyDescent="0.25">
      <c r="A54" s="5" t="s">
        <v>47</v>
      </c>
    </row>
    <row r="55" ht="20" customHeight="1" spans="1:1" x14ac:dyDescent="0.25">
      <c r="A55" s="5" t="s">
        <v>48</v>
      </c>
    </row>
    <row r="56" ht="65" customHeight="1" spans="1:1" x14ac:dyDescent="0.25">
      <c r="A56" s="5" t="s">
        <v>49</v>
      </c>
    </row>
    <row r="57" ht="50" customHeight="1" spans="1:1" x14ac:dyDescent="0.25">
      <c r="A57" s="5" t="s">
        <v>50</v>
      </c>
    </row>
    <row r="58" ht="35" customHeight="1" spans="1:1" x14ac:dyDescent="0.25">
      <c r="A58" s="5" t="s">
        <v>51</v>
      </c>
    </row>
    <row r="59" ht="65" customHeight="1" spans="1:1" x14ac:dyDescent="0.25">
      <c r="A59" s="5" t="s">
        <v>52</v>
      </c>
    </row>
    <row r="60" ht="50" customHeight="1" spans="1:1" x14ac:dyDescent="0.25">
      <c r="A60" s="5" t="s">
        <v>53</v>
      </c>
    </row>
    <row r="61" ht="20" customHeight="1" spans="1:1" x14ac:dyDescent="0.25">
      <c r="A61" s="5" t="s">
        <v>54</v>
      </c>
    </row>
    <row r="62" ht="20" customHeight="1" spans="1:1" x14ac:dyDescent="0.25">
      <c r="A62" s="5" t="s">
        <v>55</v>
      </c>
    </row>
    <row r="63" ht="20" customHeight="1" spans="1:1" x14ac:dyDescent="0.25">
      <c r="A63" s="5" t="s">
        <v>56</v>
      </c>
    </row>
    <row r="64" ht="20" customHeight="1" spans="1:1" x14ac:dyDescent="0.25">
      <c r="A64" s="5" t="s">
        <v>57</v>
      </c>
    </row>
    <row r="65" ht="20" customHeight="1" spans="1:1" x14ac:dyDescent="0.25">
      <c r="A65" s="5" t="s">
        <v>58</v>
      </c>
    </row>
    <row r="66" ht="35" customHeight="1" spans="1:1" x14ac:dyDescent="0.25">
      <c r="A66" s="5" t="s">
        <v>59</v>
      </c>
    </row>
    <row r="67" ht="20" customHeight="1" spans="1:1" x14ac:dyDescent="0.25">
      <c r="A67" s="5" t="s">
        <v>60</v>
      </c>
    </row>
    <row r="68" ht="35" customHeight="1" spans="1:1" x14ac:dyDescent="0.25">
      <c r="A68" s="5" t="s">
        <v>61</v>
      </c>
    </row>
    <row r="69" ht="20" customHeight="1" spans="1:1" x14ac:dyDescent="0.25">
      <c r="A69" s="5" t="s">
        <v>62</v>
      </c>
    </row>
    <row r="70" ht="20" customHeight="1" spans="1:1" x14ac:dyDescent="0.25">
      <c r="A70" s="5" t="s">
        <v>63</v>
      </c>
    </row>
    <row r="71" ht="20" customHeight="1" spans="1:1" x14ac:dyDescent="0.25">
      <c r="A71" s="5" t="s">
        <v>64</v>
      </c>
    </row>
    <row r="72" ht="20" customHeight="1" spans="1:1" x14ac:dyDescent="0.25">
      <c r="A72" s="5" t="s">
        <v>65</v>
      </c>
    </row>
    <row r="74" spans="1:1" x14ac:dyDescent="0.25">
      <c r="A74" s="3" t="s">
        <v>66</v>
      </c>
    </row>
    <row r="75" ht="35" customHeight="1" spans="1:1" x14ac:dyDescent="0.25">
      <c r="A75" s="5" t="s">
        <v>67</v>
      </c>
    </row>
    <row r="76" ht="35" customHeight="1" spans="1:1" x14ac:dyDescent="0.25">
      <c r="A76" s="5" t="s">
        <v>68</v>
      </c>
    </row>
    <row r="77" ht="20" customHeight="1" spans="1:1" x14ac:dyDescent="0.25">
      <c r="A77" s="5" t="s">
        <v>69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70</v>
      </c>
      <c r="B1">
        <v>0</v>
      </c>
      <c r="C1">
        <v>0</v>
      </c>
      <c r="D1">
        <v>20</v>
      </c>
    </row>
    <row r="2" spans="1:4" x14ac:dyDescent="0.25">
      <c r="A2" t="s">
        <v>71</v>
      </c>
      <c r="B2">
        <v>10</v>
      </c>
      <c r="C2">
        <v>10</v>
      </c>
      <c r="D2">
        <v>20</v>
      </c>
    </row>
    <row r="3" spans="1:4" x14ac:dyDescent="0.25">
      <c r="A3" t="s">
        <v>72</v>
      </c>
      <c r="B3">
        <v>10</v>
      </c>
      <c r="C3">
        <v>10</v>
      </c>
      <c r="D3">
        <v>20</v>
      </c>
    </row>
    <row r="4" spans="1:4" x14ac:dyDescent="0.25">
      <c r="A4" t="s">
        <v>73</v>
      </c>
      <c r="B4">
        <v>10</v>
      </c>
      <c r="C4">
        <v>10</v>
      </c>
      <c r="D4">
        <v>20</v>
      </c>
    </row>
    <row r="5" spans="1:4" x14ac:dyDescent="0.25">
      <c r="A5" t="s">
        <v>74</v>
      </c>
      <c r="B5">
        <v>10</v>
      </c>
      <c r="C5">
        <v>10</v>
      </c>
      <c r="D5">
        <v>20</v>
      </c>
    </row>
    <row r="6" spans="1:4" x14ac:dyDescent="0.25">
      <c r="A6" t="s">
        <v>75</v>
      </c>
      <c r="B6">
        <v>10</v>
      </c>
      <c r="C6">
        <v>10</v>
      </c>
      <c r="D6">
        <v>20</v>
      </c>
    </row>
    <row r="7" spans="1:4" x14ac:dyDescent="0.25">
      <c r="A7" t="s">
        <v>76</v>
      </c>
      <c r="B7">
        <v>10</v>
      </c>
      <c r="C7">
        <v>10</v>
      </c>
      <c r="D7">
        <v>20</v>
      </c>
    </row>
    <row r="8" spans="1:4" x14ac:dyDescent="0.25">
      <c r="A8" t="s">
        <v>77</v>
      </c>
      <c r="B8">
        <v>30</v>
      </c>
      <c r="C8">
        <v>30</v>
      </c>
      <c r="D8">
        <v>30</v>
      </c>
    </row>
    <row r="9" spans="1:4" x14ac:dyDescent="0.25">
      <c r="A9" t="s">
        <v>78</v>
      </c>
      <c r="B9">
        <v>30</v>
      </c>
      <c r="C9">
        <v>30</v>
      </c>
      <c r="D9">
        <v>30</v>
      </c>
    </row>
    <row r="10" spans="1:4" x14ac:dyDescent="0.25">
      <c r="A10" t="s">
        <v>79</v>
      </c>
      <c r="B10">
        <v>1</v>
      </c>
      <c r="C10">
        <v>1</v>
      </c>
      <c r="D10">
        <v>20</v>
      </c>
    </row>
    <row r="11" spans="1:4" x14ac:dyDescent="0.25">
      <c r="A11" t="s">
        <v>80</v>
      </c>
      <c r="B11">
        <v>2</v>
      </c>
      <c r="C11">
        <v>2</v>
      </c>
      <c r="D11">
        <v>20</v>
      </c>
    </row>
    <row r="12" spans="1:4" x14ac:dyDescent="0.25">
      <c r="A12" t="s">
        <v>81</v>
      </c>
      <c r="B12">
        <v>2</v>
      </c>
      <c r="C12">
        <v>10</v>
      </c>
      <c r="D12">
        <v>20</v>
      </c>
    </row>
    <row r="13" spans="1:4" x14ac:dyDescent="0.25">
      <c r="A13" t="s">
        <v>82</v>
      </c>
      <c r="B13">
        <v>2</v>
      </c>
      <c r="C13">
        <v>2</v>
      </c>
      <c r="D13">
        <v>20</v>
      </c>
    </row>
    <row r="14" spans="1:4" x14ac:dyDescent="0.25">
      <c r="A14" t="s">
        <v>83</v>
      </c>
      <c r="B14">
        <v>2</v>
      </c>
      <c r="C14">
        <v>2</v>
      </c>
      <c r="D14">
        <v>20</v>
      </c>
    </row>
    <row r="15" spans="1:4" x14ac:dyDescent="0.25">
      <c r="A15" t="s">
        <v>84</v>
      </c>
      <c r="B15">
        <v>2</v>
      </c>
      <c r="C15">
        <v>2</v>
      </c>
      <c r="D15">
        <v>20</v>
      </c>
    </row>
    <row r="16" spans="1:4" x14ac:dyDescent="0.25">
      <c r="A16" t="s">
        <v>85</v>
      </c>
      <c r="B16">
        <v>2</v>
      </c>
      <c r="C16">
        <v>2</v>
      </c>
      <c r="D16">
        <v>20</v>
      </c>
    </row>
    <row r="17" spans="1:4" x14ac:dyDescent="0.25">
      <c r="A17" t="s">
        <v>86</v>
      </c>
      <c r="B17">
        <v>10</v>
      </c>
      <c r="C17">
        <v>10</v>
      </c>
      <c r="D17">
        <v>20</v>
      </c>
    </row>
    <row r="18" spans="1:4" x14ac:dyDescent="0.25">
      <c r="A18" t="s">
        <v>87</v>
      </c>
      <c r="B18">
        <v>1</v>
      </c>
      <c r="C18">
        <v>1</v>
      </c>
      <c r="D18">
        <v>20</v>
      </c>
    </row>
    <row r="19" spans="1:4" x14ac:dyDescent="0.25">
      <c r="A19" t="s">
        <v>88</v>
      </c>
      <c r="B19">
        <v>2</v>
      </c>
      <c r="C19">
        <v>0</v>
      </c>
      <c r="D19">
        <v>20</v>
      </c>
    </row>
    <row r="20" spans="1:4" x14ac:dyDescent="0.25">
      <c r="A20" t="s">
        <v>89</v>
      </c>
      <c r="B20">
        <v>10</v>
      </c>
      <c r="C20">
        <v>10</v>
      </c>
      <c r="D20">
        <v>20</v>
      </c>
    </row>
    <row r="21" spans="1:4" x14ac:dyDescent="0.25">
      <c r="A21" t="s">
        <v>90</v>
      </c>
      <c r="B21">
        <v>10</v>
      </c>
      <c r="C21">
        <v>10</v>
      </c>
      <c r="D21">
        <v>20</v>
      </c>
    </row>
    <row r="22" spans="1:4" x14ac:dyDescent="0.25">
      <c r="A22" t="s">
        <v>91</v>
      </c>
      <c r="B22">
        <v>2</v>
      </c>
      <c r="C22">
        <v>2</v>
      </c>
      <c r="D22">
        <v>20</v>
      </c>
    </row>
    <row r="23" spans="1:4" x14ac:dyDescent="0.25">
      <c r="A23" t="s">
        <v>92</v>
      </c>
      <c r="B23">
        <v>10</v>
      </c>
      <c r="C23">
        <v>10</v>
      </c>
      <c r="D23">
        <v>20</v>
      </c>
    </row>
    <row r="24" spans="1:4" x14ac:dyDescent="0.25">
      <c r="A24" t="s">
        <v>93</v>
      </c>
      <c r="B24">
        <v>10</v>
      </c>
      <c r="C24">
        <v>10</v>
      </c>
      <c r="D24">
        <v>20</v>
      </c>
    </row>
    <row r="25" spans="1:4" x14ac:dyDescent="0.25">
      <c r="A25" t="s">
        <v>94</v>
      </c>
      <c r="B25">
        <v>5</v>
      </c>
      <c r="C25">
        <v>5</v>
      </c>
      <c r="D25">
        <v>20</v>
      </c>
    </row>
    <row r="26" spans="1:4" x14ac:dyDescent="0.25">
      <c r="A26" t="s">
        <v>95</v>
      </c>
      <c r="B26">
        <v>2</v>
      </c>
      <c r="C26">
        <v>0</v>
      </c>
      <c r="D26">
        <v>20</v>
      </c>
    </row>
    <row r="27" spans="1:4" x14ac:dyDescent="0.25">
      <c r="A27" t="s">
        <v>96</v>
      </c>
      <c r="B27">
        <v>1</v>
      </c>
      <c r="C27">
        <v>1</v>
      </c>
      <c r="D27">
        <v>20</v>
      </c>
    </row>
    <row r="28" spans="1:4" x14ac:dyDescent="0.25">
      <c r="A28" t="s">
        <v>97</v>
      </c>
      <c r="B28">
        <v>0.1</v>
      </c>
      <c r="C28">
        <v>0.1</v>
      </c>
      <c r="D28">
        <v>5</v>
      </c>
    </row>
    <row r="29" spans="1:4" x14ac:dyDescent="0.25">
      <c r="A29" t="s">
        <v>98</v>
      </c>
      <c r="B29">
        <v>10</v>
      </c>
      <c r="C29">
        <v>10</v>
      </c>
      <c r="D29">
        <v>20</v>
      </c>
    </row>
    <row r="30" spans="1:4" x14ac:dyDescent="0.25">
      <c r="A30" t="s">
        <v>99</v>
      </c>
      <c r="B30">
        <v>10</v>
      </c>
      <c r="C30">
        <v>10</v>
      </c>
      <c r="D30">
        <v>20</v>
      </c>
    </row>
    <row r="31" spans="1:4" x14ac:dyDescent="0.25">
      <c r="A31" t="s">
        <v>100</v>
      </c>
      <c r="B31">
        <v>1</v>
      </c>
      <c r="C31">
        <v>1</v>
      </c>
      <c r="D31">
        <v>20</v>
      </c>
    </row>
    <row r="32" spans="1:4" x14ac:dyDescent="0.25">
      <c r="A32" t="s">
        <v>101</v>
      </c>
      <c r="B32">
        <v>10</v>
      </c>
      <c r="C32">
        <v>0</v>
      </c>
      <c r="D32">
        <v>20</v>
      </c>
    </row>
    <row r="33" spans="1:4" x14ac:dyDescent="0.25">
      <c r="A33" t="s">
        <v>102</v>
      </c>
      <c r="B33">
        <v>0</v>
      </c>
      <c r="C33">
        <v>0</v>
      </c>
      <c r="D33">
        <v>20</v>
      </c>
    </row>
    <row r="34" spans="1:4" x14ac:dyDescent="0.25">
      <c r="A34" t="s">
        <v>103</v>
      </c>
      <c r="B34">
        <v>10</v>
      </c>
      <c r="C34">
        <v>10</v>
      </c>
      <c r="D34">
        <v>20</v>
      </c>
    </row>
    <row r="35" spans="1:4" x14ac:dyDescent="0.25">
      <c r="A35" t="s">
        <v>104</v>
      </c>
      <c r="B35">
        <v>20</v>
      </c>
      <c r="C35">
        <v>20</v>
      </c>
      <c r="D35">
        <v>20</v>
      </c>
    </row>
    <row r="36" spans="1:4" x14ac:dyDescent="0.25">
      <c r="A36" t="s">
        <v>105</v>
      </c>
      <c r="B36">
        <v>1</v>
      </c>
      <c r="C36">
        <v>1</v>
      </c>
      <c r="D36">
        <v>5</v>
      </c>
    </row>
    <row r="37" spans="1:4" x14ac:dyDescent="0.25">
      <c r="A37" t="s">
        <v>106</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107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108</v>
      </c>
      <c r="B3" s="8" t="s">
        <v>109</v>
      </c>
      <c r="C3" s="8" t="s">
        <v>110</v>
      </c>
      <c r="D3" s="8" t="s">
        <v>111</v>
      </c>
      <c r="E3" s="8" t="s">
        <v>112</v>
      </c>
      <c r="F3" s="8" t="s">
        <v>113</v>
      </c>
      <c r="G3" s="8" t="s">
        <v>114</v>
      </c>
      <c r="H3" s="8" t="s">
        <v>115</v>
      </c>
      <c r="I3" s="8" t="s">
        <v>116</v>
      </c>
      <c r="J3" s="8" t="s">
        <v>117</v>
      </c>
      <c r="K3" s="8" t="s">
        <v>118</v>
      </c>
      <c r="L3" s="8" t="s">
        <v>119</v>
      </c>
      <c r="M3" s="8" t="s">
        <v>120</v>
      </c>
      <c r="N3" s="8" t="s">
        <v>121</v>
      </c>
      <c r="O3" s="8" t="s">
        <v>122</v>
      </c>
      <c r="P3" s="8" t="s">
        <v>123</v>
      </c>
      <c r="Q3" s="8" t="s">
        <v>124</v>
      </c>
      <c r="R3" s="8" t="s">
        <v>125</v>
      </c>
      <c r="S3" s="8" t="s">
        <v>126</v>
      </c>
      <c r="T3" s="8" t="s">
        <v>127</v>
      </c>
      <c r="U3" s="8" t="s">
        <v>128</v>
      </c>
      <c r="V3" s="8" t="s">
        <v>129</v>
      </c>
      <c r="W3" s="8" t="s">
        <v>130</v>
      </c>
      <c r="X3" s="8" t="s">
        <v>131</v>
      </c>
      <c r="Y3" s="8" t="s">
        <v>132</v>
      </c>
      <c r="Z3" s="8" t="s">
        <v>133</v>
      </c>
      <c r="AA3" s="8" t="s">
        <v>134</v>
      </c>
      <c r="AB3" s="8" t="s">
        <v>135</v>
      </c>
      <c r="AC3" s="8" t="s">
        <v>136</v>
      </c>
      <c r="AD3" s="8" t="s">
        <v>137</v>
      </c>
      <c r="AE3" s="8" t="s">
        <v>138</v>
      </c>
      <c r="AF3" s="8" t="s">
        <v>139</v>
      </c>
      <c r="AG3" s="8" t="s">
        <v>140</v>
      </c>
      <c r="AH3" s="8" t="s">
        <v>141</v>
      </c>
      <c r="AI3" s="8" t="s">
        <v>142</v>
      </c>
      <c r="AJ3" s="8" t="s">
        <v>143</v>
      </c>
      <c r="AK3" s="8" t="s">
        <v>144</v>
      </c>
      <c r="AL3" s="8" t="s">
        <v>145</v>
      </c>
      <c r="AM3" s="8" t="s">
        <v>146</v>
      </c>
      <c r="AN3" s="8" t="s">
        <v>147</v>
      </c>
      <c r="AO3" s="8" t="s">
        <v>148</v>
      </c>
      <c r="AP3" s="8" t="s">
        <v>149</v>
      </c>
      <c r="AQ3" s="8" t="s">
        <v>150</v>
      </c>
      <c r="AR3" s="8" t="s">
        <v>151</v>
      </c>
    </row>
    <row r="4" spans="1:44" x14ac:dyDescent="0.25">
      <c r="A4" s="9">
        <f>IF($B4="Entry",COUNTIF($B$4:$B4,"Entry"),"")</f>
      </c>
      <c r="B4" s="10" t="s">
        <v>152</v>
      </c>
      <c r="C4" s="11" t="s">
        <v>153</v>
      </c>
      <c r="D4" s="11" t="s">
        <v>154</v>
      </c>
      <c r="E4" s="12">
        <f>IF($B4&lt;&gt;"Challan","",IF(ROUND(AN4-AO4,2)&gt;0,"Over-applied",IF(ROUND(AN4-AO4,2)=0,"Fully Utilised","Unconsumed")))</f>
      </c>
      <c r="F4" s="13">
        <v>46177</v>
      </c>
      <c r="G4" s="10" t="s">
        <v>155</v>
      </c>
      <c r="H4" s="10" t="s">
        <v>80</v>
      </c>
      <c r="I4" s="14">
        <v>6558</v>
      </c>
      <c r="J4" s="14">
        <v>0</v>
      </c>
      <c r="K4" s="14">
        <v>0</v>
      </c>
      <c r="L4" s="14">
        <v>0</v>
      </c>
      <c r="M4" s="14">
        <v>0</v>
      </c>
      <c r="N4" s="14">
        <v>0</v>
      </c>
      <c r="O4" s="14">
        <v>0</v>
      </c>
      <c r="P4" s="15">
        <f>IF($B4&lt;&gt;"Challan","",I4+J4+K4+L4+M4+N4)</f>
      </c>
      <c r="Q4" s="10" t="s">
        <v>156</v>
      </c>
      <c r="R4" s="10" t="s">
        <v>157</v>
      </c>
      <c r="S4" s="10"/>
      <c r="T4" s="10"/>
      <c r="U4" s="10" t="s">
        <v>158</v>
      </c>
      <c r="V4" s="10"/>
      <c r="W4" s="10"/>
      <c r="X4" s="12">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12">
        <f>IF($B4="Entry",IF(LEN(W4)&lt;4,"",IF(UPPER(MID(W4,4,1))="P","Individual",IF(UPPER(MID(W4,4,1))="H","HUF",IF(UPPER(MID(W4,4,1))="C","Company",IF(UPPER(MID(W4,4,1))="F","Firm",IF(UPPER(MID(W4,4,1))="L","LLP",IF(UPPER(MID(W4,4,1))="T","Trust",IF(UPPER(MID(W4,4,1))="A","AOP","")))))))),IF($B4="Challan","",IF(W4&lt;&gt;"","◄ Set Row Type","")))</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IF($B4&lt;&gt;"Challan","",SUMIF($D$4:$D$207,D4,$AD$4:$AD$207)+SUMIF($D$4:$D$207,D4,$AG$4:$AG$207)+SUMIF($D$4:$D$207,D4,$AE$4:$AE$207))</f>
      </c>
      <c r="AO4" s="15">
        <f>IF($B4&lt;&gt;"Challan","",P4-N4)</f>
      </c>
      <c r="AP4" s="15">
        <f>IF($B4&lt;&gt;"Challan","",MAX(0,AO4-AN4))</f>
      </c>
      <c r="AQ4" s="18">
        <f>IF($B4&lt;&gt;"Entry","",SUMPRODUCT(($D$4:$D$207=D4)*($B$4:$B$207="Challan")*$F$4:$F$207))</f>
      </c>
      <c r="AR4" s="19">
        <f>IF(OR($B4&lt;&gt;"Entry",Z4=""),FALSE,AND(SUMPRODUCT(($D$4:$D$207=D4)*($B$4:$B$207="Challan")*($H$4:$H$207&lt;&gt;""))&gt;0,SUMPRODUCT(($D$4:$D$207=D4)*($B$4:$B$207="Challan")*($H$4:$H$207=Z4))=0))</f>
      </c>
    </row>
    <row r="5" spans="1:44" x14ac:dyDescent="0.25">
      <c r="A5" s="9">
        <f>IF($B5="Entry",COUNTIF($B$4:$B5,"Entry"),"")</f>
      </c>
      <c r="B5" s="10" t="s">
        <v>159</v>
      </c>
      <c r="C5" s="11"/>
      <c r="D5" s="11" t="s">
        <v>154</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160</v>
      </c>
      <c r="W5" s="10" t="s">
        <v>161</v>
      </c>
      <c r="X5" s="12">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12">
        <f>IF($B5="Entry",IF(LEN(W5)&lt;4,"",IF(UPPER(MID(W5,4,1))="P","Individual",IF(UPPER(MID(W5,4,1))="H","HUF",IF(UPPER(MID(W5,4,1))="C","Company",IF(UPPER(MID(W5,4,1))="F","Firm",IF(UPPER(MID(W5,4,1))="L","LLP",IF(UPPER(MID(W5,4,1))="T","Trust",IF(UPPER(MID(W5,4,1))="A","AOP","")))))))),IF($B5="Challan","",IF(W5&lt;&gt;"","◄ Set Row Type","")))</f>
      </c>
      <c r="Z5" s="10" t="s">
        <v>80</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162</v>
      </c>
      <c r="AJ5" s="10" t="s">
        <v>162</v>
      </c>
      <c r="AK5" s="17" t="s">
        <v>162</v>
      </c>
      <c r="AL5" s="10"/>
      <c r="AM5" s="10" t="s">
        <v>162</v>
      </c>
      <c r="AN5" s="15">
        <f>IF($B5&lt;&gt;"Challan","",SUMIF($D$4:$D$207,D5,$AD$4:$AD$207)+SUMIF($D$4:$D$207,D5,$AG$4:$AG$207)+SUMIF($D$4:$D$207,D5,$AE$4:$AE$207))</f>
      </c>
      <c r="AO5" s="15">
        <f>IF($B5&lt;&gt;"Challan","",P5-N5)</f>
      </c>
      <c r="AP5" s="15">
        <f>IF($B5&lt;&gt;"Challan","",MAX(0,AO5-AN5))</f>
      </c>
      <c r="AQ5" s="18">
        <f>IF($B5&lt;&gt;"Entry","",SUMPRODUCT(($D$4:$D$207=D5)*($B$4:$B$207="Challan")*$F$4:$F$207))</f>
      </c>
      <c r="AR5" s="19">
        <f>IF(OR($B5&lt;&gt;"Entry",Z5=""),FALSE,AND(SUMPRODUCT(($D$4:$D$207=D5)*($B$4:$B$207="Challan")*($H$4:$H$207&lt;&gt;""))&gt;0,SUMPRODUCT(($D$4:$D$207=D5)*($B$4:$B$207="Challan")*($H$4:$H$207=Z5))=0))</f>
      </c>
    </row>
    <row r="6" spans="1:44" x14ac:dyDescent="0.25">
      <c r="A6" s="9">
        <f>IF($B6="Entry",COUNTIF($B$4:$B6,"Entry"),"")</f>
      </c>
      <c r="B6" s="10" t="s">
        <v>159</v>
      </c>
      <c r="C6" s="11"/>
      <c r="D6" s="11" t="s">
        <v>154</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163</v>
      </c>
      <c r="W6" s="10" t="s">
        <v>164</v>
      </c>
      <c r="X6" s="12">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12">
        <f>IF($B6="Entry",IF(LEN(W6)&lt;4,"",IF(UPPER(MID(W6,4,1))="P","Individual",IF(UPPER(MID(W6,4,1))="H","HUF",IF(UPPER(MID(W6,4,1))="C","Company",IF(UPPER(MID(W6,4,1))="F","Firm",IF(UPPER(MID(W6,4,1))="L","LLP",IF(UPPER(MID(W6,4,1))="T","Trust",IF(UPPER(MID(W6,4,1))="A","AOP","")))))))),IF($B6="Challan","",IF(W6&lt;&gt;"","◄ Set Row Type","")))</f>
      </c>
      <c r="Z6" s="10" t="s">
        <v>80</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162</v>
      </c>
      <c r="AJ6" s="10" t="s">
        <v>162</v>
      </c>
      <c r="AK6" s="17" t="s">
        <v>162</v>
      </c>
      <c r="AL6" s="10"/>
      <c r="AM6" s="10" t="s">
        <v>162</v>
      </c>
      <c r="AN6" s="15">
        <f>IF($B6&lt;&gt;"Challan","",SUMIF($D$4:$D$207,D6,$AD$4:$AD$207)+SUMIF($D$4:$D$207,D6,$AG$4:$AG$207)+SUMIF($D$4:$D$207,D6,$AE$4:$AE$207))</f>
      </c>
      <c r="AO6" s="15">
        <f>IF($B6&lt;&gt;"Challan","",P6-N6)</f>
      </c>
      <c r="AP6" s="15">
        <f>IF($B6&lt;&gt;"Challan","",MAX(0,AO6-AN6))</f>
      </c>
      <c r="AQ6" s="18">
        <f>IF($B6&lt;&gt;"Entry","",SUMPRODUCT(($D$4:$D$207=D6)*($B$4:$B$207="Challan")*$F$4:$F$207))</f>
      </c>
      <c r="AR6" s="19">
        <f>IF(OR($B6&lt;&gt;"Entry",Z6=""),FALSE,AND(SUMPRODUCT(($D$4:$D$207=D6)*($B$4:$B$207="Challan")*($H$4:$H$207&lt;&gt;""))&gt;0,SUMPRODUCT(($D$4:$D$207=D6)*($B$4:$B$207="Challan")*($H$4:$H$207=Z6))=0))</f>
      </c>
    </row>
    <row r="7" spans="1:44" x14ac:dyDescent="0.25">
      <c r="A7" s="9">
        <f>IF($B7="Entry",COUNTIF($B$4:$B7,"Entry"),"")</f>
      </c>
      <c r="B7" s="10" t="s">
        <v>159</v>
      </c>
      <c r="C7" s="11"/>
      <c r="D7" s="11" t="s">
        <v>154</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165</v>
      </c>
      <c r="W7" s="10" t="s">
        <v>166</v>
      </c>
      <c r="X7" s="12">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12">
        <f>IF($B7="Entry",IF(LEN(W7)&lt;4,"",IF(UPPER(MID(W7,4,1))="P","Individual",IF(UPPER(MID(W7,4,1))="H","HUF",IF(UPPER(MID(W7,4,1))="C","Company",IF(UPPER(MID(W7,4,1))="F","Firm",IF(UPPER(MID(W7,4,1))="L","LLP",IF(UPPER(MID(W7,4,1))="T","Trust",IF(UPPER(MID(W7,4,1))="A","AOP","")))))))),IF($B7="Challan","",IF(W7&lt;&gt;"","◄ Set Row Type","")))</f>
      </c>
      <c r="Z7" s="10" t="s">
        <v>90</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167</v>
      </c>
      <c r="AJ7" s="10" t="s">
        <v>168</v>
      </c>
      <c r="AK7" s="17">
        <v>0</v>
      </c>
      <c r="AL7" s="10"/>
      <c r="AM7" s="10" t="s">
        <v>169</v>
      </c>
      <c r="AN7" s="15">
        <f>IF($B7&lt;&gt;"Challan","",SUMIF($D$4:$D$207,D7,$AD$4:$AD$207)+SUMIF($D$4:$D$207,D7,$AG$4:$AG$207)+SUMIF($D$4:$D$207,D7,$AE$4:$AE$207))</f>
      </c>
      <c r="AO7" s="15">
        <f>IF($B7&lt;&gt;"Challan","",P7-N7)</f>
      </c>
      <c r="AP7" s="15">
        <f>IF($B7&lt;&gt;"Challan","",MAX(0,AO7-AN7))</f>
      </c>
      <c r="AQ7" s="18">
        <f>IF($B7&lt;&gt;"Entry","",SUMPRODUCT(($D$4:$D$207=D7)*($B$4:$B$207="Challan")*$F$4:$F$207))</f>
      </c>
      <c r="AR7" s="19">
        <f>IF(OR($B7&lt;&gt;"Entry",Z7=""),FALSE,AND(SUMPRODUCT(($D$4:$D$207=D7)*($B$4:$B$207="Challan")*($H$4:$H$207&lt;&gt;""))&gt;0,SUMPRODUCT(($D$4:$D$207=D7)*($B$4:$B$207="Challan")*($H$4:$H$207=Z7))=0))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IF(UPPER(MID(W8,4,1))="L","LLP",IF(UPPER(MID(W8,4,1))="T","Trust",IF(UPPER(MID(W8,4,1))="A","AOP","")))))))),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IF($B8&lt;&gt;"Challan","",SUMIF($D$4:$D$207,D8,$AD$4:$AD$207)+SUMIF($D$4:$D$207,D8,$AG$4:$AG$207)+SUMIF($D$4:$D$207,D8,$AE$4:$AE$207))</f>
      </c>
      <c r="AO8" s="27">
        <f>IF($B8&lt;&gt;"Challan","",P8-N8)</f>
      </c>
      <c r="AP8" s="27">
        <f>IF($B8&lt;&gt;"Challan","",MAX(0,AO8-AN8))</f>
      </c>
      <c r="AQ8" s="33">
        <f>IF($B8&lt;&gt;"Entry","",SUMPRODUCT(($D$4:$D$207=D8)*($B$4:$B$207="Challan")*$F$4:$F$207))</f>
      </c>
      <c r="AR8" s="34">
        <f>IF(OR($B8&lt;&gt;"Entry",Z8=""),FALSE,AND(SUMPRODUCT(($D$4:$D$207=D8)*($B$4:$B$207="Challan")*($H$4:$H$207&lt;&gt;""))&gt;0,SUMPRODUCT(($D$4:$D$207=D8)*($B$4:$B$207="Challan")*($H$4:$H$207=Z8))=0))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IF(UPPER(MID(W9,4,1))="L","LLP",IF(UPPER(MID(W9,4,1))="T","Trust",IF(UPPER(MID(W9,4,1))="A","AOP","")))))))),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IF($B9&lt;&gt;"Challan","",SUMIF($D$4:$D$207,D9,$AD$4:$AD$207)+SUMIF($D$4:$D$207,D9,$AG$4:$AG$207)+SUMIF($D$4:$D$207,D9,$AE$4:$AE$207))</f>
      </c>
      <c r="AO9" s="27">
        <f>IF($B9&lt;&gt;"Challan","",P9-N9)</f>
      </c>
      <c r="AP9" s="27">
        <f>IF($B9&lt;&gt;"Challan","",MAX(0,AO9-AN9))</f>
      </c>
      <c r="AQ9" s="33">
        <f>IF($B9&lt;&gt;"Entry","",SUMPRODUCT(($D$4:$D$207=D9)*($B$4:$B$207="Challan")*$F$4:$F$207))</f>
      </c>
      <c r="AR9" s="34">
        <f>IF(OR($B9&lt;&gt;"Entry",Z9=""),FALSE,AND(SUMPRODUCT(($D$4:$D$207=D9)*($B$4:$B$207="Challan")*($H$4:$H$207&lt;&gt;""))&gt;0,SUMPRODUCT(($D$4:$D$207=D9)*($B$4:$B$207="Challan")*($H$4:$H$207=Z9))=0))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IF(UPPER(MID(W10,4,1))="L","LLP",IF(UPPER(MID(W10,4,1))="T","Trust",IF(UPPER(MID(W10,4,1))="A","AOP","")))))))),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IF($B10&lt;&gt;"Challan","",SUMIF($D$4:$D$207,D10,$AD$4:$AD$207)+SUMIF($D$4:$D$207,D10,$AG$4:$AG$207)+SUMIF($D$4:$D$207,D10,$AE$4:$AE$207))</f>
      </c>
      <c r="AO10" s="27">
        <f>IF($B10&lt;&gt;"Challan","",P10-N10)</f>
      </c>
      <c r="AP10" s="27">
        <f>IF($B10&lt;&gt;"Challan","",MAX(0,AO10-AN10))</f>
      </c>
      <c r="AQ10" s="33">
        <f>IF($B10&lt;&gt;"Entry","",SUMPRODUCT(($D$4:$D$207=D10)*($B$4:$B$207="Challan")*$F$4:$F$207))</f>
      </c>
      <c r="AR10" s="34">
        <f>IF(OR($B10&lt;&gt;"Entry",Z10=""),FALSE,AND(SUMPRODUCT(($D$4:$D$207=D10)*($B$4:$B$207="Challan")*($H$4:$H$207&lt;&gt;""))&gt;0,SUMPRODUCT(($D$4:$D$207=D10)*($B$4:$B$207="Challan")*($H$4:$H$207=Z10))=0))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IF(UPPER(MID(W11,4,1))="L","LLP",IF(UPPER(MID(W11,4,1))="T","Trust",IF(UPPER(MID(W11,4,1))="A","AOP","")))))))),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IF($B11&lt;&gt;"Challan","",SUMIF($D$4:$D$207,D11,$AD$4:$AD$207)+SUMIF($D$4:$D$207,D11,$AG$4:$AG$207)+SUMIF($D$4:$D$207,D11,$AE$4:$AE$207))</f>
      </c>
      <c r="AO11" s="27">
        <f>IF($B11&lt;&gt;"Challan","",P11-N11)</f>
      </c>
      <c r="AP11" s="27">
        <f>IF($B11&lt;&gt;"Challan","",MAX(0,AO11-AN11))</f>
      </c>
      <c r="AQ11" s="33">
        <f>IF($B11&lt;&gt;"Entry","",SUMPRODUCT(($D$4:$D$207=D11)*($B$4:$B$207="Challan")*$F$4:$F$207))</f>
      </c>
      <c r="AR11" s="34">
        <f>IF(OR($B11&lt;&gt;"Entry",Z11=""),FALSE,AND(SUMPRODUCT(($D$4:$D$207=D11)*($B$4:$B$207="Challan")*($H$4:$H$207&lt;&gt;""))&gt;0,SUMPRODUCT(($D$4:$D$207=D11)*($B$4:$B$207="Challan")*($H$4:$H$207=Z11))=0))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IF(UPPER(MID(W12,4,1))="L","LLP",IF(UPPER(MID(W12,4,1))="T","Trust",IF(UPPER(MID(W12,4,1))="A","AOP","")))))))),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IF($B12&lt;&gt;"Challan","",SUMIF($D$4:$D$207,D12,$AD$4:$AD$207)+SUMIF($D$4:$D$207,D12,$AG$4:$AG$207)+SUMIF($D$4:$D$207,D12,$AE$4:$AE$207))</f>
      </c>
      <c r="AO12" s="27">
        <f>IF($B12&lt;&gt;"Challan","",P12-N12)</f>
      </c>
      <c r="AP12" s="27">
        <f>IF($B12&lt;&gt;"Challan","",MAX(0,AO12-AN12))</f>
      </c>
      <c r="AQ12" s="33">
        <f>IF($B12&lt;&gt;"Entry","",SUMPRODUCT(($D$4:$D$207=D12)*($B$4:$B$207="Challan")*$F$4:$F$207))</f>
      </c>
      <c r="AR12" s="34">
        <f>IF(OR($B12&lt;&gt;"Entry",Z12=""),FALSE,AND(SUMPRODUCT(($D$4:$D$207=D12)*($B$4:$B$207="Challan")*($H$4:$H$207&lt;&gt;""))&gt;0,SUMPRODUCT(($D$4:$D$207=D12)*($B$4:$B$207="Challan")*($H$4:$H$207=Z12))=0))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IF(UPPER(MID(W13,4,1))="L","LLP",IF(UPPER(MID(W13,4,1))="T","Trust",IF(UPPER(MID(W13,4,1))="A","AOP","")))))))),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IF($B13&lt;&gt;"Challan","",SUMIF($D$4:$D$207,D13,$AD$4:$AD$207)+SUMIF($D$4:$D$207,D13,$AG$4:$AG$207)+SUMIF($D$4:$D$207,D13,$AE$4:$AE$207))</f>
      </c>
      <c r="AO13" s="27">
        <f>IF($B13&lt;&gt;"Challan","",P13-N13)</f>
      </c>
      <c r="AP13" s="27">
        <f>IF($B13&lt;&gt;"Challan","",MAX(0,AO13-AN13))</f>
      </c>
      <c r="AQ13" s="33">
        <f>IF($B13&lt;&gt;"Entry","",SUMPRODUCT(($D$4:$D$207=D13)*($B$4:$B$207="Challan")*$F$4:$F$207))</f>
      </c>
      <c r="AR13" s="34">
        <f>IF(OR($B13&lt;&gt;"Entry",Z13=""),FALSE,AND(SUMPRODUCT(($D$4:$D$207=D13)*($B$4:$B$207="Challan")*($H$4:$H$207&lt;&gt;""))&gt;0,SUMPRODUCT(($D$4:$D$207=D13)*($B$4:$B$207="Challan")*($H$4:$H$207=Z13))=0))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IF(UPPER(MID(W14,4,1))="L","LLP",IF(UPPER(MID(W14,4,1))="T","Trust",IF(UPPER(MID(W14,4,1))="A","AOP","")))))))),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IF($B14&lt;&gt;"Challan","",SUMIF($D$4:$D$207,D14,$AD$4:$AD$207)+SUMIF($D$4:$D$207,D14,$AG$4:$AG$207)+SUMIF($D$4:$D$207,D14,$AE$4:$AE$207))</f>
      </c>
      <c r="AO14" s="27">
        <f>IF($B14&lt;&gt;"Challan","",P14-N14)</f>
      </c>
      <c r="AP14" s="27">
        <f>IF($B14&lt;&gt;"Challan","",MAX(0,AO14-AN14))</f>
      </c>
      <c r="AQ14" s="33">
        <f>IF($B14&lt;&gt;"Entry","",SUMPRODUCT(($D$4:$D$207=D14)*($B$4:$B$207="Challan")*$F$4:$F$207))</f>
      </c>
      <c r="AR14" s="34">
        <f>IF(OR($B14&lt;&gt;"Entry",Z14=""),FALSE,AND(SUMPRODUCT(($D$4:$D$207=D14)*($B$4:$B$207="Challan")*($H$4:$H$207&lt;&gt;""))&gt;0,SUMPRODUCT(($D$4:$D$207=D14)*($B$4:$B$207="Challan")*($H$4:$H$207=Z14))=0))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IF(UPPER(MID(W15,4,1))="L","LLP",IF(UPPER(MID(W15,4,1))="T","Trust",IF(UPPER(MID(W15,4,1))="A","AOP","")))))))),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IF($B15&lt;&gt;"Challan","",SUMIF($D$4:$D$207,D15,$AD$4:$AD$207)+SUMIF($D$4:$D$207,D15,$AG$4:$AG$207)+SUMIF($D$4:$D$207,D15,$AE$4:$AE$207))</f>
      </c>
      <c r="AO15" s="27">
        <f>IF($B15&lt;&gt;"Challan","",P15-N15)</f>
      </c>
      <c r="AP15" s="27">
        <f>IF($B15&lt;&gt;"Challan","",MAX(0,AO15-AN15))</f>
      </c>
      <c r="AQ15" s="33">
        <f>IF($B15&lt;&gt;"Entry","",SUMPRODUCT(($D$4:$D$207=D15)*($B$4:$B$207="Challan")*$F$4:$F$207))</f>
      </c>
      <c r="AR15" s="34">
        <f>IF(OR($B15&lt;&gt;"Entry",Z15=""),FALSE,AND(SUMPRODUCT(($D$4:$D$207=D15)*($B$4:$B$207="Challan")*($H$4:$H$207&lt;&gt;""))&gt;0,SUMPRODUCT(($D$4:$D$207=D15)*($B$4:$B$207="Challan")*($H$4:$H$207=Z15))=0))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IF(UPPER(MID(W16,4,1))="L","LLP",IF(UPPER(MID(W16,4,1))="T","Trust",IF(UPPER(MID(W16,4,1))="A","AOP","")))))))),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IF($B16&lt;&gt;"Challan","",SUMIF($D$4:$D$207,D16,$AD$4:$AD$207)+SUMIF($D$4:$D$207,D16,$AG$4:$AG$207)+SUMIF($D$4:$D$207,D16,$AE$4:$AE$207))</f>
      </c>
      <c r="AO16" s="27">
        <f>IF($B16&lt;&gt;"Challan","",P16-N16)</f>
      </c>
      <c r="AP16" s="27">
        <f>IF($B16&lt;&gt;"Challan","",MAX(0,AO16-AN16))</f>
      </c>
      <c r="AQ16" s="33">
        <f>IF($B16&lt;&gt;"Entry","",SUMPRODUCT(($D$4:$D$207=D16)*($B$4:$B$207="Challan")*$F$4:$F$207))</f>
      </c>
      <c r="AR16" s="34">
        <f>IF(OR($B16&lt;&gt;"Entry",Z16=""),FALSE,AND(SUMPRODUCT(($D$4:$D$207=D16)*($B$4:$B$207="Challan")*($H$4:$H$207&lt;&gt;""))&gt;0,SUMPRODUCT(($D$4:$D$207=D16)*($B$4:$B$207="Challan")*($H$4:$H$207=Z16))=0))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IF(UPPER(MID(W17,4,1))="L","LLP",IF(UPPER(MID(W17,4,1))="T","Trust",IF(UPPER(MID(W17,4,1))="A","AOP","")))))))),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IF($B17&lt;&gt;"Challan","",SUMIF($D$4:$D$207,D17,$AD$4:$AD$207)+SUMIF($D$4:$D$207,D17,$AG$4:$AG$207)+SUMIF($D$4:$D$207,D17,$AE$4:$AE$207))</f>
      </c>
      <c r="AO17" s="27">
        <f>IF($B17&lt;&gt;"Challan","",P17-N17)</f>
      </c>
      <c r="AP17" s="27">
        <f>IF($B17&lt;&gt;"Challan","",MAX(0,AO17-AN17))</f>
      </c>
      <c r="AQ17" s="33">
        <f>IF($B17&lt;&gt;"Entry","",SUMPRODUCT(($D$4:$D$207=D17)*($B$4:$B$207="Challan")*$F$4:$F$207))</f>
      </c>
      <c r="AR17" s="34">
        <f>IF(OR($B17&lt;&gt;"Entry",Z17=""),FALSE,AND(SUMPRODUCT(($D$4:$D$207=D17)*($B$4:$B$207="Challan")*($H$4:$H$207&lt;&gt;""))&gt;0,SUMPRODUCT(($D$4:$D$207=D17)*($B$4:$B$207="Challan")*($H$4:$H$207=Z17))=0))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IF(UPPER(MID(W18,4,1))="L","LLP",IF(UPPER(MID(W18,4,1))="T","Trust",IF(UPPER(MID(W18,4,1))="A","AOP","")))))))),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IF($B18&lt;&gt;"Challan","",SUMIF($D$4:$D$207,D18,$AD$4:$AD$207)+SUMIF($D$4:$D$207,D18,$AG$4:$AG$207)+SUMIF($D$4:$D$207,D18,$AE$4:$AE$207))</f>
      </c>
      <c r="AO18" s="27">
        <f>IF($B18&lt;&gt;"Challan","",P18-N18)</f>
      </c>
      <c r="AP18" s="27">
        <f>IF($B18&lt;&gt;"Challan","",MAX(0,AO18-AN18))</f>
      </c>
      <c r="AQ18" s="33">
        <f>IF($B18&lt;&gt;"Entry","",SUMPRODUCT(($D$4:$D$207=D18)*($B$4:$B$207="Challan")*$F$4:$F$207))</f>
      </c>
      <c r="AR18" s="34">
        <f>IF(OR($B18&lt;&gt;"Entry",Z18=""),FALSE,AND(SUMPRODUCT(($D$4:$D$207=D18)*($B$4:$B$207="Challan")*($H$4:$H$207&lt;&gt;""))&gt;0,SUMPRODUCT(($D$4:$D$207=D18)*($B$4:$B$207="Challan")*($H$4:$H$207=Z18))=0))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IF(UPPER(MID(W19,4,1))="L","LLP",IF(UPPER(MID(W19,4,1))="T","Trust",IF(UPPER(MID(W19,4,1))="A","AOP","")))))))),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IF($B19&lt;&gt;"Challan","",SUMIF($D$4:$D$207,D19,$AD$4:$AD$207)+SUMIF($D$4:$D$207,D19,$AG$4:$AG$207)+SUMIF($D$4:$D$207,D19,$AE$4:$AE$207))</f>
      </c>
      <c r="AO19" s="27">
        <f>IF($B19&lt;&gt;"Challan","",P19-N19)</f>
      </c>
      <c r="AP19" s="27">
        <f>IF($B19&lt;&gt;"Challan","",MAX(0,AO19-AN19))</f>
      </c>
      <c r="AQ19" s="33">
        <f>IF($B19&lt;&gt;"Entry","",SUMPRODUCT(($D$4:$D$207=D19)*($B$4:$B$207="Challan")*$F$4:$F$207))</f>
      </c>
      <c r="AR19" s="34">
        <f>IF(OR($B19&lt;&gt;"Entry",Z19=""),FALSE,AND(SUMPRODUCT(($D$4:$D$207=D19)*($B$4:$B$207="Challan")*($H$4:$H$207&lt;&gt;""))&gt;0,SUMPRODUCT(($D$4:$D$207=D19)*($B$4:$B$207="Challan")*($H$4:$H$207=Z19))=0))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IF(UPPER(MID(W20,4,1))="L","LLP",IF(UPPER(MID(W20,4,1))="T","Trust",IF(UPPER(MID(W20,4,1))="A","AOP","")))))))),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IF($B20&lt;&gt;"Challan","",SUMIF($D$4:$D$207,D20,$AD$4:$AD$207)+SUMIF($D$4:$D$207,D20,$AG$4:$AG$207)+SUMIF($D$4:$D$207,D20,$AE$4:$AE$207))</f>
      </c>
      <c r="AO20" s="27">
        <f>IF($B20&lt;&gt;"Challan","",P20-N20)</f>
      </c>
      <c r="AP20" s="27">
        <f>IF($B20&lt;&gt;"Challan","",MAX(0,AO20-AN20))</f>
      </c>
      <c r="AQ20" s="33">
        <f>IF($B20&lt;&gt;"Entry","",SUMPRODUCT(($D$4:$D$207=D20)*($B$4:$B$207="Challan")*$F$4:$F$207))</f>
      </c>
      <c r="AR20" s="34">
        <f>IF(OR($B20&lt;&gt;"Entry",Z20=""),FALSE,AND(SUMPRODUCT(($D$4:$D$207=D20)*($B$4:$B$207="Challan")*($H$4:$H$207&lt;&gt;""))&gt;0,SUMPRODUCT(($D$4:$D$207=D20)*($B$4:$B$207="Challan")*($H$4:$H$207=Z20))=0))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IF(UPPER(MID(W21,4,1))="L","LLP",IF(UPPER(MID(W21,4,1))="T","Trust",IF(UPPER(MID(W21,4,1))="A","AOP","")))))))),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IF($B21&lt;&gt;"Challan","",SUMIF($D$4:$D$207,D21,$AD$4:$AD$207)+SUMIF($D$4:$D$207,D21,$AG$4:$AG$207)+SUMIF($D$4:$D$207,D21,$AE$4:$AE$207))</f>
      </c>
      <c r="AO21" s="27">
        <f>IF($B21&lt;&gt;"Challan","",P21-N21)</f>
      </c>
      <c r="AP21" s="27">
        <f>IF($B21&lt;&gt;"Challan","",MAX(0,AO21-AN21))</f>
      </c>
      <c r="AQ21" s="33">
        <f>IF($B21&lt;&gt;"Entry","",SUMPRODUCT(($D$4:$D$207=D21)*($B$4:$B$207="Challan")*$F$4:$F$207))</f>
      </c>
      <c r="AR21" s="34">
        <f>IF(OR($B21&lt;&gt;"Entry",Z21=""),FALSE,AND(SUMPRODUCT(($D$4:$D$207=D21)*($B$4:$B$207="Challan")*($H$4:$H$207&lt;&gt;""))&gt;0,SUMPRODUCT(($D$4:$D$207=D21)*($B$4:$B$207="Challan")*($H$4:$H$207=Z21))=0))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IF(UPPER(MID(W22,4,1))="L","LLP",IF(UPPER(MID(W22,4,1))="T","Trust",IF(UPPER(MID(W22,4,1))="A","AOP","")))))))),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IF($B22&lt;&gt;"Challan","",SUMIF($D$4:$D$207,D22,$AD$4:$AD$207)+SUMIF($D$4:$D$207,D22,$AG$4:$AG$207)+SUMIF($D$4:$D$207,D22,$AE$4:$AE$207))</f>
      </c>
      <c r="AO22" s="27">
        <f>IF($B22&lt;&gt;"Challan","",P22-N22)</f>
      </c>
      <c r="AP22" s="27">
        <f>IF($B22&lt;&gt;"Challan","",MAX(0,AO22-AN22))</f>
      </c>
      <c r="AQ22" s="33">
        <f>IF($B22&lt;&gt;"Entry","",SUMPRODUCT(($D$4:$D$207=D22)*($B$4:$B$207="Challan")*$F$4:$F$207))</f>
      </c>
      <c r="AR22" s="34">
        <f>IF(OR($B22&lt;&gt;"Entry",Z22=""),FALSE,AND(SUMPRODUCT(($D$4:$D$207=D22)*($B$4:$B$207="Challan")*($H$4:$H$207&lt;&gt;""))&gt;0,SUMPRODUCT(($D$4:$D$207=D22)*($B$4:$B$207="Challan")*($H$4:$H$207=Z22))=0))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IF(UPPER(MID(W23,4,1))="L","LLP",IF(UPPER(MID(W23,4,1))="T","Trust",IF(UPPER(MID(W23,4,1))="A","AOP","")))))))),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IF($B23&lt;&gt;"Challan","",SUMIF($D$4:$D$207,D23,$AD$4:$AD$207)+SUMIF($D$4:$D$207,D23,$AG$4:$AG$207)+SUMIF($D$4:$D$207,D23,$AE$4:$AE$207))</f>
      </c>
      <c r="AO23" s="27">
        <f>IF($B23&lt;&gt;"Challan","",P23-N23)</f>
      </c>
      <c r="AP23" s="27">
        <f>IF($B23&lt;&gt;"Challan","",MAX(0,AO23-AN23))</f>
      </c>
      <c r="AQ23" s="33">
        <f>IF($B23&lt;&gt;"Entry","",SUMPRODUCT(($D$4:$D$207=D23)*($B$4:$B$207="Challan")*$F$4:$F$207))</f>
      </c>
      <c r="AR23" s="34">
        <f>IF(OR($B23&lt;&gt;"Entry",Z23=""),FALSE,AND(SUMPRODUCT(($D$4:$D$207=D23)*($B$4:$B$207="Challan")*($H$4:$H$207&lt;&gt;""))&gt;0,SUMPRODUCT(($D$4:$D$207=D23)*($B$4:$B$207="Challan")*($H$4:$H$207=Z23))=0))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IF(UPPER(MID(W24,4,1))="L","LLP",IF(UPPER(MID(W24,4,1))="T","Trust",IF(UPPER(MID(W24,4,1))="A","AOP","")))))))),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IF($B24&lt;&gt;"Challan","",SUMIF($D$4:$D$207,D24,$AD$4:$AD$207)+SUMIF($D$4:$D$207,D24,$AG$4:$AG$207)+SUMIF($D$4:$D$207,D24,$AE$4:$AE$207))</f>
      </c>
      <c r="AO24" s="27">
        <f>IF($B24&lt;&gt;"Challan","",P24-N24)</f>
      </c>
      <c r="AP24" s="27">
        <f>IF($B24&lt;&gt;"Challan","",MAX(0,AO24-AN24))</f>
      </c>
      <c r="AQ24" s="33">
        <f>IF($B24&lt;&gt;"Entry","",SUMPRODUCT(($D$4:$D$207=D24)*($B$4:$B$207="Challan")*$F$4:$F$207))</f>
      </c>
      <c r="AR24" s="34">
        <f>IF(OR($B24&lt;&gt;"Entry",Z24=""),FALSE,AND(SUMPRODUCT(($D$4:$D$207=D24)*($B$4:$B$207="Challan")*($H$4:$H$207&lt;&gt;""))&gt;0,SUMPRODUCT(($D$4:$D$207=D24)*($B$4:$B$207="Challan")*($H$4:$H$207=Z24))=0))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IF(UPPER(MID(W25,4,1))="L","LLP",IF(UPPER(MID(W25,4,1))="T","Trust",IF(UPPER(MID(W25,4,1))="A","AOP","")))))))),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IF($B25&lt;&gt;"Challan","",SUMIF($D$4:$D$207,D25,$AD$4:$AD$207)+SUMIF($D$4:$D$207,D25,$AG$4:$AG$207)+SUMIF($D$4:$D$207,D25,$AE$4:$AE$207))</f>
      </c>
      <c r="AO25" s="27">
        <f>IF($B25&lt;&gt;"Challan","",P25-N25)</f>
      </c>
      <c r="AP25" s="27">
        <f>IF($B25&lt;&gt;"Challan","",MAX(0,AO25-AN25))</f>
      </c>
      <c r="AQ25" s="33">
        <f>IF($B25&lt;&gt;"Entry","",SUMPRODUCT(($D$4:$D$207=D25)*($B$4:$B$207="Challan")*$F$4:$F$207))</f>
      </c>
      <c r="AR25" s="34">
        <f>IF(OR($B25&lt;&gt;"Entry",Z25=""),FALSE,AND(SUMPRODUCT(($D$4:$D$207=D25)*($B$4:$B$207="Challan")*($H$4:$H$207&lt;&gt;""))&gt;0,SUMPRODUCT(($D$4:$D$207=D25)*($B$4:$B$207="Challan")*($H$4:$H$207=Z25))=0))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IF(UPPER(MID(W26,4,1))="L","LLP",IF(UPPER(MID(W26,4,1))="T","Trust",IF(UPPER(MID(W26,4,1))="A","AOP","")))))))),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IF($B26&lt;&gt;"Challan","",SUMIF($D$4:$D$207,D26,$AD$4:$AD$207)+SUMIF($D$4:$D$207,D26,$AG$4:$AG$207)+SUMIF($D$4:$D$207,D26,$AE$4:$AE$207))</f>
      </c>
      <c r="AO26" s="27">
        <f>IF($B26&lt;&gt;"Challan","",P26-N26)</f>
      </c>
      <c r="AP26" s="27">
        <f>IF($B26&lt;&gt;"Challan","",MAX(0,AO26-AN26))</f>
      </c>
      <c r="AQ26" s="33">
        <f>IF($B26&lt;&gt;"Entry","",SUMPRODUCT(($D$4:$D$207=D26)*($B$4:$B$207="Challan")*$F$4:$F$207))</f>
      </c>
      <c r="AR26" s="34">
        <f>IF(OR($B26&lt;&gt;"Entry",Z26=""),FALSE,AND(SUMPRODUCT(($D$4:$D$207=D26)*($B$4:$B$207="Challan")*($H$4:$H$207&lt;&gt;""))&gt;0,SUMPRODUCT(($D$4:$D$207=D26)*($B$4:$B$207="Challan")*($H$4:$H$207=Z26))=0))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IF(UPPER(MID(W27,4,1))="L","LLP",IF(UPPER(MID(W27,4,1))="T","Trust",IF(UPPER(MID(W27,4,1))="A","AOP","")))))))),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IF($B27&lt;&gt;"Challan","",SUMIF($D$4:$D$207,D27,$AD$4:$AD$207)+SUMIF($D$4:$D$207,D27,$AG$4:$AG$207)+SUMIF($D$4:$D$207,D27,$AE$4:$AE$207))</f>
      </c>
      <c r="AO27" s="27">
        <f>IF($B27&lt;&gt;"Challan","",P27-N27)</f>
      </c>
      <c r="AP27" s="27">
        <f>IF($B27&lt;&gt;"Challan","",MAX(0,AO27-AN27))</f>
      </c>
      <c r="AQ27" s="33">
        <f>IF($B27&lt;&gt;"Entry","",SUMPRODUCT(($D$4:$D$207=D27)*($B$4:$B$207="Challan")*$F$4:$F$207))</f>
      </c>
      <c r="AR27" s="34">
        <f>IF(OR($B27&lt;&gt;"Entry",Z27=""),FALSE,AND(SUMPRODUCT(($D$4:$D$207=D27)*($B$4:$B$207="Challan")*($H$4:$H$207&lt;&gt;""))&gt;0,SUMPRODUCT(($D$4:$D$207=D27)*($B$4:$B$207="Challan")*($H$4:$H$207=Z27))=0))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IF(UPPER(MID(W28,4,1))="L","LLP",IF(UPPER(MID(W28,4,1))="T","Trust",IF(UPPER(MID(W28,4,1))="A","AOP","")))))))),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IF($B28&lt;&gt;"Challan","",SUMIF($D$4:$D$207,D28,$AD$4:$AD$207)+SUMIF($D$4:$D$207,D28,$AG$4:$AG$207)+SUMIF($D$4:$D$207,D28,$AE$4:$AE$207))</f>
      </c>
      <c r="AO28" s="27">
        <f>IF($B28&lt;&gt;"Challan","",P28-N28)</f>
      </c>
      <c r="AP28" s="27">
        <f>IF($B28&lt;&gt;"Challan","",MAX(0,AO28-AN28))</f>
      </c>
      <c r="AQ28" s="33">
        <f>IF($B28&lt;&gt;"Entry","",SUMPRODUCT(($D$4:$D$207=D28)*($B$4:$B$207="Challan")*$F$4:$F$207))</f>
      </c>
      <c r="AR28" s="34">
        <f>IF(OR($B28&lt;&gt;"Entry",Z28=""),FALSE,AND(SUMPRODUCT(($D$4:$D$207=D28)*($B$4:$B$207="Challan")*($H$4:$H$207&lt;&gt;""))&gt;0,SUMPRODUCT(($D$4:$D$207=D28)*($B$4:$B$207="Challan")*($H$4:$H$207=Z28))=0))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IF(UPPER(MID(W29,4,1))="L","LLP",IF(UPPER(MID(W29,4,1))="T","Trust",IF(UPPER(MID(W29,4,1))="A","AOP","")))))))),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IF($B29&lt;&gt;"Challan","",SUMIF($D$4:$D$207,D29,$AD$4:$AD$207)+SUMIF($D$4:$D$207,D29,$AG$4:$AG$207)+SUMIF($D$4:$D$207,D29,$AE$4:$AE$207))</f>
      </c>
      <c r="AO29" s="27">
        <f>IF($B29&lt;&gt;"Challan","",P29-N29)</f>
      </c>
      <c r="AP29" s="27">
        <f>IF($B29&lt;&gt;"Challan","",MAX(0,AO29-AN29))</f>
      </c>
      <c r="AQ29" s="33">
        <f>IF($B29&lt;&gt;"Entry","",SUMPRODUCT(($D$4:$D$207=D29)*($B$4:$B$207="Challan")*$F$4:$F$207))</f>
      </c>
      <c r="AR29" s="34">
        <f>IF(OR($B29&lt;&gt;"Entry",Z29=""),FALSE,AND(SUMPRODUCT(($D$4:$D$207=D29)*($B$4:$B$207="Challan")*($H$4:$H$207&lt;&gt;""))&gt;0,SUMPRODUCT(($D$4:$D$207=D29)*($B$4:$B$207="Challan")*($H$4:$H$207=Z29))=0))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IF(UPPER(MID(W30,4,1))="L","LLP",IF(UPPER(MID(W30,4,1))="T","Trust",IF(UPPER(MID(W30,4,1))="A","AOP","")))))))),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IF($B30&lt;&gt;"Challan","",SUMIF($D$4:$D$207,D30,$AD$4:$AD$207)+SUMIF($D$4:$D$207,D30,$AG$4:$AG$207)+SUMIF($D$4:$D$207,D30,$AE$4:$AE$207))</f>
      </c>
      <c r="AO30" s="27">
        <f>IF($B30&lt;&gt;"Challan","",P30-N30)</f>
      </c>
      <c r="AP30" s="27">
        <f>IF($B30&lt;&gt;"Challan","",MAX(0,AO30-AN30))</f>
      </c>
      <c r="AQ30" s="33">
        <f>IF($B30&lt;&gt;"Entry","",SUMPRODUCT(($D$4:$D$207=D30)*($B$4:$B$207="Challan")*$F$4:$F$207))</f>
      </c>
      <c r="AR30" s="34">
        <f>IF(OR($B30&lt;&gt;"Entry",Z30=""),FALSE,AND(SUMPRODUCT(($D$4:$D$207=D30)*($B$4:$B$207="Challan")*($H$4:$H$207&lt;&gt;""))&gt;0,SUMPRODUCT(($D$4:$D$207=D30)*($B$4:$B$207="Challan")*($H$4:$H$207=Z30))=0))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IF(UPPER(MID(W31,4,1))="L","LLP",IF(UPPER(MID(W31,4,1))="T","Trust",IF(UPPER(MID(W31,4,1))="A","AOP","")))))))),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IF($B31&lt;&gt;"Challan","",SUMIF($D$4:$D$207,D31,$AD$4:$AD$207)+SUMIF($D$4:$D$207,D31,$AG$4:$AG$207)+SUMIF($D$4:$D$207,D31,$AE$4:$AE$207))</f>
      </c>
      <c r="AO31" s="27">
        <f>IF($B31&lt;&gt;"Challan","",P31-N31)</f>
      </c>
      <c r="AP31" s="27">
        <f>IF($B31&lt;&gt;"Challan","",MAX(0,AO31-AN31))</f>
      </c>
      <c r="AQ31" s="33">
        <f>IF($B31&lt;&gt;"Entry","",SUMPRODUCT(($D$4:$D$207=D31)*($B$4:$B$207="Challan")*$F$4:$F$207))</f>
      </c>
      <c r="AR31" s="34">
        <f>IF(OR($B31&lt;&gt;"Entry",Z31=""),FALSE,AND(SUMPRODUCT(($D$4:$D$207=D31)*($B$4:$B$207="Challan")*($H$4:$H$207&lt;&gt;""))&gt;0,SUMPRODUCT(($D$4:$D$207=D31)*($B$4:$B$207="Challan")*($H$4:$H$207=Z31))=0))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IF(UPPER(MID(W32,4,1))="L","LLP",IF(UPPER(MID(W32,4,1))="T","Trust",IF(UPPER(MID(W32,4,1))="A","AOP","")))))))),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IF($B32&lt;&gt;"Challan","",SUMIF($D$4:$D$207,D32,$AD$4:$AD$207)+SUMIF($D$4:$D$207,D32,$AG$4:$AG$207)+SUMIF($D$4:$D$207,D32,$AE$4:$AE$207))</f>
      </c>
      <c r="AO32" s="27">
        <f>IF($B32&lt;&gt;"Challan","",P32-N32)</f>
      </c>
      <c r="AP32" s="27">
        <f>IF($B32&lt;&gt;"Challan","",MAX(0,AO32-AN32))</f>
      </c>
      <c r="AQ32" s="33">
        <f>IF($B32&lt;&gt;"Entry","",SUMPRODUCT(($D$4:$D$207=D32)*($B$4:$B$207="Challan")*$F$4:$F$207))</f>
      </c>
      <c r="AR32" s="34">
        <f>IF(OR($B32&lt;&gt;"Entry",Z32=""),FALSE,AND(SUMPRODUCT(($D$4:$D$207=D32)*($B$4:$B$207="Challan")*($H$4:$H$207&lt;&gt;""))&gt;0,SUMPRODUCT(($D$4:$D$207=D32)*($B$4:$B$207="Challan")*($H$4:$H$207=Z32))=0))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IF(UPPER(MID(W33,4,1))="L","LLP",IF(UPPER(MID(W33,4,1))="T","Trust",IF(UPPER(MID(W33,4,1))="A","AOP","")))))))),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IF($B33&lt;&gt;"Challan","",SUMIF($D$4:$D$207,D33,$AD$4:$AD$207)+SUMIF($D$4:$D$207,D33,$AG$4:$AG$207)+SUMIF($D$4:$D$207,D33,$AE$4:$AE$207))</f>
      </c>
      <c r="AO33" s="27">
        <f>IF($B33&lt;&gt;"Challan","",P33-N33)</f>
      </c>
      <c r="AP33" s="27">
        <f>IF($B33&lt;&gt;"Challan","",MAX(0,AO33-AN33))</f>
      </c>
      <c r="AQ33" s="33">
        <f>IF($B33&lt;&gt;"Entry","",SUMPRODUCT(($D$4:$D$207=D33)*($B$4:$B$207="Challan")*$F$4:$F$207))</f>
      </c>
      <c r="AR33" s="34">
        <f>IF(OR($B33&lt;&gt;"Entry",Z33=""),FALSE,AND(SUMPRODUCT(($D$4:$D$207=D33)*($B$4:$B$207="Challan")*($H$4:$H$207&lt;&gt;""))&gt;0,SUMPRODUCT(($D$4:$D$207=D33)*($B$4:$B$207="Challan")*($H$4:$H$207=Z33))=0))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IF(UPPER(MID(W34,4,1))="L","LLP",IF(UPPER(MID(W34,4,1))="T","Trust",IF(UPPER(MID(W34,4,1))="A","AOP","")))))))),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IF($B34&lt;&gt;"Challan","",SUMIF($D$4:$D$207,D34,$AD$4:$AD$207)+SUMIF($D$4:$D$207,D34,$AG$4:$AG$207)+SUMIF($D$4:$D$207,D34,$AE$4:$AE$207))</f>
      </c>
      <c r="AO34" s="27">
        <f>IF($B34&lt;&gt;"Challan","",P34-N34)</f>
      </c>
      <c r="AP34" s="27">
        <f>IF($B34&lt;&gt;"Challan","",MAX(0,AO34-AN34))</f>
      </c>
      <c r="AQ34" s="33">
        <f>IF($B34&lt;&gt;"Entry","",SUMPRODUCT(($D$4:$D$207=D34)*($B$4:$B$207="Challan")*$F$4:$F$207))</f>
      </c>
      <c r="AR34" s="34">
        <f>IF(OR($B34&lt;&gt;"Entry",Z34=""),FALSE,AND(SUMPRODUCT(($D$4:$D$207=D34)*($B$4:$B$207="Challan")*($H$4:$H$207&lt;&gt;""))&gt;0,SUMPRODUCT(($D$4:$D$207=D34)*($B$4:$B$207="Challan")*($H$4:$H$207=Z34))=0))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IF(UPPER(MID(W35,4,1))="L","LLP",IF(UPPER(MID(W35,4,1))="T","Trust",IF(UPPER(MID(W35,4,1))="A","AOP","")))))))),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IF($B35&lt;&gt;"Challan","",SUMIF($D$4:$D$207,D35,$AD$4:$AD$207)+SUMIF($D$4:$D$207,D35,$AG$4:$AG$207)+SUMIF($D$4:$D$207,D35,$AE$4:$AE$207))</f>
      </c>
      <c r="AO35" s="27">
        <f>IF($B35&lt;&gt;"Challan","",P35-N35)</f>
      </c>
      <c r="AP35" s="27">
        <f>IF($B35&lt;&gt;"Challan","",MAX(0,AO35-AN35))</f>
      </c>
      <c r="AQ35" s="33">
        <f>IF($B35&lt;&gt;"Entry","",SUMPRODUCT(($D$4:$D$207=D35)*($B$4:$B$207="Challan")*$F$4:$F$207))</f>
      </c>
      <c r="AR35" s="34">
        <f>IF(OR($B35&lt;&gt;"Entry",Z35=""),FALSE,AND(SUMPRODUCT(($D$4:$D$207=D35)*($B$4:$B$207="Challan")*($H$4:$H$207&lt;&gt;""))&gt;0,SUMPRODUCT(($D$4:$D$207=D35)*($B$4:$B$207="Challan")*($H$4:$H$207=Z35))=0))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IF(UPPER(MID(W36,4,1))="L","LLP",IF(UPPER(MID(W36,4,1))="T","Trust",IF(UPPER(MID(W36,4,1))="A","AOP","")))))))),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IF($B36&lt;&gt;"Challan","",SUMIF($D$4:$D$207,D36,$AD$4:$AD$207)+SUMIF($D$4:$D$207,D36,$AG$4:$AG$207)+SUMIF($D$4:$D$207,D36,$AE$4:$AE$207))</f>
      </c>
      <c r="AO36" s="27">
        <f>IF($B36&lt;&gt;"Challan","",P36-N36)</f>
      </c>
      <c r="AP36" s="27">
        <f>IF($B36&lt;&gt;"Challan","",MAX(0,AO36-AN36))</f>
      </c>
      <c r="AQ36" s="33">
        <f>IF($B36&lt;&gt;"Entry","",SUMPRODUCT(($D$4:$D$207=D36)*($B$4:$B$207="Challan")*$F$4:$F$207))</f>
      </c>
      <c r="AR36" s="34">
        <f>IF(OR($B36&lt;&gt;"Entry",Z36=""),FALSE,AND(SUMPRODUCT(($D$4:$D$207=D36)*($B$4:$B$207="Challan")*($H$4:$H$207&lt;&gt;""))&gt;0,SUMPRODUCT(($D$4:$D$207=D36)*($B$4:$B$207="Challan")*($H$4:$H$207=Z36))=0))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IF(UPPER(MID(W37,4,1))="L","LLP",IF(UPPER(MID(W37,4,1))="T","Trust",IF(UPPER(MID(W37,4,1))="A","AOP","")))))))),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IF($B37&lt;&gt;"Challan","",SUMIF($D$4:$D$207,D37,$AD$4:$AD$207)+SUMIF($D$4:$D$207,D37,$AG$4:$AG$207)+SUMIF($D$4:$D$207,D37,$AE$4:$AE$207))</f>
      </c>
      <c r="AO37" s="27">
        <f>IF($B37&lt;&gt;"Challan","",P37-N37)</f>
      </c>
      <c r="AP37" s="27">
        <f>IF($B37&lt;&gt;"Challan","",MAX(0,AO37-AN37))</f>
      </c>
      <c r="AQ37" s="33">
        <f>IF($B37&lt;&gt;"Entry","",SUMPRODUCT(($D$4:$D$207=D37)*($B$4:$B$207="Challan")*$F$4:$F$207))</f>
      </c>
      <c r="AR37" s="34">
        <f>IF(OR($B37&lt;&gt;"Entry",Z37=""),FALSE,AND(SUMPRODUCT(($D$4:$D$207=D37)*($B$4:$B$207="Challan")*($H$4:$H$207&lt;&gt;""))&gt;0,SUMPRODUCT(($D$4:$D$207=D37)*($B$4:$B$207="Challan")*($H$4:$H$207=Z37))=0))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IF(UPPER(MID(W38,4,1))="L","LLP",IF(UPPER(MID(W38,4,1))="T","Trust",IF(UPPER(MID(W38,4,1))="A","AOP","")))))))),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IF($B38&lt;&gt;"Challan","",SUMIF($D$4:$D$207,D38,$AD$4:$AD$207)+SUMIF($D$4:$D$207,D38,$AG$4:$AG$207)+SUMIF($D$4:$D$207,D38,$AE$4:$AE$207))</f>
      </c>
      <c r="AO38" s="27">
        <f>IF($B38&lt;&gt;"Challan","",P38-N38)</f>
      </c>
      <c r="AP38" s="27">
        <f>IF($B38&lt;&gt;"Challan","",MAX(0,AO38-AN38))</f>
      </c>
      <c r="AQ38" s="33">
        <f>IF($B38&lt;&gt;"Entry","",SUMPRODUCT(($D$4:$D$207=D38)*($B$4:$B$207="Challan")*$F$4:$F$207))</f>
      </c>
      <c r="AR38" s="34">
        <f>IF(OR($B38&lt;&gt;"Entry",Z38=""),FALSE,AND(SUMPRODUCT(($D$4:$D$207=D38)*($B$4:$B$207="Challan")*($H$4:$H$207&lt;&gt;""))&gt;0,SUMPRODUCT(($D$4:$D$207=D38)*($B$4:$B$207="Challan")*($H$4:$H$207=Z38))=0))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IF(UPPER(MID(W39,4,1))="L","LLP",IF(UPPER(MID(W39,4,1))="T","Trust",IF(UPPER(MID(W39,4,1))="A","AOP","")))))))),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IF($B39&lt;&gt;"Challan","",SUMIF($D$4:$D$207,D39,$AD$4:$AD$207)+SUMIF($D$4:$D$207,D39,$AG$4:$AG$207)+SUMIF($D$4:$D$207,D39,$AE$4:$AE$207))</f>
      </c>
      <c r="AO39" s="27">
        <f>IF($B39&lt;&gt;"Challan","",P39-N39)</f>
      </c>
      <c r="AP39" s="27">
        <f>IF($B39&lt;&gt;"Challan","",MAX(0,AO39-AN39))</f>
      </c>
      <c r="AQ39" s="33">
        <f>IF($B39&lt;&gt;"Entry","",SUMPRODUCT(($D$4:$D$207=D39)*($B$4:$B$207="Challan")*$F$4:$F$207))</f>
      </c>
      <c r="AR39" s="34">
        <f>IF(OR($B39&lt;&gt;"Entry",Z39=""),FALSE,AND(SUMPRODUCT(($D$4:$D$207=D39)*($B$4:$B$207="Challan")*($H$4:$H$207&lt;&gt;""))&gt;0,SUMPRODUCT(($D$4:$D$207=D39)*($B$4:$B$207="Challan")*($H$4:$H$207=Z39))=0))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IF(UPPER(MID(W40,4,1))="L","LLP",IF(UPPER(MID(W40,4,1))="T","Trust",IF(UPPER(MID(W40,4,1))="A","AOP","")))))))),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IF($B40&lt;&gt;"Challan","",SUMIF($D$4:$D$207,D40,$AD$4:$AD$207)+SUMIF($D$4:$D$207,D40,$AG$4:$AG$207)+SUMIF($D$4:$D$207,D40,$AE$4:$AE$207))</f>
      </c>
      <c r="AO40" s="27">
        <f>IF($B40&lt;&gt;"Challan","",P40-N40)</f>
      </c>
      <c r="AP40" s="27">
        <f>IF($B40&lt;&gt;"Challan","",MAX(0,AO40-AN40))</f>
      </c>
      <c r="AQ40" s="33">
        <f>IF($B40&lt;&gt;"Entry","",SUMPRODUCT(($D$4:$D$207=D40)*($B$4:$B$207="Challan")*$F$4:$F$207))</f>
      </c>
      <c r="AR40" s="34">
        <f>IF(OR($B40&lt;&gt;"Entry",Z40=""),FALSE,AND(SUMPRODUCT(($D$4:$D$207=D40)*($B$4:$B$207="Challan")*($H$4:$H$207&lt;&gt;""))&gt;0,SUMPRODUCT(($D$4:$D$207=D40)*($B$4:$B$207="Challan")*($H$4:$H$207=Z40))=0))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IF(UPPER(MID(W41,4,1))="L","LLP",IF(UPPER(MID(W41,4,1))="T","Trust",IF(UPPER(MID(W41,4,1))="A","AOP","")))))))),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IF($B41&lt;&gt;"Challan","",SUMIF($D$4:$D$207,D41,$AD$4:$AD$207)+SUMIF($D$4:$D$207,D41,$AG$4:$AG$207)+SUMIF($D$4:$D$207,D41,$AE$4:$AE$207))</f>
      </c>
      <c r="AO41" s="27">
        <f>IF($B41&lt;&gt;"Challan","",P41-N41)</f>
      </c>
      <c r="AP41" s="27">
        <f>IF($B41&lt;&gt;"Challan","",MAX(0,AO41-AN41))</f>
      </c>
      <c r="AQ41" s="33">
        <f>IF($B41&lt;&gt;"Entry","",SUMPRODUCT(($D$4:$D$207=D41)*($B$4:$B$207="Challan")*$F$4:$F$207))</f>
      </c>
      <c r="AR41" s="34">
        <f>IF(OR($B41&lt;&gt;"Entry",Z41=""),FALSE,AND(SUMPRODUCT(($D$4:$D$207=D41)*($B$4:$B$207="Challan")*($H$4:$H$207&lt;&gt;""))&gt;0,SUMPRODUCT(($D$4:$D$207=D41)*($B$4:$B$207="Challan")*($H$4:$H$207=Z41))=0))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IF(UPPER(MID(W42,4,1))="L","LLP",IF(UPPER(MID(W42,4,1))="T","Trust",IF(UPPER(MID(W42,4,1))="A","AOP","")))))))),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IF($B42&lt;&gt;"Challan","",SUMIF($D$4:$D$207,D42,$AD$4:$AD$207)+SUMIF($D$4:$D$207,D42,$AG$4:$AG$207)+SUMIF($D$4:$D$207,D42,$AE$4:$AE$207))</f>
      </c>
      <c r="AO42" s="27">
        <f>IF($B42&lt;&gt;"Challan","",P42-N42)</f>
      </c>
      <c r="AP42" s="27">
        <f>IF($B42&lt;&gt;"Challan","",MAX(0,AO42-AN42))</f>
      </c>
      <c r="AQ42" s="33">
        <f>IF($B42&lt;&gt;"Entry","",SUMPRODUCT(($D$4:$D$207=D42)*($B$4:$B$207="Challan")*$F$4:$F$207))</f>
      </c>
      <c r="AR42" s="34">
        <f>IF(OR($B42&lt;&gt;"Entry",Z42=""),FALSE,AND(SUMPRODUCT(($D$4:$D$207=D42)*($B$4:$B$207="Challan")*($H$4:$H$207&lt;&gt;""))&gt;0,SUMPRODUCT(($D$4:$D$207=D42)*($B$4:$B$207="Challan")*($H$4:$H$207=Z42))=0))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IF(UPPER(MID(W43,4,1))="L","LLP",IF(UPPER(MID(W43,4,1))="T","Trust",IF(UPPER(MID(W43,4,1))="A","AOP","")))))))),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IF($B43&lt;&gt;"Challan","",SUMIF($D$4:$D$207,D43,$AD$4:$AD$207)+SUMIF($D$4:$D$207,D43,$AG$4:$AG$207)+SUMIF($D$4:$D$207,D43,$AE$4:$AE$207))</f>
      </c>
      <c r="AO43" s="27">
        <f>IF($B43&lt;&gt;"Challan","",P43-N43)</f>
      </c>
      <c r="AP43" s="27">
        <f>IF($B43&lt;&gt;"Challan","",MAX(0,AO43-AN43))</f>
      </c>
      <c r="AQ43" s="33">
        <f>IF($B43&lt;&gt;"Entry","",SUMPRODUCT(($D$4:$D$207=D43)*($B$4:$B$207="Challan")*$F$4:$F$207))</f>
      </c>
      <c r="AR43" s="34">
        <f>IF(OR($B43&lt;&gt;"Entry",Z43=""),FALSE,AND(SUMPRODUCT(($D$4:$D$207=D43)*($B$4:$B$207="Challan")*($H$4:$H$207&lt;&gt;""))&gt;0,SUMPRODUCT(($D$4:$D$207=D43)*($B$4:$B$207="Challan")*($H$4:$H$207=Z43))=0))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IF(UPPER(MID(W44,4,1))="L","LLP",IF(UPPER(MID(W44,4,1))="T","Trust",IF(UPPER(MID(W44,4,1))="A","AOP","")))))))),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IF($B44&lt;&gt;"Challan","",SUMIF($D$4:$D$207,D44,$AD$4:$AD$207)+SUMIF($D$4:$D$207,D44,$AG$4:$AG$207)+SUMIF($D$4:$D$207,D44,$AE$4:$AE$207))</f>
      </c>
      <c r="AO44" s="27">
        <f>IF($B44&lt;&gt;"Challan","",P44-N44)</f>
      </c>
      <c r="AP44" s="27">
        <f>IF($B44&lt;&gt;"Challan","",MAX(0,AO44-AN44))</f>
      </c>
      <c r="AQ44" s="33">
        <f>IF($B44&lt;&gt;"Entry","",SUMPRODUCT(($D$4:$D$207=D44)*($B$4:$B$207="Challan")*$F$4:$F$207))</f>
      </c>
      <c r="AR44" s="34">
        <f>IF(OR($B44&lt;&gt;"Entry",Z44=""),FALSE,AND(SUMPRODUCT(($D$4:$D$207=D44)*($B$4:$B$207="Challan")*($H$4:$H$207&lt;&gt;""))&gt;0,SUMPRODUCT(($D$4:$D$207=D44)*($B$4:$B$207="Challan")*($H$4:$H$207=Z44))=0))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IF(UPPER(MID(W45,4,1))="L","LLP",IF(UPPER(MID(W45,4,1))="T","Trust",IF(UPPER(MID(W45,4,1))="A","AOP","")))))))),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IF($B45&lt;&gt;"Challan","",SUMIF($D$4:$D$207,D45,$AD$4:$AD$207)+SUMIF($D$4:$D$207,D45,$AG$4:$AG$207)+SUMIF($D$4:$D$207,D45,$AE$4:$AE$207))</f>
      </c>
      <c r="AO45" s="27">
        <f>IF($B45&lt;&gt;"Challan","",P45-N45)</f>
      </c>
      <c r="AP45" s="27">
        <f>IF($B45&lt;&gt;"Challan","",MAX(0,AO45-AN45))</f>
      </c>
      <c r="AQ45" s="33">
        <f>IF($B45&lt;&gt;"Entry","",SUMPRODUCT(($D$4:$D$207=D45)*($B$4:$B$207="Challan")*$F$4:$F$207))</f>
      </c>
      <c r="AR45" s="34">
        <f>IF(OR($B45&lt;&gt;"Entry",Z45=""),FALSE,AND(SUMPRODUCT(($D$4:$D$207=D45)*($B$4:$B$207="Challan")*($H$4:$H$207&lt;&gt;""))&gt;0,SUMPRODUCT(($D$4:$D$207=D45)*($B$4:$B$207="Challan")*($H$4:$H$207=Z45))=0))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IF(UPPER(MID(W46,4,1))="L","LLP",IF(UPPER(MID(W46,4,1))="T","Trust",IF(UPPER(MID(W46,4,1))="A","AOP","")))))))),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IF($B46&lt;&gt;"Challan","",SUMIF($D$4:$D$207,D46,$AD$4:$AD$207)+SUMIF($D$4:$D$207,D46,$AG$4:$AG$207)+SUMIF($D$4:$D$207,D46,$AE$4:$AE$207))</f>
      </c>
      <c r="AO46" s="27">
        <f>IF($B46&lt;&gt;"Challan","",P46-N46)</f>
      </c>
      <c r="AP46" s="27">
        <f>IF($B46&lt;&gt;"Challan","",MAX(0,AO46-AN46))</f>
      </c>
      <c r="AQ46" s="33">
        <f>IF($B46&lt;&gt;"Entry","",SUMPRODUCT(($D$4:$D$207=D46)*($B$4:$B$207="Challan")*$F$4:$F$207))</f>
      </c>
      <c r="AR46" s="34">
        <f>IF(OR($B46&lt;&gt;"Entry",Z46=""),FALSE,AND(SUMPRODUCT(($D$4:$D$207=D46)*($B$4:$B$207="Challan")*($H$4:$H$207&lt;&gt;""))&gt;0,SUMPRODUCT(($D$4:$D$207=D46)*($B$4:$B$207="Challan")*($H$4:$H$207=Z46))=0))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IF(UPPER(MID(W47,4,1))="L","LLP",IF(UPPER(MID(W47,4,1))="T","Trust",IF(UPPER(MID(W47,4,1))="A","AOP","")))))))),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IF($B47&lt;&gt;"Challan","",SUMIF($D$4:$D$207,D47,$AD$4:$AD$207)+SUMIF($D$4:$D$207,D47,$AG$4:$AG$207)+SUMIF($D$4:$D$207,D47,$AE$4:$AE$207))</f>
      </c>
      <c r="AO47" s="27">
        <f>IF($B47&lt;&gt;"Challan","",P47-N47)</f>
      </c>
      <c r="AP47" s="27">
        <f>IF($B47&lt;&gt;"Challan","",MAX(0,AO47-AN47))</f>
      </c>
      <c r="AQ47" s="33">
        <f>IF($B47&lt;&gt;"Entry","",SUMPRODUCT(($D$4:$D$207=D47)*($B$4:$B$207="Challan")*$F$4:$F$207))</f>
      </c>
      <c r="AR47" s="34">
        <f>IF(OR($B47&lt;&gt;"Entry",Z47=""),FALSE,AND(SUMPRODUCT(($D$4:$D$207=D47)*($B$4:$B$207="Challan")*($H$4:$H$207&lt;&gt;""))&gt;0,SUMPRODUCT(($D$4:$D$207=D47)*($B$4:$B$207="Challan")*($H$4:$H$207=Z47))=0))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IF(UPPER(MID(W48,4,1))="L","LLP",IF(UPPER(MID(W48,4,1))="T","Trust",IF(UPPER(MID(W48,4,1))="A","AOP","")))))))),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IF($B48&lt;&gt;"Challan","",SUMIF($D$4:$D$207,D48,$AD$4:$AD$207)+SUMIF($D$4:$D$207,D48,$AG$4:$AG$207)+SUMIF($D$4:$D$207,D48,$AE$4:$AE$207))</f>
      </c>
      <c r="AO48" s="27">
        <f>IF($B48&lt;&gt;"Challan","",P48-N48)</f>
      </c>
      <c r="AP48" s="27">
        <f>IF($B48&lt;&gt;"Challan","",MAX(0,AO48-AN48))</f>
      </c>
      <c r="AQ48" s="33">
        <f>IF($B48&lt;&gt;"Entry","",SUMPRODUCT(($D$4:$D$207=D48)*($B$4:$B$207="Challan")*$F$4:$F$207))</f>
      </c>
      <c r="AR48" s="34">
        <f>IF(OR($B48&lt;&gt;"Entry",Z48=""),FALSE,AND(SUMPRODUCT(($D$4:$D$207=D48)*($B$4:$B$207="Challan")*($H$4:$H$207&lt;&gt;""))&gt;0,SUMPRODUCT(($D$4:$D$207=D48)*($B$4:$B$207="Challan")*($H$4:$H$207=Z48))=0))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IF(UPPER(MID(W49,4,1))="L","LLP",IF(UPPER(MID(W49,4,1))="T","Trust",IF(UPPER(MID(W49,4,1))="A","AOP","")))))))),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IF($B49&lt;&gt;"Challan","",SUMIF($D$4:$D$207,D49,$AD$4:$AD$207)+SUMIF($D$4:$D$207,D49,$AG$4:$AG$207)+SUMIF($D$4:$D$207,D49,$AE$4:$AE$207))</f>
      </c>
      <c r="AO49" s="27">
        <f>IF($B49&lt;&gt;"Challan","",P49-N49)</f>
      </c>
      <c r="AP49" s="27">
        <f>IF($B49&lt;&gt;"Challan","",MAX(0,AO49-AN49))</f>
      </c>
      <c r="AQ49" s="33">
        <f>IF($B49&lt;&gt;"Entry","",SUMPRODUCT(($D$4:$D$207=D49)*($B$4:$B$207="Challan")*$F$4:$F$207))</f>
      </c>
      <c r="AR49" s="34">
        <f>IF(OR($B49&lt;&gt;"Entry",Z49=""),FALSE,AND(SUMPRODUCT(($D$4:$D$207=D49)*($B$4:$B$207="Challan")*($H$4:$H$207&lt;&gt;""))&gt;0,SUMPRODUCT(($D$4:$D$207=D49)*($B$4:$B$207="Challan")*($H$4:$H$207=Z49))=0))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IF(UPPER(MID(W50,4,1))="L","LLP",IF(UPPER(MID(W50,4,1))="T","Trust",IF(UPPER(MID(W50,4,1))="A","AOP","")))))))),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IF($B50&lt;&gt;"Challan","",SUMIF($D$4:$D$207,D50,$AD$4:$AD$207)+SUMIF($D$4:$D$207,D50,$AG$4:$AG$207)+SUMIF($D$4:$D$207,D50,$AE$4:$AE$207))</f>
      </c>
      <c r="AO50" s="27">
        <f>IF($B50&lt;&gt;"Challan","",P50-N50)</f>
      </c>
      <c r="AP50" s="27">
        <f>IF($B50&lt;&gt;"Challan","",MAX(0,AO50-AN50))</f>
      </c>
      <c r="AQ50" s="33">
        <f>IF($B50&lt;&gt;"Entry","",SUMPRODUCT(($D$4:$D$207=D50)*($B$4:$B$207="Challan")*$F$4:$F$207))</f>
      </c>
      <c r="AR50" s="34">
        <f>IF(OR($B50&lt;&gt;"Entry",Z50=""),FALSE,AND(SUMPRODUCT(($D$4:$D$207=D50)*($B$4:$B$207="Challan")*($H$4:$H$207&lt;&gt;""))&gt;0,SUMPRODUCT(($D$4:$D$207=D50)*($B$4:$B$207="Challan")*($H$4:$H$207=Z50))=0))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IF(UPPER(MID(W51,4,1))="L","LLP",IF(UPPER(MID(W51,4,1))="T","Trust",IF(UPPER(MID(W51,4,1))="A","AOP","")))))))),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IF($B51&lt;&gt;"Challan","",SUMIF($D$4:$D$207,D51,$AD$4:$AD$207)+SUMIF($D$4:$D$207,D51,$AG$4:$AG$207)+SUMIF($D$4:$D$207,D51,$AE$4:$AE$207))</f>
      </c>
      <c r="AO51" s="27">
        <f>IF($B51&lt;&gt;"Challan","",P51-N51)</f>
      </c>
      <c r="AP51" s="27">
        <f>IF($B51&lt;&gt;"Challan","",MAX(0,AO51-AN51))</f>
      </c>
      <c r="AQ51" s="33">
        <f>IF($B51&lt;&gt;"Entry","",SUMPRODUCT(($D$4:$D$207=D51)*($B$4:$B$207="Challan")*$F$4:$F$207))</f>
      </c>
      <c r="AR51" s="34">
        <f>IF(OR($B51&lt;&gt;"Entry",Z51=""),FALSE,AND(SUMPRODUCT(($D$4:$D$207=D51)*($B$4:$B$207="Challan")*($H$4:$H$207&lt;&gt;""))&gt;0,SUMPRODUCT(($D$4:$D$207=D51)*($B$4:$B$207="Challan")*($H$4:$H$207=Z51))=0))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IF(UPPER(MID(W52,4,1))="L","LLP",IF(UPPER(MID(W52,4,1))="T","Trust",IF(UPPER(MID(W52,4,1))="A","AOP","")))))))),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IF($B52&lt;&gt;"Challan","",SUMIF($D$4:$D$207,D52,$AD$4:$AD$207)+SUMIF($D$4:$D$207,D52,$AG$4:$AG$207)+SUMIF($D$4:$D$207,D52,$AE$4:$AE$207))</f>
      </c>
      <c r="AO52" s="27">
        <f>IF($B52&lt;&gt;"Challan","",P52-N52)</f>
      </c>
      <c r="AP52" s="27">
        <f>IF($B52&lt;&gt;"Challan","",MAX(0,AO52-AN52))</f>
      </c>
      <c r="AQ52" s="33">
        <f>IF($B52&lt;&gt;"Entry","",SUMPRODUCT(($D$4:$D$207=D52)*($B$4:$B$207="Challan")*$F$4:$F$207))</f>
      </c>
      <c r="AR52" s="34">
        <f>IF(OR($B52&lt;&gt;"Entry",Z52=""),FALSE,AND(SUMPRODUCT(($D$4:$D$207=D52)*($B$4:$B$207="Challan")*($H$4:$H$207&lt;&gt;""))&gt;0,SUMPRODUCT(($D$4:$D$207=D52)*($B$4:$B$207="Challan")*($H$4:$H$207=Z52))=0))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IF(UPPER(MID(W53,4,1))="L","LLP",IF(UPPER(MID(W53,4,1))="T","Trust",IF(UPPER(MID(W53,4,1))="A","AOP","")))))))),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IF($B53&lt;&gt;"Challan","",SUMIF($D$4:$D$207,D53,$AD$4:$AD$207)+SUMIF($D$4:$D$207,D53,$AG$4:$AG$207)+SUMIF($D$4:$D$207,D53,$AE$4:$AE$207))</f>
      </c>
      <c r="AO53" s="27">
        <f>IF($B53&lt;&gt;"Challan","",P53-N53)</f>
      </c>
      <c r="AP53" s="27">
        <f>IF($B53&lt;&gt;"Challan","",MAX(0,AO53-AN53))</f>
      </c>
      <c r="AQ53" s="33">
        <f>IF($B53&lt;&gt;"Entry","",SUMPRODUCT(($D$4:$D$207=D53)*($B$4:$B$207="Challan")*$F$4:$F$207))</f>
      </c>
      <c r="AR53" s="34">
        <f>IF(OR($B53&lt;&gt;"Entry",Z53=""),FALSE,AND(SUMPRODUCT(($D$4:$D$207=D53)*($B$4:$B$207="Challan")*($H$4:$H$207&lt;&gt;""))&gt;0,SUMPRODUCT(($D$4:$D$207=D53)*($B$4:$B$207="Challan")*($H$4:$H$207=Z53))=0))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IF(UPPER(MID(W54,4,1))="L","LLP",IF(UPPER(MID(W54,4,1))="T","Trust",IF(UPPER(MID(W54,4,1))="A","AOP","")))))))),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IF($B54&lt;&gt;"Challan","",SUMIF($D$4:$D$207,D54,$AD$4:$AD$207)+SUMIF($D$4:$D$207,D54,$AG$4:$AG$207)+SUMIF($D$4:$D$207,D54,$AE$4:$AE$207))</f>
      </c>
      <c r="AO54" s="27">
        <f>IF($B54&lt;&gt;"Challan","",P54-N54)</f>
      </c>
      <c r="AP54" s="27">
        <f>IF($B54&lt;&gt;"Challan","",MAX(0,AO54-AN54))</f>
      </c>
      <c r="AQ54" s="33">
        <f>IF($B54&lt;&gt;"Entry","",SUMPRODUCT(($D$4:$D$207=D54)*($B$4:$B$207="Challan")*$F$4:$F$207))</f>
      </c>
      <c r="AR54" s="34">
        <f>IF(OR($B54&lt;&gt;"Entry",Z54=""),FALSE,AND(SUMPRODUCT(($D$4:$D$207=D54)*($B$4:$B$207="Challan")*($H$4:$H$207&lt;&gt;""))&gt;0,SUMPRODUCT(($D$4:$D$207=D54)*($B$4:$B$207="Challan")*($H$4:$H$207=Z54))=0))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IF(UPPER(MID(W55,4,1))="L","LLP",IF(UPPER(MID(W55,4,1))="T","Trust",IF(UPPER(MID(W55,4,1))="A","AOP","")))))))),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IF($B55&lt;&gt;"Challan","",SUMIF($D$4:$D$207,D55,$AD$4:$AD$207)+SUMIF($D$4:$D$207,D55,$AG$4:$AG$207)+SUMIF($D$4:$D$207,D55,$AE$4:$AE$207))</f>
      </c>
      <c r="AO55" s="27">
        <f>IF($B55&lt;&gt;"Challan","",P55-N55)</f>
      </c>
      <c r="AP55" s="27">
        <f>IF($B55&lt;&gt;"Challan","",MAX(0,AO55-AN55))</f>
      </c>
      <c r="AQ55" s="33">
        <f>IF($B55&lt;&gt;"Entry","",SUMPRODUCT(($D$4:$D$207=D55)*($B$4:$B$207="Challan")*$F$4:$F$207))</f>
      </c>
      <c r="AR55" s="34">
        <f>IF(OR($B55&lt;&gt;"Entry",Z55=""),FALSE,AND(SUMPRODUCT(($D$4:$D$207=D55)*($B$4:$B$207="Challan")*($H$4:$H$207&lt;&gt;""))&gt;0,SUMPRODUCT(($D$4:$D$207=D55)*($B$4:$B$207="Challan")*($H$4:$H$207=Z55))=0))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IF(UPPER(MID(W56,4,1))="L","LLP",IF(UPPER(MID(W56,4,1))="T","Trust",IF(UPPER(MID(W56,4,1))="A","AOP","")))))))),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IF($B56&lt;&gt;"Challan","",SUMIF($D$4:$D$207,D56,$AD$4:$AD$207)+SUMIF($D$4:$D$207,D56,$AG$4:$AG$207)+SUMIF($D$4:$D$207,D56,$AE$4:$AE$207))</f>
      </c>
      <c r="AO56" s="27">
        <f>IF($B56&lt;&gt;"Challan","",P56-N56)</f>
      </c>
      <c r="AP56" s="27">
        <f>IF($B56&lt;&gt;"Challan","",MAX(0,AO56-AN56))</f>
      </c>
      <c r="AQ56" s="33">
        <f>IF($B56&lt;&gt;"Entry","",SUMPRODUCT(($D$4:$D$207=D56)*($B$4:$B$207="Challan")*$F$4:$F$207))</f>
      </c>
      <c r="AR56" s="34">
        <f>IF(OR($B56&lt;&gt;"Entry",Z56=""),FALSE,AND(SUMPRODUCT(($D$4:$D$207=D56)*($B$4:$B$207="Challan")*($H$4:$H$207&lt;&gt;""))&gt;0,SUMPRODUCT(($D$4:$D$207=D56)*($B$4:$B$207="Challan")*($H$4:$H$207=Z56))=0))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IF(UPPER(MID(W57,4,1))="L","LLP",IF(UPPER(MID(W57,4,1))="T","Trust",IF(UPPER(MID(W57,4,1))="A","AOP","")))))))),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IF($B57&lt;&gt;"Challan","",SUMIF($D$4:$D$207,D57,$AD$4:$AD$207)+SUMIF($D$4:$D$207,D57,$AG$4:$AG$207)+SUMIF($D$4:$D$207,D57,$AE$4:$AE$207))</f>
      </c>
      <c r="AO57" s="27">
        <f>IF($B57&lt;&gt;"Challan","",P57-N57)</f>
      </c>
      <c r="AP57" s="27">
        <f>IF($B57&lt;&gt;"Challan","",MAX(0,AO57-AN57))</f>
      </c>
      <c r="AQ57" s="33">
        <f>IF($B57&lt;&gt;"Entry","",SUMPRODUCT(($D$4:$D$207=D57)*($B$4:$B$207="Challan")*$F$4:$F$207))</f>
      </c>
      <c r="AR57" s="34">
        <f>IF(OR($B57&lt;&gt;"Entry",Z57=""),FALSE,AND(SUMPRODUCT(($D$4:$D$207=D57)*($B$4:$B$207="Challan")*($H$4:$H$207&lt;&gt;""))&gt;0,SUMPRODUCT(($D$4:$D$207=D57)*($B$4:$B$207="Challan")*($H$4:$H$207=Z57))=0))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IF(UPPER(MID(W58,4,1))="L","LLP",IF(UPPER(MID(W58,4,1))="T","Trust",IF(UPPER(MID(W58,4,1))="A","AOP","")))))))),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IF($B58&lt;&gt;"Challan","",SUMIF($D$4:$D$207,D58,$AD$4:$AD$207)+SUMIF($D$4:$D$207,D58,$AG$4:$AG$207)+SUMIF($D$4:$D$207,D58,$AE$4:$AE$207))</f>
      </c>
      <c r="AO58" s="27">
        <f>IF($B58&lt;&gt;"Challan","",P58-N58)</f>
      </c>
      <c r="AP58" s="27">
        <f>IF($B58&lt;&gt;"Challan","",MAX(0,AO58-AN58))</f>
      </c>
      <c r="AQ58" s="33">
        <f>IF($B58&lt;&gt;"Entry","",SUMPRODUCT(($D$4:$D$207=D58)*($B$4:$B$207="Challan")*$F$4:$F$207))</f>
      </c>
      <c r="AR58" s="34">
        <f>IF(OR($B58&lt;&gt;"Entry",Z58=""),FALSE,AND(SUMPRODUCT(($D$4:$D$207=D58)*($B$4:$B$207="Challan")*($H$4:$H$207&lt;&gt;""))&gt;0,SUMPRODUCT(($D$4:$D$207=D58)*($B$4:$B$207="Challan")*($H$4:$H$207=Z58))=0))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IF(UPPER(MID(W59,4,1))="L","LLP",IF(UPPER(MID(W59,4,1))="T","Trust",IF(UPPER(MID(W59,4,1))="A","AOP","")))))))),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IF($B59&lt;&gt;"Challan","",SUMIF($D$4:$D$207,D59,$AD$4:$AD$207)+SUMIF($D$4:$D$207,D59,$AG$4:$AG$207)+SUMIF($D$4:$D$207,D59,$AE$4:$AE$207))</f>
      </c>
      <c r="AO59" s="27">
        <f>IF($B59&lt;&gt;"Challan","",P59-N59)</f>
      </c>
      <c r="AP59" s="27">
        <f>IF($B59&lt;&gt;"Challan","",MAX(0,AO59-AN59))</f>
      </c>
      <c r="AQ59" s="33">
        <f>IF($B59&lt;&gt;"Entry","",SUMPRODUCT(($D$4:$D$207=D59)*($B$4:$B$207="Challan")*$F$4:$F$207))</f>
      </c>
      <c r="AR59" s="34">
        <f>IF(OR($B59&lt;&gt;"Entry",Z59=""),FALSE,AND(SUMPRODUCT(($D$4:$D$207=D59)*($B$4:$B$207="Challan")*($H$4:$H$207&lt;&gt;""))&gt;0,SUMPRODUCT(($D$4:$D$207=D59)*($B$4:$B$207="Challan")*($H$4:$H$207=Z59))=0))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IF(UPPER(MID(W60,4,1))="L","LLP",IF(UPPER(MID(W60,4,1))="T","Trust",IF(UPPER(MID(W60,4,1))="A","AOP","")))))))),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IF($B60&lt;&gt;"Challan","",SUMIF($D$4:$D$207,D60,$AD$4:$AD$207)+SUMIF($D$4:$D$207,D60,$AG$4:$AG$207)+SUMIF($D$4:$D$207,D60,$AE$4:$AE$207))</f>
      </c>
      <c r="AO60" s="27">
        <f>IF($B60&lt;&gt;"Challan","",P60-N60)</f>
      </c>
      <c r="AP60" s="27">
        <f>IF($B60&lt;&gt;"Challan","",MAX(0,AO60-AN60))</f>
      </c>
      <c r="AQ60" s="33">
        <f>IF($B60&lt;&gt;"Entry","",SUMPRODUCT(($D$4:$D$207=D60)*($B$4:$B$207="Challan")*$F$4:$F$207))</f>
      </c>
      <c r="AR60" s="34">
        <f>IF(OR($B60&lt;&gt;"Entry",Z60=""),FALSE,AND(SUMPRODUCT(($D$4:$D$207=D60)*($B$4:$B$207="Challan")*($H$4:$H$207&lt;&gt;""))&gt;0,SUMPRODUCT(($D$4:$D$207=D60)*($B$4:$B$207="Challan")*($H$4:$H$207=Z60))=0))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IF(UPPER(MID(W61,4,1))="L","LLP",IF(UPPER(MID(W61,4,1))="T","Trust",IF(UPPER(MID(W61,4,1))="A","AOP","")))))))),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IF($B61&lt;&gt;"Challan","",SUMIF($D$4:$D$207,D61,$AD$4:$AD$207)+SUMIF($D$4:$D$207,D61,$AG$4:$AG$207)+SUMIF($D$4:$D$207,D61,$AE$4:$AE$207))</f>
      </c>
      <c r="AO61" s="27">
        <f>IF($B61&lt;&gt;"Challan","",P61-N61)</f>
      </c>
      <c r="AP61" s="27">
        <f>IF($B61&lt;&gt;"Challan","",MAX(0,AO61-AN61))</f>
      </c>
      <c r="AQ61" s="33">
        <f>IF($B61&lt;&gt;"Entry","",SUMPRODUCT(($D$4:$D$207=D61)*($B$4:$B$207="Challan")*$F$4:$F$207))</f>
      </c>
      <c r="AR61" s="34">
        <f>IF(OR($B61&lt;&gt;"Entry",Z61=""),FALSE,AND(SUMPRODUCT(($D$4:$D$207=D61)*($B$4:$B$207="Challan")*($H$4:$H$207&lt;&gt;""))&gt;0,SUMPRODUCT(($D$4:$D$207=D61)*($B$4:$B$207="Challan")*($H$4:$H$207=Z61))=0))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IF(UPPER(MID(W62,4,1))="L","LLP",IF(UPPER(MID(W62,4,1))="T","Trust",IF(UPPER(MID(W62,4,1))="A","AOP","")))))))),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IF($B62&lt;&gt;"Challan","",SUMIF($D$4:$D$207,D62,$AD$4:$AD$207)+SUMIF($D$4:$D$207,D62,$AG$4:$AG$207)+SUMIF($D$4:$D$207,D62,$AE$4:$AE$207))</f>
      </c>
      <c r="AO62" s="27">
        <f>IF($B62&lt;&gt;"Challan","",P62-N62)</f>
      </c>
      <c r="AP62" s="27">
        <f>IF($B62&lt;&gt;"Challan","",MAX(0,AO62-AN62))</f>
      </c>
      <c r="AQ62" s="33">
        <f>IF($B62&lt;&gt;"Entry","",SUMPRODUCT(($D$4:$D$207=D62)*($B$4:$B$207="Challan")*$F$4:$F$207))</f>
      </c>
      <c r="AR62" s="34">
        <f>IF(OR($B62&lt;&gt;"Entry",Z62=""),FALSE,AND(SUMPRODUCT(($D$4:$D$207=D62)*($B$4:$B$207="Challan")*($H$4:$H$207&lt;&gt;""))&gt;0,SUMPRODUCT(($D$4:$D$207=D62)*($B$4:$B$207="Challan")*($H$4:$H$207=Z62))=0))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IF(UPPER(MID(W63,4,1))="L","LLP",IF(UPPER(MID(W63,4,1))="T","Trust",IF(UPPER(MID(W63,4,1))="A","AOP","")))))))),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IF($B63&lt;&gt;"Challan","",SUMIF($D$4:$D$207,D63,$AD$4:$AD$207)+SUMIF($D$4:$D$207,D63,$AG$4:$AG$207)+SUMIF($D$4:$D$207,D63,$AE$4:$AE$207))</f>
      </c>
      <c r="AO63" s="27">
        <f>IF($B63&lt;&gt;"Challan","",P63-N63)</f>
      </c>
      <c r="AP63" s="27">
        <f>IF($B63&lt;&gt;"Challan","",MAX(0,AO63-AN63))</f>
      </c>
      <c r="AQ63" s="33">
        <f>IF($B63&lt;&gt;"Entry","",SUMPRODUCT(($D$4:$D$207=D63)*($B$4:$B$207="Challan")*$F$4:$F$207))</f>
      </c>
      <c r="AR63" s="34">
        <f>IF(OR($B63&lt;&gt;"Entry",Z63=""),FALSE,AND(SUMPRODUCT(($D$4:$D$207=D63)*($B$4:$B$207="Challan")*($H$4:$H$207&lt;&gt;""))&gt;0,SUMPRODUCT(($D$4:$D$207=D63)*($B$4:$B$207="Challan")*($H$4:$H$207=Z63))=0))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IF(UPPER(MID(W64,4,1))="L","LLP",IF(UPPER(MID(W64,4,1))="T","Trust",IF(UPPER(MID(W64,4,1))="A","AOP","")))))))),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IF($B64&lt;&gt;"Challan","",SUMIF($D$4:$D$207,D64,$AD$4:$AD$207)+SUMIF($D$4:$D$207,D64,$AG$4:$AG$207)+SUMIF($D$4:$D$207,D64,$AE$4:$AE$207))</f>
      </c>
      <c r="AO64" s="27">
        <f>IF($B64&lt;&gt;"Challan","",P64-N64)</f>
      </c>
      <c r="AP64" s="27">
        <f>IF($B64&lt;&gt;"Challan","",MAX(0,AO64-AN64))</f>
      </c>
      <c r="AQ64" s="33">
        <f>IF($B64&lt;&gt;"Entry","",SUMPRODUCT(($D$4:$D$207=D64)*($B$4:$B$207="Challan")*$F$4:$F$207))</f>
      </c>
      <c r="AR64" s="34">
        <f>IF(OR($B64&lt;&gt;"Entry",Z64=""),FALSE,AND(SUMPRODUCT(($D$4:$D$207=D64)*($B$4:$B$207="Challan")*($H$4:$H$207&lt;&gt;""))&gt;0,SUMPRODUCT(($D$4:$D$207=D64)*($B$4:$B$207="Challan")*($H$4:$H$207=Z64))=0))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IF(UPPER(MID(W65,4,1))="L","LLP",IF(UPPER(MID(W65,4,1))="T","Trust",IF(UPPER(MID(W65,4,1))="A","AOP","")))))))),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IF($B65&lt;&gt;"Challan","",SUMIF($D$4:$D$207,D65,$AD$4:$AD$207)+SUMIF($D$4:$D$207,D65,$AG$4:$AG$207)+SUMIF($D$4:$D$207,D65,$AE$4:$AE$207))</f>
      </c>
      <c r="AO65" s="27">
        <f>IF($B65&lt;&gt;"Challan","",P65-N65)</f>
      </c>
      <c r="AP65" s="27">
        <f>IF($B65&lt;&gt;"Challan","",MAX(0,AO65-AN65))</f>
      </c>
      <c r="AQ65" s="33">
        <f>IF($B65&lt;&gt;"Entry","",SUMPRODUCT(($D$4:$D$207=D65)*($B$4:$B$207="Challan")*$F$4:$F$207))</f>
      </c>
      <c r="AR65" s="34">
        <f>IF(OR($B65&lt;&gt;"Entry",Z65=""),FALSE,AND(SUMPRODUCT(($D$4:$D$207=D65)*($B$4:$B$207="Challan")*($H$4:$H$207&lt;&gt;""))&gt;0,SUMPRODUCT(($D$4:$D$207=D65)*($B$4:$B$207="Challan")*($H$4:$H$207=Z65))=0))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IF(UPPER(MID(W66,4,1))="L","LLP",IF(UPPER(MID(W66,4,1))="T","Trust",IF(UPPER(MID(W66,4,1))="A","AOP","")))))))),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IF($B66&lt;&gt;"Challan","",SUMIF($D$4:$D$207,D66,$AD$4:$AD$207)+SUMIF($D$4:$D$207,D66,$AG$4:$AG$207)+SUMIF($D$4:$D$207,D66,$AE$4:$AE$207))</f>
      </c>
      <c r="AO66" s="27">
        <f>IF($B66&lt;&gt;"Challan","",P66-N66)</f>
      </c>
      <c r="AP66" s="27">
        <f>IF($B66&lt;&gt;"Challan","",MAX(0,AO66-AN66))</f>
      </c>
      <c r="AQ66" s="33">
        <f>IF($B66&lt;&gt;"Entry","",SUMPRODUCT(($D$4:$D$207=D66)*($B$4:$B$207="Challan")*$F$4:$F$207))</f>
      </c>
      <c r="AR66" s="34">
        <f>IF(OR($B66&lt;&gt;"Entry",Z66=""),FALSE,AND(SUMPRODUCT(($D$4:$D$207=D66)*($B$4:$B$207="Challan")*($H$4:$H$207&lt;&gt;""))&gt;0,SUMPRODUCT(($D$4:$D$207=D66)*($B$4:$B$207="Challan")*($H$4:$H$207=Z66))=0))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IF(UPPER(MID(W67,4,1))="L","LLP",IF(UPPER(MID(W67,4,1))="T","Trust",IF(UPPER(MID(W67,4,1))="A","AOP","")))))))),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IF($B67&lt;&gt;"Challan","",SUMIF($D$4:$D$207,D67,$AD$4:$AD$207)+SUMIF($D$4:$D$207,D67,$AG$4:$AG$207)+SUMIF($D$4:$D$207,D67,$AE$4:$AE$207))</f>
      </c>
      <c r="AO67" s="27">
        <f>IF($B67&lt;&gt;"Challan","",P67-N67)</f>
      </c>
      <c r="AP67" s="27">
        <f>IF($B67&lt;&gt;"Challan","",MAX(0,AO67-AN67))</f>
      </c>
      <c r="AQ67" s="33">
        <f>IF($B67&lt;&gt;"Entry","",SUMPRODUCT(($D$4:$D$207=D67)*($B$4:$B$207="Challan")*$F$4:$F$207))</f>
      </c>
      <c r="AR67" s="34">
        <f>IF(OR($B67&lt;&gt;"Entry",Z67=""),FALSE,AND(SUMPRODUCT(($D$4:$D$207=D67)*($B$4:$B$207="Challan")*($H$4:$H$207&lt;&gt;""))&gt;0,SUMPRODUCT(($D$4:$D$207=D67)*($B$4:$B$207="Challan")*($H$4:$H$207=Z67))=0))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IF(UPPER(MID(W68,4,1))="L","LLP",IF(UPPER(MID(W68,4,1))="T","Trust",IF(UPPER(MID(W68,4,1))="A","AOP","")))))))),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IF($B68&lt;&gt;"Challan","",SUMIF($D$4:$D$207,D68,$AD$4:$AD$207)+SUMIF($D$4:$D$207,D68,$AG$4:$AG$207)+SUMIF($D$4:$D$207,D68,$AE$4:$AE$207))</f>
      </c>
      <c r="AO68" s="27">
        <f>IF($B68&lt;&gt;"Challan","",P68-N68)</f>
      </c>
      <c r="AP68" s="27">
        <f>IF($B68&lt;&gt;"Challan","",MAX(0,AO68-AN68))</f>
      </c>
      <c r="AQ68" s="33">
        <f>IF($B68&lt;&gt;"Entry","",SUMPRODUCT(($D$4:$D$207=D68)*($B$4:$B$207="Challan")*$F$4:$F$207))</f>
      </c>
      <c r="AR68" s="34">
        <f>IF(OR($B68&lt;&gt;"Entry",Z68=""),FALSE,AND(SUMPRODUCT(($D$4:$D$207=D68)*($B$4:$B$207="Challan")*($H$4:$H$207&lt;&gt;""))&gt;0,SUMPRODUCT(($D$4:$D$207=D68)*($B$4:$B$207="Challan")*($H$4:$H$207=Z68))=0))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IF(UPPER(MID(W69,4,1))="L","LLP",IF(UPPER(MID(W69,4,1))="T","Trust",IF(UPPER(MID(W69,4,1))="A","AOP","")))))))),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IF($B69&lt;&gt;"Challan","",SUMIF($D$4:$D$207,D69,$AD$4:$AD$207)+SUMIF($D$4:$D$207,D69,$AG$4:$AG$207)+SUMIF($D$4:$D$207,D69,$AE$4:$AE$207))</f>
      </c>
      <c r="AO69" s="27">
        <f>IF($B69&lt;&gt;"Challan","",P69-N69)</f>
      </c>
      <c r="AP69" s="27">
        <f>IF($B69&lt;&gt;"Challan","",MAX(0,AO69-AN69))</f>
      </c>
      <c r="AQ69" s="33">
        <f>IF($B69&lt;&gt;"Entry","",SUMPRODUCT(($D$4:$D$207=D69)*($B$4:$B$207="Challan")*$F$4:$F$207))</f>
      </c>
      <c r="AR69" s="34">
        <f>IF(OR($B69&lt;&gt;"Entry",Z69=""),FALSE,AND(SUMPRODUCT(($D$4:$D$207=D69)*($B$4:$B$207="Challan")*($H$4:$H$207&lt;&gt;""))&gt;0,SUMPRODUCT(($D$4:$D$207=D69)*($B$4:$B$207="Challan")*($H$4:$H$207=Z69))=0))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IF(UPPER(MID(W70,4,1))="L","LLP",IF(UPPER(MID(W70,4,1))="T","Trust",IF(UPPER(MID(W70,4,1))="A","AOP","")))))))),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IF($B70&lt;&gt;"Challan","",SUMIF($D$4:$D$207,D70,$AD$4:$AD$207)+SUMIF($D$4:$D$207,D70,$AG$4:$AG$207)+SUMIF($D$4:$D$207,D70,$AE$4:$AE$207))</f>
      </c>
      <c r="AO70" s="27">
        <f>IF($B70&lt;&gt;"Challan","",P70-N70)</f>
      </c>
      <c r="AP70" s="27">
        <f>IF($B70&lt;&gt;"Challan","",MAX(0,AO70-AN70))</f>
      </c>
      <c r="AQ70" s="33">
        <f>IF($B70&lt;&gt;"Entry","",SUMPRODUCT(($D$4:$D$207=D70)*($B$4:$B$207="Challan")*$F$4:$F$207))</f>
      </c>
      <c r="AR70" s="34">
        <f>IF(OR($B70&lt;&gt;"Entry",Z70=""),FALSE,AND(SUMPRODUCT(($D$4:$D$207=D70)*($B$4:$B$207="Challan")*($H$4:$H$207&lt;&gt;""))&gt;0,SUMPRODUCT(($D$4:$D$207=D70)*($B$4:$B$207="Challan")*($H$4:$H$207=Z70))=0))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IF(UPPER(MID(W71,4,1))="L","LLP",IF(UPPER(MID(W71,4,1))="T","Trust",IF(UPPER(MID(W71,4,1))="A","AOP","")))))))),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IF($B71&lt;&gt;"Challan","",SUMIF($D$4:$D$207,D71,$AD$4:$AD$207)+SUMIF($D$4:$D$207,D71,$AG$4:$AG$207)+SUMIF($D$4:$D$207,D71,$AE$4:$AE$207))</f>
      </c>
      <c r="AO71" s="27">
        <f>IF($B71&lt;&gt;"Challan","",P71-N71)</f>
      </c>
      <c r="AP71" s="27">
        <f>IF($B71&lt;&gt;"Challan","",MAX(0,AO71-AN71))</f>
      </c>
      <c r="AQ71" s="33">
        <f>IF($B71&lt;&gt;"Entry","",SUMPRODUCT(($D$4:$D$207=D71)*($B$4:$B$207="Challan")*$F$4:$F$207))</f>
      </c>
      <c r="AR71" s="34">
        <f>IF(OR($B71&lt;&gt;"Entry",Z71=""),FALSE,AND(SUMPRODUCT(($D$4:$D$207=D71)*($B$4:$B$207="Challan")*($H$4:$H$207&lt;&gt;""))&gt;0,SUMPRODUCT(($D$4:$D$207=D71)*($B$4:$B$207="Challan")*($H$4:$H$207=Z71))=0))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IF(UPPER(MID(W72,4,1))="L","LLP",IF(UPPER(MID(W72,4,1))="T","Trust",IF(UPPER(MID(W72,4,1))="A","AOP","")))))))),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IF($B72&lt;&gt;"Challan","",SUMIF($D$4:$D$207,D72,$AD$4:$AD$207)+SUMIF($D$4:$D$207,D72,$AG$4:$AG$207)+SUMIF($D$4:$D$207,D72,$AE$4:$AE$207))</f>
      </c>
      <c r="AO72" s="27">
        <f>IF($B72&lt;&gt;"Challan","",P72-N72)</f>
      </c>
      <c r="AP72" s="27">
        <f>IF($B72&lt;&gt;"Challan","",MAX(0,AO72-AN72))</f>
      </c>
      <c r="AQ72" s="33">
        <f>IF($B72&lt;&gt;"Entry","",SUMPRODUCT(($D$4:$D$207=D72)*($B$4:$B$207="Challan")*$F$4:$F$207))</f>
      </c>
      <c r="AR72" s="34">
        <f>IF(OR($B72&lt;&gt;"Entry",Z72=""),FALSE,AND(SUMPRODUCT(($D$4:$D$207=D72)*($B$4:$B$207="Challan")*($H$4:$H$207&lt;&gt;""))&gt;0,SUMPRODUCT(($D$4:$D$207=D72)*($B$4:$B$207="Challan")*($H$4:$H$207=Z72))=0))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IF(UPPER(MID(W73,4,1))="L","LLP",IF(UPPER(MID(W73,4,1))="T","Trust",IF(UPPER(MID(W73,4,1))="A","AOP","")))))))),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IF($B73&lt;&gt;"Challan","",SUMIF($D$4:$D$207,D73,$AD$4:$AD$207)+SUMIF($D$4:$D$207,D73,$AG$4:$AG$207)+SUMIF($D$4:$D$207,D73,$AE$4:$AE$207))</f>
      </c>
      <c r="AO73" s="27">
        <f>IF($B73&lt;&gt;"Challan","",P73-N73)</f>
      </c>
      <c r="AP73" s="27">
        <f>IF($B73&lt;&gt;"Challan","",MAX(0,AO73-AN73))</f>
      </c>
      <c r="AQ73" s="33">
        <f>IF($B73&lt;&gt;"Entry","",SUMPRODUCT(($D$4:$D$207=D73)*($B$4:$B$207="Challan")*$F$4:$F$207))</f>
      </c>
      <c r="AR73" s="34">
        <f>IF(OR($B73&lt;&gt;"Entry",Z73=""),FALSE,AND(SUMPRODUCT(($D$4:$D$207=D73)*($B$4:$B$207="Challan")*($H$4:$H$207&lt;&gt;""))&gt;0,SUMPRODUCT(($D$4:$D$207=D73)*($B$4:$B$207="Challan")*($H$4:$H$207=Z73))=0))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IF(UPPER(MID(W74,4,1))="L","LLP",IF(UPPER(MID(W74,4,1))="T","Trust",IF(UPPER(MID(W74,4,1))="A","AOP","")))))))),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IF($B74&lt;&gt;"Challan","",SUMIF($D$4:$D$207,D74,$AD$4:$AD$207)+SUMIF($D$4:$D$207,D74,$AG$4:$AG$207)+SUMIF($D$4:$D$207,D74,$AE$4:$AE$207))</f>
      </c>
      <c r="AO74" s="27">
        <f>IF($B74&lt;&gt;"Challan","",P74-N74)</f>
      </c>
      <c r="AP74" s="27">
        <f>IF($B74&lt;&gt;"Challan","",MAX(0,AO74-AN74))</f>
      </c>
      <c r="AQ74" s="33">
        <f>IF($B74&lt;&gt;"Entry","",SUMPRODUCT(($D$4:$D$207=D74)*($B$4:$B$207="Challan")*$F$4:$F$207))</f>
      </c>
      <c r="AR74" s="34">
        <f>IF(OR($B74&lt;&gt;"Entry",Z74=""),FALSE,AND(SUMPRODUCT(($D$4:$D$207=D74)*($B$4:$B$207="Challan")*($H$4:$H$207&lt;&gt;""))&gt;0,SUMPRODUCT(($D$4:$D$207=D74)*($B$4:$B$207="Challan")*($H$4:$H$207=Z74))=0))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IF(UPPER(MID(W75,4,1))="L","LLP",IF(UPPER(MID(W75,4,1))="T","Trust",IF(UPPER(MID(W75,4,1))="A","AOP","")))))))),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IF($B75&lt;&gt;"Challan","",SUMIF($D$4:$D$207,D75,$AD$4:$AD$207)+SUMIF($D$4:$D$207,D75,$AG$4:$AG$207)+SUMIF($D$4:$D$207,D75,$AE$4:$AE$207))</f>
      </c>
      <c r="AO75" s="27">
        <f>IF($B75&lt;&gt;"Challan","",P75-N75)</f>
      </c>
      <c r="AP75" s="27">
        <f>IF($B75&lt;&gt;"Challan","",MAX(0,AO75-AN75))</f>
      </c>
      <c r="AQ75" s="33">
        <f>IF($B75&lt;&gt;"Entry","",SUMPRODUCT(($D$4:$D$207=D75)*($B$4:$B$207="Challan")*$F$4:$F$207))</f>
      </c>
      <c r="AR75" s="34">
        <f>IF(OR($B75&lt;&gt;"Entry",Z75=""),FALSE,AND(SUMPRODUCT(($D$4:$D$207=D75)*($B$4:$B$207="Challan")*($H$4:$H$207&lt;&gt;""))&gt;0,SUMPRODUCT(($D$4:$D$207=D75)*($B$4:$B$207="Challan")*($H$4:$H$207=Z75))=0))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IF(UPPER(MID(W76,4,1))="L","LLP",IF(UPPER(MID(W76,4,1))="T","Trust",IF(UPPER(MID(W76,4,1))="A","AOP","")))))))),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IF($B76&lt;&gt;"Challan","",SUMIF($D$4:$D$207,D76,$AD$4:$AD$207)+SUMIF($D$4:$D$207,D76,$AG$4:$AG$207)+SUMIF($D$4:$D$207,D76,$AE$4:$AE$207))</f>
      </c>
      <c r="AO76" s="27">
        <f>IF($B76&lt;&gt;"Challan","",P76-N76)</f>
      </c>
      <c r="AP76" s="27">
        <f>IF($B76&lt;&gt;"Challan","",MAX(0,AO76-AN76))</f>
      </c>
      <c r="AQ76" s="33">
        <f>IF($B76&lt;&gt;"Entry","",SUMPRODUCT(($D$4:$D$207=D76)*($B$4:$B$207="Challan")*$F$4:$F$207))</f>
      </c>
      <c r="AR76" s="34">
        <f>IF(OR($B76&lt;&gt;"Entry",Z76=""),FALSE,AND(SUMPRODUCT(($D$4:$D$207=D76)*($B$4:$B$207="Challan")*($H$4:$H$207&lt;&gt;""))&gt;0,SUMPRODUCT(($D$4:$D$207=D76)*($B$4:$B$207="Challan")*($H$4:$H$207=Z76))=0))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IF(UPPER(MID(W77,4,1))="L","LLP",IF(UPPER(MID(W77,4,1))="T","Trust",IF(UPPER(MID(W77,4,1))="A","AOP","")))))))),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IF($B77&lt;&gt;"Challan","",SUMIF($D$4:$D$207,D77,$AD$4:$AD$207)+SUMIF($D$4:$D$207,D77,$AG$4:$AG$207)+SUMIF($D$4:$D$207,D77,$AE$4:$AE$207))</f>
      </c>
      <c r="AO77" s="27">
        <f>IF($B77&lt;&gt;"Challan","",P77-N77)</f>
      </c>
      <c r="AP77" s="27">
        <f>IF($B77&lt;&gt;"Challan","",MAX(0,AO77-AN77))</f>
      </c>
      <c r="AQ77" s="33">
        <f>IF($B77&lt;&gt;"Entry","",SUMPRODUCT(($D$4:$D$207=D77)*($B$4:$B$207="Challan")*$F$4:$F$207))</f>
      </c>
      <c r="AR77" s="34">
        <f>IF(OR($B77&lt;&gt;"Entry",Z77=""),FALSE,AND(SUMPRODUCT(($D$4:$D$207=D77)*($B$4:$B$207="Challan")*($H$4:$H$207&lt;&gt;""))&gt;0,SUMPRODUCT(($D$4:$D$207=D77)*($B$4:$B$207="Challan")*($H$4:$H$207=Z77))=0))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IF(UPPER(MID(W78,4,1))="L","LLP",IF(UPPER(MID(W78,4,1))="T","Trust",IF(UPPER(MID(W78,4,1))="A","AOP","")))))))),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IF($B78&lt;&gt;"Challan","",SUMIF($D$4:$D$207,D78,$AD$4:$AD$207)+SUMIF($D$4:$D$207,D78,$AG$4:$AG$207)+SUMIF($D$4:$D$207,D78,$AE$4:$AE$207))</f>
      </c>
      <c r="AO78" s="27">
        <f>IF($B78&lt;&gt;"Challan","",P78-N78)</f>
      </c>
      <c r="AP78" s="27">
        <f>IF($B78&lt;&gt;"Challan","",MAX(0,AO78-AN78))</f>
      </c>
      <c r="AQ78" s="33">
        <f>IF($B78&lt;&gt;"Entry","",SUMPRODUCT(($D$4:$D$207=D78)*($B$4:$B$207="Challan")*$F$4:$F$207))</f>
      </c>
      <c r="AR78" s="34">
        <f>IF(OR($B78&lt;&gt;"Entry",Z78=""),FALSE,AND(SUMPRODUCT(($D$4:$D$207=D78)*($B$4:$B$207="Challan")*($H$4:$H$207&lt;&gt;""))&gt;0,SUMPRODUCT(($D$4:$D$207=D78)*($B$4:$B$207="Challan")*($H$4:$H$207=Z78))=0))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IF(UPPER(MID(W79,4,1))="L","LLP",IF(UPPER(MID(W79,4,1))="T","Trust",IF(UPPER(MID(W79,4,1))="A","AOP","")))))))),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IF($B79&lt;&gt;"Challan","",SUMIF($D$4:$D$207,D79,$AD$4:$AD$207)+SUMIF($D$4:$D$207,D79,$AG$4:$AG$207)+SUMIF($D$4:$D$207,D79,$AE$4:$AE$207))</f>
      </c>
      <c r="AO79" s="27">
        <f>IF($B79&lt;&gt;"Challan","",P79-N79)</f>
      </c>
      <c r="AP79" s="27">
        <f>IF($B79&lt;&gt;"Challan","",MAX(0,AO79-AN79))</f>
      </c>
      <c r="AQ79" s="33">
        <f>IF($B79&lt;&gt;"Entry","",SUMPRODUCT(($D$4:$D$207=D79)*($B$4:$B$207="Challan")*$F$4:$F$207))</f>
      </c>
      <c r="AR79" s="34">
        <f>IF(OR($B79&lt;&gt;"Entry",Z79=""),FALSE,AND(SUMPRODUCT(($D$4:$D$207=D79)*($B$4:$B$207="Challan")*($H$4:$H$207&lt;&gt;""))&gt;0,SUMPRODUCT(($D$4:$D$207=D79)*($B$4:$B$207="Challan")*($H$4:$H$207=Z79))=0))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IF(UPPER(MID(W80,4,1))="L","LLP",IF(UPPER(MID(W80,4,1))="T","Trust",IF(UPPER(MID(W80,4,1))="A","AOP","")))))))),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IF($B80&lt;&gt;"Challan","",SUMIF($D$4:$D$207,D80,$AD$4:$AD$207)+SUMIF($D$4:$D$207,D80,$AG$4:$AG$207)+SUMIF($D$4:$D$207,D80,$AE$4:$AE$207))</f>
      </c>
      <c r="AO80" s="27">
        <f>IF($B80&lt;&gt;"Challan","",P80-N80)</f>
      </c>
      <c r="AP80" s="27">
        <f>IF($B80&lt;&gt;"Challan","",MAX(0,AO80-AN80))</f>
      </c>
      <c r="AQ80" s="33">
        <f>IF($B80&lt;&gt;"Entry","",SUMPRODUCT(($D$4:$D$207=D80)*($B$4:$B$207="Challan")*$F$4:$F$207))</f>
      </c>
      <c r="AR80" s="34">
        <f>IF(OR($B80&lt;&gt;"Entry",Z80=""),FALSE,AND(SUMPRODUCT(($D$4:$D$207=D80)*($B$4:$B$207="Challan")*($H$4:$H$207&lt;&gt;""))&gt;0,SUMPRODUCT(($D$4:$D$207=D80)*($B$4:$B$207="Challan")*($H$4:$H$207=Z80))=0))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IF(UPPER(MID(W81,4,1))="L","LLP",IF(UPPER(MID(W81,4,1))="T","Trust",IF(UPPER(MID(W81,4,1))="A","AOP","")))))))),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IF($B81&lt;&gt;"Challan","",SUMIF($D$4:$D$207,D81,$AD$4:$AD$207)+SUMIF($D$4:$D$207,D81,$AG$4:$AG$207)+SUMIF($D$4:$D$207,D81,$AE$4:$AE$207))</f>
      </c>
      <c r="AO81" s="27">
        <f>IF($B81&lt;&gt;"Challan","",P81-N81)</f>
      </c>
      <c r="AP81" s="27">
        <f>IF($B81&lt;&gt;"Challan","",MAX(0,AO81-AN81))</f>
      </c>
      <c r="AQ81" s="33">
        <f>IF($B81&lt;&gt;"Entry","",SUMPRODUCT(($D$4:$D$207=D81)*($B$4:$B$207="Challan")*$F$4:$F$207))</f>
      </c>
      <c r="AR81" s="34">
        <f>IF(OR($B81&lt;&gt;"Entry",Z81=""),FALSE,AND(SUMPRODUCT(($D$4:$D$207=D81)*($B$4:$B$207="Challan")*($H$4:$H$207&lt;&gt;""))&gt;0,SUMPRODUCT(($D$4:$D$207=D81)*($B$4:$B$207="Challan")*($H$4:$H$207=Z81))=0))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IF(UPPER(MID(W82,4,1))="L","LLP",IF(UPPER(MID(W82,4,1))="T","Trust",IF(UPPER(MID(W82,4,1))="A","AOP","")))))))),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IF($B82&lt;&gt;"Challan","",SUMIF($D$4:$D$207,D82,$AD$4:$AD$207)+SUMIF($D$4:$D$207,D82,$AG$4:$AG$207)+SUMIF($D$4:$D$207,D82,$AE$4:$AE$207))</f>
      </c>
      <c r="AO82" s="27">
        <f>IF($B82&lt;&gt;"Challan","",P82-N82)</f>
      </c>
      <c r="AP82" s="27">
        <f>IF($B82&lt;&gt;"Challan","",MAX(0,AO82-AN82))</f>
      </c>
      <c r="AQ82" s="33">
        <f>IF($B82&lt;&gt;"Entry","",SUMPRODUCT(($D$4:$D$207=D82)*($B$4:$B$207="Challan")*$F$4:$F$207))</f>
      </c>
      <c r="AR82" s="34">
        <f>IF(OR($B82&lt;&gt;"Entry",Z82=""),FALSE,AND(SUMPRODUCT(($D$4:$D$207=D82)*($B$4:$B$207="Challan")*($H$4:$H$207&lt;&gt;""))&gt;0,SUMPRODUCT(($D$4:$D$207=D82)*($B$4:$B$207="Challan")*($H$4:$H$207=Z82))=0))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IF(UPPER(MID(W83,4,1))="L","LLP",IF(UPPER(MID(W83,4,1))="T","Trust",IF(UPPER(MID(W83,4,1))="A","AOP","")))))))),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IF($B83&lt;&gt;"Challan","",SUMIF($D$4:$D$207,D83,$AD$4:$AD$207)+SUMIF($D$4:$D$207,D83,$AG$4:$AG$207)+SUMIF($D$4:$D$207,D83,$AE$4:$AE$207))</f>
      </c>
      <c r="AO83" s="27">
        <f>IF($B83&lt;&gt;"Challan","",P83-N83)</f>
      </c>
      <c r="AP83" s="27">
        <f>IF($B83&lt;&gt;"Challan","",MAX(0,AO83-AN83))</f>
      </c>
      <c r="AQ83" s="33">
        <f>IF($B83&lt;&gt;"Entry","",SUMPRODUCT(($D$4:$D$207=D83)*($B$4:$B$207="Challan")*$F$4:$F$207))</f>
      </c>
      <c r="AR83" s="34">
        <f>IF(OR($B83&lt;&gt;"Entry",Z83=""),FALSE,AND(SUMPRODUCT(($D$4:$D$207=D83)*($B$4:$B$207="Challan")*($H$4:$H$207&lt;&gt;""))&gt;0,SUMPRODUCT(($D$4:$D$207=D83)*($B$4:$B$207="Challan")*($H$4:$H$207=Z83))=0))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IF(UPPER(MID(W84,4,1))="L","LLP",IF(UPPER(MID(W84,4,1))="T","Trust",IF(UPPER(MID(W84,4,1))="A","AOP","")))))))),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IF($B84&lt;&gt;"Challan","",SUMIF($D$4:$D$207,D84,$AD$4:$AD$207)+SUMIF($D$4:$D$207,D84,$AG$4:$AG$207)+SUMIF($D$4:$D$207,D84,$AE$4:$AE$207))</f>
      </c>
      <c r="AO84" s="27">
        <f>IF($B84&lt;&gt;"Challan","",P84-N84)</f>
      </c>
      <c r="AP84" s="27">
        <f>IF($B84&lt;&gt;"Challan","",MAX(0,AO84-AN84))</f>
      </c>
      <c r="AQ84" s="33">
        <f>IF($B84&lt;&gt;"Entry","",SUMPRODUCT(($D$4:$D$207=D84)*($B$4:$B$207="Challan")*$F$4:$F$207))</f>
      </c>
      <c r="AR84" s="34">
        <f>IF(OR($B84&lt;&gt;"Entry",Z84=""),FALSE,AND(SUMPRODUCT(($D$4:$D$207=D84)*($B$4:$B$207="Challan")*($H$4:$H$207&lt;&gt;""))&gt;0,SUMPRODUCT(($D$4:$D$207=D84)*($B$4:$B$207="Challan")*($H$4:$H$207=Z84))=0))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IF(UPPER(MID(W85,4,1))="L","LLP",IF(UPPER(MID(W85,4,1))="T","Trust",IF(UPPER(MID(W85,4,1))="A","AOP","")))))))),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IF($B85&lt;&gt;"Challan","",SUMIF($D$4:$D$207,D85,$AD$4:$AD$207)+SUMIF($D$4:$D$207,D85,$AG$4:$AG$207)+SUMIF($D$4:$D$207,D85,$AE$4:$AE$207))</f>
      </c>
      <c r="AO85" s="27">
        <f>IF($B85&lt;&gt;"Challan","",P85-N85)</f>
      </c>
      <c r="AP85" s="27">
        <f>IF($B85&lt;&gt;"Challan","",MAX(0,AO85-AN85))</f>
      </c>
      <c r="AQ85" s="33">
        <f>IF($B85&lt;&gt;"Entry","",SUMPRODUCT(($D$4:$D$207=D85)*($B$4:$B$207="Challan")*$F$4:$F$207))</f>
      </c>
      <c r="AR85" s="34">
        <f>IF(OR($B85&lt;&gt;"Entry",Z85=""),FALSE,AND(SUMPRODUCT(($D$4:$D$207=D85)*($B$4:$B$207="Challan")*($H$4:$H$207&lt;&gt;""))&gt;0,SUMPRODUCT(($D$4:$D$207=D85)*($B$4:$B$207="Challan")*($H$4:$H$207=Z85))=0))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IF(UPPER(MID(W86,4,1))="L","LLP",IF(UPPER(MID(W86,4,1))="T","Trust",IF(UPPER(MID(W86,4,1))="A","AOP","")))))))),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IF($B86&lt;&gt;"Challan","",SUMIF($D$4:$D$207,D86,$AD$4:$AD$207)+SUMIF($D$4:$D$207,D86,$AG$4:$AG$207)+SUMIF($D$4:$D$207,D86,$AE$4:$AE$207))</f>
      </c>
      <c r="AO86" s="27">
        <f>IF($B86&lt;&gt;"Challan","",P86-N86)</f>
      </c>
      <c r="AP86" s="27">
        <f>IF($B86&lt;&gt;"Challan","",MAX(0,AO86-AN86))</f>
      </c>
      <c r="AQ86" s="33">
        <f>IF($B86&lt;&gt;"Entry","",SUMPRODUCT(($D$4:$D$207=D86)*($B$4:$B$207="Challan")*$F$4:$F$207))</f>
      </c>
      <c r="AR86" s="34">
        <f>IF(OR($B86&lt;&gt;"Entry",Z86=""),FALSE,AND(SUMPRODUCT(($D$4:$D$207=D86)*($B$4:$B$207="Challan")*($H$4:$H$207&lt;&gt;""))&gt;0,SUMPRODUCT(($D$4:$D$207=D86)*($B$4:$B$207="Challan")*($H$4:$H$207=Z86))=0))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IF(UPPER(MID(W87,4,1))="L","LLP",IF(UPPER(MID(W87,4,1))="T","Trust",IF(UPPER(MID(W87,4,1))="A","AOP","")))))))),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IF($B87&lt;&gt;"Challan","",SUMIF($D$4:$D$207,D87,$AD$4:$AD$207)+SUMIF($D$4:$D$207,D87,$AG$4:$AG$207)+SUMIF($D$4:$D$207,D87,$AE$4:$AE$207))</f>
      </c>
      <c r="AO87" s="27">
        <f>IF($B87&lt;&gt;"Challan","",P87-N87)</f>
      </c>
      <c r="AP87" s="27">
        <f>IF($B87&lt;&gt;"Challan","",MAX(0,AO87-AN87))</f>
      </c>
      <c r="AQ87" s="33">
        <f>IF($B87&lt;&gt;"Entry","",SUMPRODUCT(($D$4:$D$207=D87)*($B$4:$B$207="Challan")*$F$4:$F$207))</f>
      </c>
      <c r="AR87" s="34">
        <f>IF(OR($B87&lt;&gt;"Entry",Z87=""),FALSE,AND(SUMPRODUCT(($D$4:$D$207=D87)*($B$4:$B$207="Challan")*($H$4:$H$207&lt;&gt;""))&gt;0,SUMPRODUCT(($D$4:$D$207=D87)*($B$4:$B$207="Challan")*($H$4:$H$207=Z87))=0))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IF(UPPER(MID(W88,4,1))="L","LLP",IF(UPPER(MID(W88,4,1))="T","Trust",IF(UPPER(MID(W88,4,1))="A","AOP","")))))))),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IF($B88&lt;&gt;"Challan","",SUMIF($D$4:$D$207,D88,$AD$4:$AD$207)+SUMIF($D$4:$D$207,D88,$AG$4:$AG$207)+SUMIF($D$4:$D$207,D88,$AE$4:$AE$207))</f>
      </c>
      <c r="AO88" s="27">
        <f>IF($B88&lt;&gt;"Challan","",P88-N88)</f>
      </c>
      <c r="AP88" s="27">
        <f>IF($B88&lt;&gt;"Challan","",MAX(0,AO88-AN88))</f>
      </c>
      <c r="AQ88" s="33">
        <f>IF($B88&lt;&gt;"Entry","",SUMPRODUCT(($D$4:$D$207=D88)*($B$4:$B$207="Challan")*$F$4:$F$207))</f>
      </c>
      <c r="AR88" s="34">
        <f>IF(OR($B88&lt;&gt;"Entry",Z88=""),FALSE,AND(SUMPRODUCT(($D$4:$D$207=D88)*($B$4:$B$207="Challan")*($H$4:$H$207&lt;&gt;""))&gt;0,SUMPRODUCT(($D$4:$D$207=D88)*($B$4:$B$207="Challan")*($H$4:$H$207=Z88))=0))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IF(UPPER(MID(W89,4,1))="L","LLP",IF(UPPER(MID(W89,4,1))="T","Trust",IF(UPPER(MID(W89,4,1))="A","AOP","")))))))),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IF($B89&lt;&gt;"Challan","",SUMIF($D$4:$D$207,D89,$AD$4:$AD$207)+SUMIF($D$4:$D$207,D89,$AG$4:$AG$207)+SUMIF($D$4:$D$207,D89,$AE$4:$AE$207))</f>
      </c>
      <c r="AO89" s="27">
        <f>IF($B89&lt;&gt;"Challan","",P89-N89)</f>
      </c>
      <c r="AP89" s="27">
        <f>IF($B89&lt;&gt;"Challan","",MAX(0,AO89-AN89))</f>
      </c>
      <c r="AQ89" s="33">
        <f>IF($B89&lt;&gt;"Entry","",SUMPRODUCT(($D$4:$D$207=D89)*($B$4:$B$207="Challan")*$F$4:$F$207))</f>
      </c>
      <c r="AR89" s="34">
        <f>IF(OR($B89&lt;&gt;"Entry",Z89=""),FALSE,AND(SUMPRODUCT(($D$4:$D$207=D89)*($B$4:$B$207="Challan")*($H$4:$H$207&lt;&gt;""))&gt;0,SUMPRODUCT(($D$4:$D$207=D89)*($B$4:$B$207="Challan")*($H$4:$H$207=Z89))=0))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IF(UPPER(MID(W90,4,1))="L","LLP",IF(UPPER(MID(W90,4,1))="T","Trust",IF(UPPER(MID(W90,4,1))="A","AOP","")))))))),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IF($B90&lt;&gt;"Challan","",SUMIF($D$4:$D$207,D90,$AD$4:$AD$207)+SUMIF($D$4:$D$207,D90,$AG$4:$AG$207)+SUMIF($D$4:$D$207,D90,$AE$4:$AE$207))</f>
      </c>
      <c r="AO90" s="27">
        <f>IF($B90&lt;&gt;"Challan","",P90-N90)</f>
      </c>
      <c r="AP90" s="27">
        <f>IF($B90&lt;&gt;"Challan","",MAX(0,AO90-AN90))</f>
      </c>
      <c r="AQ90" s="33">
        <f>IF($B90&lt;&gt;"Entry","",SUMPRODUCT(($D$4:$D$207=D90)*($B$4:$B$207="Challan")*$F$4:$F$207))</f>
      </c>
      <c r="AR90" s="34">
        <f>IF(OR($B90&lt;&gt;"Entry",Z90=""),FALSE,AND(SUMPRODUCT(($D$4:$D$207=D90)*($B$4:$B$207="Challan")*($H$4:$H$207&lt;&gt;""))&gt;0,SUMPRODUCT(($D$4:$D$207=D90)*($B$4:$B$207="Challan")*($H$4:$H$207=Z90))=0))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IF(UPPER(MID(W91,4,1))="L","LLP",IF(UPPER(MID(W91,4,1))="T","Trust",IF(UPPER(MID(W91,4,1))="A","AOP","")))))))),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IF($B91&lt;&gt;"Challan","",SUMIF($D$4:$D$207,D91,$AD$4:$AD$207)+SUMIF($D$4:$D$207,D91,$AG$4:$AG$207)+SUMIF($D$4:$D$207,D91,$AE$4:$AE$207))</f>
      </c>
      <c r="AO91" s="27">
        <f>IF($B91&lt;&gt;"Challan","",P91-N91)</f>
      </c>
      <c r="AP91" s="27">
        <f>IF($B91&lt;&gt;"Challan","",MAX(0,AO91-AN91))</f>
      </c>
      <c r="AQ91" s="33">
        <f>IF($B91&lt;&gt;"Entry","",SUMPRODUCT(($D$4:$D$207=D91)*($B$4:$B$207="Challan")*$F$4:$F$207))</f>
      </c>
      <c r="AR91" s="34">
        <f>IF(OR($B91&lt;&gt;"Entry",Z91=""),FALSE,AND(SUMPRODUCT(($D$4:$D$207=D91)*($B$4:$B$207="Challan")*($H$4:$H$207&lt;&gt;""))&gt;0,SUMPRODUCT(($D$4:$D$207=D91)*($B$4:$B$207="Challan")*($H$4:$H$207=Z91))=0))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IF(UPPER(MID(W92,4,1))="L","LLP",IF(UPPER(MID(W92,4,1))="T","Trust",IF(UPPER(MID(W92,4,1))="A","AOP","")))))))),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IF($B92&lt;&gt;"Challan","",SUMIF($D$4:$D$207,D92,$AD$4:$AD$207)+SUMIF($D$4:$D$207,D92,$AG$4:$AG$207)+SUMIF($D$4:$D$207,D92,$AE$4:$AE$207))</f>
      </c>
      <c r="AO92" s="27">
        <f>IF($B92&lt;&gt;"Challan","",P92-N92)</f>
      </c>
      <c r="AP92" s="27">
        <f>IF($B92&lt;&gt;"Challan","",MAX(0,AO92-AN92))</f>
      </c>
      <c r="AQ92" s="33">
        <f>IF($B92&lt;&gt;"Entry","",SUMPRODUCT(($D$4:$D$207=D92)*($B$4:$B$207="Challan")*$F$4:$F$207))</f>
      </c>
      <c r="AR92" s="34">
        <f>IF(OR($B92&lt;&gt;"Entry",Z92=""),FALSE,AND(SUMPRODUCT(($D$4:$D$207=D92)*($B$4:$B$207="Challan")*($H$4:$H$207&lt;&gt;""))&gt;0,SUMPRODUCT(($D$4:$D$207=D92)*($B$4:$B$207="Challan")*($H$4:$H$207=Z92))=0))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IF(UPPER(MID(W93,4,1))="L","LLP",IF(UPPER(MID(W93,4,1))="T","Trust",IF(UPPER(MID(W93,4,1))="A","AOP","")))))))),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IF($B93&lt;&gt;"Challan","",SUMIF($D$4:$D$207,D93,$AD$4:$AD$207)+SUMIF($D$4:$D$207,D93,$AG$4:$AG$207)+SUMIF($D$4:$D$207,D93,$AE$4:$AE$207))</f>
      </c>
      <c r="AO93" s="27">
        <f>IF($B93&lt;&gt;"Challan","",P93-N93)</f>
      </c>
      <c r="AP93" s="27">
        <f>IF($B93&lt;&gt;"Challan","",MAX(0,AO93-AN93))</f>
      </c>
      <c r="AQ93" s="33">
        <f>IF($B93&lt;&gt;"Entry","",SUMPRODUCT(($D$4:$D$207=D93)*($B$4:$B$207="Challan")*$F$4:$F$207))</f>
      </c>
      <c r="AR93" s="34">
        <f>IF(OR($B93&lt;&gt;"Entry",Z93=""),FALSE,AND(SUMPRODUCT(($D$4:$D$207=D93)*($B$4:$B$207="Challan")*($H$4:$H$207&lt;&gt;""))&gt;0,SUMPRODUCT(($D$4:$D$207=D93)*($B$4:$B$207="Challan")*($H$4:$H$207=Z93))=0))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IF(UPPER(MID(W94,4,1))="L","LLP",IF(UPPER(MID(W94,4,1))="T","Trust",IF(UPPER(MID(W94,4,1))="A","AOP","")))))))),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IF($B94&lt;&gt;"Challan","",SUMIF($D$4:$D$207,D94,$AD$4:$AD$207)+SUMIF($D$4:$D$207,D94,$AG$4:$AG$207)+SUMIF($D$4:$D$207,D94,$AE$4:$AE$207))</f>
      </c>
      <c r="AO94" s="27">
        <f>IF($B94&lt;&gt;"Challan","",P94-N94)</f>
      </c>
      <c r="AP94" s="27">
        <f>IF($B94&lt;&gt;"Challan","",MAX(0,AO94-AN94))</f>
      </c>
      <c r="AQ94" s="33">
        <f>IF($B94&lt;&gt;"Entry","",SUMPRODUCT(($D$4:$D$207=D94)*($B$4:$B$207="Challan")*$F$4:$F$207))</f>
      </c>
      <c r="AR94" s="34">
        <f>IF(OR($B94&lt;&gt;"Entry",Z94=""),FALSE,AND(SUMPRODUCT(($D$4:$D$207=D94)*($B$4:$B$207="Challan")*($H$4:$H$207&lt;&gt;""))&gt;0,SUMPRODUCT(($D$4:$D$207=D94)*($B$4:$B$207="Challan")*($H$4:$H$207=Z94))=0))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IF(UPPER(MID(W95,4,1))="L","LLP",IF(UPPER(MID(W95,4,1))="T","Trust",IF(UPPER(MID(W95,4,1))="A","AOP","")))))))),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IF($B95&lt;&gt;"Challan","",SUMIF($D$4:$D$207,D95,$AD$4:$AD$207)+SUMIF($D$4:$D$207,D95,$AG$4:$AG$207)+SUMIF($D$4:$D$207,D95,$AE$4:$AE$207))</f>
      </c>
      <c r="AO95" s="27">
        <f>IF($B95&lt;&gt;"Challan","",P95-N95)</f>
      </c>
      <c r="AP95" s="27">
        <f>IF($B95&lt;&gt;"Challan","",MAX(0,AO95-AN95))</f>
      </c>
      <c r="AQ95" s="33">
        <f>IF($B95&lt;&gt;"Entry","",SUMPRODUCT(($D$4:$D$207=D95)*($B$4:$B$207="Challan")*$F$4:$F$207))</f>
      </c>
      <c r="AR95" s="34">
        <f>IF(OR($B95&lt;&gt;"Entry",Z95=""),FALSE,AND(SUMPRODUCT(($D$4:$D$207=D95)*($B$4:$B$207="Challan")*($H$4:$H$207&lt;&gt;""))&gt;0,SUMPRODUCT(($D$4:$D$207=D95)*($B$4:$B$207="Challan")*($H$4:$H$207=Z95))=0))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IF(UPPER(MID(W96,4,1))="L","LLP",IF(UPPER(MID(W96,4,1))="T","Trust",IF(UPPER(MID(W96,4,1))="A","AOP","")))))))),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IF($B96&lt;&gt;"Challan","",SUMIF($D$4:$D$207,D96,$AD$4:$AD$207)+SUMIF($D$4:$D$207,D96,$AG$4:$AG$207)+SUMIF($D$4:$D$207,D96,$AE$4:$AE$207))</f>
      </c>
      <c r="AO96" s="27">
        <f>IF($B96&lt;&gt;"Challan","",P96-N96)</f>
      </c>
      <c r="AP96" s="27">
        <f>IF($B96&lt;&gt;"Challan","",MAX(0,AO96-AN96))</f>
      </c>
      <c r="AQ96" s="33">
        <f>IF($B96&lt;&gt;"Entry","",SUMPRODUCT(($D$4:$D$207=D96)*($B$4:$B$207="Challan")*$F$4:$F$207))</f>
      </c>
      <c r="AR96" s="34">
        <f>IF(OR($B96&lt;&gt;"Entry",Z96=""),FALSE,AND(SUMPRODUCT(($D$4:$D$207=D96)*($B$4:$B$207="Challan")*($H$4:$H$207&lt;&gt;""))&gt;0,SUMPRODUCT(($D$4:$D$207=D96)*($B$4:$B$207="Challan")*($H$4:$H$207=Z96))=0))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IF(UPPER(MID(W97,4,1))="L","LLP",IF(UPPER(MID(W97,4,1))="T","Trust",IF(UPPER(MID(W97,4,1))="A","AOP","")))))))),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IF($B97&lt;&gt;"Challan","",SUMIF($D$4:$D$207,D97,$AD$4:$AD$207)+SUMIF($D$4:$D$207,D97,$AG$4:$AG$207)+SUMIF($D$4:$D$207,D97,$AE$4:$AE$207))</f>
      </c>
      <c r="AO97" s="27">
        <f>IF($B97&lt;&gt;"Challan","",P97-N97)</f>
      </c>
      <c r="AP97" s="27">
        <f>IF($B97&lt;&gt;"Challan","",MAX(0,AO97-AN97))</f>
      </c>
      <c r="AQ97" s="33">
        <f>IF($B97&lt;&gt;"Entry","",SUMPRODUCT(($D$4:$D$207=D97)*($B$4:$B$207="Challan")*$F$4:$F$207))</f>
      </c>
      <c r="AR97" s="34">
        <f>IF(OR($B97&lt;&gt;"Entry",Z97=""),FALSE,AND(SUMPRODUCT(($D$4:$D$207=D97)*($B$4:$B$207="Challan")*($H$4:$H$207&lt;&gt;""))&gt;0,SUMPRODUCT(($D$4:$D$207=D97)*($B$4:$B$207="Challan")*($H$4:$H$207=Z97))=0))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IF(UPPER(MID(W98,4,1))="L","LLP",IF(UPPER(MID(W98,4,1))="T","Trust",IF(UPPER(MID(W98,4,1))="A","AOP","")))))))),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IF($B98&lt;&gt;"Challan","",SUMIF($D$4:$D$207,D98,$AD$4:$AD$207)+SUMIF($D$4:$D$207,D98,$AG$4:$AG$207)+SUMIF($D$4:$D$207,D98,$AE$4:$AE$207))</f>
      </c>
      <c r="AO98" s="27">
        <f>IF($B98&lt;&gt;"Challan","",P98-N98)</f>
      </c>
      <c r="AP98" s="27">
        <f>IF($B98&lt;&gt;"Challan","",MAX(0,AO98-AN98))</f>
      </c>
      <c r="AQ98" s="33">
        <f>IF($B98&lt;&gt;"Entry","",SUMPRODUCT(($D$4:$D$207=D98)*($B$4:$B$207="Challan")*$F$4:$F$207))</f>
      </c>
      <c r="AR98" s="34">
        <f>IF(OR($B98&lt;&gt;"Entry",Z98=""),FALSE,AND(SUMPRODUCT(($D$4:$D$207=D98)*($B$4:$B$207="Challan")*($H$4:$H$207&lt;&gt;""))&gt;0,SUMPRODUCT(($D$4:$D$207=D98)*($B$4:$B$207="Challan")*($H$4:$H$207=Z98))=0))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IF(UPPER(MID(W99,4,1))="L","LLP",IF(UPPER(MID(W99,4,1))="T","Trust",IF(UPPER(MID(W99,4,1))="A","AOP","")))))))),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IF($B99&lt;&gt;"Challan","",SUMIF($D$4:$D$207,D99,$AD$4:$AD$207)+SUMIF($D$4:$D$207,D99,$AG$4:$AG$207)+SUMIF($D$4:$D$207,D99,$AE$4:$AE$207))</f>
      </c>
      <c r="AO99" s="27">
        <f>IF($B99&lt;&gt;"Challan","",P99-N99)</f>
      </c>
      <c r="AP99" s="27">
        <f>IF($B99&lt;&gt;"Challan","",MAX(0,AO99-AN99))</f>
      </c>
      <c r="AQ99" s="33">
        <f>IF($B99&lt;&gt;"Entry","",SUMPRODUCT(($D$4:$D$207=D99)*($B$4:$B$207="Challan")*$F$4:$F$207))</f>
      </c>
      <c r="AR99" s="34">
        <f>IF(OR($B99&lt;&gt;"Entry",Z99=""),FALSE,AND(SUMPRODUCT(($D$4:$D$207=D99)*($B$4:$B$207="Challan")*($H$4:$H$207&lt;&gt;""))&gt;0,SUMPRODUCT(($D$4:$D$207=D99)*($B$4:$B$207="Challan")*($H$4:$H$207=Z99))=0))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IF(UPPER(MID(W100,4,1))="L","LLP",IF(UPPER(MID(W100,4,1))="T","Trust",IF(UPPER(MID(W100,4,1))="A","AOP","")))))))),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IF($B100&lt;&gt;"Challan","",SUMIF($D$4:$D$207,D100,$AD$4:$AD$207)+SUMIF($D$4:$D$207,D100,$AG$4:$AG$207)+SUMIF($D$4:$D$207,D100,$AE$4:$AE$207))</f>
      </c>
      <c r="AO100" s="27">
        <f>IF($B100&lt;&gt;"Challan","",P100-N100)</f>
      </c>
      <c r="AP100" s="27">
        <f>IF($B100&lt;&gt;"Challan","",MAX(0,AO100-AN100))</f>
      </c>
      <c r="AQ100" s="33">
        <f>IF($B100&lt;&gt;"Entry","",SUMPRODUCT(($D$4:$D$207=D100)*($B$4:$B$207="Challan")*$F$4:$F$207))</f>
      </c>
      <c r="AR100" s="34">
        <f>IF(OR($B100&lt;&gt;"Entry",Z100=""),FALSE,AND(SUMPRODUCT(($D$4:$D$207=D100)*($B$4:$B$207="Challan")*($H$4:$H$207&lt;&gt;""))&gt;0,SUMPRODUCT(($D$4:$D$207=D100)*($B$4:$B$207="Challan")*($H$4:$H$207=Z100))=0))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IF(UPPER(MID(W101,4,1))="L","LLP",IF(UPPER(MID(W101,4,1))="T","Trust",IF(UPPER(MID(W101,4,1))="A","AOP","")))))))),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IF($B101&lt;&gt;"Challan","",SUMIF($D$4:$D$207,D101,$AD$4:$AD$207)+SUMIF($D$4:$D$207,D101,$AG$4:$AG$207)+SUMIF($D$4:$D$207,D101,$AE$4:$AE$207))</f>
      </c>
      <c r="AO101" s="27">
        <f>IF($B101&lt;&gt;"Challan","",P101-N101)</f>
      </c>
      <c r="AP101" s="27">
        <f>IF($B101&lt;&gt;"Challan","",MAX(0,AO101-AN101))</f>
      </c>
      <c r="AQ101" s="33">
        <f>IF($B101&lt;&gt;"Entry","",SUMPRODUCT(($D$4:$D$207=D101)*($B$4:$B$207="Challan")*$F$4:$F$207))</f>
      </c>
      <c r="AR101" s="34">
        <f>IF(OR($B101&lt;&gt;"Entry",Z101=""),FALSE,AND(SUMPRODUCT(($D$4:$D$207=D101)*($B$4:$B$207="Challan")*($H$4:$H$207&lt;&gt;""))&gt;0,SUMPRODUCT(($D$4:$D$207=D101)*($B$4:$B$207="Challan")*($H$4:$H$207=Z101))=0))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IF(UPPER(MID(W102,4,1))="L","LLP",IF(UPPER(MID(W102,4,1))="T","Trust",IF(UPPER(MID(W102,4,1))="A","AOP","")))))))),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IF($B102&lt;&gt;"Challan","",SUMIF($D$4:$D$207,D102,$AD$4:$AD$207)+SUMIF($D$4:$D$207,D102,$AG$4:$AG$207)+SUMIF($D$4:$D$207,D102,$AE$4:$AE$207))</f>
      </c>
      <c r="AO102" s="27">
        <f>IF($B102&lt;&gt;"Challan","",P102-N102)</f>
      </c>
      <c r="AP102" s="27">
        <f>IF($B102&lt;&gt;"Challan","",MAX(0,AO102-AN102))</f>
      </c>
      <c r="AQ102" s="33">
        <f>IF($B102&lt;&gt;"Entry","",SUMPRODUCT(($D$4:$D$207=D102)*($B$4:$B$207="Challan")*$F$4:$F$207))</f>
      </c>
      <c r="AR102" s="34">
        <f>IF(OR($B102&lt;&gt;"Entry",Z102=""),FALSE,AND(SUMPRODUCT(($D$4:$D$207=D102)*($B$4:$B$207="Challan")*($H$4:$H$207&lt;&gt;""))&gt;0,SUMPRODUCT(($D$4:$D$207=D102)*($B$4:$B$207="Challan")*($H$4:$H$207=Z102))=0))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IF(UPPER(MID(W103,4,1))="L","LLP",IF(UPPER(MID(W103,4,1))="T","Trust",IF(UPPER(MID(W103,4,1))="A","AOP","")))))))),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IF($B103&lt;&gt;"Challan","",SUMIF($D$4:$D$207,D103,$AD$4:$AD$207)+SUMIF($D$4:$D$207,D103,$AG$4:$AG$207)+SUMIF($D$4:$D$207,D103,$AE$4:$AE$207))</f>
      </c>
      <c r="AO103" s="27">
        <f>IF($B103&lt;&gt;"Challan","",P103-N103)</f>
      </c>
      <c r="AP103" s="27">
        <f>IF($B103&lt;&gt;"Challan","",MAX(0,AO103-AN103))</f>
      </c>
      <c r="AQ103" s="33">
        <f>IF($B103&lt;&gt;"Entry","",SUMPRODUCT(($D$4:$D$207=D103)*($B$4:$B$207="Challan")*$F$4:$F$207))</f>
      </c>
      <c r="AR103" s="34">
        <f>IF(OR($B103&lt;&gt;"Entry",Z103=""),FALSE,AND(SUMPRODUCT(($D$4:$D$207=D103)*($B$4:$B$207="Challan")*($H$4:$H$207&lt;&gt;""))&gt;0,SUMPRODUCT(($D$4:$D$207=D103)*($B$4:$B$207="Challan")*($H$4:$H$207=Z103))=0))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IF(UPPER(MID(W104,4,1))="L","LLP",IF(UPPER(MID(W104,4,1))="T","Trust",IF(UPPER(MID(W104,4,1))="A","AOP","")))))))),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IF($B104&lt;&gt;"Challan","",SUMIF($D$4:$D$207,D104,$AD$4:$AD$207)+SUMIF($D$4:$D$207,D104,$AG$4:$AG$207)+SUMIF($D$4:$D$207,D104,$AE$4:$AE$207))</f>
      </c>
      <c r="AO104" s="27">
        <f>IF($B104&lt;&gt;"Challan","",P104-N104)</f>
      </c>
      <c r="AP104" s="27">
        <f>IF($B104&lt;&gt;"Challan","",MAX(0,AO104-AN104))</f>
      </c>
      <c r="AQ104" s="33">
        <f>IF($B104&lt;&gt;"Entry","",SUMPRODUCT(($D$4:$D$207=D104)*($B$4:$B$207="Challan")*$F$4:$F$207))</f>
      </c>
      <c r="AR104" s="34">
        <f>IF(OR($B104&lt;&gt;"Entry",Z104=""),FALSE,AND(SUMPRODUCT(($D$4:$D$207=D104)*($B$4:$B$207="Challan")*($H$4:$H$207&lt;&gt;""))&gt;0,SUMPRODUCT(($D$4:$D$207=D104)*($B$4:$B$207="Challan")*($H$4:$H$207=Z104))=0))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IF(UPPER(MID(W105,4,1))="L","LLP",IF(UPPER(MID(W105,4,1))="T","Trust",IF(UPPER(MID(W105,4,1))="A","AOP","")))))))),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IF($B105&lt;&gt;"Challan","",SUMIF($D$4:$D$207,D105,$AD$4:$AD$207)+SUMIF($D$4:$D$207,D105,$AG$4:$AG$207)+SUMIF($D$4:$D$207,D105,$AE$4:$AE$207))</f>
      </c>
      <c r="AO105" s="27">
        <f>IF($B105&lt;&gt;"Challan","",P105-N105)</f>
      </c>
      <c r="AP105" s="27">
        <f>IF($B105&lt;&gt;"Challan","",MAX(0,AO105-AN105))</f>
      </c>
      <c r="AQ105" s="33">
        <f>IF($B105&lt;&gt;"Entry","",SUMPRODUCT(($D$4:$D$207=D105)*($B$4:$B$207="Challan")*$F$4:$F$207))</f>
      </c>
      <c r="AR105" s="34">
        <f>IF(OR($B105&lt;&gt;"Entry",Z105=""),FALSE,AND(SUMPRODUCT(($D$4:$D$207=D105)*($B$4:$B$207="Challan")*($H$4:$H$207&lt;&gt;""))&gt;0,SUMPRODUCT(($D$4:$D$207=D105)*($B$4:$B$207="Challan")*($H$4:$H$207=Z105))=0))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IF(UPPER(MID(W106,4,1))="L","LLP",IF(UPPER(MID(W106,4,1))="T","Trust",IF(UPPER(MID(W106,4,1))="A","AOP","")))))))),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IF($B106&lt;&gt;"Challan","",SUMIF($D$4:$D$207,D106,$AD$4:$AD$207)+SUMIF($D$4:$D$207,D106,$AG$4:$AG$207)+SUMIF($D$4:$D$207,D106,$AE$4:$AE$207))</f>
      </c>
      <c r="AO106" s="27">
        <f>IF($B106&lt;&gt;"Challan","",P106-N106)</f>
      </c>
      <c r="AP106" s="27">
        <f>IF($B106&lt;&gt;"Challan","",MAX(0,AO106-AN106))</f>
      </c>
      <c r="AQ106" s="33">
        <f>IF($B106&lt;&gt;"Entry","",SUMPRODUCT(($D$4:$D$207=D106)*($B$4:$B$207="Challan")*$F$4:$F$207))</f>
      </c>
      <c r="AR106" s="34">
        <f>IF(OR($B106&lt;&gt;"Entry",Z106=""),FALSE,AND(SUMPRODUCT(($D$4:$D$207=D106)*($B$4:$B$207="Challan")*($H$4:$H$207&lt;&gt;""))&gt;0,SUMPRODUCT(($D$4:$D$207=D106)*($B$4:$B$207="Challan")*($H$4:$H$207=Z106))=0))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IF(UPPER(MID(W107,4,1))="L","LLP",IF(UPPER(MID(W107,4,1))="T","Trust",IF(UPPER(MID(W107,4,1))="A","AOP","")))))))),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IF($B107&lt;&gt;"Challan","",SUMIF($D$4:$D$207,D107,$AD$4:$AD$207)+SUMIF($D$4:$D$207,D107,$AG$4:$AG$207)+SUMIF($D$4:$D$207,D107,$AE$4:$AE$207))</f>
      </c>
      <c r="AO107" s="27">
        <f>IF($B107&lt;&gt;"Challan","",P107-N107)</f>
      </c>
      <c r="AP107" s="27">
        <f>IF($B107&lt;&gt;"Challan","",MAX(0,AO107-AN107))</f>
      </c>
      <c r="AQ107" s="33">
        <f>IF($B107&lt;&gt;"Entry","",SUMPRODUCT(($D$4:$D$207=D107)*($B$4:$B$207="Challan")*$F$4:$F$207))</f>
      </c>
      <c r="AR107" s="34">
        <f>IF(OR($B107&lt;&gt;"Entry",Z107=""),FALSE,AND(SUMPRODUCT(($D$4:$D$207=D107)*($B$4:$B$207="Challan")*($H$4:$H$207&lt;&gt;""))&gt;0,SUMPRODUCT(($D$4:$D$207=D107)*($B$4:$B$207="Challan")*($H$4:$H$207=Z107))=0))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IF(UPPER(MID(W108,4,1))="L","LLP",IF(UPPER(MID(W108,4,1))="T","Trust",IF(UPPER(MID(W108,4,1))="A","AOP","")))))))),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IF($B108&lt;&gt;"Challan","",SUMIF($D$4:$D$207,D108,$AD$4:$AD$207)+SUMIF($D$4:$D$207,D108,$AG$4:$AG$207)+SUMIF($D$4:$D$207,D108,$AE$4:$AE$207))</f>
      </c>
      <c r="AO108" s="27">
        <f>IF($B108&lt;&gt;"Challan","",P108-N108)</f>
      </c>
      <c r="AP108" s="27">
        <f>IF($B108&lt;&gt;"Challan","",MAX(0,AO108-AN108))</f>
      </c>
      <c r="AQ108" s="33">
        <f>IF($B108&lt;&gt;"Entry","",SUMPRODUCT(($D$4:$D$207=D108)*($B$4:$B$207="Challan")*$F$4:$F$207))</f>
      </c>
      <c r="AR108" s="34">
        <f>IF(OR($B108&lt;&gt;"Entry",Z108=""),FALSE,AND(SUMPRODUCT(($D$4:$D$207=D108)*($B$4:$B$207="Challan")*($H$4:$H$207&lt;&gt;""))&gt;0,SUMPRODUCT(($D$4:$D$207=D108)*($B$4:$B$207="Challan")*($H$4:$H$207=Z108))=0))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IF(UPPER(MID(W109,4,1))="L","LLP",IF(UPPER(MID(W109,4,1))="T","Trust",IF(UPPER(MID(W109,4,1))="A","AOP","")))))))),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IF($B109&lt;&gt;"Challan","",SUMIF($D$4:$D$207,D109,$AD$4:$AD$207)+SUMIF($D$4:$D$207,D109,$AG$4:$AG$207)+SUMIF($D$4:$D$207,D109,$AE$4:$AE$207))</f>
      </c>
      <c r="AO109" s="27">
        <f>IF($B109&lt;&gt;"Challan","",P109-N109)</f>
      </c>
      <c r="AP109" s="27">
        <f>IF($B109&lt;&gt;"Challan","",MAX(0,AO109-AN109))</f>
      </c>
      <c r="AQ109" s="33">
        <f>IF($B109&lt;&gt;"Entry","",SUMPRODUCT(($D$4:$D$207=D109)*($B$4:$B$207="Challan")*$F$4:$F$207))</f>
      </c>
      <c r="AR109" s="34">
        <f>IF(OR($B109&lt;&gt;"Entry",Z109=""),FALSE,AND(SUMPRODUCT(($D$4:$D$207=D109)*($B$4:$B$207="Challan")*($H$4:$H$207&lt;&gt;""))&gt;0,SUMPRODUCT(($D$4:$D$207=D109)*($B$4:$B$207="Challan")*($H$4:$H$207=Z109))=0))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IF(UPPER(MID(W110,4,1))="L","LLP",IF(UPPER(MID(W110,4,1))="T","Trust",IF(UPPER(MID(W110,4,1))="A","AOP","")))))))),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IF($B110&lt;&gt;"Challan","",SUMIF($D$4:$D$207,D110,$AD$4:$AD$207)+SUMIF($D$4:$D$207,D110,$AG$4:$AG$207)+SUMIF($D$4:$D$207,D110,$AE$4:$AE$207))</f>
      </c>
      <c r="AO110" s="27">
        <f>IF($B110&lt;&gt;"Challan","",P110-N110)</f>
      </c>
      <c r="AP110" s="27">
        <f>IF($B110&lt;&gt;"Challan","",MAX(0,AO110-AN110))</f>
      </c>
      <c r="AQ110" s="33">
        <f>IF($B110&lt;&gt;"Entry","",SUMPRODUCT(($D$4:$D$207=D110)*($B$4:$B$207="Challan")*$F$4:$F$207))</f>
      </c>
      <c r="AR110" s="34">
        <f>IF(OR($B110&lt;&gt;"Entry",Z110=""),FALSE,AND(SUMPRODUCT(($D$4:$D$207=D110)*($B$4:$B$207="Challan")*($H$4:$H$207&lt;&gt;""))&gt;0,SUMPRODUCT(($D$4:$D$207=D110)*($B$4:$B$207="Challan")*($H$4:$H$207=Z110))=0))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IF(UPPER(MID(W111,4,1))="L","LLP",IF(UPPER(MID(W111,4,1))="T","Trust",IF(UPPER(MID(W111,4,1))="A","AOP","")))))))),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IF($B111&lt;&gt;"Challan","",SUMIF($D$4:$D$207,D111,$AD$4:$AD$207)+SUMIF($D$4:$D$207,D111,$AG$4:$AG$207)+SUMIF($D$4:$D$207,D111,$AE$4:$AE$207))</f>
      </c>
      <c r="AO111" s="27">
        <f>IF($B111&lt;&gt;"Challan","",P111-N111)</f>
      </c>
      <c r="AP111" s="27">
        <f>IF($B111&lt;&gt;"Challan","",MAX(0,AO111-AN111))</f>
      </c>
      <c r="AQ111" s="33">
        <f>IF($B111&lt;&gt;"Entry","",SUMPRODUCT(($D$4:$D$207=D111)*($B$4:$B$207="Challan")*$F$4:$F$207))</f>
      </c>
      <c r="AR111" s="34">
        <f>IF(OR($B111&lt;&gt;"Entry",Z111=""),FALSE,AND(SUMPRODUCT(($D$4:$D$207=D111)*($B$4:$B$207="Challan")*($H$4:$H$207&lt;&gt;""))&gt;0,SUMPRODUCT(($D$4:$D$207=D111)*($B$4:$B$207="Challan")*($H$4:$H$207=Z111))=0))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IF(UPPER(MID(W112,4,1))="L","LLP",IF(UPPER(MID(W112,4,1))="T","Trust",IF(UPPER(MID(W112,4,1))="A","AOP","")))))))),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IF($B112&lt;&gt;"Challan","",SUMIF($D$4:$D$207,D112,$AD$4:$AD$207)+SUMIF($D$4:$D$207,D112,$AG$4:$AG$207)+SUMIF($D$4:$D$207,D112,$AE$4:$AE$207))</f>
      </c>
      <c r="AO112" s="27">
        <f>IF($B112&lt;&gt;"Challan","",P112-N112)</f>
      </c>
      <c r="AP112" s="27">
        <f>IF($B112&lt;&gt;"Challan","",MAX(0,AO112-AN112))</f>
      </c>
      <c r="AQ112" s="33">
        <f>IF($B112&lt;&gt;"Entry","",SUMPRODUCT(($D$4:$D$207=D112)*($B$4:$B$207="Challan")*$F$4:$F$207))</f>
      </c>
      <c r="AR112" s="34">
        <f>IF(OR($B112&lt;&gt;"Entry",Z112=""),FALSE,AND(SUMPRODUCT(($D$4:$D$207=D112)*($B$4:$B$207="Challan")*($H$4:$H$207&lt;&gt;""))&gt;0,SUMPRODUCT(($D$4:$D$207=D112)*($B$4:$B$207="Challan")*($H$4:$H$207=Z112))=0))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IF(UPPER(MID(W113,4,1))="L","LLP",IF(UPPER(MID(W113,4,1))="T","Trust",IF(UPPER(MID(W113,4,1))="A","AOP","")))))))),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IF($B113&lt;&gt;"Challan","",SUMIF($D$4:$D$207,D113,$AD$4:$AD$207)+SUMIF($D$4:$D$207,D113,$AG$4:$AG$207)+SUMIF($D$4:$D$207,D113,$AE$4:$AE$207))</f>
      </c>
      <c r="AO113" s="27">
        <f>IF($B113&lt;&gt;"Challan","",P113-N113)</f>
      </c>
      <c r="AP113" s="27">
        <f>IF($B113&lt;&gt;"Challan","",MAX(0,AO113-AN113))</f>
      </c>
      <c r="AQ113" s="33">
        <f>IF($B113&lt;&gt;"Entry","",SUMPRODUCT(($D$4:$D$207=D113)*($B$4:$B$207="Challan")*$F$4:$F$207))</f>
      </c>
      <c r="AR113" s="34">
        <f>IF(OR($B113&lt;&gt;"Entry",Z113=""),FALSE,AND(SUMPRODUCT(($D$4:$D$207=D113)*($B$4:$B$207="Challan")*($H$4:$H$207&lt;&gt;""))&gt;0,SUMPRODUCT(($D$4:$D$207=D113)*($B$4:$B$207="Challan")*($H$4:$H$207=Z113))=0))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IF(UPPER(MID(W114,4,1))="L","LLP",IF(UPPER(MID(W114,4,1))="T","Trust",IF(UPPER(MID(W114,4,1))="A","AOP","")))))))),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IF($B114&lt;&gt;"Challan","",SUMIF($D$4:$D$207,D114,$AD$4:$AD$207)+SUMIF($D$4:$D$207,D114,$AG$4:$AG$207)+SUMIF($D$4:$D$207,D114,$AE$4:$AE$207))</f>
      </c>
      <c r="AO114" s="27">
        <f>IF($B114&lt;&gt;"Challan","",P114-N114)</f>
      </c>
      <c r="AP114" s="27">
        <f>IF($B114&lt;&gt;"Challan","",MAX(0,AO114-AN114))</f>
      </c>
      <c r="AQ114" s="33">
        <f>IF($B114&lt;&gt;"Entry","",SUMPRODUCT(($D$4:$D$207=D114)*($B$4:$B$207="Challan")*$F$4:$F$207))</f>
      </c>
      <c r="AR114" s="34">
        <f>IF(OR($B114&lt;&gt;"Entry",Z114=""),FALSE,AND(SUMPRODUCT(($D$4:$D$207=D114)*($B$4:$B$207="Challan")*($H$4:$H$207&lt;&gt;""))&gt;0,SUMPRODUCT(($D$4:$D$207=D114)*($B$4:$B$207="Challan")*($H$4:$H$207=Z114))=0))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IF(UPPER(MID(W115,4,1))="L","LLP",IF(UPPER(MID(W115,4,1))="T","Trust",IF(UPPER(MID(W115,4,1))="A","AOP","")))))))),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IF($B115&lt;&gt;"Challan","",SUMIF($D$4:$D$207,D115,$AD$4:$AD$207)+SUMIF($D$4:$D$207,D115,$AG$4:$AG$207)+SUMIF($D$4:$D$207,D115,$AE$4:$AE$207))</f>
      </c>
      <c r="AO115" s="27">
        <f>IF($B115&lt;&gt;"Challan","",P115-N115)</f>
      </c>
      <c r="AP115" s="27">
        <f>IF($B115&lt;&gt;"Challan","",MAX(0,AO115-AN115))</f>
      </c>
      <c r="AQ115" s="33">
        <f>IF($B115&lt;&gt;"Entry","",SUMPRODUCT(($D$4:$D$207=D115)*($B$4:$B$207="Challan")*$F$4:$F$207))</f>
      </c>
      <c r="AR115" s="34">
        <f>IF(OR($B115&lt;&gt;"Entry",Z115=""),FALSE,AND(SUMPRODUCT(($D$4:$D$207=D115)*($B$4:$B$207="Challan")*($H$4:$H$207&lt;&gt;""))&gt;0,SUMPRODUCT(($D$4:$D$207=D115)*($B$4:$B$207="Challan")*($H$4:$H$207=Z115))=0))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IF(UPPER(MID(W116,4,1))="L","LLP",IF(UPPER(MID(W116,4,1))="T","Trust",IF(UPPER(MID(W116,4,1))="A","AOP","")))))))),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IF($B116&lt;&gt;"Challan","",SUMIF($D$4:$D$207,D116,$AD$4:$AD$207)+SUMIF($D$4:$D$207,D116,$AG$4:$AG$207)+SUMIF($D$4:$D$207,D116,$AE$4:$AE$207))</f>
      </c>
      <c r="AO116" s="27">
        <f>IF($B116&lt;&gt;"Challan","",P116-N116)</f>
      </c>
      <c r="AP116" s="27">
        <f>IF($B116&lt;&gt;"Challan","",MAX(0,AO116-AN116))</f>
      </c>
      <c r="AQ116" s="33">
        <f>IF($B116&lt;&gt;"Entry","",SUMPRODUCT(($D$4:$D$207=D116)*($B$4:$B$207="Challan")*$F$4:$F$207))</f>
      </c>
      <c r="AR116" s="34">
        <f>IF(OR($B116&lt;&gt;"Entry",Z116=""),FALSE,AND(SUMPRODUCT(($D$4:$D$207=D116)*($B$4:$B$207="Challan")*($H$4:$H$207&lt;&gt;""))&gt;0,SUMPRODUCT(($D$4:$D$207=D116)*($B$4:$B$207="Challan")*($H$4:$H$207=Z116))=0))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IF(UPPER(MID(W117,4,1))="L","LLP",IF(UPPER(MID(W117,4,1))="T","Trust",IF(UPPER(MID(W117,4,1))="A","AOP","")))))))),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IF($B117&lt;&gt;"Challan","",SUMIF($D$4:$D$207,D117,$AD$4:$AD$207)+SUMIF($D$4:$D$207,D117,$AG$4:$AG$207)+SUMIF($D$4:$D$207,D117,$AE$4:$AE$207))</f>
      </c>
      <c r="AO117" s="27">
        <f>IF($B117&lt;&gt;"Challan","",P117-N117)</f>
      </c>
      <c r="AP117" s="27">
        <f>IF($B117&lt;&gt;"Challan","",MAX(0,AO117-AN117))</f>
      </c>
      <c r="AQ117" s="33">
        <f>IF($B117&lt;&gt;"Entry","",SUMPRODUCT(($D$4:$D$207=D117)*($B$4:$B$207="Challan")*$F$4:$F$207))</f>
      </c>
      <c r="AR117" s="34">
        <f>IF(OR($B117&lt;&gt;"Entry",Z117=""),FALSE,AND(SUMPRODUCT(($D$4:$D$207=D117)*($B$4:$B$207="Challan")*($H$4:$H$207&lt;&gt;""))&gt;0,SUMPRODUCT(($D$4:$D$207=D117)*($B$4:$B$207="Challan")*($H$4:$H$207=Z117))=0))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IF(UPPER(MID(W118,4,1))="L","LLP",IF(UPPER(MID(W118,4,1))="T","Trust",IF(UPPER(MID(W118,4,1))="A","AOP","")))))))),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IF($B118&lt;&gt;"Challan","",SUMIF($D$4:$D$207,D118,$AD$4:$AD$207)+SUMIF($D$4:$D$207,D118,$AG$4:$AG$207)+SUMIF($D$4:$D$207,D118,$AE$4:$AE$207))</f>
      </c>
      <c r="AO118" s="27">
        <f>IF($B118&lt;&gt;"Challan","",P118-N118)</f>
      </c>
      <c r="AP118" s="27">
        <f>IF($B118&lt;&gt;"Challan","",MAX(0,AO118-AN118))</f>
      </c>
      <c r="AQ118" s="33">
        <f>IF($B118&lt;&gt;"Entry","",SUMPRODUCT(($D$4:$D$207=D118)*($B$4:$B$207="Challan")*$F$4:$F$207))</f>
      </c>
      <c r="AR118" s="34">
        <f>IF(OR($B118&lt;&gt;"Entry",Z118=""),FALSE,AND(SUMPRODUCT(($D$4:$D$207=D118)*($B$4:$B$207="Challan")*($H$4:$H$207&lt;&gt;""))&gt;0,SUMPRODUCT(($D$4:$D$207=D118)*($B$4:$B$207="Challan")*($H$4:$H$207=Z118))=0))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IF(UPPER(MID(W119,4,1))="L","LLP",IF(UPPER(MID(W119,4,1))="T","Trust",IF(UPPER(MID(W119,4,1))="A","AOP","")))))))),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IF($B119&lt;&gt;"Challan","",SUMIF($D$4:$D$207,D119,$AD$4:$AD$207)+SUMIF($D$4:$D$207,D119,$AG$4:$AG$207)+SUMIF($D$4:$D$207,D119,$AE$4:$AE$207))</f>
      </c>
      <c r="AO119" s="27">
        <f>IF($B119&lt;&gt;"Challan","",P119-N119)</f>
      </c>
      <c r="AP119" s="27">
        <f>IF($B119&lt;&gt;"Challan","",MAX(0,AO119-AN119))</f>
      </c>
      <c r="AQ119" s="33">
        <f>IF($B119&lt;&gt;"Entry","",SUMPRODUCT(($D$4:$D$207=D119)*($B$4:$B$207="Challan")*$F$4:$F$207))</f>
      </c>
      <c r="AR119" s="34">
        <f>IF(OR($B119&lt;&gt;"Entry",Z119=""),FALSE,AND(SUMPRODUCT(($D$4:$D$207=D119)*($B$4:$B$207="Challan")*($H$4:$H$207&lt;&gt;""))&gt;0,SUMPRODUCT(($D$4:$D$207=D119)*($B$4:$B$207="Challan")*($H$4:$H$207=Z119))=0))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IF(UPPER(MID(W120,4,1))="L","LLP",IF(UPPER(MID(W120,4,1))="T","Trust",IF(UPPER(MID(W120,4,1))="A","AOP","")))))))),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IF($B120&lt;&gt;"Challan","",SUMIF($D$4:$D$207,D120,$AD$4:$AD$207)+SUMIF($D$4:$D$207,D120,$AG$4:$AG$207)+SUMIF($D$4:$D$207,D120,$AE$4:$AE$207))</f>
      </c>
      <c r="AO120" s="27">
        <f>IF($B120&lt;&gt;"Challan","",P120-N120)</f>
      </c>
      <c r="AP120" s="27">
        <f>IF($B120&lt;&gt;"Challan","",MAX(0,AO120-AN120))</f>
      </c>
      <c r="AQ120" s="33">
        <f>IF($B120&lt;&gt;"Entry","",SUMPRODUCT(($D$4:$D$207=D120)*($B$4:$B$207="Challan")*$F$4:$F$207))</f>
      </c>
      <c r="AR120" s="34">
        <f>IF(OR($B120&lt;&gt;"Entry",Z120=""),FALSE,AND(SUMPRODUCT(($D$4:$D$207=D120)*($B$4:$B$207="Challan")*($H$4:$H$207&lt;&gt;""))&gt;0,SUMPRODUCT(($D$4:$D$207=D120)*($B$4:$B$207="Challan")*($H$4:$H$207=Z120))=0))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IF(UPPER(MID(W121,4,1))="L","LLP",IF(UPPER(MID(W121,4,1))="T","Trust",IF(UPPER(MID(W121,4,1))="A","AOP","")))))))),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IF($B121&lt;&gt;"Challan","",SUMIF($D$4:$D$207,D121,$AD$4:$AD$207)+SUMIF($D$4:$D$207,D121,$AG$4:$AG$207)+SUMIF($D$4:$D$207,D121,$AE$4:$AE$207))</f>
      </c>
      <c r="AO121" s="27">
        <f>IF($B121&lt;&gt;"Challan","",P121-N121)</f>
      </c>
      <c r="AP121" s="27">
        <f>IF($B121&lt;&gt;"Challan","",MAX(0,AO121-AN121))</f>
      </c>
      <c r="AQ121" s="33">
        <f>IF($B121&lt;&gt;"Entry","",SUMPRODUCT(($D$4:$D$207=D121)*($B$4:$B$207="Challan")*$F$4:$F$207))</f>
      </c>
      <c r="AR121" s="34">
        <f>IF(OR($B121&lt;&gt;"Entry",Z121=""),FALSE,AND(SUMPRODUCT(($D$4:$D$207=D121)*($B$4:$B$207="Challan")*($H$4:$H$207&lt;&gt;""))&gt;0,SUMPRODUCT(($D$4:$D$207=D121)*($B$4:$B$207="Challan")*($H$4:$H$207=Z121))=0))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IF(UPPER(MID(W122,4,1))="L","LLP",IF(UPPER(MID(W122,4,1))="T","Trust",IF(UPPER(MID(W122,4,1))="A","AOP","")))))))),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IF($B122&lt;&gt;"Challan","",SUMIF($D$4:$D$207,D122,$AD$4:$AD$207)+SUMIF($D$4:$D$207,D122,$AG$4:$AG$207)+SUMIF($D$4:$D$207,D122,$AE$4:$AE$207))</f>
      </c>
      <c r="AO122" s="27">
        <f>IF($B122&lt;&gt;"Challan","",P122-N122)</f>
      </c>
      <c r="AP122" s="27">
        <f>IF($B122&lt;&gt;"Challan","",MAX(0,AO122-AN122))</f>
      </c>
      <c r="AQ122" s="33">
        <f>IF($B122&lt;&gt;"Entry","",SUMPRODUCT(($D$4:$D$207=D122)*($B$4:$B$207="Challan")*$F$4:$F$207))</f>
      </c>
      <c r="AR122" s="34">
        <f>IF(OR($B122&lt;&gt;"Entry",Z122=""),FALSE,AND(SUMPRODUCT(($D$4:$D$207=D122)*($B$4:$B$207="Challan")*($H$4:$H$207&lt;&gt;""))&gt;0,SUMPRODUCT(($D$4:$D$207=D122)*($B$4:$B$207="Challan")*($H$4:$H$207=Z122))=0))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IF(UPPER(MID(W123,4,1))="L","LLP",IF(UPPER(MID(W123,4,1))="T","Trust",IF(UPPER(MID(W123,4,1))="A","AOP","")))))))),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IF($B123&lt;&gt;"Challan","",SUMIF($D$4:$D$207,D123,$AD$4:$AD$207)+SUMIF($D$4:$D$207,D123,$AG$4:$AG$207)+SUMIF($D$4:$D$207,D123,$AE$4:$AE$207))</f>
      </c>
      <c r="AO123" s="27">
        <f>IF($B123&lt;&gt;"Challan","",P123-N123)</f>
      </c>
      <c r="AP123" s="27">
        <f>IF($B123&lt;&gt;"Challan","",MAX(0,AO123-AN123))</f>
      </c>
      <c r="AQ123" s="33">
        <f>IF($B123&lt;&gt;"Entry","",SUMPRODUCT(($D$4:$D$207=D123)*($B$4:$B$207="Challan")*$F$4:$F$207))</f>
      </c>
      <c r="AR123" s="34">
        <f>IF(OR($B123&lt;&gt;"Entry",Z123=""),FALSE,AND(SUMPRODUCT(($D$4:$D$207=D123)*($B$4:$B$207="Challan")*($H$4:$H$207&lt;&gt;""))&gt;0,SUMPRODUCT(($D$4:$D$207=D123)*($B$4:$B$207="Challan")*($H$4:$H$207=Z123))=0))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IF(UPPER(MID(W124,4,1))="L","LLP",IF(UPPER(MID(W124,4,1))="T","Trust",IF(UPPER(MID(W124,4,1))="A","AOP","")))))))),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IF($B124&lt;&gt;"Challan","",SUMIF($D$4:$D$207,D124,$AD$4:$AD$207)+SUMIF($D$4:$D$207,D124,$AG$4:$AG$207)+SUMIF($D$4:$D$207,D124,$AE$4:$AE$207))</f>
      </c>
      <c r="AO124" s="27">
        <f>IF($B124&lt;&gt;"Challan","",P124-N124)</f>
      </c>
      <c r="AP124" s="27">
        <f>IF($B124&lt;&gt;"Challan","",MAX(0,AO124-AN124))</f>
      </c>
      <c r="AQ124" s="33">
        <f>IF($B124&lt;&gt;"Entry","",SUMPRODUCT(($D$4:$D$207=D124)*($B$4:$B$207="Challan")*$F$4:$F$207))</f>
      </c>
      <c r="AR124" s="34">
        <f>IF(OR($B124&lt;&gt;"Entry",Z124=""),FALSE,AND(SUMPRODUCT(($D$4:$D$207=D124)*($B$4:$B$207="Challan")*($H$4:$H$207&lt;&gt;""))&gt;0,SUMPRODUCT(($D$4:$D$207=D124)*($B$4:$B$207="Challan")*($H$4:$H$207=Z124))=0))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IF(UPPER(MID(W125,4,1))="L","LLP",IF(UPPER(MID(W125,4,1))="T","Trust",IF(UPPER(MID(W125,4,1))="A","AOP","")))))))),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IF($B125&lt;&gt;"Challan","",SUMIF($D$4:$D$207,D125,$AD$4:$AD$207)+SUMIF($D$4:$D$207,D125,$AG$4:$AG$207)+SUMIF($D$4:$D$207,D125,$AE$4:$AE$207))</f>
      </c>
      <c r="AO125" s="27">
        <f>IF($B125&lt;&gt;"Challan","",P125-N125)</f>
      </c>
      <c r="AP125" s="27">
        <f>IF($B125&lt;&gt;"Challan","",MAX(0,AO125-AN125))</f>
      </c>
      <c r="AQ125" s="33">
        <f>IF($B125&lt;&gt;"Entry","",SUMPRODUCT(($D$4:$D$207=D125)*($B$4:$B$207="Challan")*$F$4:$F$207))</f>
      </c>
      <c r="AR125" s="34">
        <f>IF(OR($B125&lt;&gt;"Entry",Z125=""),FALSE,AND(SUMPRODUCT(($D$4:$D$207=D125)*($B$4:$B$207="Challan")*($H$4:$H$207&lt;&gt;""))&gt;0,SUMPRODUCT(($D$4:$D$207=D125)*($B$4:$B$207="Challan")*($H$4:$H$207=Z125))=0))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IF(UPPER(MID(W126,4,1))="L","LLP",IF(UPPER(MID(W126,4,1))="T","Trust",IF(UPPER(MID(W126,4,1))="A","AOP","")))))))),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IF($B126&lt;&gt;"Challan","",SUMIF($D$4:$D$207,D126,$AD$4:$AD$207)+SUMIF($D$4:$D$207,D126,$AG$4:$AG$207)+SUMIF($D$4:$D$207,D126,$AE$4:$AE$207))</f>
      </c>
      <c r="AO126" s="27">
        <f>IF($B126&lt;&gt;"Challan","",P126-N126)</f>
      </c>
      <c r="AP126" s="27">
        <f>IF($B126&lt;&gt;"Challan","",MAX(0,AO126-AN126))</f>
      </c>
      <c r="AQ126" s="33">
        <f>IF($B126&lt;&gt;"Entry","",SUMPRODUCT(($D$4:$D$207=D126)*($B$4:$B$207="Challan")*$F$4:$F$207))</f>
      </c>
      <c r="AR126" s="34">
        <f>IF(OR($B126&lt;&gt;"Entry",Z126=""),FALSE,AND(SUMPRODUCT(($D$4:$D$207=D126)*($B$4:$B$207="Challan")*($H$4:$H$207&lt;&gt;""))&gt;0,SUMPRODUCT(($D$4:$D$207=D126)*($B$4:$B$207="Challan")*($H$4:$H$207=Z126))=0))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IF(UPPER(MID(W127,4,1))="L","LLP",IF(UPPER(MID(W127,4,1))="T","Trust",IF(UPPER(MID(W127,4,1))="A","AOP","")))))))),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IF($B127&lt;&gt;"Challan","",SUMIF($D$4:$D$207,D127,$AD$4:$AD$207)+SUMIF($D$4:$D$207,D127,$AG$4:$AG$207)+SUMIF($D$4:$D$207,D127,$AE$4:$AE$207))</f>
      </c>
      <c r="AO127" s="27">
        <f>IF($B127&lt;&gt;"Challan","",P127-N127)</f>
      </c>
      <c r="AP127" s="27">
        <f>IF($B127&lt;&gt;"Challan","",MAX(0,AO127-AN127))</f>
      </c>
      <c r="AQ127" s="33">
        <f>IF($B127&lt;&gt;"Entry","",SUMPRODUCT(($D$4:$D$207=D127)*($B$4:$B$207="Challan")*$F$4:$F$207))</f>
      </c>
      <c r="AR127" s="34">
        <f>IF(OR($B127&lt;&gt;"Entry",Z127=""),FALSE,AND(SUMPRODUCT(($D$4:$D$207=D127)*($B$4:$B$207="Challan")*($H$4:$H$207&lt;&gt;""))&gt;0,SUMPRODUCT(($D$4:$D$207=D127)*($B$4:$B$207="Challan")*($H$4:$H$207=Z127))=0))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IF(UPPER(MID(W128,4,1))="L","LLP",IF(UPPER(MID(W128,4,1))="T","Trust",IF(UPPER(MID(W128,4,1))="A","AOP","")))))))),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IF($B128&lt;&gt;"Challan","",SUMIF($D$4:$D$207,D128,$AD$4:$AD$207)+SUMIF($D$4:$D$207,D128,$AG$4:$AG$207)+SUMIF($D$4:$D$207,D128,$AE$4:$AE$207))</f>
      </c>
      <c r="AO128" s="27">
        <f>IF($B128&lt;&gt;"Challan","",P128-N128)</f>
      </c>
      <c r="AP128" s="27">
        <f>IF($B128&lt;&gt;"Challan","",MAX(0,AO128-AN128))</f>
      </c>
      <c r="AQ128" s="33">
        <f>IF($B128&lt;&gt;"Entry","",SUMPRODUCT(($D$4:$D$207=D128)*($B$4:$B$207="Challan")*$F$4:$F$207))</f>
      </c>
      <c r="AR128" s="34">
        <f>IF(OR($B128&lt;&gt;"Entry",Z128=""),FALSE,AND(SUMPRODUCT(($D$4:$D$207=D128)*($B$4:$B$207="Challan")*($H$4:$H$207&lt;&gt;""))&gt;0,SUMPRODUCT(($D$4:$D$207=D128)*($B$4:$B$207="Challan")*($H$4:$H$207=Z128))=0))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IF(UPPER(MID(W129,4,1))="L","LLP",IF(UPPER(MID(W129,4,1))="T","Trust",IF(UPPER(MID(W129,4,1))="A","AOP","")))))))),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IF($B129&lt;&gt;"Challan","",SUMIF($D$4:$D$207,D129,$AD$4:$AD$207)+SUMIF($D$4:$D$207,D129,$AG$4:$AG$207)+SUMIF($D$4:$D$207,D129,$AE$4:$AE$207))</f>
      </c>
      <c r="AO129" s="27">
        <f>IF($B129&lt;&gt;"Challan","",P129-N129)</f>
      </c>
      <c r="AP129" s="27">
        <f>IF($B129&lt;&gt;"Challan","",MAX(0,AO129-AN129))</f>
      </c>
      <c r="AQ129" s="33">
        <f>IF($B129&lt;&gt;"Entry","",SUMPRODUCT(($D$4:$D$207=D129)*($B$4:$B$207="Challan")*$F$4:$F$207))</f>
      </c>
      <c r="AR129" s="34">
        <f>IF(OR($B129&lt;&gt;"Entry",Z129=""),FALSE,AND(SUMPRODUCT(($D$4:$D$207=D129)*($B$4:$B$207="Challan")*($H$4:$H$207&lt;&gt;""))&gt;0,SUMPRODUCT(($D$4:$D$207=D129)*($B$4:$B$207="Challan")*($H$4:$H$207=Z129))=0))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IF(UPPER(MID(W130,4,1))="L","LLP",IF(UPPER(MID(W130,4,1))="T","Trust",IF(UPPER(MID(W130,4,1))="A","AOP","")))))))),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IF($B130&lt;&gt;"Challan","",SUMIF($D$4:$D$207,D130,$AD$4:$AD$207)+SUMIF($D$4:$D$207,D130,$AG$4:$AG$207)+SUMIF($D$4:$D$207,D130,$AE$4:$AE$207))</f>
      </c>
      <c r="AO130" s="27">
        <f>IF($B130&lt;&gt;"Challan","",P130-N130)</f>
      </c>
      <c r="AP130" s="27">
        <f>IF($B130&lt;&gt;"Challan","",MAX(0,AO130-AN130))</f>
      </c>
      <c r="AQ130" s="33">
        <f>IF($B130&lt;&gt;"Entry","",SUMPRODUCT(($D$4:$D$207=D130)*($B$4:$B$207="Challan")*$F$4:$F$207))</f>
      </c>
      <c r="AR130" s="34">
        <f>IF(OR($B130&lt;&gt;"Entry",Z130=""),FALSE,AND(SUMPRODUCT(($D$4:$D$207=D130)*($B$4:$B$207="Challan")*($H$4:$H$207&lt;&gt;""))&gt;0,SUMPRODUCT(($D$4:$D$207=D130)*($B$4:$B$207="Challan")*($H$4:$H$207=Z130))=0))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IF(UPPER(MID(W131,4,1))="L","LLP",IF(UPPER(MID(W131,4,1))="T","Trust",IF(UPPER(MID(W131,4,1))="A","AOP","")))))))),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IF($B131&lt;&gt;"Challan","",SUMIF($D$4:$D$207,D131,$AD$4:$AD$207)+SUMIF($D$4:$D$207,D131,$AG$4:$AG$207)+SUMIF($D$4:$D$207,D131,$AE$4:$AE$207))</f>
      </c>
      <c r="AO131" s="27">
        <f>IF($B131&lt;&gt;"Challan","",P131-N131)</f>
      </c>
      <c r="AP131" s="27">
        <f>IF($B131&lt;&gt;"Challan","",MAX(0,AO131-AN131))</f>
      </c>
      <c r="AQ131" s="33">
        <f>IF($B131&lt;&gt;"Entry","",SUMPRODUCT(($D$4:$D$207=D131)*($B$4:$B$207="Challan")*$F$4:$F$207))</f>
      </c>
      <c r="AR131" s="34">
        <f>IF(OR($B131&lt;&gt;"Entry",Z131=""),FALSE,AND(SUMPRODUCT(($D$4:$D$207=D131)*($B$4:$B$207="Challan")*($H$4:$H$207&lt;&gt;""))&gt;0,SUMPRODUCT(($D$4:$D$207=D131)*($B$4:$B$207="Challan")*($H$4:$H$207=Z131))=0))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IF(UPPER(MID(W132,4,1))="L","LLP",IF(UPPER(MID(W132,4,1))="T","Trust",IF(UPPER(MID(W132,4,1))="A","AOP","")))))))),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IF($B132&lt;&gt;"Challan","",SUMIF($D$4:$D$207,D132,$AD$4:$AD$207)+SUMIF($D$4:$D$207,D132,$AG$4:$AG$207)+SUMIF($D$4:$D$207,D132,$AE$4:$AE$207))</f>
      </c>
      <c r="AO132" s="27">
        <f>IF($B132&lt;&gt;"Challan","",P132-N132)</f>
      </c>
      <c r="AP132" s="27">
        <f>IF($B132&lt;&gt;"Challan","",MAX(0,AO132-AN132))</f>
      </c>
      <c r="AQ132" s="33">
        <f>IF($B132&lt;&gt;"Entry","",SUMPRODUCT(($D$4:$D$207=D132)*($B$4:$B$207="Challan")*$F$4:$F$207))</f>
      </c>
      <c r="AR132" s="34">
        <f>IF(OR($B132&lt;&gt;"Entry",Z132=""),FALSE,AND(SUMPRODUCT(($D$4:$D$207=D132)*($B$4:$B$207="Challan")*($H$4:$H$207&lt;&gt;""))&gt;0,SUMPRODUCT(($D$4:$D$207=D132)*($B$4:$B$207="Challan")*($H$4:$H$207=Z132))=0))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IF(UPPER(MID(W133,4,1))="L","LLP",IF(UPPER(MID(W133,4,1))="T","Trust",IF(UPPER(MID(W133,4,1))="A","AOP","")))))))),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IF($B133&lt;&gt;"Challan","",SUMIF($D$4:$D$207,D133,$AD$4:$AD$207)+SUMIF($D$4:$D$207,D133,$AG$4:$AG$207)+SUMIF($D$4:$D$207,D133,$AE$4:$AE$207))</f>
      </c>
      <c r="AO133" s="27">
        <f>IF($B133&lt;&gt;"Challan","",P133-N133)</f>
      </c>
      <c r="AP133" s="27">
        <f>IF($B133&lt;&gt;"Challan","",MAX(0,AO133-AN133))</f>
      </c>
      <c r="AQ133" s="33">
        <f>IF($B133&lt;&gt;"Entry","",SUMPRODUCT(($D$4:$D$207=D133)*($B$4:$B$207="Challan")*$F$4:$F$207))</f>
      </c>
      <c r="AR133" s="34">
        <f>IF(OR($B133&lt;&gt;"Entry",Z133=""),FALSE,AND(SUMPRODUCT(($D$4:$D$207=D133)*($B$4:$B$207="Challan")*($H$4:$H$207&lt;&gt;""))&gt;0,SUMPRODUCT(($D$4:$D$207=D133)*($B$4:$B$207="Challan")*($H$4:$H$207=Z133))=0))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IF(UPPER(MID(W134,4,1))="L","LLP",IF(UPPER(MID(W134,4,1))="T","Trust",IF(UPPER(MID(W134,4,1))="A","AOP","")))))))),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IF($B134&lt;&gt;"Challan","",SUMIF($D$4:$D$207,D134,$AD$4:$AD$207)+SUMIF($D$4:$D$207,D134,$AG$4:$AG$207)+SUMIF($D$4:$D$207,D134,$AE$4:$AE$207))</f>
      </c>
      <c r="AO134" s="27">
        <f>IF($B134&lt;&gt;"Challan","",P134-N134)</f>
      </c>
      <c r="AP134" s="27">
        <f>IF($B134&lt;&gt;"Challan","",MAX(0,AO134-AN134))</f>
      </c>
      <c r="AQ134" s="33">
        <f>IF($B134&lt;&gt;"Entry","",SUMPRODUCT(($D$4:$D$207=D134)*($B$4:$B$207="Challan")*$F$4:$F$207))</f>
      </c>
      <c r="AR134" s="34">
        <f>IF(OR($B134&lt;&gt;"Entry",Z134=""),FALSE,AND(SUMPRODUCT(($D$4:$D$207=D134)*($B$4:$B$207="Challan")*($H$4:$H$207&lt;&gt;""))&gt;0,SUMPRODUCT(($D$4:$D$207=D134)*($B$4:$B$207="Challan")*($H$4:$H$207=Z134))=0))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IF(UPPER(MID(W135,4,1))="L","LLP",IF(UPPER(MID(W135,4,1))="T","Trust",IF(UPPER(MID(W135,4,1))="A","AOP","")))))))),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IF($B135&lt;&gt;"Challan","",SUMIF($D$4:$D$207,D135,$AD$4:$AD$207)+SUMIF($D$4:$D$207,D135,$AG$4:$AG$207)+SUMIF($D$4:$D$207,D135,$AE$4:$AE$207))</f>
      </c>
      <c r="AO135" s="27">
        <f>IF($B135&lt;&gt;"Challan","",P135-N135)</f>
      </c>
      <c r="AP135" s="27">
        <f>IF($B135&lt;&gt;"Challan","",MAX(0,AO135-AN135))</f>
      </c>
      <c r="AQ135" s="33">
        <f>IF($B135&lt;&gt;"Entry","",SUMPRODUCT(($D$4:$D$207=D135)*($B$4:$B$207="Challan")*$F$4:$F$207))</f>
      </c>
      <c r="AR135" s="34">
        <f>IF(OR($B135&lt;&gt;"Entry",Z135=""),FALSE,AND(SUMPRODUCT(($D$4:$D$207=D135)*($B$4:$B$207="Challan")*($H$4:$H$207&lt;&gt;""))&gt;0,SUMPRODUCT(($D$4:$D$207=D135)*($B$4:$B$207="Challan")*($H$4:$H$207=Z135))=0))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IF(UPPER(MID(W136,4,1))="L","LLP",IF(UPPER(MID(W136,4,1))="T","Trust",IF(UPPER(MID(W136,4,1))="A","AOP","")))))))),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IF($B136&lt;&gt;"Challan","",SUMIF($D$4:$D$207,D136,$AD$4:$AD$207)+SUMIF($D$4:$D$207,D136,$AG$4:$AG$207)+SUMIF($D$4:$D$207,D136,$AE$4:$AE$207))</f>
      </c>
      <c r="AO136" s="27">
        <f>IF($B136&lt;&gt;"Challan","",P136-N136)</f>
      </c>
      <c r="AP136" s="27">
        <f>IF($B136&lt;&gt;"Challan","",MAX(0,AO136-AN136))</f>
      </c>
      <c r="AQ136" s="33">
        <f>IF($B136&lt;&gt;"Entry","",SUMPRODUCT(($D$4:$D$207=D136)*($B$4:$B$207="Challan")*$F$4:$F$207))</f>
      </c>
      <c r="AR136" s="34">
        <f>IF(OR($B136&lt;&gt;"Entry",Z136=""),FALSE,AND(SUMPRODUCT(($D$4:$D$207=D136)*($B$4:$B$207="Challan")*($H$4:$H$207&lt;&gt;""))&gt;0,SUMPRODUCT(($D$4:$D$207=D136)*($B$4:$B$207="Challan")*($H$4:$H$207=Z136))=0))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IF(UPPER(MID(W137,4,1))="L","LLP",IF(UPPER(MID(W137,4,1))="T","Trust",IF(UPPER(MID(W137,4,1))="A","AOP","")))))))),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IF($B137&lt;&gt;"Challan","",SUMIF($D$4:$D$207,D137,$AD$4:$AD$207)+SUMIF($D$4:$D$207,D137,$AG$4:$AG$207)+SUMIF($D$4:$D$207,D137,$AE$4:$AE$207))</f>
      </c>
      <c r="AO137" s="27">
        <f>IF($B137&lt;&gt;"Challan","",P137-N137)</f>
      </c>
      <c r="AP137" s="27">
        <f>IF($B137&lt;&gt;"Challan","",MAX(0,AO137-AN137))</f>
      </c>
      <c r="AQ137" s="33">
        <f>IF($B137&lt;&gt;"Entry","",SUMPRODUCT(($D$4:$D$207=D137)*($B$4:$B$207="Challan")*$F$4:$F$207))</f>
      </c>
      <c r="AR137" s="34">
        <f>IF(OR($B137&lt;&gt;"Entry",Z137=""),FALSE,AND(SUMPRODUCT(($D$4:$D$207=D137)*($B$4:$B$207="Challan")*($H$4:$H$207&lt;&gt;""))&gt;0,SUMPRODUCT(($D$4:$D$207=D137)*($B$4:$B$207="Challan")*($H$4:$H$207=Z137))=0))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IF(UPPER(MID(W138,4,1))="L","LLP",IF(UPPER(MID(W138,4,1))="T","Trust",IF(UPPER(MID(W138,4,1))="A","AOP","")))))))),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IF($B138&lt;&gt;"Challan","",SUMIF($D$4:$D$207,D138,$AD$4:$AD$207)+SUMIF($D$4:$D$207,D138,$AG$4:$AG$207)+SUMIF($D$4:$D$207,D138,$AE$4:$AE$207))</f>
      </c>
      <c r="AO138" s="27">
        <f>IF($B138&lt;&gt;"Challan","",P138-N138)</f>
      </c>
      <c r="AP138" s="27">
        <f>IF($B138&lt;&gt;"Challan","",MAX(0,AO138-AN138))</f>
      </c>
      <c r="AQ138" s="33">
        <f>IF($B138&lt;&gt;"Entry","",SUMPRODUCT(($D$4:$D$207=D138)*($B$4:$B$207="Challan")*$F$4:$F$207))</f>
      </c>
      <c r="AR138" s="34">
        <f>IF(OR($B138&lt;&gt;"Entry",Z138=""),FALSE,AND(SUMPRODUCT(($D$4:$D$207=D138)*($B$4:$B$207="Challan")*($H$4:$H$207&lt;&gt;""))&gt;0,SUMPRODUCT(($D$4:$D$207=D138)*($B$4:$B$207="Challan")*($H$4:$H$207=Z138))=0))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IF(UPPER(MID(W139,4,1))="L","LLP",IF(UPPER(MID(W139,4,1))="T","Trust",IF(UPPER(MID(W139,4,1))="A","AOP","")))))))),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IF($B139&lt;&gt;"Challan","",SUMIF($D$4:$D$207,D139,$AD$4:$AD$207)+SUMIF($D$4:$D$207,D139,$AG$4:$AG$207)+SUMIF($D$4:$D$207,D139,$AE$4:$AE$207))</f>
      </c>
      <c r="AO139" s="27">
        <f>IF($B139&lt;&gt;"Challan","",P139-N139)</f>
      </c>
      <c r="AP139" s="27">
        <f>IF($B139&lt;&gt;"Challan","",MAX(0,AO139-AN139))</f>
      </c>
      <c r="AQ139" s="33">
        <f>IF($B139&lt;&gt;"Entry","",SUMPRODUCT(($D$4:$D$207=D139)*($B$4:$B$207="Challan")*$F$4:$F$207))</f>
      </c>
      <c r="AR139" s="34">
        <f>IF(OR($B139&lt;&gt;"Entry",Z139=""),FALSE,AND(SUMPRODUCT(($D$4:$D$207=D139)*($B$4:$B$207="Challan")*($H$4:$H$207&lt;&gt;""))&gt;0,SUMPRODUCT(($D$4:$D$207=D139)*($B$4:$B$207="Challan")*($H$4:$H$207=Z139))=0))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IF(UPPER(MID(W140,4,1))="L","LLP",IF(UPPER(MID(W140,4,1))="T","Trust",IF(UPPER(MID(W140,4,1))="A","AOP","")))))))),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IF($B140&lt;&gt;"Challan","",SUMIF($D$4:$D$207,D140,$AD$4:$AD$207)+SUMIF($D$4:$D$207,D140,$AG$4:$AG$207)+SUMIF($D$4:$D$207,D140,$AE$4:$AE$207))</f>
      </c>
      <c r="AO140" s="27">
        <f>IF($B140&lt;&gt;"Challan","",P140-N140)</f>
      </c>
      <c r="AP140" s="27">
        <f>IF($B140&lt;&gt;"Challan","",MAX(0,AO140-AN140))</f>
      </c>
      <c r="AQ140" s="33">
        <f>IF($B140&lt;&gt;"Entry","",SUMPRODUCT(($D$4:$D$207=D140)*($B$4:$B$207="Challan")*$F$4:$F$207))</f>
      </c>
      <c r="AR140" s="34">
        <f>IF(OR($B140&lt;&gt;"Entry",Z140=""),FALSE,AND(SUMPRODUCT(($D$4:$D$207=D140)*($B$4:$B$207="Challan")*($H$4:$H$207&lt;&gt;""))&gt;0,SUMPRODUCT(($D$4:$D$207=D140)*($B$4:$B$207="Challan")*($H$4:$H$207=Z140))=0))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IF(UPPER(MID(W141,4,1))="L","LLP",IF(UPPER(MID(W141,4,1))="T","Trust",IF(UPPER(MID(W141,4,1))="A","AOP","")))))))),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IF($B141&lt;&gt;"Challan","",SUMIF($D$4:$D$207,D141,$AD$4:$AD$207)+SUMIF($D$4:$D$207,D141,$AG$4:$AG$207)+SUMIF($D$4:$D$207,D141,$AE$4:$AE$207))</f>
      </c>
      <c r="AO141" s="27">
        <f>IF($B141&lt;&gt;"Challan","",P141-N141)</f>
      </c>
      <c r="AP141" s="27">
        <f>IF($B141&lt;&gt;"Challan","",MAX(0,AO141-AN141))</f>
      </c>
      <c r="AQ141" s="33">
        <f>IF($B141&lt;&gt;"Entry","",SUMPRODUCT(($D$4:$D$207=D141)*($B$4:$B$207="Challan")*$F$4:$F$207))</f>
      </c>
      <c r="AR141" s="34">
        <f>IF(OR($B141&lt;&gt;"Entry",Z141=""),FALSE,AND(SUMPRODUCT(($D$4:$D$207=D141)*($B$4:$B$207="Challan")*($H$4:$H$207&lt;&gt;""))&gt;0,SUMPRODUCT(($D$4:$D$207=D141)*($B$4:$B$207="Challan")*($H$4:$H$207=Z141))=0))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IF(UPPER(MID(W142,4,1))="L","LLP",IF(UPPER(MID(W142,4,1))="T","Trust",IF(UPPER(MID(W142,4,1))="A","AOP","")))))))),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IF($B142&lt;&gt;"Challan","",SUMIF($D$4:$D$207,D142,$AD$4:$AD$207)+SUMIF($D$4:$D$207,D142,$AG$4:$AG$207)+SUMIF($D$4:$D$207,D142,$AE$4:$AE$207))</f>
      </c>
      <c r="AO142" s="27">
        <f>IF($B142&lt;&gt;"Challan","",P142-N142)</f>
      </c>
      <c r="AP142" s="27">
        <f>IF($B142&lt;&gt;"Challan","",MAX(0,AO142-AN142))</f>
      </c>
      <c r="AQ142" s="33">
        <f>IF($B142&lt;&gt;"Entry","",SUMPRODUCT(($D$4:$D$207=D142)*($B$4:$B$207="Challan")*$F$4:$F$207))</f>
      </c>
      <c r="AR142" s="34">
        <f>IF(OR($B142&lt;&gt;"Entry",Z142=""),FALSE,AND(SUMPRODUCT(($D$4:$D$207=D142)*($B$4:$B$207="Challan")*($H$4:$H$207&lt;&gt;""))&gt;0,SUMPRODUCT(($D$4:$D$207=D142)*($B$4:$B$207="Challan")*($H$4:$H$207=Z142))=0))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IF(UPPER(MID(W143,4,1))="L","LLP",IF(UPPER(MID(W143,4,1))="T","Trust",IF(UPPER(MID(W143,4,1))="A","AOP","")))))))),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IF($B143&lt;&gt;"Challan","",SUMIF($D$4:$D$207,D143,$AD$4:$AD$207)+SUMIF($D$4:$D$207,D143,$AG$4:$AG$207)+SUMIF($D$4:$D$207,D143,$AE$4:$AE$207))</f>
      </c>
      <c r="AO143" s="27">
        <f>IF($B143&lt;&gt;"Challan","",P143-N143)</f>
      </c>
      <c r="AP143" s="27">
        <f>IF($B143&lt;&gt;"Challan","",MAX(0,AO143-AN143))</f>
      </c>
      <c r="AQ143" s="33">
        <f>IF($B143&lt;&gt;"Entry","",SUMPRODUCT(($D$4:$D$207=D143)*($B$4:$B$207="Challan")*$F$4:$F$207))</f>
      </c>
      <c r="AR143" s="34">
        <f>IF(OR($B143&lt;&gt;"Entry",Z143=""),FALSE,AND(SUMPRODUCT(($D$4:$D$207=D143)*($B$4:$B$207="Challan")*($H$4:$H$207&lt;&gt;""))&gt;0,SUMPRODUCT(($D$4:$D$207=D143)*($B$4:$B$207="Challan")*($H$4:$H$207=Z143))=0))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IF(UPPER(MID(W144,4,1))="L","LLP",IF(UPPER(MID(W144,4,1))="T","Trust",IF(UPPER(MID(W144,4,1))="A","AOP","")))))))),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IF($B144&lt;&gt;"Challan","",SUMIF($D$4:$D$207,D144,$AD$4:$AD$207)+SUMIF($D$4:$D$207,D144,$AG$4:$AG$207)+SUMIF($D$4:$D$207,D144,$AE$4:$AE$207))</f>
      </c>
      <c r="AO144" s="27">
        <f>IF($B144&lt;&gt;"Challan","",P144-N144)</f>
      </c>
      <c r="AP144" s="27">
        <f>IF($B144&lt;&gt;"Challan","",MAX(0,AO144-AN144))</f>
      </c>
      <c r="AQ144" s="33">
        <f>IF($B144&lt;&gt;"Entry","",SUMPRODUCT(($D$4:$D$207=D144)*($B$4:$B$207="Challan")*$F$4:$F$207))</f>
      </c>
      <c r="AR144" s="34">
        <f>IF(OR($B144&lt;&gt;"Entry",Z144=""),FALSE,AND(SUMPRODUCT(($D$4:$D$207=D144)*($B$4:$B$207="Challan")*($H$4:$H$207&lt;&gt;""))&gt;0,SUMPRODUCT(($D$4:$D$207=D144)*($B$4:$B$207="Challan")*($H$4:$H$207=Z144))=0))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IF(UPPER(MID(W145,4,1))="L","LLP",IF(UPPER(MID(W145,4,1))="T","Trust",IF(UPPER(MID(W145,4,1))="A","AOP","")))))))),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IF($B145&lt;&gt;"Challan","",SUMIF($D$4:$D$207,D145,$AD$4:$AD$207)+SUMIF($D$4:$D$207,D145,$AG$4:$AG$207)+SUMIF($D$4:$D$207,D145,$AE$4:$AE$207))</f>
      </c>
      <c r="AO145" s="27">
        <f>IF($B145&lt;&gt;"Challan","",P145-N145)</f>
      </c>
      <c r="AP145" s="27">
        <f>IF($B145&lt;&gt;"Challan","",MAX(0,AO145-AN145))</f>
      </c>
      <c r="AQ145" s="33">
        <f>IF($B145&lt;&gt;"Entry","",SUMPRODUCT(($D$4:$D$207=D145)*($B$4:$B$207="Challan")*$F$4:$F$207))</f>
      </c>
      <c r="AR145" s="34">
        <f>IF(OR($B145&lt;&gt;"Entry",Z145=""),FALSE,AND(SUMPRODUCT(($D$4:$D$207=D145)*($B$4:$B$207="Challan")*($H$4:$H$207&lt;&gt;""))&gt;0,SUMPRODUCT(($D$4:$D$207=D145)*($B$4:$B$207="Challan")*($H$4:$H$207=Z145))=0))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IF(UPPER(MID(W146,4,1))="L","LLP",IF(UPPER(MID(W146,4,1))="T","Trust",IF(UPPER(MID(W146,4,1))="A","AOP","")))))))),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IF($B146&lt;&gt;"Challan","",SUMIF($D$4:$D$207,D146,$AD$4:$AD$207)+SUMIF($D$4:$D$207,D146,$AG$4:$AG$207)+SUMIF($D$4:$D$207,D146,$AE$4:$AE$207))</f>
      </c>
      <c r="AO146" s="27">
        <f>IF($B146&lt;&gt;"Challan","",P146-N146)</f>
      </c>
      <c r="AP146" s="27">
        <f>IF($B146&lt;&gt;"Challan","",MAX(0,AO146-AN146))</f>
      </c>
      <c r="AQ146" s="33">
        <f>IF($B146&lt;&gt;"Entry","",SUMPRODUCT(($D$4:$D$207=D146)*($B$4:$B$207="Challan")*$F$4:$F$207))</f>
      </c>
      <c r="AR146" s="34">
        <f>IF(OR($B146&lt;&gt;"Entry",Z146=""),FALSE,AND(SUMPRODUCT(($D$4:$D$207=D146)*($B$4:$B$207="Challan")*($H$4:$H$207&lt;&gt;""))&gt;0,SUMPRODUCT(($D$4:$D$207=D146)*($B$4:$B$207="Challan")*($H$4:$H$207=Z146))=0))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IF(UPPER(MID(W147,4,1))="L","LLP",IF(UPPER(MID(W147,4,1))="T","Trust",IF(UPPER(MID(W147,4,1))="A","AOP","")))))))),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IF($B147&lt;&gt;"Challan","",SUMIF($D$4:$D$207,D147,$AD$4:$AD$207)+SUMIF($D$4:$D$207,D147,$AG$4:$AG$207)+SUMIF($D$4:$D$207,D147,$AE$4:$AE$207))</f>
      </c>
      <c r="AO147" s="27">
        <f>IF($B147&lt;&gt;"Challan","",P147-N147)</f>
      </c>
      <c r="AP147" s="27">
        <f>IF($B147&lt;&gt;"Challan","",MAX(0,AO147-AN147))</f>
      </c>
      <c r="AQ147" s="33">
        <f>IF($B147&lt;&gt;"Entry","",SUMPRODUCT(($D$4:$D$207=D147)*($B$4:$B$207="Challan")*$F$4:$F$207))</f>
      </c>
      <c r="AR147" s="34">
        <f>IF(OR($B147&lt;&gt;"Entry",Z147=""),FALSE,AND(SUMPRODUCT(($D$4:$D$207=D147)*($B$4:$B$207="Challan")*($H$4:$H$207&lt;&gt;""))&gt;0,SUMPRODUCT(($D$4:$D$207=D147)*($B$4:$B$207="Challan")*($H$4:$H$207=Z147))=0))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IF(UPPER(MID(W148,4,1))="L","LLP",IF(UPPER(MID(W148,4,1))="T","Trust",IF(UPPER(MID(W148,4,1))="A","AOP","")))))))),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IF($B148&lt;&gt;"Challan","",SUMIF($D$4:$D$207,D148,$AD$4:$AD$207)+SUMIF($D$4:$D$207,D148,$AG$4:$AG$207)+SUMIF($D$4:$D$207,D148,$AE$4:$AE$207))</f>
      </c>
      <c r="AO148" s="27">
        <f>IF($B148&lt;&gt;"Challan","",P148-N148)</f>
      </c>
      <c r="AP148" s="27">
        <f>IF($B148&lt;&gt;"Challan","",MAX(0,AO148-AN148))</f>
      </c>
      <c r="AQ148" s="33">
        <f>IF($B148&lt;&gt;"Entry","",SUMPRODUCT(($D$4:$D$207=D148)*($B$4:$B$207="Challan")*$F$4:$F$207))</f>
      </c>
      <c r="AR148" s="34">
        <f>IF(OR($B148&lt;&gt;"Entry",Z148=""),FALSE,AND(SUMPRODUCT(($D$4:$D$207=D148)*($B$4:$B$207="Challan")*($H$4:$H$207&lt;&gt;""))&gt;0,SUMPRODUCT(($D$4:$D$207=D148)*($B$4:$B$207="Challan")*($H$4:$H$207=Z148))=0))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IF(UPPER(MID(W149,4,1))="L","LLP",IF(UPPER(MID(W149,4,1))="T","Trust",IF(UPPER(MID(W149,4,1))="A","AOP","")))))))),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IF($B149&lt;&gt;"Challan","",SUMIF($D$4:$D$207,D149,$AD$4:$AD$207)+SUMIF($D$4:$D$207,D149,$AG$4:$AG$207)+SUMIF($D$4:$D$207,D149,$AE$4:$AE$207))</f>
      </c>
      <c r="AO149" s="27">
        <f>IF($B149&lt;&gt;"Challan","",P149-N149)</f>
      </c>
      <c r="AP149" s="27">
        <f>IF($B149&lt;&gt;"Challan","",MAX(0,AO149-AN149))</f>
      </c>
      <c r="AQ149" s="33">
        <f>IF($B149&lt;&gt;"Entry","",SUMPRODUCT(($D$4:$D$207=D149)*($B$4:$B$207="Challan")*$F$4:$F$207))</f>
      </c>
      <c r="AR149" s="34">
        <f>IF(OR($B149&lt;&gt;"Entry",Z149=""),FALSE,AND(SUMPRODUCT(($D$4:$D$207=D149)*($B$4:$B$207="Challan")*($H$4:$H$207&lt;&gt;""))&gt;0,SUMPRODUCT(($D$4:$D$207=D149)*($B$4:$B$207="Challan")*($H$4:$H$207=Z149))=0))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IF(UPPER(MID(W150,4,1))="L","LLP",IF(UPPER(MID(W150,4,1))="T","Trust",IF(UPPER(MID(W150,4,1))="A","AOP","")))))))),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IF($B150&lt;&gt;"Challan","",SUMIF($D$4:$D$207,D150,$AD$4:$AD$207)+SUMIF($D$4:$D$207,D150,$AG$4:$AG$207)+SUMIF($D$4:$D$207,D150,$AE$4:$AE$207))</f>
      </c>
      <c r="AO150" s="27">
        <f>IF($B150&lt;&gt;"Challan","",P150-N150)</f>
      </c>
      <c r="AP150" s="27">
        <f>IF($B150&lt;&gt;"Challan","",MAX(0,AO150-AN150))</f>
      </c>
      <c r="AQ150" s="33">
        <f>IF($B150&lt;&gt;"Entry","",SUMPRODUCT(($D$4:$D$207=D150)*($B$4:$B$207="Challan")*$F$4:$F$207))</f>
      </c>
      <c r="AR150" s="34">
        <f>IF(OR($B150&lt;&gt;"Entry",Z150=""),FALSE,AND(SUMPRODUCT(($D$4:$D$207=D150)*($B$4:$B$207="Challan")*($H$4:$H$207&lt;&gt;""))&gt;0,SUMPRODUCT(($D$4:$D$207=D150)*($B$4:$B$207="Challan")*($H$4:$H$207=Z150))=0))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IF(UPPER(MID(W151,4,1))="L","LLP",IF(UPPER(MID(W151,4,1))="T","Trust",IF(UPPER(MID(W151,4,1))="A","AOP","")))))))),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IF($B151&lt;&gt;"Challan","",SUMIF($D$4:$D$207,D151,$AD$4:$AD$207)+SUMIF($D$4:$D$207,D151,$AG$4:$AG$207)+SUMIF($D$4:$D$207,D151,$AE$4:$AE$207))</f>
      </c>
      <c r="AO151" s="27">
        <f>IF($B151&lt;&gt;"Challan","",P151-N151)</f>
      </c>
      <c r="AP151" s="27">
        <f>IF($B151&lt;&gt;"Challan","",MAX(0,AO151-AN151))</f>
      </c>
      <c r="AQ151" s="33">
        <f>IF($B151&lt;&gt;"Entry","",SUMPRODUCT(($D$4:$D$207=D151)*($B$4:$B$207="Challan")*$F$4:$F$207))</f>
      </c>
      <c r="AR151" s="34">
        <f>IF(OR($B151&lt;&gt;"Entry",Z151=""),FALSE,AND(SUMPRODUCT(($D$4:$D$207=D151)*($B$4:$B$207="Challan")*($H$4:$H$207&lt;&gt;""))&gt;0,SUMPRODUCT(($D$4:$D$207=D151)*($B$4:$B$207="Challan")*($H$4:$H$207=Z151))=0))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IF(UPPER(MID(W152,4,1))="L","LLP",IF(UPPER(MID(W152,4,1))="T","Trust",IF(UPPER(MID(W152,4,1))="A","AOP","")))))))),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IF($B152&lt;&gt;"Challan","",SUMIF($D$4:$D$207,D152,$AD$4:$AD$207)+SUMIF($D$4:$D$207,D152,$AG$4:$AG$207)+SUMIF($D$4:$D$207,D152,$AE$4:$AE$207))</f>
      </c>
      <c r="AO152" s="27">
        <f>IF($B152&lt;&gt;"Challan","",P152-N152)</f>
      </c>
      <c r="AP152" s="27">
        <f>IF($B152&lt;&gt;"Challan","",MAX(0,AO152-AN152))</f>
      </c>
      <c r="AQ152" s="33">
        <f>IF($B152&lt;&gt;"Entry","",SUMPRODUCT(($D$4:$D$207=D152)*($B$4:$B$207="Challan")*$F$4:$F$207))</f>
      </c>
      <c r="AR152" s="34">
        <f>IF(OR($B152&lt;&gt;"Entry",Z152=""),FALSE,AND(SUMPRODUCT(($D$4:$D$207=D152)*($B$4:$B$207="Challan")*($H$4:$H$207&lt;&gt;""))&gt;0,SUMPRODUCT(($D$4:$D$207=D152)*($B$4:$B$207="Challan")*($H$4:$H$207=Z152))=0))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IF(UPPER(MID(W153,4,1))="L","LLP",IF(UPPER(MID(W153,4,1))="T","Trust",IF(UPPER(MID(W153,4,1))="A","AOP","")))))))),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IF($B153&lt;&gt;"Challan","",SUMIF($D$4:$D$207,D153,$AD$4:$AD$207)+SUMIF($D$4:$D$207,D153,$AG$4:$AG$207)+SUMIF($D$4:$D$207,D153,$AE$4:$AE$207))</f>
      </c>
      <c r="AO153" s="27">
        <f>IF($B153&lt;&gt;"Challan","",P153-N153)</f>
      </c>
      <c r="AP153" s="27">
        <f>IF($B153&lt;&gt;"Challan","",MAX(0,AO153-AN153))</f>
      </c>
      <c r="AQ153" s="33">
        <f>IF($B153&lt;&gt;"Entry","",SUMPRODUCT(($D$4:$D$207=D153)*($B$4:$B$207="Challan")*$F$4:$F$207))</f>
      </c>
      <c r="AR153" s="34">
        <f>IF(OR($B153&lt;&gt;"Entry",Z153=""),FALSE,AND(SUMPRODUCT(($D$4:$D$207=D153)*($B$4:$B$207="Challan")*($H$4:$H$207&lt;&gt;""))&gt;0,SUMPRODUCT(($D$4:$D$207=D153)*($B$4:$B$207="Challan")*($H$4:$H$207=Z153))=0))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IF(UPPER(MID(W154,4,1))="L","LLP",IF(UPPER(MID(W154,4,1))="T","Trust",IF(UPPER(MID(W154,4,1))="A","AOP","")))))))),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IF($B154&lt;&gt;"Challan","",SUMIF($D$4:$D$207,D154,$AD$4:$AD$207)+SUMIF($D$4:$D$207,D154,$AG$4:$AG$207)+SUMIF($D$4:$D$207,D154,$AE$4:$AE$207))</f>
      </c>
      <c r="AO154" s="27">
        <f>IF($B154&lt;&gt;"Challan","",P154-N154)</f>
      </c>
      <c r="AP154" s="27">
        <f>IF($B154&lt;&gt;"Challan","",MAX(0,AO154-AN154))</f>
      </c>
      <c r="AQ154" s="33">
        <f>IF($B154&lt;&gt;"Entry","",SUMPRODUCT(($D$4:$D$207=D154)*($B$4:$B$207="Challan")*$F$4:$F$207))</f>
      </c>
      <c r="AR154" s="34">
        <f>IF(OR($B154&lt;&gt;"Entry",Z154=""),FALSE,AND(SUMPRODUCT(($D$4:$D$207=D154)*($B$4:$B$207="Challan")*($H$4:$H$207&lt;&gt;""))&gt;0,SUMPRODUCT(($D$4:$D$207=D154)*($B$4:$B$207="Challan")*($H$4:$H$207=Z154))=0))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IF(UPPER(MID(W155,4,1))="L","LLP",IF(UPPER(MID(W155,4,1))="T","Trust",IF(UPPER(MID(W155,4,1))="A","AOP","")))))))),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IF($B155&lt;&gt;"Challan","",SUMIF($D$4:$D$207,D155,$AD$4:$AD$207)+SUMIF($D$4:$D$207,D155,$AG$4:$AG$207)+SUMIF($D$4:$D$207,D155,$AE$4:$AE$207))</f>
      </c>
      <c r="AO155" s="27">
        <f>IF($B155&lt;&gt;"Challan","",P155-N155)</f>
      </c>
      <c r="AP155" s="27">
        <f>IF($B155&lt;&gt;"Challan","",MAX(0,AO155-AN155))</f>
      </c>
      <c r="AQ155" s="33">
        <f>IF($B155&lt;&gt;"Entry","",SUMPRODUCT(($D$4:$D$207=D155)*($B$4:$B$207="Challan")*$F$4:$F$207))</f>
      </c>
      <c r="AR155" s="34">
        <f>IF(OR($B155&lt;&gt;"Entry",Z155=""),FALSE,AND(SUMPRODUCT(($D$4:$D$207=D155)*($B$4:$B$207="Challan")*($H$4:$H$207&lt;&gt;""))&gt;0,SUMPRODUCT(($D$4:$D$207=D155)*($B$4:$B$207="Challan")*($H$4:$H$207=Z155))=0))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IF(UPPER(MID(W156,4,1))="L","LLP",IF(UPPER(MID(W156,4,1))="T","Trust",IF(UPPER(MID(W156,4,1))="A","AOP","")))))))),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IF($B156&lt;&gt;"Challan","",SUMIF($D$4:$D$207,D156,$AD$4:$AD$207)+SUMIF($D$4:$D$207,D156,$AG$4:$AG$207)+SUMIF($D$4:$D$207,D156,$AE$4:$AE$207))</f>
      </c>
      <c r="AO156" s="27">
        <f>IF($B156&lt;&gt;"Challan","",P156-N156)</f>
      </c>
      <c r="AP156" s="27">
        <f>IF($B156&lt;&gt;"Challan","",MAX(0,AO156-AN156))</f>
      </c>
      <c r="AQ156" s="33">
        <f>IF($B156&lt;&gt;"Entry","",SUMPRODUCT(($D$4:$D$207=D156)*($B$4:$B$207="Challan")*$F$4:$F$207))</f>
      </c>
      <c r="AR156" s="34">
        <f>IF(OR($B156&lt;&gt;"Entry",Z156=""),FALSE,AND(SUMPRODUCT(($D$4:$D$207=D156)*($B$4:$B$207="Challan")*($H$4:$H$207&lt;&gt;""))&gt;0,SUMPRODUCT(($D$4:$D$207=D156)*($B$4:$B$207="Challan")*($H$4:$H$207=Z156))=0))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IF(UPPER(MID(W157,4,1))="L","LLP",IF(UPPER(MID(W157,4,1))="T","Trust",IF(UPPER(MID(W157,4,1))="A","AOP","")))))))),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IF($B157&lt;&gt;"Challan","",SUMIF($D$4:$D$207,D157,$AD$4:$AD$207)+SUMIF($D$4:$D$207,D157,$AG$4:$AG$207)+SUMIF($D$4:$D$207,D157,$AE$4:$AE$207))</f>
      </c>
      <c r="AO157" s="27">
        <f>IF($B157&lt;&gt;"Challan","",P157-N157)</f>
      </c>
      <c r="AP157" s="27">
        <f>IF($B157&lt;&gt;"Challan","",MAX(0,AO157-AN157))</f>
      </c>
      <c r="AQ157" s="33">
        <f>IF($B157&lt;&gt;"Entry","",SUMPRODUCT(($D$4:$D$207=D157)*($B$4:$B$207="Challan")*$F$4:$F$207))</f>
      </c>
      <c r="AR157" s="34">
        <f>IF(OR($B157&lt;&gt;"Entry",Z157=""),FALSE,AND(SUMPRODUCT(($D$4:$D$207=D157)*($B$4:$B$207="Challan")*($H$4:$H$207&lt;&gt;""))&gt;0,SUMPRODUCT(($D$4:$D$207=D157)*($B$4:$B$207="Challan")*($H$4:$H$207=Z157))=0))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IF(UPPER(MID(W158,4,1))="L","LLP",IF(UPPER(MID(W158,4,1))="T","Trust",IF(UPPER(MID(W158,4,1))="A","AOP","")))))))),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IF($B158&lt;&gt;"Challan","",SUMIF($D$4:$D$207,D158,$AD$4:$AD$207)+SUMIF($D$4:$D$207,D158,$AG$4:$AG$207)+SUMIF($D$4:$D$207,D158,$AE$4:$AE$207))</f>
      </c>
      <c r="AO158" s="27">
        <f>IF($B158&lt;&gt;"Challan","",P158-N158)</f>
      </c>
      <c r="AP158" s="27">
        <f>IF($B158&lt;&gt;"Challan","",MAX(0,AO158-AN158))</f>
      </c>
      <c r="AQ158" s="33">
        <f>IF($B158&lt;&gt;"Entry","",SUMPRODUCT(($D$4:$D$207=D158)*($B$4:$B$207="Challan")*$F$4:$F$207))</f>
      </c>
      <c r="AR158" s="34">
        <f>IF(OR($B158&lt;&gt;"Entry",Z158=""),FALSE,AND(SUMPRODUCT(($D$4:$D$207=D158)*($B$4:$B$207="Challan")*($H$4:$H$207&lt;&gt;""))&gt;0,SUMPRODUCT(($D$4:$D$207=D158)*($B$4:$B$207="Challan")*($H$4:$H$207=Z158))=0))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IF(UPPER(MID(W159,4,1))="L","LLP",IF(UPPER(MID(W159,4,1))="T","Trust",IF(UPPER(MID(W159,4,1))="A","AOP","")))))))),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IF($B159&lt;&gt;"Challan","",SUMIF($D$4:$D$207,D159,$AD$4:$AD$207)+SUMIF($D$4:$D$207,D159,$AG$4:$AG$207)+SUMIF($D$4:$D$207,D159,$AE$4:$AE$207))</f>
      </c>
      <c r="AO159" s="27">
        <f>IF($B159&lt;&gt;"Challan","",P159-N159)</f>
      </c>
      <c r="AP159" s="27">
        <f>IF($B159&lt;&gt;"Challan","",MAX(0,AO159-AN159))</f>
      </c>
      <c r="AQ159" s="33">
        <f>IF($B159&lt;&gt;"Entry","",SUMPRODUCT(($D$4:$D$207=D159)*($B$4:$B$207="Challan")*$F$4:$F$207))</f>
      </c>
      <c r="AR159" s="34">
        <f>IF(OR($B159&lt;&gt;"Entry",Z159=""),FALSE,AND(SUMPRODUCT(($D$4:$D$207=D159)*($B$4:$B$207="Challan")*($H$4:$H$207&lt;&gt;""))&gt;0,SUMPRODUCT(($D$4:$D$207=D159)*($B$4:$B$207="Challan")*($H$4:$H$207=Z159))=0))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IF(UPPER(MID(W160,4,1))="L","LLP",IF(UPPER(MID(W160,4,1))="T","Trust",IF(UPPER(MID(W160,4,1))="A","AOP","")))))))),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IF($B160&lt;&gt;"Challan","",SUMIF($D$4:$D$207,D160,$AD$4:$AD$207)+SUMIF($D$4:$D$207,D160,$AG$4:$AG$207)+SUMIF($D$4:$D$207,D160,$AE$4:$AE$207))</f>
      </c>
      <c r="AO160" s="27">
        <f>IF($B160&lt;&gt;"Challan","",P160-N160)</f>
      </c>
      <c r="AP160" s="27">
        <f>IF($B160&lt;&gt;"Challan","",MAX(0,AO160-AN160))</f>
      </c>
      <c r="AQ160" s="33">
        <f>IF($B160&lt;&gt;"Entry","",SUMPRODUCT(($D$4:$D$207=D160)*($B$4:$B$207="Challan")*$F$4:$F$207))</f>
      </c>
      <c r="AR160" s="34">
        <f>IF(OR($B160&lt;&gt;"Entry",Z160=""),FALSE,AND(SUMPRODUCT(($D$4:$D$207=D160)*($B$4:$B$207="Challan")*($H$4:$H$207&lt;&gt;""))&gt;0,SUMPRODUCT(($D$4:$D$207=D160)*($B$4:$B$207="Challan")*($H$4:$H$207=Z160))=0))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IF(UPPER(MID(W161,4,1))="L","LLP",IF(UPPER(MID(W161,4,1))="T","Trust",IF(UPPER(MID(W161,4,1))="A","AOP","")))))))),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IF($B161&lt;&gt;"Challan","",SUMIF($D$4:$D$207,D161,$AD$4:$AD$207)+SUMIF($D$4:$D$207,D161,$AG$4:$AG$207)+SUMIF($D$4:$D$207,D161,$AE$4:$AE$207))</f>
      </c>
      <c r="AO161" s="27">
        <f>IF($B161&lt;&gt;"Challan","",P161-N161)</f>
      </c>
      <c r="AP161" s="27">
        <f>IF($B161&lt;&gt;"Challan","",MAX(0,AO161-AN161))</f>
      </c>
      <c r="AQ161" s="33">
        <f>IF($B161&lt;&gt;"Entry","",SUMPRODUCT(($D$4:$D$207=D161)*($B$4:$B$207="Challan")*$F$4:$F$207))</f>
      </c>
      <c r="AR161" s="34">
        <f>IF(OR($B161&lt;&gt;"Entry",Z161=""),FALSE,AND(SUMPRODUCT(($D$4:$D$207=D161)*($B$4:$B$207="Challan")*($H$4:$H$207&lt;&gt;""))&gt;0,SUMPRODUCT(($D$4:$D$207=D161)*($B$4:$B$207="Challan")*($H$4:$H$207=Z161))=0))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IF(UPPER(MID(W162,4,1))="L","LLP",IF(UPPER(MID(W162,4,1))="T","Trust",IF(UPPER(MID(W162,4,1))="A","AOP","")))))))),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IF($B162&lt;&gt;"Challan","",SUMIF($D$4:$D$207,D162,$AD$4:$AD$207)+SUMIF($D$4:$D$207,D162,$AG$4:$AG$207)+SUMIF($D$4:$D$207,D162,$AE$4:$AE$207))</f>
      </c>
      <c r="AO162" s="27">
        <f>IF($B162&lt;&gt;"Challan","",P162-N162)</f>
      </c>
      <c r="AP162" s="27">
        <f>IF($B162&lt;&gt;"Challan","",MAX(0,AO162-AN162))</f>
      </c>
      <c r="AQ162" s="33">
        <f>IF($B162&lt;&gt;"Entry","",SUMPRODUCT(($D$4:$D$207=D162)*($B$4:$B$207="Challan")*$F$4:$F$207))</f>
      </c>
      <c r="AR162" s="34">
        <f>IF(OR($B162&lt;&gt;"Entry",Z162=""),FALSE,AND(SUMPRODUCT(($D$4:$D$207=D162)*($B$4:$B$207="Challan")*($H$4:$H$207&lt;&gt;""))&gt;0,SUMPRODUCT(($D$4:$D$207=D162)*($B$4:$B$207="Challan")*($H$4:$H$207=Z162))=0))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IF(UPPER(MID(W163,4,1))="L","LLP",IF(UPPER(MID(W163,4,1))="T","Trust",IF(UPPER(MID(W163,4,1))="A","AOP","")))))))),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IF($B163&lt;&gt;"Challan","",SUMIF($D$4:$D$207,D163,$AD$4:$AD$207)+SUMIF($D$4:$D$207,D163,$AG$4:$AG$207)+SUMIF($D$4:$D$207,D163,$AE$4:$AE$207))</f>
      </c>
      <c r="AO163" s="27">
        <f>IF($B163&lt;&gt;"Challan","",P163-N163)</f>
      </c>
      <c r="AP163" s="27">
        <f>IF($B163&lt;&gt;"Challan","",MAX(0,AO163-AN163))</f>
      </c>
      <c r="AQ163" s="33">
        <f>IF($B163&lt;&gt;"Entry","",SUMPRODUCT(($D$4:$D$207=D163)*($B$4:$B$207="Challan")*$F$4:$F$207))</f>
      </c>
      <c r="AR163" s="34">
        <f>IF(OR($B163&lt;&gt;"Entry",Z163=""),FALSE,AND(SUMPRODUCT(($D$4:$D$207=D163)*($B$4:$B$207="Challan")*($H$4:$H$207&lt;&gt;""))&gt;0,SUMPRODUCT(($D$4:$D$207=D163)*($B$4:$B$207="Challan")*($H$4:$H$207=Z163))=0))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IF(UPPER(MID(W164,4,1))="L","LLP",IF(UPPER(MID(W164,4,1))="T","Trust",IF(UPPER(MID(W164,4,1))="A","AOP","")))))))),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IF($B164&lt;&gt;"Challan","",SUMIF($D$4:$D$207,D164,$AD$4:$AD$207)+SUMIF($D$4:$D$207,D164,$AG$4:$AG$207)+SUMIF($D$4:$D$207,D164,$AE$4:$AE$207))</f>
      </c>
      <c r="AO164" s="27">
        <f>IF($B164&lt;&gt;"Challan","",P164-N164)</f>
      </c>
      <c r="AP164" s="27">
        <f>IF($B164&lt;&gt;"Challan","",MAX(0,AO164-AN164))</f>
      </c>
      <c r="AQ164" s="33">
        <f>IF($B164&lt;&gt;"Entry","",SUMPRODUCT(($D$4:$D$207=D164)*($B$4:$B$207="Challan")*$F$4:$F$207))</f>
      </c>
      <c r="AR164" s="34">
        <f>IF(OR($B164&lt;&gt;"Entry",Z164=""),FALSE,AND(SUMPRODUCT(($D$4:$D$207=D164)*($B$4:$B$207="Challan")*($H$4:$H$207&lt;&gt;""))&gt;0,SUMPRODUCT(($D$4:$D$207=D164)*($B$4:$B$207="Challan")*($H$4:$H$207=Z164))=0))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IF(UPPER(MID(W165,4,1))="L","LLP",IF(UPPER(MID(W165,4,1))="T","Trust",IF(UPPER(MID(W165,4,1))="A","AOP","")))))))),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IF($B165&lt;&gt;"Challan","",SUMIF($D$4:$D$207,D165,$AD$4:$AD$207)+SUMIF($D$4:$D$207,D165,$AG$4:$AG$207)+SUMIF($D$4:$D$207,D165,$AE$4:$AE$207))</f>
      </c>
      <c r="AO165" s="27">
        <f>IF($B165&lt;&gt;"Challan","",P165-N165)</f>
      </c>
      <c r="AP165" s="27">
        <f>IF($B165&lt;&gt;"Challan","",MAX(0,AO165-AN165))</f>
      </c>
      <c r="AQ165" s="33">
        <f>IF($B165&lt;&gt;"Entry","",SUMPRODUCT(($D$4:$D$207=D165)*($B$4:$B$207="Challan")*$F$4:$F$207))</f>
      </c>
      <c r="AR165" s="34">
        <f>IF(OR($B165&lt;&gt;"Entry",Z165=""),FALSE,AND(SUMPRODUCT(($D$4:$D$207=D165)*($B$4:$B$207="Challan")*($H$4:$H$207&lt;&gt;""))&gt;0,SUMPRODUCT(($D$4:$D$207=D165)*($B$4:$B$207="Challan")*($H$4:$H$207=Z165))=0))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IF(UPPER(MID(W166,4,1))="L","LLP",IF(UPPER(MID(W166,4,1))="T","Trust",IF(UPPER(MID(W166,4,1))="A","AOP","")))))))),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IF($B166&lt;&gt;"Challan","",SUMIF($D$4:$D$207,D166,$AD$4:$AD$207)+SUMIF($D$4:$D$207,D166,$AG$4:$AG$207)+SUMIF($D$4:$D$207,D166,$AE$4:$AE$207))</f>
      </c>
      <c r="AO166" s="27">
        <f>IF($B166&lt;&gt;"Challan","",P166-N166)</f>
      </c>
      <c r="AP166" s="27">
        <f>IF($B166&lt;&gt;"Challan","",MAX(0,AO166-AN166))</f>
      </c>
      <c r="AQ166" s="33">
        <f>IF($B166&lt;&gt;"Entry","",SUMPRODUCT(($D$4:$D$207=D166)*($B$4:$B$207="Challan")*$F$4:$F$207))</f>
      </c>
      <c r="AR166" s="34">
        <f>IF(OR($B166&lt;&gt;"Entry",Z166=""),FALSE,AND(SUMPRODUCT(($D$4:$D$207=D166)*($B$4:$B$207="Challan")*($H$4:$H$207&lt;&gt;""))&gt;0,SUMPRODUCT(($D$4:$D$207=D166)*($B$4:$B$207="Challan")*($H$4:$H$207=Z166))=0))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IF(UPPER(MID(W167,4,1))="L","LLP",IF(UPPER(MID(W167,4,1))="T","Trust",IF(UPPER(MID(W167,4,1))="A","AOP","")))))))),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IF($B167&lt;&gt;"Challan","",SUMIF($D$4:$D$207,D167,$AD$4:$AD$207)+SUMIF($D$4:$D$207,D167,$AG$4:$AG$207)+SUMIF($D$4:$D$207,D167,$AE$4:$AE$207))</f>
      </c>
      <c r="AO167" s="27">
        <f>IF($B167&lt;&gt;"Challan","",P167-N167)</f>
      </c>
      <c r="AP167" s="27">
        <f>IF($B167&lt;&gt;"Challan","",MAX(0,AO167-AN167))</f>
      </c>
      <c r="AQ167" s="33">
        <f>IF($B167&lt;&gt;"Entry","",SUMPRODUCT(($D$4:$D$207=D167)*($B$4:$B$207="Challan")*$F$4:$F$207))</f>
      </c>
      <c r="AR167" s="34">
        <f>IF(OR($B167&lt;&gt;"Entry",Z167=""),FALSE,AND(SUMPRODUCT(($D$4:$D$207=D167)*($B$4:$B$207="Challan")*($H$4:$H$207&lt;&gt;""))&gt;0,SUMPRODUCT(($D$4:$D$207=D167)*($B$4:$B$207="Challan")*($H$4:$H$207=Z167))=0))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IF(UPPER(MID(W168,4,1))="L","LLP",IF(UPPER(MID(W168,4,1))="T","Trust",IF(UPPER(MID(W168,4,1))="A","AOP","")))))))),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IF($B168&lt;&gt;"Challan","",SUMIF($D$4:$D$207,D168,$AD$4:$AD$207)+SUMIF($D$4:$D$207,D168,$AG$4:$AG$207)+SUMIF($D$4:$D$207,D168,$AE$4:$AE$207))</f>
      </c>
      <c r="AO168" s="27">
        <f>IF($B168&lt;&gt;"Challan","",P168-N168)</f>
      </c>
      <c r="AP168" s="27">
        <f>IF($B168&lt;&gt;"Challan","",MAX(0,AO168-AN168))</f>
      </c>
      <c r="AQ168" s="33">
        <f>IF($B168&lt;&gt;"Entry","",SUMPRODUCT(($D$4:$D$207=D168)*($B$4:$B$207="Challan")*$F$4:$F$207))</f>
      </c>
      <c r="AR168" s="34">
        <f>IF(OR($B168&lt;&gt;"Entry",Z168=""),FALSE,AND(SUMPRODUCT(($D$4:$D$207=D168)*($B$4:$B$207="Challan")*($H$4:$H$207&lt;&gt;""))&gt;0,SUMPRODUCT(($D$4:$D$207=D168)*($B$4:$B$207="Challan")*($H$4:$H$207=Z168))=0))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IF(UPPER(MID(W169,4,1))="L","LLP",IF(UPPER(MID(W169,4,1))="T","Trust",IF(UPPER(MID(W169,4,1))="A","AOP","")))))))),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IF($B169&lt;&gt;"Challan","",SUMIF($D$4:$D$207,D169,$AD$4:$AD$207)+SUMIF($D$4:$D$207,D169,$AG$4:$AG$207)+SUMIF($D$4:$D$207,D169,$AE$4:$AE$207))</f>
      </c>
      <c r="AO169" s="27">
        <f>IF($B169&lt;&gt;"Challan","",P169-N169)</f>
      </c>
      <c r="AP169" s="27">
        <f>IF($B169&lt;&gt;"Challan","",MAX(0,AO169-AN169))</f>
      </c>
      <c r="AQ169" s="33">
        <f>IF($B169&lt;&gt;"Entry","",SUMPRODUCT(($D$4:$D$207=D169)*($B$4:$B$207="Challan")*$F$4:$F$207))</f>
      </c>
      <c r="AR169" s="34">
        <f>IF(OR($B169&lt;&gt;"Entry",Z169=""),FALSE,AND(SUMPRODUCT(($D$4:$D$207=D169)*($B$4:$B$207="Challan")*($H$4:$H$207&lt;&gt;""))&gt;0,SUMPRODUCT(($D$4:$D$207=D169)*($B$4:$B$207="Challan")*($H$4:$H$207=Z169))=0))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IF(UPPER(MID(W170,4,1))="L","LLP",IF(UPPER(MID(W170,4,1))="T","Trust",IF(UPPER(MID(W170,4,1))="A","AOP","")))))))),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IF($B170&lt;&gt;"Challan","",SUMIF($D$4:$D$207,D170,$AD$4:$AD$207)+SUMIF($D$4:$D$207,D170,$AG$4:$AG$207)+SUMIF($D$4:$D$207,D170,$AE$4:$AE$207))</f>
      </c>
      <c r="AO170" s="27">
        <f>IF($B170&lt;&gt;"Challan","",P170-N170)</f>
      </c>
      <c r="AP170" s="27">
        <f>IF($B170&lt;&gt;"Challan","",MAX(0,AO170-AN170))</f>
      </c>
      <c r="AQ170" s="33">
        <f>IF($B170&lt;&gt;"Entry","",SUMPRODUCT(($D$4:$D$207=D170)*($B$4:$B$207="Challan")*$F$4:$F$207))</f>
      </c>
      <c r="AR170" s="34">
        <f>IF(OR($B170&lt;&gt;"Entry",Z170=""),FALSE,AND(SUMPRODUCT(($D$4:$D$207=D170)*($B$4:$B$207="Challan")*($H$4:$H$207&lt;&gt;""))&gt;0,SUMPRODUCT(($D$4:$D$207=D170)*($B$4:$B$207="Challan")*($H$4:$H$207=Z170))=0))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IF(UPPER(MID(W171,4,1))="L","LLP",IF(UPPER(MID(W171,4,1))="T","Trust",IF(UPPER(MID(W171,4,1))="A","AOP","")))))))),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IF($B171&lt;&gt;"Challan","",SUMIF($D$4:$D$207,D171,$AD$4:$AD$207)+SUMIF($D$4:$D$207,D171,$AG$4:$AG$207)+SUMIF($D$4:$D$207,D171,$AE$4:$AE$207))</f>
      </c>
      <c r="AO171" s="27">
        <f>IF($B171&lt;&gt;"Challan","",P171-N171)</f>
      </c>
      <c r="AP171" s="27">
        <f>IF($B171&lt;&gt;"Challan","",MAX(0,AO171-AN171))</f>
      </c>
      <c r="AQ171" s="33">
        <f>IF($B171&lt;&gt;"Entry","",SUMPRODUCT(($D$4:$D$207=D171)*($B$4:$B$207="Challan")*$F$4:$F$207))</f>
      </c>
      <c r="AR171" s="34">
        <f>IF(OR($B171&lt;&gt;"Entry",Z171=""),FALSE,AND(SUMPRODUCT(($D$4:$D$207=D171)*($B$4:$B$207="Challan")*($H$4:$H$207&lt;&gt;""))&gt;0,SUMPRODUCT(($D$4:$D$207=D171)*($B$4:$B$207="Challan")*($H$4:$H$207=Z171))=0))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IF(UPPER(MID(W172,4,1))="L","LLP",IF(UPPER(MID(W172,4,1))="T","Trust",IF(UPPER(MID(W172,4,1))="A","AOP","")))))))),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IF($B172&lt;&gt;"Challan","",SUMIF($D$4:$D$207,D172,$AD$4:$AD$207)+SUMIF($D$4:$D$207,D172,$AG$4:$AG$207)+SUMIF($D$4:$D$207,D172,$AE$4:$AE$207))</f>
      </c>
      <c r="AO172" s="27">
        <f>IF($B172&lt;&gt;"Challan","",P172-N172)</f>
      </c>
      <c r="AP172" s="27">
        <f>IF($B172&lt;&gt;"Challan","",MAX(0,AO172-AN172))</f>
      </c>
      <c r="AQ172" s="33">
        <f>IF($B172&lt;&gt;"Entry","",SUMPRODUCT(($D$4:$D$207=D172)*($B$4:$B$207="Challan")*$F$4:$F$207))</f>
      </c>
      <c r="AR172" s="34">
        <f>IF(OR($B172&lt;&gt;"Entry",Z172=""),FALSE,AND(SUMPRODUCT(($D$4:$D$207=D172)*($B$4:$B$207="Challan")*($H$4:$H$207&lt;&gt;""))&gt;0,SUMPRODUCT(($D$4:$D$207=D172)*($B$4:$B$207="Challan")*($H$4:$H$207=Z172))=0))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IF(UPPER(MID(W173,4,1))="L","LLP",IF(UPPER(MID(W173,4,1))="T","Trust",IF(UPPER(MID(W173,4,1))="A","AOP","")))))))),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IF($B173&lt;&gt;"Challan","",SUMIF($D$4:$D$207,D173,$AD$4:$AD$207)+SUMIF($D$4:$D$207,D173,$AG$4:$AG$207)+SUMIF($D$4:$D$207,D173,$AE$4:$AE$207))</f>
      </c>
      <c r="AO173" s="27">
        <f>IF($B173&lt;&gt;"Challan","",P173-N173)</f>
      </c>
      <c r="AP173" s="27">
        <f>IF($B173&lt;&gt;"Challan","",MAX(0,AO173-AN173))</f>
      </c>
      <c r="AQ173" s="33">
        <f>IF($B173&lt;&gt;"Entry","",SUMPRODUCT(($D$4:$D$207=D173)*($B$4:$B$207="Challan")*$F$4:$F$207))</f>
      </c>
      <c r="AR173" s="34">
        <f>IF(OR($B173&lt;&gt;"Entry",Z173=""),FALSE,AND(SUMPRODUCT(($D$4:$D$207=D173)*($B$4:$B$207="Challan")*($H$4:$H$207&lt;&gt;""))&gt;0,SUMPRODUCT(($D$4:$D$207=D173)*($B$4:$B$207="Challan")*($H$4:$H$207=Z173))=0))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IF(UPPER(MID(W174,4,1))="L","LLP",IF(UPPER(MID(W174,4,1))="T","Trust",IF(UPPER(MID(W174,4,1))="A","AOP","")))))))),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IF($B174&lt;&gt;"Challan","",SUMIF($D$4:$D$207,D174,$AD$4:$AD$207)+SUMIF($D$4:$D$207,D174,$AG$4:$AG$207)+SUMIF($D$4:$D$207,D174,$AE$4:$AE$207))</f>
      </c>
      <c r="AO174" s="27">
        <f>IF($B174&lt;&gt;"Challan","",P174-N174)</f>
      </c>
      <c r="AP174" s="27">
        <f>IF($B174&lt;&gt;"Challan","",MAX(0,AO174-AN174))</f>
      </c>
      <c r="AQ174" s="33">
        <f>IF($B174&lt;&gt;"Entry","",SUMPRODUCT(($D$4:$D$207=D174)*($B$4:$B$207="Challan")*$F$4:$F$207))</f>
      </c>
      <c r="AR174" s="34">
        <f>IF(OR($B174&lt;&gt;"Entry",Z174=""),FALSE,AND(SUMPRODUCT(($D$4:$D$207=D174)*($B$4:$B$207="Challan")*($H$4:$H$207&lt;&gt;""))&gt;0,SUMPRODUCT(($D$4:$D$207=D174)*($B$4:$B$207="Challan")*($H$4:$H$207=Z174))=0))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IF(UPPER(MID(W175,4,1))="L","LLP",IF(UPPER(MID(W175,4,1))="T","Trust",IF(UPPER(MID(W175,4,1))="A","AOP","")))))))),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IF($B175&lt;&gt;"Challan","",SUMIF($D$4:$D$207,D175,$AD$4:$AD$207)+SUMIF($D$4:$D$207,D175,$AG$4:$AG$207)+SUMIF($D$4:$D$207,D175,$AE$4:$AE$207))</f>
      </c>
      <c r="AO175" s="27">
        <f>IF($B175&lt;&gt;"Challan","",P175-N175)</f>
      </c>
      <c r="AP175" s="27">
        <f>IF($B175&lt;&gt;"Challan","",MAX(0,AO175-AN175))</f>
      </c>
      <c r="AQ175" s="33">
        <f>IF($B175&lt;&gt;"Entry","",SUMPRODUCT(($D$4:$D$207=D175)*($B$4:$B$207="Challan")*$F$4:$F$207))</f>
      </c>
      <c r="AR175" s="34">
        <f>IF(OR($B175&lt;&gt;"Entry",Z175=""),FALSE,AND(SUMPRODUCT(($D$4:$D$207=D175)*($B$4:$B$207="Challan")*($H$4:$H$207&lt;&gt;""))&gt;0,SUMPRODUCT(($D$4:$D$207=D175)*($B$4:$B$207="Challan")*($H$4:$H$207=Z175))=0))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IF(UPPER(MID(W176,4,1))="L","LLP",IF(UPPER(MID(W176,4,1))="T","Trust",IF(UPPER(MID(W176,4,1))="A","AOP","")))))))),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IF($B176&lt;&gt;"Challan","",SUMIF($D$4:$D$207,D176,$AD$4:$AD$207)+SUMIF($D$4:$D$207,D176,$AG$4:$AG$207)+SUMIF($D$4:$D$207,D176,$AE$4:$AE$207))</f>
      </c>
      <c r="AO176" s="27">
        <f>IF($B176&lt;&gt;"Challan","",P176-N176)</f>
      </c>
      <c r="AP176" s="27">
        <f>IF($B176&lt;&gt;"Challan","",MAX(0,AO176-AN176))</f>
      </c>
      <c r="AQ176" s="33">
        <f>IF($B176&lt;&gt;"Entry","",SUMPRODUCT(($D$4:$D$207=D176)*($B$4:$B$207="Challan")*$F$4:$F$207))</f>
      </c>
      <c r="AR176" s="34">
        <f>IF(OR($B176&lt;&gt;"Entry",Z176=""),FALSE,AND(SUMPRODUCT(($D$4:$D$207=D176)*($B$4:$B$207="Challan")*($H$4:$H$207&lt;&gt;""))&gt;0,SUMPRODUCT(($D$4:$D$207=D176)*($B$4:$B$207="Challan")*($H$4:$H$207=Z176))=0))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IF(UPPER(MID(W177,4,1))="L","LLP",IF(UPPER(MID(W177,4,1))="T","Trust",IF(UPPER(MID(W177,4,1))="A","AOP","")))))))),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IF($B177&lt;&gt;"Challan","",SUMIF($D$4:$D$207,D177,$AD$4:$AD$207)+SUMIF($D$4:$D$207,D177,$AG$4:$AG$207)+SUMIF($D$4:$D$207,D177,$AE$4:$AE$207))</f>
      </c>
      <c r="AO177" s="27">
        <f>IF($B177&lt;&gt;"Challan","",P177-N177)</f>
      </c>
      <c r="AP177" s="27">
        <f>IF($B177&lt;&gt;"Challan","",MAX(0,AO177-AN177))</f>
      </c>
      <c r="AQ177" s="33">
        <f>IF($B177&lt;&gt;"Entry","",SUMPRODUCT(($D$4:$D$207=D177)*($B$4:$B$207="Challan")*$F$4:$F$207))</f>
      </c>
      <c r="AR177" s="34">
        <f>IF(OR($B177&lt;&gt;"Entry",Z177=""),FALSE,AND(SUMPRODUCT(($D$4:$D$207=D177)*($B$4:$B$207="Challan")*($H$4:$H$207&lt;&gt;""))&gt;0,SUMPRODUCT(($D$4:$D$207=D177)*($B$4:$B$207="Challan")*($H$4:$H$207=Z177))=0))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IF(UPPER(MID(W178,4,1))="L","LLP",IF(UPPER(MID(W178,4,1))="T","Trust",IF(UPPER(MID(W178,4,1))="A","AOP","")))))))),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IF($B178&lt;&gt;"Challan","",SUMIF($D$4:$D$207,D178,$AD$4:$AD$207)+SUMIF($D$4:$D$207,D178,$AG$4:$AG$207)+SUMIF($D$4:$D$207,D178,$AE$4:$AE$207))</f>
      </c>
      <c r="AO178" s="27">
        <f>IF($B178&lt;&gt;"Challan","",P178-N178)</f>
      </c>
      <c r="AP178" s="27">
        <f>IF($B178&lt;&gt;"Challan","",MAX(0,AO178-AN178))</f>
      </c>
      <c r="AQ178" s="33">
        <f>IF($B178&lt;&gt;"Entry","",SUMPRODUCT(($D$4:$D$207=D178)*($B$4:$B$207="Challan")*$F$4:$F$207))</f>
      </c>
      <c r="AR178" s="34">
        <f>IF(OR($B178&lt;&gt;"Entry",Z178=""),FALSE,AND(SUMPRODUCT(($D$4:$D$207=D178)*($B$4:$B$207="Challan")*($H$4:$H$207&lt;&gt;""))&gt;0,SUMPRODUCT(($D$4:$D$207=D178)*($B$4:$B$207="Challan")*($H$4:$H$207=Z178))=0))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IF(UPPER(MID(W179,4,1))="L","LLP",IF(UPPER(MID(W179,4,1))="T","Trust",IF(UPPER(MID(W179,4,1))="A","AOP","")))))))),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IF($B179&lt;&gt;"Challan","",SUMIF($D$4:$D$207,D179,$AD$4:$AD$207)+SUMIF($D$4:$D$207,D179,$AG$4:$AG$207)+SUMIF($D$4:$D$207,D179,$AE$4:$AE$207))</f>
      </c>
      <c r="AO179" s="27">
        <f>IF($B179&lt;&gt;"Challan","",P179-N179)</f>
      </c>
      <c r="AP179" s="27">
        <f>IF($B179&lt;&gt;"Challan","",MAX(0,AO179-AN179))</f>
      </c>
      <c r="AQ179" s="33">
        <f>IF($B179&lt;&gt;"Entry","",SUMPRODUCT(($D$4:$D$207=D179)*($B$4:$B$207="Challan")*$F$4:$F$207))</f>
      </c>
      <c r="AR179" s="34">
        <f>IF(OR($B179&lt;&gt;"Entry",Z179=""),FALSE,AND(SUMPRODUCT(($D$4:$D$207=D179)*($B$4:$B$207="Challan")*($H$4:$H$207&lt;&gt;""))&gt;0,SUMPRODUCT(($D$4:$D$207=D179)*($B$4:$B$207="Challan")*($H$4:$H$207=Z179))=0))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IF(UPPER(MID(W180,4,1))="L","LLP",IF(UPPER(MID(W180,4,1))="T","Trust",IF(UPPER(MID(W180,4,1))="A","AOP","")))))))),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IF($B180&lt;&gt;"Challan","",SUMIF($D$4:$D$207,D180,$AD$4:$AD$207)+SUMIF($D$4:$D$207,D180,$AG$4:$AG$207)+SUMIF($D$4:$D$207,D180,$AE$4:$AE$207))</f>
      </c>
      <c r="AO180" s="27">
        <f>IF($B180&lt;&gt;"Challan","",P180-N180)</f>
      </c>
      <c r="AP180" s="27">
        <f>IF($B180&lt;&gt;"Challan","",MAX(0,AO180-AN180))</f>
      </c>
      <c r="AQ180" s="33">
        <f>IF($B180&lt;&gt;"Entry","",SUMPRODUCT(($D$4:$D$207=D180)*($B$4:$B$207="Challan")*$F$4:$F$207))</f>
      </c>
      <c r="AR180" s="34">
        <f>IF(OR($B180&lt;&gt;"Entry",Z180=""),FALSE,AND(SUMPRODUCT(($D$4:$D$207=D180)*($B$4:$B$207="Challan")*($H$4:$H$207&lt;&gt;""))&gt;0,SUMPRODUCT(($D$4:$D$207=D180)*($B$4:$B$207="Challan")*($H$4:$H$207=Z180))=0))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IF(UPPER(MID(W181,4,1))="L","LLP",IF(UPPER(MID(W181,4,1))="T","Trust",IF(UPPER(MID(W181,4,1))="A","AOP","")))))))),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IF($B181&lt;&gt;"Challan","",SUMIF($D$4:$D$207,D181,$AD$4:$AD$207)+SUMIF($D$4:$D$207,D181,$AG$4:$AG$207)+SUMIF($D$4:$D$207,D181,$AE$4:$AE$207))</f>
      </c>
      <c r="AO181" s="27">
        <f>IF($B181&lt;&gt;"Challan","",P181-N181)</f>
      </c>
      <c r="AP181" s="27">
        <f>IF($B181&lt;&gt;"Challan","",MAX(0,AO181-AN181))</f>
      </c>
      <c r="AQ181" s="33">
        <f>IF($B181&lt;&gt;"Entry","",SUMPRODUCT(($D$4:$D$207=D181)*($B$4:$B$207="Challan")*$F$4:$F$207))</f>
      </c>
      <c r="AR181" s="34">
        <f>IF(OR($B181&lt;&gt;"Entry",Z181=""),FALSE,AND(SUMPRODUCT(($D$4:$D$207=D181)*($B$4:$B$207="Challan")*($H$4:$H$207&lt;&gt;""))&gt;0,SUMPRODUCT(($D$4:$D$207=D181)*($B$4:$B$207="Challan")*($H$4:$H$207=Z181))=0))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IF(UPPER(MID(W182,4,1))="L","LLP",IF(UPPER(MID(W182,4,1))="T","Trust",IF(UPPER(MID(W182,4,1))="A","AOP","")))))))),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IF($B182&lt;&gt;"Challan","",SUMIF($D$4:$D$207,D182,$AD$4:$AD$207)+SUMIF($D$4:$D$207,D182,$AG$4:$AG$207)+SUMIF($D$4:$D$207,D182,$AE$4:$AE$207))</f>
      </c>
      <c r="AO182" s="27">
        <f>IF($B182&lt;&gt;"Challan","",P182-N182)</f>
      </c>
      <c r="AP182" s="27">
        <f>IF($B182&lt;&gt;"Challan","",MAX(0,AO182-AN182))</f>
      </c>
      <c r="AQ182" s="33">
        <f>IF($B182&lt;&gt;"Entry","",SUMPRODUCT(($D$4:$D$207=D182)*($B$4:$B$207="Challan")*$F$4:$F$207))</f>
      </c>
      <c r="AR182" s="34">
        <f>IF(OR($B182&lt;&gt;"Entry",Z182=""),FALSE,AND(SUMPRODUCT(($D$4:$D$207=D182)*($B$4:$B$207="Challan")*($H$4:$H$207&lt;&gt;""))&gt;0,SUMPRODUCT(($D$4:$D$207=D182)*($B$4:$B$207="Challan")*($H$4:$H$207=Z182))=0))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IF(UPPER(MID(W183,4,1))="L","LLP",IF(UPPER(MID(W183,4,1))="T","Trust",IF(UPPER(MID(W183,4,1))="A","AOP","")))))))),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IF($B183&lt;&gt;"Challan","",SUMIF($D$4:$D$207,D183,$AD$4:$AD$207)+SUMIF($D$4:$D$207,D183,$AG$4:$AG$207)+SUMIF($D$4:$D$207,D183,$AE$4:$AE$207))</f>
      </c>
      <c r="AO183" s="27">
        <f>IF($B183&lt;&gt;"Challan","",P183-N183)</f>
      </c>
      <c r="AP183" s="27">
        <f>IF($B183&lt;&gt;"Challan","",MAX(0,AO183-AN183))</f>
      </c>
      <c r="AQ183" s="33">
        <f>IF($B183&lt;&gt;"Entry","",SUMPRODUCT(($D$4:$D$207=D183)*($B$4:$B$207="Challan")*$F$4:$F$207))</f>
      </c>
      <c r="AR183" s="34">
        <f>IF(OR($B183&lt;&gt;"Entry",Z183=""),FALSE,AND(SUMPRODUCT(($D$4:$D$207=D183)*($B$4:$B$207="Challan")*($H$4:$H$207&lt;&gt;""))&gt;0,SUMPRODUCT(($D$4:$D$207=D183)*($B$4:$B$207="Challan")*($H$4:$H$207=Z183))=0))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IF(UPPER(MID(W184,4,1))="L","LLP",IF(UPPER(MID(W184,4,1))="T","Trust",IF(UPPER(MID(W184,4,1))="A","AOP","")))))))),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IF($B184&lt;&gt;"Challan","",SUMIF($D$4:$D$207,D184,$AD$4:$AD$207)+SUMIF($D$4:$D$207,D184,$AG$4:$AG$207)+SUMIF($D$4:$D$207,D184,$AE$4:$AE$207))</f>
      </c>
      <c r="AO184" s="27">
        <f>IF($B184&lt;&gt;"Challan","",P184-N184)</f>
      </c>
      <c r="AP184" s="27">
        <f>IF($B184&lt;&gt;"Challan","",MAX(0,AO184-AN184))</f>
      </c>
      <c r="AQ184" s="33">
        <f>IF($B184&lt;&gt;"Entry","",SUMPRODUCT(($D$4:$D$207=D184)*($B$4:$B$207="Challan")*$F$4:$F$207))</f>
      </c>
      <c r="AR184" s="34">
        <f>IF(OR($B184&lt;&gt;"Entry",Z184=""),FALSE,AND(SUMPRODUCT(($D$4:$D$207=D184)*($B$4:$B$207="Challan")*($H$4:$H$207&lt;&gt;""))&gt;0,SUMPRODUCT(($D$4:$D$207=D184)*($B$4:$B$207="Challan")*($H$4:$H$207=Z184))=0))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IF(UPPER(MID(W185,4,1))="L","LLP",IF(UPPER(MID(W185,4,1))="T","Trust",IF(UPPER(MID(W185,4,1))="A","AOP","")))))))),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IF($B185&lt;&gt;"Challan","",SUMIF($D$4:$D$207,D185,$AD$4:$AD$207)+SUMIF($D$4:$D$207,D185,$AG$4:$AG$207)+SUMIF($D$4:$D$207,D185,$AE$4:$AE$207))</f>
      </c>
      <c r="AO185" s="27">
        <f>IF($B185&lt;&gt;"Challan","",P185-N185)</f>
      </c>
      <c r="AP185" s="27">
        <f>IF($B185&lt;&gt;"Challan","",MAX(0,AO185-AN185))</f>
      </c>
      <c r="AQ185" s="33">
        <f>IF($B185&lt;&gt;"Entry","",SUMPRODUCT(($D$4:$D$207=D185)*($B$4:$B$207="Challan")*$F$4:$F$207))</f>
      </c>
      <c r="AR185" s="34">
        <f>IF(OR($B185&lt;&gt;"Entry",Z185=""),FALSE,AND(SUMPRODUCT(($D$4:$D$207=D185)*($B$4:$B$207="Challan")*($H$4:$H$207&lt;&gt;""))&gt;0,SUMPRODUCT(($D$4:$D$207=D185)*($B$4:$B$207="Challan")*($H$4:$H$207=Z185))=0))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IF(UPPER(MID(W186,4,1))="L","LLP",IF(UPPER(MID(W186,4,1))="T","Trust",IF(UPPER(MID(W186,4,1))="A","AOP","")))))))),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IF($B186&lt;&gt;"Challan","",SUMIF($D$4:$D$207,D186,$AD$4:$AD$207)+SUMIF($D$4:$D$207,D186,$AG$4:$AG$207)+SUMIF($D$4:$D$207,D186,$AE$4:$AE$207))</f>
      </c>
      <c r="AO186" s="27">
        <f>IF($B186&lt;&gt;"Challan","",P186-N186)</f>
      </c>
      <c r="AP186" s="27">
        <f>IF($B186&lt;&gt;"Challan","",MAX(0,AO186-AN186))</f>
      </c>
      <c r="AQ186" s="33">
        <f>IF($B186&lt;&gt;"Entry","",SUMPRODUCT(($D$4:$D$207=D186)*($B$4:$B$207="Challan")*$F$4:$F$207))</f>
      </c>
      <c r="AR186" s="34">
        <f>IF(OR($B186&lt;&gt;"Entry",Z186=""),FALSE,AND(SUMPRODUCT(($D$4:$D$207=D186)*($B$4:$B$207="Challan")*($H$4:$H$207&lt;&gt;""))&gt;0,SUMPRODUCT(($D$4:$D$207=D186)*($B$4:$B$207="Challan")*($H$4:$H$207=Z186))=0))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IF(UPPER(MID(W187,4,1))="L","LLP",IF(UPPER(MID(W187,4,1))="T","Trust",IF(UPPER(MID(W187,4,1))="A","AOP","")))))))),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IF($B187&lt;&gt;"Challan","",SUMIF($D$4:$D$207,D187,$AD$4:$AD$207)+SUMIF($D$4:$D$207,D187,$AG$4:$AG$207)+SUMIF($D$4:$D$207,D187,$AE$4:$AE$207))</f>
      </c>
      <c r="AO187" s="27">
        <f>IF($B187&lt;&gt;"Challan","",P187-N187)</f>
      </c>
      <c r="AP187" s="27">
        <f>IF($B187&lt;&gt;"Challan","",MAX(0,AO187-AN187))</f>
      </c>
      <c r="AQ187" s="33">
        <f>IF($B187&lt;&gt;"Entry","",SUMPRODUCT(($D$4:$D$207=D187)*($B$4:$B$207="Challan")*$F$4:$F$207))</f>
      </c>
      <c r="AR187" s="34">
        <f>IF(OR($B187&lt;&gt;"Entry",Z187=""),FALSE,AND(SUMPRODUCT(($D$4:$D$207=D187)*($B$4:$B$207="Challan")*($H$4:$H$207&lt;&gt;""))&gt;0,SUMPRODUCT(($D$4:$D$207=D187)*($B$4:$B$207="Challan")*($H$4:$H$207=Z187))=0))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IF(UPPER(MID(W188,4,1))="L","LLP",IF(UPPER(MID(W188,4,1))="T","Trust",IF(UPPER(MID(W188,4,1))="A","AOP","")))))))),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IF($B188&lt;&gt;"Challan","",SUMIF($D$4:$D$207,D188,$AD$4:$AD$207)+SUMIF($D$4:$D$207,D188,$AG$4:$AG$207)+SUMIF($D$4:$D$207,D188,$AE$4:$AE$207))</f>
      </c>
      <c r="AO188" s="27">
        <f>IF($B188&lt;&gt;"Challan","",P188-N188)</f>
      </c>
      <c r="AP188" s="27">
        <f>IF($B188&lt;&gt;"Challan","",MAX(0,AO188-AN188))</f>
      </c>
      <c r="AQ188" s="33">
        <f>IF($B188&lt;&gt;"Entry","",SUMPRODUCT(($D$4:$D$207=D188)*($B$4:$B$207="Challan")*$F$4:$F$207))</f>
      </c>
      <c r="AR188" s="34">
        <f>IF(OR($B188&lt;&gt;"Entry",Z188=""),FALSE,AND(SUMPRODUCT(($D$4:$D$207=D188)*($B$4:$B$207="Challan")*($H$4:$H$207&lt;&gt;""))&gt;0,SUMPRODUCT(($D$4:$D$207=D188)*($B$4:$B$207="Challan")*($H$4:$H$207=Z188))=0))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IF(UPPER(MID(W189,4,1))="L","LLP",IF(UPPER(MID(W189,4,1))="T","Trust",IF(UPPER(MID(W189,4,1))="A","AOP","")))))))),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IF($B189&lt;&gt;"Challan","",SUMIF($D$4:$D$207,D189,$AD$4:$AD$207)+SUMIF($D$4:$D$207,D189,$AG$4:$AG$207)+SUMIF($D$4:$D$207,D189,$AE$4:$AE$207))</f>
      </c>
      <c r="AO189" s="27">
        <f>IF($B189&lt;&gt;"Challan","",P189-N189)</f>
      </c>
      <c r="AP189" s="27">
        <f>IF($B189&lt;&gt;"Challan","",MAX(0,AO189-AN189))</f>
      </c>
      <c r="AQ189" s="33">
        <f>IF($B189&lt;&gt;"Entry","",SUMPRODUCT(($D$4:$D$207=D189)*($B$4:$B$207="Challan")*$F$4:$F$207))</f>
      </c>
      <c r="AR189" s="34">
        <f>IF(OR($B189&lt;&gt;"Entry",Z189=""),FALSE,AND(SUMPRODUCT(($D$4:$D$207=D189)*($B$4:$B$207="Challan")*($H$4:$H$207&lt;&gt;""))&gt;0,SUMPRODUCT(($D$4:$D$207=D189)*($B$4:$B$207="Challan")*($H$4:$H$207=Z189))=0))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IF(UPPER(MID(W190,4,1))="L","LLP",IF(UPPER(MID(W190,4,1))="T","Trust",IF(UPPER(MID(W190,4,1))="A","AOP","")))))))),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IF($B190&lt;&gt;"Challan","",SUMIF($D$4:$D$207,D190,$AD$4:$AD$207)+SUMIF($D$4:$D$207,D190,$AG$4:$AG$207)+SUMIF($D$4:$D$207,D190,$AE$4:$AE$207))</f>
      </c>
      <c r="AO190" s="27">
        <f>IF($B190&lt;&gt;"Challan","",P190-N190)</f>
      </c>
      <c r="AP190" s="27">
        <f>IF($B190&lt;&gt;"Challan","",MAX(0,AO190-AN190))</f>
      </c>
      <c r="AQ190" s="33">
        <f>IF($B190&lt;&gt;"Entry","",SUMPRODUCT(($D$4:$D$207=D190)*($B$4:$B$207="Challan")*$F$4:$F$207))</f>
      </c>
      <c r="AR190" s="34">
        <f>IF(OR($B190&lt;&gt;"Entry",Z190=""),FALSE,AND(SUMPRODUCT(($D$4:$D$207=D190)*($B$4:$B$207="Challan")*($H$4:$H$207&lt;&gt;""))&gt;0,SUMPRODUCT(($D$4:$D$207=D190)*($B$4:$B$207="Challan")*($H$4:$H$207=Z190))=0))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IF(UPPER(MID(W191,4,1))="L","LLP",IF(UPPER(MID(W191,4,1))="T","Trust",IF(UPPER(MID(W191,4,1))="A","AOP","")))))))),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IF($B191&lt;&gt;"Challan","",SUMIF($D$4:$D$207,D191,$AD$4:$AD$207)+SUMIF($D$4:$D$207,D191,$AG$4:$AG$207)+SUMIF($D$4:$D$207,D191,$AE$4:$AE$207))</f>
      </c>
      <c r="AO191" s="27">
        <f>IF($B191&lt;&gt;"Challan","",P191-N191)</f>
      </c>
      <c r="AP191" s="27">
        <f>IF($B191&lt;&gt;"Challan","",MAX(0,AO191-AN191))</f>
      </c>
      <c r="AQ191" s="33">
        <f>IF($B191&lt;&gt;"Entry","",SUMPRODUCT(($D$4:$D$207=D191)*($B$4:$B$207="Challan")*$F$4:$F$207))</f>
      </c>
      <c r="AR191" s="34">
        <f>IF(OR($B191&lt;&gt;"Entry",Z191=""),FALSE,AND(SUMPRODUCT(($D$4:$D$207=D191)*($B$4:$B$207="Challan")*($H$4:$H$207&lt;&gt;""))&gt;0,SUMPRODUCT(($D$4:$D$207=D191)*($B$4:$B$207="Challan")*($H$4:$H$207=Z191))=0))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IF(UPPER(MID(W192,4,1))="L","LLP",IF(UPPER(MID(W192,4,1))="T","Trust",IF(UPPER(MID(W192,4,1))="A","AOP","")))))))),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IF($B192&lt;&gt;"Challan","",SUMIF($D$4:$D$207,D192,$AD$4:$AD$207)+SUMIF($D$4:$D$207,D192,$AG$4:$AG$207)+SUMIF($D$4:$D$207,D192,$AE$4:$AE$207))</f>
      </c>
      <c r="AO192" s="27">
        <f>IF($B192&lt;&gt;"Challan","",P192-N192)</f>
      </c>
      <c r="AP192" s="27">
        <f>IF($B192&lt;&gt;"Challan","",MAX(0,AO192-AN192))</f>
      </c>
      <c r="AQ192" s="33">
        <f>IF($B192&lt;&gt;"Entry","",SUMPRODUCT(($D$4:$D$207=D192)*($B$4:$B$207="Challan")*$F$4:$F$207))</f>
      </c>
      <c r="AR192" s="34">
        <f>IF(OR($B192&lt;&gt;"Entry",Z192=""),FALSE,AND(SUMPRODUCT(($D$4:$D$207=D192)*($B$4:$B$207="Challan")*($H$4:$H$207&lt;&gt;""))&gt;0,SUMPRODUCT(($D$4:$D$207=D192)*($B$4:$B$207="Challan")*($H$4:$H$207=Z192))=0))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IF(UPPER(MID(W193,4,1))="L","LLP",IF(UPPER(MID(W193,4,1))="T","Trust",IF(UPPER(MID(W193,4,1))="A","AOP","")))))))),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IF($B193&lt;&gt;"Challan","",SUMIF($D$4:$D$207,D193,$AD$4:$AD$207)+SUMIF($D$4:$D$207,D193,$AG$4:$AG$207)+SUMIF($D$4:$D$207,D193,$AE$4:$AE$207))</f>
      </c>
      <c r="AO193" s="27">
        <f>IF($B193&lt;&gt;"Challan","",P193-N193)</f>
      </c>
      <c r="AP193" s="27">
        <f>IF($B193&lt;&gt;"Challan","",MAX(0,AO193-AN193))</f>
      </c>
      <c r="AQ193" s="33">
        <f>IF($B193&lt;&gt;"Entry","",SUMPRODUCT(($D$4:$D$207=D193)*($B$4:$B$207="Challan")*$F$4:$F$207))</f>
      </c>
      <c r="AR193" s="34">
        <f>IF(OR($B193&lt;&gt;"Entry",Z193=""),FALSE,AND(SUMPRODUCT(($D$4:$D$207=D193)*($B$4:$B$207="Challan")*($H$4:$H$207&lt;&gt;""))&gt;0,SUMPRODUCT(($D$4:$D$207=D193)*($B$4:$B$207="Challan")*($H$4:$H$207=Z193))=0))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IF(UPPER(MID(W194,4,1))="L","LLP",IF(UPPER(MID(W194,4,1))="T","Trust",IF(UPPER(MID(W194,4,1))="A","AOP","")))))))),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IF($B194&lt;&gt;"Challan","",SUMIF($D$4:$D$207,D194,$AD$4:$AD$207)+SUMIF($D$4:$D$207,D194,$AG$4:$AG$207)+SUMIF($D$4:$D$207,D194,$AE$4:$AE$207))</f>
      </c>
      <c r="AO194" s="27">
        <f>IF($B194&lt;&gt;"Challan","",P194-N194)</f>
      </c>
      <c r="AP194" s="27">
        <f>IF($B194&lt;&gt;"Challan","",MAX(0,AO194-AN194))</f>
      </c>
      <c r="AQ194" s="33">
        <f>IF($B194&lt;&gt;"Entry","",SUMPRODUCT(($D$4:$D$207=D194)*($B$4:$B$207="Challan")*$F$4:$F$207))</f>
      </c>
      <c r="AR194" s="34">
        <f>IF(OR($B194&lt;&gt;"Entry",Z194=""),FALSE,AND(SUMPRODUCT(($D$4:$D$207=D194)*($B$4:$B$207="Challan")*($H$4:$H$207&lt;&gt;""))&gt;0,SUMPRODUCT(($D$4:$D$207=D194)*($B$4:$B$207="Challan")*($H$4:$H$207=Z194))=0))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IF(UPPER(MID(W195,4,1))="L","LLP",IF(UPPER(MID(W195,4,1))="T","Trust",IF(UPPER(MID(W195,4,1))="A","AOP","")))))))),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IF($B195&lt;&gt;"Challan","",SUMIF($D$4:$D$207,D195,$AD$4:$AD$207)+SUMIF($D$4:$D$207,D195,$AG$4:$AG$207)+SUMIF($D$4:$D$207,D195,$AE$4:$AE$207))</f>
      </c>
      <c r="AO195" s="27">
        <f>IF($B195&lt;&gt;"Challan","",P195-N195)</f>
      </c>
      <c r="AP195" s="27">
        <f>IF($B195&lt;&gt;"Challan","",MAX(0,AO195-AN195))</f>
      </c>
      <c r="AQ195" s="33">
        <f>IF($B195&lt;&gt;"Entry","",SUMPRODUCT(($D$4:$D$207=D195)*($B$4:$B$207="Challan")*$F$4:$F$207))</f>
      </c>
      <c r="AR195" s="34">
        <f>IF(OR($B195&lt;&gt;"Entry",Z195=""),FALSE,AND(SUMPRODUCT(($D$4:$D$207=D195)*($B$4:$B$207="Challan")*($H$4:$H$207&lt;&gt;""))&gt;0,SUMPRODUCT(($D$4:$D$207=D195)*($B$4:$B$207="Challan")*($H$4:$H$207=Z195))=0))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IF(UPPER(MID(W196,4,1))="L","LLP",IF(UPPER(MID(W196,4,1))="T","Trust",IF(UPPER(MID(W196,4,1))="A","AOP","")))))))),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IF($B196&lt;&gt;"Challan","",SUMIF($D$4:$D$207,D196,$AD$4:$AD$207)+SUMIF($D$4:$D$207,D196,$AG$4:$AG$207)+SUMIF($D$4:$D$207,D196,$AE$4:$AE$207))</f>
      </c>
      <c r="AO196" s="27">
        <f>IF($B196&lt;&gt;"Challan","",P196-N196)</f>
      </c>
      <c r="AP196" s="27">
        <f>IF($B196&lt;&gt;"Challan","",MAX(0,AO196-AN196))</f>
      </c>
      <c r="AQ196" s="33">
        <f>IF($B196&lt;&gt;"Entry","",SUMPRODUCT(($D$4:$D$207=D196)*($B$4:$B$207="Challan")*$F$4:$F$207))</f>
      </c>
      <c r="AR196" s="34">
        <f>IF(OR($B196&lt;&gt;"Entry",Z196=""),FALSE,AND(SUMPRODUCT(($D$4:$D$207=D196)*($B$4:$B$207="Challan")*($H$4:$H$207&lt;&gt;""))&gt;0,SUMPRODUCT(($D$4:$D$207=D196)*($B$4:$B$207="Challan")*($H$4:$H$207=Z196))=0))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IF(UPPER(MID(W197,4,1))="L","LLP",IF(UPPER(MID(W197,4,1))="T","Trust",IF(UPPER(MID(W197,4,1))="A","AOP","")))))))),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IF($B197&lt;&gt;"Challan","",SUMIF($D$4:$D$207,D197,$AD$4:$AD$207)+SUMIF($D$4:$D$207,D197,$AG$4:$AG$207)+SUMIF($D$4:$D$207,D197,$AE$4:$AE$207))</f>
      </c>
      <c r="AO197" s="27">
        <f>IF($B197&lt;&gt;"Challan","",P197-N197)</f>
      </c>
      <c r="AP197" s="27">
        <f>IF($B197&lt;&gt;"Challan","",MAX(0,AO197-AN197))</f>
      </c>
      <c r="AQ197" s="33">
        <f>IF($B197&lt;&gt;"Entry","",SUMPRODUCT(($D$4:$D$207=D197)*($B$4:$B$207="Challan")*$F$4:$F$207))</f>
      </c>
      <c r="AR197" s="34">
        <f>IF(OR($B197&lt;&gt;"Entry",Z197=""),FALSE,AND(SUMPRODUCT(($D$4:$D$207=D197)*($B$4:$B$207="Challan")*($H$4:$H$207&lt;&gt;""))&gt;0,SUMPRODUCT(($D$4:$D$207=D197)*($B$4:$B$207="Challan")*($H$4:$H$207=Z197))=0))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IF(UPPER(MID(W198,4,1))="L","LLP",IF(UPPER(MID(W198,4,1))="T","Trust",IF(UPPER(MID(W198,4,1))="A","AOP","")))))))),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IF($B198&lt;&gt;"Challan","",SUMIF($D$4:$D$207,D198,$AD$4:$AD$207)+SUMIF($D$4:$D$207,D198,$AG$4:$AG$207)+SUMIF($D$4:$D$207,D198,$AE$4:$AE$207))</f>
      </c>
      <c r="AO198" s="27">
        <f>IF($B198&lt;&gt;"Challan","",P198-N198)</f>
      </c>
      <c r="AP198" s="27">
        <f>IF($B198&lt;&gt;"Challan","",MAX(0,AO198-AN198))</f>
      </c>
      <c r="AQ198" s="33">
        <f>IF($B198&lt;&gt;"Entry","",SUMPRODUCT(($D$4:$D$207=D198)*($B$4:$B$207="Challan")*$F$4:$F$207))</f>
      </c>
      <c r="AR198" s="34">
        <f>IF(OR($B198&lt;&gt;"Entry",Z198=""),FALSE,AND(SUMPRODUCT(($D$4:$D$207=D198)*($B$4:$B$207="Challan")*($H$4:$H$207&lt;&gt;""))&gt;0,SUMPRODUCT(($D$4:$D$207=D198)*($B$4:$B$207="Challan")*($H$4:$H$207=Z198))=0))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IF(UPPER(MID(W199,4,1))="L","LLP",IF(UPPER(MID(W199,4,1))="T","Trust",IF(UPPER(MID(W199,4,1))="A","AOP","")))))))),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IF($B199&lt;&gt;"Challan","",SUMIF($D$4:$D$207,D199,$AD$4:$AD$207)+SUMIF($D$4:$D$207,D199,$AG$4:$AG$207)+SUMIF($D$4:$D$207,D199,$AE$4:$AE$207))</f>
      </c>
      <c r="AO199" s="27">
        <f>IF($B199&lt;&gt;"Challan","",P199-N199)</f>
      </c>
      <c r="AP199" s="27">
        <f>IF($B199&lt;&gt;"Challan","",MAX(0,AO199-AN199))</f>
      </c>
      <c r="AQ199" s="33">
        <f>IF($B199&lt;&gt;"Entry","",SUMPRODUCT(($D$4:$D$207=D199)*($B$4:$B$207="Challan")*$F$4:$F$207))</f>
      </c>
      <c r="AR199" s="34">
        <f>IF(OR($B199&lt;&gt;"Entry",Z199=""),FALSE,AND(SUMPRODUCT(($D$4:$D$207=D199)*($B$4:$B$207="Challan")*($H$4:$H$207&lt;&gt;""))&gt;0,SUMPRODUCT(($D$4:$D$207=D199)*($B$4:$B$207="Challan")*($H$4:$H$207=Z199))=0))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IF(UPPER(MID(W200,4,1))="L","LLP",IF(UPPER(MID(W200,4,1))="T","Trust",IF(UPPER(MID(W200,4,1))="A","AOP","")))))))),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IF($B200&lt;&gt;"Challan","",SUMIF($D$4:$D$207,D200,$AD$4:$AD$207)+SUMIF($D$4:$D$207,D200,$AG$4:$AG$207)+SUMIF($D$4:$D$207,D200,$AE$4:$AE$207))</f>
      </c>
      <c r="AO200" s="27">
        <f>IF($B200&lt;&gt;"Challan","",P200-N200)</f>
      </c>
      <c r="AP200" s="27">
        <f>IF($B200&lt;&gt;"Challan","",MAX(0,AO200-AN200))</f>
      </c>
      <c r="AQ200" s="33">
        <f>IF($B200&lt;&gt;"Entry","",SUMPRODUCT(($D$4:$D$207=D200)*($B$4:$B$207="Challan")*$F$4:$F$207))</f>
      </c>
      <c r="AR200" s="34">
        <f>IF(OR($B200&lt;&gt;"Entry",Z200=""),FALSE,AND(SUMPRODUCT(($D$4:$D$207=D200)*($B$4:$B$207="Challan")*($H$4:$H$207&lt;&gt;""))&gt;0,SUMPRODUCT(($D$4:$D$207=D200)*($B$4:$B$207="Challan")*($H$4:$H$207=Z200))=0))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IF(UPPER(MID(W201,4,1))="L","LLP",IF(UPPER(MID(W201,4,1))="T","Trust",IF(UPPER(MID(W201,4,1))="A","AOP","")))))))),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IF($B201&lt;&gt;"Challan","",SUMIF($D$4:$D$207,D201,$AD$4:$AD$207)+SUMIF($D$4:$D$207,D201,$AG$4:$AG$207)+SUMIF($D$4:$D$207,D201,$AE$4:$AE$207))</f>
      </c>
      <c r="AO201" s="27">
        <f>IF($B201&lt;&gt;"Challan","",P201-N201)</f>
      </c>
      <c r="AP201" s="27">
        <f>IF($B201&lt;&gt;"Challan","",MAX(0,AO201-AN201))</f>
      </c>
      <c r="AQ201" s="33">
        <f>IF($B201&lt;&gt;"Entry","",SUMPRODUCT(($D$4:$D$207=D201)*($B$4:$B$207="Challan")*$F$4:$F$207))</f>
      </c>
      <c r="AR201" s="34">
        <f>IF(OR($B201&lt;&gt;"Entry",Z201=""),FALSE,AND(SUMPRODUCT(($D$4:$D$207=D201)*($B$4:$B$207="Challan")*($H$4:$H$207&lt;&gt;""))&gt;0,SUMPRODUCT(($D$4:$D$207=D201)*($B$4:$B$207="Challan")*($H$4:$H$207=Z201))=0))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IF(UPPER(MID(W202,4,1))="L","LLP",IF(UPPER(MID(W202,4,1))="T","Trust",IF(UPPER(MID(W202,4,1))="A","AOP","")))))))),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IF($B202&lt;&gt;"Challan","",SUMIF($D$4:$D$207,D202,$AD$4:$AD$207)+SUMIF($D$4:$D$207,D202,$AG$4:$AG$207)+SUMIF($D$4:$D$207,D202,$AE$4:$AE$207))</f>
      </c>
      <c r="AO202" s="27">
        <f>IF($B202&lt;&gt;"Challan","",P202-N202)</f>
      </c>
      <c r="AP202" s="27">
        <f>IF($B202&lt;&gt;"Challan","",MAX(0,AO202-AN202))</f>
      </c>
      <c r="AQ202" s="33">
        <f>IF($B202&lt;&gt;"Entry","",SUMPRODUCT(($D$4:$D$207=D202)*($B$4:$B$207="Challan")*$F$4:$F$207))</f>
      </c>
      <c r="AR202" s="34">
        <f>IF(OR($B202&lt;&gt;"Entry",Z202=""),FALSE,AND(SUMPRODUCT(($D$4:$D$207=D202)*($B$4:$B$207="Challan")*($H$4:$H$207&lt;&gt;""))&gt;0,SUMPRODUCT(($D$4:$D$207=D202)*($B$4:$B$207="Challan")*($H$4:$H$207=Z202))=0))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IF(UPPER(MID(W203,4,1))="L","LLP",IF(UPPER(MID(W203,4,1))="T","Trust",IF(UPPER(MID(W203,4,1))="A","AOP","")))))))),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IF($B203&lt;&gt;"Challan","",SUMIF($D$4:$D$207,D203,$AD$4:$AD$207)+SUMIF($D$4:$D$207,D203,$AG$4:$AG$207)+SUMIF($D$4:$D$207,D203,$AE$4:$AE$207))</f>
      </c>
      <c r="AO203" s="27">
        <f>IF($B203&lt;&gt;"Challan","",P203-N203)</f>
      </c>
      <c r="AP203" s="27">
        <f>IF($B203&lt;&gt;"Challan","",MAX(0,AO203-AN203))</f>
      </c>
      <c r="AQ203" s="33">
        <f>IF($B203&lt;&gt;"Entry","",SUMPRODUCT(($D$4:$D$207=D203)*($B$4:$B$207="Challan")*$F$4:$F$207))</f>
      </c>
      <c r="AR203" s="34">
        <f>IF(OR($B203&lt;&gt;"Entry",Z203=""),FALSE,AND(SUMPRODUCT(($D$4:$D$207=D203)*($B$4:$B$207="Challan")*($H$4:$H$207&lt;&gt;""))&gt;0,SUMPRODUCT(($D$4:$D$207=D203)*($B$4:$B$207="Challan")*($H$4:$H$207=Z203))=0))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IF(UPPER(MID(W204,4,1))="L","LLP",IF(UPPER(MID(W204,4,1))="T","Trust",IF(UPPER(MID(W204,4,1))="A","AOP","")))))))),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IF($B204&lt;&gt;"Challan","",SUMIF($D$4:$D$207,D204,$AD$4:$AD$207)+SUMIF($D$4:$D$207,D204,$AG$4:$AG$207)+SUMIF($D$4:$D$207,D204,$AE$4:$AE$207))</f>
      </c>
      <c r="AO204" s="27">
        <f>IF($B204&lt;&gt;"Challan","",P204-N204)</f>
      </c>
      <c r="AP204" s="27">
        <f>IF($B204&lt;&gt;"Challan","",MAX(0,AO204-AN204))</f>
      </c>
      <c r="AQ204" s="33">
        <f>IF($B204&lt;&gt;"Entry","",SUMPRODUCT(($D$4:$D$207=D204)*($B$4:$B$207="Challan")*$F$4:$F$207))</f>
      </c>
      <c r="AR204" s="34">
        <f>IF(OR($B204&lt;&gt;"Entry",Z204=""),FALSE,AND(SUMPRODUCT(($D$4:$D$207=D204)*($B$4:$B$207="Challan")*($H$4:$H$207&lt;&gt;""))&gt;0,SUMPRODUCT(($D$4:$D$207=D204)*($B$4:$B$207="Challan")*($H$4:$H$207=Z204))=0))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IF(UPPER(MID(W205,4,1))="L","LLP",IF(UPPER(MID(W205,4,1))="T","Trust",IF(UPPER(MID(W205,4,1))="A","AOP","")))))))),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IF($B205&lt;&gt;"Challan","",SUMIF($D$4:$D$207,D205,$AD$4:$AD$207)+SUMIF($D$4:$D$207,D205,$AG$4:$AG$207)+SUMIF($D$4:$D$207,D205,$AE$4:$AE$207))</f>
      </c>
      <c r="AO205" s="27">
        <f>IF($B205&lt;&gt;"Challan","",P205-N205)</f>
      </c>
      <c r="AP205" s="27">
        <f>IF($B205&lt;&gt;"Challan","",MAX(0,AO205-AN205))</f>
      </c>
      <c r="AQ205" s="33">
        <f>IF($B205&lt;&gt;"Entry","",SUMPRODUCT(($D$4:$D$207=D205)*($B$4:$B$207="Challan")*$F$4:$F$207))</f>
      </c>
      <c r="AR205" s="34">
        <f>IF(OR($B205&lt;&gt;"Entry",Z205=""),FALSE,AND(SUMPRODUCT(($D$4:$D$207=D205)*($B$4:$B$207="Challan")*($H$4:$H$207&lt;&gt;""))&gt;0,SUMPRODUCT(($D$4:$D$207=D205)*($B$4:$B$207="Challan")*($H$4:$H$207=Z205))=0))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IF(UPPER(MID(W206,4,1))="L","LLP",IF(UPPER(MID(W206,4,1))="T","Trust",IF(UPPER(MID(W206,4,1))="A","AOP","")))))))),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IF($B206&lt;&gt;"Challan","",SUMIF($D$4:$D$207,D206,$AD$4:$AD$207)+SUMIF($D$4:$D$207,D206,$AG$4:$AG$207)+SUMIF($D$4:$D$207,D206,$AE$4:$AE$207))</f>
      </c>
      <c r="AO206" s="27">
        <f>IF($B206&lt;&gt;"Challan","",P206-N206)</f>
      </c>
      <c r="AP206" s="27">
        <f>IF($B206&lt;&gt;"Challan","",MAX(0,AO206-AN206))</f>
      </c>
      <c r="AQ206" s="33">
        <f>IF($B206&lt;&gt;"Entry","",SUMPRODUCT(($D$4:$D$207=D206)*($B$4:$B$207="Challan")*$F$4:$F$207))</f>
      </c>
      <c r="AR206" s="34">
        <f>IF(OR($B206&lt;&gt;"Entry",Z206=""),FALSE,AND(SUMPRODUCT(($D$4:$D$207=D206)*($B$4:$B$207="Challan")*($H$4:$H$207&lt;&gt;""))&gt;0,SUMPRODUCT(($D$4:$D$207=D206)*($B$4:$B$207="Challan")*($H$4:$H$207=Z206))=0))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IF(UPPER(MID(W207,4,1))="L","LLP",IF(UPPER(MID(W207,4,1))="T","Trust",IF(UPPER(MID(W207,4,1))="A","AOP","")))))))),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IF($B207&lt;&gt;"Challan","",SUMIF($D$4:$D$207,D207,$AD$4:$AD$207)+SUMIF($D$4:$D$207,D207,$AG$4:$AG$207)+SUMIF($D$4:$D$207,D207,$AE$4:$AE$207))</f>
      </c>
      <c r="AO207" s="27">
        <f>IF($B207&lt;&gt;"Challan","",P207-N207)</f>
      </c>
      <c r="AP207" s="27">
        <f>IF($B207&lt;&gt;"Challan","",MAX(0,AO207-AN207))</f>
      </c>
      <c r="AQ207" s="33">
        <f>IF($B207&lt;&gt;"Entry","",SUMPRODUCT(($D$4:$D$207=D207)*($B$4:$B$207="Challan")*$F$4:$F$207))</f>
      </c>
      <c r="AR207" s="34">
        <f>IF(OR($B207&lt;&gt;"Entry",Z207=""),FALSE,AND(SUMPRODUCT(($D$4:$D$207=D207)*($B$4:$B$207="Challan")*($H$4:$H$207&lt;&gt;""))&gt;0,SUMPRODUCT(($D$4:$D$207=D207)*($B$4:$B$207="Challan")*($H$4:$H$207=Z207))=0))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2026-07-30T12:30:45Z</dcterms:created>
  <dcterms:modified xsi:type="dcterms:W3CDTF">2026-07-30T12:30:45Z</dcterms:modified>
</cp:coreProperties>
</file>