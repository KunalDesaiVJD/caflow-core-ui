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Rate Lookup" state="veryHidden" r:id="rId5"/>
    <sheet sheetId="3" name="TDS Data" state="visible" r:id="rId6"/>
  </sheets>
  <calcPr calcId="171027" fullCalcOnLoad="1"/>
</workbook>
</file>

<file path=xl/sharedStrings.xml><?xml version="1.0" encoding="utf-8"?>
<sst xmlns="http://schemas.openxmlformats.org/spreadsheetml/2006/main" count="237" uniqueCount="162">
  <si>
    <t>TDS DATA ENTRY TEMPLATE — FULL (mirrors the software's Data Entry screen)</t>
  </si>
  <si>
    <t>One sheet, each Challan's full details followed by its Entries — every field and calculation the software itself uses.</t>
  </si>
  <si>
    <t>How This Template Works</t>
  </si>
  <si>
    <t>•</t>
  </si>
  <si>
    <t>This workbook has TWO sheets: this Instructions sheet, and "TDS Data" — the only sheet you fill in.</t>
  </si>
  <si>
    <t>A challan is identified the SAME way the software identifies it — by BSR Code + Challan Serial No. There is no separate "Challan ID" to invent.</t>
  </si>
  <si>
    <t>Every row on TDS Data is tagged Challan or Entry via the Row Type dropdown. Add a Challan row with its full deposit breakdown, then add one Entry row directly below it for every deductee paid under that challan — repeating that SAME Challan Serial No. in the Entry row to link back to it.</t>
  </si>
  <si>
    <t>One challan can have MANY entries. "Applied", "Allocatable", "Balance" and "Status" (green columns, Challan rows only) update live as you add entries — mirrors the software's own utilisation tracking.</t>
  </si>
  <si>
    <t>"Rate of TDS" (green) calculates automatically from Section + Deductee Type, and "TDS Amount"/"Interest Amount" (green) from that — TDS = Amount Paid × Rate; Interest follows Section 201(1A): 1.5% per month (or part) late, counted from the deduction month's 7th-of-next-month due date to the challan's deposit date. This matches the software exactly: there, Rate of TDS is locked read-only for any section you can actually pick from the dropdown, since the dropdown itself only ever offers sections with a known rate.</t>
  </si>
  <si>
    <t>"Deductee Type" (green) calculates automatically from the 4th character of the PAN you enter — P=Individual, H=HUF, C=Company, F=Firm, L=LLP, T=Trust, A=AOP — exactly how the software itself detects it (there, this is never even an editable field — always a fixed label).</t>
  </si>
  <si>
    <t>"Surcharge Amount", "Education Cess Amount", and "Late Fees Amount" (per entry, green) are always 0 — the software itself has no way to enter these on a deductee through this screen either, so there's nothing to fill in.</t>
  </si>
  <si>
    <t>Rows 4–7 (gray) are a worked example — one Challan with THREE linked entries — but they are otherwise ORDINARY rows: every dropdown, validation and formula on them works exactly like any row you fill in yourself. Delete them, overwrite them, or leave them as-is — the software recognises the example Challan Serial No. and always excludes all four rows from import either way.</t>
  </si>
  <si>
    <t>A Challan row's own "Section" (blue) is optional — it's the challan's predominant/default section, for your reference. If an Entry's Section differs from its linked Challan's Section, that Entry's Section cell is highlighted amber as a heads-up, same as the software's own mismatch note — it does not block anything.</t>
  </si>
  <si>
    <t>The green auto-calculated cells (Sr. No., Total Challan Amount, Deductee Type, Rate of TDS, TDS Amount, Surcharge/Cess/Late Fees Amount, Interest Amount, Applied, Allocatable, Balance, Status) are LOCKED — the sheet is protected so you can't type over them by accident, exactly like the software, where these are displayed values, never fields you type into. Every other cell stays fully editable. This is a guard rail, not a security lock: it has no password, so Review → Unprotect Sheet removes it instantly if you ever need to.</t>
  </si>
  <si>
    <t>Do not rename the sheet tab, insert/delete columns, or change the header row (row 3) — the software matches columns by these exact header names.</t>
  </si>
  <si>
    <t>What This Template CANNOT Do (please read)</t>
  </si>
  <si>
    <t>Multi-quarter carry-forward: in the software, an unused challan balance is automatically rediscovered in a LATER quarter by querying the live database. A static Excel file can't do that — "Applied"/"Balance" here only sees entries typed into THIS workbook.</t>
  </si>
  <si>
    <t>Global Challan Number uniqueness: the software checks a new Challan Number against every challan for every client and firm, live. This workbook can only check for duplicates WITHIN itself.</t>
  </si>
  <si>
    <t>The 192B Salary tax calculator (24Q salary deductees) is a separate, more involved computation in the software (tax slabs, regime, rebate) and is not reproduced here — enter the Salary deductee's TDS Amount directly.</t>
  </si>
  <si>
    <t>"Country of Residence" and the per-entry "Remarks" field are kept here for your own records, but a direct code check of the software found neither is actually used anywhere in that screen — they're declared in its data model but never read, written, or shown. Kept in this template anyway since they're useful, low-risk fields, not because the software actively uses them.</t>
  </si>
  <si>
    <t>Field Guide — Challan Rows (blue columns)</t>
  </si>
  <si>
    <t>BSR Code*</t>
  </si>
  <si>
    <t>Exactly 7 digits, printed on the challan receipt.</t>
  </si>
  <si>
    <t>Challan Serial No.*</t>
  </si>
  <si>
    <t>Exactly 5 digits, printed on the challan receipt. Together with BSR Code, this IS the challan's identity — repeat it on every linked Entry row.</t>
  </si>
  <si>
    <t>Date of Deposit*</t>
  </si>
  <si>
    <t>Date this challan was deposited with the bank (use the date picker).</t>
  </si>
  <si>
    <t>Minor Head*</t>
  </si>
  <si>
    <t>200 = TDS Payable (regular), 400 = TDS on Regular Assessment (demand payment).</t>
  </si>
  <si>
    <t>Section</t>
  </si>
  <si>
    <t>Optional — this challan's predominant/default TDS section, for your reference. If a linked Entry's own Section differs, that Entry's Section cell is highlighted amber.</t>
  </si>
  <si>
    <t>Tax Deposited (₹)*</t>
  </si>
  <si>
    <t>The basic TDS/TCS amount actually deposited via this challan.</t>
  </si>
  <si>
    <t>Surcharge Deposited (₹)</t>
  </si>
  <si>
    <t>Surcharge component of this challan's deposit, if any.</t>
  </si>
  <si>
    <t>Education Cess Deposited (₹)</t>
  </si>
  <si>
    <t>Cess component of this challan's deposit, if any.</t>
  </si>
  <si>
    <t>Interest Deposited (₹)</t>
  </si>
  <si>
    <t>Interest (201(1A)) component of this challan's deposit, if any.</t>
  </si>
  <si>
    <t>Others Deposited (₹)</t>
  </si>
  <si>
    <t>Any other component (e.g. penalty) of this challan's deposit.</t>
  </si>
  <si>
    <t>Late Fees u/s 234E (₹)</t>
  </si>
  <si>
    <t>Late-filing fee levied under Section 234E, if any — kept separate from the TDS-allocatable amount, same as the software.</t>
  </si>
  <si>
    <t>Late Fees Used (₹)</t>
  </si>
  <si>
    <t>How much of the 234E late fee above has been accounted for/paid. Cannot exceed Late Fees u/s 234E.</t>
  </si>
  <si>
    <t>Total Challan Amount (₹)</t>
  </si>
  <si>
    <t>Calculates automatically — sum of Tax + Surcharge + Cess + Interest + Others + Late Fees 234E. Do not edit.</t>
  </si>
  <si>
    <t>Bank Name</t>
  </si>
  <si>
    <t>Optional — the bank where the challan was deposited.</t>
  </si>
  <si>
    <t>Book Entry?</t>
  </si>
  <si>
    <t>Y if this was a government book-entry payment (no cheque/DD), N otherwise.</t>
  </si>
  <si>
    <t>Transfer Voucher No.</t>
  </si>
  <si>
    <t>Only if Book Entry = Y.</t>
  </si>
  <si>
    <t>Cheque/DD No.</t>
  </si>
  <si>
    <t>For your own records. A direct code check of the software found this field has no UI there at all — it exists in the data model but there's no way to view or enter it on that screen. Kept here since it's a useful, low-risk reference field.</t>
  </si>
  <si>
    <t>Challan Remarks</t>
  </si>
  <si>
    <t>Optional — any note against this challan.</t>
  </si>
  <si>
    <t>Field Guide — Entry Rows (yellow columns)</t>
  </si>
  <si>
    <t>Must match a Challan Serial No. already entered on a Challan row above — this is how the entry links to its challan.</t>
  </si>
  <si>
    <t>Deductee Name*</t>
  </si>
  <si>
    <t>Full legal name of the person/entity paid.</t>
  </si>
  <si>
    <t>PAN*</t>
  </si>
  <si>
    <t>10-character PAN, 5 letters + 4 digits + 1 letter, UPPERCASE. Leave blank only if PAN Not Available = Y.</t>
  </si>
  <si>
    <t>PAN Not Available?</t>
  </si>
  <si>
    <t>Y if this deductee genuinely has no PAN (206AA higher-rate case).</t>
  </si>
  <si>
    <t>Deductee Type</t>
  </si>
  <si>
    <t>Calculates automatically from the PAN's 4th character (Individual/HUF/Company/Firm/LLP/Trust/AOP) — same as the software. Do not edit unless you're deliberately overriding it.</t>
  </si>
  <si>
    <t>Section*</t>
  </si>
  <si>
    <t>Pick from the dropdown — the TDS section under which this deduction was made. Highlighted amber if it differs from this entry's linked Challan's own Section.</t>
  </si>
  <si>
    <t>Rate of TDS (%)</t>
  </si>
  <si>
    <t>Calculates automatically from Section + Deductee Type (and the flat no-PAN rate if PAN Not Available = Y) — same as the software, where this field is locked read-only for any section you can pick from the dropdown. Do not edit.</t>
  </si>
  <si>
    <t>Date of Payment/Credit*</t>
  </si>
  <si>
    <t>Date the deductee was paid or credited, whichever is earlier.</t>
  </si>
  <si>
    <t>Amount Paid/Credited (₹)*</t>
  </si>
  <si>
    <t>Gross amount paid/credited, before TDS.</t>
  </si>
  <si>
    <t>TDS Amount (₹)</t>
  </si>
  <si>
    <t>Calculates automatically as ROUND(Amount Paid × Rate of TDS / 100). Do not edit.</t>
  </si>
  <si>
    <t>Surcharge Amount (₹)</t>
  </si>
  <si>
    <t>Always 0 — the software itself has no way to enter a per-deductee surcharge on this screen. Kept for completeness; do not edit.</t>
  </si>
  <si>
    <t>Education Cess Amount (₹)</t>
  </si>
  <si>
    <t>Always 0 — same as Surcharge Amount, no entry point exists in the software. Do not edit.</t>
  </si>
  <si>
    <t>Interest Amount (₹)</t>
  </si>
  <si>
    <t>Calculates automatically per Section 201(1A): 0 if deposited on/before the 7th of the month following deduction; otherwise 1.5% of TDS per month (or part) late, using this entry's Challan row's Date of Deposit.</t>
  </si>
  <si>
    <t>Late Fees Amount (₹)</t>
  </si>
  <si>
    <t>Always 0 — same as Surcharge/Cess Amount, no entry point exists in the software for a per-deductee late fee. Do not edit.</t>
  </si>
  <si>
    <t>Reason Code</t>
  </si>
  <si>
    <t>Only if TDS was NOT deducted or was deducted at a lower rate — A (below threshold) / B (197 lower-rate certificate) / C (197A Form 15G/15H) / D (payment to Government) / E (notification exemption) / Y (other reason) / Z (206AA no PAN).</t>
  </si>
  <si>
    <t>Lower Deduction Certificate No.</t>
  </si>
  <si>
    <t>Only if Reason Code = B.</t>
  </si>
  <si>
    <t>Lower Deduction Rate (%)</t>
  </si>
  <si>
    <t>Only if Reason Code = B — the rate specified on the certificate.</t>
  </si>
  <si>
    <t>Country of Residence</t>
  </si>
  <si>
    <t>27Q (non-resident) deductees only.</t>
  </si>
  <si>
    <t>Remarks</t>
  </si>
  <si>
    <t>Optional — any note against this entry.</t>
  </si>
  <si>
    <t>Format Standards (apply throughout)</t>
  </si>
  <si>
    <t>Name: full legal name, avoid abbreviations where possible.</t>
  </si>
  <si>
    <t>PAN: uppercase letters and digits only, no spaces or dashes.</t>
  </si>
  <si>
    <t>Dates: use Excel's own date entry (date picker) — never typed as a plain sentence.</t>
  </si>
  <si>
    <t>Amounts (₹): plain numbers only — no currency symbols or manually typed commas.</t>
  </si>
  <si>
    <t>Percentages (Rate): enter as a plain number, e.g. 10 for 10%, not 0.10.</t>
  </si>
  <si>
    <t>Rows marked with * are required for that row's type — do not leave them blank.</t>
  </si>
  <si>
    <t>192</t>
  </si>
  <si>
    <t>192A</t>
  </si>
  <si>
    <t>193</t>
  </si>
  <si>
    <t>194</t>
  </si>
  <si>
    <t>194A</t>
  </si>
  <si>
    <t>194B</t>
  </si>
  <si>
    <t>194BB</t>
  </si>
  <si>
    <t>194C</t>
  </si>
  <si>
    <t>194D</t>
  </si>
  <si>
    <t>194DA</t>
  </si>
  <si>
    <t>194G</t>
  </si>
  <si>
    <t>194H</t>
  </si>
  <si>
    <t>194I(a)</t>
  </si>
  <si>
    <t>194I(b)</t>
  </si>
  <si>
    <t>194IA</t>
  </si>
  <si>
    <t>194IB</t>
  </si>
  <si>
    <t>194IC</t>
  </si>
  <si>
    <t>194J(a)</t>
  </si>
  <si>
    <t>194J(b)</t>
  </si>
  <si>
    <t>194K</t>
  </si>
  <si>
    <t>194LA</t>
  </si>
  <si>
    <t>194LB</t>
  </si>
  <si>
    <t>194M</t>
  </si>
  <si>
    <t>194O</t>
  </si>
  <si>
    <t>194Q</t>
  </si>
  <si>
    <t>194R</t>
  </si>
  <si>
    <t>194S</t>
  </si>
  <si>
    <t>195</t>
  </si>
  <si>
    <t>196A</t>
  </si>
  <si>
    <t>196D</t>
  </si>
  <si>
    <t>206C(1)</t>
  </si>
  <si>
    <t>206C(1H)</t>
  </si>
  <si>
    <t>TDS DATA  —  each Challan row's full details, followed by its Entry rows</t>
  </si>
  <si>
    <t>Rows 4–7 (gray) are a worked example — one Challan with THREE linked entries. The example Challan Serial No. is auto-excluded on import, so delete, overwrite, or leave them as-is.</t>
  </si>
  <si>
    <t>Sr. No.</t>
  </si>
  <si>
    <t>Row Type*</t>
  </si>
  <si>
    <t>Applied (₹)</t>
  </si>
  <si>
    <t>Allocatable (₹)</t>
  </si>
  <si>
    <t>Balance (₹)</t>
  </si>
  <si>
    <t>Status</t>
  </si>
  <si>
    <t>Linked Challan Deposit Date (internal)</t>
  </si>
  <si>
    <t>Section Mismatch Flag (internal)</t>
  </si>
  <si>
    <t>Challan</t>
  </si>
  <si>
    <t>0510002</t>
  </si>
  <si>
    <t>EXAMPLE-DO-NOT-IMPORT</t>
  </si>
  <si>
    <t>200</t>
  </si>
  <si>
    <t>HDFC Bank</t>
  </si>
  <si>
    <t>N</t>
  </si>
  <si>
    <t>Worked example — see Instructions</t>
  </si>
  <si>
    <t>Entry</t>
  </si>
  <si>
    <t>ADINATH PROCESSING INDUSTRIES PRIVATE LIMITED</t>
  </si>
  <si>
    <t>AACCP6899F</t>
  </si>
  <si>
    <t/>
  </si>
  <si>
    <t>A-ONE CHEM TRADE PVT. LTD.</t>
  </si>
  <si>
    <t>AAGCA2480D</t>
  </si>
  <si>
    <t>KHYATI CHEMICALS PRIVATE LIMITED</t>
  </si>
  <si>
    <t>AAACK6277E</t>
  </si>
  <si>
    <t>B</t>
  </si>
  <si>
    <t>LDC/2026/001</t>
  </si>
  <si>
    <t>NIL rate, LDC on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</si>
</sst>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9" x14ac:knownFonts="1">
    <font>
      <color theme="1"/>
      <family val="2"/>
      <scheme val="minor"/>
      <sz val="11"/>
      <name val="Calibri"/>
    </font>
    <font>
      <b/>
      <color rgb="FF1F3864"/>
      <sz val="16"/>
      <name val="Arial"/>
    </font>
    <font>
      <i/>
      <color rgb="FF595959"/>
      <sz val="10"/>
      <name val="Arial"/>
    </font>
    <font>
      <b/>
      <color rgb="FF1F3864"/>
      <sz val="12"/>
      <name val="Arial"/>
    </font>
    <font>
      <sz val="10"/>
      <name val="Arial"/>
    </font>
    <font>
      <b/>
      <sz val="10"/>
      <name val="Arial"/>
    </font>
    <font>
      <b/>
      <color rgb="FF1F3864"/>
      <sz val="13"/>
      <name val="Arial"/>
    </font>
    <font>
      <b/>
      <color rgb="FFFFFFFF"/>
      <sz val="10"/>
      <name val="Arial"/>
    </font>
    <font>
      <i/>
      <color rgb="FF808080"/>
      <sz val="10"/>
      <name val="Arial"/>
    </font>
  </fonts>
  <fills count="8">
    <fill>
      <patternFill patternType="none"/>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FCE4D6"/>
      </patternFill>
    </fill>
    <fill>
      <patternFill patternType="solid">
        <fgColor rgb="FFDDEBF7"/>
      </patternFill>
    </fill>
    <fill>
      <patternFill patternType="solid">
        <fgColor rgb="FFFFF2CC"/>
      </patternFill>
    </fill>
  </fills>
  <borders count="3">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6">
    <xf numFmtId="0" fontId="0" fillId="0" borderId="0" xfId="0"/>
    <xf numFmtId="0" fontId="0" fillId="0" borderId="0" xfId="0" applyAlignment="1">
      <alignment vertical="top" wrapText="1"/>
    </xf>
    <xf numFmtId="0" fontId="1" fillId="0" borderId="0" xfId="0" applyFont="1" applyAlignment="1">
      <alignment vertical="top" wrapText="1"/>
    </xf>
    <xf numFmtId="0" fontId="2" fillId="0" borderId="0" xfId="0" applyFont="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6" fillId="0" borderId="0" xfId="0" applyFont="1"/>
    <xf numFmtId="0" fontId="2" fillId="0" borderId="0" xfId="0" applyFont="1"/>
    <xf numFmtId="0" fontId="7" fillId="2" borderId="2" xfId="0" applyFont="1" applyFill="1" applyBorder="1" applyAlignment="1">
      <alignment horizontal="center" vertical="center" wrapText="1"/>
    </xf>
    <xf numFmtId="0" fontId="8" fillId="3" borderId="2" xfId="0" applyFont="1" applyFill="1" applyBorder="1" applyAlignment="1" applyProtection="1">
      <alignment horizontal="center" vertical="center"/>
    </xf>
    <xf numFmtId="0" fontId="8" fillId="3" borderId="2" xfId="0" applyFont="1" applyFill="1" applyBorder="1" applyAlignment="1" applyProtection="1">
      <alignment horizontal="left" vertical="center"/>
      <protection locked="0"/>
    </xf>
    <xf numFmtId="49" fontId="8" fillId="3" borderId="2" xfId="0" applyNumberFormat="1" applyFont="1" applyFill="1" applyBorder="1" applyAlignment="1" applyProtection="1">
      <alignment horizontal="left" vertical="center"/>
      <protection locked="0"/>
    </xf>
    <xf numFmtId="164" fontId="8" fillId="3" borderId="2" xfId="0" applyNumberFormat="1" applyFont="1" applyFill="1" applyBorder="1" applyAlignment="1" applyProtection="1">
      <alignment horizontal="left" vertical="center"/>
      <protection locked="0"/>
    </xf>
    <xf numFmtId="3" fontId="8" fillId="3" borderId="2" xfId="0" applyNumberFormat="1" applyFont="1" applyFill="1" applyBorder="1" applyAlignment="1" applyProtection="1">
      <alignment horizontal="left" vertical="center"/>
      <protection locked="0"/>
    </xf>
    <xf numFmtId="3" fontId="8" fillId="3" borderId="2" xfId="0" applyNumberFormat="1" applyFont="1" applyFill="1" applyBorder="1" applyAlignment="1" applyProtection="1">
      <alignment horizontal="left" vertical="center"/>
    </xf>
    <xf numFmtId="0" fontId="8" fillId="3" borderId="2" xfId="0" applyFont="1" applyFill="1" applyBorder="1" applyAlignment="1" applyProtection="1">
      <alignment horizontal="left" vertical="center"/>
    </xf>
    <xf numFmtId="2" fontId="8" fillId="3" borderId="2" xfId="0" applyNumberFormat="1" applyFont="1" applyFill="1" applyBorder="1" applyAlignment="1" applyProtection="1">
      <alignment horizontal="left" vertical="center"/>
    </xf>
    <xf numFmtId="2" fontId="8" fillId="3" borderId="2" xfId="0" applyNumberFormat="1" applyFont="1" applyFill="1" applyBorder="1" applyAlignment="1" applyProtection="1">
      <alignment horizontal="left" vertical="center"/>
      <protection locked="0"/>
    </xf>
    <xf numFmtId="164" fontId="8" fillId="3" borderId="2" xfId="0" applyNumberFormat="1" applyFont="1" applyFill="1" applyBorder="1" applyProtection="1"/>
    <xf numFmtId="0" fontId="8" fillId="3" borderId="2" xfId="0" applyFont="1" applyFill="1" applyBorder="1" applyProtection="1"/>
    <xf numFmtId="0" fontId="4" fillId="4" borderId="2" xfId="0" applyFont="1" applyFill="1" applyBorder="1" applyAlignment="1" applyProtection="1">
      <alignment horizontal="center" vertical="center"/>
    </xf>
    <xf numFmtId="0" fontId="4" fillId="5" borderId="2" xfId="0" applyFont="1" applyFill="1" applyBorder="1" applyAlignment="1" applyProtection="1">
      <alignment horizontal="left" vertical="center"/>
      <protection locked="0"/>
    </xf>
    <xf numFmtId="49" fontId="4" fillId="6" borderId="2" xfId="0" applyNumberFormat="1" applyFont="1" applyFill="1" applyBorder="1" applyAlignment="1" applyProtection="1">
      <alignment horizontal="left" vertical="center"/>
      <protection locked="0"/>
    </xf>
    <xf numFmtId="164" fontId="4" fillId="6" borderId="2" xfId="0" applyNumberFormat="1" applyFont="1" applyFill="1" applyBorder="1" applyAlignment="1" applyProtection="1">
      <alignment horizontal="left" vertical="center"/>
      <protection locked="0"/>
    </xf>
    <xf numFmtId="0" fontId="4" fillId="6" borderId="2" xfId="0" applyFont="1" applyFill="1" applyBorder="1" applyAlignment="1" applyProtection="1">
      <alignment horizontal="left" vertical="center"/>
      <protection locked="0"/>
    </xf>
    <xf numFmtId="3" fontId="4" fillId="6" borderId="2" xfId="0" applyNumberFormat="1" applyFont="1" applyFill="1" applyBorder="1" applyAlignment="1" applyProtection="1">
      <alignment horizontal="left" vertical="center"/>
      <protection locked="0"/>
    </xf>
    <xf numFmtId="3" fontId="4" fillId="4" borderId="2" xfId="0" applyNumberFormat="1" applyFont="1" applyFill="1" applyBorder="1" applyAlignment="1" applyProtection="1">
      <alignment horizontal="left" vertical="center"/>
    </xf>
    <xf numFmtId="0" fontId="4" fillId="7" borderId="2" xfId="0" applyFont="1" applyFill="1" applyBorder="1" applyAlignment="1" applyProtection="1">
      <alignment horizontal="left" vertical="center"/>
      <protection locked="0"/>
    </xf>
    <xf numFmtId="0" fontId="4" fillId="4" borderId="2" xfId="0" applyFont="1" applyFill="1" applyBorder="1" applyAlignment="1" applyProtection="1">
      <alignment horizontal="left" vertical="center"/>
    </xf>
    <xf numFmtId="2" fontId="4" fillId="4" borderId="2" xfId="0" applyNumberFormat="1" applyFont="1" applyFill="1" applyBorder="1" applyAlignment="1" applyProtection="1">
      <alignment horizontal="left" vertical="center"/>
    </xf>
    <xf numFmtId="164" fontId="4" fillId="7" borderId="2" xfId="0" applyNumberFormat="1" applyFont="1" applyFill="1" applyBorder="1" applyAlignment="1" applyProtection="1">
      <alignment horizontal="left" vertical="center"/>
      <protection locked="0"/>
    </xf>
    <xf numFmtId="3" fontId="4" fillId="7" borderId="2" xfId="0" applyNumberFormat="1" applyFont="1" applyFill="1" applyBorder="1" applyAlignment="1" applyProtection="1">
      <alignment horizontal="left" vertical="center"/>
      <protection locked="0"/>
    </xf>
    <xf numFmtId="2" fontId="4" fillId="7" borderId="2" xfId="0" applyNumberFormat="1" applyFont="1" applyFill="1" applyBorder="1" applyAlignment="1" applyProtection="1">
      <alignment horizontal="left" vertical="center"/>
      <protection locked="0"/>
    </xf>
    <xf numFmtId="164" fontId="0" fillId="0" borderId="0" xfId="0" applyNumberFormat="1" applyProtection="1"/>
    <xf numFmtId="0" fontId="0" fillId="0" borderId="0" xfId="0" applyProtection="1"/>
  </cellXfs>
  <cellStyles count="1">
    <cellStyle name="Normal" xfId="0" builtinId="0"/>
  </cellStyles>
  <dxfs count="5">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72"/>
  <sheetViews>
    <sheetView workbookViewId="0" showGridLines="0"/>
  </sheetViews>
  <sheetFormatPr defaultRowHeight="15" outlineLevelRow="0" outlineLevelCol="0" x14ac:dyDescent="55"/>
  <cols>
    <col min="1" max="1" width="3" customWidth="1"/>
    <col min="2" max="2" width="30" style="1" customWidth="1"/>
    <col min="3" max="3" width="66" style="1" customWidth="1"/>
    <col min="4" max="4" width="3" customWidth="1"/>
  </cols>
  <sheetData>
    <row r="2" spans="2:3" x14ac:dyDescent="0.25">
      <c r="B2" s="2" t="s">
        <v>0</v>
      </c>
      <c r="C2" s="2"/>
    </row>
    <row r="3" spans="2:3" x14ac:dyDescent="0.25">
      <c r="B3" s="3" t="s">
        <v>1</v>
      </c>
      <c r="C3" s="3"/>
    </row>
    <row r="5" spans="2:3" x14ac:dyDescent="0.25">
      <c r="B5" s="4" t="s">
        <v>2</v>
      </c>
      <c r="C5" s="4"/>
    </row>
    <row r="6" spans="2:3" x14ac:dyDescent="0.25">
      <c r="B6" s="5" t="s">
        <v>3</v>
      </c>
      <c r="C6" s="5" t="s">
        <v>4</v>
      </c>
    </row>
    <row r="7" spans="2:3" x14ac:dyDescent="0.25">
      <c r="B7" s="5" t="s">
        <v>3</v>
      </c>
      <c r="C7" s="5" t="s">
        <v>5</v>
      </c>
    </row>
    <row r="8" spans="2:3" x14ac:dyDescent="0.25">
      <c r="B8" s="5" t="s">
        <v>3</v>
      </c>
      <c r="C8" s="5" t="s">
        <v>6</v>
      </c>
    </row>
    <row r="9" spans="2:3" x14ac:dyDescent="0.25">
      <c r="B9" s="5" t="s">
        <v>3</v>
      </c>
      <c r="C9" s="5" t="s">
        <v>7</v>
      </c>
    </row>
    <row r="10" spans="2:3" x14ac:dyDescent="0.25">
      <c r="B10" s="5" t="s">
        <v>3</v>
      </c>
      <c r="C10" s="5" t="s">
        <v>8</v>
      </c>
    </row>
    <row r="11" spans="2:3" x14ac:dyDescent="0.25">
      <c r="B11" s="5" t="s">
        <v>3</v>
      </c>
      <c r="C11" s="5" t="s">
        <v>9</v>
      </c>
    </row>
    <row r="12" spans="2:3" x14ac:dyDescent="0.25">
      <c r="B12" s="5" t="s">
        <v>3</v>
      </c>
      <c r="C12" s="5" t="s">
        <v>10</v>
      </c>
    </row>
    <row r="13" spans="2:3" x14ac:dyDescent="0.25">
      <c r="B13" s="5" t="s">
        <v>3</v>
      </c>
      <c r="C13" s="5" t="s">
        <v>11</v>
      </c>
    </row>
    <row r="14" spans="2:3" x14ac:dyDescent="0.25">
      <c r="B14" s="5" t="s">
        <v>3</v>
      </c>
      <c r="C14" s="5" t="s">
        <v>12</v>
      </c>
    </row>
    <row r="15" spans="2:3" x14ac:dyDescent="0.25">
      <c r="B15" s="5" t="s">
        <v>3</v>
      </c>
      <c r="C15" s="5" t="s">
        <v>13</v>
      </c>
    </row>
    <row r="16" spans="2:3" x14ac:dyDescent="0.25">
      <c r="B16" s="5" t="s">
        <v>3</v>
      </c>
      <c r="C16" s="5" t="s">
        <v>14</v>
      </c>
    </row>
    <row r="18" spans="2:3" x14ac:dyDescent="0.25">
      <c r="B18" s="4" t="s">
        <v>15</v>
      </c>
      <c r="C18" s="4"/>
    </row>
    <row r="19" spans="2:3" x14ac:dyDescent="0.25">
      <c r="B19" s="5" t="s">
        <v>3</v>
      </c>
      <c r="C19" s="5" t="s">
        <v>16</v>
      </c>
    </row>
    <row r="20" spans="2:3" x14ac:dyDescent="0.25">
      <c r="B20" s="5" t="s">
        <v>3</v>
      </c>
      <c r="C20" s="5" t="s">
        <v>17</v>
      </c>
    </row>
    <row r="21" spans="2:3" x14ac:dyDescent="0.25">
      <c r="B21" s="5" t="s">
        <v>3</v>
      </c>
      <c r="C21" s="5" t="s">
        <v>18</v>
      </c>
    </row>
    <row r="22" spans="2:3" x14ac:dyDescent="0.25">
      <c r="B22" s="5" t="s">
        <v>3</v>
      </c>
      <c r="C22" s="5" t="s">
        <v>19</v>
      </c>
    </row>
    <row r="24" spans="2:3" x14ac:dyDescent="0.25">
      <c r="B24" s="4" t="s">
        <v>20</v>
      </c>
      <c r="C24" s="4"/>
    </row>
    <row r="25" spans="2:3" x14ac:dyDescent="0.25">
      <c r="B25" s="6" t="s">
        <v>21</v>
      </c>
      <c r="C25" s="5" t="s">
        <v>22</v>
      </c>
    </row>
    <row r="26" spans="2:3" x14ac:dyDescent="0.25">
      <c r="B26" s="6" t="s">
        <v>23</v>
      </c>
      <c r="C26" s="5" t="s">
        <v>24</v>
      </c>
    </row>
    <row r="27" spans="2:3" x14ac:dyDescent="0.25">
      <c r="B27" s="6" t="s">
        <v>25</v>
      </c>
      <c r="C27" s="5" t="s">
        <v>26</v>
      </c>
    </row>
    <row r="28" spans="2:3" x14ac:dyDescent="0.25">
      <c r="B28" s="6" t="s">
        <v>27</v>
      </c>
      <c r="C28" s="5" t="s">
        <v>28</v>
      </c>
    </row>
    <row r="29" spans="2:3" x14ac:dyDescent="0.25">
      <c r="B29" s="6" t="s">
        <v>29</v>
      </c>
      <c r="C29" s="5" t="s">
        <v>30</v>
      </c>
    </row>
    <row r="30" spans="2:3" x14ac:dyDescent="0.25">
      <c r="B30" s="6" t="s">
        <v>31</v>
      </c>
      <c r="C30" s="5" t="s">
        <v>32</v>
      </c>
    </row>
    <row r="31" spans="2:3" x14ac:dyDescent="0.25">
      <c r="B31" s="6" t="s">
        <v>33</v>
      </c>
      <c r="C31" s="5" t="s">
        <v>34</v>
      </c>
    </row>
    <row r="32" spans="2:3" x14ac:dyDescent="0.25">
      <c r="B32" s="6" t="s">
        <v>35</v>
      </c>
      <c r="C32" s="5" t="s">
        <v>36</v>
      </c>
    </row>
    <row r="33" spans="2:3" x14ac:dyDescent="0.25">
      <c r="B33" s="6" t="s">
        <v>37</v>
      </c>
      <c r="C33" s="5" t="s">
        <v>38</v>
      </c>
    </row>
    <row r="34" spans="2:3" x14ac:dyDescent="0.25">
      <c r="B34" s="6" t="s">
        <v>39</v>
      </c>
      <c r="C34" s="5" t="s">
        <v>40</v>
      </c>
    </row>
    <row r="35" spans="2:3" x14ac:dyDescent="0.25">
      <c r="B35" s="6" t="s">
        <v>41</v>
      </c>
      <c r="C35" s="5" t="s">
        <v>42</v>
      </c>
    </row>
    <row r="36" spans="2:3" x14ac:dyDescent="0.25">
      <c r="B36" s="6" t="s">
        <v>43</v>
      </c>
      <c r="C36" s="5" t="s">
        <v>44</v>
      </c>
    </row>
    <row r="37" spans="2:3" x14ac:dyDescent="0.25">
      <c r="B37" s="6" t="s">
        <v>45</v>
      </c>
      <c r="C37" s="5" t="s">
        <v>46</v>
      </c>
    </row>
    <row r="38" spans="2:3" x14ac:dyDescent="0.25">
      <c r="B38" s="6" t="s">
        <v>47</v>
      </c>
      <c r="C38" s="5" t="s">
        <v>48</v>
      </c>
    </row>
    <row r="39" spans="2:3" x14ac:dyDescent="0.25">
      <c r="B39" s="6" t="s">
        <v>49</v>
      </c>
      <c r="C39" s="5" t="s">
        <v>50</v>
      </c>
    </row>
    <row r="40" spans="2:3" x14ac:dyDescent="0.25">
      <c r="B40" s="6" t="s">
        <v>51</v>
      </c>
      <c r="C40" s="5" t="s">
        <v>52</v>
      </c>
    </row>
    <row r="41" spans="2:3" x14ac:dyDescent="0.25">
      <c r="B41" s="6" t="s">
        <v>53</v>
      </c>
      <c r="C41" s="5" t="s">
        <v>54</v>
      </c>
    </row>
    <row r="42" spans="2:3" x14ac:dyDescent="0.25">
      <c r="B42" s="6" t="s">
        <v>55</v>
      </c>
      <c r="C42" s="5" t="s">
        <v>56</v>
      </c>
    </row>
    <row r="44" spans="2:3" x14ac:dyDescent="0.25">
      <c r="B44" s="4" t="s">
        <v>57</v>
      </c>
      <c r="C44" s="4"/>
    </row>
    <row r="45" spans="2:3" x14ac:dyDescent="0.25">
      <c r="B45" s="6" t="s">
        <v>23</v>
      </c>
      <c r="C45" s="5" t="s">
        <v>58</v>
      </c>
    </row>
    <row r="46" spans="2:3" x14ac:dyDescent="0.25">
      <c r="B46" s="6" t="s">
        <v>59</v>
      </c>
      <c r="C46" s="5" t="s">
        <v>60</v>
      </c>
    </row>
    <row r="47" spans="2:3" x14ac:dyDescent="0.25">
      <c r="B47" s="6" t="s">
        <v>61</v>
      </c>
      <c r="C47" s="5" t="s">
        <v>62</v>
      </c>
    </row>
    <row r="48" spans="2:3" x14ac:dyDescent="0.25">
      <c r="B48" s="6" t="s">
        <v>63</v>
      </c>
      <c r="C48" s="5" t="s">
        <v>64</v>
      </c>
    </row>
    <row r="49" spans="2:3" x14ac:dyDescent="0.25">
      <c r="B49" s="6" t="s">
        <v>65</v>
      </c>
      <c r="C49" s="5" t="s">
        <v>66</v>
      </c>
    </row>
    <row r="50" spans="2:3" x14ac:dyDescent="0.25">
      <c r="B50" s="6" t="s">
        <v>67</v>
      </c>
      <c r="C50" s="5" t="s">
        <v>68</v>
      </c>
    </row>
    <row r="51" spans="2:3" x14ac:dyDescent="0.25">
      <c r="B51" s="6" t="s">
        <v>69</v>
      </c>
      <c r="C51" s="5" t="s">
        <v>70</v>
      </c>
    </row>
    <row r="52" spans="2:3" x14ac:dyDescent="0.25">
      <c r="B52" s="6" t="s">
        <v>71</v>
      </c>
      <c r="C52" s="5" t="s">
        <v>72</v>
      </c>
    </row>
    <row r="53" spans="2:3" x14ac:dyDescent="0.25">
      <c r="B53" s="6" t="s">
        <v>73</v>
      </c>
      <c r="C53" s="5" t="s">
        <v>74</v>
      </c>
    </row>
    <row r="54" spans="2:3" x14ac:dyDescent="0.25">
      <c r="B54" s="6" t="s">
        <v>75</v>
      </c>
      <c r="C54" s="5" t="s">
        <v>76</v>
      </c>
    </row>
    <row r="55" spans="2:3" x14ac:dyDescent="0.25">
      <c r="B55" s="6" t="s">
        <v>77</v>
      </c>
      <c r="C55" s="5" t="s">
        <v>78</v>
      </c>
    </row>
    <row r="56" spans="2:3" x14ac:dyDescent="0.25">
      <c r="B56" s="6" t="s">
        <v>79</v>
      </c>
      <c r="C56" s="5" t="s">
        <v>80</v>
      </c>
    </row>
    <row r="57" spans="2:3" x14ac:dyDescent="0.25">
      <c r="B57" s="6" t="s">
        <v>81</v>
      </c>
      <c r="C57" s="5" t="s">
        <v>82</v>
      </c>
    </row>
    <row r="58" spans="2:3" x14ac:dyDescent="0.25">
      <c r="B58" s="6" t="s">
        <v>83</v>
      </c>
      <c r="C58" s="5" t="s">
        <v>84</v>
      </c>
    </row>
    <row r="59" spans="2:3" x14ac:dyDescent="0.25">
      <c r="B59" s="6" t="s">
        <v>85</v>
      </c>
      <c r="C59" s="5" t="s">
        <v>86</v>
      </c>
    </row>
    <row r="60" spans="2:3" x14ac:dyDescent="0.25">
      <c r="B60" s="6" t="s">
        <v>87</v>
      </c>
      <c r="C60" s="5" t="s">
        <v>88</v>
      </c>
    </row>
    <row r="61" spans="2:3" x14ac:dyDescent="0.25">
      <c r="B61" s="6" t="s">
        <v>89</v>
      </c>
      <c r="C61" s="5" t="s">
        <v>90</v>
      </c>
    </row>
    <row r="62" spans="2:3" x14ac:dyDescent="0.25">
      <c r="B62" s="6" t="s">
        <v>91</v>
      </c>
      <c r="C62" s="5" t="s">
        <v>92</v>
      </c>
    </row>
    <row r="63" spans="2:3" x14ac:dyDescent="0.25">
      <c r="B63" s="6" t="s">
        <v>93</v>
      </c>
      <c r="C63" s="5" t="s">
        <v>94</v>
      </c>
    </row>
    <row r="65" spans="2:3" x14ac:dyDescent="0.25">
      <c r="B65" s="4" t="s">
        <v>95</v>
      </c>
      <c r="C65" s="4"/>
    </row>
    <row r="66" spans="2:3" x14ac:dyDescent="0.25">
      <c r="B66" s="5" t="s">
        <v>3</v>
      </c>
      <c r="C66" s="5" t="s">
        <v>96</v>
      </c>
    </row>
    <row r="67" spans="2:3" x14ac:dyDescent="0.25">
      <c r="B67" s="5" t="s">
        <v>3</v>
      </c>
      <c r="C67" s="5" t="s">
        <v>97</v>
      </c>
    </row>
    <row r="68" spans="2:3" x14ac:dyDescent="0.25">
      <c r="B68" s="5" t="s">
        <v>3</v>
      </c>
      <c r="C68" s="5" t="s">
        <v>98</v>
      </c>
    </row>
    <row r="69" spans="2:3" x14ac:dyDescent="0.25">
      <c r="B69" s="5" t="s">
        <v>3</v>
      </c>
      <c r="C69" s="5" t="s">
        <v>99</v>
      </c>
    </row>
    <row r="70" spans="2:3" x14ac:dyDescent="0.25">
      <c r="B70" s="5" t="s">
        <v>3</v>
      </c>
      <c r="C70" s="5" t="s">
        <v>100</v>
      </c>
    </row>
    <row r="72" spans="2:3" x14ac:dyDescent="0.25">
      <c r="B72" s="4" t="s">
        <v>101</v>
      </c>
      <c r="C72" s="4"/>
    </row>
  </sheetData>
  <mergeCells count="8">
    <mergeCell ref="B2:C2"/>
    <mergeCell ref="B3:C3"/>
    <mergeCell ref="B5:C5"/>
    <mergeCell ref="B18:C18"/>
    <mergeCell ref="B24:C24"/>
    <mergeCell ref="B44:C44"/>
    <mergeCell ref="B65:C65"/>
    <mergeCell ref="B72:C7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2"/>
  <sheetFormatPr defaultRowHeight="15" outlineLevelRow="0" outlineLevelCol="0" x14ac:dyDescent="55"/>
  <sheetData>
    <row r="1" spans="1:4" x14ac:dyDescent="0.25">
      <c r="A1" t="s">
        <v>102</v>
      </c>
      <c r="B1">
        <v>0</v>
      </c>
      <c r="C1">
        <v>0</v>
      </c>
      <c r="D1">
        <v>20</v>
      </c>
    </row>
    <row r="2" spans="1:4" x14ac:dyDescent="0.25">
      <c r="A2" t="s">
        <v>103</v>
      </c>
      <c r="B2">
        <v>10</v>
      </c>
      <c r="C2">
        <v>10</v>
      </c>
      <c r="D2">
        <v>20</v>
      </c>
    </row>
    <row r="3" spans="1:4" x14ac:dyDescent="0.25">
      <c r="A3" t="s">
        <v>104</v>
      </c>
      <c r="B3">
        <v>10</v>
      </c>
      <c r="C3">
        <v>10</v>
      </c>
      <c r="D3">
        <v>20</v>
      </c>
    </row>
    <row r="4" spans="1:4" x14ac:dyDescent="0.25">
      <c r="A4" t="s">
        <v>105</v>
      </c>
      <c r="B4">
        <v>10</v>
      </c>
      <c r="C4">
        <v>10</v>
      </c>
      <c r="D4">
        <v>20</v>
      </c>
    </row>
    <row r="5" spans="1:4" x14ac:dyDescent="0.25">
      <c r="A5" t="s">
        <v>106</v>
      </c>
      <c r="B5">
        <v>10</v>
      </c>
      <c r="C5">
        <v>10</v>
      </c>
      <c r="D5">
        <v>20</v>
      </c>
    </row>
    <row r="6" spans="1:4" x14ac:dyDescent="0.25">
      <c r="A6" t="s">
        <v>107</v>
      </c>
      <c r="B6">
        <v>30</v>
      </c>
      <c r="C6">
        <v>30</v>
      </c>
      <c r="D6">
        <v>30</v>
      </c>
    </row>
    <row r="7" spans="1:4" x14ac:dyDescent="0.25">
      <c r="A7" t="s">
        <v>108</v>
      </c>
      <c r="B7">
        <v>30</v>
      </c>
      <c r="C7">
        <v>30</v>
      </c>
      <c r="D7">
        <v>30</v>
      </c>
    </row>
    <row r="8" spans="1:4" x14ac:dyDescent="0.25">
      <c r="A8" t="s">
        <v>109</v>
      </c>
      <c r="B8">
        <v>1</v>
      </c>
      <c r="C8">
        <v>2</v>
      </c>
      <c r="D8">
        <v>20</v>
      </c>
    </row>
    <row r="9" spans="1:4" x14ac:dyDescent="0.25">
      <c r="A9" t="s">
        <v>110</v>
      </c>
      <c r="B9">
        <v>5</v>
      </c>
      <c r="C9">
        <v>10</v>
      </c>
      <c r="D9">
        <v>20</v>
      </c>
    </row>
    <row r="10" spans="1:4" x14ac:dyDescent="0.25">
      <c r="A10" t="s">
        <v>111</v>
      </c>
      <c r="B10">
        <v>5</v>
      </c>
      <c r="C10">
        <v>5</v>
      </c>
      <c r="D10">
        <v>20</v>
      </c>
    </row>
    <row r="11" spans="1:4" x14ac:dyDescent="0.25">
      <c r="A11" t="s">
        <v>112</v>
      </c>
      <c r="B11">
        <v>5</v>
      </c>
      <c r="C11">
        <v>5</v>
      </c>
      <c r="D11">
        <v>20</v>
      </c>
    </row>
    <row r="12" spans="1:4" x14ac:dyDescent="0.25">
      <c r="A12" t="s">
        <v>113</v>
      </c>
      <c r="B12">
        <v>5</v>
      </c>
      <c r="C12">
        <v>5</v>
      </c>
      <c r="D12">
        <v>20</v>
      </c>
    </row>
    <row r="13" spans="1:4" x14ac:dyDescent="0.25">
      <c r="A13" t="s">
        <v>114</v>
      </c>
      <c r="B13">
        <v>2</v>
      </c>
      <c r="C13">
        <v>2</v>
      </c>
      <c r="D13">
        <v>20</v>
      </c>
    </row>
    <row r="14" spans="1:4" x14ac:dyDescent="0.25">
      <c r="A14" t="s">
        <v>115</v>
      </c>
      <c r="B14">
        <v>10</v>
      </c>
      <c r="C14">
        <v>10</v>
      </c>
      <c r="D14">
        <v>20</v>
      </c>
    </row>
    <row r="15" spans="1:4" x14ac:dyDescent="0.25">
      <c r="A15" t="s">
        <v>116</v>
      </c>
      <c r="B15">
        <v>1</v>
      </c>
      <c r="C15">
        <v>1</v>
      </c>
      <c r="D15">
        <v>20</v>
      </c>
    </row>
    <row r="16" spans="1:4" x14ac:dyDescent="0.25">
      <c r="A16" t="s">
        <v>117</v>
      </c>
      <c r="B16">
        <v>2</v>
      </c>
      <c r="C16">
        <v>0</v>
      </c>
      <c r="D16">
        <v>20</v>
      </c>
    </row>
    <row r="17" spans="1:4" x14ac:dyDescent="0.25">
      <c r="A17" t="s">
        <v>118</v>
      </c>
      <c r="B17">
        <v>10</v>
      </c>
      <c r="C17">
        <v>10</v>
      </c>
      <c r="D17">
        <v>20</v>
      </c>
    </row>
    <row r="18" spans="1:4" x14ac:dyDescent="0.25">
      <c r="A18" t="s">
        <v>119</v>
      </c>
      <c r="B18">
        <v>10</v>
      </c>
      <c r="C18">
        <v>10</v>
      </c>
      <c r="D18">
        <v>20</v>
      </c>
    </row>
    <row r="19" spans="1:4" x14ac:dyDescent="0.25">
      <c r="A19" t="s">
        <v>120</v>
      </c>
      <c r="B19">
        <v>2</v>
      </c>
      <c r="C19">
        <v>2</v>
      </c>
      <c r="D19">
        <v>20</v>
      </c>
    </row>
    <row r="20" spans="1:4" x14ac:dyDescent="0.25">
      <c r="A20" t="s">
        <v>121</v>
      </c>
      <c r="B20">
        <v>10</v>
      </c>
      <c r="C20">
        <v>10</v>
      </c>
      <c r="D20">
        <v>20</v>
      </c>
    </row>
    <row r="21" spans="1:4" x14ac:dyDescent="0.25">
      <c r="A21" t="s">
        <v>122</v>
      </c>
      <c r="B21">
        <v>10</v>
      </c>
      <c r="C21">
        <v>10</v>
      </c>
      <c r="D21">
        <v>20</v>
      </c>
    </row>
    <row r="22" spans="1:4" x14ac:dyDescent="0.25">
      <c r="A22" t="s">
        <v>123</v>
      </c>
      <c r="B22">
        <v>5</v>
      </c>
      <c r="C22">
        <v>5</v>
      </c>
      <c r="D22">
        <v>20</v>
      </c>
    </row>
    <row r="23" spans="1:4" x14ac:dyDescent="0.25">
      <c r="A23" t="s">
        <v>124</v>
      </c>
      <c r="B23">
        <v>5</v>
      </c>
      <c r="C23">
        <v>0</v>
      </c>
      <c r="D23">
        <v>20</v>
      </c>
    </row>
    <row r="24" spans="1:4" x14ac:dyDescent="0.25">
      <c r="A24" t="s">
        <v>125</v>
      </c>
      <c r="B24">
        <v>1</v>
      </c>
      <c r="C24">
        <v>1</v>
      </c>
      <c r="D24">
        <v>20</v>
      </c>
    </row>
    <row r="25" spans="1:4" x14ac:dyDescent="0.25">
      <c r="A25" t="s">
        <v>126</v>
      </c>
      <c r="B25">
        <v>0.1</v>
      </c>
      <c r="C25">
        <v>0.1</v>
      </c>
      <c r="D25">
        <v>5</v>
      </c>
    </row>
    <row r="26" spans="1:4" x14ac:dyDescent="0.25">
      <c r="A26" t="s">
        <v>127</v>
      </c>
      <c r="B26">
        <v>10</v>
      </c>
      <c r="C26">
        <v>10</v>
      </c>
      <c r="D26">
        <v>20</v>
      </c>
    </row>
    <row r="27" spans="1:4" x14ac:dyDescent="0.25">
      <c r="A27" t="s">
        <v>128</v>
      </c>
      <c r="B27">
        <v>1</v>
      </c>
      <c r="C27">
        <v>1</v>
      </c>
      <c r="D27">
        <v>20</v>
      </c>
    </row>
    <row r="28" spans="1:4" x14ac:dyDescent="0.25">
      <c r="A28" t="s">
        <v>129</v>
      </c>
      <c r="B28">
        <v>0</v>
      </c>
      <c r="C28">
        <v>0</v>
      </c>
      <c r="D28">
        <v>20</v>
      </c>
    </row>
    <row r="29" spans="1:4" x14ac:dyDescent="0.25">
      <c r="A29" t="s">
        <v>130</v>
      </c>
      <c r="B29">
        <v>10</v>
      </c>
      <c r="C29">
        <v>10</v>
      </c>
      <c r="D29">
        <v>20</v>
      </c>
    </row>
    <row r="30" spans="1:4" x14ac:dyDescent="0.25">
      <c r="A30" t="s">
        <v>131</v>
      </c>
      <c r="B30">
        <v>20</v>
      </c>
      <c r="C30">
        <v>20</v>
      </c>
      <c r="D30">
        <v>20</v>
      </c>
    </row>
    <row r="31" spans="1:4" x14ac:dyDescent="0.25">
      <c r="A31" t="s">
        <v>132</v>
      </c>
      <c r="B31">
        <v>1</v>
      </c>
      <c r="C31">
        <v>1</v>
      </c>
      <c r="D31">
        <v>5</v>
      </c>
    </row>
    <row r="32" spans="1:4" x14ac:dyDescent="0.25">
      <c r="A32" t="s">
        <v>133</v>
      </c>
      <c r="B32">
        <v>0.1</v>
      </c>
      <c r="C32">
        <v>0.1</v>
      </c>
      <c r="D32">
        <v>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19" width="12" customWidth="1"/>
    <col min="20" max="20" width="18" customWidth="1"/>
    <col min="21" max="21" width="26" customWidth="1"/>
    <col min="22" max="37" width="12" customWidth="1"/>
    <col min="38" max="38" width="18" customWidth="1"/>
    <col min="39" max="41" width="12" customWidth="1"/>
    <col min="42" max="42" width="13" customWidth="1"/>
    <col min="43" max="44" width="12" hidden="1" customWidth="1"/>
  </cols>
  <sheetData>
    <row r="1" ht="22" customHeight="1" spans="3:42" x14ac:dyDescent="0.25">
      <c r="C1" s="7" t="s">
        <v>134</v>
      </c>
      <c r="D1" s="7"/>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row>
    <row r="2" spans="1:42" x14ac:dyDescent="0.25">
      <c r="A2" s="8" t="s">
        <v>135</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row>
    <row r="3" ht="40" customHeight="1" spans="1:44" x14ac:dyDescent="0.25">
      <c r="A3" s="9" t="s">
        <v>136</v>
      </c>
      <c r="B3" s="9" t="s">
        <v>137</v>
      </c>
      <c r="C3" s="9" t="s">
        <v>21</v>
      </c>
      <c r="D3" s="9" t="s">
        <v>23</v>
      </c>
      <c r="E3" s="9" t="s">
        <v>25</v>
      </c>
      <c r="F3" s="9" t="s">
        <v>27</v>
      </c>
      <c r="G3" s="9" t="s">
        <v>29</v>
      </c>
      <c r="H3" s="9" t="s">
        <v>31</v>
      </c>
      <c r="I3" s="9" t="s">
        <v>33</v>
      </c>
      <c r="J3" s="9" t="s">
        <v>35</v>
      </c>
      <c r="K3" s="9" t="s">
        <v>37</v>
      </c>
      <c r="L3" s="9" t="s">
        <v>39</v>
      </c>
      <c r="M3" s="9" t="s">
        <v>41</v>
      </c>
      <c r="N3" s="9" t="s">
        <v>43</v>
      </c>
      <c r="O3" s="9" t="s">
        <v>45</v>
      </c>
      <c r="P3" s="9" t="s">
        <v>47</v>
      </c>
      <c r="Q3" s="9" t="s">
        <v>49</v>
      </c>
      <c r="R3" s="9" t="s">
        <v>51</v>
      </c>
      <c r="S3" s="9" t="s">
        <v>53</v>
      </c>
      <c r="T3" s="9" t="s">
        <v>55</v>
      </c>
      <c r="U3" s="9" t="s">
        <v>59</v>
      </c>
      <c r="V3" s="9" t="s">
        <v>61</v>
      </c>
      <c r="W3" s="9" t="s">
        <v>63</v>
      </c>
      <c r="X3" s="9" t="s">
        <v>65</v>
      </c>
      <c r="Y3" s="9" t="s">
        <v>67</v>
      </c>
      <c r="Z3" s="9" t="s">
        <v>69</v>
      </c>
      <c r="AA3" s="9" t="s">
        <v>71</v>
      </c>
      <c r="AB3" s="9" t="s">
        <v>73</v>
      </c>
      <c r="AC3" s="9" t="s">
        <v>75</v>
      </c>
      <c r="AD3" s="9" t="s">
        <v>77</v>
      </c>
      <c r="AE3" s="9" t="s">
        <v>79</v>
      </c>
      <c r="AF3" s="9" t="s">
        <v>81</v>
      </c>
      <c r="AG3" s="9" t="s">
        <v>83</v>
      </c>
      <c r="AH3" s="9" t="s">
        <v>85</v>
      </c>
      <c r="AI3" s="9" t="s">
        <v>87</v>
      </c>
      <c r="AJ3" s="9" t="s">
        <v>89</v>
      </c>
      <c r="AK3" s="9" t="s">
        <v>91</v>
      </c>
      <c r="AL3" s="9" t="s">
        <v>93</v>
      </c>
      <c r="AM3" s="9" t="s">
        <v>138</v>
      </c>
      <c r="AN3" s="9" t="s">
        <v>139</v>
      </c>
      <c r="AO3" s="9" t="s">
        <v>140</v>
      </c>
      <c r="AP3" s="9" t="s">
        <v>141</v>
      </c>
      <c r="AQ3" s="9" t="s">
        <v>142</v>
      </c>
      <c r="AR3" s="9" t="s">
        <v>143</v>
      </c>
    </row>
    <row r="4" spans="1:44" x14ac:dyDescent="0.25">
      <c r="A4" s="10">
        <f>IF($B4="Entry",COUNTIF($B$4:$B4,"Entry"),"")</f>
      </c>
      <c r="B4" s="11" t="s">
        <v>144</v>
      </c>
      <c r="C4" s="12" t="s">
        <v>145</v>
      </c>
      <c r="D4" s="12" t="s">
        <v>146</v>
      </c>
      <c r="E4" s="13">
        <v>46177</v>
      </c>
      <c r="F4" s="11" t="s">
        <v>147</v>
      </c>
      <c r="G4" s="11" t="s">
        <v>109</v>
      </c>
      <c r="H4" s="14">
        <v>6558</v>
      </c>
      <c r="I4" s="14">
        <v>0</v>
      </c>
      <c r="J4" s="14">
        <v>0</v>
      </c>
      <c r="K4" s="14">
        <v>0</v>
      </c>
      <c r="L4" s="14">
        <v>0</v>
      </c>
      <c r="M4" s="14">
        <v>0</v>
      </c>
      <c r="N4" s="14">
        <v>0</v>
      </c>
      <c r="O4" s="15">
        <f>IF($B4&lt;&gt;"Challan","",H4+I4+J4+K4+L4+M4)</f>
      </c>
      <c r="P4" s="11" t="s">
        <v>148</v>
      </c>
      <c r="Q4" s="11" t="s">
        <v>149</v>
      </c>
      <c r="R4" s="11"/>
      <c r="S4" s="11"/>
      <c r="T4" s="11" t="s">
        <v>150</v>
      </c>
      <c r="U4" s="11"/>
      <c r="V4" s="11"/>
      <c r="W4" s="11"/>
      <c r="X4" s="16">
        <f>IF($B4&lt;&gt;"Entry","",IF(LEN(V4)&lt;4,"",IF(MID(V4,4,1)="P","Individual",IF(MID(V4,4,1)="H","HUF",IF(MID(V4,4,1)="C","Company",IF(MID(V4,4,1)="F","Firm",IF(MID(V4,4,1)="L","LLP",IF(MID(V4,4,1)="T","Trust",IF(MID(V4,4,1)="A","AOP",""))))))))</f>
      </c>
      <c r="Y4" s="11"/>
      <c r="Z4" s="17">
        <f>IF($B4&lt;&gt;"Entry","",IF(Y4="","",IF(W4="Y",SUMPRODUCT(('Rate Lookup'!$A$1:$A$32=Y4)*'Rate Lookup'!$D$1:$D$32),IF(OR(X4="Individual",X4="HUF"),SUMPRODUCT(('Rate Lookup'!$A$1:$A$32=Y4)*'Rate Lookup'!$B$1:$B$32),SUMPRODUCT(('Rate Lookup'!$A$1:$A$32=Y4)*'Rate Lookup'!$C$1:$C$32)))))</f>
      </c>
      <c r="AA4" s="13"/>
      <c r="AB4" s="14"/>
      <c r="AC4" s="15">
        <f>IF($B4&lt;&gt;"Entry","",ROUND(AB4*Z4/100,0))</f>
      </c>
      <c r="AD4" s="15">
        <f>IF($B4&lt;&gt;"Entry","",0)</f>
      </c>
      <c r="AE4" s="15">
        <f>IF($B4&lt;&gt;"Entry","",0)</f>
      </c>
      <c r="AF4" s="15">
        <f>IF($B4&lt;&gt;"Entry","",IF(OR(AC4=0,AA4="",AQ4="",AQ4&lt;=0),0,IF(AQ4&lt;=DATE(YEAR(AA4),MONTH(AA4)+1,7),0,ROUND(AC4*0.015*((YEAR(AQ4)-YEAR(AA4))*12+(MONTH(AQ4)-MONTH(AA4))+1),0))))</f>
      </c>
      <c r="AG4" s="15">
        <f>IF($B4&lt;&gt;"Entry","",0)</f>
      </c>
      <c r="AH4" s="11"/>
      <c r="AI4" s="11"/>
      <c r="AJ4" s="18"/>
      <c r="AK4" s="11"/>
      <c r="AL4" s="11"/>
      <c r="AM4" s="15">
        <f>IF($B4&lt;&gt;"Challan","",SUMIF($D$4:$D$207,D4,$AC$4:$AC$207)+SUMIF($D$4:$D$207,D4,$AF$4:$AF$207)+SUMIF($D$4:$D$207,D4,$AD$4:$AD$207))</f>
      </c>
      <c r="AN4" s="15">
        <f>IF($B4&lt;&gt;"Challan","",O4-M4)</f>
      </c>
      <c r="AO4" s="15">
        <f>IF($B4&lt;&gt;"Challan","",MAX(0,AN4-AM4))</f>
      </c>
      <c r="AP4" s="16">
        <f>IF($B4&lt;&gt;"Challan","",IF(ROUND(AM4-AN4,2)&gt;0,"Over-applied",IF(ROUND(AM4-AN4,2)=0,"Fully Utilised","Unconsumed")))</f>
      </c>
      <c r="AQ4" s="19">
        <f>IF($B4&lt;&gt;"Entry","",SUMPRODUCT(($D$4:$D$207=D4)*($B$4:$B$207="Challan")*$E$4:$E$207))</f>
      </c>
      <c r="AR4" s="20">
        <f>IF(OR($B4&lt;&gt;"Entry",Y4=""),FALSE,AND(SUMPRODUCT(($D$4:$D$207=D4)*($B$4:$B$207="Challan")*($G$4:$G$207&lt;&gt;""))&gt;0,SUMPRODUCT(($D$4:$D$207=D4)*($B$4:$B$207="Challan")*($G$4:$G$207=Y4))=0))</f>
      </c>
    </row>
    <row r="5" spans="1:44" x14ac:dyDescent="0.25">
      <c r="A5" s="10">
        <f>IF($B5="Entry",COUNTIF($B$4:$B5,"Entry"),"")</f>
      </c>
      <c r="B5" s="11" t="s">
        <v>151</v>
      </c>
      <c r="C5" s="12"/>
      <c r="D5" s="12" t="s">
        <v>146</v>
      </c>
      <c r="E5" s="13"/>
      <c r="F5" s="11"/>
      <c r="G5" s="11"/>
      <c r="H5" s="14"/>
      <c r="I5" s="14"/>
      <c r="J5" s="14"/>
      <c r="K5" s="14"/>
      <c r="L5" s="14"/>
      <c r="M5" s="14"/>
      <c r="N5" s="14"/>
      <c r="O5" s="15">
        <f>IF($B5&lt;&gt;"Challan","",H5+I5+J5+K5+L5+M5)</f>
      </c>
      <c r="P5" s="11"/>
      <c r="Q5" s="11"/>
      <c r="R5" s="11"/>
      <c r="S5" s="11"/>
      <c r="T5" s="11"/>
      <c r="U5" s="11" t="s">
        <v>152</v>
      </c>
      <c r="V5" s="11" t="s">
        <v>153</v>
      </c>
      <c r="W5" s="11" t="s">
        <v>149</v>
      </c>
      <c r="X5" s="16">
        <f>IF($B5&lt;&gt;"Entry","",IF(LEN(V5)&lt;4,"",IF(MID(V5,4,1)="P","Individual",IF(MID(V5,4,1)="H","HUF",IF(MID(V5,4,1)="C","Company",IF(MID(V5,4,1)="F","Firm",IF(MID(V5,4,1)="L","LLP",IF(MID(V5,4,1)="T","Trust",IF(MID(V5,4,1)="A","AOP",""))))))))</f>
      </c>
      <c r="Y5" s="11" t="s">
        <v>109</v>
      </c>
      <c r="Z5" s="17">
        <f>IF($B5&lt;&gt;"Entry","",IF(Y5="","",IF(W5="Y",SUMPRODUCT(('Rate Lookup'!$A$1:$A$32=Y5)*'Rate Lookup'!$D$1:$D$32),IF(OR(X5="Individual",X5="HUF"),SUMPRODUCT(('Rate Lookup'!$A$1:$A$32=Y5)*'Rate Lookup'!$B$1:$B$32),SUMPRODUCT(('Rate Lookup'!$A$1:$A$32=Y5)*'Rate Lookup'!$C$1:$C$32)))))</f>
      </c>
      <c r="AA5" s="13">
        <v>46173</v>
      </c>
      <c r="AB5" s="14">
        <v>5558172</v>
      </c>
      <c r="AC5" s="15">
        <f>IF($B5&lt;&gt;"Entry","",ROUND(AB5*Z5/100,0))</f>
      </c>
      <c r="AD5" s="15">
        <f>IF($B5&lt;&gt;"Entry","",0)</f>
      </c>
      <c r="AE5" s="15">
        <f>IF($B5&lt;&gt;"Entry","",0)</f>
      </c>
      <c r="AF5" s="15">
        <f>IF($B5&lt;&gt;"Entry","",IF(OR(AC5=0,AA5="",AQ5="",AQ5&lt;=0),0,IF(AQ5&lt;=DATE(YEAR(AA5),MONTH(AA5)+1,7),0,ROUND(AC5*0.015*((YEAR(AQ5)-YEAR(AA5))*12+(MONTH(AQ5)-MONTH(AA5))+1),0))))</f>
      </c>
      <c r="AG5" s="15">
        <f>IF($B5&lt;&gt;"Entry","",0)</f>
      </c>
      <c r="AH5" s="11" t="s">
        <v>154</v>
      </c>
      <c r="AI5" s="11" t="s">
        <v>154</v>
      </c>
      <c r="AJ5" s="18" t="s">
        <v>154</v>
      </c>
      <c r="AK5" s="11"/>
      <c r="AL5" s="11" t="s">
        <v>154</v>
      </c>
      <c r="AM5" s="15">
        <f>IF($B5&lt;&gt;"Challan","",SUMIF($D$4:$D$207,D5,$AC$4:$AC$207)+SUMIF($D$4:$D$207,D5,$AF$4:$AF$207)+SUMIF($D$4:$D$207,D5,$AD$4:$AD$207))</f>
      </c>
      <c r="AN5" s="15">
        <f>IF($B5&lt;&gt;"Challan","",O5-M5)</f>
      </c>
      <c r="AO5" s="15">
        <f>IF($B5&lt;&gt;"Challan","",MAX(0,AN5-AM5))</f>
      </c>
      <c r="AP5" s="16">
        <f>IF($B5&lt;&gt;"Challan","",IF(ROUND(AM5-AN5,2)&gt;0,"Over-applied",IF(ROUND(AM5-AN5,2)=0,"Fully Utilised","Unconsumed")))</f>
      </c>
      <c r="AQ5" s="19">
        <f>IF($B5&lt;&gt;"Entry","",SUMPRODUCT(($D$4:$D$207=D5)*($B$4:$B$207="Challan")*$E$4:$E$207))</f>
      </c>
      <c r="AR5" s="20">
        <f>IF(OR($B5&lt;&gt;"Entry",Y5=""),FALSE,AND(SUMPRODUCT(($D$4:$D$207=D5)*($B$4:$B$207="Challan")*($G$4:$G$207&lt;&gt;""))&gt;0,SUMPRODUCT(($D$4:$D$207=D5)*($B$4:$B$207="Challan")*($G$4:$G$207=Y5))=0))</f>
      </c>
    </row>
    <row r="6" spans="1:44" x14ac:dyDescent="0.25">
      <c r="A6" s="10">
        <f>IF($B6="Entry",COUNTIF($B$4:$B6,"Entry"),"")</f>
      </c>
      <c r="B6" s="11" t="s">
        <v>151</v>
      </c>
      <c r="C6" s="12"/>
      <c r="D6" s="12" t="s">
        <v>146</v>
      </c>
      <c r="E6" s="13"/>
      <c r="F6" s="11"/>
      <c r="G6" s="11"/>
      <c r="H6" s="14"/>
      <c r="I6" s="14"/>
      <c r="J6" s="14"/>
      <c r="K6" s="14"/>
      <c r="L6" s="14"/>
      <c r="M6" s="14"/>
      <c r="N6" s="14"/>
      <c r="O6" s="15">
        <f>IF($B6&lt;&gt;"Challan","",H6+I6+J6+K6+L6+M6)</f>
      </c>
      <c r="P6" s="11"/>
      <c r="Q6" s="11"/>
      <c r="R6" s="11"/>
      <c r="S6" s="11"/>
      <c r="T6" s="11"/>
      <c r="U6" s="11" t="s">
        <v>155</v>
      </c>
      <c r="V6" s="11" t="s">
        <v>156</v>
      </c>
      <c r="W6" s="11" t="s">
        <v>149</v>
      </c>
      <c r="X6" s="16">
        <f>IF($B6&lt;&gt;"Entry","",IF(LEN(V6)&lt;4,"",IF(MID(V6,4,1)="P","Individual",IF(MID(V6,4,1)="H","HUF",IF(MID(V6,4,1)="C","Company",IF(MID(V6,4,1)="F","Firm",IF(MID(V6,4,1)="L","LLP",IF(MID(V6,4,1)="T","Trust",IF(MID(V6,4,1)="A","AOP",""))))))))</f>
      </c>
      <c r="Y6" s="11" t="s">
        <v>109</v>
      </c>
      <c r="Z6" s="17">
        <f>IF($B6&lt;&gt;"Entry","",IF(Y6="","",IF(W6="Y",SUMPRODUCT(('Rate Lookup'!$A$1:$A$32=Y6)*'Rate Lookup'!$D$1:$D$32),IF(OR(X6="Individual",X6="HUF"),SUMPRODUCT(('Rate Lookup'!$A$1:$A$32=Y6)*'Rate Lookup'!$B$1:$B$32),SUMPRODUCT(('Rate Lookup'!$A$1:$A$32=Y6)*'Rate Lookup'!$C$1:$C$32)))))</f>
      </c>
      <c r="AA6" s="13">
        <v>46173</v>
      </c>
      <c r="AB6" s="14">
        <v>500000</v>
      </c>
      <c r="AC6" s="15">
        <f>IF($B6&lt;&gt;"Entry","",ROUND(AB6*Z6/100,0))</f>
      </c>
      <c r="AD6" s="15">
        <f>IF($B6&lt;&gt;"Entry","",0)</f>
      </c>
      <c r="AE6" s="15">
        <f>IF($B6&lt;&gt;"Entry","",0)</f>
      </c>
      <c r="AF6" s="15">
        <f>IF($B6&lt;&gt;"Entry","",IF(OR(AC6=0,AA6="",AQ6="",AQ6&lt;=0),0,IF(AQ6&lt;=DATE(YEAR(AA6),MONTH(AA6)+1,7),0,ROUND(AC6*0.015*((YEAR(AQ6)-YEAR(AA6))*12+(MONTH(AQ6)-MONTH(AA6))+1),0))))</f>
      </c>
      <c r="AG6" s="15">
        <f>IF($B6&lt;&gt;"Entry","",0)</f>
      </c>
      <c r="AH6" s="11" t="s">
        <v>154</v>
      </c>
      <c r="AI6" s="11" t="s">
        <v>154</v>
      </c>
      <c r="AJ6" s="18" t="s">
        <v>154</v>
      </c>
      <c r="AK6" s="11"/>
      <c r="AL6" s="11" t="s">
        <v>154</v>
      </c>
      <c r="AM6" s="15">
        <f>IF($B6&lt;&gt;"Challan","",SUMIF($D$4:$D$207,D6,$AC$4:$AC$207)+SUMIF($D$4:$D$207,D6,$AF$4:$AF$207)+SUMIF($D$4:$D$207,D6,$AD$4:$AD$207))</f>
      </c>
      <c r="AN6" s="15">
        <f>IF($B6&lt;&gt;"Challan","",O6-M6)</f>
      </c>
      <c r="AO6" s="15">
        <f>IF($B6&lt;&gt;"Challan","",MAX(0,AN6-AM6))</f>
      </c>
      <c r="AP6" s="16">
        <f>IF($B6&lt;&gt;"Challan","",IF(ROUND(AM6-AN6,2)&gt;0,"Over-applied",IF(ROUND(AM6-AN6,2)=0,"Fully Utilised","Unconsumed")))</f>
      </c>
      <c r="AQ6" s="19">
        <f>IF($B6&lt;&gt;"Entry","",SUMPRODUCT(($D$4:$D$207=D6)*($B$4:$B$207="Challan")*$E$4:$E$207))</f>
      </c>
      <c r="AR6" s="20">
        <f>IF(OR($B6&lt;&gt;"Entry",Y6=""),FALSE,AND(SUMPRODUCT(($D$4:$D$207=D6)*($B$4:$B$207="Challan")*($G$4:$G$207&lt;&gt;""))&gt;0,SUMPRODUCT(($D$4:$D$207=D6)*($B$4:$B$207="Challan")*($G$4:$G$207=Y6))=0))</f>
      </c>
    </row>
    <row r="7" spans="1:44" x14ac:dyDescent="0.25">
      <c r="A7" s="10">
        <f>IF($B7="Entry",COUNTIF($B$4:$B7,"Entry"),"")</f>
      </c>
      <c r="B7" s="11" t="s">
        <v>151</v>
      </c>
      <c r="C7" s="12"/>
      <c r="D7" s="12" t="s">
        <v>146</v>
      </c>
      <c r="E7" s="13"/>
      <c r="F7" s="11"/>
      <c r="G7" s="11"/>
      <c r="H7" s="14"/>
      <c r="I7" s="14"/>
      <c r="J7" s="14"/>
      <c r="K7" s="14"/>
      <c r="L7" s="14"/>
      <c r="M7" s="14"/>
      <c r="N7" s="14"/>
      <c r="O7" s="15">
        <f>IF($B7&lt;&gt;"Challan","",H7+I7+J7+K7+L7+M7)</f>
      </c>
      <c r="P7" s="11"/>
      <c r="Q7" s="11"/>
      <c r="R7" s="11"/>
      <c r="S7" s="11"/>
      <c r="T7" s="11"/>
      <c r="U7" s="11" t="s">
        <v>157</v>
      </c>
      <c r="V7" s="11" t="s">
        <v>158</v>
      </c>
      <c r="W7" s="11" t="s">
        <v>149</v>
      </c>
      <c r="X7" s="16">
        <f>IF($B7&lt;&gt;"Entry","",IF(LEN(V7)&lt;4,"",IF(MID(V7,4,1)="P","Individual",IF(MID(V7,4,1)="H","HUF",IF(MID(V7,4,1)="C","Company",IF(MID(V7,4,1)="F","Firm",IF(MID(V7,4,1)="L","LLP",IF(MID(V7,4,1)="T","Trust",IF(MID(V7,4,1)="A","AOP",""))))))))</f>
      </c>
      <c r="Y7" s="11" t="s">
        <v>119</v>
      </c>
      <c r="Z7" s="17">
        <f>IF($B7&lt;&gt;"Entry","",IF(Y7="","",IF(W7="Y",SUMPRODUCT(('Rate Lookup'!$A$1:$A$32=Y7)*'Rate Lookup'!$D$1:$D$32),IF(OR(X7="Individual",X7="HUF"),SUMPRODUCT(('Rate Lookup'!$A$1:$A$32=Y7)*'Rate Lookup'!$B$1:$B$32),SUMPRODUCT(('Rate Lookup'!$A$1:$A$32=Y7)*'Rate Lookup'!$C$1:$C$32)))))</f>
      </c>
      <c r="AA7" s="13">
        <v>46173</v>
      </c>
      <c r="AB7" s="14">
        <v>100000</v>
      </c>
      <c r="AC7" s="15">
        <f>IF($B7&lt;&gt;"Entry","",ROUND(AB7*Z7/100,0))</f>
      </c>
      <c r="AD7" s="15">
        <f>IF($B7&lt;&gt;"Entry","",0)</f>
      </c>
      <c r="AE7" s="15">
        <f>IF($B7&lt;&gt;"Entry","",0)</f>
      </c>
      <c r="AF7" s="15">
        <f>IF($B7&lt;&gt;"Entry","",IF(OR(AC7=0,AA7="",AQ7="",AQ7&lt;=0),0,IF(AQ7&lt;=DATE(YEAR(AA7),MONTH(AA7)+1,7),0,ROUND(AC7*0.015*((YEAR(AQ7)-YEAR(AA7))*12+(MONTH(AQ7)-MONTH(AA7))+1),0))))</f>
      </c>
      <c r="AG7" s="15">
        <f>IF($B7&lt;&gt;"Entry","",0)</f>
      </c>
      <c r="AH7" s="11" t="s">
        <v>159</v>
      </c>
      <c r="AI7" s="11" t="s">
        <v>160</v>
      </c>
      <c r="AJ7" s="18">
        <v>0</v>
      </c>
      <c r="AK7" s="11"/>
      <c r="AL7" s="11" t="s">
        <v>161</v>
      </c>
      <c r="AM7" s="15">
        <f>IF($B7&lt;&gt;"Challan","",SUMIF($D$4:$D$207,D7,$AC$4:$AC$207)+SUMIF($D$4:$D$207,D7,$AF$4:$AF$207)+SUMIF($D$4:$D$207,D7,$AD$4:$AD$207))</f>
      </c>
      <c r="AN7" s="15">
        <f>IF($B7&lt;&gt;"Challan","",O7-M7)</f>
      </c>
      <c r="AO7" s="15">
        <f>IF($B7&lt;&gt;"Challan","",MAX(0,AN7-AM7))</f>
      </c>
      <c r="AP7" s="16">
        <f>IF($B7&lt;&gt;"Challan","",IF(ROUND(AM7-AN7,2)&gt;0,"Over-applied",IF(ROUND(AM7-AN7,2)=0,"Fully Utilised","Unconsumed")))</f>
      </c>
      <c r="AQ7" s="19">
        <f>IF($B7&lt;&gt;"Entry","",SUMPRODUCT(($D$4:$D$207=D7)*($B$4:$B$207="Challan")*$E$4:$E$207))</f>
      </c>
      <c r="AR7" s="20">
        <f>IF(OR($B7&lt;&gt;"Entry",Y7=""),FALSE,AND(SUMPRODUCT(($D$4:$D$207=D7)*($B$4:$B$207="Challan")*($G$4:$G$207&lt;&gt;""))&gt;0,SUMPRODUCT(($D$4:$D$207=D7)*($B$4:$B$207="Challan")*($G$4:$G$207=Y7))=0))</f>
      </c>
    </row>
    <row r="8" spans="1:44" x14ac:dyDescent="0.25">
      <c r="A8" s="21">
        <f>IF($B8="Entry",COUNTIF($B$4:$B8,"Entry"),"")</f>
      </c>
      <c r="B8" s="22"/>
      <c r="C8" s="23"/>
      <c r="D8" s="23"/>
      <c r="E8" s="24"/>
      <c r="F8" s="25"/>
      <c r="G8" s="25"/>
      <c r="H8" s="26"/>
      <c r="I8" s="26"/>
      <c r="J8" s="26"/>
      <c r="K8" s="26"/>
      <c r="L8" s="26"/>
      <c r="M8" s="26"/>
      <c r="N8" s="26"/>
      <c r="O8" s="27">
        <f>IF($B8&lt;&gt;"Challan","",H8+I8+J8+K8+L8+M8)</f>
      </c>
      <c r="P8" s="25"/>
      <c r="Q8" s="25"/>
      <c r="R8" s="25"/>
      <c r="S8" s="25"/>
      <c r="T8" s="25"/>
      <c r="U8" s="28"/>
      <c r="V8" s="28"/>
      <c r="W8" s="28"/>
      <c r="X8" s="29">
        <f>IF($B8&lt;&gt;"Entry","",IF(LEN(V8)&lt;4,"",IF(MID(V8,4,1)="P","Individual",IF(MID(V8,4,1)="H","HUF",IF(MID(V8,4,1)="C","Company",IF(MID(V8,4,1)="F","Firm",IF(MID(V8,4,1)="L","LLP",IF(MID(V8,4,1)="T","Trust",IF(MID(V8,4,1)="A","AOP",""))))))))</f>
      </c>
      <c r="Y8" s="28"/>
      <c r="Z8" s="30">
        <f>IF($B8&lt;&gt;"Entry","",IF(Y8="","",IF(W8="Y",SUMPRODUCT(('Rate Lookup'!$A$1:$A$32=Y8)*'Rate Lookup'!$D$1:$D$32),IF(OR(X8="Individual",X8="HUF"),SUMPRODUCT(('Rate Lookup'!$A$1:$A$32=Y8)*'Rate Lookup'!$B$1:$B$32),SUMPRODUCT(('Rate Lookup'!$A$1:$A$32=Y8)*'Rate Lookup'!$C$1:$C$32)))))</f>
      </c>
      <c r="AA8" s="31"/>
      <c r="AB8" s="32"/>
      <c r="AC8" s="27">
        <f>IF($B8&lt;&gt;"Entry","",ROUND(AB8*Z8/100,0))</f>
      </c>
      <c r="AD8" s="27">
        <f>IF($B8&lt;&gt;"Entry","",0)</f>
      </c>
      <c r="AE8" s="27">
        <f>IF($B8&lt;&gt;"Entry","",0)</f>
      </c>
      <c r="AF8" s="27">
        <f>IF($B8&lt;&gt;"Entry","",IF(OR(AC8=0,AA8="",AQ8="",AQ8&lt;=0),0,IF(AQ8&lt;=DATE(YEAR(AA8),MONTH(AA8)+1,7),0,ROUND(AC8*0.015*((YEAR(AQ8)-YEAR(AA8))*12+(MONTH(AQ8)-MONTH(AA8))+1),0))))</f>
      </c>
      <c r="AG8" s="27">
        <f>IF($B8&lt;&gt;"Entry","",0)</f>
      </c>
      <c r="AH8" s="28"/>
      <c r="AI8" s="28"/>
      <c r="AJ8" s="33"/>
      <c r="AK8" s="28"/>
      <c r="AL8" s="28"/>
      <c r="AM8" s="27">
        <f>IF($B8&lt;&gt;"Challan","",SUMIF($D$4:$D$207,D8,$AC$4:$AC$207)+SUMIF($D$4:$D$207,D8,$AF$4:$AF$207)+SUMIF($D$4:$D$207,D8,$AD$4:$AD$207))</f>
      </c>
      <c r="AN8" s="27">
        <f>IF($B8&lt;&gt;"Challan","",O8-M8)</f>
      </c>
      <c r="AO8" s="27">
        <f>IF($B8&lt;&gt;"Challan","",MAX(0,AN8-AM8))</f>
      </c>
      <c r="AP8" s="29">
        <f>IF($B8&lt;&gt;"Challan","",IF(ROUND(AM8-AN8,2)&gt;0,"Over-applied",IF(ROUND(AM8-AN8,2)=0,"Fully Utilised","Unconsumed")))</f>
      </c>
      <c r="AQ8" s="34">
        <f>IF($B8&lt;&gt;"Entry","",SUMPRODUCT(($D$4:$D$207=D8)*($B$4:$B$207="Challan")*$E$4:$E$207))</f>
      </c>
      <c r="AR8" s="35">
        <f>IF(OR($B8&lt;&gt;"Entry",Y8=""),FALSE,AND(SUMPRODUCT(($D$4:$D$207=D8)*($B$4:$B$207="Challan")*($G$4:$G$207&lt;&gt;""))&gt;0,SUMPRODUCT(($D$4:$D$207=D8)*($B$4:$B$207="Challan")*($G$4:$G$207=Y8))=0))</f>
      </c>
    </row>
    <row r="9" spans="1:44" x14ac:dyDescent="0.25">
      <c r="A9" s="21">
        <f>IF($B9="Entry",COUNTIF($B$4:$B9,"Entry"),"")</f>
      </c>
      <c r="B9" s="22"/>
      <c r="C9" s="23"/>
      <c r="D9" s="23"/>
      <c r="E9" s="24"/>
      <c r="F9" s="25"/>
      <c r="G9" s="25"/>
      <c r="H9" s="26"/>
      <c r="I9" s="26"/>
      <c r="J9" s="26"/>
      <c r="K9" s="26"/>
      <c r="L9" s="26"/>
      <c r="M9" s="26"/>
      <c r="N9" s="26"/>
      <c r="O9" s="27">
        <f>IF($B9&lt;&gt;"Challan","",H9+I9+J9+K9+L9+M9)</f>
      </c>
      <c r="P9" s="25"/>
      <c r="Q9" s="25"/>
      <c r="R9" s="25"/>
      <c r="S9" s="25"/>
      <c r="T9" s="25"/>
      <c r="U9" s="28"/>
      <c r="V9" s="28"/>
      <c r="W9" s="28"/>
      <c r="X9" s="29">
        <f>IF($B9&lt;&gt;"Entry","",IF(LEN(V9)&lt;4,"",IF(MID(V9,4,1)="P","Individual",IF(MID(V9,4,1)="H","HUF",IF(MID(V9,4,1)="C","Company",IF(MID(V9,4,1)="F","Firm",IF(MID(V9,4,1)="L","LLP",IF(MID(V9,4,1)="T","Trust",IF(MID(V9,4,1)="A","AOP",""))))))))</f>
      </c>
      <c r="Y9" s="28"/>
      <c r="Z9" s="30">
        <f>IF($B9&lt;&gt;"Entry","",IF(Y9="","",IF(W9="Y",SUMPRODUCT(('Rate Lookup'!$A$1:$A$32=Y9)*'Rate Lookup'!$D$1:$D$32),IF(OR(X9="Individual",X9="HUF"),SUMPRODUCT(('Rate Lookup'!$A$1:$A$32=Y9)*'Rate Lookup'!$B$1:$B$32),SUMPRODUCT(('Rate Lookup'!$A$1:$A$32=Y9)*'Rate Lookup'!$C$1:$C$32)))))</f>
      </c>
      <c r="AA9" s="31"/>
      <c r="AB9" s="32"/>
      <c r="AC9" s="27">
        <f>IF($B9&lt;&gt;"Entry","",ROUND(AB9*Z9/100,0))</f>
      </c>
      <c r="AD9" s="27">
        <f>IF($B9&lt;&gt;"Entry","",0)</f>
      </c>
      <c r="AE9" s="27">
        <f>IF($B9&lt;&gt;"Entry","",0)</f>
      </c>
      <c r="AF9" s="27">
        <f>IF($B9&lt;&gt;"Entry","",IF(OR(AC9=0,AA9="",AQ9="",AQ9&lt;=0),0,IF(AQ9&lt;=DATE(YEAR(AA9),MONTH(AA9)+1,7),0,ROUND(AC9*0.015*((YEAR(AQ9)-YEAR(AA9))*12+(MONTH(AQ9)-MONTH(AA9))+1),0))))</f>
      </c>
      <c r="AG9" s="27">
        <f>IF($B9&lt;&gt;"Entry","",0)</f>
      </c>
      <c r="AH9" s="28"/>
      <c r="AI9" s="28"/>
      <c r="AJ9" s="33"/>
      <c r="AK9" s="28"/>
      <c r="AL9" s="28"/>
      <c r="AM9" s="27">
        <f>IF($B9&lt;&gt;"Challan","",SUMIF($D$4:$D$207,D9,$AC$4:$AC$207)+SUMIF($D$4:$D$207,D9,$AF$4:$AF$207)+SUMIF($D$4:$D$207,D9,$AD$4:$AD$207))</f>
      </c>
      <c r="AN9" s="27">
        <f>IF($B9&lt;&gt;"Challan","",O9-M9)</f>
      </c>
      <c r="AO9" s="27">
        <f>IF($B9&lt;&gt;"Challan","",MAX(0,AN9-AM9))</f>
      </c>
      <c r="AP9" s="29">
        <f>IF($B9&lt;&gt;"Challan","",IF(ROUND(AM9-AN9,2)&gt;0,"Over-applied",IF(ROUND(AM9-AN9,2)=0,"Fully Utilised","Unconsumed")))</f>
      </c>
      <c r="AQ9" s="34">
        <f>IF($B9&lt;&gt;"Entry","",SUMPRODUCT(($D$4:$D$207=D9)*($B$4:$B$207="Challan")*$E$4:$E$207))</f>
      </c>
      <c r="AR9" s="35">
        <f>IF(OR($B9&lt;&gt;"Entry",Y9=""),FALSE,AND(SUMPRODUCT(($D$4:$D$207=D9)*($B$4:$B$207="Challan")*($G$4:$G$207&lt;&gt;""))&gt;0,SUMPRODUCT(($D$4:$D$207=D9)*($B$4:$B$207="Challan")*($G$4:$G$207=Y9))=0))</f>
      </c>
    </row>
    <row r="10" spans="1:44" x14ac:dyDescent="0.25">
      <c r="A10" s="21">
        <f>IF($B10="Entry",COUNTIF($B$4:$B10,"Entry"),"")</f>
      </c>
      <c r="B10" s="22"/>
      <c r="C10" s="23"/>
      <c r="D10" s="23"/>
      <c r="E10" s="24"/>
      <c r="F10" s="25"/>
      <c r="G10" s="25"/>
      <c r="H10" s="26"/>
      <c r="I10" s="26"/>
      <c r="J10" s="26"/>
      <c r="K10" s="26"/>
      <c r="L10" s="26"/>
      <c r="M10" s="26"/>
      <c r="N10" s="26"/>
      <c r="O10" s="27">
        <f>IF($B10&lt;&gt;"Challan","",H10+I10+J10+K10+L10+M10)</f>
      </c>
      <c r="P10" s="25"/>
      <c r="Q10" s="25"/>
      <c r="R10" s="25"/>
      <c r="S10" s="25"/>
      <c r="T10" s="25"/>
      <c r="U10" s="28"/>
      <c r="V10" s="28"/>
      <c r="W10" s="28"/>
      <c r="X10" s="29">
        <f>IF($B10&lt;&gt;"Entry","",IF(LEN(V10)&lt;4,"",IF(MID(V10,4,1)="P","Individual",IF(MID(V10,4,1)="H","HUF",IF(MID(V10,4,1)="C","Company",IF(MID(V10,4,1)="F","Firm",IF(MID(V10,4,1)="L","LLP",IF(MID(V10,4,1)="T","Trust",IF(MID(V10,4,1)="A","AOP",""))))))))</f>
      </c>
      <c r="Y10" s="28"/>
      <c r="Z10" s="30">
        <f>IF($B10&lt;&gt;"Entry","",IF(Y10="","",IF(W10="Y",SUMPRODUCT(('Rate Lookup'!$A$1:$A$32=Y10)*'Rate Lookup'!$D$1:$D$32),IF(OR(X10="Individual",X10="HUF"),SUMPRODUCT(('Rate Lookup'!$A$1:$A$32=Y10)*'Rate Lookup'!$B$1:$B$32),SUMPRODUCT(('Rate Lookup'!$A$1:$A$32=Y10)*'Rate Lookup'!$C$1:$C$32)))))</f>
      </c>
      <c r="AA10" s="31"/>
      <c r="AB10" s="32"/>
      <c r="AC10" s="27">
        <f>IF($B10&lt;&gt;"Entry","",ROUND(AB10*Z10/100,0))</f>
      </c>
      <c r="AD10" s="27">
        <f>IF($B10&lt;&gt;"Entry","",0)</f>
      </c>
      <c r="AE10" s="27">
        <f>IF($B10&lt;&gt;"Entry","",0)</f>
      </c>
      <c r="AF10" s="27">
        <f>IF($B10&lt;&gt;"Entry","",IF(OR(AC10=0,AA10="",AQ10="",AQ10&lt;=0),0,IF(AQ10&lt;=DATE(YEAR(AA10),MONTH(AA10)+1,7),0,ROUND(AC10*0.015*((YEAR(AQ10)-YEAR(AA10))*12+(MONTH(AQ10)-MONTH(AA10))+1),0))))</f>
      </c>
      <c r="AG10" s="27">
        <f>IF($B10&lt;&gt;"Entry","",0)</f>
      </c>
      <c r="AH10" s="28"/>
      <c r="AI10" s="28"/>
      <c r="AJ10" s="33"/>
      <c r="AK10" s="28"/>
      <c r="AL10" s="28"/>
      <c r="AM10" s="27">
        <f>IF($B10&lt;&gt;"Challan","",SUMIF($D$4:$D$207,D10,$AC$4:$AC$207)+SUMIF($D$4:$D$207,D10,$AF$4:$AF$207)+SUMIF($D$4:$D$207,D10,$AD$4:$AD$207))</f>
      </c>
      <c r="AN10" s="27">
        <f>IF($B10&lt;&gt;"Challan","",O10-M10)</f>
      </c>
      <c r="AO10" s="27">
        <f>IF($B10&lt;&gt;"Challan","",MAX(0,AN10-AM10))</f>
      </c>
      <c r="AP10" s="29">
        <f>IF($B10&lt;&gt;"Challan","",IF(ROUND(AM10-AN10,2)&gt;0,"Over-applied",IF(ROUND(AM10-AN10,2)=0,"Fully Utilised","Unconsumed")))</f>
      </c>
      <c r="AQ10" s="34">
        <f>IF($B10&lt;&gt;"Entry","",SUMPRODUCT(($D$4:$D$207=D10)*($B$4:$B$207="Challan")*$E$4:$E$207))</f>
      </c>
      <c r="AR10" s="35">
        <f>IF(OR($B10&lt;&gt;"Entry",Y10=""),FALSE,AND(SUMPRODUCT(($D$4:$D$207=D10)*($B$4:$B$207="Challan")*($G$4:$G$207&lt;&gt;""))&gt;0,SUMPRODUCT(($D$4:$D$207=D10)*($B$4:$B$207="Challan")*($G$4:$G$207=Y10))=0))</f>
      </c>
    </row>
    <row r="11" spans="1:44" x14ac:dyDescent="0.25">
      <c r="A11" s="21">
        <f>IF($B11="Entry",COUNTIF($B$4:$B11,"Entry"),"")</f>
      </c>
      <c r="B11" s="22"/>
      <c r="C11" s="23"/>
      <c r="D11" s="23"/>
      <c r="E11" s="24"/>
      <c r="F11" s="25"/>
      <c r="G11" s="25"/>
      <c r="H11" s="26"/>
      <c r="I11" s="26"/>
      <c r="J11" s="26"/>
      <c r="K11" s="26"/>
      <c r="L11" s="26"/>
      <c r="M11" s="26"/>
      <c r="N11" s="26"/>
      <c r="O11" s="27">
        <f>IF($B11&lt;&gt;"Challan","",H11+I11+J11+K11+L11+M11)</f>
      </c>
      <c r="P11" s="25"/>
      <c r="Q11" s="25"/>
      <c r="R11" s="25"/>
      <c r="S11" s="25"/>
      <c r="T11" s="25"/>
      <c r="U11" s="28"/>
      <c r="V11" s="28"/>
      <c r="W11" s="28"/>
      <c r="X11" s="29">
        <f>IF($B11&lt;&gt;"Entry","",IF(LEN(V11)&lt;4,"",IF(MID(V11,4,1)="P","Individual",IF(MID(V11,4,1)="H","HUF",IF(MID(V11,4,1)="C","Company",IF(MID(V11,4,1)="F","Firm",IF(MID(V11,4,1)="L","LLP",IF(MID(V11,4,1)="T","Trust",IF(MID(V11,4,1)="A","AOP",""))))))))</f>
      </c>
      <c r="Y11" s="28"/>
      <c r="Z11" s="30">
        <f>IF($B11&lt;&gt;"Entry","",IF(Y11="","",IF(W11="Y",SUMPRODUCT(('Rate Lookup'!$A$1:$A$32=Y11)*'Rate Lookup'!$D$1:$D$32),IF(OR(X11="Individual",X11="HUF"),SUMPRODUCT(('Rate Lookup'!$A$1:$A$32=Y11)*'Rate Lookup'!$B$1:$B$32),SUMPRODUCT(('Rate Lookup'!$A$1:$A$32=Y11)*'Rate Lookup'!$C$1:$C$32)))))</f>
      </c>
      <c r="AA11" s="31"/>
      <c r="AB11" s="32"/>
      <c r="AC11" s="27">
        <f>IF($B11&lt;&gt;"Entry","",ROUND(AB11*Z11/100,0))</f>
      </c>
      <c r="AD11" s="27">
        <f>IF($B11&lt;&gt;"Entry","",0)</f>
      </c>
      <c r="AE11" s="27">
        <f>IF($B11&lt;&gt;"Entry","",0)</f>
      </c>
      <c r="AF11" s="27">
        <f>IF($B11&lt;&gt;"Entry","",IF(OR(AC11=0,AA11="",AQ11="",AQ11&lt;=0),0,IF(AQ11&lt;=DATE(YEAR(AA11),MONTH(AA11)+1,7),0,ROUND(AC11*0.015*((YEAR(AQ11)-YEAR(AA11))*12+(MONTH(AQ11)-MONTH(AA11))+1),0))))</f>
      </c>
      <c r="AG11" s="27">
        <f>IF($B11&lt;&gt;"Entry","",0)</f>
      </c>
      <c r="AH11" s="28"/>
      <c r="AI11" s="28"/>
      <c r="AJ11" s="33"/>
      <c r="AK11" s="28"/>
      <c r="AL11" s="28"/>
      <c r="AM11" s="27">
        <f>IF($B11&lt;&gt;"Challan","",SUMIF($D$4:$D$207,D11,$AC$4:$AC$207)+SUMIF($D$4:$D$207,D11,$AF$4:$AF$207)+SUMIF($D$4:$D$207,D11,$AD$4:$AD$207))</f>
      </c>
      <c r="AN11" s="27">
        <f>IF($B11&lt;&gt;"Challan","",O11-M11)</f>
      </c>
      <c r="AO11" s="27">
        <f>IF($B11&lt;&gt;"Challan","",MAX(0,AN11-AM11))</f>
      </c>
      <c r="AP11" s="29">
        <f>IF($B11&lt;&gt;"Challan","",IF(ROUND(AM11-AN11,2)&gt;0,"Over-applied",IF(ROUND(AM11-AN11,2)=0,"Fully Utilised","Unconsumed")))</f>
      </c>
      <c r="AQ11" s="34">
        <f>IF($B11&lt;&gt;"Entry","",SUMPRODUCT(($D$4:$D$207=D11)*($B$4:$B$207="Challan")*$E$4:$E$207))</f>
      </c>
      <c r="AR11" s="35">
        <f>IF(OR($B11&lt;&gt;"Entry",Y11=""),FALSE,AND(SUMPRODUCT(($D$4:$D$207=D11)*($B$4:$B$207="Challan")*($G$4:$G$207&lt;&gt;""))&gt;0,SUMPRODUCT(($D$4:$D$207=D11)*($B$4:$B$207="Challan")*($G$4:$G$207=Y11))=0))</f>
      </c>
    </row>
    <row r="12" spans="1:44" x14ac:dyDescent="0.25">
      <c r="A12" s="21">
        <f>IF($B12="Entry",COUNTIF($B$4:$B12,"Entry"),"")</f>
      </c>
      <c r="B12" s="22"/>
      <c r="C12" s="23"/>
      <c r="D12" s="23"/>
      <c r="E12" s="24"/>
      <c r="F12" s="25"/>
      <c r="G12" s="25"/>
      <c r="H12" s="26"/>
      <c r="I12" s="26"/>
      <c r="J12" s="26"/>
      <c r="K12" s="26"/>
      <c r="L12" s="26"/>
      <c r="M12" s="26"/>
      <c r="N12" s="26"/>
      <c r="O12" s="27">
        <f>IF($B12&lt;&gt;"Challan","",H12+I12+J12+K12+L12+M12)</f>
      </c>
      <c r="P12" s="25"/>
      <c r="Q12" s="25"/>
      <c r="R12" s="25"/>
      <c r="S12" s="25"/>
      <c r="T12" s="25"/>
      <c r="U12" s="28"/>
      <c r="V12" s="28"/>
      <c r="W12" s="28"/>
      <c r="X12" s="29">
        <f>IF($B12&lt;&gt;"Entry","",IF(LEN(V12)&lt;4,"",IF(MID(V12,4,1)="P","Individual",IF(MID(V12,4,1)="H","HUF",IF(MID(V12,4,1)="C","Company",IF(MID(V12,4,1)="F","Firm",IF(MID(V12,4,1)="L","LLP",IF(MID(V12,4,1)="T","Trust",IF(MID(V12,4,1)="A","AOP",""))))))))</f>
      </c>
      <c r="Y12" s="28"/>
      <c r="Z12" s="30">
        <f>IF($B12&lt;&gt;"Entry","",IF(Y12="","",IF(W12="Y",SUMPRODUCT(('Rate Lookup'!$A$1:$A$32=Y12)*'Rate Lookup'!$D$1:$D$32),IF(OR(X12="Individual",X12="HUF"),SUMPRODUCT(('Rate Lookup'!$A$1:$A$32=Y12)*'Rate Lookup'!$B$1:$B$32),SUMPRODUCT(('Rate Lookup'!$A$1:$A$32=Y12)*'Rate Lookup'!$C$1:$C$32)))))</f>
      </c>
      <c r="AA12" s="31"/>
      <c r="AB12" s="32"/>
      <c r="AC12" s="27">
        <f>IF($B12&lt;&gt;"Entry","",ROUND(AB12*Z12/100,0))</f>
      </c>
      <c r="AD12" s="27">
        <f>IF($B12&lt;&gt;"Entry","",0)</f>
      </c>
      <c r="AE12" s="27">
        <f>IF($B12&lt;&gt;"Entry","",0)</f>
      </c>
      <c r="AF12" s="27">
        <f>IF($B12&lt;&gt;"Entry","",IF(OR(AC12=0,AA12="",AQ12="",AQ12&lt;=0),0,IF(AQ12&lt;=DATE(YEAR(AA12),MONTH(AA12)+1,7),0,ROUND(AC12*0.015*((YEAR(AQ12)-YEAR(AA12))*12+(MONTH(AQ12)-MONTH(AA12))+1),0))))</f>
      </c>
      <c r="AG12" s="27">
        <f>IF($B12&lt;&gt;"Entry","",0)</f>
      </c>
      <c r="AH12" s="28"/>
      <c r="AI12" s="28"/>
      <c r="AJ12" s="33"/>
      <c r="AK12" s="28"/>
      <c r="AL12" s="28"/>
      <c r="AM12" s="27">
        <f>IF($B12&lt;&gt;"Challan","",SUMIF($D$4:$D$207,D12,$AC$4:$AC$207)+SUMIF($D$4:$D$207,D12,$AF$4:$AF$207)+SUMIF($D$4:$D$207,D12,$AD$4:$AD$207))</f>
      </c>
      <c r="AN12" s="27">
        <f>IF($B12&lt;&gt;"Challan","",O12-M12)</f>
      </c>
      <c r="AO12" s="27">
        <f>IF($B12&lt;&gt;"Challan","",MAX(0,AN12-AM12))</f>
      </c>
      <c r="AP12" s="29">
        <f>IF($B12&lt;&gt;"Challan","",IF(ROUND(AM12-AN12,2)&gt;0,"Over-applied",IF(ROUND(AM12-AN12,2)=0,"Fully Utilised","Unconsumed")))</f>
      </c>
      <c r="AQ12" s="34">
        <f>IF($B12&lt;&gt;"Entry","",SUMPRODUCT(($D$4:$D$207=D12)*($B$4:$B$207="Challan")*$E$4:$E$207))</f>
      </c>
      <c r="AR12" s="35">
        <f>IF(OR($B12&lt;&gt;"Entry",Y12=""),FALSE,AND(SUMPRODUCT(($D$4:$D$207=D12)*($B$4:$B$207="Challan")*($G$4:$G$207&lt;&gt;""))&gt;0,SUMPRODUCT(($D$4:$D$207=D12)*($B$4:$B$207="Challan")*($G$4:$G$207=Y12))=0))</f>
      </c>
    </row>
    <row r="13" spans="1:44" x14ac:dyDescent="0.25">
      <c r="A13" s="21">
        <f>IF($B13="Entry",COUNTIF($B$4:$B13,"Entry"),"")</f>
      </c>
      <c r="B13" s="22"/>
      <c r="C13" s="23"/>
      <c r="D13" s="23"/>
      <c r="E13" s="24"/>
      <c r="F13" s="25"/>
      <c r="G13" s="25"/>
      <c r="H13" s="26"/>
      <c r="I13" s="26"/>
      <c r="J13" s="26"/>
      <c r="K13" s="26"/>
      <c r="L13" s="26"/>
      <c r="M13" s="26"/>
      <c r="N13" s="26"/>
      <c r="O13" s="27">
        <f>IF($B13&lt;&gt;"Challan","",H13+I13+J13+K13+L13+M13)</f>
      </c>
      <c r="P13" s="25"/>
      <c r="Q13" s="25"/>
      <c r="R13" s="25"/>
      <c r="S13" s="25"/>
      <c r="T13" s="25"/>
      <c r="U13" s="28"/>
      <c r="V13" s="28"/>
      <c r="W13" s="28"/>
      <c r="X13" s="29">
        <f>IF($B13&lt;&gt;"Entry","",IF(LEN(V13)&lt;4,"",IF(MID(V13,4,1)="P","Individual",IF(MID(V13,4,1)="H","HUF",IF(MID(V13,4,1)="C","Company",IF(MID(V13,4,1)="F","Firm",IF(MID(V13,4,1)="L","LLP",IF(MID(V13,4,1)="T","Trust",IF(MID(V13,4,1)="A","AOP",""))))))))</f>
      </c>
      <c r="Y13" s="28"/>
      <c r="Z13" s="30">
        <f>IF($B13&lt;&gt;"Entry","",IF(Y13="","",IF(W13="Y",SUMPRODUCT(('Rate Lookup'!$A$1:$A$32=Y13)*'Rate Lookup'!$D$1:$D$32),IF(OR(X13="Individual",X13="HUF"),SUMPRODUCT(('Rate Lookup'!$A$1:$A$32=Y13)*'Rate Lookup'!$B$1:$B$32),SUMPRODUCT(('Rate Lookup'!$A$1:$A$32=Y13)*'Rate Lookup'!$C$1:$C$32)))))</f>
      </c>
      <c r="AA13" s="31"/>
      <c r="AB13" s="32"/>
      <c r="AC13" s="27">
        <f>IF($B13&lt;&gt;"Entry","",ROUND(AB13*Z13/100,0))</f>
      </c>
      <c r="AD13" s="27">
        <f>IF($B13&lt;&gt;"Entry","",0)</f>
      </c>
      <c r="AE13" s="27">
        <f>IF($B13&lt;&gt;"Entry","",0)</f>
      </c>
      <c r="AF13" s="27">
        <f>IF($B13&lt;&gt;"Entry","",IF(OR(AC13=0,AA13="",AQ13="",AQ13&lt;=0),0,IF(AQ13&lt;=DATE(YEAR(AA13),MONTH(AA13)+1,7),0,ROUND(AC13*0.015*((YEAR(AQ13)-YEAR(AA13))*12+(MONTH(AQ13)-MONTH(AA13))+1),0))))</f>
      </c>
      <c r="AG13" s="27">
        <f>IF($B13&lt;&gt;"Entry","",0)</f>
      </c>
      <c r="AH13" s="28"/>
      <c r="AI13" s="28"/>
      <c r="AJ13" s="33"/>
      <c r="AK13" s="28"/>
      <c r="AL13" s="28"/>
      <c r="AM13" s="27">
        <f>IF($B13&lt;&gt;"Challan","",SUMIF($D$4:$D$207,D13,$AC$4:$AC$207)+SUMIF($D$4:$D$207,D13,$AF$4:$AF$207)+SUMIF($D$4:$D$207,D13,$AD$4:$AD$207))</f>
      </c>
      <c r="AN13" s="27">
        <f>IF($B13&lt;&gt;"Challan","",O13-M13)</f>
      </c>
      <c r="AO13" s="27">
        <f>IF($B13&lt;&gt;"Challan","",MAX(0,AN13-AM13))</f>
      </c>
      <c r="AP13" s="29">
        <f>IF($B13&lt;&gt;"Challan","",IF(ROUND(AM13-AN13,2)&gt;0,"Over-applied",IF(ROUND(AM13-AN13,2)=0,"Fully Utilised","Unconsumed")))</f>
      </c>
      <c r="AQ13" s="34">
        <f>IF($B13&lt;&gt;"Entry","",SUMPRODUCT(($D$4:$D$207=D13)*($B$4:$B$207="Challan")*$E$4:$E$207))</f>
      </c>
      <c r="AR13" s="35">
        <f>IF(OR($B13&lt;&gt;"Entry",Y13=""),FALSE,AND(SUMPRODUCT(($D$4:$D$207=D13)*($B$4:$B$207="Challan")*($G$4:$G$207&lt;&gt;""))&gt;0,SUMPRODUCT(($D$4:$D$207=D13)*($B$4:$B$207="Challan")*($G$4:$G$207=Y13))=0))</f>
      </c>
    </row>
    <row r="14" spans="1:44" x14ac:dyDescent="0.25">
      <c r="A14" s="21">
        <f>IF($B14="Entry",COUNTIF($B$4:$B14,"Entry"),"")</f>
      </c>
      <c r="B14" s="22"/>
      <c r="C14" s="23"/>
      <c r="D14" s="23"/>
      <c r="E14" s="24"/>
      <c r="F14" s="25"/>
      <c r="G14" s="25"/>
      <c r="H14" s="26"/>
      <c r="I14" s="26"/>
      <c r="J14" s="26"/>
      <c r="K14" s="26"/>
      <c r="L14" s="26"/>
      <c r="M14" s="26"/>
      <c r="N14" s="26"/>
      <c r="O14" s="27">
        <f>IF($B14&lt;&gt;"Challan","",H14+I14+J14+K14+L14+M14)</f>
      </c>
      <c r="P14" s="25"/>
      <c r="Q14" s="25"/>
      <c r="R14" s="25"/>
      <c r="S14" s="25"/>
      <c r="T14" s="25"/>
      <c r="U14" s="28"/>
      <c r="V14" s="28"/>
      <c r="W14" s="28"/>
      <c r="X14" s="29">
        <f>IF($B14&lt;&gt;"Entry","",IF(LEN(V14)&lt;4,"",IF(MID(V14,4,1)="P","Individual",IF(MID(V14,4,1)="H","HUF",IF(MID(V14,4,1)="C","Company",IF(MID(V14,4,1)="F","Firm",IF(MID(V14,4,1)="L","LLP",IF(MID(V14,4,1)="T","Trust",IF(MID(V14,4,1)="A","AOP",""))))))))</f>
      </c>
      <c r="Y14" s="28"/>
      <c r="Z14" s="30">
        <f>IF($B14&lt;&gt;"Entry","",IF(Y14="","",IF(W14="Y",SUMPRODUCT(('Rate Lookup'!$A$1:$A$32=Y14)*'Rate Lookup'!$D$1:$D$32),IF(OR(X14="Individual",X14="HUF"),SUMPRODUCT(('Rate Lookup'!$A$1:$A$32=Y14)*'Rate Lookup'!$B$1:$B$32),SUMPRODUCT(('Rate Lookup'!$A$1:$A$32=Y14)*'Rate Lookup'!$C$1:$C$32)))))</f>
      </c>
      <c r="AA14" s="31"/>
      <c r="AB14" s="32"/>
      <c r="AC14" s="27">
        <f>IF($B14&lt;&gt;"Entry","",ROUND(AB14*Z14/100,0))</f>
      </c>
      <c r="AD14" s="27">
        <f>IF($B14&lt;&gt;"Entry","",0)</f>
      </c>
      <c r="AE14" s="27">
        <f>IF($B14&lt;&gt;"Entry","",0)</f>
      </c>
      <c r="AF14" s="27">
        <f>IF($B14&lt;&gt;"Entry","",IF(OR(AC14=0,AA14="",AQ14="",AQ14&lt;=0),0,IF(AQ14&lt;=DATE(YEAR(AA14),MONTH(AA14)+1,7),0,ROUND(AC14*0.015*((YEAR(AQ14)-YEAR(AA14))*12+(MONTH(AQ14)-MONTH(AA14))+1),0))))</f>
      </c>
      <c r="AG14" s="27">
        <f>IF($B14&lt;&gt;"Entry","",0)</f>
      </c>
      <c r="AH14" s="28"/>
      <c r="AI14" s="28"/>
      <c r="AJ14" s="33"/>
      <c r="AK14" s="28"/>
      <c r="AL14" s="28"/>
      <c r="AM14" s="27">
        <f>IF($B14&lt;&gt;"Challan","",SUMIF($D$4:$D$207,D14,$AC$4:$AC$207)+SUMIF($D$4:$D$207,D14,$AF$4:$AF$207)+SUMIF($D$4:$D$207,D14,$AD$4:$AD$207))</f>
      </c>
      <c r="AN14" s="27">
        <f>IF($B14&lt;&gt;"Challan","",O14-M14)</f>
      </c>
      <c r="AO14" s="27">
        <f>IF($B14&lt;&gt;"Challan","",MAX(0,AN14-AM14))</f>
      </c>
      <c r="AP14" s="29">
        <f>IF($B14&lt;&gt;"Challan","",IF(ROUND(AM14-AN14,2)&gt;0,"Over-applied",IF(ROUND(AM14-AN14,2)=0,"Fully Utilised","Unconsumed")))</f>
      </c>
      <c r="AQ14" s="34">
        <f>IF($B14&lt;&gt;"Entry","",SUMPRODUCT(($D$4:$D$207=D14)*($B$4:$B$207="Challan")*$E$4:$E$207))</f>
      </c>
      <c r="AR14" s="35">
        <f>IF(OR($B14&lt;&gt;"Entry",Y14=""),FALSE,AND(SUMPRODUCT(($D$4:$D$207=D14)*($B$4:$B$207="Challan")*($G$4:$G$207&lt;&gt;""))&gt;0,SUMPRODUCT(($D$4:$D$207=D14)*($B$4:$B$207="Challan")*($G$4:$G$207=Y14))=0))</f>
      </c>
    </row>
    <row r="15" spans="1:44" x14ac:dyDescent="0.25">
      <c r="A15" s="21">
        <f>IF($B15="Entry",COUNTIF($B$4:$B15,"Entry"),"")</f>
      </c>
      <c r="B15" s="22"/>
      <c r="C15" s="23"/>
      <c r="D15" s="23"/>
      <c r="E15" s="24"/>
      <c r="F15" s="25"/>
      <c r="G15" s="25"/>
      <c r="H15" s="26"/>
      <c r="I15" s="26"/>
      <c r="J15" s="26"/>
      <c r="K15" s="26"/>
      <c r="L15" s="26"/>
      <c r="M15" s="26"/>
      <c r="N15" s="26"/>
      <c r="O15" s="27">
        <f>IF($B15&lt;&gt;"Challan","",H15+I15+J15+K15+L15+M15)</f>
      </c>
      <c r="P15" s="25"/>
      <c r="Q15" s="25"/>
      <c r="R15" s="25"/>
      <c r="S15" s="25"/>
      <c r="T15" s="25"/>
      <c r="U15" s="28"/>
      <c r="V15" s="28"/>
      <c r="W15" s="28"/>
      <c r="X15" s="29">
        <f>IF($B15&lt;&gt;"Entry","",IF(LEN(V15)&lt;4,"",IF(MID(V15,4,1)="P","Individual",IF(MID(V15,4,1)="H","HUF",IF(MID(V15,4,1)="C","Company",IF(MID(V15,4,1)="F","Firm",IF(MID(V15,4,1)="L","LLP",IF(MID(V15,4,1)="T","Trust",IF(MID(V15,4,1)="A","AOP",""))))))))</f>
      </c>
      <c r="Y15" s="28"/>
      <c r="Z15" s="30">
        <f>IF($B15&lt;&gt;"Entry","",IF(Y15="","",IF(W15="Y",SUMPRODUCT(('Rate Lookup'!$A$1:$A$32=Y15)*'Rate Lookup'!$D$1:$D$32),IF(OR(X15="Individual",X15="HUF"),SUMPRODUCT(('Rate Lookup'!$A$1:$A$32=Y15)*'Rate Lookup'!$B$1:$B$32),SUMPRODUCT(('Rate Lookup'!$A$1:$A$32=Y15)*'Rate Lookup'!$C$1:$C$32)))))</f>
      </c>
      <c r="AA15" s="31"/>
      <c r="AB15" s="32"/>
      <c r="AC15" s="27">
        <f>IF($B15&lt;&gt;"Entry","",ROUND(AB15*Z15/100,0))</f>
      </c>
      <c r="AD15" s="27">
        <f>IF($B15&lt;&gt;"Entry","",0)</f>
      </c>
      <c r="AE15" s="27">
        <f>IF($B15&lt;&gt;"Entry","",0)</f>
      </c>
      <c r="AF15" s="27">
        <f>IF($B15&lt;&gt;"Entry","",IF(OR(AC15=0,AA15="",AQ15="",AQ15&lt;=0),0,IF(AQ15&lt;=DATE(YEAR(AA15),MONTH(AA15)+1,7),0,ROUND(AC15*0.015*((YEAR(AQ15)-YEAR(AA15))*12+(MONTH(AQ15)-MONTH(AA15))+1),0))))</f>
      </c>
      <c r="AG15" s="27">
        <f>IF($B15&lt;&gt;"Entry","",0)</f>
      </c>
      <c r="AH15" s="28"/>
      <c r="AI15" s="28"/>
      <c r="AJ15" s="33"/>
      <c r="AK15" s="28"/>
      <c r="AL15" s="28"/>
      <c r="AM15" s="27">
        <f>IF($B15&lt;&gt;"Challan","",SUMIF($D$4:$D$207,D15,$AC$4:$AC$207)+SUMIF($D$4:$D$207,D15,$AF$4:$AF$207)+SUMIF($D$4:$D$207,D15,$AD$4:$AD$207))</f>
      </c>
      <c r="AN15" s="27">
        <f>IF($B15&lt;&gt;"Challan","",O15-M15)</f>
      </c>
      <c r="AO15" s="27">
        <f>IF($B15&lt;&gt;"Challan","",MAX(0,AN15-AM15))</f>
      </c>
      <c r="AP15" s="29">
        <f>IF($B15&lt;&gt;"Challan","",IF(ROUND(AM15-AN15,2)&gt;0,"Over-applied",IF(ROUND(AM15-AN15,2)=0,"Fully Utilised","Unconsumed")))</f>
      </c>
      <c r="AQ15" s="34">
        <f>IF($B15&lt;&gt;"Entry","",SUMPRODUCT(($D$4:$D$207=D15)*($B$4:$B$207="Challan")*$E$4:$E$207))</f>
      </c>
      <c r="AR15" s="35">
        <f>IF(OR($B15&lt;&gt;"Entry",Y15=""),FALSE,AND(SUMPRODUCT(($D$4:$D$207=D15)*($B$4:$B$207="Challan")*($G$4:$G$207&lt;&gt;""))&gt;0,SUMPRODUCT(($D$4:$D$207=D15)*($B$4:$B$207="Challan")*($G$4:$G$207=Y15))=0))</f>
      </c>
    </row>
    <row r="16" spans="1:44" x14ac:dyDescent="0.25">
      <c r="A16" s="21">
        <f>IF($B16="Entry",COUNTIF($B$4:$B16,"Entry"),"")</f>
      </c>
      <c r="B16" s="22"/>
      <c r="C16" s="23"/>
      <c r="D16" s="23"/>
      <c r="E16" s="24"/>
      <c r="F16" s="25"/>
      <c r="G16" s="25"/>
      <c r="H16" s="26"/>
      <c r="I16" s="26"/>
      <c r="J16" s="26"/>
      <c r="K16" s="26"/>
      <c r="L16" s="26"/>
      <c r="M16" s="26"/>
      <c r="N16" s="26"/>
      <c r="O16" s="27">
        <f>IF($B16&lt;&gt;"Challan","",H16+I16+J16+K16+L16+M16)</f>
      </c>
      <c r="P16" s="25"/>
      <c r="Q16" s="25"/>
      <c r="R16" s="25"/>
      <c r="S16" s="25"/>
      <c r="T16" s="25"/>
      <c r="U16" s="28"/>
      <c r="V16" s="28"/>
      <c r="W16" s="28"/>
      <c r="X16" s="29">
        <f>IF($B16&lt;&gt;"Entry","",IF(LEN(V16)&lt;4,"",IF(MID(V16,4,1)="P","Individual",IF(MID(V16,4,1)="H","HUF",IF(MID(V16,4,1)="C","Company",IF(MID(V16,4,1)="F","Firm",IF(MID(V16,4,1)="L","LLP",IF(MID(V16,4,1)="T","Trust",IF(MID(V16,4,1)="A","AOP",""))))))))</f>
      </c>
      <c r="Y16" s="28"/>
      <c r="Z16" s="30">
        <f>IF($B16&lt;&gt;"Entry","",IF(Y16="","",IF(W16="Y",SUMPRODUCT(('Rate Lookup'!$A$1:$A$32=Y16)*'Rate Lookup'!$D$1:$D$32),IF(OR(X16="Individual",X16="HUF"),SUMPRODUCT(('Rate Lookup'!$A$1:$A$32=Y16)*'Rate Lookup'!$B$1:$B$32),SUMPRODUCT(('Rate Lookup'!$A$1:$A$32=Y16)*'Rate Lookup'!$C$1:$C$32)))))</f>
      </c>
      <c r="AA16" s="31"/>
      <c r="AB16" s="32"/>
      <c r="AC16" s="27">
        <f>IF($B16&lt;&gt;"Entry","",ROUND(AB16*Z16/100,0))</f>
      </c>
      <c r="AD16" s="27">
        <f>IF($B16&lt;&gt;"Entry","",0)</f>
      </c>
      <c r="AE16" s="27">
        <f>IF($B16&lt;&gt;"Entry","",0)</f>
      </c>
      <c r="AF16" s="27">
        <f>IF($B16&lt;&gt;"Entry","",IF(OR(AC16=0,AA16="",AQ16="",AQ16&lt;=0),0,IF(AQ16&lt;=DATE(YEAR(AA16),MONTH(AA16)+1,7),0,ROUND(AC16*0.015*((YEAR(AQ16)-YEAR(AA16))*12+(MONTH(AQ16)-MONTH(AA16))+1),0))))</f>
      </c>
      <c r="AG16" s="27">
        <f>IF($B16&lt;&gt;"Entry","",0)</f>
      </c>
      <c r="AH16" s="28"/>
      <c r="AI16" s="28"/>
      <c r="AJ16" s="33"/>
      <c r="AK16" s="28"/>
      <c r="AL16" s="28"/>
      <c r="AM16" s="27">
        <f>IF($B16&lt;&gt;"Challan","",SUMIF($D$4:$D$207,D16,$AC$4:$AC$207)+SUMIF($D$4:$D$207,D16,$AF$4:$AF$207)+SUMIF($D$4:$D$207,D16,$AD$4:$AD$207))</f>
      </c>
      <c r="AN16" s="27">
        <f>IF($B16&lt;&gt;"Challan","",O16-M16)</f>
      </c>
      <c r="AO16" s="27">
        <f>IF($B16&lt;&gt;"Challan","",MAX(0,AN16-AM16))</f>
      </c>
      <c r="AP16" s="29">
        <f>IF($B16&lt;&gt;"Challan","",IF(ROUND(AM16-AN16,2)&gt;0,"Over-applied",IF(ROUND(AM16-AN16,2)=0,"Fully Utilised","Unconsumed")))</f>
      </c>
      <c r="AQ16" s="34">
        <f>IF($B16&lt;&gt;"Entry","",SUMPRODUCT(($D$4:$D$207=D16)*($B$4:$B$207="Challan")*$E$4:$E$207))</f>
      </c>
      <c r="AR16" s="35">
        <f>IF(OR($B16&lt;&gt;"Entry",Y16=""),FALSE,AND(SUMPRODUCT(($D$4:$D$207=D16)*($B$4:$B$207="Challan")*($G$4:$G$207&lt;&gt;""))&gt;0,SUMPRODUCT(($D$4:$D$207=D16)*($B$4:$B$207="Challan")*($G$4:$G$207=Y16))=0))</f>
      </c>
    </row>
    <row r="17" spans="1:44" x14ac:dyDescent="0.25">
      <c r="A17" s="21">
        <f>IF($B17="Entry",COUNTIF($B$4:$B17,"Entry"),"")</f>
      </c>
      <c r="B17" s="22"/>
      <c r="C17" s="23"/>
      <c r="D17" s="23"/>
      <c r="E17" s="24"/>
      <c r="F17" s="25"/>
      <c r="G17" s="25"/>
      <c r="H17" s="26"/>
      <c r="I17" s="26"/>
      <c r="J17" s="26"/>
      <c r="K17" s="26"/>
      <c r="L17" s="26"/>
      <c r="M17" s="26"/>
      <c r="N17" s="26"/>
      <c r="O17" s="27">
        <f>IF($B17&lt;&gt;"Challan","",H17+I17+J17+K17+L17+M17)</f>
      </c>
      <c r="P17" s="25"/>
      <c r="Q17" s="25"/>
      <c r="R17" s="25"/>
      <c r="S17" s="25"/>
      <c r="T17" s="25"/>
      <c r="U17" s="28"/>
      <c r="V17" s="28"/>
      <c r="W17" s="28"/>
      <c r="X17" s="29">
        <f>IF($B17&lt;&gt;"Entry","",IF(LEN(V17)&lt;4,"",IF(MID(V17,4,1)="P","Individual",IF(MID(V17,4,1)="H","HUF",IF(MID(V17,4,1)="C","Company",IF(MID(V17,4,1)="F","Firm",IF(MID(V17,4,1)="L","LLP",IF(MID(V17,4,1)="T","Trust",IF(MID(V17,4,1)="A","AOP",""))))))))</f>
      </c>
      <c r="Y17" s="28"/>
      <c r="Z17" s="30">
        <f>IF($B17&lt;&gt;"Entry","",IF(Y17="","",IF(W17="Y",SUMPRODUCT(('Rate Lookup'!$A$1:$A$32=Y17)*'Rate Lookup'!$D$1:$D$32),IF(OR(X17="Individual",X17="HUF"),SUMPRODUCT(('Rate Lookup'!$A$1:$A$32=Y17)*'Rate Lookup'!$B$1:$B$32),SUMPRODUCT(('Rate Lookup'!$A$1:$A$32=Y17)*'Rate Lookup'!$C$1:$C$32)))))</f>
      </c>
      <c r="AA17" s="31"/>
      <c r="AB17" s="32"/>
      <c r="AC17" s="27">
        <f>IF($B17&lt;&gt;"Entry","",ROUND(AB17*Z17/100,0))</f>
      </c>
      <c r="AD17" s="27">
        <f>IF($B17&lt;&gt;"Entry","",0)</f>
      </c>
      <c r="AE17" s="27">
        <f>IF($B17&lt;&gt;"Entry","",0)</f>
      </c>
      <c r="AF17" s="27">
        <f>IF($B17&lt;&gt;"Entry","",IF(OR(AC17=0,AA17="",AQ17="",AQ17&lt;=0),0,IF(AQ17&lt;=DATE(YEAR(AA17),MONTH(AA17)+1,7),0,ROUND(AC17*0.015*((YEAR(AQ17)-YEAR(AA17))*12+(MONTH(AQ17)-MONTH(AA17))+1),0))))</f>
      </c>
      <c r="AG17" s="27">
        <f>IF($B17&lt;&gt;"Entry","",0)</f>
      </c>
      <c r="AH17" s="28"/>
      <c r="AI17" s="28"/>
      <c r="AJ17" s="33"/>
      <c r="AK17" s="28"/>
      <c r="AL17" s="28"/>
      <c r="AM17" s="27">
        <f>IF($B17&lt;&gt;"Challan","",SUMIF($D$4:$D$207,D17,$AC$4:$AC$207)+SUMIF($D$4:$D$207,D17,$AF$4:$AF$207)+SUMIF($D$4:$D$207,D17,$AD$4:$AD$207))</f>
      </c>
      <c r="AN17" s="27">
        <f>IF($B17&lt;&gt;"Challan","",O17-M17)</f>
      </c>
      <c r="AO17" s="27">
        <f>IF($B17&lt;&gt;"Challan","",MAX(0,AN17-AM17))</f>
      </c>
      <c r="AP17" s="29">
        <f>IF($B17&lt;&gt;"Challan","",IF(ROUND(AM17-AN17,2)&gt;0,"Over-applied",IF(ROUND(AM17-AN17,2)=0,"Fully Utilised","Unconsumed")))</f>
      </c>
      <c r="AQ17" s="34">
        <f>IF($B17&lt;&gt;"Entry","",SUMPRODUCT(($D$4:$D$207=D17)*($B$4:$B$207="Challan")*$E$4:$E$207))</f>
      </c>
      <c r="AR17" s="35">
        <f>IF(OR($B17&lt;&gt;"Entry",Y17=""),FALSE,AND(SUMPRODUCT(($D$4:$D$207=D17)*($B$4:$B$207="Challan")*($G$4:$G$207&lt;&gt;""))&gt;0,SUMPRODUCT(($D$4:$D$207=D17)*($B$4:$B$207="Challan")*($G$4:$G$207=Y17))=0))</f>
      </c>
    </row>
    <row r="18" spans="1:44" x14ac:dyDescent="0.25">
      <c r="A18" s="21">
        <f>IF($B18="Entry",COUNTIF($B$4:$B18,"Entry"),"")</f>
      </c>
      <c r="B18" s="22"/>
      <c r="C18" s="23"/>
      <c r="D18" s="23"/>
      <c r="E18" s="24"/>
      <c r="F18" s="25"/>
      <c r="G18" s="25"/>
      <c r="H18" s="26"/>
      <c r="I18" s="26"/>
      <c r="J18" s="26"/>
      <c r="K18" s="26"/>
      <c r="L18" s="26"/>
      <c r="M18" s="26"/>
      <c r="N18" s="26"/>
      <c r="O18" s="27">
        <f>IF($B18&lt;&gt;"Challan","",H18+I18+J18+K18+L18+M18)</f>
      </c>
      <c r="P18" s="25"/>
      <c r="Q18" s="25"/>
      <c r="R18" s="25"/>
      <c r="S18" s="25"/>
      <c r="T18" s="25"/>
      <c r="U18" s="28"/>
      <c r="V18" s="28"/>
      <c r="W18" s="28"/>
      <c r="X18" s="29">
        <f>IF($B18&lt;&gt;"Entry","",IF(LEN(V18)&lt;4,"",IF(MID(V18,4,1)="P","Individual",IF(MID(V18,4,1)="H","HUF",IF(MID(V18,4,1)="C","Company",IF(MID(V18,4,1)="F","Firm",IF(MID(V18,4,1)="L","LLP",IF(MID(V18,4,1)="T","Trust",IF(MID(V18,4,1)="A","AOP",""))))))))</f>
      </c>
      <c r="Y18" s="28"/>
      <c r="Z18" s="30">
        <f>IF($B18&lt;&gt;"Entry","",IF(Y18="","",IF(W18="Y",SUMPRODUCT(('Rate Lookup'!$A$1:$A$32=Y18)*'Rate Lookup'!$D$1:$D$32),IF(OR(X18="Individual",X18="HUF"),SUMPRODUCT(('Rate Lookup'!$A$1:$A$32=Y18)*'Rate Lookup'!$B$1:$B$32),SUMPRODUCT(('Rate Lookup'!$A$1:$A$32=Y18)*'Rate Lookup'!$C$1:$C$32)))))</f>
      </c>
      <c r="AA18" s="31"/>
      <c r="AB18" s="32"/>
      <c r="AC18" s="27">
        <f>IF($B18&lt;&gt;"Entry","",ROUND(AB18*Z18/100,0))</f>
      </c>
      <c r="AD18" s="27">
        <f>IF($B18&lt;&gt;"Entry","",0)</f>
      </c>
      <c r="AE18" s="27">
        <f>IF($B18&lt;&gt;"Entry","",0)</f>
      </c>
      <c r="AF18" s="27">
        <f>IF($B18&lt;&gt;"Entry","",IF(OR(AC18=0,AA18="",AQ18="",AQ18&lt;=0),0,IF(AQ18&lt;=DATE(YEAR(AA18),MONTH(AA18)+1,7),0,ROUND(AC18*0.015*((YEAR(AQ18)-YEAR(AA18))*12+(MONTH(AQ18)-MONTH(AA18))+1),0))))</f>
      </c>
      <c r="AG18" s="27">
        <f>IF($B18&lt;&gt;"Entry","",0)</f>
      </c>
      <c r="AH18" s="28"/>
      <c r="AI18" s="28"/>
      <c r="AJ18" s="33"/>
      <c r="AK18" s="28"/>
      <c r="AL18" s="28"/>
      <c r="AM18" s="27">
        <f>IF($B18&lt;&gt;"Challan","",SUMIF($D$4:$D$207,D18,$AC$4:$AC$207)+SUMIF($D$4:$D$207,D18,$AF$4:$AF$207)+SUMIF($D$4:$D$207,D18,$AD$4:$AD$207))</f>
      </c>
      <c r="AN18" s="27">
        <f>IF($B18&lt;&gt;"Challan","",O18-M18)</f>
      </c>
      <c r="AO18" s="27">
        <f>IF($B18&lt;&gt;"Challan","",MAX(0,AN18-AM18))</f>
      </c>
      <c r="AP18" s="29">
        <f>IF($B18&lt;&gt;"Challan","",IF(ROUND(AM18-AN18,2)&gt;0,"Over-applied",IF(ROUND(AM18-AN18,2)=0,"Fully Utilised","Unconsumed")))</f>
      </c>
      <c r="AQ18" s="34">
        <f>IF($B18&lt;&gt;"Entry","",SUMPRODUCT(($D$4:$D$207=D18)*($B$4:$B$207="Challan")*$E$4:$E$207))</f>
      </c>
      <c r="AR18" s="35">
        <f>IF(OR($B18&lt;&gt;"Entry",Y18=""),FALSE,AND(SUMPRODUCT(($D$4:$D$207=D18)*($B$4:$B$207="Challan")*($G$4:$G$207&lt;&gt;""))&gt;0,SUMPRODUCT(($D$4:$D$207=D18)*($B$4:$B$207="Challan")*($G$4:$G$207=Y18))=0))</f>
      </c>
    </row>
    <row r="19" spans="1:44" x14ac:dyDescent="0.25">
      <c r="A19" s="21">
        <f>IF($B19="Entry",COUNTIF($B$4:$B19,"Entry"),"")</f>
      </c>
      <c r="B19" s="22"/>
      <c r="C19" s="23"/>
      <c r="D19" s="23"/>
      <c r="E19" s="24"/>
      <c r="F19" s="25"/>
      <c r="G19" s="25"/>
      <c r="H19" s="26"/>
      <c r="I19" s="26"/>
      <c r="J19" s="26"/>
      <c r="K19" s="26"/>
      <c r="L19" s="26"/>
      <c r="M19" s="26"/>
      <c r="N19" s="26"/>
      <c r="O19" s="27">
        <f>IF($B19&lt;&gt;"Challan","",H19+I19+J19+K19+L19+M19)</f>
      </c>
      <c r="P19" s="25"/>
      <c r="Q19" s="25"/>
      <c r="R19" s="25"/>
      <c r="S19" s="25"/>
      <c r="T19" s="25"/>
      <c r="U19" s="28"/>
      <c r="V19" s="28"/>
      <c r="W19" s="28"/>
      <c r="X19" s="29">
        <f>IF($B19&lt;&gt;"Entry","",IF(LEN(V19)&lt;4,"",IF(MID(V19,4,1)="P","Individual",IF(MID(V19,4,1)="H","HUF",IF(MID(V19,4,1)="C","Company",IF(MID(V19,4,1)="F","Firm",IF(MID(V19,4,1)="L","LLP",IF(MID(V19,4,1)="T","Trust",IF(MID(V19,4,1)="A","AOP",""))))))))</f>
      </c>
      <c r="Y19" s="28"/>
      <c r="Z19" s="30">
        <f>IF($B19&lt;&gt;"Entry","",IF(Y19="","",IF(W19="Y",SUMPRODUCT(('Rate Lookup'!$A$1:$A$32=Y19)*'Rate Lookup'!$D$1:$D$32),IF(OR(X19="Individual",X19="HUF"),SUMPRODUCT(('Rate Lookup'!$A$1:$A$32=Y19)*'Rate Lookup'!$B$1:$B$32),SUMPRODUCT(('Rate Lookup'!$A$1:$A$32=Y19)*'Rate Lookup'!$C$1:$C$32)))))</f>
      </c>
      <c r="AA19" s="31"/>
      <c r="AB19" s="32"/>
      <c r="AC19" s="27">
        <f>IF($B19&lt;&gt;"Entry","",ROUND(AB19*Z19/100,0))</f>
      </c>
      <c r="AD19" s="27">
        <f>IF($B19&lt;&gt;"Entry","",0)</f>
      </c>
      <c r="AE19" s="27">
        <f>IF($B19&lt;&gt;"Entry","",0)</f>
      </c>
      <c r="AF19" s="27">
        <f>IF($B19&lt;&gt;"Entry","",IF(OR(AC19=0,AA19="",AQ19="",AQ19&lt;=0),0,IF(AQ19&lt;=DATE(YEAR(AA19),MONTH(AA19)+1,7),0,ROUND(AC19*0.015*((YEAR(AQ19)-YEAR(AA19))*12+(MONTH(AQ19)-MONTH(AA19))+1),0))))</f>
      </c>
      <c r="AG19" s="27">
        <f>IF($B19&lt;&gt;"Entry","",0)</f>
      </c>
      <c r="AH19" s="28"/>
      <c r="AI19" s="28"/>
      <c r="AJ19" s="33"/>
      <c r="AK19" s="28"/>
      <c r="AL19" s="28"/>
      <c r="AM19" s="27">
        <f>IF($B19&lt;&gt;"Challan","",SUMIF($D$4:$D$207,D19,$AC$4:$AC$207)+SUMIF($D$4:$D$207,D19,$AF$4:$AF$207)+SUMIF($D$4:$D$207,D19,$AD$4:$AD$207))</f>
      </c>
      <c r="AN19" s="27">
        <f>IF($B19&lt;&gt;"Challan","",O19-M19)</f>
      </c>
      <c r="AO19" s="27">
        <f>IF($B19&lt;&gt;"Challan","",MAX(0,AN19-AM19))</f>
      </c>
      <c r="AP19" s="29">
        <f>IF($B19&lt;&gt;"Challan","",IF(ROUND(AM19-AN19,2)&gt;0,"Over-applied",IF(ROUND(AM19-AN19,2)=0,"Fully Utilised","Unconsumed")))</f>
      </c>
      <c r="AQ19" s="34">
        <f>IF($B19&lt;&gt;"Entry","",SUMPRODUCT(($D$4:$D$207=D19)*($B$4:$B$207="Challan")*$E$4:$E$207))</f>
      </c>
      <c r="AR19" s="35">
        <f>IF(OR($B19&lt;&gt;"Entry",Y19=""),FALSE,AND(SUMPRODUCT(($D$4:$D$207=D19)*($B$4:$B$207="Challan")*($G$4:$G$207&lt;&gt;""))&gt;0,SUMPRODUCT(($D$4:$D$207=D19)*($B$4:$B$207="Challan")*($G$4:$G$207=Y19))=0))</f>
      </c>
    </row>
    <row r="20" spans="1:44" x14ac:dyDescent="0.25">
      <c r="A20" s="21">
        <f>IF($B20="Entry",COUNTIF($B$4:$B20,"Entry"),"")</f>
      </c>
      <c r="B20" s="22"/>
      <c r="C20" s="23"/>
      <c r="D20" s="23"/>
      <c r="E20" s="24"/>
      <c r="F20" s="25"/>
      <c r="G20" s="25"/>
      <c r="H20" s="26"/>
      <c r="I20" s="26"/>
      <c r="J20" s="26"/>
      <c r="K20" s="26"/>
      <c r="L20" s="26"/>
      <c r="M20" s="26"/>
      <c r="N20" s="26"/>
      <c r="O20" s="27">
        <f>IF($B20&lt;&gt;"Challan","",H20+I20+J20+K20+L20+M20)</f>
      </c>
      <c r="P20" s="25"/>
      <c r="Q20" s="25"/>
      <c r="R20" s="25"/>
      <c r="S20" s="25"/>
      <c r="T20" s="25"/>
      <c r="U20" s="28"/>
      <c r="V20" s="28"/>
      <c r="W20" s="28"/>
      <c r="X20" s="29">
        <f>IF($B20&lt;&gt;"Entry","",IF(LEN(V20)&lt;4,"",IF(MID(V20,4,1)="P","Individual",IF(MID(V20,4,1)="H","HUF",IF(MID(V20,4,1)="C","Company",IF(MID(V20,4,1)="F","Firm",IF(MID(V20,4,1)="L","LLP",IF(MID(V20,4,1)="T","Trust",IF(MID(V20,4,1)="A","AOP",""))))))))</f>
      </c>
      <c r="Y20" s="28"/>
      <c r="Z20" s="30">
        <f>IF($B20&lt;&gt;"Entry","",IF(Y20="","",IF(W20="Y",SUMPRODUCT(('Rate Lookup'!$A$1:$A$32=Y20)*'Rate Lookup'!$D$1:$D$32),IF(OR(X20="Individual",X20="HUF"),SUMPRODUCT(('Rate Lookup'!$A$1:$A$32=Y20)*'Rate Lookup'!$B$1:$B$32),SUMPRODUCT(('Rate Lookup'!$A$1:$A$32=Y20)*'Rate Lookup'!$C$1:$C$32)))))</f>
      </c>
      <c r="AA20" s="31"/>
      <c r="AB20" s="32"/>
      <c r="AC20" s="27">
        <f>IF($B20&lt;&gt;"Entry","",ROUND(AB20*Z20/100,0))</f>
      </c>
      <c r="AD20" s="27">
        <f>IF($B20&lt;&gt;"Entry","",0)</f>
      </c>
      <c r="AE20" s="27">
        <f>IF($B20&lt;&gt;"Entry","",0)</f>
      </c>
      <c r="AF20" s="27">
        <f>IF($B20&lt;&gt;"Entry","",IF(OR(AC20=0,AA20="",AQ20="",AQ20&lt;=0),0,IF(AQ20&lt;=DATE(YEAR(AA20),MONTH(AA20)+1,7),0,ROUND(AC20*0.015*((YEAR(AQ20)-YEAR(AA20))*12+(MONTH(AQ20)-MONTH(AA20))+1),0))))</f>
      </c>
      <c r="AG20" s="27">
        <f>IF($B20&lt;&gt;"Entry","",0)</f>
      </c>
      <c r="AH20" s="28"/>
      <c r="AI20" s="28"/>
      <c r="AJ20" s="33"/>
      <c r="AK20" s="28"/>
      <c r="AL20" s="28"/>
      <c r="AM20" s="27">
        <f>IF($B20&lt;&gt;"Challan","",SUMIF($D$4:$D$207,D20,$AC$4:$AC$207)+SUMIF($D$4:$D$207,D20,$AF$4:$AF$207)+SUMIF($D$4:$D$207,D20,$AD$4:$AD$207))</f>
      </c>
      <c r="AN20" s="27">
        <f>IF($B20&lt;&gt;"Challan","",O20-M20)</f>
      </c>
      <c r="AO20" s="27">
        <f>IF($B20&lt;&gt;"Challan","",MAX(0,AN20-AM20))</f>
      </c>
      <c r="AP20" s="29">
        <f>IF($B20&lt;&gt;"Challan","",IF(ROUND(AM20-AN20,2)&gt;0,"Over-applied",IF(ROUND(AM20-AN20,2)=0,"Fully Utilised","Unconsumed")))</f>
      </c>
      <c r="AQ20" s="34">
        <f>IF($B20&lt;&gt;"Entry","",SUMPRODUCT(($D$4:$D$207=D20)*($B$4:$B$207="Challan")*$E$4:$E$207))</f>
      </c>
      <c r="AR20" s="35">
        <f>IF(OR($B20&lt;&gt;"Entry",Y20=""),FALSE,AND(SUMPRODUCT(($D$4:$D$207=D20)*($B$4:$B$207="Challan")*($G$4:$G$207&lt;&gt;""))&gt;0,SUMPRODUCT(($D$4:$D$207=D20)*($B$4:$B$207="Challan")*($G$4:$G$207=Y20))=0))</f>
      </c>
    </row>
    <row r="21" spans="1:44" x14ac:dyDescent="0.25">
      <c r="A21" s="21">
        <f>IF($B21="Entry",COUNTIF($B$4:$B21,"Entry"),"")</f>
      </c>
      <c r="B21" s="22"/>
      <c r="C21" s="23"/>
      <c r="D21" s="23"/>
      <c r="E21" s="24"/>
      <c r="F21" s="25"/>
      <c r="G21" s="25"/>
      <c r="H21" s="26"/>
      <c r="I21" s="26"/>
      <c r="J21" s="26"/>
      <c r="K21" s="26"/>
      <c r="L21" s="26"/>
      <c r="M21" s="26"/>
      <c r="N21" s="26"/>
      <c r="O21" s="27">
        <f>IF($B21&lt;&gt;"Challan","",H21+I21+J21+K21+L21+M21)</f>
      </c>
      <c r="P21" s="25"/>
      <c r="Q21" s="25"/>
      <c r="R21" s="25"/>
      <c r="S21" s="25"/>
      <c r="T21" s="25"/>
      <c r="U21" s="28"/>
      <c r="V21" s="28"/>
      <c r="W21" s="28"/>
      <c r="X21" s="29">
        <f>IF($B21&lt;&gt;"Entry","",IF(LEN(V21)&lt;4,"",IF(MID(V21,4,1)="P","Individual",IF(MID(V21,4,1)="H","HUF",IF(MID(V21,4,1)="C","Company",IF(MID(V21,4,1)="F","Firm",IF(MID(V21,4,1)="L","LLP",IF(MID(V21,4,1)="T","Trust",IF(MID(V21,4,1)="A","AOP",""))))))))</f>
      </c>
      <c r="Y21" s="28"/>
      <c r="Z21" s="30">
        <f>IF($B21&lt;&gt;"Entry","",IF(Y21="","",IF(W21="Y",SUMPRODUCT(('Rate Lookup'!$A$1:$A$32=Y21)*'Rate Lookup'!$D$1:$D$32),IF(OR(X21="Individual",X21="HUF"),SUMPRODUCT(('Rate Lookup'!$A$1:$A$32=Y21)*'Rate Lookup'!$B$1:$B$32),SUMPRODUCT(('Rate Lookup'!$A$1:$A$32=Y21)*'Rate Lookup'!$C$1:$C$32)))))</f>
      </c>
      <c r="AA21" s="31"/>
      <c r="AB21" s="32"/>
      <c r="AC21" s="27">
        <f>IF($B21&lt;&gt;"Entry","",ROUND(AB21*Z21/100,0))</f>
      </c>
      <c r="AD21" s="27">
        <f>IF($B21&lt;&gt;"Entry","",0)</f>
      </c>
      <c r="AE21" s="27">
        <f>IF($B21&lt;&gt;"Entry","",0)</f>
      </c>
      <c r="AF21" s="27">
        <f>IF($B21&lt;&gt;"Entry","",IF(OR(AC21=0,AA21="",AQ21="",AQ21&lt;=0),0,IF(AQ21&lt;=DATE(YEAR(AA21),MONTH(AA21)+1,7),0,ROUND(AC21*0.015*((YEAR(AQ21)-YEAR(AA21))*12+(MONTH(AQ21)-MONTH(AA21))+1),0))))</f>
      </c>
      <c r="AG21" s="27">
        <f>IF($B21&lt;&gt;"Entry","",0)</f>
      </c>
      <c r="AH21" s="28"/>
      <c r="AI21" s="28"/>
      <c r="AJ21" s="33"/>
      <c r="AK21" s="28"/>
      <c r="AL21" s="28"/>
      <c r="AM21" s="27">
        <f>IF($B21&lt;&gt;"Challan","",SUMIF($D$4:$D$207,D21,$AC$4:$AC$207)+SUMIF($D$4:$D$207,D21,$AF$4:$AF$207)+SUMIF($D$4:$D$207,D21,$AD$4:$AD$207))</f>
      </c>
      <c r="AN21" s="27">
        <f>IF($B21&lt;&gt;"Challan","",O21-M21)</f>
      </c>
      <c r="AO21" s="27">
        <f>IF($B21&lt;&gt;"Challan","",MAX(0,AN21-AM21))</f>
      </c>
      <c r="AP21" s="29">
        <f>IF($B21&lt;&gt;"Challan","",IF(ROUND(AM21-AN21,2)&gt;0,"Over-applied",IF(ROUND(AM21-AN21,2)=0,"Fully Utilised","Unconsumed")))</f>
      </c>
      <c r="AQ21" s="34">
        <f>IF($B21&lt;&gt;"Entry","",SUMPRODUCT(($D$4:$D$207=D21)*($B$4:$B$207="Challan")*$E$4:$E$207))</f>
      </c>
      <c r="AR21" s="35">
        <f>IF(OR($B21&lt;&gt;"Entry",Y21=""),FALSE,AND(SUMPRODUCT(($D$4:$D$207=D21)*($B$4:$B$207="Challan")*($G$4:$G$207&lt;&gt;""))&gt;0,SUMPRODUCT(($D$4:$D$207=D21)*($B$4:$B$207="Challan")*($G$4:$G$207=Y21))=0))</f>
      </c>
    </row>
    <row r="22" spans="1:44" x14ac:dyDescent="0.25">
      <c r="A22" s="21">
        <f>IF($B22="Entry",COUNTIF($B$4:$B22,"Entry"),"")</f>
      </c>
      <c r="B22" s="22"/>
      <c r="C22" s="23"/>
      <c r="D22" s="23"/>
      <c r="E22" s="24"/>
      <c r="F22" s="25"/>
      <c r="G22" s="25"/>
      <c r="H22" s="26"/>
      <c r="I22" s="26"/>
      <c r="J22" s="26"/>
      <c r="K22" s="26"/>
      <c r="L22" s="26"/>
      <c r="M22" s="26"/>
      <c r="N22" s="26"/>
      <c r="O22" s="27">
        <f>IF($B22&lt;&gt;"Challan","",H22+I22+J22+K22+L22+M22)</f>
      </c>
      <c r="P22" s="25"/>
      <c r="Q22" s="25"/>
      <c r="R22" s="25"/>
      <c r="S22" s="25"/>
      <c r="T22" s="25"/>
      <c r="U22" s="28"/>
      <c r="V22" s="28"/>
      <c r="W22" s="28"/>
      <c r="X22" s="29">
        <f>IF($B22&lt;&gt;"Entry","",IF(LEN(V22)&lt;4,"",IF(MID(V22,4,1)="P","Individual",IF(MID(V22,4,1)="H","HUF",IF(MID(V22,4,1)="C","Company",IF(MID(V22,4,1)="F","Firm",IF(MID(V22,4,1)="L","LLP",IF(MID(V22,4,1)="T","Trust",IF(MID(V22,4,1)="A","AOP",""))))))))</f>
      </c>
      <c r="Y22" s="28"/>
      <c r="Z22" s="30">
        <f>IF($B22&lt;&gt;"Entry","",IF(Y22="","",IF(W22="Y",SUMPRODUCT(('Rate Lookup'!$A$1:$A$32=Y22)*'Rate Lookup'!$D$1:$D$32),IF(OR(X22="Individual",X22="HUF"),SUMPRODUCT(('Rate Lookup'!$A$1:$A$32=Y22)*'Rate Lookup'!$B$1:$B$32),SUMPRODUCT(('Rate Lookup'!$A$1:$A$32=Y22)*'Rate Lookup'!$C$1:$C$32)))))</f>
      </c>
      <c r="AA22" s="31"/>
      <c r="AB22" s="32"/>
      <c r="AC22" s="27">
        <f>IF($B22&lt;&gt;"Entry","",ROUND(AB22*Z22/100,0))</f>
      </c>
      <c r="AD22" s="27">
        <f>IF($B22&lt;&gt;"Entry","",0)</f>
      </c>
      <c r="AE22" s="27">
        <f>IF($B22&lt;&gt;"Entry","",0)</f>
      </c>
      <c r="AF22" s="27">
        <f>IF($B22&lt;&gt;"Entry","",IF(OR(AC22=0,AA22="",AQ22="",AQ22&lt;=0),0,IF(AQ22&lt;=DATE(YEAR(AA22),MONTH(AA22)+1,7),0,ROUND(AC22*0.015*((YEAR(AQ22)-YEAR(AA22))*12+(MONTH(AQ22)-MONTH(AA22))+1),0))))</f>
      </c>
      <c r="AG22" s="27">
        <f>IF($B22&lt;&gt;"Entry","",0)</f>
      </c>
      <c r="AH22" s="28"/>
      <c r="AI22" s="28"/>
      <c r="AJ22" s="33"/>
      <c r="AK22" s="28"/>
      <c r="AL22" s="28"/>
      <c r="AM22" s="27">
        <f>IF($B22&lt;&gt;"Challan","",SUMIF($D$4:$D$207,D22,$AC$4:$AC$207)+SUMIF($D$4:$D$207,D22,$AF$4:$AF$207)+SUMIF($D$4:$D$207,D22,$AD$4:$AD$207))</f>
      </c>
      <c r="AN22" s="27">
        <f>IF($B22&lt;&gt;"Challan","",O22-M22)</f>
      </c>
      <c r="AO22" s="27">
        <f>IF($B22&lt;&gt;"Challan","",MAX(0,AN22-AM22))</f>
      </c>
      <c r="AP22" s="29">
        <f>IF($B22&lt;&gt;"Challan","",IF(ROUND(AM22-AN22,2)&gt;0,"Over-applied",IF(ROUND(AM22-AN22,2)=0,"Fully Utilised","Unconsumed")))</f>
      </c>
      <c r="AQ22" s="34">
        <f>IF($B22&lt;&gt;"Entry","",SUMPRODUCT(($D$4:$D$207=D22)*($B$4:$B$207="Challan")*$E$4:$E$207))</f>
      </c>
      <c r="AR22" s="35">
        <f>IF(OR($B22&lt;&gt;"Entry",Y22=""),FALSE,AND(SUMPRODUCT(($D$4:$D$207=D22)*($B$4:$B$207="Challan")*($G$4:$G$207&lt;&gt;""))&gt;0,SUMPRODUCT(($D$4:$D$207=D22)*($B$4:$B$207="Challan")*($G$4:$G$207=Y22))=0))</f>
      </c>
    </row>
    <row r="23" spans="1:44" x14ac:dyDescent="0.25">
      <c r="A23" s="21">
        <f>IF($B23="Entry",COUNTIF($B$4:$B23,"Entry"),"")</f>
      </c>
      <c r="B23" s="22"/>
      <c r="C23" s="23"/>
      <c r="D23" s="23"/>
      <c r="E23" s="24"/>
      <c r="F23" s="25"/>
      <c r="G23" s="25"/>
      <c r="H23" s="26"/>
      <c r="I23" s="26"/>
      <c r="J23" s="26"/>
      <c r="K23" s="26"/>
      <c r="L23" s="26"/>
      <c r="M23" s="26"/>
      <c r="N23" s="26"/>
      <c r="O23" s="27">
        <f>IF($B23&lt;&gt;"Challan","",H23+I23+J23+K23+L23+M23)</f>
      </c>
      <c r="P23" s="25"/>
      <c r="Q23" s="25"/>
      <c r="R23" s="25"/>
      <c r="S23" s="25"/>
      <c r="T23" s="25"/>
      <c r="U23" s="28"/>
      <c r="V23" s="28"/>
      <c r="W23" s="28"/>
      <c r="X23" s="29">
        <f>IF($B23&lt;&gt;"Entry","",IF(LEN(V23)&lt;4,"",IF(MID(V23,4,1)="P","Individual",IF(MID(V23,4,1)="H","HUF",IF(MID(V23,4,1)="C","Company",IF(MID(V23,4,1)="F","Firm",IF(MID(V23,4,1)="L","LLP",IF(MID(V23,4,1)="T","Trust",IF(MID(V23,4,1)="A","AOP",""))))))))</f>
      </c>
      <c r="Y23" s="28"/>
      <c r="Z23" s="30">
        <f>IF($B23&lt;&gt;"Entry","",IF(Y23="","",IF(W23="Y",SUMPRODUCT(('Rate Lookup'!$A$1:$A$32=Y23)*'Rate Lookup'!$D$1:$D$32),IF(OR(X23="Individual",X23="HUF"),SUMPRODUCT(('Rate Lookup'!$A$1:$A$32=Y23)*'Rate Lookup'!$B$1:$B$32),SUMPRODUCT(('Rate Lookup'!$A$1:$A$32=Y23)*'Rate Lookup'!$C$1:$C$32)))))</f>
      </c>
      <c r="AA23" s="31"/>
      <c r="AB23" s="32"/>
      <c r="AC23" s="27">
        <f>IF($B23&lt;&gt;"Entry","",ROUND(AB23*Z23/100,0))</f>
      </c>
      <c r="AD23" s="27">
        <f>IF($B23&lt;&gt;"Entry","",0)</f>
      </c>
      <c r="AE23" s="27">
        <f>IF($B23&lt;&gt;"Entry","",0)</f>
      </c>
      <c r="AF23" s="27">
        <f>IF($B23&lt;&gt;"Entry","",IF(OR(AC23=0,AA23="",AQ23="",AQ23&lt;=0),0,IF(AQ23&lt;=DATE(YEAR(AA23),MONTH(AA23)+1,7),0,ROUND(AC23*0.015*((YEAR(AQ23)-YEAR(AA23))*12+(MONTH(AQ23)-MONTH(AA23))+1),0))))</f>
      </c>
      <c r="AG23" s="27">
        <f>IF($B23&lt;&gt;"Entry","",0)</f>
      </c>
      <c r="AH23" s="28"/>
      <c r="AI23" s="28"/>
      <c r="AJ23" s="33"/>
      <c r="AK23" s="28"/>
      <c r="AL23" s="28"/>
      <c r="AM23" s="27">
        <f>IF($B23&lt;&gt;"Challan","",SUMIF($D$4:$D$207,D23,$AC$4:$AC$207)+SUMIF($D$4:$D$207,D23,$AF$4:$AF$207)+SUMIF($D$4:$D$207,D23,$AD$4:$AD$207))</f>
      </c>
      <c r="AN23" s="27">
        <f>IF($B23&lt;&gt;"Challan","",O23-M23)</f>
      </c>
      <c r="AO23" s="27">
        <f>IF($B23&lt;&gt;"Challan","",MAX(0,AN23-AM23))</f>
      </c>
      <c r="AP23" s="29">
        <f>IF($B23&lt;&gt;"Challan","",IF(ROUND(AM23-AN23,2)&gt;0,"Over-applied",IF(ROUND(AM23-AN23,2)=0,"Fully Utilised","Unconsumed")))</f>
      </c>
      <c r="AQ23" s="34">
        <f>IF($B23&lt;&gt;"Entry","",SUMPRODUCT(($D$4:$D$207=D23)*($B$4:$B$207="Challan")*$E$4:$E$207))</f>
      </c>
      <c r="AR23" s="35">
        <f>IF(OR($B23&lt;&gt;"Entry",Y23=""),FALSE,AND(SUMPRODUCT(($D$4:$D$207=D23)*($B$4:$B$207="Challan")*($G$4:$G$207&lt;&gt;""))&gt;0,SUMPRODUCT(($D$4:$D$207=D23)*($B$4:$B$207="Challan")*($G$4:$G$207=Y23))=0))</f>
      </c>
    </row>
    <row r="24" spans="1:44" x14ac:dyDescent="0.25">
      <c r="A24" s="21">
        <f>IF($B24="Entry",COUNTIF($B$4:$B24,"Entry"),"")</f>
      </c>
      <c r="B24" s="22"/>
      <c r="C24" s="23"/>
      <c r="D24" s="23"/>
      <c r="E24" s="24"/>
      <c r="F24" s="25"/>
      <c r="G24" s="25"/>
      <c r="H24" s="26"/>
      <c r="I24" s="26"/>
      <c r="J24" s="26"/>
      <c r="K24" s="26"/>
      <c r="L24" s="26"/>
      <c r="M24" s="26"/>
      <c r="N24" s="26"/>
      <c r="O24" s="27">
        <f>IF($B24&lt;&gt;"Challan","",H24+I24+J24+K24+L24+M24)</f>
      </c>
      <c r="P24" s="25"/>
      <c r="Q24" s="25"/>
      <c r="R24" s="25"/>
      <c r="S24" s="25"/>
      <c r="T24" s="25"/>
      <c r="U24" s="28"/>
      <c r="V24" s="28"/>
      <c r="W24" s="28"/>
      <c r="X24" s="29">
        <f>IF($B24&lt;&gt;"Entry","",IF(LEN(V24)&lt;4,"",IF(MID(V24,4,1)="P","Individual",IF(MID(V24,4,1)="H","HUF",IF(MID(V24,4,1)="C","Company",IF(MID(V24,4,1)="F","Firm",IF(MID(V24,4,1)="L","LLP",IF(MID(V24,4,1)="T","Trust",IF(MID(V24,4,1)="A","AOP",""))))))))</f>
      </c>
      <c r="Y24" s="28"/>
      <c r="Z24" s="30">
        <f>IF($B24&lt;&gt;"Entry","",IF(Y24="","",IF(W24="Y",SUMPRODUCT(('Rate Lookup'!$A$1:$A$32=Y24)*'Rate Lookup'!$D$1:$D$32),IF(OR(X24="Individual",X24="HUF"),SUMPRODUCT(('Rate Lookup'!$A$1:$A$32=Y24)*'Rate Lookup'!$B$1:$B$32),SUMPRODUCT(('Rate Lookup'!$A$1:$A$32=Y24)*'Rate Lookup'!$C$1:$C$32)))))</f>
      </c>
      <c r="AA24" s="31"/>
      <c r="AB24" s="32"/>
      <c r="AC24" s="27">
        <f>IF($B24&lt;&gt;"Entry","",ROUND(AB24*Z24/100,0))</f>
      </c>
      <c r="AD24" s="27">
        <f>IF($B24&lt;&gt;"Entry","",0)</f>
      </c>
      <c r="AE24" s="27">
        <f>IF($B24&lt;&gt;"Entry","",0)</f>
      </c>
      <c r="AF24" s="27">
        <f>IF($B24&lt;&gt;"Entry","",IF(OR(AC24=0,AA24="",AQ24="",AQ24&lt;=0),0,IF(AQ24&lt;=DATE(YEAR(AA24),MONTH(AA24)+1,7),0,ROUND(AC24*0.015*((YEAR(AQ24)-YEAR(AA24))*12+(MONTH(AQ24)-MONTH(AA24))+1),0))))</f>
      </c>
      <c r="AG24" s="27">
        <f>IF($B24&lt;&gt;"Entry","",0)</f>
      </c>
      <c r="AH24" s="28"/>
      <c r="AI24" s="28"/>
      <c r="AJ24" s="33"/>
      <c r="AK24" s="28"/>
      <c r="AL24" s="28"/>
      <c r="AM24" s="27">
        <f>IF($B24&lt;&gt;"Challan","",SUMIF($D$4:$D$207,D24,$AC$4:$AC$207)+SUMIF($D$4:$D$207,D24,$AF$4:$AF$207)+SUMIF($D$4:$D$207,D24,$AD$4:$AD$207))</f>
      </c>
      <c r="AN24" s="27">
        <f>IF($B24&lt;&gt;"Challan","",O24-M24)</f>
      </c>
      <c r="AO24" s="27">
        <f>IF($B24&lt;&gt;"Challan","",MAX(0,AN24-AM24))</f>
      </c>
      <c r="AP24" s="29">
        <f>IF($B24&lt;&gt;"Challan","",IF(ROUND(AM24-AN24,2)&gt;0,"Over-applied",IF(ROUND(AM24-AN24,2)=0,"Fully Utilised","Unconsumed")))</f>
      </c>
      <c r="AQ24" s="34">
        <f>IF($B24&lt;&gt;"Entry","",SUMPRODUCT(($D$4:$D$207=D24)*($B$4:$B$207="Challan")*$E$4:$E$207))</f>
      </c>
      <c r="AR24" s="35">
        <f>IF(OR($B24&lt;&gt;"Entry",Y24=""),FALSE,AND(SUMPRODUCT(($D$4:$D$207=D24)*($B$4:$B$207="Challan")*($G$4:$G$207&lt;&gt;""))&gt;0,SUMPRODUCT(($D$4:$D$207=D24)*($B$4:$B$207="Challan")*($G$4:$G$207=Y24))=0))</f>
      </c>
    </row>
    <row r="25" spans="1:44" x14ac:dyDescent="0.25">
      <c r="A25" s="21">
        <f>IF($B25="Entry",COUNTIF($B$4:$B25,"Entry"),"")</f>
      </c>
      <c r="B25" s="22"/>
      <c r="C25" s="23"/>
      <c r="D25" s="23"/>
      <c r="E25" s="24"/>
      <c r="F25" s="25"/>
      <c r="G25" s="25"/>
      <c r="H25" s="26"/>
      <c r="I25" s="26"/>
      <c r="J25" s="26"/>
      <c r="K25" s="26"/>
      <c r="L25" s="26"/>
      <c r="M25" s="26"/>
      <c r="N25" s="26"/>
      <c r="O25" s="27">
        <f>IF($B25&lt;&gt;"Challan","",H25+I25+J25+K25+L25+M25)</f>
      </c>
      <c r="P25" s="25"/>
      <c r="Q25" s="25"/>
      <c r="R25" s="25"/>
      <c r="S25" s="25"/>
      <c r="T25" s="25"/>
      <c r="U25" s="28"/>
      <c r="V25" s="28"/>
      <c r="W25" s="28"/>
      <c r="X25" s="29">
        <f>IF($B25&lt;&gt;"Entry","",IF(LEN(V25)&lt;4,"",IF(MID(V25,4,1)="P","Individual",IF(MID(V25,4,1)="H","HUF",IF(MID(V25,4,1)="C","Company",IF(MID(V25,4,1)="F","Firm",IF(MID(V25,4,1)="L","LLP",IF(MID(V25,4,1)="T","Trust",IF(MID(V25,4,1)="A","AOP",""))))))))</f>
      </c>
      <c r="Y25" s="28"/>
      <c r="Z25" s="30">
        <f>IF($B25&lt;&gt;"Entry","",IF(Y25="","",IF(W25="Y",SUMPRODUCT(('Rate Lookup'!$A$1:$A$32=Y25)*'Rate Lookup'!$D$1:$D$32),IF(OR(X25="Individual",X25="HUF"),SUMPRODUCT(('Rate Lookup'!$A$1:$A$32=Y25)*'Rate Lookup'!$B$1:$B$32),SUMPRODUCT(('Rate Lookup'!$A$1:$A$32=Y25)*'Rate Lookup'!$C$1:$C$32)))))</f>
      </c>
      <c r="AA25" s="31"/>
      <c r="AB25" s="32"/>
      <c r="AC25" s="27">
        <f>IF($B25&lt;&gt;"Entry","",ROUND(AB25*Z25/100,0))</f>
      </c>
      <c r="AD25" s="27">
        <f>IF($B25&lt;&gt;"Entry","",0)</f>
      </c>
      <c r="AE25" s="27">
        <f>IF($B25&lt;&gt;"Entry","",0)</f>
      </c>
      <c r="AF25" s="27">
        <f>IF($B25&lt;&gt;"Entry","",IF(OR(AC25=0,AA25="",AQ25="",AQ25&lt;=0),0,IF(AQ25&lt;=DATE(YEAR(AA25),MONTH(AA25)+1,7),0,ROUND(AC25*0.015*((YEAR(AQ25)-YEAR(AA25))*12+(MONTH(AQ25)-MONTH(AA25))+1),0))))</f>
      </c>
      <c r="AG25" s="27">
        <f>IF($B25&lt;&gt;"Entry","",0)</f>
      </c>
      <c r="AH25" s="28"/>
      <c r="AI25" s="28"/>
      <c r="AJ25" s="33"/>
      <c r="AK25" s="28"/>
      <c r="AL25" s="28"/>
      <c r="AM25" s="27">
        <f>IF($B25&lt;&gt;"Challan","",SUMIF($D$4:$D$207,D25,$AC$4:$AC$207)+SUMIF($D$4:$D$207,D25,$AF$4:$AF$207)+SUMIF($D$4:$D$207,D25,$AD$4:$AD$207))</f>
      </c>
      <c r="AN25" s="27">
        <f>IF($B25&lt;&gt;"Challan","",O25-M25)</f>
      </c>
      <c r="AO25" s="27">
        <f>IF($B25&lt;&gt;"Challan","",MAX(0,AN25-AM25))</f>
      </c>
      <c r="AP25" s="29">
        <f>IF($B25&lt;&gt;"Challan","",IF(ROUND(AM25-AN25,2)&gt;0,"Over-applied",IF(ROUND(AM25-AN25,2)=0,"Fully Utilised","Unconsumed")))</f>
      </c>
      <c r="AQ25" s="34">
        <f>IF($B25&lt;&gt;"Entry","",SUMPRODUCT(($D$4:$D$207=D25)*($B$4:$B$207="Challan")*$E$4:$E$207))</f>
      </c>
      <c r="AR25" s="35">
        <f>IF(OR($B25&lt;&gt;"Entry",Y25=""),FALSE,AND(SUMPRODUCT(($D$4:$D$207=D25)*($B$4:$B$207="Challan")*($G$4:$G$207&lt;&gt;""))&gt;0,SUMPRODUCT(($D$4:$D$207=D25)*($B$4:$B$207="Challan")*($G$4:$G$207=Y25))=0))</f>
      </c>
    </row>
    <row r="26" spans="1:44" x14ac:dyDescent="0.25">
      <c r="A26" s="21">
        <f>IF($B26="Entry",COUNTIF($B$4:$B26,"Entry"),"")</f>
      </c>
      <c r="B26" s="22"/>
      <c r="C26" s="23"/>
      <c r="D26" s="23"/>
      <c r="E26" s="24"/>
      <c r="F26" s="25"/>
      <c r="G26" s="25"/>
      <c r="H26" s="26"/>
      <c r="I26" s="26"/>
      <c r="J26" s="26"/>
      <c r="K26" s="26"/>
      <c r="L26" s="26"/>
      <c r="M26" s="26"/>
      <c r="N26" s="26"/>
      <c r="O26" s="27">
        <f>IF($B26&lt;&gt;"Challan","",H26+I26+J26+K26+L26+M26)</f>
      </c>
      <c r="P26" s="25"/>
      <c r="Q26" s="25"/>
      <c r="R26" s="25"/>
      <c r="S26" s="25"/>
      <c r="T26" s="25"/>
      <c r="U26" s="28"/>
      <c r="V26" s="28"/>
      <c r="W26" s="28"/>
      <c r="X26" s="29">
        <f>IF($B26&lt;&gt;"Entry","",IF(LEN(V26)&lt;4,"",IF(MID(V26,4,1)="P","Individual",IF(MID(V26,4,1)="H","HUF",IF(MID(V26,4,1)="C","Company",IF(MID(V26,4,1)="F","Firm",IF(MID(V26,4,1)="L","LLP",IF(MID(V26,4,1)="T","Trust",IF(MID(V26,4,1)="A","AOP",""))))))))</f>
      </c>
      <c r="Y26" s="28"/>
      <c r="Z26" s="30">
        <f>IF($B26&lt;&gt;"Entry","",IF(Y26="","",IF(W26="Y",SUMPRODUCT(('Rate Lookup'!$A$1:$A$32=Y26)*'Rate Lookup'!$D$1:$D$32),IF(OR(X26="Individual",X26="HUF"),SUMPRODUCT(('Rate Lookup'!$A$1:$A$32=Y26)*'Rate Lookup'!$B$1:$B$32),SUMPRODUCT(('Rate Lookup'!$A$1:$A$32=Y26)*'Rate Lookup'!$C$1:$C$32)))))</f>
      </c>
      <c r="AA26" s="31"/>
      <c r="AB26" s="32"/>
      <c r="AC26" s="27">
        <f>IF($B26&lt;&gt;"Entry","",ROUND(AB26*Z26/100,0))</f>
      </c>
      <c r="AD26" s="27">
        <f>IF($B26&lt;&gt;"Entry","",0)</f>
      </c>
      <c r="AE26" s="27">
        <f>IF($B26&lt;&gt;"Entry","",0)</f>
      </c>
      <c r="AF26" s="27">
        <f>IF($B26&lt;&gt;"Entry","",IF(OR(AC26=0,AA26="",AQ26="",AQ26&lt;=0),0,IF(AQ26&lt;=DATE(YEAR(AA26),MONTH(AA26)+1,7),0,ROUND(AC26*0.015*((YEAR(AQ26)-YEAR(AA26))*12+(MONTH(AQ26)-MONTH(AA26))+1),0))))</f>
      </c>
      <c r="AG26" s="27">
        <f>IF($B26&lt;&gt;"Entry","",0)</f>
      </c>
      <c r="AH26" s="28"/>
      <c r="AI26" s="28"/>
      <c r="AJ26" s="33"/>
      <c r="AK26" s="28"/>
      <c r="AL26" s="28"/>
      <c r="AM26" s="27">
        <f>IF($B26&lt;&gt;"Challan","",SUMIF($D$4:$D$207,D26,$AC$4:$AC$207)+SUMIF($D$4:$D$207,D26,$AF$4:$AF$207)+SUMIF($D$4:$D$207,D26,$AD$4:$AD$207))</f>
      </c>
      <c r="AN26" s="27">
        <f>IF($B26&lt;&gt;"Challan","",O26-M26)</f>
      </c>
      <c r="AO26" s="27">
        <f>IF($B26&lt;&gt;"Challan","",MAX(0,AN26-AM26))</f>
      </c>
      <c r="AP26" s="29">
        <f>IF($B26&lt;&gt;"Challan","",IF(ROUND(AM26-AN26,2)&gt;0,"Over-applied",IF(ROUND(AM26-AN26,2)=0,"Fully Utilised","Unconsumed")))</f>
      </c>
      <c r="AQ26" s="34">
        <f>IF($B26&lt;&gt;"Entry","",SUMPRODUCT(($D$4:$D$207=D26)*($B$4:$B$207="Challan")*$E$4:$E$207))</f>
      </c>
      <c r="AR26" s="35">
        <f>IF(OR($B26&lt;&gt;"Entry",Y26=""),FALSE,AND(SUMPRODUCT(($D$4:$D$207=D26)*($B$4:$B$207="Challan")*($G$4:$G$207&lt;&gt;""))&gt;0,SUMPRODUCT(($D$4:$D$207=D26)*($B$4:$B$207="Challan")*($G$4:$G$207=Y26))=0))</f>
      </c>
    </row>
    <row r="27" spans="1:44" x14ac:dyDescent="0.25">
      <c r="A27" s="21">
        <f>IF($B27="Entry",COUNTIF($B$4:$B27,"Entry"),"")</f>
      </c>
      <c r="B27" s="22"/>
      <c r="C27" s="23"/>
      <c r="D27" s="23"/>
      <c r="E27" s="24"/>
      <c r="F27" s="25"/>
      <c r="G27" s="25"/>
      <c r="H27" s="26"/>
      <c r="I27" s="26"/>
      <c r="J27" s="26"/>
      <c r="K27" s="26"/>
      <c r="L27" s="26"/>
      <c r="M27" s="26"/>
      <c r="N27" s="26"/>
      <c r="O27" s="27">
        <f>IF($B27&lt;&gt;"Challan","",H27+I27+J27+K27+L27+M27)</f>
      </c>
      <c r="P27" s="25"/>
      <c r="Q27" s="25"/>
      <c r="R27" s="25"/>
      <c r="S27" s="25"/>
      <c r="T27" s="25"/>
      <c r="U27" s="28"/>
      <c r="V27" s="28"/>
      <c r="W27" s="28"/>
      <c r="X27" s="29">
        <f>IF($B27&lt;&gt;"Entry","",IF(LEN(V27)&lt;4,"",IF(MID(V27,4,1)="P","Individual",IF(MID(V27,4,1)="H","HUF",IF(MID(V27,4,1)="C","Company",IF(MID(V27,4,1)="F","Firm",IF(MID(V27,4,1)="L","LLP",IF(MID(V27,4,1)="T","Trust",IF(MID(V27,4,1)="A","AOP",""))))))))</f>
      </c>
      <c r="Y27" s="28"/>
      <c r="Z27" s="30">
        <f>IF($B27&lt;&gt;"Entry","",IF(Y27="","",IF(W27="Y",SUMPRODUCT(('Rate Lookup'!$A$1:$A$32=Y27)*'Rate Lookup'!$D$1:$D$32),IF(OR(X27="Individual",X27="HUF"),SUMPRODUCT(('Rate Lookup'!$A$1:$A$32=Y27)*'Rate Lookup'!$B$1:$B$32),SUMPRODUCT(('Rate Lookup'!$A$1:$A$32=Y27)*'Rate Lookup'!$C$1:$C$32)))))</f>
      </c>
      <c r="AA27" s="31"/>
      <c r="AB27" s="32"/>
      <c r="AC27" s="27">
        <f>IF($B27&lt;&gt;"Entry","",ROUND(AB27*Z27/100,0))</f>
      </c>
      <c r="AD27" s="27">
        <f>IF($B27&lt;&gt;"Entry","",0)</f>
      </c>
      <c r="AE27" s="27">
        <f>IF($B27&lt;&gt;"Entry","",0)</f>
      </c>
      <c r="AF27" s="27">
        <f>IF($B27&lt;&gt;"Entry","",IF(OR(AC27=0,AA27="",AQ27="",AQ27&lt;=0),0,IF(AQ27&lt;=DATE(YEAR(AA27),MONTH(AA27)+1,7),0,ROUND(AC27*0.015*((YEAR(AQ27)-YEAR(AA27))*12+(MONTH(AQ27)-MONTH(AA27))+1),0))))</f>
      </c>
      <c r="AG27" s="27">
        <f>IF($B27&lt;&gt;"Entry","",0)</f>
      </c>
      <c r="AH27" s="28"/>
      <c r="AI27" s="28"/>
      <c r="AJ27" s="33"/>
      <c r="AK27" s="28"/>
      <c r="AL27" s="28"/>
      <c r="AM27" s="27">
        <f>IF($B27&lt;&gt;"Challan","",SUMIF($D$4:$D$207,D27,$AC$4:$AC$207)+SUMIF($D$4:$D$207,D27,$AF$4:$AF$207)+SUMIF($D$4:$D$207,D27,$AD$4:$AD$207))</f>
      </c>
      <c r="AN27" s="27">
        <f>IF($B27&lt;&gt;"Challan","",O27-M27)</f>
      </c>
      <c r="AO27" s="27">
        <f>IF($B27&lt;&gt;"Challan","",MAX(0,AN27-AM27))</f>
      </c>
      <c r="AP27" s="29">
        <f>IF($B27&lt;&gt;"Challan","",IF(ROUND(AM27-AN27,2)&gt;0,"Over-applied",IF(ROUND(AM27-AN27,2)=0,"Fully Utilised","Unconsumed")))</f>
      </c>
      <c r="AQ27" s="34">
        <f>IF($B27&lt;&gt;"Entry","",SUMPRODUCT(($D$4:$D$207=D27)*($B$4:$B$207="Challan")*$E$4:$E$207))</f>
      </c>
      <c r="AR27" s="35">
        <f>IF(OR($B27&lt;&gt;"Entry",Y27=""),FALSE,AND(SUMPRODUCT(($D$4:$D$207=D27)*($B$4:$B$207="Challan")*($G$4:$G$207&lt;&gt;""))&gt;0,SUMPRODUCT(($D$4:$D$207=D27)*($B$4:$B$207="Challan")*($G$4:$G$207=Y27))=0))</f>
      </c>
    </row>
    <row r="28" spans="1:44" x14ac:dyDescent="0.25">
      <c r="A28" s="21">
        <f>IF($B28="Entry",COUNTIF($B$4:$B28,"Entry"),"")</f>
      </c>
      <c r="B28" s="22"/>
      <c r="C28" s="23"/>
      <c r="D28" s="23"/>
      <c r="E28" s="24"/>
      <c r="F28" s="25"/>
      <c r="G28" s="25"/>
      <c r="H28" s="26"/>
      <c r="I28" s="26"/>
      <c r="J28" s="26"/>
      <c r="K28" s="26"/>
      <c r="L28" s="26"/>
      <c r="M28" s="26"/>
      <c r="N28" s="26"/>
      <c r="O28" s="27">
        <f>IF($B28&lt;&gt;"Challan","",H28+I28+J28+K28+L28+M28)</f>
      </c>
      <c r="P28" s="25"/>
      <c r="Q28" s="25"/>
      <c r="R28" s="25"/>
      <c r="S28" s="25"/>
      <c r="T28" s="25"/>
      <c r="U28" s="28"/>
      <c r="V28" s="28"/>
      <c r="W28" s="28"/>
      <c r="X28" s="29">
        <f>IF($B28&lt;&gt;"Entry","",IF(LEN(V28)&lt;4,"",IF(MID(V28,4,1)="P","Individual",IF(MID(V28,4,1)="H","HUF",IF(MID(V28,4,1)="C","Company",IF(MID(V28,4,1)="F","Firm",IF(MID(V28,4,1)="L","LLP",IF(MID(V28,4,1)="T","Trust",IF(MID(V28,4,1)="A","AOP",""))))))))</f>
      </c>
      <c r="Y28" s="28"/>
      <c r="Z28" s="30">
        <f>IF($B28&lt;&gt;"Entry","",IF(Y28="","",IF(W28="Y",SUMPRODUCT(('Rate Lookup'!$A$1:$A$32=Y28)*'Rate Lookup'!$D$1:$D$32),IF(OR(X28="Individual",X28="HUF"),SUMPRODUCT(('Rate Lookup'!$A$1:$A$32=Y28)*'Rate Lookup'!$B$1:$B$32),SUMPRODUCT(('Rate Lookup'!$A$1:$A$32=Y28)*'Rate Lookup'!$C$1:$C$32)))))</f>
      </c>
      <c r="AA28" s="31"/>
      <c r="AB28" s="32"/>
      <c r="AC28" s="27">
        <f>IF($B28&lt;&gt;"Entry","",ROUND(AB28*Z28/100,0))</f>
      </c>
      <c r="AD28" s="27">
        <f>IF($B28&lt;&gt;"Entry","",0)</f>
      </c>
      <c r="AE28" s="27">
        <f>IF($B28&lt;&gt;"Entry","",0)</f>
      </c>
      <c r="AF28" s="27">
        <f>IF($B28&lt;&gt;"Entry","",IF(OR(AC28=0,AA28="",AQ28="",AQ28&lt;=0),0,IF(AQ28&lt;=DATE(YEAR(AA28),MONTH(AA28)+1,7),0,ROUND(AC28*0.015*((YEAR(AQ28)-YEAR(AA28))*12+(MONTH(AQ28)-MONTH(AA28))+1),0))))</f>
      </c>
      <c r="AG28" s="27">
        <f>IF($B28&lt;&gt;"Entry","",0)</f>
      </c>
      <c r="AH28" s="28"/>
      <c r="AI28" s="28"/>
      <c r="AJ28" s="33"/>
      <c r="AK28" s="28"/>
      <c r="AL28" s="28"/>
      <c r="AM28" s="27">
        <f>IF($B28&lt;&gt;"Challan","",SUMIF($D$4:$D$207,D28,$AC$4:$AC$207)+SUMIF($D$4:$D$207,D28,$AF$4:$AF$207)+SUMIF($D$4:$D$207,D28,$AD$4:$AD$207))</f>
      </c>
      <c r="AN28" s="27">
        <f>IF($B28&lt;&gt;"Challan","",O28-M28)</f>
      </c>
      <c r="AO28" s="27">
        <f>IF($B28&lt;&gt;"Challan","",MAX(0,AN28-AM28))</f>
      </c>
      <c r="AP28" s="29">
        <f>IF($B28&lt;&gt;"Challan","",IF(ROUND(AM28-AN28,2)&gt;0,"Over-applied",IF(ROUND(AM28-AN28,2)=0,"Fully Utilised","Unconsumed")))</f>
      </c>
      <c r="AQ28" s="34">
        <f>IF($B28&lt;&gt;"Entry","",SUMPRODUCT(($D$4:$D$207=D28)*($B$4:$B$207="Challan")*$E$4:$E$207))</f>
      </c>
      <c r="AR28" s="35">
        <f>IF(OR($B28&lt;&gt;"Entry",Y28=""),FALSE,AND(SUMPRODUCT(($D$4:$D$207=D28)*($B$4:$B$207="Challan")*($G$4:$G$207&lt;&gt;""))&gt;0,SUMPRODUCT(($D$4:$D$207=D28)*($B$4:$B$207="Challan")*($G$4:$G$207=Y28))=0))</f>
      </c>
    </row>
    <row r="29" spans="1:44" x14ac:dyDescent="0.25">
      <c r="A29" s="21">
        <f>IF($B29="Entry",COUNTIF($B$4:$B29,"Entry"),"")</f>
      </c>
      <c r="B29" s="22"/>
      <c r="C29" s="23"/>
      <c r="D29" s="23"/>
      <c r="E29" s="24"/>
      <c r="F29" s="25"/>
      <c r="G29" s="25"/>
      <c r="H29" s="26"/>
      <c r="I29" s="26"/>
      <c r="J29" s="26"/>
      <c r="K29" s="26"/>
      <c r="L29" s="26"/>
      <c r="M29" s="26"/>
      <c r="N29" s="26"/>
      <c r="O29" s="27">
        <f>IF($B29&lt;&gt;"Challan","",H29+I29+J29+K29+L29+M29)</f>
      </c>
      <c r="P29" s="25"/>
      <c r="Q29" s="25"/>
      <c r="R29" s="25"/>
      <c r="S29" s="25"/>
      <c r="T29" s="25"/>
      <c r="U29" s="28"/>
      <c r="V29" s="28"/>
      <c r="W29" s="28"/>
      <c r="X29" s="29">
        <f>IF($B29&lt;&gt;"Entry","",IF(LEN(V29)&lt;4,"",IF(MID(V29,4,1)="P","Individual",IF(MID(V29,4,1)="H","HUF",IF(MID(V29,4,1)="C","Company",IF(MID(V29,4,1)="F","Firm",IF(MID(V29,4,1)="L","LLP",IF(MID(V29,4,1)="T","Trust",IF(MID(V29,4,1)="A","AOP",""))))))))</f>
      </c>
      <c r="Y29" s="28"/>
      <c r="Z29" s="30">
        <f>IF($B29&lt;&gt;"Entry","",IF(Y29="","",IF(W29="Y",SUMPRODUCT(('Rate Lookup'!$A$1:$A$32=Y29)*'Rate Lookup'!$D$1:$D$32),IF(OR(X29="Individual",X29="HUF"),SUMPRODUCT(('Rate Lookup'!$A$1:$A$32=Y29)*'Rate Lookup'!$B$1:$B$32),SUMPRODUCT(('Rate Lookup'!$A$1:$A$32=Y29)*'Rate Lookup'!$C$1:$C$32)))))</f>
      </c>
      <c r="AA29" s="31"/>
      <c r="AB29" s="32"/>
      <c r="AC29" s="27">
        <f>IF($B29&lt;&gt;"Entry","",ROUND(AB29*Z29/100,0))</f>
      </c>
      <c r="AD29" s="27">
        <f>IF($B29&lt;&gt;"Entry","",0)</f>
      </c>
      <c r="AE29" s="27">
        <f>IF($B29&lt;&gt;"Entry","",0)</f>
      </c>
      <c r="AF29" s="27">
        <f>IF($B29&lt;&gt;"Entry","",IF(OR(AC29=0,AA29="",AQ29="",AQ29&lt;=0),0,IF(AQ29&lt;=DATE(YEAR(AA29),MONTH(AA29)+1,7),0,ROUND(AC29*0.015*((YEAR(AQ29)-YEAR(AA29))*12+(MONTH(AQ29)-MONTH(AA29))+1),0))))</f>
      </c>
      <c r="AG29" s="27">
        <f>IF($B29&lt;&gt;"Entry","",0)</f>
      </c>
      <c r="AH29" s="28"/>
      <c r="AI29" s="28"/>
      <c r="AJ29" s="33"/>
      <c r="AK29" s="28"/>
      <c r="AL29" s="28"/>
      <c r="AM29" s="27">
        <f>IF($B29&lt;&gt;"Challan","",SUMIF($D$4:$D$207,D29,$AC$4:$AC$207)+SUMIF($D$4:$D$207,D29,$AF$4:$AF$207)+SUMIF($D$4:$D$207,D29,$AD$4:$AD$207))</f>
      </c>
      <c r="AN29" s="27">
        <f>IF($B29&lt;&gt;"Challan","",O29-M29)</f>
      </c>
      <c r="AO29" s="27">
        <f>IF($B29&lt;&gt;"Challan","",MAX(0,AN29-AM29))</f>
      </c>
      <c r="AP29" s="29">
        <f>IF($B29&lt;&gt;"Challan","",IF(ROUND(AM29-AN29,2)&gt;0,"Over-applied",IF(ROUND(AM29-AN29,2)=0,"Fully Utilised","Unconsumed")))</f>
      </c>
      <c r="AQ29" s="34">
        <f>IF($B29&lt;&gt;"Entry","",SUMPRODUCT(($D$4:$D$207=D29)*($B$4:$B$207="Challan")*$E$4:$E$207))</f>
      </c>
      <c r="AR29" s="35">
        <f>IF(OR($B29&lt;&gt;"Entry",Y29=""),FALSE,AND(SUMPRODUCT(($D$4:$D$207=D29)*($B$4:$B$207="Challan")*($G$4:$G$207&lt;&gt;""))&gt;0,SUMPRODUCT(($D$4:$D$207=D29)*($B$4:$B$207="Challan")*($G$4:$G$207=Y29))=0))</f>
      </c>
    </row>
    <row r="30" spans="1:44" x14ac:dyDescent="0.25">
      <c r="A30" s="21">
        <f>IF($B30="Entry",COUNTIF($B$4:$B30,"Entry"),"")</f>
      </c>
      <c r="B30" s="22"/>
      <c r="C30" s="23"/>
      <c r="D30" s="23"/>
      <c r="E30" s="24"/>
      <c r="F30" s="25"/>
      <c r="G30" s="25"/>
      <c r="H30" s="26"/>
      <c r="I30" s="26"/>
      <c r="J30" s="26"/>
      <c r="K30" s="26"/>
      <c r="L30" s="26"/>
      <c r="M30" s="26"/>
      <c r="N30" s="26"/>
      <c r="O30" s="27">
        <f>IF($B30&lt;&gt;"Challan","",H30+I30+J30+K30+L30+M30)</f>
      </c>
      <c r="P30" s="25"/>
      <c r="Q30" s="25"/>
      <c r="R30" s="25"/>
      <c r="S30" s="25"/>
      <c r="T30" s="25"/>
      <c r="U30" s="28"/>
      <c r="V30" s="28"/>
      <c r="W30" s="28"/>
      <c r="X30" s="29">
        <f>IF($B30&lt;&gt;"Entry","",IF(LEN(V30)&lt;4,"",IF(MID(V30,4,1)="P","Individual",IF(MID(V30,4,1)="H","HUF",IF(MID(V30,4,1)="C","Company",IF(MID(V30,4,1)="F","Firm",IF(MID(V30,4,1)="L","LLP",IF(MID(V30,4,1)="T","Trust",IF(MID(V30,4,1)="A","AOP",""))))))))</f>
      </c>
      <c r="Y30" s="28"/>
      <c r="Z30" s="30">
        <f>IF($B30&lt;&gt;"Entry","",IF(Y30="","",IF(W30="Y",SUMPRODUCT(('Rate Lookup'!$A$1:$A$32=Y30)*'Rate Lookup'!$D$1:$D$32),IF(OR(X30="Individual",X30="HUF"),SUMPRODUCT(('Rate Lookup'!$A$1:$A$32=Y30)*'Rate Lookup'!$B$1:$B$32),SUMPRODUCT(('Rate Lookup'!$A$1:$A$32=Y30)*'Rate Lookup'!$C$1:$C$32)))))</f>
      </c>
      <c r="AA30" s="31"/>
      <c r="AB30" s="32"/>
      <c r="AC30" s="27">
        <f>IF($B30&lt;&gt;"Entry","",ROUND(AB30*Z30/100,0))</f>
      </c>
      <c r="AD30" s="27">
        <f>IF($B30&lt;&gt;"Entry","",0)</f>
      </c>
      <c r="AE30" s="27">
        <f>IF($B30&lt;&gt;"Entry","",0)</f>
      </c>
      <c r="AF30" s="27">
        <f>IF($B30&lt;&gt;"Entry","",IF(OR(AC30=0,AA30="",AQ30="",AQ30&lt;=0),0,IF(AQ30&lt;=DATE(YEAR(AA30),MONTH(AA30)+1,7),0,ROUND(AC30*0.015*((YEAR(AQ30)-YEAR(AA30))*12+(MONTH(AQ30)-MONTH(AA30))+1),0))))</f>
      </c>
      <c r="AG30" s="27">
        <f>IF($B30&lt;&gt;"Entry","",0)</f>
      </c>
      <c r="AH30" s="28"/>
      <c r="AI30" s="28"/>
      <c r="AJ30" s="33"/>
      <c r="AK30" s="28"/>
      <c r="AL30" s="28"/>
      <c r="AM30" s="27">
        <f>IF($B30&lt;&gt;"Challan","",SUMIF($D$4:$D$207,D30,$AC$4:$AC$207)+SUMIF($D$4:$D$207,D30,$AF$4:$AF$207)+SUMIF($D$4:$D$207,D30,$AD$4:$AD$207))</f>
      </c>
      <c r="AN30" s="27">
        <f>IF($B30&lt;&gt;"Challan","",O30-M30)</f>
      </c>
      <c r="AO30" s="27">
        <f>IF($B30&lt;&gt;"Challan","",MAX(0,AN30-AM30))</f>
      </c>
      <c r="AP30" s="29">
        <f>IF($B30&lt;&gt;"Challan","",IF(ROUND(AM30-AN30,2)&gt;0,"Over-applied",IF(ROUND(AM30-AN30,2)=0,"Fully Utilised","Unconsumed")))</f>
      </c>
      <c r="AQ30" s="34">
        <f>IF($B30&lt;&gt;"Entry","",SUMPRODUCT(($D$4:$D$207=D30)*($B$4:$B$207="Challan")*$E$4:$E$207))</f>
      </c>
      <c r="AR30" s="35">
        <f>IF(OR($B30&lt;&gt;"Entry",Y30=""),FALSE,AND(SUMPRODUCT(($D$4:$D$207=D30)*($B$4:$B$207="Challan")*($G$4:$G$207&lt;&gt;""))&gt;0,SUMPRODUCT(($D$4:$D$207=D30)*($B$4:$B$207="Challan")*($G$4:$G$207=Y30))=0))</f>
      </c>
    </row>
    <row r="31" spans="1:44" x14ac:dyDescent="0.25">
      <c r="A31" s="21">
        <f>IF($B31="Entry",COUNTIF($B$4:$B31,"Entry"),"")</f>
      </c>
      <c r="B31" s="22"/>
      <c r="C31" s="23"/>
      <c r="D31" s="23"/>
      <c r="E31" s="24"/>
      <c r="F31" s="25"/>
      <c r="G31" s="25"/>
      <c r="H31" s="26"/>
      <c r="I31" s="26"/>
      <c r="J31" s="26"/>
      <c r="K31" s="26"/>
      <c r="L31" s="26"/>
      <c r="M31" s="26"/>
      <c r="N31" s="26"/>
      <c r="O31" s="27">
        <f>IF($B31&lt;&gt;"Challan","",H31+I31+J31+K31+L31+M31)</f>
      </c>
      <c r="P31" s="25"/>
      <c r="Q31" s="25"/>
      <c r="R31" s="25"/>
      <c r="S31" s="25"/>
      <c r="T31" s="25"/>
      <c r="U31" s="28"/>
      <c r="V31" s="28"/>
      <c r="W31" s="28"/>
      <c r="X31" s="29">
        <f>IF($B31&lt;&gt;"Entry","",IF(LEN(V31)&lt;4,"",IF(MID(V31,4,1)="P","Individual",IF(MID(V31,4,1)="H","HUF",IF(MID(V31,4,1)="C","Company",IF(MID(V31,4,1)="F","Firm",IF(MID(V31,4,1)="L","LLP",IF(MID(V31,4,1)="T","Trust",IF(MID(V31,4,1)="A","AOP",""))))))))</f>
      </c>
      <c r="Y31" s="28"/>
      <c r="Z31" s="30">
        <f>IF($B31&lt;&gt;"Entry","",IF(Y31="","",IF(W31="Y",SUMPRODUCT(('Rate Lookup'!$A$1:$A$32=Y31)*'Rate Lookup'!$D$1:$D$32),IF(OR(X31="Individual",X31="HUF"),SUMPRODUCT(('Rate Lookup'!$A$1:$A$32=Y31)*'Rate Lookup'!$B$1:$B$32),SUMPRODUCT(('Rate Lookup'!$A$1:$A$32=Y31)*'Rate Lookup'!$C$1:$C$32)))))</f>
      </c>
      <c r="AA31" s="31"/>
      <c r="AB31" s="32"/>
      <c r="AC31" s="27">
        <f>IF($B31&lt;&gt;"Entry","",ROUND(AB31*Z31/100,0))</f>
      </c>
      <c r="AD31" s="27">
        <f>IF($B31&lt;&gt;"Entry","",0)</f>
      </c>
      <c r="AE31" s="27">
        <f>IF($B31&lt;&gt;"Entry","",0)</f>
      </c>
      <c r="AF31" s="27">
        <f>IF($B31&lt;&gt;"Entry","",IF(OR(AC31=0,AA31="",AQ31="",AQ31&lt;=0),0,IF(AQ31&lt;=DATE(YEAR(AA31),MONTH(AA31)+1,7),0,ROUND(AC31*0.015*((YEAR(AQ31)-YEAR(AA31))*12+(MONTH(AQ31)-MONTH(AA31))+1),0))))</f>
      </c>
      <c r="AG31" s="27">
        <f>IF($B31&lt;&gt;"Entry","",0)</f>
      </c>
      <c r="AH31" s="28"/>
      <c r="AI31" s="28"/>
      <c r="AJ31" s="33"/>
      <c r="AK31" s="28"/>
      <c r="AL31" s="28"/>
      <c r="AM31" s="27">
        <f>IF($B31&lt;&gt;"Challan","",SUMIF($D$4:$D$207,D31,$AC$4:$AC$207)+SUMIF($D$4:$D$207,D31,$AF$4:$AF$207)+SUMIF($D$4:$D$207,D31,$AD$4:$AD$207))</f>
      </c>
      <c r="AN31" s="27">
        <f>IF($B31&lt;&gt;"Challan","",O31-M31)</f>
      </c>
      <c r="AO31" s="27">
        <f>IF($B31&lt;&gt;"Challan","",MAX(0,AN31-AM31))</f>
      </c>
      <c r="AP31" s="29">
        <f>IF($B31&lt;&gt;"Challan","",IF(ROUND(AM31-AN31,2)&gt;0,"Over-applied",IF(ROUND(AM31-AN31,2)=0,"Fully Utilised","Unconsumed")))</f>
      </c>
      <c r="AQ31" s="34">
        <f>IF($B31&lt;&gt;"Entry","",SUMPRODUCT(($D$4:$D$207=D31)*($B$4:$B$207="Challan")*$E$4:$E$207))</f>
      </c>
      <c r="AR31" s="35">
        <f>IF(OR($B31&lt;&gt;"Entry",Y31=""),FALSE,AND(SUMPRODUCT(($D$4:$D$207=D31)*($B$4:$B$207="Challan")*($G$4:$G$207&lt;&gt;""))&gt;0,SUMPRODUCT(($D$4:$D$207=D31)*($B$4:$B$207="Challan")*($G$4:$G$207=Y31))=0))</f>
      </c>
    </row>
    <row r="32" spans="1:44" x14ac:dyDescent="0.25">
      <c r="A32" s="21">
        <f>IF($B32="Entry",COUNTIF($B$4:$B32,"Entry"),"")</f>
      </c>
      <c r="B32" s="22"/>
      <c r="C32" s="23"/>
      <c r="D32" s="23"/>
      <c r="E32" s="24"/>
      <c r="F32" s="25"/>
      <c r="G32" s="25"/>
      <c r="H32" s="26"/>
      <c r="I32" s="26"/>
      <c r="J32" s="26"/>
      <c r="K32" s="26"/>
      <c r="L32" s="26"/>
      <c r="M32" s="26"/>
      <c r="N32" s="26"/>
      <c r="O32" s="27">
        <f>IF($B32&lt;&gt;"Challan","",H32+I32+J32+K32+L32+M32)</f>
      </c>
      <c r="P32" s="25"/>
      <c r="Q32" s="25"/>
      <c r="R32" s="25"/>
      <c r="S32" s="25"/>
      <c r="T32" s="25"/>
      <c r="U32" s="28"/>
      <c r="V32" s="28"/>
      <c r="W32" s="28"/>
      <c r="X32" s="29">
        <f>IF($B32&lt;&gt;"Entry","",IF(LEN(V32)&lt;4,"",IF(MID(V32,4,1)="P","Individual",IF(MID(V32,4,1)="H","HUF",IF(MID(V32,4,1)="C","Company",IF(MID(V32,4,1)="F","Firm",IF(MID(V32,4,1)="L","LLP",IF(MID(V32,4,1)="T","Trust",IF(MID(V32,4,1)="A","AOP",""))))))))</f>
      </c>
      <c r="Y32" s="28"/>
      <c r="Z32" s="30">
        <f>IF($B32&lt;&gt;"Entry","",IF(Y32="","",IF(W32="Y",SUMPRODUCT(('Rate Lookup'!$A$1:$A$32=Y32)*'Rate Lookup'!$D$1:$D$32),IF(OR(X32="Individual",X32="HUF"),SUMPRODUCT(('Rate Lookup'!$A$1:$A$32=Y32)*'Rate Lookup'!$B$1:$B$32),SUMPRODUCT(('Rate Lookup'!$A$1:$A$32=Y32)*'Rate Lookup'!$C$1:$C$32)))))</f>
      </c>
      <c r="AA32" s="31"/>
      <c r="AB32" s="32"/>
      <c r="AC32" s="27">
        <f>IF($B32&lt;&gt;"Entry","",ROUND(AB32*Z32/100,0))</f>
      </c>
      <c r="AD32" s="27">
        <f>IF($B32&lt;&gt;"Entry","",0)</f>
      </c>
      <c r="AE32" s="27">
        <f>IF($B32&lt;&gt;"Entry","",0)</f>
      </c>
      <c r="AF32" s="27">
        <f>IF($B32&lt;&gt;"Entry","",IF(OR(AC32=0,AA32="",AQ32="",AQ32&lt;=0),0,IF(AQ32&lt;=DATE(YEAR(AA32),MONTH(AA32)+1,7),0,ROUND(AC32*0.015*((YEAR(AQ32)-YEAR(AA32))*12+(MONTH(AQ32)-MONTH(AA32))+1),0))))</f>
      </c>
      <c r="AG32" s="27">
        <f>IF($B32&lt;&gt;"Entry","",0)</f>
      </c>
      <c r="AH32" s="28"/>
      <c r="AI32" s="28"/>
      <c r="AJ32" s="33"/>
      <c r="AK32" s="28"/>
      <c r="AL32" s="28"/>
      <c r="AM32" s="27">
        <f>IF($B32&lt;&gt;"Challan","",SUMIF($D$4:$D$207,D32,$AC$4:$AC$207)+SUMIF($D$4:$D$207,D32,$AF$4:$AF$207)+SUMIF($D$4:$D$207,D32,$AD$4:$AD$207))</f>
      </c>
      <c r="AN32" s="27">
        <f>IF($B32&lt;&gt;"Challan","",O32-M32)</f>
      </c>
      <c r="AO32" s="27">
        <f>IF($B32&lt;&gt;"Challan","",MAX(0,AN32-AM32))</f>
      </c>
      <c r="AP32" s="29">
        <f>IF($B32&lt;&gt;"Challan","",IF(ROUND(AM32-AN32,2)&gt;0,"Over-applied",IF(ROUND(AM32-AN32,2)=0,"Fully Utilised","Unconsumed")))</f>
      </c>
      <c r="AQ32" s="34">
        <f>IF($B32&lt;&gt;"Entry","",SUMPRODUCT(($D$4:$D$207=D32)*($B$4:$B$207="Challan")*$E$4:$E$207))</f>
      </c>
      <c r="AR32" s="35">
        <f>IF(OR($B32&lt;&gt;"Entry",Y32=""),FALSE,AND(SUMPRODUCT(($D$4:$D$207=D32)*($B$4:$B$207="Challan")*($G$4:$G$207&lt;&gt;""))&gt;0,SUMPRODUCT(($D$4:$D$207=D32)*($B$4:$B$207="Challan")*($G$4:$G$207=Y32))=0))</f>
      </c>
    </row>
    <row r="33" spans="1:44" x14ac:dyDescent="0.25">
      <c r="A33" s="21">
        <f>IF($B33="Entry",COUNTIF($B$4:$B33,"Entry"),"")</f>
      </c>
      <c r="B33" s="22"/>
      <c r="C33" s="23"/>
      <c r="D33" s="23"/>
      <c r="E33" s="24"/>
      <c r="F33" s="25"/>
      <c r="G33" s="25"/>
      <c r="H33" s="26"/>
      <c r="I33" s="26"/>
      <c r="J33" s="26"/>
      <c r="K33" s="26"/>
      <c r="L33" s="26"/>
      <c r="M33" s="26"/>
      <c r="N33" s="26"/>
      <c r="O33" s="27">
        <f>IF($B33&lt;&gt;"Challan","",H33+I33+J33+K33+L33+M33)</f>
      </c>
      <c r="P33" s="25"/>
      <c r="Q33" s="25"/>
      <c r="R33" s="25"/>
      <c r="S33" s="25"/>
      <c r="T33" s="25"/>
      <c r="U33" s="28"/>
      <c r="V33" s="28"/>
      <c r="W33" s="28"/>
      <c r="X33" s="29">
        <f>IF($B33&lt;&gt;"Entry","",IF(LEN(V33)&lt;4,"",IF(MID(V33,4,1)="P","Individual",IF(MID(V33,4,1)="H","HUF",IF(MID(V33,4,1)="C","Company",IF(MID(V33,4,1)="F","Firm",IF(MID(V33,4,1)="L","LLP",IF(MID(V33,4,1)="T","Trust",IF(MID(V33,4,1)="A","AOP",""))))))))</f>
      </c>
      <c r="Y33" s="28"/>
      <c r="Z33" s="30">
        <f>IF($B33&lt;&gt;"Entry","",IF(Y33="","",IF(W33="Y",SUMPRODUCT(('Rate Lookup'!$A$1:$A$32=Y33)*'Rate Lookup'!$D$1:$D$32),IF(OR(X33="Individual",X33="HUF"),SUMPRODUCT(('Rate Lookup'!$A$1:$A$32=Y33)*'Rate Lookup'!$B$1:$B$32),SUMPRODUCT(('Rate Lookup'!$A$1:$A$32=Y33)*'Rate Lookup'!$C$1:$C$32)))))</f>
      </c>
      <c r="AA33" s="31"/>
      <c r="AB33" s="32"/>
      <c r="AC33" s="27">
        <f>IF($B33&lt;&gt;"Entry","",ROUND(AB33*Z33/100,0))</f>
      </c>
      <c r="AD33" s="27">
        <f>IF($B33&lt;&gt;"Entry","",0)</f>
      </c>
      <c r="AE33" s="27">
        <f>IF($B33&lt;&gt;"Entry","",0)</f>
      </c>
      <c r="AF33" s="27">
        <f>IF($B33&lt;&gt;"Entry","",IF(OR(AC33=0,AA33="",AQ33="",AQ33&lt;=0),0,IF(AQ33&lt;=DATE(YEAR(AA33),MONTH(AA33)+1,7),0,ROUND(AC33*0.015*((YEAR(AQ33)-YEAR(AA33))*12+(MONTH(AQ33)-MONTH(AA33))+1),0))))</f>
      </c>
      <c r="AG33" s="27">
        <f>IF($B33&lt;&gt;"Entry","",0)</f>
      </c>
      <c r="AH33" s="28"/>
      <c r="AI33" s="28"/>
      <c r="AJ33" s="33"/>
      <c r="AK33" s="28"/>
      <c r="AL33" s="28"/>
      <c r="AM33" s="27">
        <f>IF($B33&lt;&gt;"Challan","",SUMIF($D$4:$D$207,D33,$AC$4:$AC$207)+SUMIF($D$4:$D$207,D33,$AF$4:$AF$207)+SUMIF($D$4:$D$207,D33,$AD$4:$AD$207))</f>
      </c>
      <c r="AN33" s="27">
        <f>IF($B33&lt;&gt;"Challan","",O33-M33)</f>
      </c>
      <c r="AO33" s="27">
        <f>IF($B33&lt;&gt;"Challan","",MAX(0,AN33-AM33))</f>
      </c>
      <c r="AP33" s="29">
        <f>IF($B33&lt;&gt;"Challan","",IF(ROUND(AM33-AN33,2)&gt;0,"Over-applied",IF(ROUND(AM33-AN33,2)=0,"Fully Utilised","Unconsumed")))</f>
      </c>
      <c r="AQ33" s="34">
        <f>IF($B33&lt;&gt;"Entry","",SUMPRODUCT(($D$4:$D$207=D33)*($B$4:$B$207="Challan")*$E$4:$E$207))</f>
      </c>
      <c r="AR33" s="35">
        <f>IF(OR($B33&lt;&gt;"Entry",Y33=""),FALSE,AND(SUMPRODUCT(($D$4:$D$207=D33)*($B$4:$B$207="Challan")*($G$4:$G$207&lt;&gt;""))&gt;0,SUMPRODUCT(($D$4:$D$207=D33)*($B$4:$B$207="Challan")*($G$4:$G$207=Y33))=0))</f>
      </c>
    </row>
    <row r="34" spans="1:44" x14ac:dyDescent="0.25">
      <c r="A34" s="21">
        <f>IF($B34="Entry",COUNTIF($B$4:$B34,"Entry"),"")</f>
      </c>
      <c r="B34" s="22"/>
      <c r="C34" s="23"/>
      <c r="D34" s="23"/>
      <c r="E34" s="24"/>
      <c r="F34" s="25"/>
      <c r="G34" s="25"/>
      <c r="H34" s="26"/>
      <c r="I34" s="26"/>
      <c r="J34" s="26"/>
      <c r="K34" s="26"/>
      <c r="L34" s="26"/>
      <c r="M34" s="26"/>
      <c r="N34" s="26"/>
      <c r="O34" s="27">
        <f>IF($B34&lt;&gt;"Challan","",H34+I34+J34+K34+L34+M34)</f>
      </c>
      <c r="P34" s="25"/>
      <c r="Q34" s="25"/>
      <c r="R34" s="25"/>
      <c r="S34" s="25"/>
      <c r="T34" s="25"/>
      <c r="U34" s="28"/>
      <c r="V34" s="28"/>
      <c r="W34" s="28"/>
      <c r="X34" s="29">
        <f>IF($B34&lt;&gt;"Entry","",IF(LEN(V34)&lt;4,"",IF(MID(V34,4,1)="P","Individual",IF(MID(V34,4,1)="H","HUF",IF(MID(V34,4,1)="C","Company",IF(MID(V34,4,1)="F","Firm",IF(MID(V34,4,1)="L","LLP",IF(MID(V34,4,1)="T","Trust",IF(MID(V34,4,1)="A","AOP",""))))))))</f>
      </c>
      <c r="Y34" s="28"/>
      <c r="Z34" s="30">
        <f>IF($B34&lt;&gt;"Entry","",IF(Y34="","",IF(W34="Y",SUMPRODUCT(('Rate Lookup'!$A$1:$A$32=Y34)*'Rate Lookup'!$D$1:$D$32),IF(OR(X34="Individual",X34="HUF"),SUMPRODUCT(('Rate Lookup'!$A$1:$A$32=Y34)*'Rate Lookup'!$B$1:$B$32),SUMPRODUCT(('Rate Lookup'!$A$1:$A$32=Y34)*'Rate Lookup'!$C$1:$C$32)))))</f>
      </c>
      <c r="AA34" s="31"/>
      <c r="AB34" s="32"/>
      <c r="AC34" s="27">
        <f>IF($B34&lt;&gt;"Entry","",ROUND(AB34*Z34/100,0))</f>
      </c>
      <c r="AD34" s="27">
        <f>IF($B34&lt;&gt;"Entry","",0)</f>
      </c>
      <c r="AE34" s="27">
        <f>IF($B34&lt;&gt;"Entry","",0)</f>
      </c>
      <c r="AF34" s="27">
        <f>IF($B34&lt;&gt;"Entry","",IF(OR(AC34=0,AA34="",AQ34="",AQ34&lt;=0),0,IF(AQ34&lt;=DATE(YEAR(AA34),MONTH(AA34)+1,7),0,ROUND(AC34*0.015*((YEAR(AQ34)-YEAR(AA34))*12+(MONTH(AQ34)-MONTH(AA34))+1),0))))</f>
      </c>
      <c r="AG34" s="27">
        <f>IF($B34&lt;&gt;"Entry","",0)</f>
      </c>
      <c r="AH34" s="28"/>
      <c r="AI34" s="28"/>
      <c r="AJ34" s="33"/>
      <c r="AK34" s="28"/>
      <c r="AL34" s="28"/>
      <c r="AM34" s="27">
        <f>IF($B34&lt;&gt;"Challan","",SUMIF($D$4:$D$207,D34,$AC$4:$AC$207)+SUMIF($D$4:$D$207,D34,$AF$4:$AF$207)+SUMIF($D$4:$D$207,D34,$AD$4:$AD$207))</f>
      </c>
      <c r="AN34" s="27">
        <f>IF($B34&lt;&gt;"Challan","",O34-M34)</f>
      </c>
      <c r="AO34" s="27">
        <f>IF($B34&lt;&gt;"Challan","",MAX(0,AN34-AM34))</f>
      </c>
      <c r="AP34" s="29">
        <f>IF($B34&lt;&gt;"Challan","",IF(ROUND(AM34-AN34,2)&gt;0,"Over-applied",IF(ROUND(AM34-AN34,2)=0,"Fully Utilised","Unconsumed")))</f>
      </c>
      <c r="AQ34" s="34">
        <f>IF($B34&lt;&gt;"Entry","",SUMPRODUCT(($D$4:$D$207=D34)*($B$4:$B$207="Challan")*$E$4:$E$207))</f>
      </c>
      <c r="AR34" s="35">
        <f>IF(OR($B34&lt;&gt;"Entry",Y34=""),FALSE,AND(SUMPRODUCT(($D$4:$D$207=D34)*($B$4:$B$207="Challan")*($G$4:$G$207&lt;&gt;""))&gt;0,SUMPRODUCT(($D$4:$D$207=D34)*($B$4:$B$207="Challan")*($G$4:$G$207=Y34))=0))</f>
      </c>
    </row>
    <row r="35" spans="1:44" x14ac:dyDescent="0.25">
      <c r="A35" s="21">
        <f>IF($B35="Entry",COUNTIF($B$4:$B35,"Entry"),"")</f>
      </c>
      <c r="B35" s="22"/>
      <c r="C35" s="23"/>
      <c r="D35" s="23"/>
      <c r="E35" s="24"/>
      <c r="F35" s="25"/>
      <c r="G35" s="25"/>
      <c r="H35" s="26"/>
      <c r="I35" s="26"/>
      <c r="J35" s="26"/>
      <c r="K35" s="26"/>
      <c r="L35" s="26"/>
      <c r="M35" s="26"/>
      <c r="N35" s="26"/>
      <c r="O35" s="27">
        <f>IF($B35&lt;&gt;"Challan","",H35+I35+J35+K35+L35+M35)</f>
      </c>
      <c r="P35" s="25"/>
      <c r="Q35" s="25"/>
      <c r="R35" s="25"/>
      <c r="S35" s="25"/>
      <c r="T35" s="25"/>
      <c r="U35" s="28"/>
      <c r="V35" s="28"/>
      <c r="W35" s="28"/>
      <c r="X35" s="29">
        <f>IF($B35&lt;&gt;"Entry","",IF(LEN(V35)&lt;4,"",IF(MID(V35,4,1)="P","Individual",IF(MID(V35,4,1)="H","HUF",IF(MID(V35,4,1)="C","Company",IF(MID(V35,4,1)="F","Firm",IF(MID(V35,4,1)="L","LLP",IF(MID(V35,4,1)="T","Trust",IF(MID(V35,4,1)="A","AOP",""))))))))</f>
      </c>
      <c r="Y35" s="28"/>
      <c r="Z35" s="30">
        <f>IF($B35&lt;&gt;"Entry","",IF(Y35="","",IF(W35="Y",SUMPRODUCT(('Rate Lookup'!$A$1:$A$32=Y35)*'Rate Lookup'!$D$1:$D$32),IF(OR(X35="Individual",X35="HUF"),SUMPRODUCT(('Rate Lookup'!$A$1:$A$32=Y35)*'Rate Lookup'!$B$1:$B$32),SUMPRODUCT(('Rate Lookup'!$A$1:$A$32=Y35)*'Rate Lookup'!$C$1:$C$32)))))</f>
      </c>
      <c r="AA35" s="31"/>
      <c r="AB35" s="32"/>
      <c r="AC35" s="27">
        <f>IF($B35&lt;&gt;"Entry","",ROUND(AB35*Z35/100,0))</f>
      </c>
      <c r="AD35" s="27">
        <f>IF($B35&lt;&gt;"Entry","",0)</f>
      </c>
      <c r="AE35" s="27">
        <f>IF($B35&lt;&gt;"Entry","",0)</f>
      </c>
      <c r="AF35" s="27">
        <f>IF($B35&lt;&gt;"Entry","",IF(OR(AC35=0,AA35="",AQ35="",AQ35&lt;=0),0,IF(AQ35&lt;=DATE(YEAR(AA35),MONTH(AA35)+1,7),0,ROUND(AC35*0.015*((YEAR(AQ35)-YEAR(AA35))*12+(MONTH(AQ35)-MONTH(AA35))+1),0))))</f>
      </c>
      <c r="AG35" s="27">
        <f>IF($B35&lt;&gt;"Entry","",0)</f>
      </c>
      <c r="AH35" s="28"/>
      <c r="AI35" s="28"/>
      <c r="AJ35" s="33"/>
      <c r="AK35" s="28"/>
      <c r="AL35" s="28"/>
      <c r="AM35" s="27">
        <f>IF($B35&lt;&gt;"Challan","",SUMIF($D$4:$D$207,D35,$AC$4:$AC$207)+SUMIF($D$4:$D$207,D35,$AF$4:$AF$207)+SUMIF($D$4:$D$207,D35,$AD$4:$AD$207))</f>
      </c>
      <c r="AN35" s="27">
        <f>IF($B35&lt;&gt;"Challan","",O35-M35)</f>
      </c>
      <c r="AO35" s="27">
        <f>IF($B35&lt;&gt;"Challan","",MAX(0,AN35-AM35))</f>
      </c>
      <c r="AP35" s="29">
        <f>IF($B35&lt;&gt;"Challan","",IF(ROUND(AM35-AN35,2)&gt;0,"Over-applied",IF(ROUND(AM35-AN35,2)=0,"Fully Utilised","Unconsumed")))</f>
      </c>
      <c r="AQ35" s="34">
        <f>IF($B35&lt;&gt;"Entry","",SUMPRODUCT(($D$4:$D$207=D35)*($B$4:$B$207="Challan")*$E$4:$E$207))</f>
      </c>
      <c r="AR35" s="35">
        <f>IF(OR($B35&lt;&gt;"Entry",Y35=""),FALSE,AND(SUMPRODUCT(($D$4:$D$207=D35)*($B$4:$B$207="Challan")*($G$4:$G$207&lt;&gt;""))&gt;0,SUMPRODUCT(($D$4:$D$207=D35)*($B$4:$B$207="Challan")*($G$4:$G$207=Y35))=0))</f>
      </c>
    </row>
    <row r="36" spans="1:44" x14ac:dyDescent="0.25">
      <c r="A36" s="21">
        <f>IF($B36="Entry",COUNTIF($B$4:$B36,"Entry"),"")</f>
      </c>
      <c r="B36" s="22"/>
      <c r="C36" s="23"/>
      <c r="D36" s="23"/>
      <c r="E36" s="24"/>
      <c r="F36" s="25"/>
      <c r="G36" s="25"/>
      <c r="H36" s="26"/>
      <c r="I36" s="26"/>
      <c r="J36" s="26"/>
      <c r="K36" s="26"/>
      <c r="L36" s="26"/>
      <c r="M36" s="26"/>
      <c r="N36" s="26"/>
      <c r="O36" s="27">
        <f>IF($B36&lt;&gt;"Challan","",H36+I36+J36+K36+L36+M36)</f>
      </c>
      <c r="P36" s="25"/>
      <c r="Q36" s="25"/>
      <c r="R36" s="25"/>
      <c r="S36" s="25"/>
      <c r="T36" s="25"/>
      <c r="U36" s="28"/>
      <c r="V36" s="28"/>
      <c r="W36" s="28"/>
      <c r="X36" s="29">
        <f>IF($B36&lt;&gt;"Entry","",IF(LEN(V36)&lt;4,"",IF(MID(V36,4,1)="P","Individual",IF(MID(V36,4,1)="H","HUF",IF(MID(V36,4,1)="C","Company",IF(MID(V36,4,1)="F","Firm",IF(MID(V36,4,1)="L","LLP",IF(MID(V36,4,1)="T","Trust",IF(MID(V36,4,1)="A","AOP",""))))))))</f>
      </c>
      <c r="Y36" s="28"/>
      <c r="Z36" s="30">
        <f>IF($B36&lt;&gt;"Entry","",IF(Y36="","",IF(W36="Y",SUMPRODUCT(('Rate Lookup'!$A$1:$A$32=Y36)*'Rate Lookup'!$D$1:$D$32),IF(OR(X36="Individual",X36="HUF"),SUMPRODUCT(('Rate Lookup'!$A$1:$A$32=Y36)*'Rate Lookup'!$B$1:$B$32),SUMPRODUCT(('Rate Lookup'!$A$1:$A$32=Y36)*'Rate Lookup'!$C$1:$C$32)))))</f>
      </c>
      <c r="AA36" s="31"/>
      <c r="AB36" s="32"/>
      <c r="AC36" s="27">
        <f>IF($B36&lt;&gt;"Entry","",ROUND(AB36*Z36/100,0))</f>
      </c>
      <c r="AD36" s="27">
        <f>IF($B36&lt;&gt;"Entry","",0)</f>
      </c>
      <c r="AE36" s="27">
        <f>IF($B36&lt;&gt;"Entry","",0)</f>
      </c>
      <c r="AF36" s="27">
        <f>IF($B36&lt;&gt;"Entry","",IF(OR(AC36=0,AA36="",AQ36="",AQ36&lt;=0),0,IF(AQ36&lt;=DATE(YEAR(AA36),MONTH(AA36)+1,7),0,ROUND(AC36*0.015*((YEAR(AQ36)-YEAR(AA36))*12+(MONTH(AQ36)-MONTH(AA36))+1),0))))</f>
      </c>
      <c r="AG36" s="27">
        <f>IF($B36&lt;&gt;"Entry","",0)</f>
      </c>
      <c r="AH36" s="28"/>
      <c r="AI36" s="28"/>
      <c r="AJ36" s="33"/>
      <c r="AK36" s="28"/>
      <c r="AL36" s="28"/>
      <c r="AM36" s="27">
        <f>IF($B36&lt;&gt;"Challan","",SUMIF($D$4:$D$207,D36,$AC$4:$AC$207)+SUMIF($D$4:$D$207,D36,$AF$4:$AF$207)+SUMIF($D$4:$D$207,D36,$AD$4:$AD$207))</f>
      </c>
      <c r="AN36" s="27">
        <f>IF($B36&lt;&gt;"Challan","",O36-M36)</f>
      </c>
      <c r="AO36" s="27">
        <f>IF($B36&lt;&gt;"Challan","",MAX(0,AN36-AM36))</f>
      </c>
      <c r="AP36" s="29">
        <f>IF($B36&lt;&gt;"Challan","",IF(ROUND(AM36-AN36,2)&gt;0,"Over-applied",IF(ROUND(AM36-AN36,2)=0,"Fully Utilised","Unconsumed")))</f>
      </c>
      <c r="AQ36" s="34">
        <f>IF($B36&lt;&gt;"Entry","",SUMPRODUCT(($D$4:$D$207=D36)*($B$4:$B$207="Challan")*$E$4:$E$207))</f>
      </c>
      <c r="AR36" s="35">
        <f>IF(OR($B36&lt;&gt;"Entry",Y36=""),FALSE,AND(SUMPRODUCT(($D$4:$D$207=D36)*($B$4:$B$207="Challan")*($G$4:$G$207&lt;&gt;""))&gt;0,SUMPRODUCT(($D$4:$D$207=D36)*($B$4:$B$207="Challan")*($G$4:$G$207=Y36))=0))</f>
      </c>
    </row>
    <row r="37" spans="1:44" x14ac:dyDescent="0.25">
      <c r="A37" s="21">
        <f>IF($B37="Entry",COUNTIF($B$4:$B37,"Entry"),"")</f>
      </c>
      <c r="B37" s="22"/>
      <c r="C37" s="23"/>
      <c r="D37" s="23"/>
      <c r="E37" s="24"/>
      <c r="F37" s="25"/>
      <c r="G37" s="25"/>
      <c r="H37" s="26"/>
      <c r="I37" s="26"/>
      <c r="J37" s="26"/>
      <c r="K37" s="26"/>
      <c r="L37" s="26"/>
      <c r="M37" s="26"/>
      <c r="N37" s="26"/>
      <c r="O37" s="27">
        <f>IF($B37&lt;&gt;"Challan","",H37+I37+J37+K37+L37+M37)</f>
      </c>
      <c r="P37" s="25"/>
      <c r="Q37" s="25"/>
      <c r="R37" s="25"/>
      <c r="S37" s="25"/>
      <c r="T37" s="25"/>
      <c r="U37" s="28"/>
      <c r="V37" s="28"/>
      <c r="W37" s="28"/>
      <c r="X37" s="29">
        <f>IF($B37&lt;&gt;"Entry","",IF(LEN(V37)&lt;4,"",IF(MID(V37,4,1)="P","Individual",IF(MID(V37,4,1)="H","HUF",IF(MID(V37,4,1)="C","Company",IF(MID(V37,4,1)="F","Firm",IF(MID(V37,4,1)="L","LLP",IF(MID(V37,4,1)="T","Trust",IF(MID(V37,4,1)="A","AOP",""))))))))</f>
      </c>
      <c r="Y37" s="28"/>
      <c r="Z37" s="30">
        <f>IF($B37&lt;&gt;"Entry","",IF(Y37="","",IF(W37="Y",SUMPRODUCT(('Rate Lookup'!$A$1:$A$32=Y37)*'Rate Lookup'!$D$1:$D$32),IF(OR(X37="Individual",X37="HUF"),SUMPRODUCT(('Rate Lookup'!$A$1:$A$32=Y37)*'Rate Lookup'!$B$1:$B$32),SUMPRODUCT(('Rate Lookup'!$A$1:$A$32=Y37)*'Rate Lookup'!$C$1:$C$32)))))</f>
      </c>
      <c r="AA37" s="31"/>
      <c r="AB37" s="32"/>
      <c r="AC37" s="27">
        <f>IF($B37&lt;&gt;"Entry","",ROUND(AB37*Z37/100,0))</f>
      </c>
      <c r="AD37" s="27">
        <f>IF($B37&lt;&gt;"Entry","",0)</f>
      </c>
      <c r="AE37" s="27">
        <f>IF($B37&lt;&gt;"Entry","",0)</f>
      </c>
      <c r="AF37" s="27">
        <f>IF($B37&lt;&gt;"Entry","",IF(OR(AC37=0,AA37="",AQ37="",AQ37&lt;=0),0,IF(AQ37&lt;=DATE(YEAR(AA37),MONTH(AA37)+1,7),0,ROUND(AC37*0.015*((YEAR(AQ37)-YEAR(AA37))*12+(MONTH(AQ37)-MONTH(AA37))+1),0))))</f>
      </c>
      <c r="AG37" s="27">
        <f>IF($B37&lt;&gt;"Entry","",0)</f>
      </c>
      <c r="AH37" s="28"/>
      <c r="AI37" s="28"/>
      <c r="AJ37" s="33"/>
      <c r="AK37" s="28"/>
      <c r="AL37" s="28"/>
      <c r="AM37" s="27">
        <f>IF($B37&lt;&gt;"Challan","",SUMIF($D$4:$D$207,D37,$AC$4:$AC$207)+SUMIF($D$4:$D$207,D37,$AF$4:$AF$207)+SUMIF($D$4:$D$207,D37,$AD$4:$AD$207))</f>
      </c>
      <c r="AN37" s="27">
        <f>IF($B37&lt;&gt;"Challan","",O37-M37)</f>
      </c>
      <c r="AO37" s="27">
        <f>IF($B37&lt;&gt;"Challan","",MAX(0,AN37-AM37))</f>
      </c>
      <c r="AP37" s="29">
        <f>IF($B37&lt;&gt;"Challan","",IF(ROUND(AM37-AN37,2)&gt;0,"Over-applied",IF(ROUND(AM37-AN37,2)=0,"Fully Utilised","Unconsumed")))</f>
      </c>
      <c r="AQ37" s="34">
        <f>IF($B37&lt;&gt;"Entry","",SUMPRODUCT(($D$4:$D$207=D37)*($B$4:$B$207="Challan")*$E$4:$E$207))</f>
      </c>
      <c r="AR37" s="35">
        <f>IF(OR($B37&lt;&gt;"Entry",Y37=""),FALSE,AND(SUMPRODUCT(($D$4:$D$207=D37)*($B$4:$B$207="Challan")*($G$4:$G$207&lt;&gt;""))&gt;0,SUMPRODUCT(($D$4:$D$207=D37)*($B$4:$B$207="Challan")*($G$4:$G$207=Y37))=0))</f>
      </c>
    </row>
    <row r="38" spans="1:44" x14ac:dyDescent="0.25">
      <c r="A38" s="21">
        <f>IF($B38="Entry",COUNTIF($B$4:$B38,"Entry"),"")</f>
      </c>
      <c r="B38" s="22"/>
      <c r="C38" s="23"/>
      <c r="D38" s="23"/>
      <c r="E38" s="24"/>
      <c r="F38" s="25"/>
      <c r="G38" s="25"/>
      <c r="H38" s="26"/>
      <c r="I38" s="26"/>
      <c r="J38" s="26"/>
      <c r="K38" s="26"/>
      <c r="L38" s="26"/>
      <c r="M38" s="26"/>
      <c r="N38" s="26"/>
      <c r="O38" s="27">
        <f>IF($B38&lt;&gt;"Challan","",H38+I38+J38+K38+L38+M38)</f>
      </c>
      <c r="P38" s="25"/>
      <c r="Q38" s="25"/>
      <c r="R38" s="25"/>
      <c r="S38" s="25"/>
      <c r="T38" s="25"/>
      <c r="U38" s="28"/>
      <c r="V38" s="28"/>
      <c r="W38" s="28"/>
      <c r="X38" s="29">
        <f>IF($B38&lt;&gt;"Entry","",IF(LEN(V38)&lt;4,"",IF(MID(V38,4,1)="P","Individual",IF(MID(V38,4,1)="H","HUF",IF(MID(V38,4,1)="C","Company",IF(MID(V38,4,1)="F","Firm",IF(MID(V38,4,1)="L","LLP",IF(MID(V38,4,1)="T","Trust",IF(MID(V38,4,1)="A","AOP",""))))))))</f>
      </c>
      <c r="Y38" s="28"/>
      <c r="Z38" s="30">
        <f>IF($B38&lt;&gt;"Entry","",IF(Y38="","",IF(W38="Y",SUMPRODUCT(('Rate Lookup'!$A$1:$A$32=Y38)*'Rate Lookup'!$D$1:$D$32),IF(OR(X38="Individual",X38="HUF"),SUMPRODUCT(('Rate Lookup'!$A$1:$A$32=Y38)*'Rate Lookup'!$B$1:$B$32),SUMPRODUCT(('Rate Lookup'!$A$1:$A$32=Y38)*'Rate Lookup'!$C$1:$C$32)))))</f>
      </c>
      <c r="AA38" s="31"/>
      <c r="AB38" s="32"/>
      <c r="AC38" s="27">
        <f>IF($B38&lt;&gt;"Entry","",ROUND(AB38*Z38/100,0))</f>
      </c>
      <c r="AD38" s="27">
        <f>IF($B38&lt;&gt;"Entry","",0)</f>
      </c>
      <c r="AE38" s="27">
        <f>IF($B38&lt;&gt;"Entry","",0)</f>
      </c>
      <c r="AF38" s="27">
        <f>IF($B38&lt;&gt;"Entry","",IF(OR(AC38=0,AA38="",AQ38="",AQ38&lt;=0),0,IF(AQ38&lt;=DATE(YEAR(AA38),MONTH(AA38)+1,7),0,ROUND(AC38*0.015*((YEAR(AQ38)-YEAR(AA38))*12+(MONTH(AQ38)-MONTH(AA38))+1),0))))</f>
      </c>
      <c r="AG38" s="27">
        <f>IF($B38&lt;&gt;"Entry","",0)</f>
      </c>
      <c r="AH38" s="28"/>
      <c r="AI38" s="28"/>
      <c r="AJ38" s="33"/>
      <c r="AK38" s="28"/>
      <c r="AL38" s="28"/>
      <c r="AM38" s="27">
        <f>IF($B38&lt;&gt;"Challan","",SUMIF($D$4:$D$207,D38,$AC$4:$AC$207)+SUMIF($D$4:$D$207,D38,$AF$4:$AF$207)+SUMIF($D$4:$D$207,D38,$AD$4:$AD$207))</f>
      </c>
      <c r="AN38" s="27">
        <f>IF($B38&lt;&gt;"Challan","",O38-M38)</f>
      </c>
      <c r="AO38" s="27">
        <f>IF($B38&lt;&gt;"Challan","",MAX(0,AN38-AM38))</f>
      </c>
      <c r="AP38" s="29">
        <f>IF($B38&lt;&gt;"Challan","",IF(ROUND(AM38-AN38,2)&gt;0,"Over-applied",IF(ROUND(AM38-AN38,2)=0,"Fully Utilised","Unconsumed")))</f>
      </c>
      <c r="AQ38" s="34">
        <f>IF($B38&lt;&gt;"Entry","",SUMPRODUCT(($D$4:$D$207=D38)*($B$4:$B$207="Challan")*$E$4:$E$207))</f>
      </c>
      <c r="AR38" s="35">
        <f>IF(OR($B38&lt;&gt;"Entry",Y38=""),FALSE,AND(SUMPRODUCT(($D$4:$D$207=D38)*($B$4:$B$207="Challan")*($G$4:$G$207&lt;&gt;""))&gt;0,SUMPRODUCT(($D$4:$D$207=D38)*($B$4:$B$207="Challan")*($G$4:$G$207=Y38))=0))</f>
      </c>
    </row>
    <row r="39" spans="1:44" x14ac:dyDescent="0.25">
      <c r="A39" s="21">
        <f>IF($B39="Entry",COUNTIF($B$4:$B39,"Entry"),"")</f>
      </c>
      <c r="B39" s="22"/>
      <c r="C39" s="23"/>
      <c r="D39" s="23"/>
      <c r="E39" s="24"/>
      <c r="F39" s="25"/>
      <c r="G39" s="25"/>
      <c r="H39" s="26"/>
      <c r="I39" s="26"/>
      <c r="J39" s="26"/>
      <c r="K39" s="26"/>
      <c r="L39" s="26"/>
      <c r="M39" s="26"/>
      <c r="N39" s="26"/>
      <c r="O39" s="27">
        <f>IF($B39&lt;&gt;"Challan","",H39+I39+J39+K39+L39+M39)</f>
      </c>
      <c r="P39" s="25"/>
      <c r="Q39" s="25"/>
      <c r="R39" s="25"/>
      <c r="S39" s="25"/>
      <c r="T39" s="25"/>
      <c r="U39" s="28"/>
      <c r="V39" s="28"/>
      <c r="W39" s="28"/>
      <c r="X39" s="29">
        <f>IF($B39&lt;&gt;"Entry","",IF(LEN(V39)&lt;4,"",IF(MID(V39,4,1)="P","Individual",IF(MID(V39,4,1)="H","HUF",IF(MID(V39,4,1)="C","Company",IF(MID(V39,4,1)="F","Firm",IF(MID(V39,4,1)="L","LLP",IF(MID(V39,4,1)="T","Trust",IF(MID(V39,4,1)="A","AOP",""))))))))</f>
      </c>
      <c r="Y39" s="28"/>
      <c r="Z39" s="30">
        <f>IF($B39&lt;&gt;"Entry","",IF(Y39="","",IF(W39="Y",SUMPRODUCT(('Rate Lookup'!$A$1:$A$32=Y39)*'Rate Lookup'!$D$1:$D$32),IF(OR(X39="Individual",X39="HUF"),SUMPRODUCT(('Rate Lookup'!$A$1:$A$32=Y39)*'Rate Lookup'!$B$1:$B$32),SUMPRODUCT(('Rate Lookup'!$A$1:$A$32=Y39)*'Rate Lookup'!$C$1:$C$32)))))</f>
      </c>
      <c r="AA39" s="31"/>
      <c r="AB39" s="32"/>
      <c r="AC39" s="27">
        <f>IF($B39&lt;&gt;"Entry","",ROUND(AB39*Z39/100,0))</f>
      </c>
      <c r="AD39" s="27">
        <f>IF($B39&lt;&gt;"Entry","",0)</f>
      </c>
      <c r="AE39" s="27">
        <f>IF($B39&lt;&gt;"Entry","",0)</f>
      </c>
      <c r="AF39" s="27">
        <f>IF($B39&lt;&gt;"Entry","",IF(OR(AC39=0,AA39="",AQ39="",AQ39&lt;=0),0,IF(AQ39&lt;=DATE(YEAR(AA39),MONTH(AA39)+1,7),0,ROUND(AC39*0.015*((YEAR(AQ39)-YEAR(AA39))*12+(MONTH(AQ39)-MONTH(AA39))+1),0))))</f>
      </c>
      <c r="AG39" s="27">
        <f>IF($B39&lt;&gt;"Entry","",0)</f>
      </c>
      <c r="AH39" s="28"/>
      <c r="AI39" s="28"/>
      <c r="AJ39" s="33"/>
      <c r="AK39" s="28"/>
      <c r="AL39" s="28"/>
      <c r="AM39" s="27">
        <f>IF($B39&lt;&gt;"Challan","",SUMIF($D$4:$D$207,D39,$AC$4:$AC$207)+SUMIF($D$4:$D$207,D39,$AF$4:$AF$207)+SUMIF($D$4:$D$207,D39,$AD$4:$AD$207))</f>
      </c>
      <c r="AN39" s="27">
        <f>IF($B39&lt;&gt;"Challan","",O39-M39)</f>
      </c>
      <c r="AO39" s="27">
        <f>IF($B39&lt;&gt;"Challan","",MAX(0,AN39-AM39))</f>
      </c>
      <c r="AP39" s="29">
        <f>IF($B39&lt;&gt;"Challan","",IF(ROUND(AM39-AN39,2)&gt;0,"Over-applied",IF(ROUND(AM39-AN39,2)=0,"Fully Utilised","Unconsumed")))</f>
      </c>
      <c r="AQ39" s="34">
        <f>IF($B39&lt;&gt;"Entry","",SUMPRODUCT(($D$4:$D$207=D39)*($B$4:$B$207="Challan")*$E$4:$E$207))</f>
      </c>
      <c r="AR39" s="35">
        <f>IF(OR($B39&lt;&gt;"Entry",Y39=""),FALSE,AND(SUMPRODUCT(($D$4:$D$207=D39)*($B$4:$B$207="Challan")*($G$4:$G$207&lt;&gt;""))&gt;0,SUMPRODUCT(($D$4:$D$207=D39)*($B$4:$B$207="Challan")*($G$4:$G$207=Y39))=0))</f>
      </c>
    </row>
    <row r="40" spans="1:44" x14ac:dyDescent="0.25">
      <c r="A40" s="21">
        <f>IF($B40="Entry",COUNTIF($B$4:$B40,"Entry"),"")</f>
      </c>
      <c r="B40" s="22"/>
      <c r="C40" s="23"/>
      <c r="D40" s="23"/>
      <c r="E40" s="24"/>
      <c r="F40" s="25"/>
      <c r="G40" s="25"/>
      <c r="H40" s="26"/>
      <c r="I40" s="26"/>
      <c r="J40" s="26"/>
      <c r="K40" s="26"/>
      <c r="L40" s="26"/>
      <c r="M40" s="26"/>
      <c r="N40" s="26"/>
      <c r="O40" s="27">
        <f>IF($B40&lt;&gt;"Challan","",H40+I40+J40+K40+L40+M40)</f>
      </c>
      <c r="P40" s="25"/>
      <c r="Q40" s="25"/>
      <c r="R40" s="25"/>
      <c r="S40" s="25"/>
      <c r="T40" s="25"/>
      <c r="U40" s="28"/>
      <c r="V40" s="28"/>
      <c r="W40" s="28"/>
      <c r="X40" s="29">
        <f>IF($B40&lt;&gt;"Entry","",IF(LEN(V40)&lt;4,"",IF(MID(V40,4,1)="P","Individual",IF(MID(V40,4,1)="H","HUF",IF(MID(V40,4,1)="C","Company",IF(MID(V40,4,1)="F","Firm",IF(MID(V40,4,1)="L","LLP",IF(MID(V40,4,1)="T","Trust",IF(MID(V40,4,1)="A","AOP",""))))))))</f>
      </c>
      <c r="Y40" s="28"/>
      <c r="Z40" s="30">
        <f>IF($B40&lt;&gt;"Entry","",IF(Y40="","",IF(W40="Y",SUMPRODUCT(('Rate Lookup'!$A$1:$A$32=Y40)*'Rate Lookup'!$D$1:$D$32),IF(OR(X40="Individual",X40="HUF"),SUMPRODUCT(('Rate Lookup'!$A$1:$A$32=Y40)*'Rate Lookup'!$B$1:$B$32),SUMPRODUCT(('Rate Lookup'!$A$1:$A$32=Y40)*'Rate Lookup'!$C$1:$C$32)))))</f>
      </c>
      <c r="AA40" s="31"/>
      <c r="AB40" s="32"/>
      <c r="AC40" s="27">
        <f>IF($B40&lt;&gt;"Entry","",ROUND(AB40*Z40/100,0))</f>
      </c>
      <c r="AD40" s="27">
        <f>IF($B40&lt;&gt;"Entry","",0)</f>
      </c>
      <c r="AE40" s="27">
        <f>IF($B40&lt;&gt;"Entry","",0)</f>
      </c>
      <c r="AF40" s="27">
        <f>IF($B40&lt;&gt;"Entry","",IF(OR(AC40=0,AA40="",AQ40="",AQ40&lt;=0),0,IF(AQ40&lt;=DATE(YEAR(AA40),MONTH(AA40)+1,7),0,ROUND(AC40*0.015*((YEAR(AQ40)-YEAR(AA40))*12+(MONTH(AQ40)-MONTH(AA40))+1),0))))</f>
      </c>
      <c r="AG40" s="27">
        <f>IF($B40&lt;&gt;"Entry","",0)</f>
      </c>
      <c r="AH40" s="28"/>
      <c r="AI40" s="28"/>
      <c r="AJ40" s="33"/>
      <c r="AK40" s="28"/>
      <c r="AL40" s="28"/>
      <c r="AM40" s="27">
        <f>IF($B40&lt;&gt;"Challan","",SUMIF($D$4:$D$207,D40,$AC$4:$AC$207)+SUMIF($D$4:$D$207,D40,$AF$4:$AF$207)+SUMIF($D$4:$D$207,D40,$AD$4:$AD$207))</f>
      </c>
      <c r="AN40" s="27">
        <f>IF($B40&lt;&gt;"Challan","",O40-M40)</f>
      </c>
      <c r="AO40" s="27">
        <f>IF($B40&lt;&gt;"Challan","",MAX(0,AN40-AM40))</f>
      </c>
      <c r="AP40" s="29">
        <f>IF($B40&lt;&gt;"Challan","",IF(ROUND(AM40-AN40,2)&gt;0,"Over-applied",IF(ROUND(AM40-AN40,2)=0,"Fully Utilised","Unconsumed")))</f>
      </c>
      <c r="AQ40" s="34">
        <f>IF($B40&lt;&gt;"Entry","",SUMPRODUCT(($D$4:$D$207=D40)*($B$4:$B$207="Challan")*$E$4:$E$207))</f>
      </c>
      <c r="AR40" s="35">
        <f>IF(OR($B40&lt;&gt;"Entry",Y40=""),FALSE,AND(SUMPRODUCT(($D$4:$D$207=D40)*($B$4:$B$207="Challan")*($G$4:$G$207&lt;&gt;""))&gt;0,SUMPRODUCT(($D$4:$D$207=D40)*($B$4:$B$207="Challan")*($G$4:$G$207=Y40))=0))</f>
      </c>
    </row>
    <row r="41" spans="1:44" x14ac:dyDescent="0.25">
      <c r="A41" s="21">
        <f>IF($B41="Entry",COUNTIF($B$4:$B41,"Entry"),"")</f>
      </c>
      <c r="B41" s="22"/>
      <c r="C41" s="23"/>
      <c r="D41" s="23"/>
      <c r="E41" s="24"/>
      <c r="F41" s="25"/>
      <c r="G41" s="25"/>
      <c r="H41" s="26"/>
      <c r="I41" s="26"/>
      <c r="J41" s="26"/>
      <c r="K41" s="26"/>
      <c r="L41" s="26"/>
      <c r="M41" s="26"/>
      <c r="N41" s="26"/>
      <c r="O41" s="27">
        <f>IF($B41&lt;&gt;"Challan","",H41+I41+J41+K41+L41+M41)</f>
      </c>
      <c r="P41" s="25"/>
      <c r="Q41" s="25"/>
      <c r="R41" s="25"/>
      <c r="S41" s="25"/>
      <c r="T41" s="25"/>
      <c r="U41" s="28"/>
      <c r="V41" s="28"/>
      <c r="W41" s="28"/>
      <c r="X41" s="29">
        <f>IF($B41&lt;&gt;"Entry","",IF(LEN(V41)&lt;4,"",IF(MID(V41,4,1)="P","Individual",IF(MID(V41,4,1)="H","HUF",IF(MID(V41,4,1)="C","Company",IF(MID(V41,4,1)="F","Firm",IF(MID(V41,4,1)="L","LLP",IF(MID(V41,4,1)="T","Trust",IF(MID(V41,4,1)="A","AOP",""))))))))</f>
      </c>
      <c r="Y41" s="28"/>
      <c r="Z41" s="30">
        <f>IF($B41&lt;&gt;"Entry","",IF(Y41="","",IF(W41="Y",SUMPRODUCT(('Rate Lookup'!$A$1:$A$32=Y41)*'Rate Lookup'!$D$1:$D$32),IF(OR(X41="Individual",X41="HUF"),SUMPRODUCT(('Rate Lookup'!$A$1:$A$32=Y41)*'Rate Lookup'!$B$1:$B$32),SUMPRODUCT(('Rate Lookup'!$A$1:$A$32=Y41)*'Rate Lookup'!$C$1:$C$32)))))</f>
      </c>
      <c r="AA41" s="31"/>
      <c r="AB41" s="32"/>
      <c r="AC41" s="27">
        <f>IF($B41&lt;&gt;"Entry","",ROUND(AB41*Z41/100,0))</f>
      </c>
      <c r="AD41" s="27">
        <f>IF($B41&lt;&gt;"Entry","",0)</f>
      </c>
      <c r="AE41" s="27">
        <f>IF($B41&lt;&gt;"Entry","",0)</f>
      </c>
      <c r="AF41" s="27">
        <f>IF($B41&lt;&gt;"Entry","",IF(OR(AC41=0,AA41="",AQ41="",AQ41&lt;=0),0,IF(AQ41&lt;=DATE(YEAR(AA41),MONTH(AA41)+1,7),0,ROUND(AC41*0.015*((YEAR(AQ41)-YEAR(AA41))*12+(MONTH(AQ41)-MONTH(AA41))+1),0))))</f>
      </c>
      <c r="AG41" s="27">
        <f>IF($B41&lt;&gt;"Entry","",0)</f>
      </c>
      <c r="AH41" s="28"/>
      <c r="AI41" s="28"/>
      <c r="AJ41" s="33"/>
      <c r="AK41" s="28"/>
      <c r="AL41" s="28"/>
      <c r="AM41" s="27">
        <f>IF($B41&lt;&gt;"Challan","",SUMIF($D$4:$D$207,D41,$AC$4:$AC$207)+SUMIF($D$4:$D$207,D41,$AF$4:$AF$207)+SUMIF($D$4:$D$207,D41,$AD$4:$AD$207))</f>
      </c>
      <c r="AN41" s="27">
        <f>IF($B41&lt;&gt;"Challan","",O41-M41)</f>
      </c>
      <c r="AO41" s="27">
        <f>IF($B41&lt;&gt;"Challan","",MAX(0,AN41-AM41))</f>
      </c>
      <c r="AP41" s="29">
        <f>IF($B41&lt;&gt;"Challan","",IF(ROUND(AM41-AN41,2)&gt;0,"Over-applied",IF(ROUND(AM41-AN41,2)=0,"Fully Utilised","Unconsumed")))</f>
      </c>
      <c r="AQ41" s="34">
        <f>IF($B41&lt;&gt;"Entry","",SUMPRODUCT(($D$4:$D$207=D41)*($B$4:$B$207="Challan")*$E$4:$E$207))</f>
      </c>
      <c r="AR41" s="35">
        <f>IF(OR($B41&lt;&gt;"Entry",Y41=""),FALSE,AND(SUMPRODUCT(($D$4:$D$207=D41)*($B$4:$B$207="Challan")*($G$4:$G$207&lt;&gt;""))&gt;0,SUMPRODUCT(($D$4:$D$207=D41)*($B$4:$B$207="Challan")*($G$4:$G$207=Y41))=0))</f>
      </c>
    </row>
    <row r="42" spans="1:44" x14ac:dyDescent="0.25">
      <c r="A42" s="21">
        <f>IF($B42="Entry",COUNTIF($B$4:$B42,"Entry"),"")</f>
      </c>
      <c r="B42" s="22"/>
      <c r="C42" s="23"/>
      <c r="D42" s="23"/>
      <c r="E42" s="24"/>
      <c r="F42" s="25"/>
      <c r="G42" s="25"/>
      <c r="H42" s="26"/>
      <c r="I42" s="26"/>
      <c r="J42" s="26"/>
      <c r="K42" s="26"/>
      <c r="L42" s="26"/>
      <c r="M42" s="26"/>
      <c r="N42" s="26"/>
      <c r="O42" s="27">
        <f>IF($B42&lt;&gt;"Challan","",H42+I42+J42+K42+L42+M42)</f>
      </c>
      <c r="P42" s="25"/>
      <c r="Q42" s="25"/>
      <c r="R42" s="25"/>
      <c r="S42" s="25"/>
      <c r="T42" s="25"/>
      <c r="U42" s="28"/>
      <c r="V42" s="28"/>
      <c r="W42" s="28"/>
      <c r="X42" s="29">
        <f>IF($B42&lt;&gt;"Entry","",IF(LEN(V42)&lt;4,"",IF(MID(V42,4,1)="P","Individual",IF(MID(V42,4,1)="H","HUF",IF(MID(V42,4,1)="C","Company",IF(MID(V42,4,1)="F","Firm",IF(MID(V42,4,1)="L","LLP",IF(MID(V42,4,1)="T","Trust",IF(MID(V42,4,1)="A","AOP",""))))))))</f>
      </c>
      <c r="Y42" s="28"/>
      <c r="Z42" s="30">
        <f>IF($B42&lt;&gt;"Entry","",IF(Y42="","",IF(W42="Y",SUMPRODUCT(('Rate Lookup'!$A$1:$A$32=Y42)*'Rate Lookup'!$D$1:$D$32),IF(OR(X42="Individual",X42="HUF"),SUMPRODUCT(('Rate Lookup'!$A$1:$A$32=Y42)*'Rate Lookup'!$B$1:$B$32),SUMPRODUCT(('Rate Lookup'!$A$1:$A$32=Y42)*'Rate Lookup'!$C$1:$C$32)))))</f>
      </c>
      <c r="AA42" s="31"/>
      <c r="AB42" s="32"/>
      <c r="AC42" s="27">
        <f>IF($B42&lt;&gt;"Entry","",ROUND(AB42*Z42/100,0))</f>
      </c>
      <c r="AD42" s="27">
        <f>IF($B42&lt;&gt;"Entry","",0)</f>
      </c>
      <c r="AE42" s="27">
        <f>IF($B42&lt;&gt;"Entry","",0)</f>
      </c>
      <c r="AF42" s="27">
        <f>IF($B42&lt;&gt;"Entry","",IF(OR(AC42=0,AA42="",AQ42="",AQ42&lt;=0),0,IF(AQ42&lt;=DATE(YEAR(AA42),MONTH(AA42)+1,7),0,ROUND(AC42*0.015*((YEAR(AQ42)-YEAR(AA42))*12+(MONTH(AQ42)-MONTH(AA42))+1),0))))</f>
      </c>
      <c r="AG42" s="27">
        <f>IF($B42&lt;&gt;"Entry","",0)</f>
      </c>
      <c r="AH42" s="28"/>
      <c r="AI42" s="28"/>
      <c r="AJ42" s="33"/>
      <c r="AK42" s="28"/>
      <c r="AL42" s="28"/>
      <c r="AM42" s="27">
        <f>IF($B42&lt;&gt;"Challan","",SUMIF($D$4:$D$207,D42,$AC$4:$AC$207)+SUMIF($D$4:$D$207,D42,$AF$4:$AF$207)+SUMIF($D$4:$D$207,D42,$AD$4:$AD$207))</f>
      </c>
      <c r="AN42" s="27">
        <f>IF($B42&lt;&gt;"Challan","",O42-M42)</f>
      </c>
      <c r="AO42" s="27">
        <f>IF($B42&lt;&gt;"Challan","",MAX(0,AN42-AM42))</f>
      </c>
      <c r="AP42" s="29">
        <f>IF($B42&lt;&gt;"Challan","",IF(ROUND(AM42-AN42,2)&gt;0,"Over-applied",IF(ROUND(AM42-AN42,2)=0,"Fully Utilised","Unconsumed")))</f>
      </c>
      <c r="AQ42" s="34">
        <f>IF($B42&lt;&gt;"Entry","",SUMPRODUCT(($D$4:$D$207=D42)*($B$4:$B$207="Challan")*$E$4:$E$207))</f>
      </c>
      <c r="AR42" s="35">
        <f>IF(OR($B42&lt;&gt;"Entry",Y42=""),FALSE,AND(SUMPRODUCT(($D$4:$D$207=D42)*($B$4:$B$207="Challan")*($G$4:$G$207&lt;&gt;""))&gt;0,SUMPRODUCT(($D$4:$D$207=D42)*($B$4:$B$207="Challan")*($G$4:$G$207=Y42))=0))</f>
      </c>
    </row>
    <row r="43" spans="1:44" x14ac:dyDescent="0.25">
      <c r="A43" s="21">
        <f>IF($B43="Entry",COUNTIF($B$4:$B43,"Entry"),"")</f>
      </c>
      <c r="B43" s="22"/>
      <c r="C43" s="23"/>
      <c r="D43" s="23"/>
      <c r="E43" s="24"/>
      <c r="F43" s="25"/>
      <c r="G43" s="25"/>
      <c r="H43" s="26"/>
      <c r="I43" s="26"/>
      <c r="J43" s="26"/>
      <c r="K43" s="26"/>
      <c r="L43" s="26"/>
      <c r="M43" s="26"/>
      <c r="N43" s="26"/>
      <c r="O43" s="27">
        <f>IF($B43&lt;&gt;"Challan","",H43+I43+J43+K43+L43+M43)</f>
      </c>
      <c r="P43" s="25"/>
      <c r="Q43" s="25"/>
      <c r="R43" s="25"/>
      <c r="S43" s="25"/>
      <c r="T43" s="25"/>
      <c r="U43" s="28"/>
      <c r="V43" s="28"/>
      <c r="W43" s="28"/>
      <c r="X43" s="29">
        <f>IF($B43&lt;&gt;"Entry","",IF(LEN(V43)&lt;4,"",IF(MID(V43,4,1)="P","Individual",IF(MID(V43,4,1)="H","HUF",IF(MID(V43,4,1)="C","Company",IF(MID(V43,4,1)="F","Firm",IF(MID(V43,4,1)="L","LLP",IF(MID(V43,4,1)="T","Trust",IF(MID(V43,4,1)="A","AOP",""))))))))</f>
      </c>
      <c r="Y43" s="28"/>
      <c r="Z43" s="30">
        <f>IF($B43&lt;&gt;"Entry","",IF(Y43="","",IF(W43="Y",SUMPRODUCT(('Rate Lookup'!$A$1:$A$32=Y43)*'Rate Lookup'!$D$1:$D$32),IF(OR(X43="Individual",X43="HUF"),SUMPRODUCT(('Rate Lookup'!$A$1:$A$32=Y43)*'Rate Lookup'!$B$1:$B$32),SUMPRODUCT(('Rate Lookup'!$A$1:$A$32=Y43)*'Rate Lookup'!$C$1:$C$32)))))</f>
      </c>
      <c r="AA43" s="31"/>
      <c r="AB43" s="32"/>
      <c r="AC43" s="27">
        <f>IF($B43&lt;&gt;"Entry","",ROUND(AB43*Z43/100,0))</f>
      </c>
      <c r="AD43" s="27">
        <f>IF($B43&lt;&gt;"Entry","",0)</f>
      </c>
      <c r="AE43" s="27">
        <f>IF($B43&lt;&gt;"Entry","",0)</f>
      </c>
      <c r="AF43" s="27">
        <f>IF($B43&lt;&gt;"Entry","",IF(OR(AC43=0,AA43="",AQ43="",AQ43&lt;=0),0,IF(AQ43&lt;=DATE(YEAR(AA43),MONTH(AA43)+1,7),0,ROUND(AC43*0.015*((YEAR(AQ43)-YEAR(AA43))*12+(MONTH(AQ43)-MONTH(AA43))+1),0))))</f>
      </c>
      <c r="AG43" s="27">
        <f>IF($B43&lt;&gt;"Entry","",0)</f>
      </c>
      <c r="AH43" s="28"/>
      <c r="AI43" s="28"/>
      <c r="AJ43" s="33"/>
      <c r="AK43" s="28"/>
      <c r="AL43" s="28"/>
      <c r="AM43" s="27">
        <f>IF($B43&lt;&gt;"Challan","",SUMIF($D$4:$D$207,D43,$AC$4:$AC$207)+SUMIF($D$4:$D$207,D43,$AF$4:$AF$207)+SUMIF($D$4:$D$207,D43,$AD$4:$AD$207))</f>
      </c>
      <c r="AN43" s="27">
        <f>IF($B43&lt;&gt;"Challan","",O43-M43)</f>
      </c>
      <c r="AO43" s="27">
        <f>IF($B43&lt;&gt;"Challan","",MAX(0,AN43-AM43))</f>
      </c>
      <c r="AP43" s="29">
        <f>IF($B43&lt;&gt;"Challan","",IF(ROUND(AM43-AN43,2)&gt;0,"Over-applied",IF(ROUND(AM43-AN43,2)=0,"Fully Utilised","Unconsumed")))</f>
      </c>
      <c r="AQ43" s="34">
        <f>IF($B43&lt;&gt;"Entry","",SUMPRODUCT(($D$4:$D$207=D43)*($B$4:$B$207="Challan")*$E$4:$E$207))</f>
      </c>
      <c r="AR43" s="35">
        <f>IF(OR($B43&lt;&gt;"Entry",Y43=""),FALSE,AND(SUMPRODUCT(($D$4:$D$207=D43)*($B$4:$B$207="Challan")*($G$4:$G$207&lt;&gt;""))&gt;0,SUMPRODUCT(($D$4:$D$207=D43)*($B$4:$B$207="Challan")*($G$4:$G$207=Y43))=0))</f>
      </c>
    </row>
    <row r="44" spans="1:44" x14ac:dyDescent="0.25">
      <c r="A44" s="21">
        <f>IF($B44="Entry",COUNTIF($B$4:$B44,"Entry"),"")</f>
      </c>
      <c r="B44" s="22"/>
      <c r="C44" s="23"/>
      <c r="D44" s="23"/>
      <c r="E44" s="24"/>
      <c r="F44" s="25"/>
      <c r="G44" s="25"/>
      <c r="H44" s="26"/>
      <c r="I44" s="26"/>
      <c r="J44" s="26"/>
      <c r="K44" s="26"/>
      <c r="L44" s="26"/>
      <c r="M44" s="26"/>
      <c r="N44" s="26"/>
      <c r="O44" s="27">
        <f>IF($B44&lt;&gt;"Challan","",H44+I44+J44+K44+L44+M44)</f>
      </c>
      <c r="P44" s="25"/>
      <c r="Q44" s="25"/>
      <c r="R44" s="25"/>
      <c r="S44" s="25"/>
      <c r="T44" s="25"/>
      <c r="U44" s="28"/>
      <c r="V44" s="28"/>
      <c r="W44" s="28"/>
      <c r="X44" s="29">
        <f>IF($B44&lt;&gt;"Entry","",IF(LEN(V44)&lt;4,"",IF(MID(V44,4,1)="P","Individual",IF(MID(V44,4,1)="H","HUF",IF(MID(V44,4,1)="C","Company",IF(MID(V44,4,1)="F","Firm",IF(MID(V44,4,1)="L","LLP",IF(MID(V44,4,1)="T","Trust",IF(MID(V44,4,1)="A","AOP",""))))))))</f>
      </c>
      <c r="Y44" s="28"/>
      <c r="Z44" s="30">
        <f>IF($B44&lt;&gt;"Entry","",IF(Y44="","",IF(W44="Y",SUMPRODUCT(('Rate Lookup'!$A$1:$A$32=Y44)*'Rate Lookup'!$D$1:$D$32),IF(OR(X44="Individual",X44="HUF"),SUMPRODUCT(('Rate Lookup'!$A$1:$A$32=Y44)*'Rate Lookup'!$B$1:$B$32),SUMPRODUCT(('Rate Lookup'!$A$1:$A$32=Y44)*'Rate Lookup'!$C$1:$C$32)))))</f>
      </c>
      <c r="AA44" s="31"/>
      <c r="AB44" s="32"/>
      <c r="AC44" s="27">
        <f>IF($B44&lt;&gt;"Entry","",ROUND(AB44*Z44/100,0))</f>
      </c>
      <c r="AD44" s="27">
        <f>IF($B44&lt;&gt;"Entry","",0)</f>
      </c>
      <c r="AE44" s="27">
        <f>IF($B44&lt;&gt;"Entry","",0)</f>
      </c>
      <c r="AF44" s="27">
        <f>IF($B44&lt;&gt;"Entry","",IF(OR(AC44=0,AA44="",AQ44="",AQ44&lt;=0),0,IF(AQ44&lt;=DATE(YEAR(AA44),MONTH(AA44)+1,7),0,ROUND(AC44*0.015*((YEAR(AQ44)-YEAR(AA44))*12+(MONTH(AQ44)-MONTH(AA44))+1),0))))</f>
      </c>
      <c r="AG44" s="27">
        <f>IF($B44&lt;&gt;"Entry","",0)</f>
      </c>
      <c r="AH44" s="28"/>
      <c r="AI44" s="28"/>
      <c r="AJ44" s="33"/>
      <c r="AK44" s="28"/>
      <c r="AL44" s="28"/>
      <c r="AM44" s="27">
        <f>IF($B44&lt;&gt;"Challan","",SUMIF($D$4:$D$207,D44,$AC$4:$AC$207)+SUMIF($D$4:$D$207,D44,$AF$4:$AF$207)+SUMIF($D$4:$D$207,D44,$AD$4:$AD$207))</f>
      </c>
      <c r="AN44" s="27">
        <f>IF($B44&lt;&gt;"Challan","",O44-M44)</f>
      </c>
      <c r="AO44" s="27">
        <f>IF($B44&lt;&gt;"Challan","",MAX(0,AN44-AM44))</f>
      </c>
      <c r="AP44" s="29">
        <f>IF($B44&lt;&gt;"Challan","",IF(ROUND(AM44-AN44,2)&gt;0,"Over-applied",IF(ROUND(AM44-AN44,2)=0,"Fully Utilised","Unconsumed")))</f>
      </c>
      <c r="AQ44" s="34">
        <f>IF($B44&lt;&gt;"Entry","",SUMPRODUCT(($D$4:$D$207=D44)*($B$4:$B$207="Challan")*$E$4:$E$207))</f>
      </c>
      <c r="AR44" s="35">
        <f>IF(OR($B44&lt;&gt;"Entry",Y44=""),FALSE,AND(SUMPRODUCT(($D$4:$D$207=D44)*($B$4:$B$207="Challan")*($G$4:$G$207&lt;&gt;""))&gt;0,SUMPRODUCT(($D$4:$D$207=D44)*($B$4:$B$207="Challan")*($G$4:$G$207=Y44))=0))</f>
      </c>
    </row>
    <row r="45" spans="1:44" x14ac:dyDescent="0.25">
      <c r="A45" s="21">
        <f>IF($B45="Entry",COUNTIF($B$4:$B45,"Entry"),"")</f>
      </c>
      <c r="B45" s="22"/>
      <c r="C45" s="23"/>
      <c r="D45" s="23"/>
      <c r="E45" s="24"/>
      <c r="F45" s="25"/>
      <c r="G45" s="25"/>
      <c r="H45" s="26"/>
      <c r="I45" s="26"/>
      <c r="J45" s="26"/>
      <c r="K45" s="26"/>
      <c r="L45" s="26"/>
      <c r="M45" s="26"/>
      <c r="N45" s="26"/>
      <c r="O45" s="27">
        <f>IF($B45&lt;&gt;"Challan","",H45+I45+J45+K45+L45+M45)</f>
      </c>
      <c r="P45" s="25"/>
      <c r="Q45" s="25"/>
      <c r="R45" s="25"/>
      <c r="S45" s="25"/>
      <c r="T45" s="25"/>
      <c r="U45" s="28"/>
      <c r="V45" s="28"/>
      <c r="W45" s="28"/>
      <c r="X45" s="29">
        <f>IF($B45&lt;&gt;"Entry","",IF(LEN(V45)&lt;4,"",IF(MID(V45,4,1)="P","Individual",IF(MID(V45,4,1)="H","HUF",IF(MID(V45,4,1)="C","Company",IF(MID(V45,4,1)="F","Firm",IF(MID(V45,4,1)="L","LLP",IF(MID(V45,4,1)="T","Trust",IF(MID(V45,4,1)="A","AOP",""))))))))</f>
      </c>
      <c r="Y45" s="28"/>
      <c r="Z45" s="30">
        <f>IF($B45&lt;&gt;"Entry","",IF(Y45="","",IF(W45="Y",SUMPRODUCT(('Rate Lookup'!$A$1:$A$32=Y45)*'Rate Lookup'!$D$1:$D$32),IF(OR(X45="Individual",X45="HUF"),SUMPRODUCT(('Rate Lookup'!$A$1:$A$32=Y45)*'Rate Lookup'!$B$1:$B$32),SUMPRODUCT(('Rate Lookup'!$A$1:$A$32=Y45)*'Rate Lookup'!$C$1:$C$32)))))</f>
      </c>
      <c r="AA45" s="31"/>
      <c r="AB45" s="32"/>
      <c r="AC45" s="27">
        <f>IF($B45&lt;&gt;"Entry","",ROUND(AB45*Z45/100,0))</f>
      </c>
      <c r="AD45" s="27">
        <f>IF($B45&lt;&gt;"Entry","",0)</f>
      </c>
      <c r="AE45" s="27">
        <f>IF($B45&lt;&gt;"Entry","",0)</f>
      </c>
      <c r="AF45" s="27">
        <f>IF($B45&lt;&gt;"Entry","",IF(OR(AC45=0,AA45="",AQ45="",AQ45&lt;=0),0,IF(AQ45&lt;=DATE(YEAR(AA45),MONTH(AA45)+1,7),0,ROUND(AC45*0.015*((YEAR(AQ45)-YEAR(AA45))*12+(MONTH(AQ45)-MONTH(AA45))+1),0))))</f>
      </c>
      <c r="AG45" s="27">
        <f>IF($B45&lt;&gt;"Entry","",0)</f>
      </c>
      <c r="AH45" s="28"/>
      <c r="AI45" s="28"/>
      <c r="AJ45" s="33"/>
      <c r="AK45" s="28"/>
      <c r="AL45" s="28"/>
      <c r="AM45" s="27">
        <f>IF($B45&lt;&gt;"Challan","",SUMIF($D$4:$D$207,D45,$AC$4:$AC$207)+SUMIF($D$4:$D$207,D45,$AF$4:$AF$207)+SUMIF($D$4:$D$207,D45,$AD$4:$AD$207))</f>
      </c>
      <c r="AN45" s="27">
        <f>IF($B45&lt;&gt;"Challan","",O45-M45)</f>
      </c>
      <c r="AO45" s="27">
        <f>IF($B45&lt;&gt;"Challan","",MAX(0,AN45-AM45))</f>
      </c>
      <c r="AP45" s="29">
        <f>IF($B45&lt;&gt;"Challan","",IF(ROUND(AM45-AN45,2)&gt;0,"Over-applied",IF(ROUND(AM45-AN45,2)=0,"Fully Utilised","Unconsumed")))</f>
      </c>
      <c r="AQ45" s="34">
        <f>IF($B45&lt;&gt;"Entry","",SUMPRODUCT(($D$4:$D$207=D45)*($B$4:$B$207="Challan")*$E$4:$E$207))</f>
      </c>
      <c r="AR45" s="35">
        <f>IF(OR($B45&lt;&gt;"Entry",Y45=""),FALSE,AND(SUMPRODUCT(($D$4:$D$207=D45)*($B$4:$B$207="Challan")*($G$4:$G$207&lt;&gt;""))&gt;0,SUMPRODUCT(($D$4:$D$207=D45)*($B$4:$B$207="Challan")*($G$4:$G$207=Y45))=0))</f>
      </c>
    </row>
    <row r="46" spans="1:44" x14ac:dyDescent="0.25">
      <c r="A46" s="21">
        <f>IF($B46="Entry",COUNTIF($B$4:$B46,"Entry"),"")</f>
      </c>
      <c r="B46" s="22"/>
      <c r="C46" s="23"/>
      <c r="D46" s="23"/>
      <c r="E46" s="24"/>
      <c r="F46" s="25"/>
      <c r="G46" s="25"/>
      <c r="H46" s="26"/>
      <c r="I46" s="26"/>
      <c r="J46" s="26"/>
      <c r="K46" s="26"/>
      <c r="L46" s="26"/>
      <c r="M46" s="26"/>
      <c r="N46" s="26"/>
      <c r="O46" s="27">
        <f>IF($B46&lt;&gt;"Challan","",H46+I46+J46+K46+L46+M46)</f>
      </c>
      <c r="P46" s="25"/>
      <c r="Q46" s="25"/>
      <c r="R46" s="25"/>
      <c r="S46" s="25"/>
      <c r="T46" s="25"/>
      <c r="U46" s="28"/>
      <c r="V46" s="28"/>
      <c r="W46" s="28"/>
      <c r="X46" s="29">
        <f>IF($B46&lt;&gt;"Entry","",IF(LEN(V46)&lt;4,"",IF(MID(V46,4,1)="P","Individual",IF(MID(V46,4,1)="H","HUF",IF(MID(V46,4,1)="C","Company",IF(MID(V46,4,1)="F","Firm",IF(MID(V46,4,1)="L","LLP",IF(MID(V46,4,1)="T","Trust",IF(MID(V46,4,1)="A","AOP",""))))))))</f>
      </c>
      <c r="Y46" s="28"/>
      <c r="Z46" s="30">
        <f>IF($B46&lt;&gt;"Entry","",IF(Y46="","",IF(W46="Y",SUMPRODUCT(('Rate Lookup'!$A$1:$A$32=Y46)*'Rate Lookup'!$D$1:$D$32),IF(OR(X46="Individual",X46="HUF"),SUMPRODUCT(('Rate Lookup'!$A$1:$A$32=Y46)*'Rate Lookup'!$B$1:$B$32),SUMPRODUCT(('Rate Lookup'!$A$1:$A$32=Y46)*'Rate Lookup'!$C$1:$C$32)))))</f>
      </c>
      <c r="AA46" s="31"/>
      <c r="AB46" s="32"/>
      <c r="AC46" s="27">
        <f>IF($B46&lt;&gt;"Entry","",ROUND(AB46*Z46/100,0))</f>
      </c>
      <c r="AD46" s="27">
        <f>IF($B46&lt;&gt;"Entry","",0)</f>
      </c>
      <c r="AE46" s="27">
        <f>IF($B46&lt;&gt;"Entry","",0)</f>
      </c>
      <c r="AF46" s="27">
        <f>IF($B46&lt;&gt;"Entry","",IF(OR(AC46=0,AA46="",AQ46="",AQ46&lt;=0),0,IF(AQ46&lt;=DATE(YEAR(AA46),MONTH(AA46)+1,7),0,ROUND(AC46*0.015*((YEAR(AQ46)-YEAR(AA46))*12+(MONTH(AQ46)-MONTH(AA46))+1),0))))</f>
      </c>
      <c r="AG46" s="27">
        <f>IF($B46&lt;&gt;"Entry","",0)</f>
      </c>
      <c r="AH46" s="28"/>
      <c r="AI46" s="28"/>
      <c r="AJ46" s="33"/>
      <c r="AK46" s="28"/>
      <c r="AL46" s="28"/>
      <c r="AM46" s="27">
        <f>IF($B46&lt;&gt;"Challan","",SUMIF($D$4:$D$207,D46,$AC$4:$AC$207)+SUMIF($D$4:$D$207,D46,$AF$4:$AF$207)+SUMIF($D$4:$D$207,D46,$AD$4:$AD$207))</f>
      </c>
      <c r="AN46" s="27">
        <f>IF($B46&lt;&gt;"Challan","",O46-M46)</f>
      </c>
      <c r="AO46" s="27">
        <f>IF($B46&lt;&gt;"Challan","",MAX(0,AN46-AM46))</f>
      </c>
      <c r="AP46" s="29">
        <f>IF($B46&lt;&gt;"Challan","",IF(ROUND(AM46-AN46,2)&gt;0,"Over-applied",IF(ROUND(AM46-AN46,2)=0,"Fully Utilised","Unconsumed")))</f>
      </c>
      <c r="AQ46" s="34">
        <f>IF($B46&lt;&gt;"Entry","",SUMPRODUCT(($D$4:$D$207=D46)*($B$4:$B$207="Challan")*$E$4:$E$207))</f>
      </c>
      <c r="AR46" s="35">
        <f>IF(OR($B46&lt;&gt;"Entry",Y46=""),FALSE,AND(SUMPRODUCT(($D$4:$D$207=D46)*($B$4:$B$207="Challan")*($G$4:$G$207&lt;&gt;""))&gt;0,SUMPRODUCT(($D$4:$D$207=D46)*($B$4:$B$207="Challan")*($G$4:$G$207=Y46))=0))</f>
      </c>
    </row>
    <row r="47" spans="1:44" x14ac:dyDescent="0.25">
      <c r="A47" s="21">
        <f>IF($B47="Entry",COUNTIF($B$4:$B47,"Entry"),"")</f>
      </c>
      <c r="B47" s="22"/>
      <c r="C47" s="23"/>
      <c r="D47" s="23"/>
      <c r="E47" s="24"/>
      <c r="F47" s="25"/>
      <c r="G47" s="25"/>
      <c r="H47" s="26"/>
      <c r="I47" s="26"/>
      <c r="J47" s="26"/>
      <c r="K47" s="26"/>
      <c r="L47" s="26"/>
      <c r="M47" s="26"/>
      <c r="N47" s="26"/>
      <c r="O47" s="27">
        <f>IF($B47&lt;&gt;"Challan","",H47+I47+J47+K47+L47+M47)</f>
      </c>
      <c r="P47" s="25"/>
      <c r="Q47" s="25"/>
      <c r="R47" s="25"/>
      <c r="S47" s="25"/>
      <c r="T47" s="25"/>
      <c r="U47" s="28"/>
      <c r="V47" s="28"/>
      <c r="W47" s="28"/>
      <c r="X47" s="29">
        <f>IF($B47&lt;&gt;"Entry","",IF(LEN(V47)&lt;4,"",IF(MID(V47,4,1)="P","Individual",IF(MID(V47,4,1)="H","HUF",IF(MID(V47,4,1)="C","Company",IF(MID(V47,4,1)="F","Firm",IF(MID(V47,4,1)="L","LLP",IF(MID(V47,4,1)="T","Trust",IF(MID(V47,4,1)="A","AOP",""))))))))</f>
      </c>
      <c r="Y47" s="28"/>
      <c r="Z47" s="30">
        <f>IF($B47&lt;&gt;"Entry","",IF(Y47="","",IF(W47="Y",SUMPRODUCT(('Rate Lookup'!$A$1:$A$32=Y47)*'Rate Lookup'!$D$1:$D$32),IF(OR(X47="Individual",X47="HUF"),SUMPRODUCT(('Rate Lookup'!$A$1:$A$32=Y47)*'Rate Lookup'!$B$1:$B$32),SUMPRODUCT(('Rate Lookup'!$A$1:$A$32=Y47)*'Rate Lookup'!$C$1:$C$32)))))</f>
      </c>
      <c r="AA47" s="31"/>
      <c r="AB47" s="32"/>
      <c r="AC47" s="27">
        <f>IF($B47&lt;&gt;"Entry","",ROUND(AB47*Z47/100,0))</f>
      </c>
      <c r="AD47" s="27">
        <f>IF($B47&lt;&gt;"Entry","",0)</f>
      </c>
      <c r="AE47" s="27">
        <f>IF($B47&lt;&gt;"Entry","",0)</f>
      </c>
      <c r="AF47" s="27">
        <f>IF($B47&lt;&gt;"Entry","",IF(OR(AC47=0,AA47="",AQ47="",AQ47&lt;=0),0,IF(AQ47&lt;=DATE(YEAR(AA47),MONTH(AA47)+1,7),0,ROUND(AC47*0.015*((YEAR(AQ47)-YEAR(AA47))*12+(MONTH(AQ47)-MONTH(AA47))+1),0))))</f>
      </c>
      <c r="AG47" s="27">
        <f>IF($B47&lt;&gt;"Entry","",0)</f>
      </c>
      <c r="AH47" s="28"/>
      <c r="AI47" s="28"/>
      <c r="AJ47" s="33"/>
      <c r="AK47" s="28"/>
      <c r="AL47" s="28"/>
      <c r="AM47" s="27">
        <f>IF($B47&lt;&gt;"Challan","",SUMIF($D$4:$D$207,D47,$AC$4:$AC$207)+SUMIF($D$4:$D$207,D47,$AF$4:$AF$207)+SUMIF($D$4:$D$207,D47,$AD$4:$AD$207))</f>
      </c>
      <c r="AN47" s="27">
        <f>IF($B47&lt;&gt;"Challan","",O47-M47)</f>
      </c>
      <c r="AO47" s="27">
        <f>IF($B47&lt;&gt;"Challan","",MAX(0,AN47-AM47))</f>
      </c>
      <c r="AP47" s="29">
        <f>IF($B47&lt;&gt;"Challan","",IF(ROUND(AM47-AN47,2)&gt;0,"Over-applied",IF(ROUND(AM47-AN47,2)=0,"Fully Utilised","Unconsumed")))</f>
      </c>
      <c r="AQ47" s="34">
        <f>IF($B47&lt;&gt;"Entry","",SUMPRODUCT(($D$4:$D$207=D47)*($B$4:$B$207="Challan")*$E$4:$E$207))</f>
      </c>
      <c r="AR47" s="35">
        <f>IF(OR($B47&lt;&gt;"Entry",Y47=""),FALSE,AND(SUMPRODUCT(($D$4:$D$207=D47)*($B$4:$B$207="Challan")*($G$4:$G$207&lt;&gt;""))&gt;0,SUMPRODUCT(($D$4:$D$207=D47)*($B$4:$B$207="Challan")*($G$4:$G$207=Y47))=0))</f>
      </c>
    </row>
    <row r="48" spans="1:44" x14ac:dyDescent="0.25">
      <c r="A48" s="21">
        <f>IF($B48="Entry",COUNTIF($B$4:$B48,"Entry"),"")</f>
      </c>
      <c r="B48" s="22"/>
      <c r="C48" s="23"/>
      <c r="D48" s="23"/>
      <c r="E48" s="24"/>
      <c r="F48" s="25"/>
      <c r="G48" s="25"/>
      <c r="H48" s="26"/>
      <c r="I48" s="26"/>
      <c r="J48" s="26"/>
      <c r="K48" s="26"/>
      <c r="L48" s="26"/>
      <c r="M48" s="26"/>
      <c r="N48" s="26"/>
      <c r="O48" s="27">
        <f>IF($B48&lt;&gt;"Challan","",H48+I48+J48+K48+L48+M48)</f>
      </c>
      <c r="P48" s="25"/>
      <c r="Q48" s="25"/>
      <c r="R48" s="25"/>
      <c r="S48" s="25"/>
      <c r="T48" s="25"/>
      <c r="U48" s="28"/>
      <c r="V48" s="28"/>
      <c r="W48" s="28"/>
      <c r="X48" s="29">
        <f>IF($B48&lt;&gt;"Entry","",IF(LEN(V48)&lt;4,"",IF(MID(V48,4,1)="P","Individual",IF(MID(V48,4,1)="H","HUF",IF(MID(V48,4,1)="C","Company",IF(MID(V48,4,1)="F","Firm",IF(MID(V48,4,1)="L","LLP",IF(MID(V48,4,1)="T","Trust",IF(MID(V48,4,1)="A","AOP",""))))))))</f>
      </c>
      <c r="Y48" s="28"/>
      <c r="Z48" s="30">
        <f>IF($B48&lt;&gt;"Entry","",IF(Y48="","",IF(W48="Y",SUMPRODUCT(('Rate Lookup'!$A$1:$A$32=Y48)*'Rate Lookup'!$D$1:$D$32),IF(OR(X48="Individual",X48="HUF"),SUMPRODUCT(('Rate Lookup'!$A$1:$A$32=Y48)*'Rate Lookup'!$B$1:$B$32),SUMPRODUCT(('Rate Lookup'!$A$1:$A$32=Y48)*'Rate Lookup'!$C$1:$C$32)))))</f>
      </c>
      <c r="AA48" s="31"/>
      <c r="AB48" s="32"/>
      <c r="AC48" s="27">
        <f>IF($B48&lt;&gt;"Entry","",ROUND(AB48*Z48/100,0))</f>
      </c>
      <c r="AD48" s="27">
        <f>IF($B48&lt;&gt;"Entry","",0)</f>
      </c>
      <c r="AE48" s="27">
        <f>IF($B48&lt;&gt;"Entry","",0)</f>
      </c>
      <c r="AF48" s="27">
        <f>IF($B48&lt;&gt;"Entry","",IF(OR(AC48=0,AA48="",AQ48="",AQ48&lt;=0),0,IF(AQ48&lt;=DATE(YEAR(AA48),MONTH(AA48)+1,7),0,ROUND(AC48*0.015*((YEAR(AQ48)-YEAR(AA48))*12+(MONTH(AQ48)-MONTH(AA48))+1),0))))</f>
      </c>
      <c r="AG48" s="27">
        <f>IF($B48&lt;&gt;"Entry","",0)</f>
      </c>
      <c r="AH48" s="28"/>
      <c r="AI48" s="28"/>
      <c r="AJ48" s="33"/>
      <c r="AK48" s="28"/>
      <c r="AL48" s="28"/>
      <c r="AM48" s="27">
        <f>IF($B48&lt;&gt;"Challan","",SUMIF($D$4:$D$207,D48,$AC$4:$AC$207)+SUMIF($D$4:$D$207,D48,$AF$4:$AF$207)+SUMIF($D$4:$D$207,D48,$AD$4:$AD$207))</f>
      </c>
      <c r="AN48" s="27">
        <f>IF($B48&lt;&gt;"Challan","",O48-M48)</f>
      </c>
      <c r="AO48" s="27">
        <f>IF($B48&lt;&gt;"Challan","",MAX(0,AN48-AM48))</f>
      </c>
      <c r="AP48" s="29">
        <f>IF($B48&lt;&gt;"Challan","",IF(ROUND(AM48-AN48,2)&gt;0,"Over-applied",IF(ROUND(AM48-AN48,2)=0,"Fully Utilised","Unconsumed")))</f>
      </c>
      <c r="AQ48" s="34">
        <f>IF($B48&lt;&gt;"Entry","",SUMPRODUCT(($D$4:$D$207=D48)*($B$4:$B$207="Challan")*$E$4:$E$207))</f>
      </c>
      <c r="AR48" s="35">
        <f>IF(OR($B48&lt;&gt;"Entry",Y48=""),FALSE,AND(SUMPRODUCT(($D$4:$D$207=D48)*($B$4:$B$207="Challan")*($G$4:$G$207&lt;&gt;""))&gt;0,SUMPRODUCT(($D$4:$D$207=D48)*($B$4:$B$207="Challan")*($G$4:$G$207=Y48))=0))</f>
      </c>
    </row>
    <row r="49" spans="1:44" x14ac:dyDescent="0.25">
      <c r="A49" s="21">
        <f>IF($B49="Entry",COUNTIF($B$4:$B49,"Entry"),"")</f>
      </c>
      <c r="B49" s="22"/>
      <c r="C49" s="23"/>
      <c r="D49" s="23"/>
      <c r="E49" s="24"/>
      <c r="F49" s="25"/>
      <c r="G49" s="25"/>
      <c r="H49" s="26"/>
      <c r="I49" s="26"/>
      <c r="J49" s="26"/>
      <c r="K49" s="26"/>
      <c r="L49" s="26"/>
      <c r="M49" s="26"/>
      <c r="N49" s="26"/>
      <c r="O49" s="27">
        <f>IF($B49&lt;&gt;"Challan","",H49+I49+J49+K49+L49+M49)</f>
      </c>
      <c r="P49" s="25"/>
      <c r="Q49" s="25"/>
      <c r="R49" s="25"/>
      <c r="S49" s="25"/>
      <c r="T49" s="25"/>
      <c r="U49" s="28"/>
      <c r="V49" s="28"/>
      <c r="W49" s="28"/>
      <c r="X49" s="29">
        <f>IF($B49&lt;&gt;"Entry","",IF(LEN(V49)&lt;4,"",IF(MID(V49,4,1)="P","Individual",IF(MID(V49,4,1)="H","HUF",IF(MID(V49,4,1)="C","Company",IF(MID(V49,4,1)="F","Firm",IF(MID(V49,4,1)="L","LLP",IF(MID(V49,4,1)="T","Trust",IF(MID(V49,4,1)="A","AOP",""))))))))</f>
      </c>
      <c r="Y49" s="28"/>
      <c r="Z49" s="30">
        <f>IF($B49&lt;&gt;"Entry","",IF(Y49="","",IF(W49="Y",SUMPRODUCT(('Rate Lookup'!$A$1:$A$32=Y49)*'Rate Lookup'!$D$1:$D$32),IF(OR(X49="Individual",X49="HUF"),SUMPRODUCT(('Rate Lookup'!$A$1:$A$32=Y49)*'Rate Lookup'!$B$1:$B$32),SUMPRODUCT(('Rate Lookup'!$A$1:$A$32=Y49)*'Rate Lookup'!$C$1:$C$32)))))</f>
      </c>
      <c r="AA49" s="31"/>
      <c r="AB49" s="32"/>
      <c r="AC49" s="27">
        <f>IF($B49&lt;&gt;"Entry","",ROUND(AB49*Z49/100,0))</f>
      </c>
      <c r="AD49" s="27">
        <f>IF($B49&lt;&gt;"Entry","",0)</f>
      </c>
      <c r="AE49" s="27">
        <f>IF($B49&lt;&gt;"Entry","",0)</f>
      </c>
      <c r="AF49" s="27">
        <f>IF($B49&lt;&gt;"Entry","",IF(OR(AC49=0,AA49="",AQ49="",AQ49&lt;=0),0,IF(AQ49&lt;=DATE(YEAR(AA49),MONTH(AA49)+1,7),0,ROUND(AC49*0.015*((YEAR(AQ49)-YEAR(AA49))*12+(MONTH(AQ49)-MONTH(AA49))+1),0))))</f>
      </c>
      <c r="AG49" s="27">
        <f>IF($B49&lt;&gt;"Entry","",0)</f>
      </c>
      <c r="AH49" s="28"/>
      <c r="AI49" s="28"/>
      <c r="AJ49" s="33"/>
      <c r="AK49" s="28"/>
      <c r="AL49" s="28"/>
      <c r="AM49" s="27">
        <f>IF($B49&lt;&gt;"Challan","",SUMIF($D$4:$D$207,D49,$AC$4:$AC$207)+SUMIF($D$4:$D$207,D49,$AF$4:$AF$207)+SUMIF($D$4:$D$207,D49,$AD$4:$AD$207))</f>
      </c>
      <c r="AN49" s="27">
        <f>IF($B49&lt;&gt;"Challan","",O49-M49)</f>
      </c>
      <c r="AO49" s="27">
        <f>IF($B49&lt;&gt;"Challan","",MAX(0,AN49-AM49))</f>
      </c>
      <c r="AP49" s="29">
        <f>IF($B49&lt;&gt;"Challan","",IF(ROUND(AM49-AN49,2)&gt;0,"Over-applied",IF(ROUND(AM49-AN49,2)=0,"Fully Utilised","Unconsumed")))</f>
      </c>
      <c r="AQ49" s="34">
        <f>IF($B49&lt;&gt;"Entry","",SUMPRODUCT(($D$4:$D$207=D49)*($B$4:$B$207="Challan")*$E$4:$E$207))</f>
      </c>
      <c r="AR49" s="35">
        <f>IF(OR($B49&lt;&gt;"Entry",Y49=""),FALSE,AND(SUMPRODUCT(($D$4:$D$207=D49)*($B$4:$B$207="Challan")*($G$4:$G$207&lt;&gt;""))&gt;0,SUMPRODUCT(($D$4:$D$207=D49)*($B$4:$B$207="Challan")*($G$4:$G$207=Y49))=0))</f>
      </c>
    </row>
    <row r="50" spans="1:44" x14ac:dyDescent="0.25">
      <c r="A50" s="21">
        <f>IF($B50="Entry",COUNTIF($B$4:$B50,"Entry"),"")</f>
      </c>
      <c r="B50" s="22"/>
      <c r="C50" s="23"/>
      <c r="D50" s="23"/>
      <c r="E50" s="24"/>
      <c r="F50" s="25"/>
      <c r="G50" s="25"/>
      <c r="H50" s="26"/>
      <c r="I50" s="26"/>
      <c r="J50" s="26"/>
      <c r="K50" s="26"/>
      <c r="L50" s="26"/>
      <c r="M50" s="26"/>
      <c r="N50" s="26"/>
      <c r="O50" s="27">
        <f>IF($B50&lt;&gt;"Challan","",H50+I50+J50+K50+L50+M50)</f>
      </c>
      <c r="P50" s="25"/>
      <c r="Q50" s="25"/>
      <c r="R50" s="25"/>
      <c r="S50" s="25"/>
      <c r="T50" s="25"/>
      <c r="U50" s="28"/>
      <c r="V50" s="28"/>
      <c r="W50" s="28"/>
      <c r="X50" s="29">
        <f>IF($B50&lt;&gt;"Entry","",IF(LEN(V50)&lt;4,"",IF(MID(V50,4,1)="P","Individual",IF(MID(V50,4,1)="H","HUF",IF(MID(V50,4,1)="C","Company",IF(MID(V50,4,1)="F","Firm",IF(MID(V50,4,1)="L","LLP",IF(MID(V50,4,1)="T","Trust",IF(MID(V50,4,1)="A","AOP",""))))))))</f>
      </c>
      <c r="Y50" s="28"/>
      <c r="Z50" s="30">
        <f>IF($B50&lt;&gt;"Entry","",IF(Y50="","",IF(W50="Y",SUMPRODUCT(('Rate Lookup'!$A$1:$A$32=Y50)*'Rate Lookup'!$D$1:$D$32),IF(OR(X50="Individual",X50="HUF"),SUMPRODUCT(('Rate Lookup'!$A$1:$A$32=Y50)*'Rate Lookup'!$B$1:$B$32),SUMPRODUCT(('Rate Lookup'!$A$1:$A$32=Y50)*'Rate Lookup'!$C$1:$C$32)))))</f>
      </c>
      <c r="AA50" s="31"/>
      <c r="AB50" s="32"/>
      <c r="AC50" s="27">
        <f>IF($B50&lt;&gt;"Entry","",ROUND(AB50*Z50/100,0))</f>
      </c>
      <c r="AD50" s="27">
        <f>IF($B50&lt;&gt;"Entry","",0)</f>
      </c>
      <c r="AE50" s="27">
        <f>IF($B50&lt;&gt;"Entry","",0)</f>
      </c>
      <c r="AF50" s="27">
        <f>IF($B50&lt;&gt;"Entry","",IF(OR(AC50=0,AA50="",AQ50="",AQ50&lt;=0),0,IF(AQ50&lt;=DATE(YEAR(AA50),MONTH(AA50)+1,7),0,ROUND(AC50*0.015*((YEAR(AQ50)-YEAR(AA50))*12+(MONTH(AQ50)-MONTH(AA50))+1),0))))</f>
      </c>
      <c r="AG50" s="27">
        <f>IF($B50&lt;&gt;"Entry","",0)</f>
      </c>
      <c r="AH50" s="28"/>
      <c r="AI50" s="28"/>
      <c r="AJ50" s="33"/>
      <c r="AK50" s="28"/>
      <c r="AL50" s="28"/>
      <c r="AM50" s="27">
        <f>IF($B50&lt;&gt;"Challan","",SUMIF($D$4:$D$207,D50,$AC$4:$AC$207)+SUMIF($D$4:$D$207,D50,$AF$4:$AF$207)+SUMIF($D$4:$D$207,D50,$AD$4:$AD$207))</f>
      </c>
      <c r="AN50" s="27">
        <f>IF($B50&lt;&gt;"Challan","",O50-M50)</f>
      </c>
      <c r="AO50" s="27">
        <f>IF($B50&lt;&gt;"Challan","",MAX(0,AN50-AM50))</f>
      </c>
      <c r="AP50" s="29">
        <f>IF($B50&lt;&gt;"Challan","",IF(ROUND(AM50-AN50,2)&gt;0,"Over-applied",IF(ROUND(AM50-AN50,2)=0,"Fully Utilised","Unconsumed")))</f>
      </c>
      <c r="AQ50" s="34">
        <f>IF($B50&lt;&gt;"Entry","",SUMPRODUCT(($D$4:$D$207=D50)*($B$4:$B$207="Challan")*$E$4:$E$207))</f>
      </c>
      <c r="AR50" s="35">
        <f>IF(OR($B50&lt;&gt;"Entry",Y50=""),FALSE,AND(SUMPRODUCT(($D$4:$D$207=D50)*($B$4:$B$207="Challan")*($G$4:$G$207&lt;&gt;""))&gt;0,SUMPRODUCT(($D$4:$D$207=D50)*($B$4:$B$207="Challan")*($G$4:$G$207=Y50))=0))</f>
      </c>
    </row>
    <row r="51" spans="1:44" x14ac:dyDescent="0.25">
      <c r="A51" s="21">
        <f>IF($B51="Entry",COUNTIF($B$4:$B51,"Entry"),"")</f>
      </c>
      <c r="B51" s="22"/>
      <c r="C51" s="23"/>
      <c r="D51" s="23"/>
      <c r="E51" s="24"/>
      <c r="F51" s="25"/>
      <c r="G51" s="25"/>
      <c r="H51" s="26"/>
      <c r="I51" s="26"/>
      <c r="J51" s="26"/>
      <c r="K51" s="26"/>
      <c r="L51" s="26"/>
      <c r="M51" s="26"/>
      <c r="N51" s="26"/>
      <c r="O51" s="27">
        <f>IF($B51&lt;&gt;"Challan","",H51+I51+J51+K51+L51+M51)</f>
      </c>
      <c r="P51" s="25"/>
      <c r="Q51" s="25"/>
      <c r="R51" s="25"/>
      <c r="S51" s="25"/>
      <c r="T51" s="25"/>
      <c r="U51" s="28"/>
      <c r="V51" s="28"/>
      <c r="W51" s="28"/>
      <c r="X51" s="29">
        <f>IF($B51&lt;&gt;"Entry","",IF(LEN(V51)&lt;4,"",IF(MID(V51,4,1)="P","Individual",IF(MID(V51,4,1)="H","HUF",IF(MID(V51,4,1)="C","Company",IF(MID(V51,4,1)="F","Firm",IF(MID(V51,4,1)="L","LLP",IF(MID(V51,4,1)="T","Trust",IF(MID(V51,4,1)="A","AOP",""))))))))</f>
      </c>
      <c r="Y51" s="28"/>
      <c r="Z51" s="30">
        <f>IF($B51&lt;&gt;"Entry","",IF(Y51="","",IF(W51="Y",SUMPRODUCT(('Rate Lookup'!$A$1:$A$32=Y51)*'Rate Lookup'!$D$1:$D$32),IF(OR(X51="Individual",X51="HUF"),SUMPRODUCT(('Rate Lookup'!$A$1:$A$32=Y51)*'Rate Lookup'!$B$1:$B$32),SUMPRODUCT(('Rate Lookup'!$A$1:$A$32=Y51)*'Rate Lookup'!$C$1:$C$32)))))</f>
      </c>
      <c r="AA51" s="31"/>
      <c r="AB51" s="32"/>
      <c r="AC51" s="27">
        <f>IF($B51&lt;&gt;"Entry","",ROUND(AB51*Z51/100,0))</f>
      </c>
      <c r="AD51" s="27">
        <f>IF($B51&lt;&gt;"Entry","",0)</f>
      </c>
      <c r="AE51" s="27">
        <f>IF($B51&lt;&gt;"Entry","",0)</f>
      </c>
      <c r="AF51" s="27">
        <f>IF($B51&lt;&gt;"Entry","",IF(OR(AC51=0,AA51="",AQ51="",AQ51&lt;=0),0,IF(AQ51&lt;=DATE(YEAR(AA51),MONTH(AA51)+1,7),0,ROUND(AC51*0.015*((YEAR(AQ51)-YEAR(AA51))*12+(MONTH(AQ51)-MONTH(AA51))+1),0))))</f>
      </c>
      <c r="AG51" s="27">
        <f>IF($B51&lt;&gt;"Entry","",0)</f>
      </c>
      <c r="AH51" s="28"/>
      <c r="AI51" s="28"/>
      <c r="AJ51" s="33"/>
      <c r="AK51" s="28"/>
      <c r="AL51" s="28"/>
      <c r="AM51" s="27">
        <f>IF($B51&lt;&gt;"Challan","",SUMIF($D$4:$D$207,D51,$AC$4:$AC$207)+SUMIF($D$4:$D$207,D51,$AF$4:$AF$207)+SUMIF($D$4:$D$207,D51,$AD$4:$AD$207))</f>
      </c>
      <c r="AN51" s="27">
        <f>IF($B51&lt;&gt;"Challan","",O51-M51)</f>
      </c>
      <c r="AO51" s="27">
        <f>IF($B51&lt;&gt;"Challan","",MAX(0,AN51-AM51))</f>
      </c>
      <c r="AP51" s="29">
        <f>IF($B51&lt;&gt;"Challan","",IF(ROUND(AM51-AN51,2)&gt;0,"Over-applied",IF(ROUND(AM51-AN51,2)=0,"Fully Utilised","Unconsumed")))</f>
      </c>
      <c r="AQ51" s="34">
        <f>IF($B51&lt;&gt;"Entry","",SUMPRODUCT(($D$4:$D$207=D51)*($B$4:$B$207="Challan")*$E$4:$E$207))</f>
      </c>
      <c r="AR51" s="35">
        <f>IF(OR($B51&lt;&gt;"Entry",Y51=""),FALSE,AND(SUMPRODUCT(($D$4:$D$207=D51)*($B$4:$B$207="Challan")*($G$4:$G$207&lt;&gt;""))&gt;0,SUMPRODUCT(($D$4:$D$207=D51)*($B$4:$B$207="Challan")*($G$4:$G$207=Y51))=0))</f>
      </c>
    </row>
    <row r="52" spans="1:44" x14ac:dyDescent="0.25">
      <c r="A52" s="21">
        <f>IF($B52="Entry",COUNTIF($B$4:$B52,"Entry"),"")</f>
      </c>
      <c r="B52" s="22"/>
      <c r="C52" s="23"/>
      <c r="D52" s="23"/>
      <c r="E52" s="24"/>
      <c r="F52" s="25"/>
      <c r="G52" s="25"/>
      <c r="H52" s="26"/>
      <c r="I52" s="26"/>
      <c r="J52" s="26"/>
      <c r="K52" s="26"/>
      <c r="L52" s="26"/>
      <c r="M52" s="26"/>
      <c r="N52" s="26"/>
      <c r="O52" s="27">
        <f>IF($B52&lt;&gt;"Challan","",H52+I52+J52+K52+L52+M52)</f>
      </c>
      <c r="P52" s="25"/>
      <c r="Q52" s="25"/>
      <c r="R52" s="25"/>
      <c r="S52" s="25"/>
      <c r="T52" s="25"/>
      <c r="U52" s="28"/>
      <c r="V52" s="28"/>
      <c r="W52" s="28"/>
      <c r="X52" s="29">
        <f>IF($B52&lt;&gt;"Entry","",IF(LEN(V52)&lt;4,"",IF(MID(V52,4,1)="P","Individual",IF(MID(V52,4,1)="H","HUF",IF(MID(V52,4,1)="C","Company",IF(MID(V52,4,1)="F","Firm",IF(MID(V52,4,1)="L","LLP",IF(MID(V52,4,1)="T","Trust",IF(MID(V52,4,1)="A","AOP",""))))))))</f>
      </c>
      <c r="Y52" s="28"/>
      <c r="Z52" s="30">
        <f>IF($B52&lt;&gt;"Entry","",IF(Y52="","",IF(W52="Y",SUMPRODUCT(('Rate Lookup'!$A$1:$A$32=Y52)*'Rate Lookup'!$D$1:$D$32),IF(OR(X52="Individual",X52="HUF"),SUMPRODUCT(('Rate Lookup'!$A$1:$A$32=Y52)*'Rate Lookup'!$B$1:$B$32),SUMPRODUCT(('Rate Lookup'!$A$1:$A$32=Y52)*'Rate Lookup'!$C$1:$C$32)))))</f>
      </c>
      <c r="AA52" s="31"/>
      <c r="AB52" s="32"/>
      <c r="AC52" s="27">
        <f>IF($B52&lt;&gt;"Entry","",ROUND(AB52*Z52/100,0))</f>
      </c>
      <c r="AD52" s="27">
        <f>IF($B52&lt;&gt;"Entry","",0)</f>
      </c>
      <c r="AE52" s="27">
        <f>IF($B52&lt;&gt;"Entry","",0)</f>
      </c>
      <c r="AF52" s="27">
        <f>IF($B52&lt;&gt;"Entry","",IF(OR(AC52=0,AA52="",AQ52="",AQ52&lt;=0),0,IF(AQ52&lt;=DATE(YEAR(AA52),MONTH(AA52)+1,7),0,ROUND(AC52*0.015*((YEAR(AQ52)-YEAR(AA52))*12+(MONTH(AQ52)-MONTH(AA52))+1),0))))</f>
      </c>
      <c r="AG52" s="27">
        <f>IF($B52&lt;&gt;"Entry","",0)</f>
      </c>
      <c r="AH52" s="28"/>
      <c r="AI52" s="28"/>
      <c r="AJ52" s="33"/>
      <c r="AK52" s="28"/>
      <c r="AL52" s="28"/>
      <c r="AM52" s="27">
        <f>IF($B52&lt;&gt;"Challan","",SUMIF($D$4:$D$207,D52,$AC$4:$AC$207)+SUMIF($D$4:$D$207,D52,$AF$4:$AF$207)+SUMIF($D$4:$D$207,D52,$AD$4:$AD$207))</f>
      </c>
      <c r="AN52" s="27">
        <f>IF($B52&lt;&gt;"Challan","",O52-M52)</f>
      </c>
      <c r="AO52" s="27">
        <f>IF($B52&lt;&gt;"Challan","",MAX(0,AN52-AM52))</f>
      </c>
      <c r="AP52" s="29">
        <f>IF($B52&lt;&gt;"Challan","",IF(ROUND(AM52-AN52,2)&gt;0,"Over-applied",IF(ROUND(AM52-AN52,2)=0,"Fully Utilised","Unconsumed")))</f>
      </c>
      <c r="AQ52" s="34">
        <f>IF($B52&lt;&gt;"Entry","",SUMPRODUCT(($D$4:$D$207=D52)*($B$4:$B$207="Challan")*$E$4:$E$207))</f>
      </c>
      <c r="AR52" s="35">
        <f>IF(OR($B52&lt;&gt;"Entry",Y52=""),FALSE,AND(SUMPRODUCT(($D$4:$D$207=D52)*($B$4:$B$207="Challan")*($G$4:$G$207&lt;&gt;""))&gt;0,SUMPRODUCT(($D$4:$D$207=D52)*($B$4:$B$207="Challan")*($G$4:$G$207=Y52))=0))</f>
      </c>
    </row>
    <row r="53" spans="1:44" x14ac:dyDescent="0.25">
      <c r="A53" s="21">
        <f>IF($B53="Entry",COUNTIF($B$4:$B53,"Entry"),"")</f>
      </c>
      <c r="B53" s="22"/>
      <c r="C53" s="23"/>
      <c r="D53" s="23"/>
      <c r="E53" s="24"/>
      <c r="F53" s="25"/>
      <c r="G53" s="25"/>
      <c r="H53" s="26"/>
      <c r="I53" s="26"/>
      <c r="J53" s="26"/>
      <c r="K53" s="26"/>
      <c r="L53" s="26"/>
      <c r="M53" s="26"/>
      <c r="N53" s="26"/>
      <c r="O53" s="27">
        <f>IF($B53&lt;&gt;"Challan","",H53+I53+J53+K53+L53+M53)</f>
      </c>
      <c r="P53" s="25"/>
      <c r="Q53" s="25"/>
      <c r="R53" s="25"/>
      <c r="S53" s="25"/>
      <c r="T53" s="25"/>
      <c r="U53" s="28"/>
      <c r="V53" s="28"/>
      <c r="W53" s="28"/>
      <c r="X53" s="29">
        <f>IF($B53&lt;&gt;"Entry","",IF(LEN(V53)&lt;4,"",IF(MID(V53,4,1)="P","Individual",IF(MID(V53,4,1)="H","HUF",IF(MID(V53,4,1)="C","Company",IF(MID(V53,4,1)="F","Firm",IF(MID(V53,4,1)="L","LLP",IF(MID(V53,4,1)="T","Trust",IF(MID(V53,4,1)="A","AOP",""))))))))</f>
      </c>
      <c r="Y53" s="28"/>
      <c r="Z53" s="30">
        <f>IF($B53&lt;&gt;"Entry","",IF(Y53="","",IF(W53="Y",SUMPRODUCT(('Rate Lookup'!$A$1:$A$32=Y53)*'Rate Lookup'!$D$1:$D$32),IF(OR(X53="Individual",X53="HUF"),SUMPRODUCT(('Rate Lookup'!$A$1:$A$32=Y53)*'Rate Lookup'!$B$1:$B$32),SUMPRODUCT(('Rate Lookup'!$A$1:$A$32=Y53)*'Rate Lookup'!$C$1:$C$32)))))</f>
      </c>
      <c r="AA53" s="31"/>
      <c r="AB53" s="32"/>
      <c r="AC53" s="27">
        <f>IF($B53&lt;&gt;"Entry","",ROUND(AB53*Z53/100,0))</f>
      </c>
      <c r="AD53" s="27">
        <f>IF($B53&lt;&gt;"Entry","",0)</f>
      </c>
      <c r="AE53" s="27">
        <f>IF($B53&lt;&gt;"Entry","",0)</f>
      </c>
      <c r="AF53" s="27">
        <f>IF($B53&lt;&gt;"Entry","",IF(OR(AC53=0,AA53="",AQ53="",AQ53&lt;=0),0,IF(AQ53&lt;=DATE(YEAR(AA53),MONTH(AA53)+1,7),0,ROUND(AC53*0.015*((YEAR(AQ53)-YEAR(AA53))*12+(MONTH(AQ53)-MONTH(AA53))+1),0))))</f>
      </c>
      <c r="AG53" s="27">
        <f>IF($B53&lt;&gt;"Entry","",0)</f>
      </c>
      <c r="AH53" s="28"/>
      <c r="AI53" s="28"/>
      <c r="AJ53" s="33"/>
      <c r="AK53" s="28"/>
      <c r="AL53" s="28"/>
      <c r="AM53" s="27">
        <f>IF($B53&lt;&gt;"Challan","",SUMIF($D$4:$D$207,D53,$AC$4:$AC$207)+SUMIF($D$4:$D$207,D53,$AF$4:$AF$207)+SUMIF($D$4:$D$207,D53,$AD$4:$AD$207))</f>
      </c>
      <c r="AN53" s="27">
        <f>IF($B53&lt;&gt;"Challan","",O53-M53)</f>
      </c>
      <c r="AO53" s="27">
        <f>IF($B53&lt;&gt;"Challan","",MAX(0,AN53-AM53))</f>
      </c>
      <c r="AP53" s="29">
        <f>IF($B53&lt;&gt;"Challan","",IF(ROUND(AM53-AN53,2)&gt;0,"Over-applied",IF(ROUND(AM53-AN53,2)=0,"Fully Utilised","Unconsumed")))</f>
      </c>
      <c r="AQ53" s="34">
        <f>IF($B53&lt;&gt;"Entry","",SUMPRODUCT(($D$4:$D$207=D53)*($B$4:$B$207="Challan")*$E$4:$E$207))</f>
      </c>
      <c r="AR53" s="35">
        <f>IF(OR($B53&lt;&gt;"Entry",Y53=""),FALSE,AND(SUMPRODUCT(($D$4:$D$207=D53)*($B$4:$B$207="Challan")*($G$4:$G$207&lt;&gt;""))&gt;0,SUMPRODUCT(($D$4:$D$207=D53)*($B$4:$B$207="Challan")*($G$4:$G$207=Y53))=0))</f>
      </c>
    </row>
    <row r="54" spans="1:44" x14ac:dyDescent="0.25">
      <c r="A54" s="21">
        <f>IF($B54="Entry",COUNTIF($B$4:$B54,"Entry"),"")</f>
      </c>
      <c r="B54" s="22"/>
      <c r="C54" s="23"/>
      <c r="D54" s="23"/>
      <c r="E54" s="24"/>
      <c r="F54" s="25"/>
      <c r="G54" s="25"/>
      <c r="H54" s="26"/>
      <c r="I54" s="26"/>
      <c r="J54" s="26"/>
      <c r="K54" s="26"/>
      <c r="L54" s="26"/>
      <c r="M54" s="26"/>
      <c r="N54" s="26"/>
      <c r="O54" s="27">
        <f>IF($B54&lt;&gt;"Challan","",H54+I54+J54+K54+L54+M54)</f>
      </c>
      <c r="P54" s="25"/>
      <c r="Q54" s="25"/>
      <c r="R54" s="25"/>
      <c r="S54" s="25"/>
      <c r="T54" s="25"/>
      <c r="U54" s="28"/>
      <c r="V54" s="28"/>
      <c r="W54" s="28"/>
      <c r="X54" s="29">
        <f>IF($B54&lt;&gt;"Entry","",IF(LEN(V54)&lt;4,"",IF(MID(V54,4,1)="P","Individual",IF(MID(V54,4,1)="H","HUF",IF(MID(V54,4,1)="C","Company",IF(MID(V54,4,1)="F","Firm",IF(MID(V54,4,1)="L","LLP",IF(MID(V54,4,1)="T","Trust",IF(MID(V54,4,1)="A","AOP",""))))))))</f>
      </c>
      <c r="Y54" s="28"/>
      <c r="Z54" s="30">
        <f>IF($B54&lt;&gt;"Entry","",IF(Y54="","",IF(W54="Y",SUMPRODUCT(('Rate Lookup'!$A$1:$A$32=Y54)*'Rate Lookup'!$D$1:$D$32),IF(OR(X54="Individual",X54="HUF"),SUMPRODUCT(('Rate Lookup'!$A$1:$A$32=Y54)*'Rate Lookup'!$B$1:$B$32),SUMPRODUCT(('Rate Lookup'!$A$1:$A$32=Y54)*'Rate Lookup'!$C$1:$C$32)))))</f>
      </c>
      <c r="AA54" s="31"/>
      <c r="AB54" s="32"/>
      <c r="AC54" s="27">
        <f>IF($B54&lt;&gt;"Entry","",ROUND(AB54*Z54/100,0))</f>
      </c>
      <c r="AD54" s="27">
        <f>IF($B54&lt;&gt;"Entry","",0)</f>
      </c>
      <c r="AE54" s="27">
        <f>IF($B54&lt;&gt;"Entry","",0)</f>
      </c>
      <c r="AF54" s="27">
        <f>IF($B54&lt;&gt;"Entry","",IF(OR(AC54=0,AA54="",AQ54="",AQ54&lt;=0),0,IF(AQ54&lt;=DATE(YEAR(AA54),MONTH(AA54)+1,7),0,ROUND(AC54*0.015*((YEAR(AQ54)-YEAR(AA54))*12+(MONTH(AQ54)-MONTH(AA54))+1),0))))</f>
      </c>
      <c r="AG54" s="27">
        <f>IF($B54&lt;&gt;"Entry","",0)</f>
      </c>
      <c r="AH54" s="28"/>
      <c r="AI54" s="28"/>
      <c r="AJ54" s="33"/>
      <c r="AK54" s="28"/>
      <c r="AL54" s="28"/>
      <c r="AM54" s="27">
        <f>IF($B54&lt;&gt;"Challan","",SUMIF($D$4:$D$207,D54,$AC$4:$AC$207)+SUMIF($D$4:$D$207,D54,$AF$4:$AF$207)+SUMIF($D$4:$D$207,D54,$AD$4:$AD$207))</f>
      </c>
      <c r="AN54" s="27">
        <f>IF($B54&lt;&gt;"Challan","",O54-M54)</f>
      </c>
      <c r="AO54" s="27">
        <f>IF($B54&lt;&gt;"Challan","",MAX(0,AN54-AM54))</f>
      </c>
      <c r="AP54" s="29">
        <f>IF($B54&lt;&gt;"Challan","",IF(ROUND(AM54-AN54,2)&gt;0,"Over-applied",IF(ROUND(AM54-AN54,2)=0,"Fully Utilised","Unconsumed")))</f>
      </c>
      <c r="AQ54" s="34">
        <f>IF($B54&lt;&gt;"Entry","",SUMPRODUCT(($D$4:$D$207=D54)*($B$4:$B$207="Challan")*$E$4:$E$207))</f>
      </c>
      <c r="AR54" s="35">
        <f>IF(OR($B54&lt;&gt;"Entry",Y54=""),FALSE,AND(SUMPRODUCT(($D$4:$D$207=D54)*($B$4:$B$207="Challan")*($G$4:$G$207&lt;&gt;""))&gt;0,SUMPRODUCT(($D$4:$D$207=D54)*($B$4:$B$207="Challan")*($G$4:$G$207=Y54))=0))</f>
      </c>
    </row>
    <row r="55" spans="1:44" x14ac:dyDescent="0.25">
      <c r="A55" s="21">
        <f>IF($B55="Entry",COUNTIF($B$4:$B55,"Entry"),"")</f>
      </c>
      <c r="B55" s="22"/>
      <c r="C55" s="23"/>
      <c r="D55" s="23"/>
      <c r="E55" s="24"/>
      <c r="F55" s="25"/>
      <c r="G55" s="25"/>
      <c r="H55" s="26"/>
      <c r="I55" s="26"/>
      <c r="J55" s="26"/>
      <c r="K55" s="26"/>
      <c r="L55" s="26"/>
      <c r="M55" s="26"/>
      <c r="N55" s="26"/>
      <c r="O55" s="27">
        <f>IF($B55&lt;&gt;"Challan","",H55+I55+J55+K55+L55+M55)</f>
      </c>
      <c r="P55" s="25"/>
      <c r="Q55" s="25"/>
      <c r="R55" s="25"/>
      <c r="S55" s="25"/>
      <c r="T55" s="25"/>
      <c r="U55" s="28"/>
      <c r="V55" s="28"/>
      <c r="W55" s="28"/>
      <c r="X55" s="29">
        <f>IF($B55&lt;&gt;"Entry","",IF(LEN(V55)&lt;4,"",IF(MID(V55,4,1)="P","Individual",IF(MID(V55,4,1)="H","HUF",IF(MID(V55,4,1)="C","Company",IF(MID(V55,4,1)="F","Firm",IF(MID(V55,4,1)="L","LLP",IF(MID(V55,4,1)="T","Trust",IF(MID(V55,4,1)="A","AOP",""))))))))</f>
      </c>
      <c r="Y55" s="28"/>
      <c r="Z55" s="30">
        <f>IF($B55&lt;&gt;"Entry","",IF(Y55="","",IF(W55="Y",SUMPRODUCT(('Rate Lookup'!$A$1:$A$32=Y55)*'Rate Lookup'!$D$1:$D$32),IF(OR(X55="Individual",X55="HUF"),SUMPRODUCT(('Rate Lookup'!$A$1:$A$32=Y55)*'Rate Lookup'!$B$1:$B$32),SUMPRODUCT(('Rate Lookup'!$A$1:$A$32=Y55)*'Rate Lookup'!$C$1:$C$32)))))</f>
      </c>
      <c r="AA55" s="31"/>
      <c r="AB55" s="32"/>
      <c r="AC55" s="27">
        <f>IF($B55&lt;&gt;"Entry","",ROUND(AB55*Z55/100,0))</f>
      </c>
      <c r="AD55" s="27">
        <f>IF($B55&lt;&gt;"Entry","",0)</f>
      </c>
      <c r="AE55" s="27">
        <f>IF($B55&lt;&gt;"Entry","",0)</f>
      </c>
      <c r="AF55" s="27">
        <f>IF($B55&lt;&gt;"Entry","",IF(OR(AC55=0,AA55="",AQ55="",AQ55&lt;=0),0,IF(AQ55&lt;=DATE(YEAR(AA55),MONTH(AA55)+1,7),0,ROUND(AC55*0.015*((YEAR(AQ55)-YEAR(AA55))*12+(MONTH(AQ55)-MONTH(AA55))+1),0))))</f>
      </c>
      <c r="AG55" s="27">
        <f>IF($B55&lt;&gt;"Entry","",0)</f>
      </c>
      <c r="AH55" s="28"/>
      <c r="AI55" s="28"/>
      <c r="AJ55" s="33"/>
      <c r="AK55" s="28"/>
      <c r="AL55" s="28"/>
      <c r="AM55" s="27">
        <f>IF($B55&lt;&gt;"Challan","",SUMIF($D$4:$D$207,D55,$AC$4:$AC$207)+SUMIF($D$4:$D$207,D55,$AF$4:$AF$207)+SUMIF($D$4:$D$207,D55,$AD$4:$AD$207))</f>
      </c>
      <c r="AN55" s="27">
        <f>IF($B55&lt;&gt;"Challan","",O55-M55)</f>
      </c>
      <c r="AO55" s="27">
        <f>IF($B55&lt;&gt;"Challan","",MAX(0,AN55-AM55))</f>
      </c>
      <c r="AP55" s="29">
        <f>IF($B55&lt;&gt;"Challan","",IF(ROUND(AM55-AN55,2)&gt;0,"Over-applied",IF(ROUND(AM55-AN55,2)=0,"Fully Utilised","Unconsumed")))</f>
      </c>
      <c r="AQ55" s="34">
        <f>IF($B55&lt;&gt;"Entry","",SUMPRODUCT(($D$4:$D$207=D55)*($B$4:$B$207="Challan")*$E$4:$E$207))</f>
      </c>
      <c r="AR55" s="35">
        <f>IF(OR($B55&lt;&gt;"Entry",Y55=""),FALSE,AND(SUMPRODUCT(($D$4:$D$207=D55)*($B$4:$B$207="Challan")*($G$4:$G$207&lt;&gt;""))&gt;0,SUMPRODUCT(($D$4:$D$207=D55)*($B$4:$B$207="Challan")*($G$4:$G$207=Y55))=0))</f>
      </c>
    </row>
    <row r="56" spans="1:44" x14ac:dyDescent="0.25">
      <c r="A56" s="21">
        <f>IF($B56="Entry",COUNTIF($B$4:$B56,"Entry"),"")</f>
      </c>
      <c r="B56" s="22"/>
      <c r="C56" s="23"/>
      <c r="D56" s="23"/>
      <c r="E56" s="24"/>
      <c r="F56" s="25"/>
      <c r="G56" s="25"/>
      <c r="H56" s="26"/>
      <c r="I56" s="26"/>
      <c r="J56" s="26"/>
      <c r="K56" s="26"/>
      <c r="L56" s="26"/>
      <c r="M56" s="26"/>
      <c r="N56" s="26"/>
      <c r="O56" s="27">
        <f>IF($B56&lt;&gt;"Challan","",H56+I56+J56+K56+L56+M56)</f>
      </c>
      <c r="P56" s="25"/>
      <c r="Q56" s="25"/>
      <c r="R56" s="25"/>
      <c r="S56" s="25"/>
      <c r="T56" s="25"/>
      <c r="U56" s="28"/>
      <c r="V56" s="28"/>
      <c r="W56" s="28"/>
      <c r="X56" s="29">
        <f>IF($B56&lt;&gt;"Entry","",IF(LEN(V56)&lt;4,"",IF(MID(V56,4,1)="P","Individual",IF(MID(V56,4,1)="H","HUF",IF(MID(V56,4,1)="C","Company",IF(MID(V56,4,1)="F","Firm",IF(MID(V56,4,1)="L","LLP",IF(MID(V56,4,1)="T","Trust",IF(MID(V56,4,1)="A","AOP",""))))))))</f>
      </c>
      <c r="Y56" s="28"/>
      <c r="Z56" s="30">
        <f>IF($B56&lt;&gt;"Entry","",IF(Y56="","",IF(W56="Y",SUMPRODUCT(('Rate Lookup'!$A$1:$A$32=Y56)*'Rate Lookup'!$D$1:$D$32),IF(OR(X56="Individual",X56="HUF"),SUMPRODUCT(('Rate Lookup'!$A$1:$A$32=Y56)*'Rate Lookup'!$B$1:$B$32),SUMPRODUCT(('Rate Lookup'!$A$1:$A$32=Y56)*'Rate Lookup'!$C$1:$C$32)))))</f>
      </c>
      <c r="AA56" s="31"/>
      <c r="AB56" s="32"/>
      <c r="AC56" s="27">
        <f>IF($B56&lt;&gt;"Entry","",ROUND(AB56*Z56/100,0))</f>
      </c>
      <c r="AD56" s="27">
        <f>IF($B56&lt;&gt;"Entry","",0)</f>
      </c>
      <c r="AE56" s="27">
        <f>IF($B56&lt;&gt;"Entry","",0)</f>
      </c>
      <c r="AF56" s="27">
        <f>IF($B56&lt;&gt;"Entry","",IF(OR(AC56=0,AA56="",AQ56="",AQ56&lt;=0),0,IF(AQ56&lt;=DATE(YEAR(AA56),MONTH(AA56)+1,7),0,ROUND(AC56*0.015*((YEAR(AQ56)-YEAR(AA56))*12+(MONTH(AQ56)-MONTH(AA56))+1),0))))</f>
      </c>
      <c r="AG56" s="27">
        <f>IF($B56&lt;&gt;"Entry","",0)</f>
      </c>
      <c r="AH56" s="28"/>
      <c r="AI56" s="28"/>
      <c r="AJ56" s="33"/>
      <c r="AK56" s="28"/>
      <c r="AL56" s="28"/>
      <c r="AM56" s="27">
        <f>IF($B56&lt;&gt;"Challan","",SUMIF($D$4:$D$207,D56,$AC$4:$AC$207)+SUMIF($D$4:$D$207,D56,$AF$4:$AF$207)+SUMIF($D$4:$D$207,D56,$AD$4:$AD$207))</f>
      </c>
      <c r="AN56" s="27">
        <f>IF($B56&lt;&gt;"Challan","",O56-M56)</f>
      </c>
      <c r="AO56" s="27">
        <f>IF($B56&lt;&gt;"Challan","",MAX(0,AN56-AM56))</f>
      </c>
      <c r="AP56" s="29">
        <f>IF($B56&lt;&gt;"Challan","",IF(ROUND(AM56-AN56,2)&gt;0,"Over-applied",IF(ROUND(AM56-AN56,2)=0,"Fully Utilised","Unconsumed")))</f>
      </c>
      <c r="AQ56" s="34">
        <f>IF($B56&lt;&gt;"Entry","",SUMPRODUCT(($D$4:$D$207=D56)*($B$4:$B$207="Challan")*$E$4:$E$207))</f>
      </c>
      <c r="AR56" s="35">
        <f>IF(OR($B56&lt;&gt;"Entry",Y56=""),FALSE,AND(SUMPRODUCT(($D$4:$D$207=D56)*($B$4:$B$207="Challan")*($G$4:$G$207&lt;&gt;""))&gt;0,SUMPRODUCT(($D$4:$D$207=D56)*($B$4:$B$207="Challan")*($G$4:$G$207=Y56))=0))</f>
      </c>
    </row>
    <row r="57" spans="1:44" x14ac:dyDescent="0.25">
      <c r="A57" s="21">
        <f>IF($B57="Entry",COUNTIF($B$4:$B57,"Entry"),"")</f>
      </c>
      <c r="B57" s="22"/>
      <c r="C57" s="23"/>
      <c r="D57" s="23"/>
      <c r="E57" s="24"/>
      <c r="F57" s="25"/>
      <c r="G57" s="25"/>
      <c r="H57" s="26"/>
      <c r="I57" s="26"/>
      <c r="J57" s="26"/>
      <c r="K57" s="26"/>
      <c r="L57" s="26"/>
      <c r="M57" s="26"/>
      <c r="N57" s="26"/>
      <c r="O57" s="27">
        <f>IF($B57&lt;&gt;"Challan","",H57+I57+J57+K57+L57+M57)</f>
      </c>
      <c r="P57" s="25"/>
      <c r="Q57" s="25"/>
      <c r="R57" s="25"/>
      <c r="S57" s="25"/>
      <c r="T57" s="25"/>
      <c r="U57" s="28"/>
      <c r="V57" s="28"/>
      <c r="W57" s="28"/>
      <c r="X57" s="29">
        <f>IF($B57&lt;&gt;"Entry","",IF(LEN(V57)&lt;4,"",IF(MID(V57,4,1)="P","Individual",IF(MID(V57,4,1)="H","HUF",IF(MID(V57,4,1)="C","Company",IF(MID(V57,4,1)="F","Firm",IF(MID(V57,4,1)="L","LLP",IF(MID(V57,4,1)="T","Trust",IF(MID(V57,4,1)="A","AOP",""))))))))</f>
      </c>
      <c r="Y57" s="28"/>
      <c r="Z57" s="30">
        <f>IF($B57&lt;&gt;"Entry","",IF(Y57="","",IF(W57="Y",SUMPRODUCT(('Rate Lookup'!$A$1:$A$32=Y57)*'Rate Lookup'!$D$1:$D$32),IF(OR(X57="Individual",X57="HUF"),SUMPRODUCT(('Rate Lookup'!$A$1:$A$32=Y57)*'Rate Lookup'!$B$1:$B$32),SUMPRODUCT(('Rate Lookup'!$A$1:$A$32=Y57)*'Rate Lookup'!$C$1:$C$32)))))</f>
      </c>
      <c r="AA57" s="31"/>
      <c r="AB57" s="32"/>
      <c r="AC57" s="27">
        <f>IF($B57&lt;&gt;"Entry","",ROUND(AB57*Z57/100,0))</f>
      </c>
      <c r="AD57" s="27">
        <f>IF($B57&lt;&gt;"Entry","",0)</f>
      </c>
      <c r="AE57" s="27">
        <f>IF($B57&lt;&gt;"Entry","",0)</f>
      </c>
      <c r="AF57" s="27">
        <f>IF($B57&lt;&gt;"Entry","",IF(OR(AC57=0,AA57="",AQ57="",AQ57&lt;=0),0,IF(AQ57&lt;=DATE(YEAR(AA57),MONTH(AA57)+1,7),0,ROUND(AC57*0.015*((YEAR(AQ57)-YEAR(AA57))*12+(MONTH(AQ57)-MONTH(AA57))+1),0))))</f>
      </c>
      <c r="AG57" s="27">
        <f>IF($B57&lt;&gt;"Entry","",0)</f>
      </c>
      <c r="AH57" s="28"/>
      <c r="AI57" s="28"/>
      <c r="AJ57" s="33"/>
      <c r="AK57" s="28"/>
      <c r="AL57" s="28"/>
      <c r="AM57" s="27">
        <f>IF($B57&lt;&gt;"Challan","",SUMIF($D$4:$D$207,D57,$AC$4:$AC$207)+SUMIF($D$4:$D$207,D57,$AF$4:$AF$207)+SUMIF($D$4:$D$207,D57,$AD$4:$AD$207))</f>
      </c>
      <c r="AN57" s="27">
        <f>IF($B57&lt;&gt;"Challan","",O57-M57)</f>
      </c>
      <c r="AO57" s="27">
        <f>IF($B57&lt;&gt;"Challan","",MAX(0,AN57-AM57))</f>
      </c>
      <c r="AP57" s="29">
        <f>IF($B57&lt;&gt;"Challan","",IF(ROUND(AM57-AN57,2)&gt;0,"Over-applied",IF(ROUND(AM57-AN57,2)=0,"Fully Utilised","Unconsumed")))</f>
      </c>
      <c r="AQ57" s="34">
        <f>IF($B57&lt;&gt;"Entry","",SUMPRODUCT(($D$4:$D$207=D57)*($B$4:$B$207="Challan")*$E$4:$E$207))</f>
      </c>
      <c r="AR57" s="35">
        <f>IF(OR($B57&lt;&gt;"Entry",Y57=""),FALSE,AND(SUMPRODUCT(($D$4:$D$207=D57)*($B$4:$B$207="Challan")*($G$4:$G$207&lt;&gt;""))&gt;0,SUMPRODUCT(($D$4:$D$207=D57)*($B$4:$B$207="Challan")*($G$4:$G$207=Y57))=0))</f>
      </c>
    </row>
    <row r="58" spans="1:44" x14ac:dyDescent="0.25">
      <c r="A58" s="21">
        <f>IF($B58="Entry",COUNTIF($B$4:$B58,"Entry"),"")</f>
      </c>
      <c r="B58" s="22"/>
      <c r="C58" s="23"/>
      <c r="D58" s="23"/>
      <c r="E58" s="24"/>
      <c r="F58" s="25"/>
      <c r="G58" s="25"/>
      <c r="H58" s="26"/>
      <c r="I58" s="26"/>
      <c r="J58" s="26"/>
      <c r="K58" s="26"/>
      <c r="L58" s="26"/>
      <c r="M58" s="26"/>
      <c r="N58" s="26"/>
      <c r="O58" s="27">
        <f>IF($B58&lt;&gt;"Challan","",H58+I58+J58+K58+L58+M58)</f>
      </c>
      <c r="P58" s="25"/>
      <c r="Q58" s="25"/>
      <c r="R58" s="25"/>
      <c r="S58" s="25"/>
      <c r="T58" s="25"/>
      <c r="U58" s="28"/>
      <c r="V58" s="28"/>
      <c r="W58" s="28"/>
      <c r="X58" s="29">
        <f>IF($B58&lt;&gt;"Entry","",IF(LEN(V58)&lt;4,"",IF(MID(V58,4,1)="P","Individual",IF(MID(V58,4,1)="H","HUF",IF(MID(V58,4,1)="C","Company",IF(MID(V58,4,1)="F","Firm",IF(MID(V58,4,1)="L","LLP",IF(MID(V58,4,1)="T","Trust",IF(MID(V58,4,1)="A","AOP",""))))))))</f>
      </c>
      <c r="Y58" s="28"/>
      <c r="Z58" s="30">
        <f>IF($B58&lt;&gt;"Entry","",IF(Y58="","",IF(W58="Y",SUMPRODUCT(('Rate Lookup'!$A$1:$A$32=Y58)*'Rate Lookup'!$D$1:$D$32),IF(OR(X58="Individual",X58="HUF"),SUMPRODUCT(('Rate Lookup'!$A$1:$A$32=Y58)*'Rate Lookup'!$B$1:$B$32),SUMPRODUCT(('Rate Lookup'!$A$1:$A$32=Y58)*'Rate Lookup'!$C$1:$C$32)))))</f>
      </c>
      <c r="AA58" s="31"/>
      <c r="AB58" s="32"/>
      <c r="AC58" s="27">
        <f>IF($B58&lt;&gt;"Entry","",ROUND(AB58*Z58/100,0))</f>
      </c>
      <c r="AD58" s="27">
        <f>IF($B58&lt;&gt;"Entry","",0)</f>
      </c>
      <c r="AE58" s="27">
        <f>IF($B58&lt;&gt;"Entry","",0)</f>
      </c>
      <c r="AF58" s="27">
        <f>IF($B58&lt;&gt;"Entry","",IF(OR(AC58=0,AA58="",AQ58="",AQ58&lt;=0),0,IF(AQ58&lt;=DATE(YEAR(AA58),MONTH(AA58)+1,7),0,ROUND(AC58*0.015*((YEAR(AQ58)-YEAR(AA58))*12+(MONTH(AQ58)-MONTH(AA58))+1),0))))</f>
      </c>
      <c r="AG58" s="27">
        <f>IF($B58&lt;&gt;"Entry","",0)</f>
      </c>
      <c r="AH58" s="28"/>
      <c r="AI58" s="28"/>
      <c r="AJ58" s="33"/>
      <c r="AK58" s="28"/>
      <c r="AL58" s="28"/>
      <c r="AM58" s="27">
        <f>IF($B58&lt;&gt;"Challan","",SUMIF($D$4:$D$207,D58,$AC$4:$AC$207)+SUMIF($D$4:$D$207,D58,$AF$4:$AF$207)+SUMIF($D$4:$D$207,D58,$AD$4:$AD$207))</f>
      </c>
      <c r="AN58" s="27">
        <f>IF($B58&lt;&gt;"Challan","",O58-M58)</f>
      </c>
      <c r="AO58" s="27">
        <f>IF($B58&lt;&gt;"Challan","",MAX(0,AN58-AM58))</f>
      </c>
      <c r="AP58" s="29">
        <f>IF($B58&lt;&gt;"Challan","",IF(ROUND(AM58-AN58,2)&gt;0,"Over-applied",IF(ROUND(AM58-AN58,2)=0,"Fully Utilised","Unconsumed")))</f>
      </c>
      <c r="AQ58" s="34">
        <f>IF($B58&lt;&gt;"Entry","",SUMPRODUCT(($D$4:$D$207=D58)*($B$4:$B$207="Challan")*$E$4:$E$207))</f>
      </c>
      <c r="AR58" s="35">
        <f>IF(OR($B58&lt;&gt;"Entry",Y58=""),FALSE,AND(SUMPRODUCT(($D$4:$D$207=D58)*($B$4:$B$207="Challan")*($G$4:$G$207&lt;&gt;""))&gt;0,SUMPRODUCT(($D$4:$D$207=D58)*($B$4:$B$207="Challan")*($G$4:$G$207=Y58))=0))</f>
      </c>
    </row>
    <row r="59" spans="1:44" x14ac:dyDescent="0.25">
      <c r="A59" s="21">
        <f>IF($B59="Entry",COUNTIF($B$4:$B59,"Entry"),"")</f>
      </c>
      <c r="B59" s="22"/>
      <c r="C59" s="23"/>
      <c r="D59" s="23"/>
      <c r="E59" s="24"/>
      <c r="F59" s="25"/>
      <c r="G59" s="25"/>
      <c r="H59" s="26"/>
      <c r="I59" s="26"/>
      <c r="J59" s="26"/>
      <c r="K59" s="26"/>
      <c r="L59" s="26"/>
      <c r="M59" s="26"/>
      <c r="N59" s="26"/>
      <c r="O59" s="27">
        <f>IF($B59&lt;&gt;"Challan","",H59+I59+J59+K59+L59+M59)</f>
      </c>
      <c r="P59" s="25"/>
      <c r="Q59" s="25"/>
      <c r="R59" s="25"/>
      <c r="S59" s="25"/>
      <c r="T59" s="25"/>
      <c r="U59" s="28"/>
      <c r="V59" s="28"/>
      <c r="W59" s="28"/>
      <c r="X59" s="29">
        <f>IF($B59&lt;&gt;"Entry","",IF(LEN(V59)&lt;4,"",IF(MID(V59,4,1)="P","Individual",IF(MID(V59,4,1)="H","HUF",IF(MID(V59,4,1)="C","Company",IF(MID(V59,4,1)="F","Firm",IF(MID(V59,4,1)="L","LLP",IF(MID(V59,4,1)="T","Trust",IF(MID(V59,4,1)="A","AOP",""))))))))</f>
      </c>
      <c r="Y59" s="28"/>
      <c r="Z59" s="30">
        <f>IF($B59&lt;&gt;"Entry","",IF(Y59="","",IF(W59="Y",SUMPRODUCT(('Rate Lookup'!$A$1:$A$32=Y59)*'Rate Lookup'!$D$1:$D$32),IF(OR(X59="Individual",X59="HUF"),SUMPRODUCT(('Rate Lookup'!$A$1:$A$32=Y59)*'Rate Lookup'!$B$1:$B$32),SUMPRODUCT(('Rate Lookup'!$A$1:$A$32=Y59)*'Rate Lookup'!$C$1:$C$32)))))</f>
      </c>
      <c r="AA59" s="31"/>
      <c r="AB59" s="32"/>
      <c r="AC59" s="27">
        <f>IF($B59&lt;&gt;"Entry","",ROUND(AB59*Z59/100,0))</f>
      </c>
      <c r="AD59" s="27">
        <f>IF($B59&lt;&gt;"Entry","",0)</f>
      </c>
      <c r="AE59" s="27">
        <f>IF($B59&lt;&gt;"Entry","",0)</f>
      </c>
      <c r="AF59" s="27">
        <f>IF($B59&lt;&gt;"Entry","",IF(OR(AC59=0,AA59="",AQ59="",AQ59&lt;=0),0,IF(AQ59&lt;=DATE(YEAR(AA59),MONTH(AA59)+1,7),0,ROUND(AC59*0.015*((YEAR(AQ59)-YEAR(AA59))*12+(MONTH(AQ59)-MONTH(AA59))+1),0))))</f>
      </c>
      <c r="AG59" s="27">
        <f>IF($B59&lt;&gt;"Entry","",0)</f>
      </c>
      <c r="AH59" s="28"/>
      <c r="AI59" s="28"/>
      <c r="AJ59" s="33"/>
      <c r="AK59" s="28"/>
      <c r="AL59" s="28"/>
      <c r="AM59" s="27">
        <f>IF($B59&lt;&gt;"Challan","",SUMIF($D$4:$D$207,D59,$AC$4:$AC$207)+SUMIF($D$4:$D$207,D59,$AF$4:$AF$207)+SUMIF($D$4:$D$207,D59,$AD$4:$AD$207))</f>
      </c>
      <c r="AN59" s="27">
        <f>IF($B59&lt;&gt;"Challan","",O59-M59)</f>
      </c>
      <c r="AO59" s="27">
        <f>IF($B59&lt;&gt;"Challan","",MAX(0,AN59-AM59))</f>
      </c>
      <c r="AP59" s="29">
        <f>IF($B59&lt;&gt;"Challan","",IF(ROUND(AM59-AN59,2)&gt;0,"Over-applied",IF(ROUND(AM59-AN59,2)=0,"Fully Utilised","Unconsumed")))</f>
      </c>
      <c r="AQ59" s="34">
        <f>IF($B59&lt;&gt;"Entry","",SUMPRODUCT(($D$4:$D$207=D59)*($B$4:$B$207="Challan")*$E$4:$E$207))</f>
      </c>
      <c r="AR59" s="35">
        <f>IF(OR($B59&lt;&gt;"Entry",Y59=""),FALSE,AND(SUMPRODUCT(($D$4:$D$207=D59)*($B$4:$B$207="Challan")*($G$4:$G$207&lt;&gt;""))&gt;0,SUMPRODUCT(($D$4:$D$207=D59)*($B$4:$B$207="Challan")*($G$4:$G$207=Y59))=0))</f>
      </c>
    </row>
    <row r="60" spans="1:44" x14ac:dyDescent="0.25">
      <c r="A60" s="21">
        <f>IF($B60="Entry",COUNTIF($B$4:$B60,"Entry"),"")</f>
      </c>
      <c r="B60" s="22"/>
      <c r="C60" s="23"/>
      <c r="D60" s="23"/>
      <c r="E60" s="24"/>
      <c r="F60" s="25"/>
      <c r="G60" s="25"/>
      <c r="H60" s="26"/>
      <c r="I60" s="26"/>
      <c r="J60" s="26"/>
      <c r="K60" s="26"/>
      <c r="L60" s="26"/>
      <c r="M60" s="26"/>
      <c r="N60" s="26"/>
      <c r="O60" s="27">
        <f>IF($B60&lt;&gt;"Challan","",H60+I60+J60+K60+L60+M60)</f>
      </c>
      <c r="P60" s="25"/>
      <c r="Q60" s="25"/>
      <c r="R60" s="25"/>
      <c r="S60" s="25"/>
      <c r="T60" s="25"/>
      <c r="U60" s="28"/>
      <c r="V60" s="28"/>
      <c r="W60" s="28"/>
      <c r="X60" s="29">
        <f>IF($B60&lt;&gt;"Entry","",IF(LEN(V60)&lt;4,"",IF(MID(V60,4,1)="P","Individual",IF(MID(V60,4,1)="H","HUF",IF(MID(V60,4,1)="C","Company",IF(MID(V60,4,1)="F","Firm",IF(MID(V60,4,1)="L","LLP",IF(MID(V60,4,1)="T","Trust",IF(MID(V60,4,1)="A","AOP",""))))))))</f>
      </c>
      <c r="Y60" s="28"/>
      <c r="Z60" s="30">
        <f>IF($B60&lt;&gt;"Entry","",IF(Y60="","",IF(W60="Y",SUMPRODUCT(('Rate Lookup'!$A$1:$A$32=Y60)*'Rate Lookup'!$D$1:$D$32),IF(OR(X60="Individual",X60="HUF"),SUMPRODUCT(('Rate Lookup'!$A$1:$A$32=Y60)*'Rate Lookup'!$B$1:$B$32),SUMPRODUCT(('Rate Lookup'!$A$1:$A$32=Y60)*'Rate Lookup'!$C$1:$C$32)))))</f>
      </c>
      <c r="AA60" s="31"/>
      <c r="AB60" s="32"/>
      <c r="AC60" s="27">
        <f>IF($B60&lt;&gt;"Entry","",ROUND(AB60*Z60/100,0))</f>
      </c>
      <c r="AD60" s="27">
        <f>IF($B60&lt;&gt;"Entry","",0)</f>
      </c>
      <c r="AE60" s="27">
        <f>IF($B60&lt;&gt;"Entry","",0)</f>
      </c>
      <c r="AF60" s="27">
        <f>IF($B60&lt;&gt;"Entry","",IF(OR(AC60=0,AA60="",AQ60="",AQ60&lt;=0),0,IF(AQ60&lt;=DATE(YEAR(AA60),MONTH(AA60)+1,7),0,ROUND(AC60*0.015*((YEAR(AQ60)-YEAR(AA60))*12+(MONTH(AQ60)-MONTH(AA60))+1),0))))</f>
      </c>
      <c r="AG60" s="27">
        <f>IF($B60&lt;&gt;"Entry","",0)</f>
      </c>
      <c r="AH60" s="28"/>
      <c r="AI60" s="28"/>
      <c r="AJ60" s="33"/>
      <c r="AK60" s="28"/>
      <c r="AL60" s="28"/>
      <c r="AM60" s="27">
        <f>IF($B60&lt;&gt;"Challan","",SUMIF($D$4:$D$207,D60,$AC$4:$AC$207)+SUMIF($D$4:$D$207,D60,$AF$4:$AF$207)+SUMIF($D$4:$D$207,D60,$AD$4:$AD$207))</f>
      </c>
      <c r="AN60" s="27">
        <f>IF($B60&lt;&gt;"Challan","",O60-M60)</f>
      </c>
      <c r="AO60" s="27">
        <f>IF($B60&lt;&gt;"Challan","",MAX(0,AN60-AM60))</f>
      </c>
      <c r="AP60" s="29">
        <f>IF($B60&lt;&gt;"Challan","",IF(ROUND(AM60-AN60,2)&gt;0,"Over-applied",IF(ROUND(AM60-AN60,2)=0,"Fully Utilised","Unconsumed")))</f>
      </c>
      <c r="AQ60" s="34">
        <f>IF($B60&lt;&gt;"Entry","",SUMPRODUCT(($D$4:$D$207=D60)*($B$4:$B$207="Challan")*$E$4:$E$207))</f>
      </c>
      <c r="AR60" s="35">
        <f>IF(OR($B60&lt;&gt;"Entry",Y60=""),FALSE,AND(SUMPRODUCT(($D$4:$D$207=D60)*($B$4:$B$207="Challan")*($G$4:$G$207&lt;&gt;""))&gt;0,SUMPRODUCT(($D$4:$D$207=D60)*($B$4:$B$207="Challan")*($G$4:$G$207=Y60))=0))</f>
      </c>
    </row>
    <row r="61" spans="1:44" x14ac:dyDescent="0.25">
      <c r="A61" s="21">
        <f>IF($B61="Entry",COUNTIF($B$4:$B61,"Entry"),"")</f>
      </c>
      <c r="B61" s="22"/>
      <c r="C61" s="23"/>
      <c r="D61" s="23"/>
      <c r="E61" s="24"/>
      <c r="F61" s="25"/>
      <c r="G61" s="25"/>
      <c r="H61" s="26"/>
      <c r="I61" s="26"/>
      <c r="J61" s="26"/>
      <c r="K61" s="26"/>
      <c r="L61" s="26"/>
      <c r="M61" s="26"/>
      <c r="N61" s="26"/>
      <c r="O61" s="27">
        <f>IF($B61&lt;&gt;"Challan","",H61+I61+J61+K61+L61+M61)</f>
      </c>
      <c r="P61" s="25"/>
      <c r="Q61" s="25"/>
      <c r="R61" s="25"/>
      <c r="S61" s="25"/>
      <c r="T61" s="25"/>
      <c r="U61" s="28"/>
      <c r="V61" s="28"/>
      <c r="W61" s="28"/>
      <c r="X61" s="29">
        <f>IF($B61&lt;&gt;"Entry","",IF(LEN(V61)&lt;4,"",IF(MID(V61,4,1)="P","Individual",IF(MID(V61,4,1)="H","HUF",IF(MID(V61,4,1)="C","Company",IF(MID(V61,4,1)="F","Firm",IF(MID(V61,4,1)="L","LLP",IF(MID(V61,4,1)="T","Trust",IF(MID(V61,4,1)="A","AOP",""))))))))</f>
      </c>
      <c r="Y61" s="28"/>
      <c r="Z61" s="30">
        <f>IF($B61&lt;&gt;"Entry","",IF(Y61="","",IF(W61="Y",SUMPRODUCT(('Rate Lookup'!$A$1:$A$32=Y61)*'Rate Lookup'!$D$1:$D$32),IF(OR(X61="Individual",X61="HUF"),SUMPRODUCT(('Rate Lookup'!$A$1:$A$32=Y61)*'Rate Lookup'!$B$1:$B$32),SUMPRODUCT(('Rate Lookup'!$A$1:$A$32=Y61)*'Rate Lookup'!$C$1:$C$32)))))</f>
      </c>
      <c r="AA61" s="31"/>
      <c r="AB61" s="32"/>
      <c r="AC61" s="27">
        <f>IF($B61&lt;&gt;"Entry","",ROUND(AB61*Z61/100,0))</f>
      </c>
      <c r="AD61" s="27">
        <f>IF($B61&lt;&gt;"Entry","",0)</f>
      </c>
      <c r="AE61" s="27">
        <f>IF($B61&lt;&gt;"Entry","",0)</f>
      </c>
      <c r="AF61" s="27">
        <f>IF($B61&lt;&gt;"Entry","",IF(OR(AC61=0,AA61="",AQ61="",AQ61&lt;=0),0,IF(AQ61&lt;=DATE(YEAR(AA61),MONTH(AA61)+1,7),0,ROUND(AC61*0.015*((YEAR(AQ61)-YEAR(AA61))*12+(MONTH(AQ61)-MONTH(AA61))+1),0))))</f>
      </c>
      <c r="AG61" s="27">
        <f>IF($B61&lt;&gt;"Entry","",0)</f>
      </c>
      <c r="AH61" s="28"/>
      <c r="AI61" s="28"/>
      <c r="AJ61" s="33"/>
      <c r="AK61" s="28"/>
      <c r="AL61" s="28"/>
      <c r="AM61" s="27">
        <f>IF($B61&lt;&gt;"Challan","",SUMIF($D$4:$D$207,D61,$AC$4:$AC$207)+SUMIF($D$4:$D$207,D61,$AF$4:$AF$207)+SUMIF($D$4:$D$207,D61,$AD$4:$AD$207))</f>
      </c>
      <c r="AN61" s="27">
        <f>IF($B61&lt;&gt;"Challan","",O61-M61)</f>
      </c>
      <c r="AO61" s="27">
        <f>IF($B61&lt;&gt;"Challan","",MAX(0,AN61-AM61))</f>
      </c>
      <c r="AP61" s="29">
        <f>IF($B61&lt;&gt;"Challan","",IF(ROUND(AM61-AN61,2)&gt;0,"Over-applied",IF(ROUND(AM61-AN61,2)=0,"Fully Utilised","Unconsumed")))</f>
      </c>
      <c r="AQ61" s="34">
        <f>IF($B61&lt;&gt;"Entry","",SUMPRODUCT(($D$4:$D$207=D61)*($B$4:$B$207="Challan")*$E$4:$E$207))</f>
      </c>
      <c r="AR61" s="35">
        <f>IF(OR($B61&lt;&gt;"Entry",Y61=""),FALSE,AND(SUMPRODUCT(($D$4:$D$207=D61)*($B$4:$B$207="Challan")*($G$4:$G$207&lt;&gt;""))&gt;0,SUMPRODUCT(($D$4:$D$207=D61)*($B$4:$B$207="Challan")*($G$4:$G$207=Y61))=0))</f>
      </c>
    </row>
    <row r="62" spans="1:44" x14ac:dyDescent="0.25">
      <c r="A62" s="21">
        <f>IF($B62="Entry",COUNTIF($B$4:$B62,"Entry"),"")</f>
      </c>
      <c r="B62" s="22"/>
      <c r="C62" s="23"/>
      <c r="D62" s="23"/>
      <c r="E62" s="24"/>
      <c r="F62" s="25"/>
      <c r="G62" s="25"/>
      <c r="H62" s="26"/>
      <c r="I62" s="26"/>
      <c r="J62" s="26"/>
      <c r="K62" s="26"/>
      <c r="L62" s="26"/>
      <c r="M62" s="26"/>
      <c r="N62" s="26"/>
      <c r="O62" s="27">
        <f>IF($B62&lt;&gt;"Challan","",H62+I62+J62+K62+L62+M62)</f>
      </c>
      <c r="P62" s="25"/>
      <c r="Q62" s="25"/>
      <c r="R62" s="25"/>
      <c r="S62" s="25"/>
      <c r="T62" s="25"/>
      <c r="U62" s="28"/>
      <c r="V62" s="28"/>
      <c r="W62" s="28"/>
      <c r="X62" s="29">
        <f>IF($B62&lt;&gt;"Entry","",IF(LEN(V62)&lt;4,"",IF(MID(V62,4,1)="P","Individual",IF(MID(V62,4,1)="H","HUF",IF(MID(V62,4,1)="C","Company",IF(MID(V62,4,1)="F","Firm",IF(MID(V62,4,1)="L","LLP",IF(MID(V62,4,1)="T","Trust",IF(MID(V62,4,1)="A","AOP",""))))))))</f>
      </c>
      <c r="Y62" s="28"/>
      <c r="Z62" s="30">
        <f>IF($B62&lt;&gt;"Entry","",IF(Y62="","",IF(W62="Y",SUMPRODUCT(('Rate Lookup'!$A$1:$A$32=Y62)*'Rate Lookup'!$D$1:$D$32),IF(OR(X62="Individual",X62="HUF"),SUMPRODUCT(('Rate Lookup'!$A$1:$A$32=Y62)*'Rate Lookup'!$B$1:$B$32),SUMPRODUCT(('Rate Lookup'!$A$1:$A$32=Y62)*'Rate Lookup'!$C$1:$C$32)))))</f>
      </c>
      <c r="AA62" s="31"/>
      <c r="AB62" s="32"/>
      <c r="AC62" s="27">
        <f>IF($B62&lt;&gt;"Entry","",ROUND(AB62*Z62/100,0))</f>
      </c>
      <c r="AD62" s="27">
        <f>IF($B62&lt;&gt;"Entry","",0)</f>
      </c>
      <c r="AE62" s="27">
        <f>IF($B62&lt;&gt;"Entry","",0)</f>
      </c>
      <c r="AF62" s="27">
        <f>IF($B62&lt;&gt;"Entry","",IF(OR(AC62=0,AA62="",AQ62="",AQ62&lt;=0),0,IF(AQ62&lt;=DATE(YEAR(AA62),MONTH(AA62)+1,7),0,ROUND(AC62*0.015*((YEAR(AQ62)-YEAR(AA62))*12+(MONTH(AQ62)-MONTH(AA62))+1),0))))</f>
      </c>
      <c r="AG62" s="27">
        <f>IF($B62&lt;&gt;"Entry","",0)</f>
      </c>
      <c r="AH62" s="28"/>
      <c r="AI62" s="28"/>
      <c r="AJ62" s="33"/>
      <c r="AK62" s="28"/>
      <c r="AL62" s="28"/>
      <c r="AM62" s="27">
        <f>IF($B62&lt;&gt;"Challan","",SUMIF($D$4:$D$207,D62,$AC$4:$AC$207)+SUMIF($D$4:$D$207,D62,$AF$4:$AF$207)+SUMIF($D$4:$D$207,D62,$AD$4:$AD$207))</f>
      </c>
      <c r="AN62" s="27">
        <f>IF($B62&lt;&gt;"Challan","",O62-M62)</f>
      </c>
      <c r="AO62" s="27">
        <f>IF($B62&lt;&gt;"Challan","",MAX(0,AN62-AM62))</f>
      </c>
      <c r="AP62" s="29">
        <f>IF($B62&lt;&gt;"Challan","",IF(ROUND(AM62-AN62,2)&gt;0,"Over-applied",IF(ROUND(AM62-AN62,2)=0,"Fully Utilised","Unconsumed")))</f>
      </c>
      <c r="AQ62" s="34">
        <f>IF($B62&lt;&gt;"Entry","",SUMPRODUCT(($D$4:$D$207=D62)*($B$4:$B$207="Challan")*$E$4:$E$207))</f>
      </c>
      <c r="AR62" s="35">
        <f>IF(OR($B62&lt;&gt;"Entry",Y62=""),FALSE,AND(SUMPRODUCT(($D$4:$D$207=D62)*($B$4:$B$207="Challan")*($G$4:$G$207&lt;&gt;""))&gt;0,SUMPRODUCT(($D$4:$D$207=D62)*($B$4:$B$207="Challan")*($G$4:$G$207=Y62))=0))</f>
      </c>
    </row>
    <row r="63" spans="1:44" x14ac:dyDescent="0.25">
      <c r="A63" s="21">
        <f>IF($B63="Entry",COUNTIF($B$4:$B63,"Entry"),"")</f>
      </c>
      <c r="B63" s="22"/>
      <c r="C63" s="23"/>
      <c r="D63" s="23"/>
      <c r="E63" s="24"/>
      <c r="F63" s="25"/>
      <c r="G63" s="25"/>
      <c r="H63" s="26"/>
      <c r="I63" s="26"/>
      <c r="J63" s="26"/>
      <c r="K63" s="26"/>
      <c r="L63" s="26"/>
      <c r="M63" s="26"/>
      <c r="N63" s="26"/>
      <c r="O63" s="27">
        <f>IF($B63&lt;&gt;"Challan","",H63+I63+J63+K63+L63+M63)</f>
      </c>
      <c r="P63" s="25"/>
      <c r="Q63" s="25"/>
      <c r="R63" s="25"/>
      <c r="S63" s="25"/>
      <c r="T63" s="25"/>
      <c r="U63" s="28"/>
      <c r="V63" s="28"/>
      <c r="W63" s="28"/>
      <c r="X63" s="29">
        <f>IF($B63&lt;&gt;"Entry","",IF(LEN(V63)&lt;4,"",IF(MID(V63,4,1)="P","Individual",IF(MID(V63,4,1)="H","HUF",IF(MID(V63,4,1)="C","Company",IF(MID(V63,4,1)="F","Firm",IF(MID(V63,4,1)="L","LLP",IF(MID(V63,4,1)="T","Trust",IF(MID(V63,4,1)="A","AOP",""))))))))</f>
      </c>
      <c r="Y63" s="28"/>
      <c r="Z63" s="30">
        <f>IF($B63&lt;&gt;"Entry","",IF(Y63="","",IF(W63="Y",SUMPRODUCT(('Rate Lookup'!$A$1:$A$32=Y63)*'Rate Lookup'!$D$1:$D$32),IF(OR(X63="Individual",X63="HUF"),SUMPRODUCT(('Rate Lookup'!$A$1:$A$32=Y63)*'Rate Lookup'!$B$1:$B$32),SUMPRODUCT(('Rate Lookup'!$A$1:$A$32=Y63)*'Rate Lookup'!$C$1:$C$32)))))</f>
      </c>
      <c r="AA63" s="31"/>
      <c r="AB63" s="32"/>
      <c r="AC63" s="27">
        <f>IF($B63&lt;&gt;"Entry","",ROUND(AB63*Z63/100,0))</f>
      </c>
      <c r="AD63" s="27">
        <f>IF($B63&lt;&gt;"Entry","",0)</f>
      </c>
      <c r="AE63" s="27">
        <f>IF($B63&lt;&gt;"Entry","",0)</f>
      </c>
      <c r="AF63" s="27">
        <f>IF($B63&lt;&gt;"Entry","",IF(OR(AC63=0,AA63="",AQ63="",AQ63&lt;=0),0,IF(AQ63&lt;=DATE(YEAR(AA63),MONTH(AA63)+1,7),0,ROUND(AC63*0.015*((YEAR(AQ63)-YEAR(AA63))*12+(MONTH(AQ63)-MONTH(AA63))+1),0))))</f>
      </c>
      <c r="AG63" s="27">
        <f>IF($B63&lt;&gt;"Entry","",0)</f>
      </c>
      <c r="AH63" s="28"/>
      <c r="AI63" s="28"/>
      <c r="AJ63" s="33"/>
      <c r="AK63" s="28"/>
      <c r="AL63" s="28"/>
      <c r="AM63" s="27">
        <f>IF($B63&lt;&gt;"Challan","",SUMIF($D$4:$D$207,D63,$AC$4:$AC$207)+SUMIF($D$4:$D$207,D63,$AF$4:$AF$207)+SUMIF($D$4:$D$207,D63,$AD$4:$AD$207))</f>
      </c>
      <c r="AN63" s="27">
        <f>IF($B63&lt;&gt;"Challan","",O63-M63)</f>
      </c>
      <c r="AO63" s="27">
        <f>IF($B63&lt;&gt;"Challan","",MAX(0,AN63-AM63))</f>
      </c>
      <c r="AP63" s="29">
        <f>IF($B63&lt;&gt;"Challan","",IF(ROUND(AM63-AN63,2)&gt;0,"Over-applied",IF(ROUND(AM63-AN63,2)=0,"Fully Utilised","Unconsumed")))</f>
      </c>
      <c r="AQ63" s="34">
        <f>IF($B63&lt;&gt;"Entry","",SUMPRODUCT(($D$4:$D$207=D63)*($B$4:$B$207="Challan")*$E$4:$E$207))</f>
      </c>
      <c r="AR63" s="35">
        <f>IF(OR($B63&lt;&gt;"Entry",Y63=""),FALSE,AND(SUMPRODUCT(($D$4:$D$207=D63)*($B$4:$B$207="Challan")*($G$4:$G$207&lt;&gt;""))&gt;0,SUMPRODUCT(($D$4:$D$207=D63)*($B$4:$B$207="Challan")*($G$4:$G$207=Y63))=0))</f>
      </c>
    </row>
    <row r="64" spans="1:44" x14ac:dyDescent="0.25">
      <c r="A64" s="21">
        <f>IF($B64="Entry",COUNTIF($B$4:$B64,"Entry"),"")</f>
      </c>
      <c r="B64" s="22"/>
      <c r="C64" s="23"/>
      <c r="D64" s="23"/>
      <c r="E64" s="24"/>
      <c r="F64" s="25"/>
      <c r="G64" s="25"/>
      <c r="H64" s="26"/>
      <c r="I64" s="26"/>
      <c r="J64" s="26"/>
      <c r="K64" s="26"/>
      <c r="L64" s="26"/>
      <c r="M64" s="26"/>
      <c r="N64" s="26"/>
      <c r="O64" s="27">
        <f>IF($B64&lt;&gt;"Challan","",H64+I64+J64+K64+L64+M64)</f>
      </c>
      <c r="P64" s="25"/>
      <c r="Q64" s="25"/>
      <c r="R64" s="25"/>
      <c r="S64" s="25"/>
      <c r="T64" s="25"/>
      <c r="U64" s="28"/>
      <c r="V64" s="28"/>
      <c r="W64" s="28"/>
      <c r="X64" s="29">
        <f>IF($B64&lt;&gt;"Entry","",IF(LEN(V64)&lt;4,"",IF(MID(V64,4,1)="P","Individual",IF(MID(V64,4,1)="H","HUF",IF(MID(V64,4,1)="C","Company",IF(MID(V64,4,1)="F","Firm",IF(MID(V64,4,1)="L","LLP",IF(MID(V64,4,1)="T","Trust",IF(MID(V64,4,1)="A","AOP",""))))))))</f>
      </c>
      <c r="Y64" s="28"/>
      <c r="Z64" s="30">
        <f>IF($B64&lt;&gt;"Entry","",IF(Y64="","",IF(W64="Y",SUMPRODUCT(('Rate Lookup'!$A$1:$A$32=Y64)*'Rate Lookup'!$D$1:$D$32),IF(OR(X64="Individual",X64="HUF"),SUMPRODUCT(('Rate Lookup'!$A$1:$A$32=Y64)*'Rate Lookup'!$B$1:$B$32),SUMPRODUCT(('Rate Lookup'!$A$1:$A$32=Y64)*'Rate Lookup'!$C$1:$C$32)))))</f>
      </c>
      <c r="AA64" s="31"/>
      <c r="AB64" s="32"/>
      <c r="AC64" s="27">
        <f>IF($B64&lt;&gt;"Entry","",ROUND(AB64*Z64/100,0))</f>
      </c>
      <c r="AD64" s="27">
        <f>IF($B64&lt;&gt;"Entry","",0)</f>
      </c>
      <c r="AE64" s="27">
        <f>IF($B64&lt;&gt;"Entry","",0)</f>
      </c>
      <c r="AF64" s="27">
        <f>IF($B64&lt;&gt;"Entry","",IF(OR(AC64=0,AA64="",AQ64="",AQ64&lt;=0),0,IF(AQ64&lt;=DATE(YEAR(AA64),MONTH(AA64)+1,7),0,ROUND(AC64*0.015*((YEAR(AQ64)-YEAR(AA64))*12+(MONTH(AQ64)-MONTH(AA64))+1),0))))</f>
      </c>
      <c r="AG64" s="27">
        <f>IF($B64&lt;&gt;"Entry","",0)</f>
      </c>
      <c r="AH64" s="28"/>
      <c r="AI64" s="28"/>
      <c r="AJ64" s="33"/>
      <c r="AK64" s="28"/>
      <c r="AL64" s="28"/>
      <c r="AM64" s="27">
        <f>IF($B64&lt;&gt;"Challan","",SUMIF($D$4:$D$207,D64,$AC$4:$AC$207)+SUMIF($D$4:$D$207,D64,$AF$4:$AF$207)+SUMIF($D$4:$D$207,D64,$AD$4:$AD$207))</f>
      </c>
      <c r="AN64" s="27">
        <f>IF($B64&lt;&gt;"Challan","",O64-M64)</f>
      </c>
      <c r="AO64" s="27">
        <f>IF($B64&lt;&gt;"Challan","",MAX(0,AN64-AM64))</f>
      </c>
      <c r="AP64" s="29">
        <f>IF($B64&lt;&gt;"Challan","",IF(ROUND(AM64-AN64,2)&gt;0,"Over-applied",IF(ROUND(AM64-AN64,2)=0,"Fully Utilised","Unconsumed")))</f>
      </c>
      <c r="AQ64" s="34">
        <f>IF($B64&lt;&gt;"Entry","",SUMPRODUCT(($D$4:$D$207=D64)*($B$4:$B$207="Challan")*$E$4:$E$207))</f>
      </c>
      <c r="AR64" s="35">
        <f>IF(OR($B64&lt;&gt;"Entry",Y64=""),FALSE,AND(SUMPRODUCT(($D$4:$D$207=D64)*($B$4:$B$207="Challan")*($G$4:$G$207&lt;&gt;""))&gt;0,SUMPRODUCT(($D$4:$D$207=D64)*($B$4:$B$207="Challan")*($G$4:$G$207=Y64))=0))</f>
      </c>
    </row>
    <row r="65" spans="1:44" x14ac:dyDescent="0.25">
      <c r="A65" s="21">
        <f>IF($B65="Entry",COUNTIF($B$4:$B65,"Entry"),"")</f>
      </c>
      <c r="B65" s="22"/>
      <c r="C65" s="23"/>
      <c r="D65" s="23"/>
      <c r="E65" s="24"/>
      <c r="F65" s="25"/>
      <c r="G65" s="25"/>
      <c r="H65" s="26"/>
      <c r="I65" s="26"/>
      <c r="J65" s="26"/>
      <c r="K65" s="26"/>
      <c r="L65" s="26"/>
      <c r="M65" s="26"/>
      <c r="N65" s="26"/>
      <c r="O65" s="27">
        <f>IF($B65&lt;&gt;"Challan","",H65+I65+J65+K65+L65+M65)</f>
      </c>
      <c r="P65" s="25"/>
      <c r="Q65" s="25"/>
      <c r="R65" s="25"/>
      <c r="S65" s="25"/>
      <c r="T65" s="25"/>
      <c r="U65" s="28"/>
      <c r="V65" s="28"/>
      <c r="W65" s="28"/>
      <c r="X65" s="29">
        <f>IF($B65&lt;&gt;"Entry","",IF(LEN(V65)&lt;4,"",IF(MID(V65,4,1)="P","Individual",IF(MID(V65,4,1)="H","HUF",IF(MID(V65,4,1)="C","Company",IF(MID(V65,4,1)="F","Firm",IF(MID(V65,4,1)="L","LLP",IF(MID(V65,4,1)="T","Trust",IF(MID(V65,4,1)="A","AOP",""))))))))</f>
      </c>
      <c r="Y65" s="28"/>
      <c r="Z65" s="30">
        <f>IF($B65&lt;&gt;"Entry","",IF(Y65="","",IF(W65="Y",SUMPRODUCT(('Rate Lookup'!$A$1:$A$32=Y65)*'Rate Lookup'!$D$1:$D$32),IF(OR(X65="Individual",X65="HUF"),SUMPRODUCT(('Rate Lookup'!$A$1:$A$32=Y65)*'Rate Lookup'!$B$1:$B$32),SUMPRODUCT(('Rate Lookup'!$A$1:$A$32=Y65)*'Rate Lookup'!$C$1:$C$32)))))</f>
      </c>
      <c r="AA65" s="31"/>
      <c r="AB65" s="32"/>
      <c r="AC65" s="27">
        <f>IF($B65&lt;&gt;"Entry","",ROUND(AB65*Z65/100,0))</f>
      </c>
      <c r="AD65" s="27">
        <f>IF($B65&lt;&gt;"Entry","",0)</f>
      </c>
      <c r="AE65" s="27">
        <f>IF($B65&lt;&gt;"Entry","",0)</f>
      </c>
      <c r="AF65" s="27">
        <f>IF($B65&lt;&gt;"Entry","",IF(OR(AC65=0,AA65="",AQ65="",AQ65&lt;=0),0,IF(AQ65&lt;=DATE(YEAR(AA65),MONTH(AA65)+1,7),0,ROUND(AC65*0.015*((YEAR(AQ65)-YEAR(AA65))*12+(MONTH(AQ65)-MONTH(AA65))+1),0))))</f>
      </c>
      <c r="AG65" s="27">
        <f>IF($B65&lt;&gt;"Entry","",0)</f>
      </c>
      <c r="AH65" s="28"/>
      <c r="AI65" s="28"/>
      <c r="AJ65" s="33"/>
      <c r="AK65" s="28"/>
      <c r="AL65" s="28"/>
      <c r="AM65" s="27">
        <f>IF($B65&lt;&gt;"Challan","",SUMIF($D$4:$D$207,D65,$AC$4:$AC$207)+SUMIF($D$4:$D$207,D65,$AF$4:$AF$207)+SUMIF($D$4:$D$207,D65,$AD$4:$AD$207))</f>
      </c>
      <c r="AN65" s="27">
        <f>IF($B65&lt;&gt;"Challan","",O65-M65)</f>
      </c>
      <c r="AO65" s="27">
        <f>IF($B65&lt;&gt;"Challan","",MAX(0,AN65-AM65))</f>
      </c>
      <c r="AP65" s="29">
        <f>IF($B65&lt;&gt;"Challan","",IF(ROUND(AM65-AN65,2)&gt;0,"Over-applied",IF(ROUND(AM65-AN65,2)=0,"Fully Utilised","Unconsumed")))</f>
      </c>
      <c r="AQ65" s="34">
        <f>IF($B65&lt;&gt;"Entry","",SUMPRODUCT(($D$4:$D$207=D65)*($B$4:$B$207="Challan")*$E$4:$E$207))</f>
      </c>
      <c r="AR65" s="35">
        <f>IF(OR($B65&lt;&gt;"Entry",Y65=""),FALSE,AND(SUMPRODUCT(($D$4:$D$207=D65)*($B$4:$B$207="Challan")*($G$4:$G$207&lt;&gt;""))&gt;0,SUMPRODUCT(($D$4:$D$207=D65)*($B$4:$B$207="Challan")*($G$4:$G$207=Y65))=0))</f>
      </c>
    </row>
    <row r="66" spans="1:44" x14ac:dyDescent="0.25">
      <c r="A66" s="21">
        <f>IF($B66="Entry",COUNTIF($B$4:$B66,"Entry"),"")</f>
      </c>
      <c r="B66" s="22"/>
      <c r="C66" s="23"/>
      <c r="D66" s="23"/>
      <c r="E66" s="24"/>
      <c r="F66" s="25"/>
      <c r="G66" s="25"/>
      <c r="H66" s="26"/>
      <c r="I66" s="26"/>
      <c r="J66" s="26"/>
      <c r="K66" s="26"/>
      <c r="L66" s="26"/>
      <c r="M66" s="26"/>
      <c r="N66" s="26"/>
      <c r="O66" s="27">
        <f>IF($B66&lt;&gt;"Challan","",H66+I66+J66+K66+L66+M66)</f>
      </c>
      <c r="P66" s="25"/>
      <c r="Q66" s="25"/>
      <c r="R66" s="25"/>
      <c r="S66" s="25"/>
      <c r="T66" s="25"/>
      <c r="U66" s="28"/>
      <c r="V66" s="28"/>
      <c r="W66" s="28"/>
      <c r="X66" s="29">
        <f>IF($B66&lt;&gt;"Entry","",IF(LEN(V66)&lt;4,"",IF(MID(V66,4,1)="P","Individual",IF(MID(V66,4,1)="H","HUF",IF(MID(V66,4,1)="C","Company",IF(MID(V66,4,1)="F","Firm",IF(MID(V66,4,1)="L","LLP",IF(MID(V66,4,1)="T","Trust",IF(MID(V66,4,1)="A","AOP",""))))))))</f>
      </c>
      <c r="Y66" s="28"/>
      <c r="Z66" s="30">
        <f>IF($B66&lt;&gt;"Entry","",IF(Y66="","",IF(W66="Y",SUMPRODUCT(('Rate Lookup'!$A$1:$A$32=Y66)*'Rate Lookup'!$D$1:$D$32),IF(OR(X66="Individual",X66="HUF"),SUMPRODUCT(('Rate Lookup'!$A$1:$A$32=Y66)*'Rate Lookup'!$B$1:$B$32),SUMPRODUCT(('Rate Lookup'!$A$1:$A$32=Y66)*'Rate Lookup'!$C$1:$C$32)))))</f>
      </c>
      <c r="AA66" s="31"/>
      <c r="AB66" s="32"/>
      <c r="AC66" s="27">
        <f>IF($B66&lt;&gt;"Entry","",ROUND(AB66*Z66/100,0))</f>
      </c>
      <c r="AD66" s="27">
        <f>IF($B66&lt;&gt;"Entry","",0)</f>
      </c>
      <c r="AE66" s="27">
        <f>IF($B66&lt;&gt;"Entry","",0)</f>
      </c>
      <c r="AF66" s="27">
        <f>IF($B66&lt;&gt;"Entry","",IF(OR(AC66=0,AA66="",AQ66="",AQ66&lt;=0),0,IF(AQ66&lt;=DATE(YEAR(AA66),MONTH(AA66)+1,7),0,ROUND(AC66*0.015*((YEAR(AQ66)-YEAR(AA66))*12+(MONTH(AQ66)-MONTH(AA66))+1),0))))</f>
      </c>
      <c r="AG66" s="27">
        <f>IF($B66&lt;&gt;"Entry","",0)</f>
      </c>
      <c r="AH66" s="28"/>
      <c r="AI66" s="28"/>
      <c r="AJ66" s="33"/>
      <c r="AK66" s="28"/>
      <c r="AL66" s="28"/>
      <c r="AM66" s="27">
        <f>IF($B66&lt;&gt;"Challan","",SUMIF($D$4:$D$207,D66,$AC$4:$AC$207)+SUMIF($D$4:$D$207,D66,$AF$4:$AF$207)+SUMIF($D$4:$D$207,D66,$AD$4:$AD$207))</f>
      </c>
      <c r="AN66" s="27">
        <f>IF($B66&lt;&gt;"Challan","",O66-M66)</f>
      </c>
      <c r="AO66" s="27">
        <f>IF($B66&lt;&gt;"Challan","",MAX(0,AN66-AM66))</f>
      </c>
      <c r="AP66" s="29">
        <f>IF($B66&lt;&gt;"Challan","",IF(ROUND(AM66-AN66,2)&gt;0,"Over-applied",IF(ROUND(AM66-AN66,2)=0,"Fully Utilised","Unconsumed")))</f>
      </c>
      <c r="AQ66" s="34">
        <f>IF($B66&lt;&gt;"Entry","",SUMPRODUCT(($D$4:$D$207=D66)*($B$4:$B$207="Challan")*$E$4:$E$207))</f>
      </c>
      <c r="AR66" s="35">
        <f>IF(OR($B66&lt;&gt;"Entry",Y66=""),FALSE,AND(SUMPRODUCT(($D$4:$D$207=D66)*($B$4:$B$207="Challan")*($G$4:$G$207&lt;&gt;""))&gt;0,SUMPRODUCT(($D$4:$D$207=D66)*($B$4:$B$207="Challan")*($G$4:$G$207=Y66))=0))</f>
      </c>
    </row>
    <row r="67" spans="1:44" x14ac:dyDescent="0.25">
      <c r="A67" s="21">
        <f>IF($B67="Entry",COUNTIF($B$4:$B67,"Entry"),"")</f>
      </c>
      <c r="B67" s="22"/>
      <c r="C67" s="23"/>
      <c r="D67" s="23"/>
      <c r="E67" s="24"/>
      <c r="F67" s="25"/>
      <c r="G67" s="25"/>
      <c r="H67" s="26"/>
      <c r="I67" s="26"/>
      <c r="J67" s="26"/>
      <c r="K67" s="26"/>
      <c r="L67" s="26"/>
      <c r="M67" s="26"/>
      <c r="N67" s="26"/>
      <c r="O67" s="27">
        <f>IF($B67&lt;&gt;"Challan","",H67+I67+J67+K67+L67+M67)</f>
      </c>
      <c r="P67" s="25"/>
      <c r="Q67" s="25"/>
      <c r="R67" s="25"/>
      <c r="S67" s="25"/>
      <c r="T67" s="25"/>
      <c r="U67" s="28"/>
      <c r="V67" s="28"/>
      <c r="W67" s="28"/>
      <c r="X67" s="29">
        <f>IF($B67&lt;&gt;"Entry","",IF(LEN(V67)&lt;4,"",IF(MID(V67,4,1)="P","Individual",IF(MID(V67,4,1)="H","HUF",IF(MID(V67,4,1)="C","Company",IF(MID(V67,4,1)="F","Firm",IF(MID(V67,4,1)="L","LLP",IF(MID(V67,4,1)="T","Trust",IF(MID(V67,4,1)="A","AOP",""))))))))</f>
      </c>
      <c r="Y67" s="28"/>
      <c r="Z67" s="30">
        <f>IF($B67&lt;&gt;"Entry","",IF(Y67="","",IF(W67="Y",SUMPRODUCT(('Rate Lookup'!$A$1:$A$32=Y67)*'Rate Lookup'!$D$1:$D$32),IF(OR(X67="Individual",X67="HUF"),SUMPRODUCT(('Rate Lookup'!$A$1:$A$32=Y67)*'Rate Lookup'!$B$1:$B$32),SUMPRODUCT(('Rate Lookup'!$A$1:$A$32=Y67)*'Rate Lookup'!$C$1:$C$32)))))</f>
      </c>
      <c r="AA67" s="31"/>
      <c r="AB67" s="32"/>
      <c r="AC67" s="27">
        <f>IF($B67&lt;&gt;"Entry","",ROUND(AB67*Z67/100,0))</f>
      </c>
      <c r="AD67" s="27">
        <f>IF($B67&lt;&gt;"Entry","",0)</f>
      </c>
      <c r="AE67" s="27">
        <f>IF($B67&lt;&gt;"Entry","",0)</f>
      </c>
      <c r="AF67" s="27">
        <f>IF($B67&lt;&gt;"Entry","",IF(OR(AC67=0,AA67="",AQ67="",AQ67&lt;=0),0,IF(AQ67&lt;=DATE(YEAR(AA67),MONTH(AA67)+1,7),0,ROUND(AC67*0.015*((YEAR(AQ67)-YEAR(AA67))*12+(MONTH(AQ67)-MONTH(AA67))+1),0))))</f>
      </c>
      <c r="AG67" s="27">
        <f>IF($B67&lt;&gt;"Entry","",0)</f>
      </c>
      <c r="AH67" s="28"/>
      <c r="AI67" s="28"/>
      <c r="AJ67" s="33"/>
      <c r="AK67" s="28"/>
      <c r="AL67" s="28"/>
      <c r="AM67" s="27">
        <f>IF($B67&lt;&gt;"Challan","",SUMIF($D$4:$D$207,D67,$AC$4:$AC$207)+SUMIF($D$4:$D$207,D67,$AF$4:$AF$207)+SUMIF($D$4:$D$207,D67,$AD$4:$AD$207))</f>
      </c>
      <c r="AN67" s="27">
        <f>IF($B67&lt;&gt;"Challan","",O67-M67)</f>
      </c>
      <c r="AO67" s="27">
        <f>IF($B67&lt;&gt;"Challan","",MAX(0,AN67-AM67))</f>
      </c>
      <c r="AP67" s="29">
        <f>IF($B67&lt;&gt;"Challan","",IF(ROUND(AM67-AN67,2)&gt;0,"Over-applied",IF(ROUND(AM67-AN67,2)=0,"Fully Utilised","Unconsumed")))</f>
      </c>
      <c r="AQ67" s="34">
        <f>IF($B67&lt;&gt;"Entry","",SUMPRODUCT(($D$4:$D$207=D67)*($B$4:$B$207="Challan")*$E$4:$E$207))</f>
      </c>
      <c r="AR67" s="35">
        <f>IF(OR($B67&lt;&gt;"Entry",Y67=""),FALSE,AND(SUMPRODUCT(($D$4:$D$207=D67)*($B$4:$B$207="Challan")*($G$4:$G$207&lt;&gt;""))&gt;0,SUMPRODUCT(($D$4:$D$207=D67)*($B$4:$B$207="Challan")*($G$4:$G$207=Y67))=0))</f>
      </c>
    </row>
    <row r="68" spans="1:44" x14ac:dyDescent="0.25">
      <c r="A68" s="21">
        <f>IF($B68="Entry",COUNTIF($B$4:$B68,"Entry"),"")</f>
      </c>
      <c r="B68" s="22"/>
      <c r="C68" s="23"/>
      <c r="D68" s="23"/>
      <c r="E68" s="24"/>
      <c r="F68" s="25"/>
      <c r="G68" s="25"/>
      <c r="H68" s="26"/>
      <c r="I68" s="26"/>
      <c r="J68" s="26"/>
      <c r="K68" s="26"/>
      <c r="L68" s="26"/>
      <c r="M68" s="26"/>
      <c r="N68" s="26"/>
      <c r="O68" s="27">
        <f>IF($B68&lt;&gt;"Challan","",H68+I68+J68+K68+L68+M68)</f>
      </c>
      <c r="P68" s="25"/>
      <c r="Q68" s="25"/>
      <c r="R68" s="25"/>
      <c r="S68" s="25"/>
      <c r="T68" s="25"/>
      <c r="U68" s="28"/>
      <c r="V68" s="28"/>
      <c r="W68" s="28"/>
      <c r="X68" s="29">
        <f>IF($B68&lt;&gt;"Entry","",IF(LEN(V68)&lt;4,"",IF(MID(V68,4,1)="P","Individual",IF(MID(V68,4,1)="H","HUF",IF(MID(V68,4,1)="C","Company",IF(MID(V68,4,1)="F","Firm",IF(MID(V68,4,1)="L","LLP",IF(MID(V68,4,1)="T","Trust",IF(MID(V68,4,1)="A","AOP",""))))))))</f>
      </c>
      <c r="Y68" s="28"/>
      <c r="Z68" s="30">
        <f>IF($B68&lt;&gt;"Entry","",IF(Y68="","",IF(W68="Y",SUMPRODUCT(('Rate Lookup'!$A$1:$A$32=Y68)*'Rate Lookup'!$D$1:$D$32),IF(OR(X68="Individual",X68="HUF"),SUMPRODUCT(('Rate Lookup'!$A$1:$A$32=Y68)*'Rate Lookup'!$B$1:$B$32),SUMPRODUCT(('Rate Lookup'!$A$1:$A$32=Y68)*'Rate Lookup'!$C$1:$C$32)))))</f>
      </c>
      <c r="AA68" s="31"/>
      <c r="AB68" s="32"/>
      <c r="AC68" s="27">
        <f>IF($B68&lt;&gt;"Entry","",ROUND(AB68*Z68/100,0))</f>
      </c>
      <c r="AD68" s="27">
        <f>IF($B68&lt;&gt;"Entry","",0)</f>
      </c>
      <c r="AE68" s="27">
        <f>IF($B68&lt;&gt;"Entry","",0)</f>
      </c>
      <c r="AF68" s="27">
        <f>IF($B68&lt;&gt;"Entry","",IF(OR(AC68=0,AA68="",AQ68="",AQ68&lt;=0),0,IF(AQ68&lt;=DATE(YEAR(AA68),MONTH(AA68)+1,7),0,ROUND(AC68*0.015*((YEAR(AQ68)-YEAR(AA68))*12+(MONTH(AQ68)-MONTH(AA68))+1),0))))</f>
      </c>
      <c r="AG68" s="27">
        <f>IF($B68&lt;&gt;"Entry","",0)</f>
      </c>
      <c r="AH68" s="28"/>
      <c r="AI68" s="28"/>
      <c r="AJ68" s="33"/>
      <c r="AK68" s="28"/>
      <c r="AL68" s="28"/>
      <c r="AM68" s="27">
        <f>IF($B68&lt;&gt;"Challan","",SUMIF($D$4:$D$207,D68,$AC$4:$AC$207)+SUMIF($D$4:$D$207,D68,$AF$4:$AF$207)+SUMIF($D$4:$D$207,D68,$AD$4:$AD$207))</f>
      </c>
      <c r="AN68" s="27">
        <f>IF($B68&lt;&gt;"Challan","",O68-M68)</f>
      </c>
      <c r="AO68" s="27">
        <f>IF($B68&lt;&gt;"Challan","",MAX(0,AN68-AM68))</f>
      </c>
      <c r="AP68" s="29">
        <f>IF($B68&lt;&gt;"Challan","",IF(ROUND(AM68-AN68,2)&gt;0,"Over-applied",IF(ROUND(AM68-AN68,2)=0,"Fully Utilised","Unconsumed")))</f>
      </c>
      <c r="AQ68" s="34">
        <f>IF($B68&lt;&gt;"Entry","",SUMPRODUCT(($D$4:$D$207=D68)*($B$4:$B$207="Challan")*$E$4:$E$207))</f>
      </c>
      <c r="AR68" s="35">
        <f>IF(OR($B68&lt;&gt;"Entry",Y68=""),FALSE,AND(SUMPRODUCT(($D$4:$D$207=D68)*($B$4:$B$207="Challan")*($G$4:$G$207&lt;&gt;""))&gt;0,SUMPRODUCT(($D$4:$D$207=D68)*($B$4:$B$207="Challan")*($G$4:$G$207=Y68))=0))</f>
      </c>
    </row>
    <row r="69" spans="1:44" x14ac:dyDescent="0.25">
      <c r="A69" s="21">
        <f>IF($B69="Entry",COUNTIF($B$4:$B69,"Entry"),"")</f>
      </c>
      <c r="B69" s="22"/>
      <c r="C69" s="23"/>
      <c r="D69" s="23"/>
      <c r="E69" s="24"/>
      <c r="F69" s="25"/>
      <c r="G69" s="25"/>
      <c r="H69" s="26"/>
      <c r="I69" s="26"/>
      <c r="J69" s="26"/>
      <c r="K69" s="26"/>
      <c r="L69" s="26"/>
      <c r="M69" s="26"/>
      <c r="N69" s="26"/>
      <c r="O69" s="27">
        <f>IF($B69&lt;&gt;"Challan","",H69+I69+J69+K69+L69+M69)</f>
      </c>
      <c r="P69" s="25"/>
      <c r="Q69" s="25"/>
      <c r="R69" s="25"/>
      <c r="S69" s="25"/>
      <c r="T69" s="25"/>
      <c r="U69" s="28"/>
      <c r="V69" s="28"/>
      <c r="W69" s="28"/>
      <c r="X69" s="29">
        <f>IF($B69&lt;&gt;"Entry","",IF(LEN(V69)&lt;4,"",IF(MID(V69,4,1)="P","Individual",IF(MID(V69,4,1)="H","HUF",IF(MID(V69,4,1)="C","Company",IF(MID(V69,4,1)="F","Firm",IF(MID(V69,4,1)="L","LLP",IF(MID(V69,4,1)="T","Trust",IF(MID(V69,4,1)="A","AOP",""))))))))</f>
      </c>
      <c r="Y69" s="28"/>
      <c r="Z69" s="30">
        <f>IF($B69&lt;&gt;"Entry","",IF(Y69="","",IF(W69="Y",SUMPRODUCT(('Rate Lookup'!$A$1:$A$32=Y69)*'Rate Lookup'!$D$1:$D$32),IF(OR(X69="Individual",X69="HUF"),SUMPRODUCT(('Rate Lookup'!$A$1:$A$32=Y69)*'Rate Lookup'!$B$1:$B$32),SUMPRODUCT(('Rate Lookup'!$A$1:$A$32=Y69)*'Rate Lookup'!$C$1:$C$32)))))</f>
      </c>
      <c r="AA69" s="31"/>
      <c r="AB69" s="32"/>
      <c r="AC69" s="27">
        <f>IF($B69&lt;&gt;"Entry","",ROUND(AB69*Z69/100,0))</f>
      </c>
      <c r="AD69" s="27">
        <f>IF($B69&lt;&gt;"Entry","",0)</f>
      </c>
      <c r="AE69" s="27">
        <f>IF($B69&lt;&gt;"Entry","",0)</f>
      </c>
      <c r="AF69" s="27">
        <f>IF($B69&lt;&gt;"Entry","",IF(OR(AC69=0,AA69="",AQ69="",AQ69&lt;=0),0,IF(AQ69&lt;=DATE(YEAR(AA69),MONTH(AA69)+1,7),0,ROUND(AC69*0.015*((YEAR(AQ69)-YEAR(AA69))*12+(MONTH(AQ69)-MONTH(AA69))+1),0))))</f>
      </c>
      <c r="AG69" s="27">
        <f>IF($B69&lt;&gt;"Entry","",0)</f>
      </c>
      <c r="AH69" s="28"/>
      <c r="AI69" s="28"/>
      <c r="AJ69" s="33"/>
      <c r="AK69" s="28"/>
      <c r="AL69" s="28"/>
      <c r="AM69" s="27">
        <f>IF($B69&lt;&gt;"Challan","",SUMIF($D$4:$D$207,D69,$AC$4:$AC$207)+SUMIF($D$4:$D$207,D69,$AF$4:$AF$207)+SUMIF($D$4:$D$207,D69,$AD$4:$AD$207))</f>
      </c>
      <c r="AN69" s="27">
        <f>IF($B69&lt;&gt;"Challan","",O69-M69)</f>
      </c>
      <c r="AO69" s="27">
        <f>IF($B69&lt;&gt;"Challan","",MAX(0,AN69-AM69))</f>
      </c>
      <c r="AP69" s="29">
        <f>IF($B69&lt;&gt;"Challan","",IF(ROUND(AM69-AN69,2)&gt;0,"Over-applied",IF(ROUND(AM69-AN69,2)=0,"Fully Utilised","Unconsumed")))</f>
      </c>
      <c r="AQ69" s="34">
        <f>IF($B69&lt;&gt;"Entry","",SUMPRODUCT(($D$4:$D$207=D69)*($B$4:$B$207="Challan")*$E$4:$E$207))</f>
      </c>
      <c r="AR69" s="35">
        <f>IF(OR($B69&lt;&gt;"Entry",Y69=""),FALSE,AND(SUMPRODUCT(($D$4:$D$207=D69)*($B$4:$B$207="Challan")*($G$4:$G$207&lt;&gt;""))&gt;0,SUMPRODUCT(($D$4:$D$207=D69)*($B$4:$B$207="Challan")*($G$4:$G$207=Y69))=0))</f>
      </c>
    </row>
    <row r="70" spans="1:44" x14ac:dyDescent="0.25">
      <c r="A70" s="21">
        <f>IF($B70="Entry",COUNTIF($B$4:$B70,"Entry"),"")</f>
      </c>
      <c r="B70" s="22"/>
      <c r="C70" s="23"/>
      <c r="D70" s="23"/>
      <c r="E70" s="24"/>
      <c r="F70" s="25"/>
      <c r="G70" s="25"/>
      <c r="H70" s="26"/>
      <c r="I70" s="26"/>
      <c r="J70" s="26"/>
      <c r="K70" s="26"/>
      <c r="L70" s="26"/>
      <c r="M70" s="26"/>
      <c r="N70" s="26"/>
      <c r="O70" s="27">
        <f>IF($B70&lt;&gt;"Challan","",H70+I70+J70+K70+L70+M70)</f>
      </c>
      <c r="P70" s="25"/>
      <c r="Q70" s="25"/>
      <c r="R70" s="25"/>
      <c r="S70" s="25"/>
      <c r="T70" s="25"/>
      <c r="U70" s="28"/>
      <c r="V70" s="28"/>
      <c r="W70" s="28"/>
      <c r="X70" s="29">
        <f>IF($B70&lt;&gt;"Entry","",IF(LEN(V70)&lt;4,"",IF(MID(V70,4,1)="P","Individual",IF(MID(V70,4,1)="H","HUF",IF(MID(V70,4,1)="C","Company",IF(MID(V70,4,1)="F","Firm",IF(MID(V70,4,1)="L","LLP",IF(MID(V70,4,1)="T","Trust",IF(MID(V70,4,1)="A","AOP",""))))))))</f>
      </c>
      <c r="Y70" s="28"/>
      <c r="Z70" s="30">
        <f>IF($B70&lt;&gt;"Entry","",IF(Y70="","",IF(W70="Y",SUMPRODUCT(('Rate Lookup'!$A$1:$A$32=Y70)*'Rate Lookup'!$D$1:$D$32),IF(OR(X70="Individual",X70="HUF"),SUMPRODUCT(('Rate Lookup'!$A$1:$A$32=Y70)*'Rate Lookup'!$B$1:$B$32),SUMPRODUCT(('Rate Lookup'!$A$1:$A$32=Y70)*'Rate Lookup'!$C$1:$C$32)))))</f>
      </c>
      <c r="AA70" s="31"/>
      <c r="AB70" s="32"/>
      <c r="AC70" s="27">
        <f>IF($B70&lt;&gt;"Entry","",ROUND(AB70*Z70/100,0))</f>
      </c>
      <c r="AD70" s="27">
        <f>IF($B70&lt;&gt;"Entry","",0)</f>
      </c>
      <c r="AE70" s="27">
        <f>IF($B70&lt;&gt;"Entry","",0)</f>
      </c>
      <c r="AF70" s="27">
        <f>IF($B70&lt;&gt;"Entry","",IF(OR(AC70=0,AA70="",AQ70="",AQ70&lt;=0),0,IF(AQ70&lt;=DATE(YEAR(AA70),MONTH(AA70)+1,7),0,ROUND(AC70*0.015*((YEAR(AQ70)-YEAR(AA70))*12+(MONTH(AQ70)-MONTH(AA70))+1),0))))</f>
      </c>
      <c r="AG70" s="27">
        <f>IF($B70&lt;&gt;"Entry","",0)</f>
      </c>
      <c r="AH70" s="28"/>
      <c r="AI70" s="28"/>
      <c r="AJ70" s="33"/>
      <c r="AK70" s="28"/>
      <c r="AL70" s="28"/>
      <c r="AM70" s="27">
        <f>IF($B70&lt;&gt;"Challan","",SUMIF($D$4:$D$207,D70,$AC$4:$AC$207)+SUMIF($D$4:$D$207,D70,$AF$4:$AF$207)+SUMIF($D$4:$D$207,D70,$AD$4:$AD$207))</f>
      </c>
      <c r="AN70" s="27">
        <f>IF($B70&lt;&gt;"Challan","",O70-M70)</f>
      </c>
      <c r="AO70" s="27">
        <f>IF($B70&lt;&gt;"Challan","",MAX(0,AN70-AM70))</f>
      </c>
      <c r="AP70" s="29">
        <f>IF($B70&lt;&gt;"Challan","",IF(ROUND(AM70-AN70,2)&gt;0,"Over-applied",IF(ROUND(AM70-AN70,2)=0,"Fully Utilised","Unconsumed")))</f>
      </c>
      <c r="AQ70" s="34">
        <f>IF($B70&lt;&gt;"Entry","",SUMPRODUCT(($D$4:$D$207=D70)*($B$4:$B$207="Challan")*$E$4:$E$207))</f>
      </c>
      <c r="AR70" s="35">
        <f>IF(OR($B70&lt;&gt;"Entry",Y70=""),FALSE,AND(SUMPRODUCT(($D$4:$D$207=D70)*($B$4:$B$207="Challan")*($G$4:$G$207&lt;&gt;""))&gt;0,SUMPRODUCT(($D$4:$D$207=D70)*($B$4:$B$207="Challan")*($G$4:$G$207=Y70))=0))</f>
      </c>
    </row>
    <row r="71" spans="1:44" x14ac:dyDescent="0.25">
      <c r="A71" s="21">
        <f>IF($B71="Entry",COUNTIF($B$4:$B71,"Entry"),"")</f>
      </c>
      <c r="B71" s="22"/>
      <c r="C71" s="23"/>
      <c r="D71" s="23"/>
      <c r="E71" s="24"/>
      <c r="F71" s="25"/>
      <c r="G71" s="25"/>
      <c r="H71" s="26"/>
      <c r="I71" s="26"/>
      <c r="J71" s="26"/>
      <c r="K71" s="26"/>
      <c r="L71" s="26"/>
      <c r="M71" s="26"/>
      <c r="N71" s="26"/>
      <c r="O71" s="27">
        <f>IF($B71&lt;&gt;"Challan","",H71+I71+J71+K71+L71+M71)</f>
      </c>
      <c r="P71" s="25"/>
      <c r="Q71" s="25"/>
      <c r="R71" s="25"/>
      <c r="S71" s="25"/>
      <c r="T71" s="25"/>
      <c r="U71" s="28"/>
      <c r="V71" s="28"/>
      <c r="W71" s="28"/>
      <c r="X71" s="29">
        <f>IF($B71&lt;&gt;"Entry","",IF(LEN(V71)&lt;4,"",IF(MID(V71,4,1)="P","Individual",IF(MID(V71,4,1)="H","HUF",IF(MID(V71,4,1)="C","Company",IF(MID(V71,4,1)="F","Firm",IF(MID(V71,4,1)="L","LLP",IF(MID(V71,4,1)="T","Trust",IF(MID(V71,4,1)="A","AOP",""))))))))</f>
      </c>
      <c r="Y71" s="28"/>
      <c r="Z71" s="30">
        <f>IF($B71&lt;&gt;"Entry","",IF(Y71="","",IF(W71="Y",SUMPRODUCT(('Rate Lookup'!$A$1:$A$32=Y71)*'Rate Lookup'!$D$1:$D$32),IF(OR(X71="Individual",X71="HUF"),SUMPRODUCT(('Rate Lookup'!$A$1:$A$32=Y71)*'Rate Lookup'!$B$1:$B$32),SUMPRODUCT(('Rate Lookup'!$A$1:$A$32=Y71)*'Rate Lookup'!$C$1:$C$32)))))</f>
      </c>
      <c r="AA71" s="31"/>
      <c r="AB71" s="32"/>
      <c r="AC71" s="27">
        <f>IF($B71&lt;&gt;"Entry","",ROUND(AB71*Z71/100,0))</f>
      </c>
      <c r="AD71" s="27">
        <f>IF($B71&lt;&gt;"Entry","",0)</f>
      </c>
      <c r="AE71" s="27">
        <f>IF($B71&lt;&gt;"Entry","",0)</f>
      </c>
      <c r="AF71" s="27">
        <f>IF($B71&lt;&gt;"Entry","",IF(OR(AC71=0,AA71="",AQ71="",AQ71&lt;=0),0,IF(AQ71&lt;=DATE(YEAR(AA71),MONTH(AA71)+1,7),0,ROUND(AC71*0.015*((YEAR(AQ71)-YEAR(AA71))*12+(MONTH(AQ71)-MONTH(AA71))+1),0))))</f>
      </c>
      <c r="AG71" s="27">
        <f>IF($B71&lt;&gt;"Entry","",0)</f>
      </c>
      <c r="AH71" s="28"/>
      <c r="AI71" s="28"/>
      <c r="AJ71" s="33"/>
      <c r="AK71" s="28"/>
      <c r="AL71" s="28"/>
      <c r="AM71" s="27">
        <f>IF($B71&lt;&gt;"Challan","",SUMIF($D$4:$D$207,D71,$AC$4:$AC$207)+SUMIF($D$4:$D$207,D71,$AF$4:$AF$207)+SUMIF($D$4:$D$207,D71,$AD$4:$AD$207))</f>
      </c>
      <c r="AN71" s="27">
        <f>IF($B71&lt;&gt;"Challan","",O71-M71)</f>
      </c>
      <c r="AO71" s="27">
        <f>IF($B71&lt;&gt;"Challan","",MAX(0,AN71-AM71))</f>
      </c>
      <c r="AP71" s="29">
        <f>IF($B71&lt;&gt;"Challan","",IF(ROUND(AM71-AN71,2)&gt;0,"Over-applied",IF(ROUND(AM71-AN71,2)=0,"Fully Utilised","Unconsumed")))</f>
      </c>
      <c r="AQ71" s="34">
        <f>IF($B71&lt;&gt;"Entry","",SUMPRODUCT(($D$4:$D$207=D71)*($B$4:$B$207="Challan")*$E$4:$E$207))</f>
      </c>
      <c r="AR71" s="35">
        <f>IF(OR($B71&lt;&gt;"Entry",Y71=""),FALSE,AND(SUMPRODUCT(($D$4:$D$207=D71)*($B$4:$B$207="Challan")*($G$4:$G$207&lt;&gt;""))&gt;0,SUMPRODUCT(($D$4:$D$207=D71)*($B$4:$B$207="Challan")*($G$4:$G$207=Y71))=0))</f>
      </c>
    </row>
    <row r="72" spans="1:44" x14ac:dyDescent="0.25">
      <c r="A72" s="21">
        <f>IF($B72="Entry",COUNTIF($B$4:$B72,"Entry"),"")</f>
      </c>
      <c r="B72" s="22"/>
      <c r="C72" s="23"/>
      <c r="D72" s="23"/>
      <c r="E72" s="24"/>
      <c r="F72" s="25"/>
      <c r="G72" s="25"/>
      <c r="H72" s="26"/>
      <c r="I72" s="26"/>
      <c r="J72" s="26"/>
      <c r="K72" s="26"/>
      <c r="L72" s="26"/>
      <c r="M72" s="26"/>
      <c r="N72" s="26"/>
      <c r="O72" s="27">
        <f>IF($B72&lt;&gt;"Challan","",H72+I72+J72+K72+L72+M72)</f>
      </c>
      <c r="P72" s="25"/>
      <c r="Q72" s="25"/>
      <c r="R72" s="25"/>
      <c r="S72" s="25"/>
      <c r="T72" s="25"/>
      <c r="U72" s="28"/>
      <c r="V72" s="28"/>
      <c r="W72" s="28"/>
      <c r="X72" s="29">
        <f>IF($B72&lt;&gt;"Entry","",IF(LEN(V72)&lt;4,"",IF(MID(V72,4,1)="P","Individual",IF(MID(V72,4,1)="H","HUF",IF(MID(V72,4,1)="C","Company",IF(MID(V72,4,1)="F","Firm",IF(MID(V72,4,1)="L","LLP",IF(MID(V72,4,1)="T","Trust",IF(MID(V72,4,1)="A","AOP",""))))))))</f>
      </c>
      <c r="Y72" s="28"/>
      <c r="Z72" s="30">
        <f>IF($B72&lt;&gt;"Entry","",IF(Y72="","",IF(W72="Y",SUMPRODUCT(('Rate Lookup'!$A$1:$A$32=Y72)*'Rate Lookup'!$D$1:$D$32),IF(OR(X72="Individual",X72="HUF"),SUMPRODUCT(('Rate Lookup'!$A$1:$A$32=Y72)*'Rate Lookup'!$B$1:$B$32),SUMPRODUCT(('Rate Lookup'!$A$1:$A$32=Y72)*'Rate Lookup'!$C$1:$C$32)))))</f>
      </c>
      <c r="AA72" s="31"/>
      <c r="AB72" s="32"/>
      <c r="AC72" s="27">
        <f>IF($B72&lt;&gt;"Entry","",ROUND(AB72*Z72/100,0))</f>
      </c>
      <c r="AD72" s="27">
        <f>IF($B72&lt;&gt;"Entry","",0)</f>
      </c>
      <c r="AE72" s="27">
        <f>IF($B72&lt;&gt;"Entry","",0)</f>
      </c>
      <c r="AF72" s="27">
        <f>IF($B72&lt;&gt;"Entry","",IF(OR(AC72=0,AA72="",AQ72="",AQ72&lt;=0),0,IF(AQ72&lt;=DATE(YEAR(AA72),MONTH(AA72)+1,7),0,ROUND(AC72*0.015*((YEAR(AQ72)-YEAR(AA72))*12+(MONTH(AQ72)-MONTH(AA72))+1),0))))</f>
      </c>
      <c r="AG72" s="27">
        <f>IF($B72&lt;&gt;"Entry","",0)</f>
      </c>
      <c r="AH72" s="28"/>
      <c r="AI72" s="28"/>
      <c r="AJ72" s="33"/>
      <c r="AK72" s="28"/>
      <c r="AL72" s="28"/>
      <c r="AM72" s="27">
        <f>IF($B72&lt;&gt;"Challan","",SUMIF($D$4:$D$207,D72,$AC$4:$AC$207)+SUMIF($D$4:$D$207,D72,$AF$4:$AF$207)+SUMIF($D$4:$D$207,D72,$AD$4:$AD$207))</f>
      </c>
      <c r="AN72" s="27">
        <f>IF($B72&lt;&gt;"Challan","",O72-M72)</f>
      </c>
      <c r="AO72" s="27">
        <f>IF($B72&lt;&gt;"Challan","",MAX(0,AN72-AM72))</f>
      </c>
      <c r="AP72" s="29">
        <f>IF($B72&lt;&gt;"Challan","",IF(ROUND(AM72-AN72,2)&gt;0,"Over-applied",IF(ROUND(AM72-AN72,2)=0,"Fully Utilised","Unconsumed")))</f>
      </c>
      <c r="AQ72" s="34">
        <f>IF($B72&lt;&gt;"Entry","",SUMPRODUCT(($D$4:$D$207=D72)*($B$4:$B$207="Challan")*$E$4:$E$207))</f>
      </c>
      <c r="AR72" s="35">
        <f>IF(OR($B72&lt;&gt;"Entry",Y72=""),FALSE,AND(SUMPRODUCT(($D$4:$D$207=D72)*($B$4:$B$207="Challan")*($G$4:$G$207&lt;&gt;""))&gt;0,SUMPRODUCT(($D$4:$D$207=D72)*($B$4:$B$207="Challan")*($G$4:$G$207=Y72))=0))</f>
      </c>
    </row>
    <row r="73" spans="1:44" x14ac:dyDescent="0.25">
      <c r="A73" s="21">
        <f>IF($B73="Entry",COUNTIF($B$4:$B73,"Entry"),"")</f>
      </c>
      <c r="B73" s="22"/>
      <c r="C73" s="23"/>
      <c r="D73" s="23"/>
      <c r="E73" s="24"/>
      <c r="F73" s="25"/>
      <c r="G73" s="25"/>
      <c r="H73" s="26"/>
      <c r="I73" s="26"/>
      <c r="J73" s="26"/>
      <c r="K73" s="26"/>
      <c r="L73" s="26"/>
      <c r="M73" s="26"/>
      <c r="N73" s="26"/>
      <c r="O73" s="27">
        <f>IF($B73&lt;&gt;"Challan","",H73+I73+J73+K73+L73+M73)</f>
      </c>
      <c r="P73" s="25"/>
      <c r="Q73" s="25"/>
      <c r="R73" s="25"/>
      <c r="S73" s="25"/>
      <c r="T73" s="25"/>
      <c r="U73" s="28"/>
      <c r="V73" s="28"/>
      <c r="W73" s="28"/>
      <c r="X73" s="29">
        <f>IF($B73&lt;&gt;"Entry","",IF(LEN(V73)&lt;4,"",IF(MID(V73,4,1)="P","Individual",IF(MID(V73,4,1)="H","HUF",IF(MID(V73,4,1)="C","Company",IF(MID(V73,4,1)="F","Firm",IF(MID(V73,4,1)="L","LLP",IF(MID(V73,4,1)="T","Trust",IF(MID(V73,4,1)="A","AOP",""))))))))</f>
      </c>
      <c r="Y73" s="28"/>
      <c r="Z73" s="30">
        <f>IF($B73&lt;&gt;"Entry","",IF(Y73="","",IF(W73="Y",SUMPRODUCT(('Rate Lookup'!$A$1:$A$32=Y73)*'Rate Lookup'!$D$1:$D$32),IF(OR(X73="Individual",X73="HUF"),SUMPRODUCT(('Rate Lookup'!$A$1:$A$32=Y73)*'Rate Lookup'!$B$1:$B$32),SUMPRODUCT(('Rate Lookup'!$A$1:$A$32=Y73)*'Rate Lookup'!$C$1:$C$32)))))</f>
      </c>
      <c r="AA73" s="31"/>
      <c r="AB73" s="32"/>
      <c r="AC73" s="27">
        <f>IF($B73&lt;&gt;"Entry","",ROUND(AB73*Z73/100,0))</f>
      </c>
      <c r="AD73" s="27">
        <f>IF($B73&lt;&gt;"Entry","",0)</f>
      </c>
      <c r="AE73" s="27">
        <f>IF($B73&lt;&gt;"Entry","",0)</f>
      </c>
      <c r="AF73" s="27">
        <f>IF($B73&lt;&gt;"Entry","",IF(OR(AC73=0,AA73="",AQ73="",AQ73&lt;=0),0,IF(AQ73&lt;=DATE(YEAR(AA73),MONTH(AA73)+1,7),0,ROUND(AC73*0.015*((YEAR(AQ73)-YEAR(AA73))*12+(MONTH(AQ73)-MONTH(AA73))+1),0))))</f>
      </c>
      <c r="AG73" s="27">
        <f>IF($B73&lt;&gt;"Entry","",0)</f>
      </c>
      <c r="AH73" s="28"/>
      <c r="AI73" s="28"/>
      <c r="AJ73" s="33"/>
      <c r="AK73" s="28"/>
      <c r="AL73" s="28"/>
      <c r="AM73" s="27">
        <f>IF($B73&lt;&gt;"Challan","",SUMIF($D$4:$D$207,D73,$AC$4:$AC$207)+SUMIF($D$4:$D$207,D73,$AF$4:$AF$207)+SUMIF($D$4:$D$207,D73,$AD$4:$AD$207))</f>
      </c>
      <c r="AN73" s="27">
        <f>IF($B73&lt;&gt;"Challan","",O73-M73)</f>
      </c>
      <c r="AO73" s="27">
        <f>IF($B73&lt;&gt;"Challan","",MAX(0,AN73-AM73))</f>
      </c>
      <c r="AP73" s="29">
        <f>IF($B73&lt;&gt;"Challan","",IF(ROUND(AM73-AN73,2)&gt;0,"Over-applied",IF(ROUND(AM73-AN73,2)=0,"Fully Utilised","Unconsumed")))</f>
      </c>
      <c r="AQ73" s="34">
        <f>IF($B73&lt;&gt;"Entry","",SUMPRODUCT(($D$4:$D$207=D73)*($B$4:$B$207="Challan")*$E$4:$E$207))</f>
      </c>
      <c r="AR73" s="35">
        <f>IF(OR($B73&lt;&gt;"Entry",Y73=""),FALSE,AND(SUMPRODUCT(($D$4:$D$207=D73)*($B$4:$B$207="Challan")*($G$4:$G$207&lt;&gt;""))&gt;0,SUMPRODUCT(($D$4:$D$207=D73)*($B$4:$B$207="Challan")*($G$4:$G$207=Y73))=0))</f>
      </c>
    </row>
    <row r="74" spans="1:44" x14ac:dyDescent="0.25">
      <c r="A74" s="21">
        <f>IF($B74="Entry",COUNTIF($B$4:$B74,"Entry"),"")</f>
      </c>
      <c r="B74" s="22"/>
      <c r="C74" s="23"/>
      <c r="D74" s="23"/>
      <c r="E74" s="24"/>
      <c r="F74" s="25"/>
      <c r="G74" s="25"/>
      <c r="H74" s="26"/>
      <c r="I74" s="26"/>
      <c r="J74" s="26"/>
      <c r="K74" s="26"/>
      <c r="L74" s="26"/>
      <c r="M74" s="26"/>
      <c r="N74" s="26"/>
      <c r="O74" s="27">
        <f>IF($B74&lt;&gt;"Challan","",H74+I74+J74+K74+L74+M74)</f>
      </c>
      <c r="P74" s="25"/>
      <c r="Q74" s="25"/>
      <c r="R74" s="25"/>
      <c r="S74" s="25"/>
      <c r="T74" s="25"/>
      <c r="U74" s="28"/>
      <c r="V74" s="28"/>
      <c r="W74" s="28"/>
      <c r="X74" s="29">
        <f>IF($B74&lt;&gt;"Entry","",IF(LEN(V74)&lt;4,"",IF(MID(V74,4,1)="P","Individual",IF(MID(V74,4,1)="H","HUF",IF(MID(V74,4,1)="C","Company",IF(MID(V74,4,1)="F","Firm",IF(MID(V74,4,1)="L","LLP",IF(MID(V74,4,1)="T","Trust",IF(MID(V74,4,1)="A","AOP",""))))))))</f>
      </c>
      <c r="Y74" s="28"/>
      <c r="Z74" s="30">
        <f>IF($B74&lt;&gt;"Entry","",IF(Y74="","",IF(W74="Y",SUMPRODUCT(('Rate Lookup'!$A$1:$A$32=Y74)*'Rate Lookup'!$D$1:$D$32),IF(OR(X74="Individual",X74="HUF"),SUMPRODUCT(('Rate Lookup'!$A$1:$A$32=Y74)*'Rate Lookup'!$B$1:$B$32),SUMPRODUCT(('Rate Lookup'!$A$1:$A$32=Y74)*'Rate Lookup'!$C$1:$C$32)))))</f>
      </c>
      <c r="AA74" s="31"/>
      <c r="AB74" s="32"/>
      <c r="AC74" s="27">
        <f>IF($B74&lt;&gt;"Entry","",ROUND(AB74*Z74/100,0))</f>
      </c>
      <c r="AD74" s="27">
        <f>IF($B74&lt;&gt;"Entry","",0)</f>
      </c>
      <c r="AE74" s="27">
        <f>IF($B74&lt;&gt;"Entry","",0)</f>
      </c>
      <c r="AF74" s="27">
        <f>IF($B74&lt;&gt;"Entry","",IF(OR(AC74=0,AA74="",AQ74="",AQ74&lt;=0),0,IF(AQ74&lt;=DATE(YEAR(AA74),MONTH(AA74)+1,7),0,ROUND(AC74*0.015*((YEAR(AQ74)-YEAR(AA74))*12+(MONTH(AQ74)-MONTH(AA74))+1),0))))</f>
      </c>
      <c r="AG74" s="27">
        <f>IF($B74&lt;&gt;"Entry","",0)</f>
      </c>
      <c r="AH74" s="28"/>
      <c r="AI74" s="28"/>
      <c r="AJ74" s="33"/>
      <c r="AK74" s="28"/>
      <c r="AL74" s="28"/>
      <c r="AM74" s="27">
        <f>IF($B74&lt;&gt;"Challan","",SUMIF($D$4:$D$207,D74,$AC$4:$AC$207)+SUMIF($D$4:$D$207,D74,$AF$4:$AF$207)+SUMIF($D$4:$D$207,D74,$AD$4:$AD$207))</f>
      </c>
      <c r="AN74" s="27">
        <f>IF($B74&lt;&gt;"Challan","",O74-M74)</f>
      </c>
      <c r="AO74" s="27">
        <f>IF($B74&lt;&gt;"Challan","",MAX(0,AN74-AM74))</f>
      </c>
      <c r="AP74" s="29">
        <f>IF($B74&lt;&gt;"Challan","",IF(ROUND(AM74-AN74,2)&gt;0,"Over-applied",IF(ROUND(AM74-AN74,2)=0,"Fully Utilised","Unconsumed")))</f>
      </c>
      <c r="AQ74" s="34">
        <f>IF($B74&lt;&gt;"Entry","",SUMPRODUCT(($D$4:$D$207=D74)*($B$4:$B$207="Challan")*$E$4:$E$207))</f>
      </c>
      <c r="AR74" s="35">
        <f>IF(OR($B74&lt;&gt;"Entry",Y74=""),FALSE,AND(SUMPRODUCT(($D$4:$D$207=D74)*($B$4:$B$207="Challan")*($G$4:$G$207&lt;&gt;""))&gt;0,SUMPRODUCT(($D$4:$D$207=D74)*($B$4:$B$207="Challan")*($G$4:$G$207=Y74))=0))</f>
      </c>
    </row>
    <row r="75" spans="1:44" x14ac:dyDescent="0.25">
      <c r="A75" s="21">
        <f>IF($B75="Entry",COUNTIF($B$4:$B75,"Entry"),"")</f>
      </c>
      <c r="B75" s="22"/>
      <c r="C75" s="23"/>
      <c r="D75" s="23"/>
      <c r="E75" s="24"/>
      <c r="F75" s="25"/>
      <c r="G75" s="25"/>
      <c r="H75" s="26"/>
      <c r="I75" s="26"/>
      <c r="J75" s="26"/>
      <c r="K75" s="26"/>
      <c r="L75" s="26"/>
      <c r="M75" s="26"/>
      <c r="N75" s="26"/>
      <c r="O75" s="27">
        <f>IF($B75&lt;&gt;"Challan","",H75+I75+J75+K75+L75+M75)</f>
      </c>
      <c r="P75" s="25"/>
      <c r="Q75" s="25"/>
      <c r="R75" s="25"/>
      <c r="S75" s="25"/>
      <c r="T75" s="25"/>
      <c r="U75" s="28"/>
      <c r="V75" s="28"/>
      <c r="W75" s="28"/>
      <c r="X75" s="29">
        <f>IF($B75&lt;&gt;"Entry","",IF(LEN(V75)&lt;4,"",IF(MID(V75,4,1)="P","Individual",IF(MID(V75,4,1)="H","HUF",IF(MID(V75,4,1)="C","Company",IF(MID(V75,4,1)="F","Firm",IF(MID(V75,4,1)="L","LLP",IF(MID(V75,4,1)="T","Trust",IF(MID(V75,4,1)="A","AOP",""))))))))</f>
      </c>
      <c r="Y75" s="28"/>
      <c r="Z75" s="30">
        <f>IF($B75&lt;&gt;"Entry","",IF(Y75="","",IF(W75="Y",SUMPRODUCT(('Rate Lookup'!$A$1:$A$32=Y75)*'Rate Lookup'!$D$1:$D$32),IF(OR(X75="Individual",X75="HUF"),SUMPRODUCT(('Rate Lookup'!$A$1:$A$32=Y75)*'Rate Lookup'!$B$1:$B$32),SUMPRODUCT(('Rate Lookup'!$A$1:$A$32=Y75)*'Rate Lookup'!$C$1:$C$32)))))</f>
      </c>
      <c r="AA75" s="31"/>
      <c r="AB75" s="32"/>
      <c r="AC75" s="27">
        <f>IF($B75&lt;&gt;"Entry","",ROUND(AB75*Z75/100,0))</f>
      </c>
      <c r="AD75" s="27">
        <f>IF($B75&lt;&gt;"Entry","",0)</f>
      </c>
      <c r="AE75" s="27">
        <f>IF($B75&lt;&gt;"Entry","",0)</f>
      </c>
      <c r="AF75" s="27">
        <f>IF($B75&lt;&gt;"Entry","",IF(OR(AC75=0,AA75="",AQ75="",AQ75&lt;=0),0,IF(AQ75&lt;=DATE(YEAR(AA75),MONTH(AA75)+1,7),0,ROUND(AC75*0.015*((YEAR(AQ75)-YEAR(AA75))*12+(MONTH(AQ75)-MONTH(AA75))+1),0))))</f>
      </c>
      <c r="AG75" s="27">
        <f>IF($B75&lt;&gt;"Entry","",0)</f>
      </c>
      <c r="AH75" s="28"/>
      <c r="AI75" s="28"/>
      <c r="AJ75" s="33"/>
      <c r="AK75" s="28"/>
      <c r="AL75" s="28"/>
      <c r="AM75" s="27">
        <f>IF($B75&lt;&gt;"Challan","",SUMIF($D$4:$D$207,D75,$AC$4:$AC$207)+SUMIF($D$4:$D$207,D75,$AF$4:$AF$207)+SUMIF($D$4:$D$207,D75,$AD$4:$AD$207))</f>
      </c>
      <c r="AN75" s="27">
        <f>IF($B75&lt;&gt;"Challan","",O75-M75)</f>
      </c>
      <c r="AO75" s="27">
        <f>IF($B75&lt;&gt;"Challan","",MAX(0,AN75-AM75))</f>
      </c>
      <c r="AP75" s="29">
        <f>IF($B75&lt;&gt;"Challan","",IF(ROUND(AM75-AN75,2)&gt;0,"Over-applied",IF(ROUND(AM75-AN75,2)=0,"Fully Utilised","Unconsumed")))</f>
      </c>
      <c r="AQ75" s="34">
        <f>IF($B75&lt;&gt;"Entry","",SUMPRODUCT(($D$4:$D$207=D75)*($B$4:$B$207="Challan")*$E$4:$E$207))</f>
      </c>
      <c r="AR75" s="35">
        <f>IF(OR($B75&lt;&gt;"Entry",Y75=""),FALSE,AND(SUMPRODUCT(($D$4:$D$207=D75)*($B$4:$B$207="Challan")*($G$4:$G$207&lt;&gt;""))&gt;0,SUMPRODUCT(($D$4:$D$207=D75)*($B$4:$B$207="Challan")*($G$4:$G$207=Y75))=0))</f>
      </c>
    </row>
    <row r="76" spans="1:44" x14ac:dyDescent="0.25">
      <c r="A76" s="21">
        <f>IF($B76="Entry",COUNTIF($B$4:$B76,"Entry"),"")</f>
      </c>
      <c r="B76" s="22"/>
      <c r="C76" s="23"/>
      <c r="D76" s="23"/>
      <c r="E76" s="24"/>
      <c r="F76" s="25"/>
      <c r="G76" s="25"/>
      <c r="H76" s="26"/>
      <c r="I76" s="26"/>
      <c r="J76" s="26"/>
      <c r="K76" s="26"/>
      <c r="L76" s="26"/>
      <c r="M76" s="26"/>
      <c r="N76" s="26"/>
      <c r="O76" s="27">
        <f>IF($B76&lt;&gt;"Challan","",H76+I76+J76+K76+L76+M76)</f>
      </c>
      <c r="P76" s="25"/>
      <c r="Q76" s="25"/>
      <c r="R76" s="25"/>
      <c r="S76" s="25"/>
      <c r="T76" s="25"/>
      <c r="U76" s="28"/>
      <c r="V76" s="28"/>
      <c r="W76" s="28"/>
      <c r="X76" s="29">
        <f>IF($B76&lt;&gt;"Entry","",IF(LEN(V76)&lt;4,"",IF(MID(V76,4,1)="P","Individual",IF(MID(V76,4,1)="H","HUF",IF(MID(V76,4,1)="C","Company",IF(MID(V76,4,1)="F","Firm",IF(MID(V76,4,1)="L","LLP",IF(MID(V76,4,1)="T","Trust",IF(MID(V76,4,1)="A","AOP",""))))))))</f>
      </c>
      <c r="Y76" s="28"/>
      <c r="Z76" s="30">
        <f>IF($B76&lt;&gt;"Entry","",IF(Y76="","",IF(W76="Y",SUMPRODUCT(('Rate Lookup'!$A$1:$A$32=Y76)*'Rate Lookup'!$D$1:$D$32),IF(OR(X76="Individual",X76="HUF"),SUMPRODUCT(('Rate Lookup'!$A$1:$A$32=Y76)*'Rate Lookup'!$B$1:$B$32),SUMPRODUCT(('Rate Lookup'!$A$1:$A$32=Y76)*'Rate Lookup'!$C$1:$C$32)))))</f>
      </c>
      <c r="AA76" s="31"/>
      <c r="AB76" s="32"/>
      <c r="AC76" s="27">
        <f>IF($B76&lt;&gt;"Entry","",ROUND(AB76*Z76/100,0))</f>
      </c>
      <c r="AD76" s="27">
        <f>IF($B76&lt;&gt;"Entry","",0)</f>
      </c>
      <c r="AE76" s="27">
        <f>IF($B76&lt;&gt;"Entry","",0)</f>
      </c>
      <c r="AF76" s="27">
        <f>IF($B76&lt;&gt;"Entry","",IF(OR(AC76=0,AA76="",AQ76="",AQ76&lt;=0),0,IF(AQ76&lt;=DATE(YEAR(AA76),MONTH(AA76)+1,7),0,ROUND(AC76*0.015*((YEAR(AQ76)-YEAR(AA76))*12+(MONTH(AQ76)-MONTH(AA76))+1),0))))</f>
      </c>
      <c r="AG76" s="27">
        <f>IF($B76&lt;&gt;"Entry","",0)</f>
      </c>
      <c r="AH76" s="28"/>
      <c r="AI76" s="28"/>
      <c r="AJ76" s="33"/>
      <c r="AK76" s="28"/>
      <c r="AL76" s="28"/>
      <c r="AM76" s="27">
        <f>IF($B76&lt;&gt;"Challan","",SUMIF($D$4:$D$207,D76,$AC$4:$AC$207)+SUMIF($D$4:$D$207,D76,$AF$4:$AF$207)+SUMIF($D$4:$D$207,D76,$AD$4:$AD$207))</f>
      </c>
      <c r="AN76" s="27">
        <f>IF($B76&lt;&gt;"Challan","",O76-M76)</f>
      </c>
      <c r="AO76" s="27">
        <f>IF($B76&lt;&gt;"Challan","",MAX(0,AN76-AM76))</f>
      </c>
      <c r="AP76" s="29">
        <f>IF($B76&lt;&gt;"Challan","",IF(ROUND(AM76-AN76,2)&gt;0,"Over-applied",IF(ROUND(AM76-AN76,2)=0,"Fully Utilised","Unconsumed")))</f>
      </c>
      <c r="AQ76" s="34">
        <f>IF($B76&lt;&gt;"Entry","",SUMPRODUCT(($D$4:$D$207=D76)*($B$4:$B$207="Challan")*$E$4:$E$207))</f>
      </c>
      <c r="AR76" s="35">
        <f>IF(OR($B76&lt;&gt;"Entry",Y76=""),FALSE,AND(SUMPRODUCT(($D$4:$D$207=D76)*($B$4:$B$207="Challan")*($G$4:$G$207&lt;&gt;""))&gt;0,SUMPRODUCT(($D$4:$D$207=D76)*($B$4:$B$207="Challan")*($G$4:$G$207=Y76))=0))</f>
      </c>
    </row>
    <row r="77" spans="1:44" x14ac:dyDescent="0.25">
      <c r="A77" s="21">
        <f>IF($B77="Entry",COUNTIF($B$4:$B77,"Entry"),"")</f>
      </c>
      <c r="B77" s="22"/>
      <c r="C77" s="23"/>
      <c r="D77" s="23"/>
      <c r="E77" s="24"/>
      <c r="F77" s="25"/>
      <c r="G77" s="25"/>
      <c r="H77" s="26"/>
      <c r="I77" s="26"/>
      <c r="J77" s="26"/>
      <c r="K77" s="26"/>
      <c r="L77" s="26"/>
      <c r="M77" s="26"/>
      <c r="N77" s="26"/>
      <c r="O77" s="27">
        <f>IF($B77&lt;&gt;"Challan","",H77+I77+J77+K77+L77+M77)</f>
      </c>
      <c r="P77" s="25"/>
      <c r="Q77" s="25"/>
      <c r="R77" s="25"/>
      <c r="S77" s="25"/>
      <c r="T77" s="25"/>
      <c r="U77" s="28"/>
      <c r="V77" s="28"/>
      <c r="W77" s="28"/>
      <c r="X77" s="29">
        <f>IF($B77&lt;&gt;"Entry","",IF(LEN(V77)&lt;4,"",IF(MID(V77,4,1)="P","Individual",IF(MID(V77,4,1)="H","HUF",IF(MID(V77,4,1)="C","Company",IF(MID(V77,4,1)="F","Firm",IF(MID(V77,4,1)="L","LLP",IF(MID(V77,4,1)="T","Trust",IF(MID(V77,4,1)="A","AOP",""))))))))</f>
      </c>
      <c r="Y77" s="28"/>
      <c r="Z77" s="30">
        <f>IF($B77&lt;&gt;"Entry","",IF(Y77="","",IF(W77="Y",SUMPRODUCT(('Rate Lookup'!$A$1:$A$32=Y77)*'Rate Lookup'!$D$1:$D$32),IF(OR(X77="Individual",X77="HUF"),SUMPRODUCT(('Rate Lookup'!$A$1:$A$32=Y77)*'Rate Lookup'!$B$1:$B$32),SUMPRODUCT(('Rate Lookup'!$A$1:$A$32=Y77)*'Rate Lookup'!$C$1:$C$32)))))</f>
      </c>
      <c r="AA77" s="31"/>
      <c r="AB77" s="32"/>
      <c r="AC77" s="27">
        <f>IF($B77&lt;&gt;"Entry","",ROUND(AB77*Z77/100,0))</f>
      </c>
      <c r="AD77" s="27">
        <f>IF($B77&lt;&gt;"Entry","",0)</f>
      </c>
      <c r="AE77" s="27">
        <f>IF($B77&lt;&gt;"Entry","",0)</f>
      </c>
      <c r="AF77" s="27">
        <f>IF($B77&lt;&gt;"Entry","",IF(OR(AC77=0,AA77="",AQ77="",AQ77&lt;=0),0,IF(AQ77&lt;=DATE(YEAR(AA77),MONTH(AA77)+1,7),0,ROUND(AC77*0.015*((YEAR(AQ77)-YEAR(AA77))*12+(MONTH(AQ77)-MONTH(AA77))+1),0))))</f>
      </c>
      <c r="AG77" s="27">
        <f>IF($B77&lt;&gt;"Entry","",0)</f>
      </c>
      <c r="AH77" s="28"/>
      <c r="AI77" s="28"/>
      <c r="AJ77" s="33"/>
      <c r="AK77" s="28"/>
      <c r="AL77" s="28"/>
      <c r="AM77" s="27">
        <f>IF($B77&lt;&gt;"Challan","",SUMIF($D$4:$D$207,D77,$AC$4:$AC$207)+SUMIF($D$4:$D$207,D77,$AF$4:$AF$207)+SUMIF($D$4:$D$207,D77,$AD$4:$AD$207))</f>
      </c>
      <c r="AN77" s="27">
        <f>IF($B77&lt;&gt;"Challan","",O77-M77)</f>
      </c>
      <c r="AO77" s="27">
        <f>IF($B77&lt;&gt;"Challan","",MAX(0,AN77-AM77))</f>
      </c>
      <c r="AP77" s="29">
        <f>IF($B77&lt;&gt;"Challan","",IF(ROUND(AM77-AN77,2)&gt;0,"Over-applied",IF(ROUND(AM77-AN77,2)=0,"Fully Utilised","Unconsumed")))</f>
      </c>
      <c r="AQ77" s="34">
        <f>IF($B77&lt;&gt;"Entry","",SUMPRODUCT(($D$4:$D$207=D77)*($B$4:$B$207="Challan")*$E$4:$E$207))</f>
      </c>
      <c r="AR77" s="35">
        <f>IF(OR($B77&lt;&gt;"Entry",Y77=""),FALSE,AND(SUMPRODUCT(($D$4:$D$207=D77)*($B$4:$B$207="Challan")*($G$4:$G$207&lt;&gt;""))&gt;0,SUMPRODUCT(($D$4:$D$207=D77)*($B$4:$B$207="Challan")*($G$4:$G$207=Y77))=0))</f>
      </c>
    </row>
    <row r="78" spans="1:44" x14ac:dyDescent="0.25">
      <c r="A78" s="21">
        <f>IF($B78="Entry",COUNTIF($B$4:$B78,"Entry"),"")</f>
      </c>
      <c r="B78" s="22"/>
      <c r="C78" s="23"/>
      <c r="D78" s="23"/>
      <c r="E78" s="24"/>
      <c r="F78" s="25"/>
      <c r="G78" s="25"/>
      <c r="H78" s="26"/>
      <c r="I78" s="26"/>
      <c r="J78" s="26"/>
      <c r="K78" s="26"/>
      <c r="L78" s="26"/>
      <c r="M78" s="26"/>
      <c r="N78" s="26"/>
      <c r="O78" s="27">
        <f>IF($B78&lt;&gt;"Challan","",H78+I78+J78+K78+L78+M78)</f>
      </c>
      <c r="P78" s="25"/>
      <c r="Q78" s="25"/>
      <c r="R78" s="25"/>
      <c r="S78" s="25"/>
      <c r="T78" s="25"/>
      <c r="U78" s="28"/>
      <c r="V78" s="28"/>
      <c r="W78" s="28"/>
      <c r="X78" s="29">
        <f>IF($B78&lt;&gt;"Entry","",IF(LEN(V78)&lt;4,"",IF(MID(V78,4,1)="P","Individual",IF(MID(V78,4,1)="H","HUF",IF(MID(V78,4,1)="C","Company",IF(MID(V78,4,1)="F","Firm",IF(MID(V78,4,1)="L","LLP",IF(MID(V78,4,1)="T","Trust",IF(MID(V78,4,1)="A","AOP",""))))))))</f>
      </c>
      <c r="Y78" s="28"/>
      <c r="Z78" s="30">
        <f>IF($B78&lt;&gt;"Entry","",IF(Y78="","",IF(W78="Y",SUMPRODUCT(('Rate Lookup'!$A$1:$A$32=Y78)*'Rate Lookup'!$D$1:$D$32),IF(OR(X78="Individual",X78="HUF"),SUMPRODUCT(('Rate Lookup'!$A$1:$A$32=Y78)*'Rate Lookup'!$B$1:$B$32),SUMPRODUCT(('Rate Lookup'!$A$1:$A$32=Y78)*'Rate Lookup'!$C$1:$C$32)))))</f>
      </c>
      <c r="AA78" s="31"/>
      <c r="AB78" s="32"/>
      <c r="AC78" s="27">
        <f>IF($B78&lt;&gt;"Entry","",ROUND(AB78*Z78/100,0))</f>
      </c>
      <c r="AD78" s="27">
        <f>IF($B78&lt;&gt;"Entry","",0)</f>
      </c>
      <c r="AE78" s="27">
        <f>IF($B78&lt;&gt;"Entry","",0)</f>
      </c>
      <c r="AF78" s="27">
        <f>IF($B78&lt;&gt;"Entry","",IF(OR(AC78=0,AA78="",AQ78="",AQ78&lt;=0),0,IF(AQ78&lt;=DATE(YEAR(AA78),MONTH(AA78)+1,7),0,ROUND(AC78*0.015*((YEAR(AQ78)-YEAR(AA78))*12+(MONTH(AQ78)-MONTH(AA78))+1),0))))</f>
      </c>
      <c r="AG78" s="27">
        <f>IF($B78&lt;&gt;"Entry","",0)</f>
      </c>
      <c r="AH78" s="28"/>
      <c r="AI78" s="28"/>
      <c r="AJ78" s="33"/>
      <c r="AK78" s="28"/>
      <c r="AL78" s="28"/>
      <c r="AM78" s="27">
        <f>IF($B78&lt;&gt;"Challan","",SUMIF($D$4:$D$207,D78,$AC$4:$AC$207)+SUMIF($D$4:$D$207,D78,$AF$4:$AF$207)+SUMIF($D$4:$D$207,D78,$AD$4:$AD$207))</f>
      </c>
      <c r="AN78" s="27">
        <f>IF($B78&lt;&gt;"Challan","",O78-M78)</f>
      </c>
      <c r="AO78" s="27">
        <f>IF($B78&lt;&gt;"Challan","",MAX(0,AN78-AM78))</f>
      </c>
      <c r="AP78" s="29">
        <f>IF($B78&lt;&gt;"Challan","",IF(ROUND(AM78-AN78,2)&gt;0,"Over-applied",IF(ROUND(AM78-AN78,2)=0,"Fully Utilised","Unconsumed")))</f>
      </c>
      <c r="AQ78" s="34">
        <f>IF($B78&lt;&gt;"Entry","",SUMPRODUCT(($D$4:$D$207=D78)*($B$4:$B$207="Challan")*$E$4:$E$207))</f>
      </c>
      <c r="AR78" s="35">
        <f>IF(OR($B78&lt;&gt;"Entry",Y78=""),FALSE,AND(SUMPRODUCT(($D$4:$D$207=D78)*($B$4:$B$207="Challan")*($G$4:$G$207&lt;&gt;""))&gt;0,SUMPRODUCT(($D$4:$D$207=D78)*($B$4:$B$207="Challan")*($G$4:$G$207=Y78))=0))</f>
      </c>
    </row>
    <row r="79" spans="1:44" x14ac:dyDescent="0.25">
      <c r="A79" s="21">
        <f>IF($B79="Entry",COUNTIF($B$4:$B79,"Entry"),"")</f>
      </c>
      <c r="B79" s="22"/>
      <c r="C79" s="23"/>
      <c r="D79" s="23"/>
      <c r="E79" s="24"/>
      <c r="F79" s="25"/>
      <c r="G79" s="25"/>
      <c r="H79" s="26"/>
      <c r="I79" s="26"/>
      <c r="J79" s="26"/>
      <c r="K79" s="26"/>
      <c r="L79" s="26"/>
      <c r="M79" s="26"/>
      <c r="N79" s="26"/>
      <c r="O79" s="27">
        <f>IF($B79&lt;&gt;"Challan","",H79+I79+J79+K79+L79+M79)</f>
      </c>
      <c r="P79" s="25"/>
      <c r="Q79" s="25"/>
      <c r="R79" s="25"/>
      <c r="S79" s="25"/>
      <c r="T79" s="25"/>
      <c r="U79" s="28"/>
      <c r="V79" s="28"/>
      <c r="W79" s="28"/>
      <c r="X79" s="29">
        <f>IF($B79&lt;&gt;"Entry","",IF(LEN(V79)&lt;4,"",IF(MID(V79,4,1)="P","Individual",IF(MID(V79,4,1)="H","HUF",IF(MID(V79,4,1)="C","Company",IF(MID(V79,4,1)="F","Firm",IF(MID(V79,4,1)="L","LLP",IF(MID(V79,4,1)="T","Trust",IF(MID(V79,4,1)="A","AOP",""))))))))</f>
      </c>
      <c r="Y79" s="28"/>
      <c r="Z79" s="30">
        <f>IF($B79&lt;&gt;"Entry","",IF(Y79="","",IF(W79="Y",SUMPRODUCT(('Rate Lookup'!$A$1:$A$32=Y79)*'Rate Lookup'!$D$1:$D$32),IF(OR(X79="Individual",X79="HUF"),SUMPRODUCT(('Rate Lookup'!$A$1:$A$32=Y79)*'Rate Lookup'!$B$1:$B$32),SUMPRODUCT(('Rate Lookup'!$A$1:$A$32=Y79)*'Rate Lookup'!$C$1:$C$32)))))</f>
      </c>
      <c r="AA79" s="31"/>
      <c r="AB79" s="32"/>
      <c r="AC79" s="27">
        <f>IF($B79&lt;&gt;"Entry","",ROUND(AB79*Z79/100,0))</f>
      </c>
      <c r="AD79" s="27">
        <f>IF($B79&lt;&gt;"Entry","",0)</f>
      </c>
      <c r="AE79" s="27">
        <f>IF($B79&lt;&gt;"Entry","",0)</f>
      </c>
      <c r="AF79" s="27">
        <f>IF($B79&lt;&gt;"Entry","",IF(OR(AC79=0,AA79="",AQ79="",AQ79&lt;=0),0,IF(AQ79&lt;=DATE(YEAR(AA79),MONTH(AA79)+1,7),0,ROUND(AC79*0.015*((YEAR(AQ79)-YEAR(AA79))*12+(MONTH(AQ79)-MONTH(AA79))+1),0))))</f>
      </c>
      <c r="AG79" s="27">
        <f>IF($B79&lt;&gt;"Entry","",0)</f>
      </c>
      <c r="AH79" s="28"/>
      <c r="AI79" s="28"/>
      <c r="AJ79" s="33"/>
      <c r="AK79" s="28"/>
      <c r="AL79" s="28"/>
      <c r="AM79" s="27">
        <f>IF($B79&lt;&gt;"Challan","",SUMIF($D$4:$D$207,D79,$AC$4:$AC$207)+SUMIF($D$4:$D$207,D79,$AF$4:$AF$207)+SUMIF($D$4:$D$207,D79,$AD$4:$AD$207))</f>
      </c>
      <c r="AN79" s="27">
        <f>IF($B79&lt;&gt;"Challan","",O79-M79)</f>
      </c>
      <c r="AO79" s="27">
        <f>IF($B79&lt;&gt;"Challan","",MAX(0,AN79-AM79))</f>
      </c>
      <c r="AP79" s="29">
        <f>IF($B79&lt;&gt;"Challan","",IF(ROUND(AM79-AN79,2)&gt;0,"Over-applied",IF(ROUND(AM79-AN79,2)=0,"Fully Utilised","Unconsumed")))</f>
      </c>
      <c r="AQ79" s="34">
        <f>IF($B79&lt;&gt;"Entry","",SUMPRODUCT(($D$4:$D$207=D79)*($B$4:$B$207="Challan")*$E$4:$E$207))</f>
      </c>
      <c r="AR79" s="35">
        <f>IF(OR($B79&lt;&gt;"Entry",Y79=""),FALSE,AND(SUMPRODUCT(($D$4:$D$207=D79)*($B$4:$B$207="Challan")*($G$4:$G$207&lt;&gt;""))&gt;0,SUMPRODUCT(($D$4:$D$207=D79)*($B$4:$B$207="Challan")*($G$4:$G$207=Y79))=0))</f>
      </c>
    </row>
    <row r="80" spans="1:44" x14ac:dyDescent="0.25">
      <c r="A80" s="21">
        <f>IF($B80="Entry",COUNTIF($B$4:$B80,"Entry"),"")</f>
      </c>
      <c r="B80" s="22"/>
      <c r="C80" s="23"/>
      <c r="D80" s="23"/>
      <c r="E80" s="24"/>
      <c r="F80" s="25"/>
      <c r="G80" s="25"/>
      <c r="H80" s="26"/>
      <c r="I80" s="26"/>
      <c r="J80" s="26"/>
      <c r="K80" s="26"/>
      <c r="L80" s="26"/>
      <c r="M80" s="26"/>
      <c r="N80" s="26"/>
      <c r="O80" s="27">
        <f>IF($B80&lt;&gt;"Challan","",H80+I80+J80+K80+L80+M80)</f>
      </c>
      <c r="P80" s="25"/>
      <c r="Q80" s="25"/>
      <c r="R80" s="25"/>
      <c r="S80" s="25"/>
      <c r="T80" s="25"/>
      <c r="U80" s="28"/>
      <c r="V80" s="28"/>
      <c r="W80" s="28"/>
      <c r="X80" s="29">
        <f>IF($B80&lt;&gt;"Entry","",IF(LEN(V80)&lt;4,"",IF(MID(V80,4,1)="P","Individual",IF(MID(V80,4,1)="H","HUF",IF(MID(V80,4,1)="C","Company",IF(MID(V80,4,1)="F","Firm",IF(MID(V80,4,1)="L","LLP",IF(MID(V80,4,1)="T","Trust",IF(MID(V80,4,1)="A","AOP",""))))))))</f>
      </c>
      <c r="Y80" s="28"/>
      <c r="Z80" s="30">
        <f>IF($B80&lt;&gt;"Entry","",IF(Y80="","",IF(W80="Y",SUMPRODUCT(('Rate Lookup'!$A$1:$A$32=Y80)*'Rate Lookup'!$D$1:$D$32),IF(OR(X80="Individual",X80="HUF"),SUMPRODUCT(('Rate Lookup'!$A$1:$A$32=Y80)*'Rate Lookup'!$B$1:$B$32),SUMPRODUCT(('Rate Lookup'!$A$1:$A$32=Y80)*'Rate Lookup'!$C$1:$C$32)))))</f>
      </c>
      <c r="AA80" s="31"/>
      <c r="AB80" s="32"/>
      <c r="AC80" s="27">
        <f>IF($B80&lt;&gt;"Entry","",ROUND(AB80*Z80/100,0))</f>
      </c>
      <c r="AD80" s="27">
        <f>IF($B80&lt;&gt;"Entry","",0)</f>
      </c>
      <c r="AE80" s="27">
        <f>IF($B80&lt;&gt;"Entry","",0)</f>
      </c>
      <c r="AF80" s="27">
        <f>IF($B80&lt;&gt;"Entry","",IF(OR(AC80=0,AA80="",AQ80="",AQ80&lt;=0),0,IF(AQ80&lt;=DATE(YEAR(AA80),MONTH(AA80)+1,7),0,ROUND(AC80*0.015*((YEAR(AQ80)-YEAR(AA80))*12+(MONTH(AQ80)-MONTH(AA80))+1),0))))</f>
      </c>
      <c r="AG80" s="27">
        <f>IF($B80&lt;&gt;"Entry","",0)</f>
      </c>
      <c r="AH80" s="28"/>
      <c r="AI80" s="28"/>
      <c r="AJ80" s="33"/>
      <c r="AK80" s="28"/>
      <c r="AL80" s="28"/>
      <c r="AM80" s="27">
        <f>IF($B80&lt;&gt;"Challan","",SUMIF($D$4:$D$207,D80,$AC$4:$AC$207)+SUMIF($D$4:$D$207,D80,$AF$4:$AF$207)+SUMIF($D$4:$D$207,D80,$AD$4:$AD$207))</f>
      </c>
      <c r="AN80" s="27">
        <f>IF($B80&lt;&gt;"Challan","",O80-M80)</f>
      </c>
      <c r="AO80" s="27">
        <f>IF($B80&lt;&gt;"Challan","",MAX(0,AN80-AM80))</f>
      </c>
      <c r="AP80" s="29">
        <f>IF($B80&lt;&gt;"Challan","",IF(ROUND(AM80-AN80,2)&gt;0,"Over-applied",IF(ROUND(AM80-AN80,2)=0,"Fully Utilised","Unconsumed")))</f>
      </c>
      <c r="AQ80" s="34">
        <f>IF($B80&lt;&gt;"Entry","",SUMPRODUCT(($D$4:$D$207=D80)*($B$4:$B$207="Challan")*$E$4:$E$207))</f>
      </c>
      <c r="AR80" s="35">
        <f>IF(OR($B80&lt;&gt;"Entry",Y80=""),FALSE,AND(SUMPRODUCT(($D$4:$D$207=D80)*($B$4:$B$207="Challan")*($G$4:$G$207&lt;&gt;""))&gt;0,SUMPRODUCT(($D$4:$D$207=D80)*($B$4:$B$207="Challan")*($G$4:$G$207=Y80))=0))</f>
      </c>
    </row>
    <row r="81" spans="1:44" x14ac:dyDescent="0.25">
      <c r="A81" s="21">
        <f>IF($B81="Entry",COUNTIF($B$4:$B81,"Entry"),"")</f>
      </c>
      <c r="B81" s="22"/>
      <c r="C81" s="23"/>
      <c r="D81" s="23"/>
      <c r="E81" s="24"/>
      <c r="F81" s="25"/>
      <c r="G81" s="25"/>
      <c r="H81" s="26"/>
      <c r="I81" s="26"/>
      <c r="J81" s="26"/>
      <c r="K81" s="26"/>
      <c r="L81" s="26"/>
      <c r="M81" s="26"/>
      <c r="N81" s="26"/>
      <c r="O81" s="27">
        <f>IF($B81&lt;&gt;"Challan","",H81+I81+J81+K81+L81+M81)</f>
      </c>
      <c r="P81" s="25"/>
      <c r="Q81" s="25"/>
      <c r="R81" s="25"/>
      <c r="S81" s="25"/>
      <c r="T81" s="25"/>
      <c r="U81" s="28"/>
      <c r="V81" s="28"/>
      <c r="W81" s="28"/>
      <c r="X81" s="29">
        <f>IF($B81&lt;&gt;"Entry","",IF(LEN(V81)&lt;4,"",IF(MID(V81,4,1)="P","Individual",IF(MID(V81,4,1)="H","HUF",IF(MID(V81,4,1)="C","Company",IF(MID(V81,4,1)="F","Firm",IF(MID(V81,4,1)="L","LLP",IF(MID(V81,4,1)="T","Trust",IF(MID(V81,4,1)="A","AOP",""))))))))</f>
      </c>
      <c r="Y81" s="28"/>
      <c r="Z81" s="30">
        <f>IF($B81&lt;&gt;"Entry","",IF(Y81="","",IF(W81="Y",SUMPRODUCT(('Rate Lookup'!$A$1:$A$32=Y81)*'Rate Lookup'!$D$1:$D$32),IF(OR(X81="Individual",X81="HUF"),SUMPRODUCT(('Rate Lookup'!$A$1:$A$32=Y81)*'Rate Lookup'!$B$1:$B$32),SUMPRODUCT(('Rate Lookup'!$A$1:$A$32=Y81)*'Rate Lookup'!$C$1:$C$32)))))</f>
      </c>
      <c r="AA81" s="31"/>
      <c r="AB81" s="32"/>
      <c r="AC81" s="27">
        <f>IF($B81&lt;&gt;"Entry","",ROUND(AB81*Z81/100,0))</f>
      </c>
      <c r="AD81" s="27">
        <f>IF($B81&lt;&gt;"Entry","",0)</f>
      </c>
      <c r="AE81" s="27">
        <f>IF($B81&lt;&gt;"Entry","",0)</f>
      </c>
      <c r="AF81" s="27">
        <f>IF($B81&lt;&gt;"Entry","",IF(OR(AC81=0,AA81="",AQ81="",AQ81&lt;=0),0,IF(AQ81&lt;=DATE(YEAR(AA81),MONTH(AA81)+1,7),0,ROUND(AC81*0.015*((YEAR(AQ81)-YEAR(AA81))*12+(MONTH(AQ81)-MONTH(AA81))+1),0))))</f>
      </c>
      <c r="AG81" s="27">
        <f>IF($B81&lt;&gt;"Entry","",0)</f>
      </c>
      <c r="AH81" s="28"/>
      <c r="AI81" s="28"/>
      <c r="AJ81" s="33"/>
      <c r="AK81" s="28"/>
      <c r="AL81" s="28"/>
      <c r="AM81" s="27">
        <f>IF($B81&lt;&gt;"Challan","",SUMIF($D$4:$D$207,D81,$AC$4:$AC$207)+SUMIF($D$4:$D$207,D81,$AF$4:$AF$207)+SUMIF($D$4:$D$207,D81,$AD$4:$AD$207))</f>
      </c>
      <c r="AN81" s="27">
        <f>IF($B81&lt;&gt;"Challan","",O81-M81)</f>
      </c>
      <c r="AO81" s="27">
        <f>IF($B81&lt;&gt;"Challan","",MAX(0,AN81-AM81))</f>
      </c>
      <c r="AP81" s="29">
        <f>IF($B81&lt;&gt;"Challan","",IF(ROUND(AM81-AN81,2)&gt;0,"Over-applied",IF(ROUND(AM81-AN81,2)=0,"Fully Utilised","Unconsumed")))</f>
      </c>
      <c r="AQ81" s="34">
        <f>IF($B81&lt;&gt;"Entry","",SUMPRODUCT(($D$4:$D$207=D81)*($B$4:$B$207="Challan")*$E$4:$E$207))</f>
      </c>
      <c r="AR81" s="35">
        <f>IF(OR($B81&lt;&gt;"Entry",Y81=""),FALSE,AND(SUMPRODUCT(($D$4:$D$207=D81)*($B$4:$B$207="Challan")*($G$4:$G$207&lt;&gt;""))&gt;0,SUMPRODUCT(($D$4:$D$207=D81)*($B$4:$B$207="Challan")*($G$4:$G$207=Y81))=0))</f>
      </c>
    </row>
    <row r="82" spans="1:44" x14ac:dyDescent="0.25">
      <c r="A82" s="21">
        <f>IF($B82="Entry",COUNTIF($B$4:$B82,"Entry"),"")</f>
      </c>
      <c r="B82" s="22"/>
      <c r="C82" s="23"/>
      <c r="D82" s="23"/>
      <c r="E82" s="24"/>
      <c r="F82" s="25"/>
      <c r="G82" s="25"/>
      <c r="H82" s="26"/>
      <c r="I82" s="26"/>
      <c r="J82" s="26"/>
      <c r="K82" s="26"/>
      <c r="L82" s="26"/>
      <c r="M82" s="26"/>
      <c r="N82" s="26"/>
      <c r="O82" s="27">
        <f>IF($B82&lt;&gt;"Challan","",H82+I82+J82+K82+L82+M82)</f>
      </c>
      <c r="P82" s="25"/>
      <c r="Q82" s="25"/>
      <c r="R82" s="25"/>
      <c r="S82" s="25"/>
      <c r="T82" s="25"/>
      <c r="U82" s="28"/>
      <c r="V82" s="28"/>
      <c r="W82" s="28"/>
      <c r="X82" s="29">
        <f>IF($B82&lt;&gt;"Entry","",IF(LEN(V82)&lt;4,"",IF(MID(V82,4,1)="P","Individual",IF(MID(V82,4,1)="H","HUF",IF(MID(V82,4,1)="C","Company",IF(MID(V82,4,1)="F","Firm",IF(MID(V82,4,1)="L","LLP",IF(MID(V82,4,1)="T","Trust",IF(MID(V82,4,1)="A","AOP",""))))))))</f>
      </c>
      <c r="Y82" s="28"/>
      <c r="Z82" s="30">
        <f>IF($B82&lt;&gt;"Entry","",IF(Y82="","",IF(W82="Y",SUMPRODUCT(('Rate Lookup'!$A$1:$A$32=Y82)*'Rate Lookup'!$D$1:$D$32),IF(OR(X82="Individual",X82="HUF"),SUMPRODUCT(('Rate Lookup'!$A$1:$A$32=Y82)*'Rate Lookup'!$B$1:$B$32),SUMPRODUCT(('Rate Lookup'!$A$1:$A$32=Y82)*'Rate Lookup'!$C$1:$C$32)))))</f>
      </c>
      <c r="AA82" s="31"/>
      <c r="AB82" s="32"/>
      <c r="AC82" s="27">
        <f>IF($B82&lt;&gt;"Entry","",ROUND(AB82*Z82/100,0))</f>
      </c>
      <c r="AD82" s="27">
        <f>IF($B82&lt;&gt;"Entry","",0)</f>
      </c>
      <c r="AE82" s="27">
        <f>IF($B82&lt;&gt;"Entry","",0)</f>
      </c>
      <c r="AF82" s="27">
        <f>IF($B82&lt;&gt;"Entry","",IF(OR(AC82=0,AA82="",AQ82="",AQ82&lt;=0),0,IF(AQ82&lt;=DATE(YEAR(AA82),MONTH(AA82)+1,7),0,ROUND(AC82*0.015*((YEAR(AQ82)-YEAR(AA82))*12+(MONTH(AQ82)-MONTH(AA82))+1),0))))</f>
      </c>
      <c r="AG82" s="27">
        <f>IF($B82&lt;&gt;"Entry","",0)</f>
      </c>
      <c r="AH82" s="28"/>
      <c r="AI82" s="28"/>
      <c r="AJ82" s="33"/>
      <c r="AK82" s="28"/>
      <c r="AL82" s="28"/>
      <c r="AM82" s="27">
        <f>IF($B82&lt;&gt;"Challan","",SUMIF($D$4:$D$207,D82,$AC$4:$AC$207)+SUMIF($D$4:$D$207,D82,$AF$4:$AF$207)+SUMIF($D$4:$D$207,D82,$AD$4:$AD$207))</f>
      </c>
      <c r="AN82" s="27">
        <f>IF($B82&lt;&gt;"Challan","",O82-M82)</f>
      </c>
      <c r="AO82" s="27">
        <f>IF($B82&lt;&gt;"Challan","",MAX(0,AN82-AM82))</f>
      </c>
      <c r="AP82" s="29">
        <f>IF($B82&lt;&gt;"Challan","",IF(ROUND(AM82-AN82,2)&gt;0,"Over-applied",IF(ROUND(AM82-AN82,2)=0,"Fully Utilised","Unconsumed")))</f>
      </c>
      <c r="AQ82" s="34">
        <f>IF($B82&lt;&gt;"Entry","",SUMPRODUCT(($D$4:$D$207=D82)*($B$4:$B$207="Challan")*$E$4:$E$207))</f>
      </c>
      <c r="AR82" s="35">
        <f>IF(OR($B82&lt;&gt;"Entry",Y82=""),FALSE,AND(SUMPRODUCT(($D$4:$D$207=D82)*($B$4:$B$207="Challan")*($G$4:$G$207&lt;&gt;""))&gt;0,SUMPRODUCT(($D$4:$D$207=D82)*($B$4:$B$207="Challan")*($G$4:$G$207=Y82))=0))</f>
      </c>
    </row>
    <row r="83" spans="1:44" x14ac:dyDescent="0.25">
      <c r="A83" s="21">
        <f>IF($B83="Entry",COUNTIF($B$4:$B83,"Entry"),"")</f>
      </c>
      <c r="B83" s="22"/>
      <c r="C83" s="23"/>
      <c r="D83" s="23"/>
      <c r="E83" s="24"/>
      <c r="F83" s="25"/>
      <c r="G83" s="25"/>
      <c r="H83" s="26"/>
      <c r="I83" s="26"/>
      <c r="J83" s="26"/>
      <c r="K83" s="26"/>
      <c r="L83" s="26"/>
      <c r="M83" s="26"/>
      <c r="N83" s="26"/>
      <c r="O83" s="27">
        <f>IF($B83&lt;&gt;"Challan","",H83+I83+J83+K83+L83+M83)</f>
      </c>
      <c r="P83" s="25"/>
      <c r="Q83" s="25"/>
      <c r="R83" s="25"/>
      <c r="S83" s="25"/>
      <c r="T83" s="25"/>
      <c r="U83" s="28"/>
      <c r="V83" s="28"/>
      <c r="W83" s="28"/>
      <c r="X83" s="29">
        <f>IF($B83&lt;&gt;"Entry","",IF(LEN(V83)&lt;4,"",IF(MID(V83,4,1)="P","Individual",IF(MID(V83,4,1)="H","HUF",IF(MID(V83,4,1)="C","Company",IF(MID(V83,4,1)="F","Firm",IF(MID(V83,4,1)="L","LLP",IF(MID(V83,4,1)="T","Trust",IF(MID(V83,4,1)="A","AOP",""))))))))</f>
      </c>
      <c r="Y83" s="28"/>
      <c r="Z83" s="30">
        <f>IF($B83&lt;&gt;"Entry","",IF(Y83="","",IF(W83="Y",SUMPRODUCT(('Rate Lookup'!$A$1:$A$32=Y83)*'Rate Lookup'!$D$1:$D$32),IF(OR(X83="Individual",X83="HUF"),SUMPRODUCT(('Rate Lookup'!$A$1:$A$32=Y83)*'Rate Lookup'!$B$1:$B$32),SUMPRODUCT(('Rate Lookup'!$A$1:$A$32=Y83)*'Rate Lookup'!$C$1:$C$32)))))</f>
      </c>
      <c r="AA83" s="31"/>
      <c r="AB83" s="32"/>
      <c r="AC83" s="27">
        <f>IF($B83&lt;&gt;"Entry","",ROUND(AB83*Z83/100,0))</f>
      </c>
      <c r="AD83" s="27">
        <f>IF($B83&lt;&gt;"Entry","",0)</f>
      </c>
      <c r="AE83" s="27">
        <f>IF($B83&lt;&gt;"Entry","",0)</f>
      </c>
      <c r="AF83" s="27">
        <f>IF($B83&lt;&gt;"Entry","",IF(OR(AC83=0,AA83="",AQ83="",AQ83&lt;=0),0,IF(AQ83&lt;=DATE(YEAR(AA83),MONTH(AA83)+1,7),0,ROUND(AC83*0.015*((YEAR(AQ83)-YEAR(AA83))*12+(MONTH(AQ83)-MONTH(AA83))+1),0))))</f>
      </c>
      <c r="AG83" s="27">
        <f>IF($B83&lt;&gt;"Entry","",0)</f>
      </c>
      <c r="AH83" s="28"/>
      <c r="AI83" s="28"/>
      <c r="AJ83" s="33"/>
      <c r="AK83" s="28"/>
      <c r="AL83" s="28"/>
      <c r="AM83" s="27">
        <f>IF($B83&lt;&gt;"Challan","",SUMIF($D$4:$D$207,D83,$AC$4:$AC$207)+SUMIF($D$4:$D$207,D83,$AF$4:$AF$207)+SUMIF($D$4:$D$207,D83,$AD$4:$AD$207))</f>
      </c>
      <c r="AN83" s="27">
        <f>IF($B83&lt;&gt;"Challan","",O83-M83)</f>
      </c>
      <c r="AO83" s="27">
        <f>IF($B83&lt;&gt;"Challan","",MAX(0,AN83-AM83))</f>
      </c>
      <c r="AP83" s="29">
        <f>IF($B83&lt;&gt;"Challan","",IF(ROUND(AM83-AN83,2)&gt;0,"Over-applied",IF(ROUND(AM83-AN83,2)=0,"Fully Utilised","Unconsumed")))</f>
      </c>
      <c r="AQ83" s="34">
        <f>IF($B83&lt;&gt;"Entry","",SUMPRODUCT(($D$4:$D$207=D83)*($B$4:$B$207="Challan")*$E$4:$E$207))</f>
      </c>
      <c r="AR83" s="35">
        <f>IF(OR($B83&lt;&gt;"Entry",Y83=""),FALSE,AND(SUMPRODUCT(($D$4:$D$207=D83)*($B$4:$B$207="Challan")*($G$4:$G$207&lt;&gt;""))&gt;0,SUMPRODUCT(($D$4:$D$207=D83)*($B$4:$B$207="Challan")*($G$4:$G$207=Y83))=0))</f>
      </c>
    </row>
    <row r="84" spans="1:44" x14ac:dyDescent="0.25">
      <c r="A84" s="21">
        <f>IF($B84="Entry",COUNTIF($B$4:$B84,"Entry"),"")</f>
      </c>
      <c r="B84" s="22"/>
      <c r="C84" s="23"/>
      <c r="D84" s="23"/>
      <c r="E84" s="24"/>
      <c r="F84" s="25"/>
      <c r="G84" s="25"/>
      <c r="H84" s="26"/>
      <c r="I84" s="26"/>
      <c r="J84" s="26"/>
      <c r="K84" s="26"/>
      <c r="L84" s="26"/>
      <c r="M84" s="26"/>
      <c r="N84" s="26"/>
      <c r="O84" s="27">
        <f>IF($B84&lt;&gt;"Challan","",H84+I84+J84+K84+L84+M84)</f>
      </c>
      <c r="P84" s="25"/>
      <c r="Q84" s="25"/>
      <c r="R84" s="25"/>
      <c r="S84" s="25"/>
      <c r="T84" s="25"/>
      <c r="U84" s="28"/>
      <c r="V84" s="28"/>
      <c r="W84" s="28"/>
      <c r="X84" s="29">
        <f>IF($B84&lt;&gt;"Entry","",IF(LEN(V84)&lt;4,"",IF(MID(V84,4,1)="P","Individual",IF(MID(V84,4,1)="H","HUF",IF(MID(V84,4,1)="C","Company",IF(MID(V84,4,1)="F","Firm",IF(MID(V84,4,1)="L","LLP",IF(MID(V84,4,1)="T","Trust",IF(MID(V84,4,1)="A","AOP",""))))))))</f>
      </c>
      <c r="Y84" s="28"/>
      <c r="Z84" s="30">
        <f>IF($B84&lt;&gt;"Entry","",IF(Y84="","",IF(W84="Y",SUMPRODUCT(('Rate Lookup'!$A$1:$A$32=Y84)*'Rate Lookup'!$D$1:$D$32),IF(OR(X84="Individual",X84="HUF"),SUMPRODUCT(('Rate Lookup'!$A$1:$A$32=Y84)*'Rate Lookup'!$B$1:$B$32),SUMPRODUCT(('Rate Lookup'!$A$1:$A$32=Y84)*'Rate Lookup'!$C$1:$C$32)))))</f>
      </c>
      <c r="AA84" s="31"/>
      <c r="AB84" s="32"/>
      <c r="AC84" s="27">
        <f>IF($B84&lt;&gt;"Entry","",ROUND(AB84*Z84/100,0))</f>
      </c>
      <c r="AD84" s="27">
        <f>IF($B84&lt;&gt;"Entry","",0)</f>
      </c>
      <c r="AE84" s="27">
        <f>IF($B84&lt;&gt;"Entry","",0)</f>
      </c>
      <c r="AF84" s="27">
        <f>IF($B84&lt;&gt;"Entry","",IF(OR(AC84=0,AA84="",AQ84="",AQ84&lt;=0),0,IF(AQ84&lt;=DATE(YEAR(AA84),MONTH(AA84)+1,7),0,ROUND(AC84*0.015*((YEAR(AQ84)-YEAR(AA84))*12+(MONTH(AQ84)-MONTH(AA84))+1),0))))</f>
      </c>
      <c r="AG84" s="27">
        <f>IF($B84&lt;&gt;"Entry","",0)</f>
      </c>
      <c r="AH84" s="28"/>
      <c r="AI84" s="28"/>
      <c r="AJ84" s="33"/>
      <c r="AK84" s="28"/>
      <c r="AL84" s="28"/>
      <c r="AM84" s="27">
        <f>IF($B84&lt;&gt;"Challan","",SUMIF($D$4:$D$207,D84,$AC$4:$AC$207)+SUMIF($D$4:$D$207,D84,$AF$4:$AF$207)+SUMIF($D$4:$D$207,D84,$AD$4:$AD$207))</f>
      </c>
      <c r="AN84" s="27">
        <f>IF($B84&lt;&gt;"Challan","",O84-M84)</f>
      </c>
      <c r="AO84" s="27">
        <f>IF($B84&lt;&gt;"Challan","",MAX(0,AN84-AM84))</f>
      </c>
      <c r="AP84" s="29">
        <f>IF($B84&lt;&gt;"Challan","",IF(ROUND(AM84-AN84,2)&gt;0,"Over-applied",IF(ROUND(AM84-AN84,2)=0,"Fully Utilised","Unconsumed")))</f>
      </c>
      <c r="AQ84" s="34">
        <f>IF($B84&lt;&gt;"Entry","",SUMPRODUCT(($D$4:$D$207=D84)*($B$4:$B$207="Challan")*$E$4:$E$207))</f>
      </c>
      <c r="AR84" s="35">
        <f>IF(OR($B84&lt;&gt;"Entry",Y84=""),FALSE,AND(SUMPRODUCT(($D$4:$D$207=D84)*($B$4:$B$207="Challan")*($G$4:$G$207&lt;&gt;""))&gt;0,SUMPRODUCT(($D$4:$D$207=D84)*($B$4:$B$207="Challan")*($G$4:$G$207=Y84))=0))</f>
      </c>
    </row>
    <row r="85" spans="1:44" x14ac:dyDescent="0.25">
      <c r="A85" s="21">
        <f>IF($B85="Entry",COUNTIF($B$4:$B85,"Entry"),"")</f>
      </c>
      <c r="B85" s="22"/>
      <c r="C85" s="23"/>
      <c r="D85" s="23"/>
      <c r="E85" s="24"/>
      <c r="F85" s="25"/>
      <c r="G85" s="25"/>
      <c r="H85" s="26"/>
      <c r="I85" s="26"/>
      <c r="J85" s="26"/>
      <c r="K85" s="26"/>
      <c r="L85" s="26"/>
      <c r="M85" s="26"/>
      <c r="N85" s="26"/>
      <c r="O85" s="27">
        <f>IF($B85&lt;&gt;"Challan","",H85+I85+J85+K85+L85+M85)</f>
      </c>
      <c r="P85" s="25"/>
      <c r="Q85" s="25"/>
      <c r="R85" s="25"/>
      <c r="S85" s="25"/>
      <c r="T85" s="25"/>
      <c r="U85" s="28"/>
      <c r="V85" s="28"/>
      <c r="W85" s="28"/>
      <c r="X85" s="29">
        <f>IF($B85&lt;&gt;"Entry","",IF(LEN(V85)&lt;4,"",IF(MID(V85,4,1)="P","Individual",IF(MID(V85,4,1)="H","HUF",IF(MID(V85,4,1)="C","Company",IF(MID(V85,4,1)="F","Firm",IF(MID(V85,4,1)="L","LLP",IF(MID(V85,4,1)="T","Trust",IF(MID(V85,4,1)="A","AOP",""))))))))</f>
      </c>
      <c r="Y85" s="28"/>
      <c r="Z85" s="30">
        <f>IF($B85&lt;&gt;"Entry","",IF(Y85="","",IF(W85="Y",SUMPRODUCT(('Rate Lookup'!$A$1:$A$32=Y85)*'Rate Lookup'!$D$1:$D$32),IF(OR(X85="Individual",X85="HUF"),SUMPRODUCT(('Rate Lookup'!$A$1:$A$32=Y85)*'Rate Lookup'!$B$1:$B$32),SUMPRODUCT(('Rate Lookup'!$A$1:$A$32=Y85)*'Rate Lookup'!$C$1:$C$32)))))</f>
      </c>
      <c r="AA85" s="31"/>
      <c r="AB85" s="32"/>
      <c r="AC85" s="27">
        <f>IF($B85&lt;&gt;"Entry","",ROUND(AB85*Z85/100,0))</f>
      </c>
      <c r="AD85" s="27">
        <f>IF($B85&lt;&gt;"Entry","",0)</f>
      </c>
      <c r="AE85" s="27">
        <f>IF($B85&lt;&gt;"Entry","",0)</f>
      </c>
      <c r="AF85" s="27">
        <f>IF($B85&lt;&gt;"Entry","",IF(OR(AC85=0,AA85="",AQ85="",AQ85&lt;=0),0,IF(AQ85&lt;=DATE(YEAR(AA85),MONTH(AA85)+1,7),0,ROUND(AC85*0.015*((YEAR(AQ85)-YEAR(AA85))*12+(MONTH(AQ85)-MONTH(AA85))+1),0))))</f>
      </c>
      <c r="AG85" s="27">
        <f>IF($B85&lt;&gt;"Entry","",0)</f>
      </c>
      <c r="AH85" s="28"/>
      <c r="AI85" s="28"/>
      <c r="AJ85" s="33"/>
      <c r="AK85" s="28"/>
      <c r="AL85" s="28"/>
      <c r="AM85" s="27">
        <f>IF($B85&lt;&gt;"Challan","",SUMIF($D$4:$D$207,D85,$AC$4:$AC$207)+SUMIF($D$4:$D$207,D85,$AF$4:$AF$207)+SUMIF($D$4:$D$207,D85,$AD$4:$AD$207))</f>
      </c>
      <c r="AN85" s="27">
        <f>IF($B85&lt;&gt;"Challan","",O85-M85)</f>
      </c>
      <c r="AO85" s="27">
        <f>IF($B85&lt;&gt;"Challan","",MAX(0,AN85-AM85))</f>
      </c>
      <c r="AP85" s="29">
        <f>IF($B85&lt;&gt;"Challan","",IF(ROUND(AM85-AN85,2)&gt;0,"Over-applied",IF(ROUND(AM85-AN85,2)=0,"Fully Utilised","Unconsumed")))</f>
      </c>
      <c r="AQ85" s="34">
        <f>IF($B85&lt;&gt;"Entry","",SUMPRODUCT(($D$4:$D$207=D85)*($B$4:$B$207="Challan")*$E$4:$E$207))</f>
      </c>
      <c r="AR85" s="35">
        <f>IF(OR($B85&lt;&gt;"Entry",Y85=""),FALSE,AND(SUMPRODUCT(($D$4:$D$207=D85)*($B$4:$B$207="Challan")*($G$4:$G$207&lt;&gt;""))&gt;0,SUMPRODUCT(($D$4:$D$207=D85)*($B$4:$B$207="Challan")*($G$4:$G$207=Y85))=0))</f>
      </c>
    </row>
    <row r="86" spans="1:44" x14ac:dyDescent="0.25">
      <c r="A86" s="21">
        <f>IF($B86="Entry",COUNTIF($B$4:$B86,"Entry"),"")</f>
      </c>
      <c r="B86" s="22"/>
      <c r="C86" s="23"/>
      <c r="D86" s="23"/>
      <c r="E86" s="24"/>
      <c r="F86" s="25"/>
      <c r="G86" s="25"/>
      <c r="H86" s="26"/>
      <c r="I86" s="26"/>
      <c r="J86" s="26"/>
      <c r="K86" s="26"/>
      <c r="L86" s="26"/>
      <c r="M86" s="26"/>
      <c r="N86" s="26"/>
      <c r="O86" s="27">
        <f>IF($B86&lt;&gt;"Challan","",H86+I86+J86+K86+L86+M86)</f>
      </c>
      <c r="P86" s="25"/>
      <c r="Q86" s="25"/>
      <c r="R86" s="25"/>
      <c r="S86" s="25"/>
      <c r="T86" s="25"/>
      <c r="U86" s="28"/>
      <c r="V86" s="28"/>
      <c r="W86" s="28"/>
      <c r="X86" s="29">
        <f>IF($B86&lt;&gt;"Entry","",IF(LEN(V86)&lt;4,"",IF(MID(V86,4,1)="P","Individual",IF(MID(V86,4,1)="H","HUF",IF(MID(V86,4,1)="C","Company",IF(MID(V86,4,1)="F","Firm",IF(MID(V86,4,1)="L","LLP",IF(MID(V86,4,1)="T","Trust",IF(MID(V86,4,1)="A","AOP",""))))))))</f>
      </c>
      <c r="Y86" s="28"/>
      <c r="Z86" s="30">
        <f>IF($B86&lt;&gt;"Entry","",IF(Y86="","",IF(W86="Y",SUMPRODUCT(('Rate Lookup'!$A$1:$A$32=Y86)*'Rate Lookup'!$D$1:$D$32),IF(OR(X86="Individual",X86="HUF"),SUMPRODUCT(('Rate Lookup'!$A$1:$A$32=Y86)*'Rate Lookup'!$B$1:$B$32),SUMPRODUCT(('Rate Lookup'!$A$1:$A$32=Y86)*'Rate Lookup'!$C$1:$C$32)))))</f>
      </c>
      <c r="AA86" s="31"/>
      <c r="AB86" s="32"/>
      <c r="AC86" s="27">
        <f>IF($B86&lt;&gt;"Entry","",ROUND(AB86*Z86/100,0))</f>
      </c>
      <c r="AD86" s="27">
        <f>IF($B86&lt;&gt;"Entry","",0)</f>
      </c>
      <c r="AE86" s="27">
        <f>IF($B86&lt;&gt;"Entry","",0)</f>
      </c>
      <c r="AF86" s="27">
        <f>IF($B86&lt;&gt;"Entry","",IF(OR(AC86=0,AA86="",AQ86="",AQ86&lt;=0),0,IF(AQ86&lt;=DATE(YEAR(AA86),MONTH(AA86)+1,7),0,ROUND(AC86*0.015*((YEAR(AQ86)-YEAR(AA86))*12+(MONTH(AQ86)-MONTH(AA86))+1),0))))</f>
      </c>
      <c r="AG86" s="27">
        <f>IF($B86&lt;&gt;"Entry","",0)</f>
      </c>
      <c r="AH86" s="28"/>
      <c r="AI86" s="28"/>
      <c r="AJ86" s="33"/>
      <c r="AK86" s="28"/>
      <c r="AL86" s="28"/>
      <c r="AM86" s="27">
        <f>IF($B86&lt;&gt;"Challan","",SUMIF($D$4:$D$207,D86,$AC$4:$AC$207)+SUMIF($D$4:$D$207,D86,$AF$4:$AF$207)+SUMIF($D$4:$D$207,D86,$AD$4:$AD$207))</f>
      </c>
      <c r="AN86" s="27">
        <f>IF($B86&lt;&gt;"Challan","",O86-M86)</f>
      </c>
      <c r="AO86" s="27">
        <f>IF($B86&lt;&gt;"Challan","",MAX(0,AN86-AM86))</f>
      </c>
      <c r="AP86" s="29">
        <f>IF($B86&lt;&gt;"Challan","",IF(ROUND(AM86-AN86,2)&gt;0,"Over-applied",IF(ROUND(AM86-AN86,2)=0,"Fully Utilised","Unconsumed")))</f>
      </c>
      <c r="AQ86" s="34">
        <f>IF($B86&lt;&gt;"Entry","",SUMPRODUCT(($D$4:$D$207=D86)*($B$4:$B$207="Challan")*$E$4:$E$207))</f>
      </c>
      <c r="AR86" s="35">
        <f>IF(OR($B86&lt;&gt;"Entry",Y86=""),FALSE,AND(SUMPRODUCT(($D$4:$D$207=D86)*($B$4:$B$207="Challan")*($G$4:$G$207&lt;&gt;""))&gt;0,SUMPRODUCT(($D$4:$D$207=D86)*($B$4:$B$207="Challan")*($G$4:$G$207=Y86))=0))</f>
      </c>
    </row>
    <row r="87" spans="1:44" x14ac:dyDescent="0.25">
      <c r="A87" s="21">
        <f>IF($B87="Entry",COUNTIF($B$4:$B87,"Entry"),"")</f>
      </c>
      <c r="B87" s="22"/>
      <c r="C87" s="23"/>
      <c r="D87" s="23"/>
      <c r="E87" s="24"/>
      <c r="F87" s="25"/>
      <c r="G87" s="25"/>
      <c r="H87" s="26"/>
      <c r="I87" s="26"/>
      <c r="J87" s="26"/>
      <c r="K87" s="26"/>
      <c r="L87" s="26"/>
      <c r="M87" s="26"/>
      <c r="N87" s="26"/>
      <c r="O87" s="27">
        <f>IF($B87&lt;&gt;"Challan","",H87+I87+J87+K87+L87+M87)</f>
      </c>
      <c r="P87" s="25"/>
      <c r="Q87" s="25"/>
      <c r="R87" s="25"/>
      <c r="S87" s="25"/>
      <c r="T87" s="25"/>
      <c r="U87" s="28"/>
      <c r="V87" s="28"/>
      <c r="W87" s="28"/>
      <c r="X87" s="29">
        <f>IF($B87&lt;&gt;"Entry","",IF(LEN(V87)&lt;4,"",IF(MID(V87,4,1)="P","Individual",IF(MID(V87,4,1)="H","HUF",IF(MID(V87,4,1)="C","Company",IF(MID(V87,4,1)="F","Firm",IF(MID(V87,4,1)="L","LLP",IF(MID(V87,4,1)="T","Trust",IF(MID(V87,4,1)="A","AOP",""))))))))</f>
      </c>
      <c r="Y87" s="28"/>
      <c r="Z87" s="30">
        <f>IF($B87&lt;&gt;"Entry","",IF(Y87="","",IF(W87="Y",SUMPRODUCT(('Rate Lookup'!$A$1:$A$32=Y87)*'Rate Lookup'!$D$1:$D$32),IF(OR(X87="Individual",X87="HUF"),SUMPRODUCT(('Rate Lookup'!$A$1:$A$32=Y87)*'Rate Lookup'!$B$1:$B$32),SUMPRODUCT(('Rate Lookup'!$A$1:$A$32=Y87)*'Rate Lookup'!$C$1:$C$32)))))</f>
      </c>
      <c r="AA87" s="31"/>
      <c r="AB87" s="32"/>
      <c r="AC87" s="27">
        <f>IF($B87&lt;&gt;"Entry","",ROUND(AB87*Z87/100,0))</f>
      </c>
      <c r="AD87" s="27">
        <f>IF($B87&lt;&gt;"Entry","",0)</f>
      </c>
      <c r="AE87" s="27">
        <f>IF($B87&lt;&gt;"Entry","",0)</f>
      </c>
      <c r="AF87" s="27">
        <f>IF($B87&lt;&gt;"Entry","",IF(OR(AC87=0,AA87="",AQ87="",AQ87&lt;=0),0,IF(AQ87&lt;=DATE(YEAR(AA87),MONTH(AA87)+1,7),0,ROUND(AC87*0.015*((YEAR(AQ87)-YEAR(AA87))*12+(MONTH(AQ87)-MONTH(AA87))+1),0))))</f>
      </c>
      <c r="AG87" s="27">
        <f>IF($B87&lt;&gt;"Entry","",0)</f>
      </c>
      <c r="AH87" s="28"/>
      <c r="AI87" s="28"/>
      <c r="AJ87" s="33"/>
      <c r="AK87" s="28"/>
      <c r="AL87" s="28"/>
      <c r="AM87" s="27">
        <f>IF($B87&lt;&gt;"Challan","",SUMIF($D$4:$D$207,D87,$AC$4:$AC$207)+SUMIF($D$4:$D$207,D87,$AF$4:$AF$207)+SUMIF($D$4:$D$207,D87,$AD$4:$AD$207))</f>
      </c>
      <c r="AN87" s="27">
        <f>IF($B87&lt;&gt;"Challan","",O87-M87)</f>
      </c>
      <c r="AO87" s="27">
        <f>IF($B87&lt;&gt;"Challan","",MAX(0,AN87-AM87))</f>
      </c>
      <c r="AP87" s="29">
        <f>IF($B87&lt;&gt;"Challan","",IF(ROUND(AM87-AN87,2)&gt;0,"Over-applied",IF(ROUND(AM87-AN87,2)=0,"Fully Utilised","Unconsumed")))</f>
      </c>
      <c r="AQ87" s="34">
        <f>IF($B87&lt;&gt;"Entry","",SUMPRODUCT(($D$4:$D$207=D87)*($B$4:$B$207="Challan")*$E$4:$E$207))</f>
      </c>
      <c r="AR87" s="35">
        <f>IF(OR($B87&lt;&gt;"Entry",Y87=""),FALSE,AND(SUMPRODUCT(($D$4:$D$207=D87)*($B$4:$B$207="Challan")*($G$4:$G$207&lt;&gt;""))&gt;0,SUMPRODUCT(($D$4:$D$207=D87)*($B$4:$B$207="Challan")*($G$4:$G$207=Y87))=0))</f>
      </c>
    </row>
    <row r="88" spans="1:44" x14ac:dyDescent="0.25">
      <c r="A88" s="21">
        <f>IF($B88="Entry",COUNTIF($B$4:$B88,"Entry"),"")</f>
      </c>
      <c r="B88" s="22"/>
      <c r="C88" s="23"/>
      <c r="D88" s="23"/>
      <c r="E88" s="24"/>
      <c r="F88" s="25"/>
      <c r="G88" s="25"/>
      <c r="H88" s="26"/>
      <c r="I88" s="26"/>
      <c r="J88" s="26"/>
      <c r="K88" s="26"/>
      <c r="L88" s="26"/>
      <c r="M88" s="26"/>
      <c r="N88" s="26"/>
      <c r="O88" s="27">
        <f>IF($B88&lt;&gt;"Challan","",H88+I88+J88+K88+L88+M88)</f>
      </c>
      <c r="P88" s="25"/>
      <c r="Q88" s="25"/>
      <c r="R88" s="25"/>
      <c r="S88" s="25"/>
      <c r="T88" s="25"/>
      <c r="U88" s="28"/>
      <c r="V88" s="28"/>
      <c r="W88" s="28"/>
      <c r="X88" s="29">
        <f>IF($B88&lt;&gt;"Entry","",IF(LEN(V88)&lt;4,"",IF(MID(V88,4,1)="P","Individual",IF(MID(V88,4,1)="H","HUF",IF(MID(V88,4,1)="C","Company",IF(MID(V88,4,1)="F","Firm",IF(MID(V88,4,1)="L","LLP",IF(MID(V88,4,1)="T","Trust",IF(MID(V88,4,1)="A","AOP",""))))))))</f>
      </c>
      <c r="Y88" s="28"/>
      <c r="Z88" s="30">
        <f>IF($B88&lt;&gt;"Entry","",IF(Y88="","",IF(W88="Y",SUMPRODUCT(('Rate Lookup'!$A$1:$A$32=Y88)*'Rate Lookup'!$D$1:$D$32),IF(OR(X88="Individual",X88="HUF"),SUMPRODUCT(('Rate Lookup'!$A$1:$A$32=Y88)*'Rate Lookup'!$B$1:$B$32),SUMPRODUCT(('Rate Lookup'!$A$1:$A$32=Y88)*'Rate Lookup'!$C$1:$C$32)))))</f>
      </c>
      <c r="AA88" s="31"/>
      <c r="AB88" s="32"/>
      <c r="AC88" s="27">
        <f>IF($B88&lt;&gt;"Entry","",ROUND(AB88*Z88/100,0))</f>
      </c>
      <c r="AD88" s="27">
        <f>IF($B88&lt;&gt;"Entry","",0)</f>
      </c>
      <c r="AE88" s="27">
        <f>IF($B88&lt;&gt;"Entry","",0)</f>
      </c>
      <c r="AF88" s="27">
        <f>IF($B88&lt;&gt;"Entry","",IF(OR(AC88=0,AA88="",AQ88="",AQ88&lt;=0),0,IF(AQ88&lt;=DATE(YEAR(AA88),MONTH(AA88)+1,7),0,ROUND(AC88*0.015*((YEAR(AQ88)-YEAR(AA88))*12+(MONTH(AQ88)-MONTH(AA88))+1),0))))</f>
      </c>
      <c r="AG88" s="27">
        <f>IF($B88&lt;&gt;"Entry","",0)</f>
      </c>
      <c r="AH88" s="28"/>
      <c r="AI88" s="28"/>
      <c r="AJ88" s="33"/>
      <c r="AK88" s="28"/>
      <c r="AL88" s="28"/>
      <c r="AM88" s="27">
        <f>IF($B88&lt;&gt;"Challan","",SUMIF($D$4:$D$207,D88,$AC$4:$AC$207)+SUMIF($D$4:$D$207,D88,$AF$4:$AF$207)+SUMIF($D$4:$D$207,D88,$AD$4:$AD$207))</f>
      </c>
      <c r="AN88" s="27">
        <f>IF($B88&lt;&gt;"Challan","",O88-M88)</f>
      </c>
      <c r="AO88" s="27">
        <f>IF($B88&lt;&gt;"Challan","",MAX(0,AN88-AM88))</f>
      </c>
      <c r="AP88" s="29">
        <f>IF($B88&lt;&gt;"Challan","",IF(ROUND(AM88-AN88,2)&gt;0,"Over-applied",IF(ROUND(AM88-AN88,2)=0,"Fully Utilised","Unconsumed")))</f>
      </c>
      <c r="AQ88" s="34">
        <f>IF($B88&lt;&gt;"Entry","",SUMPRODUCT(($D$4:$D$207=D88)*($B$4:$B$207="Challan")*$E$4:$E$207))</f>
      </c>
      <c r="AR88" s="35">
        <f>IF(OR($B88&lt;&gt;"Entry",Y88=""),FALSE,AND(SUMPRODUCT(($D$4:$D$207=D88)*($B$4:$B$207="Challan")*($G$4:$G$207&lt;&gt;""))&gt;0,SUMPRODUCT(($D$4:$D$207=D88)*($B$4:$B$207="Challan")*($G$4:$G$207=Y88))=0))</f>
      </c>
    </row>
    <row r="89" spans="1:44" x14ac:dyDescent="0.25">
      <c r="A89" s="21">
        <f>IF($B89="Entry",COUNTIF($B$4:$B89,"Entry"),"")</f>
      </c>
      <c r="B89" s="22"/>
      <c r="C89" s="23"/>
      <c r="D89" s="23"/>
      <c r="E89" s="24"/>
      <c r="F89" s="25"/>
      <c r="G89" s="25"/>
      <c r="H89" s="26"/>
      <c r="I89" s="26"/>
      <c r="J89" s="26"/>
      <c r="K89" s="26"/>
      <c r="L89" s="26"/>
      <c r="M89" s="26"/>
      <c r="N89" s="26"/>
      <c r="O89" s="27">
        <f>IF($B89&lt;&gt;"Challan","",H89+I89+J89+K89+L89+M89)</f>
      </c>
      <c r="P89" s="25"/>
      <c r="Q89" s="25"/>
      <c r="R89" s="25"/>
      <c r="S89" s="25"/>
      <c r="T89" s="25"/>
      <c r="U89" s="28"/>
      <c r="V89" s="28"/>
      <c r="W89" s="28"/>
      <c r="X89" s="29">
        <f>IF($B89&lt;&gt;"Entry","",IF(LEN(V89)&lt;4,"",IF(MID(V89,4,1)="P","Individual",IF(MID(V89,4,1)="H","HUF",IF(MID(V89,4,1)="C","Company",IF(MID(V89,4,1)="F","Firm",IF(MID(V89,4,1)="L","LLP",IF(MID(V89,4,1)="T","Trust",IF(MID(V89,4,1)="A","AOP",""))))))))</f>
      </c>
      <c r="Y89" s="28"/>
      <c r="Z89" s="30">
        <f>IF($B89&lt;&gt;"Entry","",IF(Y89="","",IF(W89="Y",SUMPRODUCT(('Rate Lookup'!$A$1:$A$32=Y89)*'Rate Lookup'!$D$1:$D$32),IF(OR(X89="Individual",X89="HUF"),SUMPRODUCT(('Rate Lookup'!$A$1:$A$32=Y89)*'Rate Lookup'!$B$1:$B$32),SUMPRODUCT(('Rate Lookup'!$A$1:$A$32=Y89)*'Rate Lookup'!$C$1:$C$32)))))</f>
      </c>
      <c r="AA89" s="31"/>
      <c r="AB89" s="32"/>
      <c r="AC89" s="27">
        <f>IF($B89&lt;&gt;"Entry","",ROUND(AB89*Z89/100,0))</f>
      </c>
      <c r="AD89" s="27">
        <f>IF($B89&lt;&gt;"Entry","",0)</f>
      </c>
      <c r="AE89" s="27">
        <f>IF($B89&lt;&gt;"Entry","",0)</f>
      </c>
      <c r="AF89" s="27">
        <f>IF($B89&lt;&gt;"Entry","",IF(OR(AC89=0,AA89="",AQ89="",AQ89&lt;=0),0,IF(AQ89&lt;=DATE(YEAR(AA89),MONTH(AA89)+1,7),0,ROUND(AC89*0.015*((YEAR(AQ89)-YEAR(AA89))*12+(MONTH(AQ89)-MONTH(AA89))+1),0))))</f>
      </c>
      <c r="AG89" s="27">
        <f>IF($B89&lt;&gt;"Entry","",0)</f>
      </c>
      <c r="AH89" s="28"/>
      <c r="AI89" s="28"/>
      <c r="AJ89" s="33"/>
      <c r="AK89" s="28"/>
      <c r="AL89" s="28"/>
      <c r="AM89" s="27">
        <f>IF($B89&lt;&gt;"Challan","",SUMIF($D$4:$D$207,D89,$AC$4:$AC$207)+SUMIF($D$4:$D$207,D89,$AF$4:$AF$207)+SUMIF($D$4:$D$207,D89,$AD$4:$AD$207))</f>
      </c>
      <c r="AN89" s="27">
        <f>IF($B89&lt;&gt;"Challan","",O89-M89)</f>
      </c>
      <c r="AO89" s="27">
        <f>IF($B89&lt;&gt;"Challan","",MAX(0,AN89-AM89))</f>
      </c>
      <c r="AP89" s="29">
        <f>IF($B89&lt;&gt;"Challan","",IF(ROUND(AM89-AN89,2)&gt;0,"Over-applied",IF(ROUND(AM89-AN89,2)=0,"Fully Utilised","Unconsumed")))</f>
      </c>
      <c r="AQ89" s="34">
        <f>IF($B89&lt;&gt;"Entry","",SUMPRODUCT(($D$4:$D$207=D89)*($B$4:$B$207="Challan")*$E$4:$E$207))</f>
      </c>
      <c r="AR89" s="35">
        <f>IF(OR($B89&lt;&gt;"Entry",Y89=""),FALSE,AND(SUMPRODUCT(($D$4:$D$207=D89)*($B$4:$B$207="Challan")*($G$4:$G$207&lt;&gt;""))&gt;0,SUMPRODUCT(($D$4:$D$207=D89)*($B$4:$B$207="Challan")*($G$4:$G$207=Y89))=0))</f>
      </c>
    </row>
    <row r="90" spans="1:44" x14ac:dyDescent="0.25">
      <c r="A90" s="21">
        <f>IF($B90="Entry",COUNTIF($B$4:$B90,"Entry"),"")</f>
      </c>
      <c r="B90" s="22"/>
      <c r="C90" s="23"/>
      <c r="D90" s="23"/>
      <c r="E90" s="24"/>
      <c r="F90" s="25"/>
      <c r="G90" s="25"/>
      <c r="H90" s="26"/>
      <c r="I90" s="26"/>
      <c r="J90" s="26"/>
      <c r="K90" s="26"/>
      <c r="L90" s="26"/>
      <c r="M90" s="26"/>
      <c r="N90" s="26"/>
      <c r="O90" s="27">
        <f>IF($B90&lt;&gt;"Challan","",H90+I90+J90+K90+L90+M90)</f>
      </c>
      <c r="P90" s="25"/>
      <c r="Q90" s="25"/>
      <c r="R90" s="25"/>
      <c r="S90" s="25"/>
      <c r="T90" s="25"/>
      <c r="U90" s="28"/>
      <c r="V90" s="28"/>
      <c r="W90" s="28"/>
      <c r="X90" s="29">
        <f>IF($B90&lt;&gt;"Entry","",IF(LEN(V90)&lt;4,"",IF(MID(V90,4,1)="P","Individual",IF(MID(V90,4,1)="H","HUF",IF(MID(V90,4,1)="C","Company",IF(MID(V90,4,1)="F","Firm",IF(MID(V90,4,1)="L","LLP",IF(MID(V90,4,1)="T","Trust",IF(MID(V90,4,1)="A","AOP",""))))))))</f>
      </c>
      <c r="Y90" s="28"/>
      <c r="Z90" s="30">
        <f>IF($B90&lt;&gt;"Entry","",IF(Y90="","",IF(W90="Y",SUMPRODUCT(('Rate Lookup'!$A$1:$A$32=Y90)*'Rate Lookup'!$D$1:$D$32),IF(OR(X90="Individual",X90="HUF"),SUMPRODUCT(('Rate Lookup'!$A$1:$A$32=Y90)*'Rate Lookup'!$B$1:$B$32),SUMPRODUCT(('Rate Lookup'!$A$1:$A$32=Y90)*'Rate Lookup'!$C$1:$C$32)))))</f>
      </c>
      <c r="AA90" s="31"/>
      <c r="AB90" s="32"/>
      <c r="AC90" s="27">
        <f>IF($B90&lt;&gt;"Entry","",ROUND(AB90*Z90/100,0))</f>
      </c>
      <c r="AD90" s="27">
        <f>IF($B90&lt;&gt;"Entry","",0)</f>
      </c>
      <c r="AE90" s="27">
        <f>IF($B90&lt;&gt;"Entry","",0)</f>
      </c>
      <c r="AF90" s="27">
        <f>IF($B90&lt;&gt;"Entry","",IF(OR(AC90=0,AA90="",AQ90="",AQ90&lt;=0),0,IF(AQ90&lt;=DATE(YEAR(AA90),MONTH(AA90)+1,7),0,ROUND(AC90*0.015*((YEAR(AQ90)-YEAR(AA90))*12+(MONTH(AQ90)-MONTH(AA90))+1),0))))</f>
      </c>
      <c r="AG90" s="27">
        <f>IF($B90&lt;&gt;"Entry","",0)</f>
      </c>
      <c r="AH90" s="28"/>
      <c r="AI90" s="28"/>
      <c r="AJ90" s="33"/>
      <c r="AK90" s="28"/>
      <c r="AL90" s="28"/>
      <c r="AM90" s="27">
        <f>IF($B90&lt;&gt;"Challan","",SUMIF($D$4:$D$207,D90,$AC$4:$AC$207)+SUMIF($D$4:$D$207,D90,$AF$4:$AF$207)+SUMIF($D$4:$D$207,D90,$AD$4:$AD$207))</f>
      </c>
      <c r="AN90" s="27">
        <f>IF($B90&lt;&gt;"Challan","",O90-M90)</f>
      </c>
      <c r="AO90" s="27">
        <f>IF($B90&lt;&gt;"Challan","",MAX(0,AN90-AM90))</f>
      </c>
      <c r="AP90" s="29">
        <f>IF($B90&lt;&gt;"Challan","",IF(ROUND(AM90-AN90,2)&gt;0,"Over-applied",IF(ROUND(AM90-AN90,2)=0,"Fully Utilised","Unconsumed")))</f>
      </c>
      <c r="AQ90" s="34">
        <f>IF($B90&lt;&gt;"Entry","",SUMPRODUCT(($D$4:$D$207=D90)*($B$4:$B$207="Challan")*$E$4:$E$207))</f>
      </c>
      <c r="AR90" s="35">
        <f>IF(OR($B90&lt;&gt;"Entry",Y90=""),FALSE,AND(SUMPRODUCT(($D$4:$D$207=D90)*($B$4:$B$207="Challan")*($G$4:$G$207&lt;&gt;""))&gt;0,SUMPRODUCT(($D$4:$D$207=D90)*($B$4:$B$207="Challan")*($G$4:$G$207=Y90))=0))</f>
      </c>
    </row>
    <row r="91" spans="1:44" x14ac:dyDescent="0.25">
      <c r="A91" s="21">
        <f>IF($B91="Entry",COUNTIF($B$4:$B91,"Entry"),"")</f>
      </c>
      <c r="B91" s="22"/>
      <c r="C91" s="23"/>
      <c r="D91" s="23"/>
      <c r="E91" s="24"/>
      <c r="F91" s="25"/>
      <c r="G91" s="25"/>
      <c r="H91" s="26"/>
      <c r="I91" s="26"/>
      <c r="J91" s="26"/>
      <c r="K91" s="26"/>
      <c r="L91" s="26"/>
      <c r="M91" s="26"/>
      <c r="N91" s="26"/>
      <c r="O91" s="27">
        <f>IF($B91&lt;&gt;"Challan","",H91+I91+J91+K91+L91+M91)</f>
      </c>
      <c r="P91" s="25"/>
      <c r="Q91" s="25"/>
      <c r="R91" s="25"/>
      <c r="S91" s="25"/>
      <c r="T91" s="25"/>
      <c r="U91" s="28"/>
      <c r="V91" s="28"/>
      <c r="W91" s="28"/>
      <c r="X91" s="29">
        <f>IF($B91&lt;&gt;"Entry","",IF(LEN(V91)&lt;4,"",IF(MID(V91,4,1)="P","Individual",IF(MID(V91,4,1)="H","HUF",IF(MID(V91,4,1)="C","Company",IF(MID(V91,4,1)="F","Firm",IF(MID(V91,4,1)="L","LLP",IF(MID(V91,4,1)="T","Trust",IF(MID(V91,4,1)="A","AOP",""))))))))</f>
      </c>
      <c r="Y91" s="28"/>
      <c r="Z91" s="30">
        <f>IF($B91&lt;&gt;"Entry","",IF(Y91="","",IF(W91="Y",SUMPRODUCT(('Rate Lookup'!$A$1:$A$32=Y91)*'Rate Lookup'!$D$1:$D$32),IF(OR(X91="Individual",X91="HUF"),SUMPRODUCT(('Rate Lookup'!$A$1:$A$32=Y91)*'Rate Lookup'!$B$1:$B$32),SUMPRODUCT(('Rate Lookup'!$A$1:$A$32=Y91)*'Rate Lookup'!$C$1:$C$32)))))</f>
      </c>
      <c r="AA91" s="31"/>
      <c r="AB91" s="32"/>
      <c r="AC91" s="27">
        <f>IF($B91&lt;&gt;"Entry","",ROUND(AB91*Z91/100,0))</f>
      </c>
      <c r="AD91" s="27">
        <f>IF($B91&lt;&gt;"Entry","",0)</f>
      </c>
      <c r="AE91" s="27">
        <f>IF($B91&lt;&gt;"Entry","",0)</f>
      </c>
      <c r="AF91" s="27">
        <f>IF($B91&lt;&gt;"Entry","",IF(OR(AC91=0,AA91="",AQ91="",AQ91&lt;=0),0,IF(AQ91&lt;=DATE(YEAR(AA91),MONTH(AA91)+1,7),0,ROUND(AC91*0.015*((YEAR(AQ91)-YEAR(AA91))*12+(MONTH(AQ91)-MONTH(AA91))+1),0))))</f>
      </c>
      <c r="AG91" s="27">
        <f>IF($B91&lt;&gt;"Entry","",0)</f>
      </c>
      <c r="AH91" s="28"/>
      <c r="AI91" s="28"/>
      <c r="AJ91" s="33"/>
      <c r="AK91" s="28"/>
      <c r="AL91" s="28"/>
      <c r="AM91" s="27">
        <f>IF($B91&lt;&gt;"Challan","",SUMIF($D$4:$D$207,D91,$AC$4:$AC$207)+SUMIF($D$4:$D$207,D91,$AF$4:$AF$207)+SUMIF($D$4:$D$207,D91,$AD$4:$AD$207))</f>
      </c>
      <c r="AN91" s="27">
        <f>IF($B91&lt;&gt;"Challan","",O91-M91)</f>
      </c>
      <c r="AO91" s="27">
        <f>IF($B91&lt;&gt;"Challan","",MAX(0,AN91-AM91))</f>
      </c>
      <c r="AP91" s="29">
        <f>IF($B91&lt;&gt;"Challan","",IF(ROUND(AM91-AN91,2)&gt;0,"Over-applied",IF(ROUND(AM91-AN91,2)=0,"Fully Utilised","Unconsumed")))</f>
      </c>
      <c r="AQ91" s="34">
        <f>IF($B91&lt;&gt;"Entry","",SUMPRODUCT(($D$4:$D$207=D91)*($B$4:$B$207="Challan")*$E$4:$E$207))</f>
      </c>
      <c r="AR91" s="35">
        <f>IF(OR($B91&lt;&gt;"Entry",Y91=""),FALSE,AND(SUMPRODUCT(($D$4:$D$207=D91)*($B$4:$B$207="Challan")*($G$4:$G$207&lt;&gt;""))&gt;0,SUMPRODUCT(($D$4:$D$207=D91)*($B$4:$B$207="Challan")*($G$4:$G$207=Y91))=0))</f>
      </c>
    </row>
    <row r="92" spans="1:44" x14ac:dyDescent="0.25">
      <c r="A92" s="21">
        <f>IF($B92="Entry",COUNTIF($B$4:$B92,"Entry"),"")</f>
      </c>
      <c r="B92" s="22"/>
      <c r="C92" s="23"/>
      <c r="D92" s="23"/>
      <c r="E92" s="24"/>
      <c r="F92" s="25"/>
      <c r="G92" s="25"/>
      <c r="H92" s="26"/>
      <c r="I92" s="26"/>
      <c r="J92" s="26"/>
      <c r="K92" s="26"/>
      <c r="L92" s="26"/>
      <c r="M92" s="26"/>
      <c r="N92" s="26"/>
      <c r="O92" s="27">
        <f>IF($B92&lt;&gt;"Challan","",H92+I92+J92+K92+L92+M92)</f>
      </c>
      <c r="P92" s="25"/>
      <c r="Q92" s="25"/>
      <c r="R92" s="25"/>
      <c r="S92" s="25"/>
      <c r="T92" s="25"/>
      <c r="U92" s="28"/>
      <c r="V92" s="28"/>
      <c r="W92" s="28"/>
      <c r="X92" s="29">
        <f>IF($B92&lt;&gt;"Entry","",IF(LEN(V92)&lt;4,"",IF(MID(V92,4,1)="P","Individual",IF(MID(V92,4,1)="H","HUF",IF(MID(V92,4,1)="C","Company",IF(MID(V92,4,1)="F","Firm",IF(MID(V92,4,1)="L","LLP",IF(MID(V92,4,1)="T","Trust",IF(MID(V92,4,1)="A","AOP",""))))))))</f>
      </c>
      <c r="Y92" s="28"/>
      <c r="Z92" s="30">
        <f>IF($B92&lt;&gt;"Entry","",IF(Y92="","",IF(W92="Y",SUMPRODUCT(('Rate Lookup'!$A$1:$A$32=Y92)*'Rate Lookup'!$D$1:$D$32),IF(OR(X92="Individual",X92="HUF"),SUMPRODUCT(('Rate Lookup'!$A$1:$A$32=Y92)*'Rate Lookup'!$B$1:$B$32),SUMPRODUCT(('Rate Lookup'!$A$1:$A$32=Y92)*'Rate Lookup'!$C$1:$C$32)))))</f>
      </c>
      <c r="AA92" s="31"/>
      <c r="AB92" s="32"/>
      <c r="AC92" s="27">
        <f>IF($B92&lt;&gt;"Entry","",ROUND(AB92*Z92/100,0))</f>
      </c>
      <c r="AD92" s="27">
        <f>IF($B92&lt;&gt;"Entry","",0)</f>
      </c>
      <c r="AE92" s="27">
        <f>IF($B92&lt;&gt;"Entry","",0)</f>
      </c>
      <c r="AF92" s="27">
        <f>IF($B92&lt;&gt;"Entry","",IF(OR(AC92=0,AA92="",AQ92="",AQ92&lt;=0),0,IF(AQ92&lt;=DATE(YEAR(AA92),MONTH(AA92)+1,7),0,ROUND(AC92*0.015*((YEAR(AQ92)-YEAR(AA92))*12+(MONTH(AQ92)-MONTH(AA92))+1),0))))</f>
      </c>
      <c r="AG92" s="27">
        <f>IF($B92&lt;&gt;"Entry","",0)</f>
      </c>
      <c r="AH92" s="28"/>
      <c r="AI92" s="28"/>
      <c r="AJ92" s="33"/>
      <c r="AK92" s="28"/>
      <c r="AL92" s="28"/>
      <c r="AM92" s="27">
        <f>IF($B92&lt;&gt;"Challan","",SUMIF($D$4:$D$207,D92,$AC$4:$AC$207)+SUMIF($D$4:$D$207,D92,$AF$4:$AF$207)+SUMIF($D$4:$D$207,D92,$AD$4:$AD$207))</f>
      </c>
      <c r="AN92" s="27">
        <f>IF($B92&lt;&gt;"Challan","",O92-M92)</f>
      </c>
      <c r="AO92" s="27">
        <f>IF($B92&lt;&gt;"Challan","",MAX(0,AN92-AM92))</f>
      </c>
      <c r="AP92" s="29">
        <f>IF($B92&lt;&gt;"Challan","",IF(ROUND(AM92-AN92,2)&gt;0,"Over-applied",IF(ROUND(AM92-AN92,2)=0,"Fully Utilised","Unconsumed")))</f>
      </c>
      <c r="AQ92" s="34">
        <f>IF($B92&lt;&gt;"Entry","",SUMPRODUCT(($D$4:$D$207=D92)*($B$4:$B$207="Challan")*$E$4:$E$207))</f>
      </c>
      <c r="AR92" s="35">
        <f>IF(OR($B92&lt;&gt;"Entry",Y92=""),FALSE,AND(SUMPRODUCT(($D$4:$D$207=D92)*($B$4:$B$207="Challan")*($G$4:$G$207&lt;&gt;""))&gt;0,SUMPRODUCT(($D$4:$D$207=D92)*($B$4:$B$207="Challan")*($G$4:$G$207=Y92))=0))</f>
      </c>
    </row>
    <row r="93" spans="1:44" x14ac:dyDescent="0.25">
      <c r="A93" s="21">
        <f>IF($B93="Entry",COUNTIF($B$4:$B93,"Entry"),"")</f>
      </c>
      <c r="B93" s="22"/>
      <c r="C93" s="23"/>
      <c r="D93" s="23"/>
      <c r="E93" s="24"/>
      <c r="F93" s="25"/>
      <c r="G93" s="25"/>
      <c r="H93" s="26"/>
      <c r="I93" s="26"/>
      <c r="J93" s="26"/>
      <c r="K93" s="26"/>
      <c r="L93" s="26"/>
      <c r="M93" s="26"/>
      <c r="N93" s="26"/>
      <c r="O93" s="27">
        <f>IF($B93&lt;&gt;"Challan","",H93+I93+J93+K93+L93+M93)</f>
      </c>
      <c r="P93" s="25"/>
      <c r="Q93" s="25"/>
      <c r="R93" s="25"/>
      <c r="S93" s="25"/>
      <c r="T93" s="25"/>
      <c r="U93" s="28"/>
      <c r="V93" s="28"/>
      <c r="W93" s="28"/>
      <c r="X93" s="29">
        <f>IF($B93&lt;&gt;"Entry","",IF(LEN(V93)&lt;4,"",IF(MID(V93,4,1)="P","Individual",IF(MID(V93,4,1)="H","HUF",IF(MID(V93,4,1)="C","Company",IF(MID(V93,4,1)="F","Firm",IF(MID(V93,4,1)="L","LLP",IF(MID(V93,4,1)="T","Trust",IF(MID(V93,4,1)="A","AOP",""))))))))</f>
      </c>
      <c r="Y93" s="28"/>
      <c r="Z93" s="30">
        <f>IF($B93&lt;&gt;"Entry","",IF(Y93="","",IF(W93="Y",SUMPRODUCT(('Rate Lookup'!$A$1:$A$32=Y93)*'Rate Lookup'!$D$1:$D$32),IF(OR(X93="Individual",X93="HUF"),SUMPRODUCT(('Rate Lookup'!$A$1:$A$32=Y93)*'Rate Lookup'!$B$1:$B$32),SUMPRODUCT(('Rate Lookup'!$A$1:$A$32=Y93)*'Rate Lookup'!$C$1:$C$32)))))</f>
      </c>
      <c r="AA93" s="31"/>
      <c r="AB93" s="32"/>
      <c r="AC93" s="27">
        <f>IF($B93&lt;&gt;"Entry","",ROUND(AB93*Z93/100,0))</f>
      </c>
      <c r="AD93" s="27">
        <f>IF($B93&lt;&gt;"Entry","",0)</f>
      </c>
      <c r="AE93" s="27">
        <f>IF($B93&lt;&gt;"Entry","",0)</f>
      </c>
      <c r="AF93" s="27">
        <f>IF($B93&lt;&gt;"Entry","",IF(OR(AC93=0,AA93="",AQ93="",AQ93&lt;=0),0,IF(AQ93&lt;=DATE(YEAR(AA93),MONTH(AA93)+1,7),0,ROUND(AC93*0.015*((YEAR(AQ93)-YEAR(AA93))*12+(MONTH(AQ93)-MONTH(AA93))+1),0))))</f>
      </c>
      <c r="AG93" s="27">
        <f>IF($B93&lt;&gt;"Entry","",0)</f>
      </c>
      <c r="AH93" s="28"/>
      <c r="AI93" s="28"/>
      <c r="AJ93" s="33"/>
      <c r="AK93" s="28"/>
      <c r="AL93" s="28"/>
      <c r="AM93" s="27">
        <f>IF($B93&lt;&gt;"Challan","",SUMIF($D$4:$D$207,D93,$AC$4:$AC$207)+SUMIF($D$4:$D$207,D93,$AF$4:$AF$207)+SUMIF($D$4:$D$207,D93,$AD$4:$AD$207))</f>
      </c>
      <c r="AN93" s="27">
        <f>IF($B93&lt;&gt;"Challan","",O93-M93)</f>
      </c>
      <c r="AO93" s="27">
        <f>IF($B93&lt;&gt;"Challan","",MAX(0,AN93-AM93))</f>
      </c>
      <c r="AP93" s="29">
        <f>IF($B93&lt;&gt;"Challan","",IF(ROUND(AM93-AN93,2)&gt;0,"Over-applied",IF(ROUND(AM93-AN93,2)=0,"Fully Utilised","Unconsumed")))</f>
      </c>
      <c r="AQ93" s="34">
        <f>IF($B93&lt;&gt;"Entry","",SUMPRODUCT(($D$4:$D$207=D93)*($B$4:$B$207="Challan")*$E$4:$E$207))</f>
      </c>
      <c r="AR93" s="35">
        <f>IF(OR($B93&lt;&gt;"Entry",Y93=""),FALSE,AND(SUMPRODUCT(($D$4:$D$207=D93)*($B$4:$B$207="Challan")*($G$4:$G$207&lt;&gt;""))&gt;0,SUMPRODUCT(($D$4:$D$207=D93)*($B$4:$B$207="Challan")*($G$4:$G$207=Y93))=0))</f>
      </c>
    </row>
    <row r="94" spans="1:44" x14ac:dyDescent="0.25">
      <c r="A94" s="21">
        <f>IF($B94="Entry",COUNTIF($B$4:$B94,"Entry"),"")</f>
      </c>
      <c r="B94" s="22"/>
      <c r="C94" s="23"/>
      <c r="D94" s="23"/>
      <c r="E94" s="24"/>
      <c r="F94" s="25"/>
      <c r="G94" s="25"/>
      <c r="H94" s="26"/>
      <c r="I94" s="26"/>
      <c r="J94" s="26"/>
      <c r="K94" s="26"/>
      <c r="L94" s="26"/>
      <c r="M94" s="26"/>
      <c r="N94" s="26"/>
      <c r="O94" s="27">
        <f>IF($B94&lt;&gt;"Challan","",H94+I94+J94+K94+L94+M94)</f>
      </c>
      <c r="P94" s="25"/>
      <c r="Q94" s="25"/>
      <c r="R94" s="25"/>
      <c r="S94" s="25"/>
      <c r="T94" s="25"/>
      <c r="U94" s="28"/>
      <c r="V94" s="28"/>
      <c r="W94" s="28"/>
      <c r="X94" s="29">
        <f>IF($B94&lt;&gt;"Entry","",IF(LEN(V94)&lt;4,"",IF(MID(V94,4,1)="P","Individual",IF(MID(V94,4,1)="H","HUF",IF(MID(V94,4,1)="C","Company",IF(MID(V94,4,1)="F","Firm",IF(MID(V94,4,1)="L","LLP",IF(MID(V94,4,1)="T","Trust",IF(MID(V94,4,1)="A","AOP",""))))))))</f>
      </c>
      <c r="Y94" s="28"/>
      <c r="Z94" s="30">
        <f>IF($B94&lt;&gt;"Entry","",IF(Y94="","",IF(W94="Y",SUMPRODUCT(('Rate Lookup'!$A$1:$A$32=Y94)*'Rate Lookup'!$D$1:$D$32),IF(OR(X94="Individual",X94="HUF"),SUMPRODUCT(('Rate Lookup'!$A$1:$A$32=Y94)*'Rate Lookup'!$B$1:$B$32),SUMPRODUCT(('Rate Lookup'!$A$1:$A$32=Y94)*'Rate Lookup'!$C$1:$C$32)))))</f>
      </c>
      <c r="AA94" s="31"/>
      <c r="AB94" s="32"/>
      <c r="AC94" s="27">
        <f>IF($B94&lt;&gt;"Entry","",ROUND(AB94*Z94/100,0))</f>
      </c>
      <c r="AD94" s="27">
        <f>IF($B94&lt;&gt;"Entry","",0)</f>
      </c>
      <c r="AE94" s="27">
        <f>IF($B94&lt;&gt;"Entry","",0)</f>
      </c>
      <c r="AF94" s="27">
        <f>IF($B94&lt;&gt;"Entry","",IF(OR(AC94=0,AA94="",AQ94="",AQ94&lt;=0),0,IF(AQ94&lt;=DATE(YEAR(AA94),MONTH(AA94)+1,7),0,ROUND(AC94*0.015*((YEAR(AQ94)-YEAR(AA94))*12+(MONTH(AQ94)-MONTH(AA94))+1),0))))</f>
      </c>
      <c r="AG94" s="27">
        <f>IF($B94&lt;&gt;"Entry","",0)</f>
      </c>
      <c r="AH94" s="28"/>
      <c r="AI94" s="28"/>
      <c r="AJ94" s="33"/>
      <c r="AK94" s="28"/>
      <c r="AL94" s="28"/>
      <c r="AM94" s="27">
        <f>IF($B94&lt;&gt;"Challan","",SUMIF($D$4:$D$207,D94,$AC$4:$AC$207)+SUMIF($D$4:$D$207,D94,$AF$4:$AF$207)+SUMIF($D$4:$D$207,D94,$AD$4:$AD$207))</f>
      </c>
      <c r="AN94" s="27">
        <f>IF($B94&lt;&gt;"Challan","",O94-M94)</f>
      </c>
      <c r="AO94" s="27">
        <f>IF($B94&lt;&gt;"Challan","",MAX(0,AN94-AM94))</f>
      </c>
      <c r="AP94" s="29">
        <f>IF($B94&lt;&gt;"Challan","",IF(ROUND(AM94-AN94,2)&gt;0,"Over-applied",IF(ROUND(AM94-AN94,2)=0,"Fully Utilised","Unconsumed")))</f>
      </c>
      <c r="AQ94" s="34">
        <f>IF($B94&lt;&gt;"Entry","",SUMPRODUCT(($D$4:$D$207=D94)*($B$4:$B$207="Challan")*$E$4:$E$207))</f>
      </c>
      <c r="AR94" s="35">
        <f>IF(OR($B94&lt;&gt;"Entry",Y94=""),FALSE,AND(SUMPRODUCT(($D$4:$D$207=D94)*($B$4:$B$207="Challan")*($G$4:$G$207&lt;&gt;""))&gt;0,SUMPRODUCT(($D$4:$D$207=D94)*($B$4:$B$207="Challan")*($G$4:$G$207=Y94))=0))</f>
      </c>
    </row>
    <row r="95" spans="1:44" x14ac:dyDescent="0.25">
      <c r="A95" s="21">
        <f>IF($B95="Entry",COUNTIF($B$4:$B95,"Entry"),"")</f>
      </c>
      <c r="B95" s="22"/>
      <c r="C95" s="23"/>
      <c r="D95" s="23"/>
      <c r="E95" s="24"/>
      <c r="F95" s="25"/>
      <c r="G95" s="25"/>
      <c r="H95" s="26"/>
      <c r="I95" s="26"/>
      <c r="J95" s="26"/>
      <c r="K95" s="26"/>
      <c r="L95" s="26"/>
      <c r="M95" s="26"/>
      <c r="N95" s="26"/>
      <c r="O95" s="27">
        <f>IF($B95&lt;&gt;"Challan","",H95+I95+J95+K95+L95+M95)</f>
      </c>
      <c r="P95" s="25"/>
      <c r="Q95" s="25"/>
      <c r="R95" s="25"/>
      <c r="S95" s="25"/>
      <c r="T95" s="25"/>
      <c r="U95" s="28"/>
      <c r="V95" s="28"/>
      <c r="W95" s="28"/>
      <c r="X95" s="29">
        <f>IF($B95&lt;&gt;"Entry","",IF(LEN(V95)&lt;4,"",IF(MID(V95,4,1)="P","Individual",IF(MID(V95,4,1)="H","HUF",IF(MID(V95,4,1)="C","Company",IF(MID(V95,4,1)="F","Firm",IF(MID(V95,4,1)="L","LLP",IF(MID(V95,4,1)="T","Trust",IF(MID(V95,4,1)="A","AOP",""))))))))</f>
      </c>
      <c r="Y95" s="28"/>
      <c r="Z95" s="30">
        <f>IF($B95&lt;&gt;"Entry","",IF(Y95="","",IF(W95="Y",SUMPRODUCT(('Rate Lookup'!$A$1:$A$32=Y95)*'Rate Lookup'!$D$1:$D$32),IF(OR(X95="Individual",X95="HUF"),SUMPRODUCT(('Rate Lookup'!$A$1:$A$32=Y95)*'Rate Lookup'!$B$1:$B$32),SUMPRODUCT(('Rate Lookup'!$A$1:$A$32=Y95)*'Rate Lookup'!$C$1:$C$32)))))</f>
      </c>
      <c r="AA95" s="31"/>
      <c r="AB95" s="32"/>
      <c r="AC95" s="27">
        <f>IF($B95&lt;&gt;"Entry","",ROUND(AB95*Z95/100,0))</f>
      </c>
      <c r="AD95" s="27">
        <f>IF($B95&lt;&gt;"Entry","",0)</f>
      </c>
      <c r="AE95" s="27">
        <f>IF($B95&lt;&gt;"Entry","",0)</f>
      </c>
      <c r="AF95" s="27">
        <f>IF($B95&lt;&gt;"Entry","",IF(OR(AC95=0,AA95="",AQ95="",AQ95&lt;=0),0,IF(AQ95&lt;=DATE(YEAR(AA95),MONTH(AA95)+1,7),0,ROUND(AC95*0.015*((YEAR(AQ95)-YEAR(AA95))*12+(MONTH(AQ95)-MONTH(AA95))+1),0))))</f>
      </c>
      <c r="AG95" s="27">
        <f>IF($B95&lt;&gt;"Entry","",0)</f>
      </c>
      <c r="AH95" s="28"/>
      <c r="AI95" s="28"/>
      <c r="AJ95" s="33"/>
      <c r="AK95" s="28"/>
      <c r="AL95" s="28"/>
      <c r="AM95" s="27">
        <f>IF($B95&lt;&gt;"Challan","",SUMIF($D$4:$D$207,D95,$AC$4:$AC$207)+SUMIF($D$4:$D$207,D95,$AF$4:$AF$207)+SUMIF($D$4:$D$207,D95,$AD$4:$AD$207))</f>
      </c>
      <c r="AN95" s="27">
        <f>IF($B95&lt;&gt;"Challan","",O95-M95)</f>
      </c>
      <c r="AO95" s="27">
        <f>IF($B95&lt;&gt;"Challan","",MAX(0,AN95-AM95))</f>
      </c>
      <c r="AP95" s="29">
        <f>IF($B95&lt;&gt;"Challan","",IF(ROUND(AM95-AN95,2)&gt;0,"Over-applied",IF(ROUND(AM95-AN95,2)=0,"Fully Utilised","Unconsumed")))</f>
      </c>
      <c r="AQ95" s="34">
        <f>IF($B95&lt;&gt;"Entry","",SUMPRODUCT(($D$4:$D$207=D95)*($B$4:$B$207="Challan")*$E$4:$E$207))</f>
      </c>
      <c r="AR95" s="35">
        <f>IF(OR($B95&lt;&gt;"Entry",Y95=""),FALSE,AND(SUMPRODUCT(($D$4:$D$207=D95)*($B$4:$B$207="Challan")*($G$4:$G$207&lt;&gt;""))&gt;0,SUMPRODUCT(($D$4:$D$207=D95)*($B$4:$B$207="Challan")*($G$4:$G$207=Y95))=0))</f>
      </c>
    </row>
    <row r="96" spans="1:44" x14ac:dyDescent="0.25">
      <c r="A96" s="21">
        <f>IF($B96="Entry",COUNTIF($B$4:$B96,"Entry"),"")</f>
      </c>
      <c r="B96" s="22"/>
      <c r="C96" s="23"/>
      <c r="D96" s="23"/>
      <c r="E96" s="24"/>
      <c r="F96" s="25"/>
      <c r="G96" s="25"/>
      <c r="H96" s="26"/>
      <c r="I96" s="26"/>
      <c r="J96" s="26"/>
      <c r="K96" s="26"/>
      <c r="L96" s="26"/>
      <c r="M96" s="26"/>
      <c r="N96" s="26"/>
      <c r="O96" s="27">
        <f>IF($B96&lt;&gt;"Challan","",H96+I96+J96+K96+L96+M96)</f>
      </c>
      <c r="P96" s="25"/>
      <c r="Q96" s="25"/>
      <c r="R96" s="25"/>
      <c r="S96" s="25"/>
      <c r="T96" s="25"/>
      <c r="U96" s="28"/>
      <c r="V96" s="28"/>
      <c r="W96" s="28"/>
      <c r="X96" s="29">
        <f>IF($B96&lt;&gt;"Entry","",IF(LEN(V96)&lt;4,"",IF(MID(V96,4,1)="P","Individual",IF(MID(V96,4,1)="H","HUF",IF(MID(V96,4,1)="C","Company",IF(MID(V96,4,1)="F","Firm",IF(MID(V96,4,1)="L","LLP",IF(MID(V96,4,1)="T","Trust",IF(MID(V96,4,1)="A","AOP",""))))))))</f>
      </c>
      <c r="Y96" s="28"/>
      <c r="Z96" s="30">
        <f>IF($B96&lt;&gt;"Entry","",IF(Y96="","",IF(W96="Y",SUMPRODUCT(('Rate Lookup'!$A$1:$A$32=Y96)*'Rate Lookup'!$D$1:$D$32),IF(OR(X96="Individual",X96="HUF"),SUMPRODUCT(('Rate Lookup'!$A$1:$A$32=Y96)*'Rate Lookup'!$B$1:$B$32),SUMPRODUCT(('Rate Lookup'!$A$1:$A$32=Y96)*'Rate Lookup'!$C$1:$C$32)))))</f>
      </c>
      <c r="AA96" s="31"/>
      <c r="AB96" s="32"/>
      <c r="AC96" s="27">
        <f>IF($B96&lt;&gt;"Entry","",ROUND(AB96*Z96/100,0))</f>
      </c>
      <c r="AD96" s="27">
        <f>IF($B96&lt;&gt;"Entry","",0)</f>
      </c>
      <c r="AE96" s="27">
        <f>IF($B96&lt;&gt;"Entry","",0)</f>
      </c>
      <c r="AF96" s="27">
        <f>IF($B96&lt;&gt;"Entry","",IF(OR(AC96=0,AA96="",AQ96="",AQ96&lt;=0),0,IF(AQ96&lt;=DATE(YEAR(AA96),MONTH(AA96)+1,7),0,ROUND(AC96*0.015*((YEAR(AQ96)-YEAR(AA96))*12+(MONTH(AQ96)-MONTH(AA96))+1),0))))</f>
      </c>
      <c r="AG96" s="27">
        <f>IF($B96&lt;&gt;"Entry","",0)</f>
      </c>
      <c r="AH96" s="28"/>
      <c r="AI96" s="28"/>
      <c r="AJ96" s="33"/>
      <c r="AK96" s="28"/>
      <c r="AL96" s="28"/>
      <c r="AM96" s="27">
        <f>IF($B96&lt;&gt;"Challan","",SUMIF($D$4:$D$207,D96,$AC$4:$AC$207)+SUMIF($D$4:$D$207,D96,$AF$4:$AF$207)+SUMIF($D$4:$D$207,D96,$AD$4:$AD$207))</f>
      </c>
      <c r="AN96" s="27">
        <f>IF($B96&lt;&gt;"Challan","",O96-M96)</f>
      </c>
      <c r="AO96" s="27">
        <f>IF($B96&lt;&gt;"Challan","",MAX(0,AN96-AM96))</f>
      </c>
      <c r="AP96" s="29">
        <f>IF($B96&lt;&gt;"Challan","",IF(ROUND(AM96-AN96,2)&gt;0,"Over-applied",IF(ROUND(AM96-AN96,2)=0,"Fully Utilised","Unconsumed")))</f>
      </c>
      <c r="AQ96" s="34">
        <f>IF($B96&lt;&gt;"Entry","",SUMPRODUCT(($D$4:$D$207=D96)*($B$4:$B$207="Challan")*$E$4:$E$207))</f>
      </c>
      <c r="AR96" s="35">
        <f>IF(OR($B96&lt;&gt;"Entry",Y96=""),FALSE,AND(SUMPRODUCT(($D$4:$D$207=D96)*($B$4:$B$207="Challan")*($G$4:$G$207&lt;&gt;""))&gt;0,SUMPRODUCT(($D$4:$D$207=D96)*($B$4:$B$207="Challan")*($G$4:$G$207=Y96))=0))</f>
      </c>
    </row>
    <row r="97" spans="1:44" x14ac:dyDescent="0.25">
      <c r="A97" s="21">
        <f>IF($B97="Entry",COUNTIF($B$4:$B97,"Entry"),"")</f>
      </c>
      <c r="B97" s="22"/>
      <c r="C97" s="23"/>
      <c r="D97" s="23"/>
      <c r="E97" s="24"/>
      <c r="F97" s="25"/>
      <c r="G97" s="25"/>
      <c r="H97" s="26"/>
      <c r="I97" s="26"/>
      <c r="J97" s="26"/>
      <c r="K97" s="26"/>
      <c r="L97" s="26"/>
      <c r="M97" s="26"/>
      <c r="N97" s="26"/>
      <c r="O97" s="27">
        <f>IF($B97&lt;&gt;"Challan","",H97+I97+J97+K97+L97+M97)</f>
      </c>
      <c r="P97" s="25"/>
      <c r="Q97" s="25"/>
      <c r="R97" s="25"/>
      <c r="S97" s="25"/>
      <c r="T97" s="25"/>
      <c r="U97" s="28"/>
      <c r="V97" s="28"/>
      <c r="W97" s="28"/>
      <c r="X97" s="29">
        <f>IF($B97&lt;&gt;"Entry","",IF(LEN(V97)&lt;4,"",IF(MID(V97,4,1)="P","Individual",IF(MID(V97,4,1)="H","HUF",IF(MID(V97,4,1)="C","Company",IF(MID(V97,4,1)="F","Firm",IF(MID(V97,4,1)="L","LLP",IF(MID(V97,4,1)="T","Trust",IF(MID(V97,4,1)="A","AOP",""))))))))</f>
      </c>
      <c r="Y97" s="28"/>
      <c r="Z97" s="30">
        <f>IF($B97&lt;&gt;"Entry","",IF(Y97="","",IF(W97="Y",SUMPRODUCT(('Rate Lookup'!$A$1:$A$32=Y97)*'Rate Lookup'!$D$1:$D$32),IF(OR(X97="Individual",X97="HUF"),SUMPRODUCT(('Rate Lookup'!$A$1:$A$32=Y97)*'Rate Lookup'!$B$1:$B$32),SUMPRODUCT(('Rate Lookup'!$A$1:$A$32=Y97)*'Rate Lookup'!$C$1:$C$32)))))</f>
      </c>
      <c r="AA97" s="31"/>
      <c r="AB97" s="32"/>
      <c r="AC97" s="27">
        <f>IF($B97&lt;&gt;"Entry","",ROUND(AB97*Z97/100,0))</f>
      </c>
      <c r="AD97" s="27">
        <f>IF($B97&lt;&gt;"Entry","",0)</f>
      </c>
      <c r="AE97" s="27">
        <f>IF($B97&lt;&gt;"Entry","",0)</f>
      </c>
      <c r="AF97" s="27">
        <f>IF($B97&lt;&gt;"Entry","",IF(OR(AC97=0,AA97="",AQ97="",AQ97&lt;=0),0,IF(AQ97&lt;=DATE(YEAR(AA97),MONTH(AA97)+1,7),0,ROUND(AC97*0.015*((YEAR(AQ97)-YEAR(AA97))*12+(MONTH(AQ97)-MONTH(AA97))+1),0))))</f>
      </c>
      <c r="AG97" s="27">
        <f>IF($B97&lt;&gt;"Entry","",0)</f>
      </c>
      <c r="AH97" s="28"/>
      <c r="AI97" s="28"/>
      <c r="AJ97" s="33"/>
      <c r="AK97" s="28"/>
      <c r="AL97" s="28"/>
      <c r="AM97" s="27">
        <f>IF($B97&lt;&gt;"Challan","",SUMIF($D$4:$D$207,D97,$AC$4:$AC$207)+SUMIF($D$4:$D$207,D97,$AF$4:$AF$207)+SUMIF($D$4:$D$207,D97,$AD$4:$AD$207))</f>
      </c>
      <c r="AN97" s="27">
        <f>IF($B97&lt;&gt;"Challan","",O97-M97)</f>
      </c>
      <c r="AO97" s="27">
        <f>IF($B97&lt;&gt;"Challan","",MAX(0,AN97-AM97))</f>
      </c>
      <c r="AP97" s="29">
        <f>IF($B97&lt;&gt;"Challan","",IF(ROUND(AM97-AN97,2)&gt;0,"Over-applied",IF(ROUND(AM97-AN97,2)=0,"Fully Utilised","Unconsumed")))</f>
      </c>
      <c r="AQ97" s="34">
        <f>IF($B97&lt;&gt;"Entry","",SUMPRODUCT(($D$4:$D$207=D97)*($B$4:$B$207="Challan")*$E$4:$E$207))</f>
      </c>
      <c r="AR97" s="35">
        <f>IF(OR($B97&lt;&gt;"Entry",Y97=""),FALSE,AND(SUMPRODUCT(($D$4:$D$207=D97)*($B$4:$B$207="Challan")*($G$4:$G$207&lt;&gt;""))&gt;0,SUMPRODUCT(($D$4:$D$207=D97)*($B$4:$B$207="Challan")*($G$4:$G$207=Y97))=0))</f>
      </c>
    </row>
    <row r="98" spans="1:44" x14ac:dyDescent="0.25">
      <c r="A98" s="21">
        <f>IF($B98="Entry",COUNTIF($B$4:$B98,"Entry"),"")</f>
      </c>
      <c r="B98" s="22"/>
      <c r="C98" s="23"/>
      <c r="D98" s="23"/>
      <c r="E98" s="24"/>
      <c r="F98" s="25"/>
      <c r="G98" s="25"/>
      <c r="H98" s="26"/>
      <c r="I98" s="26"/>
      <c r="J98" s="26"/>
      <c r="K98" s="26"/>
      <c r="L98" s="26"/>
      <c r="M98" s="26"/>
      <c r="N98" s="26"/>
      <c r="O98" s="27">
        <f>IF($B98&lt;&gt;"Challan","",H98+I98+J98+K98+L98+M98)</f>
      </c>
      <c r="P98" s="25"/>
      <c r="Q98" s="25"/>
      <c r="R98" s="25"/>
      <c r="S98" s="25"/>
      <c r="T98" s="25"/>
      <c r="U98" s="28"/>
      <c r="V98" s="28"/>
      <c r="W98" s="28"/>
      <c r="X98" s="29">
        <f>IF($B98&lt;&gt;"Entry","",IF(LEN(V98)&lt;4,"",IF(MID(V98,4,1)="P","Individual",IF(MID(V98,4,1)="H","HUF",IF(MID(V98,4,1)="C","Company",IF(MID(V98,4,1)="F","Firm",IF(MID(V98,4,1)="L","LLP",IF(MID(V98,4,1)="T","Trust",IF(MID(V98,4,1)="A","AOP",""))))))))</f>
      </c>
      <c r="Y98" s="28"/>
      <c r="Z98" s="30">
        <f>IF($B98&lt;&gt;"Entry","",IF(Y98="","",IF(W98="Y",SUMPRODUCT(('Rate Lookup'!$A$1:$A$32=Y98)*'Rate Lookup'!$D$1:$D$32),IF(OR(X98="Individual",X98="HUF"),SUMPRODUCT(('Rate Lookup'!$A$1:$A$32=Y98)*'Rate Lookup'!$B$1:$B$32),SUMPRODUCT(('Rate Lookup'!$A$1:$A$32=Y98)*'Rate Lookup'!$C$1:$C$32)))))</f>
      </c>
      <c r="AA98" s="31"/>
      <c r="AB98" s="32"/>
      <c r="AC98" s="27">
        <f>IF($B98&lt;&gt;"Entry","",ROUND(AB98*Z98/100,0))</f>
      </c>
      <c r="AD98" s="27">
        <f>IF($B98&lt;&gt;"Entry","",0)</f>
      </c>
      <c r="AE98" s="27">
        <f>IF($B98&lt;&gt;"Entry","",0)</f>
      </c>
      <c r="AF98" s="27">
        <f>IF($B98&lt;&gt;"Entry","",IF(OR(AC98=0,AA98="",AQ98="",AQ98&lt;=0),0,IF(AQ98&lt;=DATE(YEAR(AA98),MONTH(AA98)+1,7),0,ROUND(AC98*0.015*((YEAR(AQ98)-YEAR(AA98))*12+(MONTH(AQ98)-MONTH(AA98))+1),0))))</f>
      </c>
      <c r="AG98" s="27">
        <f>IF($B98&lt;&gt;"Entry","",0)</f>
      </c>
      <c r="AH98" s="28"/>
      <c r="AI98" s="28"/>
      <c r="AJ98" s="33"/>
      <c r="AK98" s="28"/>
      <c r="AL98" s="28"/>
      <c r="AM98" s="27">
        <f>IF($B98&lt;&gt;"Challan","",SUMIF($D$4:$D$207,D98,$AC$4:$AC$207)+SUMIF($D$4:$D$207,D98,$AF$4:$AF$207)+SUMIF($D$4:$D$207,D98,$AD$4:$AD$207))</f>
      </c>
      <c r="AN98" s="27">
        <f>IF($B98&lt;&gt;"Challan","",O98-M98)</f>
      </c>
      <c r="AO98" s="27">
        <f>IF($B98&lt;&gt;"Challan","",MAX(0,AN98-AM98))</f>
      </c>
      <c r="AP98" s="29">
        <f>IF($B98&lt;&gt;"Challan","",IF(ROUND(AM98-AN98,2)&gt;0,"Over-applied",IF(ROUND(AM98-AN98,2)=0,"Fully Utilised","Unconsumed")))</f>
      </c>
      <c r="AQ98" s="34">
        <f>IF($B98&lt;&gt;"Entry","",SUMPRODUCT(($D$4:$D$207=D98)*($B$4:$B$207="Challan")*$E$4:$E$207))</f>
      </c>
      <c r="AR98" s="35">
        <f>IF(OR($B98&lt;&gt;"Entry",Y98=""),FALSE,AND(SUMPRODUCT(($D$4:$D$207=D98)*($B$4:$B$207="Challan")*($G$4:$G$207&lt;&gt;""))&gt;0,SUMPRODUCT(($D$4:$D$207=D98)*($B$4:$B$207="Challan")*($G$4:$G$207=Y98))=0))</f>
      </c>
    </row>
    <row r="99" spans="1:44" x14ac:dyDescent="0.25">
      <c r="A99" s="21">
        <f>IF($B99="Entry",COUNTIF($B$4:$B99,"Entry"),"")</f>
      </c>
      <c r="B99" s="22"/>
      <c r="C99" s="23"/>
      <c r="D99" s="23"/>
      <c r="E99" s="24"/>
      <c r="F99" s="25"/>
      <c r="G99" s="25"/>
      <c r="H99" s="26"/>
      <c r="I99" s="26"/>
      <c r="J99" s="26"/>
      <c r="K99" s="26"/>
      <c r="L99" s="26"/>
      <c r="M99" s="26"/>
      <c r="N99" s="26"/>
      <c r="O99" s="27">
        <f>IF($B99&lt;&gt;"Challan","",H99+I99+J99+K99+L99+M99)</f>
      </c>
      <c r="P99" s="25"/>
      <c r="Q99" s="25"/>
      <c r="R99" s="25"/>
      <c r="S99" s="25"/>
      <c r="T99" s="25"/>
      <c r="U99" s="28"/>
      <c r="V99" s="28"/>
      <c r="W99" s="28"/>
      <c r="X99" s="29">
        <f>IF($B99&lt;&gt;"Entry","",IF(LEN(V99)&lt;4,"",IF(MID(V99,4,1)="P","Individual",IF(MID(V99,4,1)="H","HUF",IF(MID(V99,4,1)="C","Company",IF(MID(V99,4,1)="F","Firm",IF(MID(V99,4,1)="L","LLP",IF(MID(V99,4,1)="T","Trust",IF(MID(V99,4,1)="A","AOP",""))))))))</f>
      </c>
      <c r="Y99" s="28"/>
      <c r="Z99" s="30">
        <f>IF($B99&lt;&gt;"Entry","",IF(Y99="","",IF(W99="Y",SUMPRODUCT(('Rate Lookup'!$A$1:$A$32=Y99)*'Rate Lookup'!$D$1:$D$32),IF(OR(X99="Individual",X99="HUF"),SUMPRODUCT(('Rate Lookup'!$A$1:$A$32=Y99)*'Rate Lookup'!$B$1:$B$32),SUMPRODUCT(('Rate Lookup'!$A$1:$A$32=Y99)*'Rate Lookup'!$C$1:$C$32)))))</f>
      </c>
      <c r="AA99" s="31"/>
      <c r="AB99" s="32"/>
      <c r="AC99" s="27">
        <f>IF($B99&lt;&gt;"Entry","",ROUND(AB99*Z99/100,0))</f>
      </c>
      <c r="AD99" s="27">
        <f>IF($B99&lt;&gt;"Entry","",0)</f>
      </c>
      <c r="AE99" s="27">
        <f>IF($B99&lt;&gt;"Entry","",0)</f>
      </c>
      <c r="AF99" s="27">
        <f>IF($B99&lt;&gt;"Entry","",IF(OR(AC99=0,AA99="",AQ99="",AQ99&lt;=0),0,IF(AQ99&lt;=DATE(YEAR(AA99),MONTH(AA99)+1,7),0,ROUND(AC99*0.015*((YEAR(AQ99)-YEAR(AA99))*12+(MONTH(AQ99)-MONTH(AA99))+1),0))))</f>
      </c>
      <c r="AG99" s="27">
        <f>IF($B99&lt;&gt;"Entry","",0)</f>
      </c>
      <c r="AH99" s="28"/>
      <c r="AI99" s="28"/>
      <c r="AJ99" s="33"/>
      <c r="AK99" s="28"/>
      <c r="AL99" s="28"/>
      <c r="AM99" s="27">
        <f>IF($B99&lt;&gt;"Challan","",SUMIF($D$4:$D$207,D99,$AC$4:$AC$207)+SUMIF($D$4:$D$207,D99,$AF$4:$AF$207)+SUMIF($D$4:$D$207,D99,$AD$4:$AD$207))</f>
      </c>
      <c r="AN99" s="27">
        <f>IF($B99&lt;&gt;"Challan","",O99-M99)</f>
      </c>
      <c r="AO99" s="27">
        <f>IF($B99&lt;&gt;"Challan","",MAX(0,AN99-AM99))</f>
      </c>
      <c r="AP99" s="29">
        <f>IF($B99&lt;&gt;"Challan","",IF(ROUND(AM99-AN99,2)&gt;0,"Over-applied",IF(ROUND(AM99-AN99,2)=0,"Fully Utilised","Unconsumed")))</f>
      </c>
      <c r="AQ99" s="34">
        <f>IF($B99&lt;&gt;"Entry","",SUMPRODUCT(($D$4:$D$207=D99)*($B$4:$B$207="Challan")*$E$4:$E$207))</f>
      </c>
      <c r="AR99" s="35">
        <f>IF(OR($B99&lt;&gt;"Entry",Y99=""),FALSE,AND(SUMPRODUCT(($D$4:$D$207=D99)*($B$4:$B$207="Challan")*($G$4:$G$207&lt;&gt;""))&gt;0,SUMPRODUCT(($D$4:$D$207=D99)*($B$4:$B$207="Challan")*($G$4:$G$207=Y99))=0))</f>
      </c>
    </row>
    <row r="100" spans="1:44" x14ac:dyDescent="0.25">
      <c r="A100" s="21">
        <f>IF($B100="Entry",COUNTIF($B$4:$B100,"Entry"),"")</f>
      </c>
      <c r="B100" s="22"/>
      <c r="C100" s="23"/>
      <c r="D100" s="23"/>
      <c r="E100" s="24"/>
      <c r="F100" s="25"/>
      <c r="G100" s="25"/>
      <c r="H100" s="26"/>
      <c r="I100" s="26"/>
      <c r="J100" s="26"/>
      <c r="K100" s="26"/>
      <c r="L100" s="26"/>
      <c r="M100" s="26"/>
      <c r="N100" s="26"/>
      <c r="O100" s="27">
        <f>IF($B100&lt;&gt;"Challan","",H100+I100+J100+K100+L100+M100)</f>
      </c>
      <c r="P100" s="25"/>
      <c r="Q100" s="25"/>
      <c r="R100" s="25"/>
      <c r="S100" s="25"/>
      <c r="T100" s="25"/>
      <c r="U100" s="28"/>
      <c r="V100" s="28"/>
      <c r="W100" s="28"/>
      <c r="X100" s="29">
        <f>IF($B100&lt;&gt;"Entry","",IF(LEN(V100)&lt;4,"",IF(MID(V100,4,1)="P","Individual",IF(MID(V100,4,1)="H","HUF",IF(MID(V100,4,1)="C","Company",IF(MID(V100,4,1)="F","Firm",IF(MID(V100,4,1)="L","LLP",IF(MID(V100,4,1)="T","Trust",IF(MID(V100,4,1)="A","AOP",""))))))))</f>
      </c>
      <c r="Y100" s="28"/>
      <c r="Z100" s="30">
        <f>IF($B100&lt;&gt;"Entry","",IF(Y100="","",IF(W100="Y",SUMPRODUCT(('Rate Lookup'!$A$1:$A$32=Y100)*'Rate Lookup'!$D$1:$D$32),IF(OR(X100="Individual",X100="HUF"),SUMPRODUCT(('Rate Lookup'!$A$1:$A$32=Y100)*'Rate Lookup'!$B$1:$B$32),SUMPRODUCT(('Rate Lookup'!$A$1:$A$32=Y100)*'Rate Lookup'!$C$1:$C$32)))))</f>
      </c>
      <c r="AA100" s="31"/>
      <c r="AB100" s="32"/>
      <c r="AC100" s="27">
        <f>IF($B100&lt;&gt;"Entry","",ROUND(AB100*Z100/100,0))</f>
      </c>
      <c r="AD100" s="27">
        <f>IF($B100&lt;&gt;"Entry","",0)</f>
      </c>
      <c r="AE100" s="27">
        <f>IF($B100&lt;&gt;"Entry","",0)</f>
      </c>
      <c r="AF100" s="27">
        <f>IF($B100&lt;&gt;"Entry","",IF(OR(AC100=0,AA100="",AQ100="",AQ100&lt;=0),0,IF(AQ100&lt;=DATE(YEAR(AA100),MONTH(AA100)+1,7),0,ROUND(AC100*0.015*((YEAR(AQ100)-YEAR(AA100))*12+(MONTH(AQ100)-MONTH(AA100))+1),0))))</f>
      </c>
      <c r="AG100" s="27">
        <f>IF($B100&lt;&gt;"Entry","",0)</f>
      </c>
      <c r="AH100" s="28"/>
      <c r="AI100" s="28"/>
      <c r="AJ100" s="33"/>
      <c r="AK100" s="28"/>
      <c r="AL100" s="28"/>
      <c r="AM100" s="27">
        <f>IF($B100&lt;&gt;"Challan","",SUMIF($D$4:$D$207,D100,$AC$4:$AC$207)+SUMIF($D$4:$D$207,D100,$AF$4:$AF$207)+SUMIF($D$4:$D$207,D100,$AD$4:$AD$207))</f>
      </c>
      <c r="AN100" s="27">
        <f>IF($B100&lt;&gt;"Challan","",O100-M100)</f>
      </c>
      <c r="AO100" s="27">
        <f>IF($B100&lt;&gt;"Challan","",MAX(0,AN100-AM100))</f>
      </c>
      <c r="AP100" s="29">
        <f>IF($B100&lt;&gt;"Challan","",IF(ROUND(AM100-AN100,2)&gt;0,"Over-applied",IF(ROUND(AM100-AN100,2)=0,"Fully Utilised","Unconsumed")))</f>
      </c>
      <c r="AQ100" s="34">
        <f>IF($B100&lt;&gt;"Entry","",SUMPRODUCT(($D$4:$D$207=D100)*($B$4:$B$207="Challan")*$E$4:$E$207))</f>
      </c>
      <c r="AR100" s="35">
        <f>IF(OR($B100&lt;&gt;"Entry",Y100=""),FALSE,AND(SUMPRODUCT(($D$4:$D$207=D100)*($B$4:$B$207="Challan")*($G$4:$G$207&lt;&gt;""))&gt;0,SUMPRODUCT(($D$4:$D$207=D100)*($B$4:$B$207="Challan")*($G$4:$G$207=Y100))=0))</f>
      </c>
    </row>
    <row r="101" spans="1:44" x14ac:dyDescent="0.25">
      <c r="A101" s="21">
        <f>IF($B101="Entry",COUNTIF($B$4:$B101,"Entry"),"")</f>
      </c>
      <c r="B101" s="22"/>
      <c r="C101" s="23"/>
      <c r="D101" s="23"/>
      <c r="E101" s="24"/>
      <c r="F101" s="25"/>
      <c r="G101" s="25"/>
      <c r="H101" s="26"/>
      <c r="I101" s="26"/>
      <c r="J101" s="26"/>
      <c r="K101" s="26"/>
      <c r="L101" s="26"/>
      <c r="M101" s="26"/>
      <c r="N101" s="26"/>
      <c r="O101" s="27">
        <f>IF($B101&lt;&gt;"Challan","",H101+I101+J101+K101+L101+M101)</f>
      </c>
      <c r="P101" s="25"/>
      <c r="Q101" s="25"/>
      <c r="R101" s="25"/>
      <c r="S101" s="25"/>
      <c r="T101" s="25"/>
      <c r="U101" s="28"/>
      <c r="V101" s="28"/>
      <c r="W101" s="28"/>
      <c r="X101" s="29">
        <f>IF($B101&lt;&gt;"Entry","",IF(LEN(V101)&lt;4,"",IF(MID(V101,4,1)="P","Individual",IF(MID(V101,4,1)="H","HUF",IF(MID(V101,4,1)="C","Company",IF(MID(V101,4,1)="F","Firm",IF(MID(V101,4,1)="L","LLP",IF(MID(V101,4,1)="T","Trust",IF(MID(V101,4,1)="A","AOP",""))))))))</f>
      </c>
      <c r="Y101" s="28"/>
      <c r="Z101" s="30">
        <f>IF($B101&lt;&gt;"Entry","",IF(Y101="","",IF(W101="Y",SUMPRODUCT(('Rate Lookup'!$A$1:$A$32=Y101)*'Rate Lookup'!$D$1:$D$32),IF(OR(X101="Individual",X101="HUF"),SUMPRODUCT(('Rate Lookup'!$A$1:$A$32=Y101)*'Rate Lookup'!$B$1:$B$32),SUMPRODUCT(('Rate Lookup'!$A$1:$A$32=Y101)*'Rate Lookup'!$C$1:$C$32)))))</f>
      </c>
      <c r="AA101" s="31"/>
      <c r="AB101" s="32"/>
      <c r="AC101" s="27">
        <f>IF($B101&lt;&gt;"Entry","",ROUND(AB101*Z101/100,0))</f>
      </c>
      <c r="AD101" s="27">
        <f>IF($B101&lt;&gt;"Entry","",0)</f>
      </c>
      <c r="AE101" s="27">
        <f>IF($B101&lt;&gt;"Entry","",0)</f>
      </c>
      <c r="AF101" s="27">
        <f>IF($B101&lt;&gt;"Entry","",IF(OR(AC101=0,AA101="",AQ101="",AQ101&lt;=0),0,IF(AQ101&lt;=DATE(YEAR(AA101),MONTH(AA101)+1,7),0,ROUND(AC101*0.015*((YEAR(AQ101)-YEAR(AA101))*12+(MONTH(AQ101)-MONTH(AA101))+1),0))))</f>
      </c>
      <c r="AG101" s="27">
        <f>IF($B101&lt;&gt;"Entry","",0)</f>
      </c>
      <c r="AH101" s="28"/>
      <c r="AI101" s="28"/>
      <c r="AJ101" s="33"/>
      <c r="AK101" s="28"/>
      <c r="AL101" s="28"/>
      <c r="AM101" s="27">
        <f>IF($B101&lt;&gt;"Challan","",SUMIF($D$4:$D$207,D101,$AC$4:$AC$207)+SUMIF($D$4:$D$207,D101,$AF$4:$AF$207)+SUMIF($D$4:$D$207,D101,$AD$4:$AD$207))</f>
      </c>
      <c r="AN101" s="27">
        <f>IF($B101&lt;&gt;"Challan","",O101-M101)</f>
      </c>
      <c r="AO101" s="27">
        <f>IF($B101&lt;&gt;"Challan","",MAX(0,AN101-AM101))</f>
      </c>
      <c r="AP101" s="29">
        <f>IF($B101&lt;&gt;"Challan","",IF(ROUND(AM101-AN101,2)&gt;0,"Over-applied",IF(ROUND(AM101-AN101,2)=0,"Fully Utilised","Unconsumed")))</f>
      </c>
      <c r="AQ101" s="34">
        <f>IF($B101&lt;&gt;"Entry","",SUMPRODUCT(($D$4:$D$207=D101)*($B$4:$B$207="Challan")*$E$4:$E$207))</f>
      </c>
      <c r="AR101" s="35">
        <f>IF(OR($B101&lt;&gt;"Entry",Y101=""),FALSE,AND(SUMPRODUCT(($D$4:$D$207=D101)*($B$4:$B$207="Challan")*($G$4:$G$207&lt;&gt;""))&gt;0,SUMPRODUCT(($D$4:$D$207=D101)*($B$4:$B$207="Challan")*($G$4:$G$207=Y101))=0))</f>
      </c>
    </row>
    <row r="102" spans="1:44" x14ac:dyDescent="0.25">
      <c r="A102" s="21">
        <f>IF($B102="Entry",COUNTIF($B$4:$B102,"Entry"),"")</f>
      </c>
      <c r="B102" s="22"/>
      <c r="C102" s="23"/>
      <c r="D102" s="23"/>
      <c r="E102" s="24"/>
      <c r="F102" s="25"/>
      <c r="G102" s="25"/>
      <c r="H102" s="26"/>
      <c r="I102" s="26"/>
      <c r="J102" s="26"/>
      <c r="K102" s="26"/>
      <c r="L102" s="26"/>
      <c r="M102" s="26"/>
      <c r="N102" s="26"/>
      <c r="O102" s="27">
        <f>IF($B102&lt;&gt;"Challan","",H102+I102+J102+K102+L102+M102)</f>
      </c>
      <c r="P102" s="25"/>
      <c r="Q102" s="25"/>
      <c r="R102" s="25"/>
      <c r="S102" s="25"/>
      <c r="T102" s="25"/>
      <c r="U102" s="28"/>
      <c r="V102" s="28"/>
      <c r="W102" s="28"/>
      <c r="X102" s="29">
        <f>IF($B102&lt;&gt;"Entry","",IF(LEN(V102)&lt;4,"",IF(MID(V102,4,1)="P","Individual",IF(MID(V102,4,1)="H","HUF",IF(MID(V102,4,1)="C","Company",IF(MID(V102,4,1)="F","Firm",IF(MID(V102,4,1)="L","LLP",IF(MID(V102,4,1)="T","Trust",IF(MID(V102,4,1)="A","AOP",""))))))))</f>
      </c>
      <c r="Y102" s="28"/>
      <c r="Z102" s="30">
        <f>IF($B102&lt;&gt;"Entry","",IF(Y102="","",IF(W102="Y",SUMPRODUCT(('Rate Lookup'!$A$1:$A$32=Y102)*'Rate Lookup'!$D$1:$D$32),IF(OR(X102="Individual",X102="HUF"),SUMPRODUCT(('Rate Lookup'!$A$1:$A$32=Y102)*'Rate Lookup'!$B$1:$B$32),SUMPRODUCT(('Rate Lookup'!$A$1:$A$32=Y102)*'Rate Lookup'!$C$1:$C$32)))))</f>
      </c>
      <c r="AA102" s="31"/>
      <c r="AB102" s="32"/>
      <c r="AC102" s="27">
        <f>IF($B102&lt;&gt;"Entry","",ROUND(AB102*Z102/100,0))</f>
      </c>
      <c r="AD102" s="27">
        <f>IF($B102&lt;&gt;"Entry","",0)</f>
      </c>
      <c r="AE102" s="27">
        <f>IF($B102&lt;&gt;"Entry","",0)</f>
      </c>
      <c r="AF102" s="27">
        <f>IF($B102&lt;&gt;"Entry","",IF(OR(AC102=0,AA102="",AQ102="",AQ102&lt;=0),0,IF(AQ102&lt;=DATE(YEAR(AA102),MONTH(AA102)+1,7),0,ROUND(AC102*0.015*((YEAR(AQ102)-YEAR(AA102))*12+(MONTH(AQ102)-MONTH(AA102))+1),0))))</f>
      </c>
      <c r="AG102" s="27">
        <f>IF($B102&lt;&gt;"Entry","",0)</f>
      </c>
      <c r="AH102" s="28"/>
      <c r="AI102" s="28"/>
      <c r="AJ102" s="33"/>
      <c r="AK102" s="28"/>
      <c r="AL102" s="28"/>
      <c r="AM102" s="27">
        <f>IF($B102&lt;&gt;"Challan","",SUMIF($D$4:$D$207,D102,$AC$4:$AC$207)+SUMIF($D$4:$D$207,D102,$AF$4:$AF$207)+SUMIF($D$4:$D$207,D102,$AD$4:$AD$207))</f>
      </c>
      <c r="AN102" s="27">
        <f>IF($B102&lt;&gt;"Challan","",O102-M102)</f>
      </c>
      <c r="AO102" s="27">
        <f>IF($B102&lt;&gt;"Challan","",MAX(0,AN102-AM102))</f>
      </c>
      <c r="AP102" s="29">
        <f>IF($B102&lt;&gt;"Challan","",IF(ROUND(AM102-AN102,2)&gt;0,"Over-applied",IF(ROUND(AM102-AN102,2)=0,"Fully Utilised","Unconsumed")))</f>
      </c>
      <c r="AQ102" s="34">
        <f>IF($B102&lt;&gt;"Entry","",SUMPRODUCT(($D$4:$D$207=D102)*($B$4:$B$207="Challan")*$E$4:$E$207))</f>
      </c>
      <c r="AR102" s="35">
        <f>IF(OR($B102&lt;&gt;"Entry",Y102=""),FALSE,AND(SUMPRODUCT(($D$4:$D$207=D102)*($B$4:$B$207="Challan")*($G$4:$G$207&lt;&gt;""))&gt;0,SUMPRODUCT(($D$4:$D$207=D102)*($B$4:$B$207="Challan")*($G$4:$G$207=Y102))=0))</f>
      </c>
    </row>
    <row r="103" spans="1:44" x14ac:dyDescent="0.25">
      <c r="A103" s="21">
        <f>IF($B103="Entry",COUNTIF($B$4:$B103,"Entry"),"")</f>
      </c>
      <c r="B103" s="22"/>
      <c r="C103" s="23"/>
      <c r="D103" s="23"/>
      <c r="E103" s="24"/>
      <c r="F103" s="25"/>
      <c r="G103" s="25"/>
      <c r="H103" s="26"/>
      <c r="I103" s="26"/>
      <c r="J103" s="26"/>
      <c r="K103" s="26"/>
      <c r="L103" s="26"/>
      <c r="M103" s="26"/>
      <c r="N103" s="26"/>
      <c r="O103" s="27">
        <f>IF($B103&lt;&gt;"Challan","",H103+I103+J103+K103+L103+M103)</f>
      </c>
      <c r="P103" s="25"/>
      <c r="Q103" s="25"/>
      <c r="R103" s="25"/>
      <c r="S103" s="25"/>
      <c r="T103" s="25"/>
      <c r="U103" s="28"/>
      <c r="V103" s="28"/>
      <c r="W103" s="28"/>
      <c r="X103" s="29">
        <f>IF($B103&lt;&gt;"Entry","",IF(LEN(V103)&lt;4,"",IF(MID(V103,4,1)="P","Individual",IF(MID(V103,4,1)="H","HUF",IF(MID(V103,4,1)="C","Company",IF(MID(V103,4,1)="F","Firm",IF(MID(V103,4,1)="L","LLP",IF(MID(V103,4,1)="T","Trust",IF(MID(V103,4,1)="A","AOP",""))))))))</f>
      </c>
      <c r="Y103" s="28"/>
      <c r="Z103" s="30">
        <f>IF($B103&lt;&gt;"Entry","",IF(Y103="","",IF(W103="Y",SUMPRODUCT(('Rate Lookup'!$A$1:$A$32=Y103)*'Rate Lookup'!$D$1:$D$32),IF(OR(X103="Individual",X103="HUF"),SUMPRODUCT(('Rate Lookup'!$A$1:$A$32=Y103)*'Rate Lookup'!$B$1:$B$32),SUMPRODUCT(('Rate Lookup'!$A$1:$A$32=Y103)*'Rate Lookup'!$C$1:$C$32)))))</f>
      </c>
      <c r="AA103" s="31"/>
      <c r="AB103" s="32"/>
      <c r="AC103" s="27">
        <f>IF($B103&lt;&gt;"Entry","",ROUND(AB103*Z103/100,0))</f>
      </c>
      <c r="AD103" s="27">
        <f>IF($B103&lt;&gt;"Entry","",0)</f>
      </c>
      <c r="AE103" s="27">
        <f>IF($B103&lt;&gt;"Entry","",0)</f>
      </c>
      <c r="AF103" s="27">
        <f>IF($B103&lt;&gt;"Entry","",IF(OR(AC103=0,AA103="",AQ103="",AQ103&lt;=0),0,IF(AQ103&lt;=DATE(YEAR(AA103),MONTH(AA103)+1,7),0,ROUND(AC103*0.015*((YEAR(AQ103)-YEAR(AA103))*12+(MONTH(AQ103)-MONTH(AA103))+1),0))))</f>
      </c>
      <c r="AG103" s="27">
        <f>IF($B103&lt;&gt;"Entry","",0)</f>
      </c>
      <c r="AH103" s="28"/>
      <c r="AI103" s="28"/>
      <c r="AJ103" s="33"/>
      <c r="AK103" s="28"/>
      <c r="AL103" s="28"/>
      <c r="AM103" s="27">
        <f>IF($B103&lt;&gt;"Challan","",SUMIF($D$4:$D$207,D103,$AC$4:$AC$207)+SUMIF($D$4:$D$207,D103,$AF$4:$AF$207)+SUMIF($D$4:$D$207,D103,$AD$4:$AD$207))</f>
      </c>
      <c r="AN103" s="27">
        <f>IF($B103&lt;&gt;"Challan","",O103-M103)</f>
      </c>
      <c r="AO103" s="27">
        <f>IF($B103&lt;&gt;"Challan","",MAX(0,AN103-AM103))</f>
      </c>
      <c r="AP103" s="29">
        <f>IF($B103&lt;&gt;"Challan","",IF(ROUND(AM103-AN103,2)&gt;0,"Over-applied",IF(ROUND(AM103-AN103,2)=0,"Fully Utilised","Unconsumed")))</f>
      </c>
      <c r="AQ103" s="34">
        <f>IF($B103&lt;&gt;"Entry","",SUMPRODUCT(($D$4:$D$207=D103)*($B$4:$B$207="Challan")*$E$4:$E$207))</f>
      </c>
      <c r="AR103" s="35">
        <f>IF(OR($B103&lt;&gt;"Entry",Y103=""),FALSE,AND(SUMPRODUCT(($D$4:$D$207=D103)*($B$4:$B$207="Challan")*($G$4:$G$207&lt;&gt;""))&gt;0,SUMPRODUCT(($D$4:$D$207=D103)*($B$4:$B$207="Challan")*($G$4:$G$207=Y103))=0))</f>
      </c>
    </row>
    <row r="104" spans="1:44" x14ac:dyDescent="0.25">
      <c r="A104" s="21">
        <f>IF($B104="Entry",COUNTIF($B$4:$B104,"Entry"),"")</f>
      </c>
      <c r="B104" s="22"/>
      <c r="C104" s="23"/>
      <c r="D104" s="23"/>
      <c r="E104" s="24"/>
      <c r="F104" s="25"/>
      <c r="G104" s="25"/>
      <c r="H104" s="26"/>
      <c r="I104" s="26"/>
      <c r="J104" s="26"/>
      <c r="K104" s="26"/>
      <c r="L104" s="26"/>
      <c r="M104" s="26"/>
      <c r="N104" s="26"/>
      <c r="O104" s="27">
        <f>IF($B104&lt;&gt;"Challan","",H104+I104+J104+K104+L104+M104)</f>
      </c>
      <c r="P104" s="25"/>
      <c r="Q104" s="25"/>
      <c r="R104" s="25"/>
      <c r="S104" s="25"/>
      <c r="T104" s="25"/>
      <c r="U104" s="28"/>
      <c r="V104" s="28"/>
      <c r="W104" s="28"/>
      <c r="X104" s="29">
        <f>IF($B104&lt;&gt;"Entry","",IF(LEN(V104)&lt;4,"",IF(MID(V104,4,1)="P","Individual",IF(MID(V104,4,1)="H","HUF",IF(MID(V104,4,1)="C","Company",IF(MID(V104,4,1)="F","Firm",IF(MID(V104,4,1)="L","LLP",IF(MID(V104,4,1)="T","Trust",IF(MID(V104,4,1)="A","AOP",""))))))))</f>
      </c>
      <c r="Y104" s="28"/>
      <c r="Z104" s="30">
        <f>IF($B104&lt;&gt;"Entry","",IF(Y104="","",IF(W104="Y",SUMPRODUCT(('Rate Lookup'!$A$1:$A$32=Y104)*'Rate Lookup'!$D$1:$D$32),IF(OR(X104="Individual",X104="HUF"),SUMPRODUCT(('Rate Lookup'!$A$1:$A$32=Y104)*'Rate Lookup'!$B$1:$B$32),SUMPRODUCT(('Rate Lookup'!$A$1:$A$32=Y104)*'Rate Lookup'!$C$1:$C$32)))))</f>
      </c>
      <c r="AA104" s="31"/>
      <c r="AB104" s="32"/>
      <c r="AC104" s="27">
        <f>IF($B104&lt;&gt;"Entry","",ROUND(AB104*Z104/100,0))</f>
      </c>
      <c r="AD104" s="27">
        <f>IF($B104&lt;&gt;"Entry","",0)</f>
      </c>
      <c r="AE104" s="27">
        <f>IF($B104&lt;&gt;"Entry","",0)</f>
      </c>
      <c r="AF104" s="27">
        <f>IF($B104&lt;&gt;"Entry","",IF(OR(AC104=0,AA104="",AQ104="",AQ104&lt;=0),0,IF(AQ104&lt;=DATE(YEAR(AA104),MONTH(AA104)+1,7),0,ROUND(AC104*0.015*((YEAR(AQ104)-YEAR(AA104))*12+(MONTH(AQ104)-MONTH(AA104))+1),0))))</f>
      </c>
      <c r="AG104" s="27">
        <f>IF($B104&lt;&gt;"Entry","",0)</f>
      </c>
      <c r="AH104" s="28"/>
      <c r="AI104" s="28"/>
      <c r="AJ104" s="33"/>
      <c r="AK104" s="28"/>
      <c r="AL104" s="28"/>
      <c r="AM104" s="27">
        <f>IF($B104&lt;&gt;"Challan","",SUMIF($D$4:$D$207,D104,$AC$4:$AC$207)+SUMIF($D$4:$D$207,D104,$AF$4:$AF$207)+SUMIF($D$4:$D$207,D104,$AD$4:$AD$207))</f>
      </c>
      <c r="AN104" s="27">
        <f>IF($B104&lt;&gt;"Challan","",O104-M104)</f>
      </c>
      <c r="AO104" s="27">
        <f>IF($B104&lt;&gt;"Challan","",MAX(0,AN104-AM104))</f>
      </c>
      <c r="AP104" s="29">
        <f>IF($B104&lt;&gt;"Challan","",IF(ROUND(AM104-AN104,2)&gt;0,"Over-applied",IF(ROUND(AM104-AN104,2)=0,"Fully Utilised","Unconsumed")))</f>
      </c>
      <c r="AQ104" s="34">
        <f>IF($B104&lt;&gt;"Entry","",SUMPRODUCT(($D$4:$D$207=D104)*($B$4:$B$207="Challan")*$E$4:$E$207))</f>
      </c>
      <c r="AR104" s="35">
        <f>IF(OR($B104&lt;&gt;"Entry",Y104=""),FALSE,AND(SUMPRODUCT(($D$4:$D$207=D104)*($B$4:$B$207="Challan")*($G$4:$G$207&lt;&gt;""))&gt;0,SUMPRODUCT(($D$4:$D$207=D104)*($B$4:$B$207="Challan")*($G$4:$G$207=Y104))=0))</f>
      </c>
    </row>
    <row r="105" spans="1:44" x14ac:dyDescent="0.25">
      <c r="A105" s="21">
        <f>IF($B105="Entry",COUNTIF($B$4:$B105,"Entry"),"")</f>
      </c>
      <c r="B105" s="22"/>
      <c r="C105" s="23"/>
      <c r="D105" s="23"/>
      <c r="E105" s="24"/>
      <c r="F105" s="25"/>
      <c r="G105" s="25"/>
      <c r="H105" s="26"/>
      <c r="I105" s="26"/>
      <c r="J105" s="26"/>
      <c r="K105" s="26"/>
      <c r="L105" s="26"/>
      <c r="M105" s="26"/>
      <c r="N105" s="26"/>
      <c r="O105" s="27">
        <f>IF($B105&lt;&gt;"Challan","",H105+I105+J105+K105+L105+M105)</f>
      </c>
      <c r="P105" s="25"/>
      <c r="Q105" s="25"/>
      <c r="R105" s="25"/>
      <c r="S105" s="25"/>
      <c r="T105" s="25"/>
      <c r="U105" s="28"/>
      <c r="V105" s="28"/>
      <c r="W105" s="28"/>
      <c r="X105" s="29">
        <f>IF($B105&lt;&gt;"Entry","",IF(LEN(V105)&lt;4,"",IF(MID(V105,4,1)="P","Individual",IF(MID(V105,4,1)="H","HUF",IF(MID(V105,4,1)="C","Company",IF(MID(V105,4,1)="F","Firm",IF(MID(V105,4,1)="L","LLP",IF(MID(V105,4,1)="T","Trust",IF(MID(V105,4,1)="A","AOP",""))))))))</f>
      </c>
      <c r="Y105" s="28"/>
      <c r="Z105" s="30">
        <f>IF($B105&lt;&gt;"Entry","",IF(Y105="","",IF(W105="Y",SUMPRODUCT(('Rate Lookup'!$A$1:$A$32=Y105)*'Rate Lookup'!$D$1:$D$32),IF(OR(X105="Individual",X105="HUF"),SUMPRODUCT(('Rate Lookup'!$A$1:$A$32=Y105)*'Rate Lookup'!$B$1:$B$32),SUMPRODUCT(('Rate Lookup'!$A$1:$A$32=Y105)*'Rate Lookup'!$C$1:$C$32)))))</f>
      </c>
      <c r="AA105" s="31"/>
      <c r="AB105" s="32"/>
      <c r="AC105" s="27">
        <f>IF($B105&lt;&gt;"Entry","",ROUND(AB105*Z105/100,0))</f>
      </c>
      <c r="AD105" s="27">
        <f>IF($B105&lt;&gt;"Entry","",0)</f>
      </c>
      <c r="AE105" s="27">
        <f>IF($B105&lt;&gt;"Entry","",0)</f>
      </c>
      <c r="AF105" s="27">
        <f>IF($B105&lt;&gt;"Entry","",IF(OR(AC105=0,AA105="",AQ105="",AQ105&lt;=0),0,IF(AQ105&lt;=DATE(YEAR(AA105),MONTH(AA105)+1,7),0,ROUND(AC105*0.015*((YEAR(AQ105)-YEAR(AA105))*12+(MONTH(AQ105)-MONTH(AA105))+1),0))))</f>
      </c>
      <c r="AG105" s="27">
        <f>IF($B105&lt;&gt;"Entry","",0)</f>
      </c>
      <c r="AH105" s="28"/>
      <c r="AI105" s="28"/>
      <c r="AJ105" s="33"/>
      <c r="AK105" s="28"/>
      <c r="AL105" s="28"/>
      <c r="AM105" s="27">
        <f>IF($B105&lt;&gt;"Challan","",SUMIF($D$4:$D$207,D105,$AC$4:$AC$207)+SUMIF($D$4:$D$207,D105,$AF$4:$AF$207)+SUMIF($D$4:$D$207,D105,$AD$4:$AD$207))</f>
      </c>
      <c r="AN105" s="27">
        <f>IF($B105&lt;&gt;"Challan","",O105-M105)</f>
      </c>
      <c r="AO105" s="27">
        <f>IF($B105&lt;&gt;"Challan","",MAX(0,AN105-AM105))</f>
      </c>
      <c r="AP105" s="29">
        <f>IF($B105&lt;&gt;"Challan","",IF(ROUND(AM105-AN105,2)&gt;0,"Over-applied",IF(ROUND(AM105-AN105,2)=0,"Fully Utilised","Unconsumed")))</f>
      </c>
      <c r="AQ105" s="34">
        <f>IF($B105&lt;&gt;"Entry","",SUMPRODUCT(($D$4:$D$207=D105)*($B$4:$B$207="Challan")*$E$4:$E$207))</f>
      </c>
      <c r="AR105" s="35">
        <f>IF(OR($B105&lt;&gt;"Entry",Y105=""),FALSE,AND(SUMPRODUCT(($D$4:$D$207=D105)*($B$4:$B$207="Challan")*($G$4:$G$207&lt;&gt;""))&gt;0,SUMPRODUCT(($D$4:$D$207=D105)*($B$4:$B$207="Challan")*($G$4:$G$207=Y105))=0))</f>
      </c>
    </row>
    <row r="106" spans="1:44" x14ac:dyDescent="0.25">
      <c r="A106" s="21">
        <f>IF($B106="Entry",COUNTIF($B$4:$B106,"Entry"),"")</f>
      </c>
      <c r="B106" s="22"/>
      <c r="C106" s="23"/>
      <c r="D106" s="23"/>
      <c r="E106" s="24"/>
      <c r="F106" s="25"/>
      <c r="G106" s="25"/>
      <c r="H106" s="26"/>
      <c r="I106" s="26"/>
      <c r="J106" s="26"/>
      <c r="K106" s="26"/>
      <c r="L106" s="26"/>
      <c r="M106" s="26"/>
      <c r="N106" s="26"/>
      <c r="O106" s="27">
        <f>IF($B106&lt;&gt;"Challan","",H106+I106+J106+K106+L106+M106)</f>
      </c>
      <c r="P106" s="25"/>
      <c r="Q106" s="25"/>
      <c r="R106" s="25"/>
      <c r="S106" s="25"/>
      <c r="T106" s="25"/>
      <c r="U106" s="28"/>
      <c r="V106" s="28"/>
      <c r="W106" s="28"/>
      <c r="X106" s="29">
        <f>IF($B106&lt;&gt;"Entry","",IF(LEN(V106)&lt;4,"",IF(MID(V106,4,1)="P","Individual",IF(MID(V106,4,1)="H","HUF",IF(MID(V106,4,1)="C","Company",IF(MID(V106,4,1)="F","Firm",IF(MID(V106,4,1)="L","LLP",IF(MID(V106,4,1)="T","Trust",IF(MID(V106,4,1)="A","AOP",""))))))))</f>
      </c>
      <c r="Y106" s="28"/>
      <c r="Z106" s="30">
        <f>IF($B106&lt;&gt;"Entry","",IF(Y106="","",IF(W106="Y",SUMPRODUCT(('Rate Lookup'!$A$1:$A$32=Y106)*'Rate Lookup'!$D$1:$D$32),IF(OR(X106="Individual",X106="HUF"),SUMPRODUCT(('Rate Lookup'!$A$1:$A$32=Y106)*'Rate Lookup'!$B$1:$B$32),SUMPRODUCT(('Rate Lookup'!$A$1:$A$32=Y106)*'Rate Lookup'!$C$1:$C$32)))))</f>
      </c>
      <c r="AA106" s="31"/>
      <c r="AB106" s="32"/>
      <c r="AC106" s="27">
        <f>IF($B106&lt;&gt;"Entry","",ROUND(AB106*Z106/100,0))</f>
      </c>
      <c r="AD106" s="27">
        <f>IF($B106&lt;&gt;"Entry","",0)</f>
      </c>
      <c r="AE106" s="27">
        <f>IF($B106&lt;&gt;"Entry","",0)</f>
      </c>
      <c r="AF106" s="27">
        <f>IF($B106&lt;&gt;"Entry","",IF(OR(AC106=0,AA106="",AQ106="",AQ106&lt;=0),0,IF(AQ106&lt;=DATE(YEAR(AA106),MONTH(AA106)+1,7),0,ROUND(AC106*0.015*((YEAR(AQ106)-YEAR(AA106))*12+(MONTH(AQ106)-MONTH(AA106))+1),0))))</f>
      </c>
      <c r="AG106" s="27">
        <f>IF($B106&lt;&gt;"Entry","",0)</f>
      </c>
      <c r="AH106" s="28"/>
      <c r="AI106" s="28"/>
      <c r="AJ106" s="33"/>
      <c r="AK106" s="28"/>
      <c r="AL106" s="28"/>
      <c r="AM106" s="27">
        <f>IF($B106&lt;&gt;"Challan","",SUMIF($D$4:$D$207,D106,$AC$4:$AC$207)+SUMIF($D$4:$D$207,D106,$AF$4:$AF$207)+SUMIF($D$4:$D$207,D106,$AD$4:$AD$207))</f>
      </c>
      <c r="AN106" s="27">
        <f>IF($B106&lt;&gt;"Challan","",O106-M106)</f>
      </c>
      <c r="AO106" s="27">
        <f>IF($B106&lt;&gt;"Challan","",MAX(0,AN106-AM106))</f>
      </c>
      <c r="AP106" s="29">
        <f>IF($B106&lt;&gt;"Challan","",IF(ROUND(AM106-AN106,2)&gt;0,"Over-applied",IF(ROUND(AM106-AN106,2)=0,"Fully Utilised","Unconsumed")))</f>
      </c>
      <c r="AQ106" s="34">
        <f>IF($B106&lt;&gt;"Entry","",SUMPRODUCT(($D$4:$D$207=D106)*($B$4:$B$207="Challan")*$E$4:$E$207))</f>
      </c>
      <c r="AR106" s="35">
        <f>IF(OR($B106&lt;&gt;"Entry",Y106=""),FALSE,AND(SUMPRODUCT(($D$4:$D$207=D106)*($B$4:$B$207="Challan")*($G$4:$G$207&lt;&gt;""))&gt;0,SUMPRODUCT(($D$4:$D$207=D106)*($B$4:$B$207="Challan")*($G$4:$G$207=Y106))=0))</f>
      </c>
    </row>
    <row r="107" spans="1:44" x14ac:dyDescent="0.25">
      <c r="A107" s="21">
        <f>IF($B107="Entry",COUNTIF($B$4:$B107,"Entry"),"")</f>
      </c>
      <c r="B107" s="22"/>
      <c r="C107" s="23"/>
      <c r="D107" s="23"/>
      <c r="E107" s="24"/>
      <c r="F107" s="25"/>
      <c r="G107" s="25"/>
      <c r="H107" s="26"/>
      <c r="I107" s="26"/>
      <c r="J107" s="26"/>
      <c r="K107" s="26"/>
      <c r="L107" s="26"/>
      <c r="M107" s="26"/>
      <c r="N107" s="26"/>
      <c r="O107" s="27">
        <f>IF($B107&lt;&gt;"Challan","",H107+I107+J107+K107+L107+M107)</f>
      </c>
      <c r="P107" s="25"/>
      <c r="Q107" s="25"/>
      <c r="R107" s="25"/>
      <c r="S107" s="25"/>
      <c r="T107" s="25"/>
      <c r="U107" s="28"/>
      <c r="V107" s="28"/>
      <c r="W107" s="28"/>
      <c r="X107" s="29">
        <f>IF($B107&lt;&gt;"Entry","",IF(LEN(V107)&lt;4,"",IF(MID(V107,4,1)="P","Individual",IF(MID(V107,4,1)="H","HUF",IF(MID(V107,4,1)="C","Company",IF(MID(V107,4,1)="F","Firm",IF(MID(V107,4,1)="L","LLP",IF(MID(V107,4,1)="T","Trust",IF(MID(V107,4,1)="A","AOP",""))))))))</f>
      </c>
      <c r="Y107" s="28"/>
      <c r="Z107" s="30">
        <f>IF($B107&lt;&gt;"Entry","",IF(Y107="","",IF(W107="Y",SUMPRODUCT(('Rate Lookup'!$A$1:$A$32=Y107)*'Rate Lookup'!$D$1:$D$32),IF(OR(X107="Individual",X107="HUF"),SUMPRODUCT(('Rate Lookup'!$A$1:$A$32=Y107)*'Rate Lookup'!$B$1:$B$32),SUMPRODUCT(('Rate Lookup'!$A$1:$A$32=Y107)*'Rate Lookup'!$C$1:$C$32)))))</f>
      </c>
      <c r="AA107" s="31"/>
      <c r="AB107" s="32"/>
      <c r="AC107" s="27">
        <f>IF($B107&lt;&gt;"Entry","",ROUND(AB107*Z107/100,0))</f>
      </c>
      <c r="AD107" s="27">
        <f>IF($B107&lt;&gt;"Entry","",0)</f>
      </c>
      <c r="AE107" s="27">
        <f>IF($B107&lt;&gt;"Entry","",0)</f>
      </c>
      <c r="AF107" s="27">
        <f>IF($B107&lt;&gt;"Entry","",IF(OR(AC107=0,AA107="",AQ107="",AQ107&lt;=0),0,IF(AQ107&lt;=DATE(YEAR(AA107),MONTH(AA107)+1,7),0,ROUND(AC107*0.015*((YEAR(AQ107)-YEAR(AA107))*12+(MONTH(AQ107)-MONTH(AA107))+1),0))))</f>
      </c>
      <c r="AG107" s="27">
        <f>IF($B107&lt;&gt;"Entry","",0)</f>
      </c>
      <c r="AH107" s="28"/>
      <c r="AI107" s="28"/>
      <c r="AJ107" s="33"/>
      <c r="AK107" s="28"/>
      <c r="AL107" s="28"/>
      <c r="AM107" s="27">
        <f>IF($B107&lt;&gt;"Challan","",SUMIF($D$4:$D$207,D107,$AC$4:$AC$207)+SUMIF($D$4:$D$207,D107,$AF$4:$AF$207)+SUMIF($D$4:$D$207,D107,$AD$4:$AD$207))</f>
      </c>
      <c r="AN107" s="27">
        <f>IF($B107&lt;&gt;"Challan","",O107-M107)</f>
      </c>
      <c r="AO107" s="27">
        <f>IF($B107&lt;&gt;"Challan","",MAX(0,AN107-AM107))</f>
      </c>
      <c r="AP107" s="29">
        <f>IF($B107&lt;&gt;"Challan","",IF(ROUND(AM107-AN107,2)&gt;0,"Over-applied",IF(ROUND(AM107-AN107,2)=0,"Fully Utilised","Unconsumed")))</f>
      </c>
      <c r="AQ107" s="34">
        <f>IF($B107&lt;&gt;"Entry","",SUMPRODUCT(($D$4:$D$207=D107)*($B$4:$B$207="Challan")*$E$4:$E$207))</f>
      </c>
      <c r="AR107" s="35">
        <f>IF(OR($B107&lt;&gt;"Entry",Y107=""),FALSE,AND(SUMPRODUCT(($D$4:$D$207=D107)*($B$4:$B$207="Challan")*($G$4:$G$207&lt;&gt;""))&gt;0,SUMPRODUCT(($D$4:$D$207=D107)*($B$4:$B$207="Challan")*($G$4:$G$207=Y107))=0))</f>
      </c>
    </row>
    <row r="108" spans="1:44" x14ac:dyDescent="0.25">
      <c r="A108" s="21">
        <f>IF($B108="Entry",COUNTIF($B$4:$B108,"Entry"),"")</f>
      </c>
      <c r="B108" s="22"/>
      <c r="C108" s="23"/>
      <c r="D108" s="23"/>
      <c r="E108" s="24"/>
      <c r="F108" s="25"/>
      <c r="G108" s="25"/>
      <c r="H108" s="26"/>
      <c r="I108" s="26"/>
      <c r="J108" s="26"/>
      <c r="K108" s="26"/>
      <c r="L108" s="26"/>
      <c r="M108" s="26"/>
      <c r="N108" s="26"/>
      <c r="O108" s="27">
        <f>IF($B108&lt;&gt;"Challan","",H108+I108+J108+K108+L108+M108)</f>
      </c>
      <c r="P108" s="25"/>
      <c r="Q108" s="25"/>
      <c r="R108" s="25"/>
      <c r="S108" s="25"/>
      <c r="T108" s="25"/>
      <c r="U108" s="28"/>
      <c r="V108" s="28"/>
      <c r="W108" s="28"/>
      <c r="X108" s="29">
        <f>IF($B108&lt;&gt;"Entry","",IF(LEN(V108)&lt;4,"",IF(MID(V108,4,1)="P","Individual",IF(MID(V108,4,1)="H","HUF",IF(MID(V108,4,1)="C","Company",IF(MID(V108,4,1)="F","Firm",IF(MID(V108,4,1)="L","LLP",IF(MID(V108,4,1)="T","Trust",IF(MID(V108,4,1)="A","AOP",""))))))))</f>
      </c>
      <c r="Y108" s="28"/>
      <c r="Z108" s="30">
        <f>IF($B108&lt;&gt;"Entry","",IF(Y108="","",IF(W108="Y",SUMPRODUCT(('Rate Lookup'!$A$1:$A$32=Y108)*'Rate Lookup'!$D$1:$D$32),IF(OR(X108="Individual",X108="HUF"),SUMPRODUCT(('Rate Lookup'!$A$1:$A$32=Y108)*'Rate Lookup'!$B$1:$B$32),SUMPRODUCT(('Rate Lookup'!$A$1:$A$32=Y108)*'Rate Lookup'!$C$1:$C$32)))))</f>
      </c>
      <c r="AA108" s="31"/>
      <c r="AB108" s="32"/>
      <c r="AC108" s="27">
        <f>IF($B108&lt;&gt;"Entry","",ROUND(AB108*Z108/100,0))</f>
      </c>
      <c r="AD108" s="27">
        <f>IF($B108&lt;&gt;"Entry","",0)</f>
      </c>
      <c r="AE108" s="27">
        <f>IF($B108&lt;&gt;"Entry","",0)</f>
      </c>
      <c r="AF108" s="27">
        <f>IF($B108&lt;&gt;"Entry","",IF(OR(AC108=0,AA108="",AQ108="",AQ108&lt;=0),0,IF(AQ108&lt;=DATE(YEAR(AA108),MONTH(AA108)+1,7),0,ROUND(AC108*0.015*((YEAR(AQ108)-YEAR(AA108))*12+(MONTH(AQ108)-MONTH(AA108))+1),0))))</f>
      </c>
      <c r="AG108" s="27">
        <f>IF($B108&lt;&gt;"Entry","",0)</f>
      </c>
      <c r="AH108" s="28"/>
      <c r="AI108" s="28"/>
      <c r="AJ108" s="33"/>
      <c r="AK108" s="28"/>
      <c r="AL108" s="28"/>
      <c r="AM108" s="27">
        <f>IF($B108&lt;&gt;"Challan","",SUMIF($D$4:$D$207,D108,$AC$4:$AC$207)+SUMIF($D$4:$D$207,D108,$AF$4:$AF$207)+SUMIF($D$4:$D$207,D108,$AD$4:$AD$207))</f>
      </c>
      <c r="AN108" s="27">
        <f>IF($B108&lt;&gt;"Challan","",O108-M108)</f>
      </c>
      <c r="AO108" s="27">
        <f>IF($B108&lt;&gt;"Challan","",MAX(0,AN108-AM108))</f>
      </c>
      <c r="AP108" s="29">
        <f>IF($B108&lt;&gt;"Challan","",IF(ROUND(AM108-AN108,2)&gt;0,"Over-applied",IF(ROUND(AM108-AN108,2)=0,"Fully Utilised","Unconsumed")))</f>
      </c>
      <c r="AQ108" s="34">
        <f>IF($B108&lt;&gt;"Entry","",SUMPRODUCT(($D$4:$D$207=D108)*($B$4:$B$207="Challan")*$E$4:$E$207))</f>
      </c>
      <c r="AR108" s="35">
        <f>IF(OR($B108&lt;&gt;"Entry",Y108=""),FALSE,AND(SUMPRODUCT(($D$4:$D$207=D108)*($B$4:$B$207="Challan")*($G$4:$G$207&lt;&gt;""))&gt;0,SUMPRODUCT(($D$4:$D$207=D108)*($B$4:$B$207="Challan")*($G$4:$G$207=Y108))=0))</f>
      </c>
    </row>
    <row r="109" spans="1:44" x14ac:dyDescent="0.25">
      <c r="A109" s="21">
        <f>IF($B109="Entry",COUNTIF($B$4:$B109,"Entry"),"")</f>
      </c>
      <c r="B109" s="22"/>
      <c r="C109" s="23"/>
      <c r="D109" s="23"/>
      <c r="E109" s="24"/>
      <c r="F109" s="25"/>
      <c r="G109" s="25"/>
      <c r="H109" s="26"/>
      <c r="I109" s="26"/>
      <c r="J109" s="26"/>
      <c r="K109" s="26"/>
      <c r="L109" s="26"/>
      <c r="M109" s="26"/>
      <c r="N109" s="26"/>
      <c r="O109" s="27">
        <f>IF($B109&lt;&gt;"Challan","",H109+I109+J109+K109+L109+M109)</f>
      </c>
      <c r="P109" s="25"/>
      <c r="Q109" s="25"/>
      <c r="R109" s="25"/>
      <c r="S109" s="25"/>
      <c r="T109" s="25"/>
      <c r="U109" s="28"/>
      <c r="V109" s="28"/>
      <c r="W109" s="28"/>
      <c r="X109" s="29">
        <f>IF($B109&lt;&gt;"Entry","",IF(LEN(V109)&lt;4,"",IF(MID(V109,4,1)="P","Individual",IF(MID(V109,4,1)="H","HUF",IF(MID(V109,4,1)="C","Company",IF(MID(V109,4,1)="F","Firm",IF(MID(V109,4,1)="L","LLP",IF(MID(V109,4,1)="T","Trust",IF(MID(V109,4,1)="A","AOP",""))))))))</f>
      </c>
      <c r="Y109" s="28"/>
      <c r="Z109" s="30">
        <f>IF($B109&lt;&gt;"Entry","",IF(Y109="","",IF(W109="Y",SUMPRODUCT(('Rate Lookup'!$A$1:$A$32=Y109)*'Rate Lookup'!$D$1:$D$32),IF(OR(X109="Individual",X109="HUF"),SUMPRODUCT(('Rate Lookup'!$A$1:$A$32=Y109)*'Rate Lookup'!$B$1:$B$32),SUMPRODUCT(('Rate Lookup'!$A$1:$A$32=Y109)*'Rate Lookup'!$C$1:$C$32)))))</f>
      </c>
      <c r="AA109" s="31"/>
      <c r="AB109" s="32"/>
      <c r="AC109" s="27">
        <f>IF($B109&lt;&gt;"Entry","",ROUND(AB109*Z109/100,0))</f>
      </c>
      <c r="AD109" s="27">
        <f>IF($B109&lt;&gt;"Entry","",0)</f>
      </c>
      <c r="AE109" s="27">
        <f>IF($B109&lt;&gt;"Entry","",0)</f>
      </c>
      <c r="AF109" s="27">
        <f>IF($B109&lt;&gt;"Entry","",IF(OR(AC109=0,AA109="",AQ109="",AQ109&lt;=0),0,IF(AQ109&lt;=DATE(YEAR(AA109),MONTH(AA109)+1,7),0,ROUND(AC109*0.015*((YEAR(AQ109)-YEAR(AA109))*12+(MONTH(AQ109)-MONTH(AA109))+1),0))))</f>
      </c>
      <c r="AG109" s="27">
        <f>IF($B109&lt;&gt;"Entry","",0)</f>
      </c>
      <c r="AH109" s="28"/>
      <c r="AI109" s="28"/>
      <c r="AJ109" s="33"/>
      <c r="AK109" s="28"/>
      <c r="AL109" s="28"/>
      <c r="AM109" s="27">
        <f>IF($B109&lt;&gt;"Challan","",SUMIF($D$4:$D$207,D109,$AC$4:$AC$207)+SUMIF($D$4:$D$207,D109,$AF$4:$AF$207)+SUMIF($D$4:$D$207,D109,$AD$4:$AD$207))</f>
      </c>
      <c r="AN109" s="27">
        <f>IF($B109&lt;&gt;"Challan","",O109-M109)</f>
      </c>
      <c r="AO109" s="27">
        <f>IF($B109&lt;&gt;"Challan","",MAX(0,AN109-AM109))</f>
      </c>
      <c r="AP109" s="29">
        <f>IF($B109&lt;&gt;"Challan","",IF(ROUND(AM109-AN109,2)&gt;0,"Over-applied",IF(ROUND(AM109-AN109,2)=0,"Fully Utilised","Unconsumed")))</f>
      </c>
      <c r="AQ109" s="34">
        <f>IF($B109&lt;&gt;"Entry","",SUMPRODUCT(($D$4:$D$207=D109)*($B$4:$B$207="Challan")*$E$4:$E$207))</f>
      </c>
      <c r="AR109" s="35">
        <f>IF(OR($B109&lt;&gt;"Entry",Y109=""),FALSE,AND(SUMPRODUCT(($D$4:$D$207=D109)*($B$4:$B$207="Challan")*($G$4:$G$207&lt;&gt;""))&gt;0,SUMPRODUCT(($D$4:$D$207=D109)*($B$4:$B$207="Challan")*($G$4:$G$207=Y109))=0))</f>
      </c>
    </row>
    <row r="110" spans="1:44" x14ac:dyDescent="0.25">
      <c r="A110" s="21">
        <f>IF($B110="Entry",COUNTIF($B$4:$B110,"Entry"),"")</f>
      </c>
      <c r="B110" s="22"/>
      <c r="C110" s="23"/>
      <c r="D110" s="23"/>
      <c r="E110" s="24"/>
      <c r="F110" s="25"/>
      <c r="G110" s="25"/>
      <c r="H110" s="26"/>
      <c r="I110" s="26"/>
      <c r="J110" s="26"/>
      <c r="K110" s="26"/>
      <c r="L110" s="26"/>
      <c r="M110" s="26"/>
      <c r="N110" s="26"/>
      <c r="O110" s="27">
        <f>IF($B110&lt;&gt;"Challan","",H110+I110+J110+K110+L110+M110)</f>
      </c>
      <c r="P110" s="25"/>
      <c r="Q110" s="25"/>
      <c r="R110" s="25"/>
      <c r="S110" s="25"/>
      <c r="T110" s="25"/>
      <c r="U110" s="28"/>
      <c r="V110" s="28"/>
      <c r="W110" s="28"/>
      <c r="X110" s="29">
        <f>IF($B110&lt;&gt;"Entry","",IF(LEN(V110)&lt;4,"",IF(MID(V110,4,1)="P","Individual",IF(MID(V110,4,1)="H","HUF",IF(MID(V110,4,1)="C","Company",IF(MID(V110,4,1)="F","Firm",IF(MID(V110,4,1)="L","LLP",IF(MID(V110,4,1)="T","Trust",IF(MID(V110,4,1)="A","AOP",""))))))))</f>
      </c>
      <c r="Y110" s="28"/>
      <c r="Z110" s="30">
        <f>IF($B110&lt;&gt;"Entry","",IF(Y110="","",IF(W110="Y",SUMPRODUCT(('Rate Lookup'!$A$1:$A$32=Y110)*'Rate Lookup'!$D$1:$D$32),IF(OR(X110="Individual",X110="HUF"),SUMPRODUCT(('Rate Lookup'!$A$1:$A$32=Y110)*'Rate Lookup'!$B$1:$B$32),SUMPRODUCT(('Rate Lookup'!$A$1:$A$32=Y110)*'Rate Lookup'!$C$1:$C$32)))))</f>
      </c>
      <c r="AA110" s="31"/>
      <c r="AB110" s="32"/>
      <c r="AC110" s="27">
        <f>IF($B110&lt;&gt;"Entry","",ROUND(AB110*Z110/100,0))</f>
      </c>
      <c r="AD110" s="27">
        <f>IF($B110&lt;&gt;"Entry","",0)</f>
      </c>
      <c r="AE110" s="27">
        <f>IF($B110&lt;&gt;"Entry","",0)</f>
      </c>
      <c r="AF110" s="27">
        <f>IF($B110&lt;&gt;"Entry","",IF(OR(AC110=0,AA110="",AQ110="",AQ110&lt;=0),0,IF(AQ110&lt;=DATE(YEAR(AA110),MONTH(AA110)+1,7),0,ROUND(AC110*0.015*((YEAR(AQ110)-YEAR(AA110))*12+(MONTH(AQ110)-MONTH(AA110))+1),0))))</f>
      </c>
      <c r="AG110" s="27">
        <f>IF($B110&lt;&gt;"Entry","",0)</f>
      </c>
      <c r="AH110" s="28"/>
      <c r="AI110" s="28"/>
      <c r="AJ110" s="33"/>
      <c r="AK110" s="28"/>
      <c r="AL110" s="28"/>
      <c r="AM110" s="27">
        <f>IF($B110&lt;&gt;"Challan","",SUMIF($D$4:$D$207,D110,$AC$4:$AC$207)+SUMIF($D$4:$D$207,D110,$AF$4:$AF$207)+SUMIF($D$4:$D$207,D110,$AD$4:$AD$207))</f>
      </c>
      <c r="AN110" s="27">
        <f>IF($B110&lt;&gt;"Challan","",O110-M110)</f>
      </c>
      <c r="AO110" s="27">
        <f>IF($B110&lt;&gt;"Challan","",MAX(0,AN110-AM110))</f>
      </c>
      <c r="AP110" s="29">
        <f>IF($B110&lt;&gt;"Challan","",IF(ROUND(AM110-AN110,2)&gt;0,"Over-applied",IF(ROUND(AM110-AN110,2)=0,"Fully Utilised","Unconsumed")))</f>
      </c>
      <c r="AQ110" s="34">
        <f>IF($B110&lt;&gt;"Entry","",SUMPRODUCT(($D$4:$D$207=D110)*($B$4:$B$207="Challan")*$E$4:$E$207))</f>
      </c>
      <c r="AR110" s="35">
        <f>IF(OR($B110&lt;&gt;"Entry",Y110=""),FALSE,AND(SUMPRODUCT(($D$4:$D$207=D110)*($B$4:$B$207="Challan")*($G$4:$G$207&lt;&gt;""))&gt;0,SUMPRODUCT(($D$4:$D$207=D110)*($B$4:$B$207="Challan")*($G$4:$G$207=Y110))=0))</f>
      </c>
    </row>
    <row r="111" spans="1:44" x14ac:dyDescent="0.25">
      <c r="A111" s="21">
        <f>IF($B111="Entry",COUNTIF($B$4:$B111,"Entry"),"")</f>
      </c>
      <c r="B111" s="22"/>
      <c r="C111" s="23"/>
      <c r="D111" s="23"/>
      <c r="E111" s="24"/>
      <c r="F111" s="25"/>
      <c r="G111" s="25"/>
      <c r="H111" s="26"/>
      <c r="I111" s="26"/>
      <c r="J111" s="26"/>
      <c r="K111" s="26"/>
      <c r="L111" s="26"/>
      <c r="M111" s="26"/>
      <c r="N111" s="26"/>
      <c r="O111" s="27">
        <f>IF($B111&lt;&gt;"Challan","",H111+I111+J111+K111+L111+M111)</f>
      </c>
      <c r="P111" s="25"/>
      <c r="Q111" s="25"/>
      <c r="R111" s="25"/>
      <c r="S111" s="25"/>
      <c r="T111" s="25"/>
      <c r="U111" s="28"/>
      <c r="V111" s="28"/>
      <c r="W111" s="28"/>
      <c r="X111" s="29">
        <f>IF($B111&lt;&gt;"Entry","",IF(LEN(V111)&lt;4,"",IF(MID(V111,4,1)="P","Individual",IF(MID(V111,4,1)="H","HUF",IF(MID(V111,4,1)="C","Company",IF(MID(V111,4,1)="F","Firm",IF(MID(V111,4,1)="L","LLP",IF(MID(V111,4,1)="T","Trust",IF(MID(V111,4,1)="A","AOP",""))))))))</f>
      </c>
      <c r="Y111" s="28"/>
      <c r="Z111" s="30">
        <f>IF($B111&lt;&gt;"Entry","",IF(Y111="","",IF(W111="Y",SUMPRODUCT(('Rate Lookup'!$A$1:$A$32=Y111)*'Rate Lookup'!$D$1:$D$32),IF(OR(X111="Individual",X111="HUF"),SUMPRODUCT(('Rate Lookup'!$A$1:$A$32=Y111)*'Rate Lookup'!$B$1:$B$32),SUMPRODUCT(('Rate Lookup'!$A$1:$A$32=Y111)*'Rate Lookup'!$C$1:$C$32)))))</f>
      </c>
      <c r="AA111" s="31"/>
      <c r="AB111" s="32"/>
      <c r="AC111" s="27">
        <f>IF($B111&lt;&gt;"Entry","",ROUND(AB111*Z111/100,0))</f>
      </c>
      <c r="AD111" s="27">
        <f>IF($B111&lt;&gt;"Entry","",0)</f>
      </c>
      <c r="AE111" s="27">
        <f>IF($B111&lt;&gt;"Entry","",0)</f>
      </c>
      <c r="AF111" s="27">
        <f>IF($B111&lt;&gt;"Entry","",IF(OR(AC111=0,AA111="",AQ111="",AQ111&lt;=0),0,IF(AQ111&lt;=DATE(YEAR(AA111),MONTH(AA111)+1,7),0,ROUND(AC111*0.015*((YEAR(AQ111)-YEAR(AA111))*12+(MONTH(AQ111)-MONTH(AA111))+1),0))))</f>
      </c>
      <c r="AG111" s="27">
        <f>IF($B111&lt;&gt;"Entry","",0)</f>
      </c>
      <c r="AH111" s="28"/>
      <c r="AI111" s="28"/>
      <c r="AJ111" s="33"/>
      <c r="AK111" s="28"/>
      <c r="AL111" s="28"/>
      <c r="AM111" s="27">
        <f>IF($B111&lt;&gt;"Challan","",SUMIF($D$4:$D$207,D111,$AC$4:$AC$207)+SUMIF($D$4:$D$207,D111,$AF$4:$AF$207)+SUMIF($D$4:$D$207,D111,$AD$4:$AD$207))</f>
      </c>
      <c r="AN111" s="27">
        <f>IF($B111&lt;&gt;"Challan","",O111-M111)</f>
      </c>
      <c r="AO111" s="27">
        <f>IF($B111&lt;&gt;"Challan","",MAX(0,AN111-AM111))</f>
      </c>
      <c r="AP111" s="29">
        <f>IF($B111&lt;&gt;"Challan","",IF(ROUND(AM111-AN111,2)&gt;0,"Over-applied",IF(ROUND(AM111-AN111,2)=0,"Fully Utilised","Unconsumed")))</f>
      </c>
      <c r="AQ111" s="34">
        <f>IF($B111&lt;&gt;"Entry","",SUMPRODUCT(($D$4:$D$207=D111)*($B$4:$B$207="Challan")*$E$4:$E$207))</f>
      </c>
      <c r="AR111" s="35">
        <f>IF(OR($B111&lt;&gt;"Entry",Y111=""),FALSE,AND(SUMPRODUCT(($D$4:$D$207=D111)*($B$4:$B$207="Challan")*($G$4:$G$207&lt;&gt;""))&gt;0,SUMPRODUCT(($D$4:$D$207=D111)*($B$4:$B$207="Challan")*($G$4:$G$207=Y111))=0))</f>
      </c>
    </row>
    <row r="112" spans="1:44" x14ac:dyDescent="0.25">
      <c r="A112" s="21">
        <f>IF($B112="Entry",COUNTIF($B$4:$B112,"Entry"),"")</f>
      </c>
      <c r="B112" s="22"/>
      <c r="C112" s="23"/>
      <c r="D112" s="23"/>
      <c r="E112" s="24"/>
      <c r="F112" s="25"/>
      <c r="G112" s="25"/>
      <c r="H112" s="26"/>
      <c r="I112" s="26"/>
      <c r="J112" s="26"/>
      <c r="K112" s="26"/>
      <c r="L112" s="26"/>
      <c r="M112" s="26"/>
      <c r="N112" s="26"/>
      <c r="O112" s="27">
        <f>IF($B112&lt;&gt;"Challan","",H112+I112+J112+K112+L112+M112)</f>
      </c>
      <c r="P112" s="25"/>
      <c r="Q112" s="25"/>
      <c r="R112" s="25"/>
      <c r="S112" s="25"/>
      <c r="T112" s="25"/>
      <c r="U112" s="28"/>
      <c r="V112" s="28"/>
      <c r="W112" s="28"/>
      <c r="X112" s="29">
        <f>IF($B112&lt;&gt;"Entry","",IF(LEN(V112)&lt;4,"",IF(MID(V112,4,1)="P","Individual",IF(MID(V112,4,1)="H","HUF",IF(MID(V112,4,1)="C","Company",IF(MID(V112,4,1)="F","Firm",IF(MID(V112,4,1)="L","LLP",IF(MID(V112,4,1)="T","Trust",IF(MID(V112,4,1)="A","AOP",""))))))))</f>
      </c>
      <c r="Y112" s="28"/>
      <c r="Z112" s="30">
        <f>IF($B112&lt;&gt;"Entry","",IF(Y112="","",IF(W112="Y",SUMPRODUCT(('Rate Lookup'!$A$1:$A$32=Y112)*'Rate Lookup'!$D$1:$D$32),IF(OR(X112="Individual",X112="HUF"),SUMPRODUCT(('Rate Lookup'!$A$1:$A$32=Y112)*'Rate Lookup'!$B$1:$B$32),SUMPRODUCT(('Rate Lookup'!$A$1:$A$32=Y112)*'Rate Lookup'!$C$1:$C$32)))))</f>
      </c>
      <c r="AA112" s="31"/>
      <c r="AB112" s="32"/>
      <c r="AC112" s="27">
        <f>IF($B112&lt;&gt;"Entry","",ROUND(AB112*Z112/100,0))</f>
      </c>
      <c r="AD112" s="27">
        <f>IF($B112&lt;&gt;"Entry","",0)</f>
      </c>
      <c r="AE112" s="27">
        <f>IF($B112&lt;&gt;"Entry","",0)</f>
      </c>
      <c r="AF112" s="27">
        <f>IF($B112&lt;&gt;"Entry","",IF(OR(AC112=0,AA112="",AQ112="",AQ112&lt;=0),0,IF(AQ112&lt;=DATE(YEAR(AA112),MONTH(AA112)+1,7),0,ROUND(AC112*0.015*((YEAR(AQ112)-YEAR(AA112))*12+(MONTH(AQ112)-MONTH(AA112))+1),0))))</f>
      </c>
      <c r="AG112" s="27">
        <f>IF($B112&lt;&gt;"Entry","",0)</f>
      </c>
      <c r="AH112" s="28"/>
      <c r="AI112" s="28"/>
      <c r="AJ112" s="33"/>
      <c r="AK112" s="28"/>
      <c r="AL112" s="28"/>
      <c r="AM112" s="27">
        <f>IF($B112&lt;&gt;"Challan","",SUMIF($D$4:$D$207,D112,$AC$4:$AC$207)+SUMIF($D$4:$D$207,D112,$AF$4:$AF$207)+SUMIF($D$4:$D$207,D112,$AD$4:$AD$207))</f>
      </c>
      <c r="AN112" s="27">
        <f>IF($B112&lt;&gt;"Challan","",O112-M112)</f>
      </c>
      <c r="AO112" s="27">
        <f>IF($B112&lt;&gt;"Challan","",MAX(0,AN112-AM112))</f>
      </c>
      <c r="AP112" s="29">
        <f>IF($B112&lt;&gt;"Challan","",IF(ROUND(AM112-AN112,2)&gt;0,"Over-applied",IF(ROUND(AM112-AN112,2)=0,"Fully Utilised","Unconsumed")))</f>
      </c>
      <c r="AQ112" s="34">
        <f>IF($B112&lt;&gt;"Entry","",SUMPRODUCT(($D$4:$D$207=D112)*($B$4:$B$207="Challan")*$E$4:$E$207))</f>
      </c>
      <c r="AR112" s="35">
        <f>IF(OR($B112&lt;&gt;"Entry",Y112=""),FALSE,AND(SUMPRODUCT(($D$4:$D$207=D112)*($B$4:$B$207="Challan")*($G$4:$G$207&lt;&gt;""))&gt;0,SUMPRODUCT(($D$4:$D$207=D112)*($B$4:$B$207="Challan")*($G$4:$G$207=Y112))=0))</f>
      </c>
    </row>
    <row r="113" spans="1:44" x14ac:dyDescent="0.25">
      <c r="A113" s="21">
        <f>IF($B113="Entry",COUNTIF($B$4:$B113,"Entry"),"")</f>
      </c>
      <c r="B113" s="22"/>
      <c r="C113" s="23"/>
      <c r="D113" s="23"/>
      <c r="E113" s="24"/>
      <c r="F113" s="25"/>
      <c r="G113" s="25"/>
      <c r="H113" s="26"/>
      <c r="I113" s="26"/>
      <c r="J113" s="26"/>
      <c r="K113" s="26"/>
      <c r="L113" s="26"/>
      <c r="M113" s="26"/>
      <c r="N113" s="26"/>
      <c r="O113" s="27">
        <f>IF($B113&lt;&gt;"Challan","",H113+I113+J113+K113+L113+M113)</f>
      </c>
      <c r="P113" s="25"/>
      <c r="Q113" s="25"/>
      <c r="R113" s="25"/>
      <c r="S113" s="25"/>
      <c r="T113" s="25"/>
      <c r="U113" s="28"/>
      <c r="V113" s="28"/>
      <c r="W113" s="28"/>
      <c r="X113" s="29">
        <f>IF($B113&lt;&gt;"Entry","",IF(LEN(V113)&lt;4,"",IF(MID(V113,4,1)="P","Individual",IF(MID(V113,4,1)="H","HUF",IF(MID(V113,4,1)="C","Company",IF(MID(V113,4,1)="F","Firm",IF(MID(V113,4,1)="L","LLP",IF(MID(V113,4,1)="T","Trust",IF(MID(V113,4,1)="A","AOP",""))))))))</f>
      </c>
      <c r="Y113" s="28"/>
      <c r="Z113" s="30">
        <f>IF($B113&lt;&gt;"Entry","",IF(Y113="","",IF(W113="Y",SUMPRODUCT(('Rate Lookup'!$A$1:$A$32=Y113)*'Rate Lookup'!$D$1:$D$32),IF(OR(X113="Individual",X113="HUF"),SUMPRODUCT(('Rate Lookup'!$A$1:$A$32=Y113)*'Rate Lookup'!$B$1:$B$32),SUMPRODUCT(('Rate Lookup'!$A$1:$A$32=Y113)*'Rate Lookup'!$C$1:$C$32)))))</f>
      </c>
      <c r="AA113" s="31"/>
      <c r="AB113" s="32"/>
      <c r="AC113" s="27">
        <f>IF($B113&lt;&gt;"Entry","",ROUND(AB113*Z113/100,0))</f>
      </c>
      <c r="AD113" s="27">
        <f>IF($B113&lt;&gt;"Entry","",0)</f>
      </c>
      <c r="AE113" s="27">
        <f>IF($B113&lt;&gt;"Entry","",0)</f>
      </c>
      <c r="AF113" s="27">
        <f>IF($B113&lt;&gt;"Entry","",IF(OR(AC113=0,AA113="",AQ113="",AQ113&lt;=0),0,IF(AQ113&lt;=DATE(YEAR(AA113),MONTH(AA113)+1,7),0,ROUND(AC113*0.015*((YEAR(AQ113)-YEAR(AA113))*12+(MONTH(AQ113)-MONTH(AA113))+1),0))))</f>
      </c>
      <c r="AG113" s="27">
        <f>IF($B113&lt;&gt;"Entry","",0)</f>
      </c>
      <c r="AH113" s="28"/>
      <c r="AI113" s="28"/>
      <c r="AJ113" s="33"/>
      <c r="AK113" s="28"/>
      <c r="AL113" s="28"/>
      <c r="AM113" s="27">
        <f>IF($B113&lt;&gt;"Challan","",SUMIF($D$4:$D$207,D113,$AC$4:$AC$207)+SUMIF($D$4:$D$207,D113,$AF$4:$AF$207)+SUMIF($D$4:$D$207,D113,$AD$4:$AD$207))</f>
      </c>
      <c r="AN113" s="27">
        <f>IF($B113&lt;&gt;"Challan","",O113-M113)</f>
      </c>
      <c r="AO113" s="27">
        <f>IF($B113&lt;&gt;"Challan","",MAX(0,AN113-AM113))</f>
      </c>
      <c r="AP113" s="29">
        <f>IF($B113&lt;&gt;"Challan","",IF(ROUND(AM113-AN113,2)&gt;0,"Over-applied",IF(ROUND(AM113-AN113,2)=0,"Fully Utilised","Unconsumed")))</f>
      </c>
      <c r="AQ113" s="34">
        <f>IF($B113&lt;&gt;"Entry","",SUMPRODUCT(($D$4:$D$207=D113)*($B$4:$B$207="Challan")*$E$4:$E$207))</f>
      </c>
      <c r="AR113" s="35">
        <f>IF(OR($B113&lt;&gt;"Entry",Y113=""),FALSE,AND(SUMPRODUCT(($D$4:$D$207=D113)*($B$4:$B$207="Challan")*($G$4:$G$207&lt;&gt;""))&gt;0,SUMPRODUCT(($D$4:$D$207=D113)*($B$4:$B$207="Challan")*($G$4:$G$207=Y113))=0))</f>
      </c>
    </row>
    <row r="114" spans="1:44" x14ac:dyDescent="0.25">
      <c r="A114" s="21">
        <f>IF($B114="Entry",COUNTIF($B$4:$B114,"Entry"),"")</f>
      </c>
      <c r="B114" s="22"/>
      <c r="C114" s="23"/>
      <c r="D114" s="23"/>
      <c r="E114" s="24"/>
      <c r="F114" s="25"/>
      <c r="G114" s="25"/>
      <c r="H114" s="26"/>
      <c r="I114" s="26"/>
      <c r="J114" s="26"/>
      <c r="K114" s="26"/>
      <c r="L114" s="26"/>
      <c r="M114" s="26"/>
      <c r="N114" s="26"/>
      <c r="O114" s="27">
        <f>IF($B114&lt;&gt;"Challan","",H114+I114+J114+K114+L114+M114)</f>
      </c>
      <c r="P114" s="25"/>
      <c r="Q114" s="25"/>
      <c r="R114" s="25"/>
      <c r="S114" s="25"/>
      <c r="T114" s="25"/>
      <c r="U114" s="28"/>
      <c r="V114" s="28"/>
      <c r="W114" s="28"/>
      <c r="X114" s="29">
        <f>IF($B114&lt;&gt;"Entry","",IF(LEN(V114)&lt;4,"",IF(MID(V114,4,1)="P","Individual",IF(MID(V114,4,1)="H","HUF",IF(MID(V114,4,1)="C","Company",IF(MID(V114,4,1)="F","Firm",IF(MID(V114,4,1)="L","LLP",IF(MID(V114,4,1)="T","Trust",IF(MID(V114,4,1)="A","AOP",""))))))))</f>
      </c>
      <c r="Y114" s="28"/>
      <c r="Z114" s="30">
        <f>IF($B114&lt;&gt;"Entry","",IF(Y114="","",IF(W114="Y",SUMPRODUCT(('Rate Lookup'!$A$1:$A$32=Y114)*'Rate Lookup'!$D$1:$D$32),IF(OR(X114="Individual",X114="HUF"),SUMPRODUCT(('Rate Lookup'!$A$1:$A$32=Y114)*'Rate Lookup'!$B$1:$B$32),SUMPRODUCT(('Rate Lookup'!$A$1:$A$32=Y114)*'Rate Lookup'!$C$1:$C$32)))))</f>
      </c>
      <c r="AA114" s="31"/>
      <c r="AB114" s="32"/>
      <c r="AC114" s="27">
        <f>IF($B114&lt;&gt;"Entry","",ROUND(AB114*Z114/100,0))</f>
      </c>
      <c r="AD114" s="27">
        <f>IF($B114&lt;&gt;"Entry","",0)</f>
      </c>
      <c r="AE114" s="27">
        <f>IF($B114&lt;&gt;"Entry","",0)</f>
      </c>
      <c r="AF114" s="27">
        <f>IF($B114&lt;&gt;"Entry","",IF(OR(AC114=0,AA114="",AQ114="",AQ114&lt;=0),0,IF(AQ114&lt;=DATE(YEAR(AA114),MONTH(AA114)+1,7),0,ROUND(AC114*0.015*((YEAR(AQ114)-YEAR(AA114))*12+(MONTH(AQ114)-MONTH(AA114))+1),0))))</f>
      </c>
      <c r="AG114" s="27">
        <f>IF($B114&lt;&gt;"Entry","",0)</f>
      </c>
      <c r="AH114" s="28"/>
      <c r="AI114" s="28"/>
      <c r="AJ114" s="33"/>
      <c r="AK114" s="28"/>
      <c r="AL114" s="28"/>
      <c r="AM114" s="27">
        <f>IF($B114&lt;&gt;"Challan","",SUMIF($D$4:$D$207,D114,$AC$4:$AC$207)+SUMIF($D$4:$D$207,D114,$AF$4:$AF$207)+SUMIF($D$4:$D$207,D114,$AD$4:$AD$207))</f>
      </c>
      <c r="AN114" s="27">
        <f>IF($B114&lt;&gt;"Challan","",O114-M114)</f>
      </c>
      <c r="AO114" s="27">
        <f>IF($B114&lt;&gt;"Challan","",MAX(0,AN114-AM114))</f>
      </c>
      <c r="AP114" s="29">
        <f>IF($B114&lt;&gt;"Challan","",IF(ROUND(AM114-AN114,2)&gt;0,"Over-applied",IF(ROUND(AM114-AN114,2)=0,"Fully Utilised","Unconsumed")))</f>
      </c>
      <c r="AQ114" s="34">
        <f>IF($B114&lt;&gt;"Entry","",SUMPRODUCT(($D$4:$D$207=D114)*($B$4:$B$207="Challan")*$E$4:$E$207))</f>
      </c>
      <c r="AR114" s="35">
        <f>IF(OR($B114&lt;&gt;"Entry",Y114=""),FALSE,AND(SUMPRODUCT(($D$4:$D$207=D114)*($B$4:$B$207="Challan")*($G$4:$G$207&lt;&gt;""))&gt;0,SUMPRODUCT(($D$4:$D$207=D114)*($B$4:$B$207="Challan")*($G$4:$G$207=Y114))=0))</f>
      </c>
    </row>
    <row r="115" spans="1:44" x14ac:dyDescent="0.25">
      <c r="A115" s="21">
        <f>IF($B115="Entry",COUNTIF($B$4:$B115,"Entry"),"")</f>
      </c>
      <c r="B115" s="22"/>
      <c r="C115" s="23"/>
      <c r="D115" s="23"/>
      <c r="E115" s="24"/>
      <c r="F115" s="25"/>
      <c r="G115" s="25"/>
      <c r="H115" s="26"/>
      <c r="I115" s="26"/>
      <c r="J115" s="26"/>
      <c r="K115" s="26"/>
      <c r="L115" s="26"/>
      <c r="M115" s="26"/>
      <c r="N115" s="26"/>
      <c r="O115" s="27">
        <f>IF($B115&lt;&gt;"Challan","",H115+I115+J115+K115+L115+M115)</f>
      </c>
      <c r="P115" s="25"/>
      <c r="Q115" s="25"/>
      <c r="R115" s="25"/>
      <c r="S115" s="25"/>
      <c r="T115" s="25"/>
      <c r="U115" s="28"/>
      <c r="V115" s="28"/>
      <c r="W115" s="28"/>
      <c r="X115" s="29">
        <f>IF($B115&lt;&gt;"Entry","",IF(LEN(V115)&lt;4,"",IF(MID(V115,4,1)="P","Individual",IF(MID(V115,4,1)="H","HUF",IF(MID(V115,4,1)="C","Company",IF(MID(V115,4,1)="F","Firm",IF(MID(V115,4,1)="L","LLP",IF(MID(V115,4,1)="T","Trust",IF(MID(V115,4,1)="A","AOP",""))))))))</f>
      </c>
      <c r="Y115" s="28"/>
      <c r="Z115" s="30">
        <f>IF($B115&lt;&gt;"Entry","",IF(Y115="","",IF(W115="Y",SUMPRODUCT(('Rate Lookup'!$A$1:$A$32=Y115)*'Rate Lookup'!$D$1:$D$32),IF(OR(X115="Individual",X115="HUF"),SUMPRODUCT(('Rate Lookup'!$A$1:$A$32=Y115)*'Rate Lookup'!$B$1:$B$32),SUMPRODUCT(('Rate Lookup'!$A$1:$A$32=Y115)*'Rate Lookup'!$C$1:$C$32)))))</f>
      </c>
      <c r="AA115" s="31"/>
      <c r="AB115" s="32"/>
      <c r="AC115" s="27">
        <f>IF($B115&lt;&gt;"Entry","",ROUND(AB115*Z115/100,0))</f>
      </c>
      <c r="AD115" s="27">
        <f>IF($B115&lt;&gt;"Entry","",0)</f>
      </c>
      <c r="AE115" s="27">
        <f>IF($B115&lt;&gt;"Entry","",0)</f>
      </c>
      <c r="AF115" s="27">
        <f>IF($B115&lt;&gt;"Entry","",IF(OR(AC115=0,AA115="",AQ115="",AQ115&lt;=0),0,IF(AQ115&lt;=DATE(YEAR(AA115),MONTH(AA115)+1,7),0,ROUND(AC115*0.015*((YEAR(AQ115)-YEAR(AA115))*12+(MONTH(AQ115)-MONTH(AA115))+1),0))))</f>
      </c>
      <c r="AG115" s="27">
        <f>IF($B115&lt;&gt;"Entry","",0)</f>
      </c>
      <c r="AH115" s="28"/>
      <c r="AI115" s="28"/>
      <c r="AJ115" s="33"/>
      <c r="AK115" s="28"/>
      <c r="AL115" s="28"/>
      <c r="AM115" s="27">
        <f>IF($B115&lt;&gt;"Challan","",SUMIF($D$4:$D$207,D115,$AC$4:$AC$207)+SUMIF($D$4:$D$207,D115,$AF$4:$AF$207)+SUMIF($D$4:$D$207,D115,$AD$4:$AD$207))</f>
      </c>
      <c r="AN115" s="27">
        <f>IF($B115&lt;&gt;"Challan","",O115-M115)</f>
      </c>
      <c r="AO115" s="27">
        <f>IF($B115&lt;&gt;"Challan","",MAX(0,AN115-AM115))</f>
      </c>
      <c r="AP115" s="29">
        <f>IF($B115&lt;&gt;"Challan","",IF(ROUND(AM115-AN115,2)&gt;0,"Over-applied",IF(ROUND(AM115-AN115,2)=0,"Fully Utilised","Unconsumed")))</f>
      </c>
      <c r="AQ115" s="34">
        <f>IF($B115&lt;&gt;"Entry","",SUMPRODUCT(($D$4:$D$207=D115)*($B$4:$B$207="Challan")*$E$4:$E$207))</f>
      </c>
      <c r="AR115" s="35">
        <f>IF(OR($B115&lt;&gt;"Entry",Y115=""),FALSE,AND(SUMPRODUCT(($D$4:$D$207=D115)*($B$4:$B$207="Challan")*($G$4:$G$207&lt;&gt;""))&gt;0,SUMPRODUCT(($D$4:$D$207=D115)*($B$4:$B$207="Challan")*($G$4:$G$207=Y115))=0))</f>
      </c>
    </row>
    <row r="116" spans="1:44" x14ac:dyDescent="0.25">
      <c r="A116" s="21">
        <f>IF($B116="Entry",COUNTIF($B$4:$B116,"Entry"),"")</f>
      </c>
      <c r="B116" s="22"/>
      <c r="C116" s="23"/>
      <c r="D116" s="23"/>
      <c r="E116" s="24"/>
      <c r="F116" s="25"/>
      <c r="G116" s="25"/>
      <c r="H116" s="26"/>
      <c r="I116" s="26"/>
      <c r="J116" s="26"/>
      <c r="K116" s="26"/>
      <c r="L116" s="26"/>
      <c r="M116" s="26"/>
      <c r="N116" s="26"/>
      <c r="O116" s="27">
        <f>IF($B116&lt;&gt;"Challan","",H116+I116+J116+K116+L116+M116)</f>
      </c>
      <c r="P116" s="25"/>
      <c r="Q116" s="25"/>
      <c r="R116" s="25"/>
      <c r="S116" s="25"/>
      <c r="T116" s="25"/>
      <c r="U116" s="28"/>
      <c r="V116" s="28"/>
      <c r="W116" s="28"/>
      <c r="X116" s="29">
        <f>IF($B116&lt;&gt;"Entry","",IF(LEN(V116)&lt;4,"",IF(MID(V116,4,1)="P","Individual",IF(MID(V116,4,1)="H","HUF",IF(MID(V116,4,1)="C","Company",IF(MID(V116,4,1)="F","Firm",IF(MID(V116,4,1)="L","LLP",IF(MID(V116,4,1)="T","Trust",IF(MID(V116,4,1)="A","AOP",""))))))))</f>
      </c>
      <c r="Y116" s="28"/>
      <c r="Z116" s="30">
        <f>IF($B116&lt;&gt;"Entry","",IF(Y116="","",IF(W116="Y",SUMPRODUCT(('Rate Lookup'!$A$1:$A$32=Y116)*'Rate Lookup'!$D$1:$D$32),IF(OR(X116="Individual",X116="HUF"),SUMPRODUCT(('Rate Lookup'!$A$1:$A$32=Y116)*'Rate Lookup'!$B$1:$B$32),SUMPRODUCT(('Rate Lookup'!$A$1:$A$32=Y116)*'Rate Lookup'!$C$1:$C$32)))))</f>
      </c>
      <c r="AA116" s="31"/>
      <c r="AB116" s="32"/>
      <c r="AC116" s="27">
        <f>IF($B116&lt;&gt;"Entry","",ROUND(AB116*Z116/100,0))</f>
      </c>
      <c r="AD116" s="27">
        <f>IF($B116&lt;&gt;"Entry","",0)</f>
      </c>
      <c r="AE116" s="27">
        <f>IF($B116&lt;&gt;"Entry","",0)</f>
      </c>
      <c r="AF116" s="27">
        <f>IF($B116&lt;&gt;"Entry","",IF(OR(AC116=0,AA116="",AQ116="",AQ116&lt;=0),0,IF(AQ116&lt;=DATE(YEAR(AA116),MONTH(AA116)+1,7),0,ROUND(AC116*0.015*((YEAR(AQ116)-YEAR(AA116))*12+(MONTH(AQ116)-MONTH(AA116))+1),0))))</f>
      </c>
      <c r="AG116" s="27">
        <f>IF($B116&lt;&gt;"Entry","",0)</f>
      </c>
      <c r="AH116" s="28"/>
      <c r="AI116" s="28"/>
      <c r="AJ116" s="33"/>
      <c r="AK116" s="28"/>
      <c r="AL116" s="28"/>
      <c r="AM116" s="27">
        <f>IF($B116&lt;&gt;"Challan","",SUMIF($D$4:$D$207,D116,$AC$4:$AC$207)+SUMIF($D$4:$D$207,D116,$AF$4:$AF$207)+SUMIF($D$4:$D$207,D116,$AD$4:$AD$207))</f>
      </c>
      <c r="AN116" s="27">
        <f>IF($B116&lt;&gt;"Challan","",O116-M116)</f>
      </c>
      <c r="AO116" s="27">
        <f>IF($B116&lt;&gt;"Challan","",MAX(0,AN116-AM116))</f>
      </c>
      <c r="AP116" s="29">
        <f>IF($B116&lt;&gt;"Challan","",IF(ROUND(AM116-AN116,2)&gt;0,"Over-applied",IF(ROUND(AM116-AN116,2)=0,"Fully Utilised","Unconsumed")))</f>
      </c>
      <c r="AQ116" s="34">
        <f>IF($B116&lt;&gt;"Entry","",SUMPRODUCT(($D$4:$D$207=D116)*($B$4:$B$207="Challan")*$E$4:$E$207))</f>
      </c>
      <c r="AR116" s="35">
        <f>IF(OR($B116&lt;&gt;"Entry",Y116=""),FALSE,AND(SUMPRODUCT(($D$4:$D$207=D116)*($B$4:$B$207="Challan")*($G$4:$G$207&lt;&gt;""))&gt;0,SUMPRODUCT(($D$4:$D$207=D116)*($B$4:$B$207="Challan")*($G$4:$G$207=Y116))=0))</f>
      </c>
    </row>
    <row r="117" spans="1:44" x14ac:dyDescent="0.25">
      <c r="A117" s="21">
        <f>IF($B117="Entry",COUNTIF($B$4:$B117,"Entry"),"")</f>
      </c>
      <c r="B117" s="22"/>
      <c r="C117" s="23"/>
      <c r="D117" s="23"/>
      <c r="E117" s="24"/>
      <c r="F117" s="25"/>
      <c r="G117" s="25"/>
      <c r="H117" s="26"/>
      <c r="I117" s="26"/>
      <c r="J117" s="26"/>
      <c r="K117" s="26"/>
      <c r="L117" s="26"/>
      <c r="M117" s="26"/>
      <c r="N117" s="26"/>
      <c r="O117" s="27">
        <f>IF($B117&lt;&gt;"Challan","",H117+I117+J117+K117+L117+M117)</f>
      </c>
      <c r="P117" s="25"/>
      <c r="Q117" s="25"/>
      <c r="R117" s="25"/>
      <c r="S117" s="25"/>
      <c r="T117" s="25"/>
      <c r="U117" s="28"/>
      <c r="V117" s="28"/>
      <c r="W117" s="28"/>
      <c r="X117" s="29">
        <f>IF($B117&lt;&gt;"Entry","",IF(LEN(V117)&lt;4,"",IF(MID(V117,4,1)="P","Individual",IF(MID(V117,4,1)="H","HUF",IF(MID(V117,4,1)="C","Company",IF(MID(V117,4,1)="F","Firm",IF(MID(V117,4,1)="L","LLP",IF(MID(V117,4,1)="T","Trust",IF(MID(V117,4,1)="A","AOP",""))))))))</f>
      </c>
      <c r="Y117" s="28"/>
      <c r="Z117" s="30">
        <f>IF($B117&lt;&gt;"Entry","",IF(Y117="","",IF(W117="Y",SUMPRODUCT(('Rate Lookup'!$A$1:$A$32=Y117)*'Rate Lookup'!$D$1:$D$32),IF(OR(X117="Individual",X117="HUF"),SUMPRODUCT(('Rate Lookup'!$A$1:$A$32=Y117)*'Rate Lookup'!$B$1:$B$32),SUMPRODUCT(('Rate Lookup'!$A$1:$A$32=Y117)*'Rate Lookup'!$C$1:$C$32)))))</f>
      </c>
      <c r="AA117" s="31"/>
      <c r="AB117" s="32"/>
      <c r="AC117" s="27">
        <f>IF($B117&lt;&gt;"Entry","",ROUND(AB117*Z117/100,0))</f>
      </c>
      <c r="AD117" s="27">
        <f>IF($B117&lt;&gt;"Entry","",0)</f>
      </c>
      <c r="AE117" s="27">
        <f>IF($B117&lt;&gt;"Entry","",0)</f>
      </c>
      <c r="AF117" s="27">
        <f>IF($B117&lt;&gt;"Entry","",IF(OR(AC117=0,AA117="",AQ117="",AQ117&lt;=0),0,IF(AQ117&lt;=DATE(YEAR(AA117),MONTH(AA117)+1,7),0,ROUND(AC117*0.015*((YEAR(AQ117)-YEAR(AA117))*12+(MONTH(AQ117)-MONTH(AA117))+1),0))))</f>
      </c>
      <c r="AG117" s="27">
        <f>IF($B117&lt;&gt;"Entry","",0)</f>
      </c>
      <c r="AH117" s="28"/>
      <c r="AI117" s="28"/>
      <c r="AJ117" s="33"/>
      <c r="AK117" s="28"/>
      <c r="AL117" s="28"/>
      <c r="AM117" s="27">
        <f>IF($B117&lt;&gt;"Challan","",SUMIF($D$4:$D$207,D117,$AC$4:$AC$207)+SUMIF($D$4:$D$207,D117,$AF$4:$AF$207)+SUMIF($D$4:$D$207,D117,$AD$4:$AD$207))</f>
      </c>
      <c r="AN117" s="27">
        <f>IF($B117&lt;&gt;"Challan","",O117-M117)</f>
      </c>
      <c r="AO117" s="27">
        <f>IF($B117&lt;&gt;"Challan","",MAX(0,AN117-AM117))</f>
      </c>
      <c r="AP117" s="29">
        <f>IF($B117&lt;&gt;"Challan","",IF(ROUND(AM117-AN117,2)&gt;0,"Over-applied",IF(ROUND(AM117-AN117,2)=0,"Fully Utilised","Unconsumed")))</f>
      </c>
      <c r="AQ117" s="34">
        <f>IF($B117&lt;&gt;"Entry","",SUMPRODUCT(($D$4:$D$207=D117)*($B$4:$B$207="Challan")*$E$4:$E$207))</f>
      </c>
      <c r="AR117" s="35">
        <f>IF(OR($B117&lt;&gt;"Entry",Y117=""),FALSE,AND(SUMPRODUCT(($D$4:$D$207=D117)*($B$4:$B$207="Challan")*($G$4:$G$207&lt;&gt;""))&gt;0,SUMPRODUCT(($D$4:$D$207=D117)*($B$4:$B$207="Challan")*($G$4:$G$207=Y117))=0))</f>
      </c>
    </row>
    <row r="118" spans="1:44" x14ac:dyDescent="0.25">
      <c r="A118" s="21">
        <f>IF($B118="Entry",COUNTIF($B$4:$B118,"Entry"),"")</f>
      </c>
      <c r="B118" s="22"/>
      <c r="C118" s="23"/>
      <c r="D118" s="23"/>
      <c r="E118" s="24"/>
      <c r="F118" s="25"/>
      <c r="G118" s="25"/>
      <c r="H118" s="26"/>
      <c r="I118" s="26"/>
      <c r="J118" s="26"/>
      <c r="K118" s="26"/>
      <c r="L118" s="26"/>
      <c r="M118" s="26"/>
      <c r="N118" s="26"/>
      <c r="O118" s="27">
        <f>IF($B118&lt;&gt;"Challan","",H118+I118+J118+K118+L118+M118)</f>
      </c>
      <c r="P118" s="25"/>
      <c r="Q118" s="25"/>
      <c r="R118" s="25"/>
      <c r="S118" s="25"/>
      <c r="T118" s="25"/>
      <c r="U118" s="28"/>
      <c r="V118" s="28"/>
      <c r="W118" s="28"/>
      <c r="X118" s="29">
        <f>IF($B118&lt;&gt;"Entry","",IF(LEN(V118)&lt;4,"",IF(MID(V118,4,1)="P","Individual",IF(MID(V118,4,1)="H","HUF",IF(MID(V118,4,1)="C","Company",IF(MID(V118,4,1)="F","Firm",IF(MID(V118,4,1)="L","LLP",IF(MID(V118,4,1)="T","Trust",IF(MID(V118,4,1)="A","AOP",""))))))))</f>
      </c>
      <c r="Y118" s="28"/>
      <c r="Z118" s="30">
        <f>IF($B118&lt;&gt;"Entry","",IF(Y118="","",IF(W118="Y",SUMPRODUCT(('Rate Lookup'!$A$1:$A$32=Y118)*'Rate Lookup'!$D$1:$D$32),IF(OR(X118="Individual",X118="HUF"),SUMPRODUCT(('Rate Lookup'!$A$1:$A$32=Y118)*'Rate Lookup'!$B$1:$B$32),SUMPRODUCT(('Rate Lookup'!$A$1:$A$32=Y118)*'Rate Lookup'!$C$1:$C$32)))))</f>
      </c>
      <c r="AA118" s="31"/>
      <c r="AB118" s="32"/>
      <c r="AC118" s="27">
        <f>IF($B118&lt;&gt;"Entry","",ROUND(AB118*Z118/100,0))</f>
      </c>
      <c r="AD118" s="27">
        <f>IF($B118&lt;&gt;"Entry","",0)</f>
      </c>
      <c r="AE118" s="27">
        <f>IF($B118&lt;&gt;"Entry","",0)</f>
      </c>
      <c r="AF118" s="27">
        <f>IF($B118&lt;&gt;"Entry","",IF(OR(AC118=0,AA118="",AQ118="",AQ118&lt;=0),0,IF(AQ118&lt;=DATE(YEAR(AA118),MONTH(AA118)+1,7),0,ROUND(AC118*0.015*((YEAR(AQ118)-YEAR(AA118))*12+(MONTH(AQ118)-MONTH(AA118))+1),0))))</f>
      </c>
      <c r="AG118" s="27">
        <f>IF($B118&lt;&gt;"Entry","",0)</f>
      </c>
      <c r="AH118" s="28"/>
      <c r="AI118" s="28"/>
      <c r="AJ118" s="33"/>
      <c r="AK118" s="28"/>
      <c r="AL118" s="28"/>
      <c r="AM118" s="27">
        <f>IF($B118&lt;&gt;"Challan","",SUMIF($D$4:$D$207,D118,$AC$4:$AC$207)+SUMIF($D$4:$D$207,D118,$AF$4:$AF$207)+SUMIF($D$4:$D$207,D118,$AD$4:$AD$207))</f>
      </c>
      <c r="AN118" s="27">
        <f>IF($B118&lt;&gt;"Challan","",O118-M118)</f>
      </c>
      <c r="AO118" s="27">
        <f>IF($B118&lt;&gt;"Challan","",MAX(0,AN118-AM118))</f>
      </c>
      <c r="AP118" s="29">
        <f>IF($B118&lt;&gt;"Challan","",IF(ROUND(AM118-AN118,2)&gt;0,"Over-applied",IF(ROUND(AM118-AN118,2)=0,"Fully Utilised","Unconsumed")))</f>
      </c>
      <c r="AQ118" s="34">
        <f>IF($B118&lt;&gt;"Entry","",SUMPRODUCT(($D$4:$D$207=D118)*($B$4:$B$207="Challan")*$E$4:$E$207))</f>
      </c>
      <c r="AR118" s="35">
        <f>IF(OR($B118&lt;&gt;"Entry",Y118=""),FALSE,AND(SUMPRODUCT(($D$4:$D$207=D118)*($B$4:$B$207="Challan")*($G$4:$G$207&lt;&gt;""))&gt;0,SUMPRODUCT(($D$4:$D$207=D118)*($B$4:$B$207="Challan")*($G$4:$G$207=Y118))=0))</f>
      </c>
    </row>
    <row r="119" spans="1:44" x14ac:dyDescent="0.25">
      <c r="A119" s="21">
        <f>IF($B119="Entry",COUNTIF($B$4:$B119,"Entry"),"")</f>
      </c>
      <c r="B119" s="22"/>
      <c r="C119" s="23"/>
      <c r="D119" s="23"/>
      <c r="E119" s="24"/>
      <c r="F119" s="25"/>
      <c r="G119" s="25"/>
      <c r="H119" s="26"/>
      <c r="I119" s="26"/>
      <c r="J119" s="26"/>
      <c r="K119" s="26"/>
      <c r="L119" s="26"/>
      <c r="M119" s="26"/>
      <c r="N119" s="26"/>
      <c r="O119" s="27">
        <f>IF($B119&lt;&gt;"Challan","",H119+I119+J119+K119+L119+M119)</f>
      </c>
      <c r="P119" s="25"/>
      <c r="Q119" s="25"/>
      <c r="R119" s="25"/>
      <c r="S119" s="25"/>
      <c r="T119" s="25"/>
      <c r="U119" s="28"/>
      <c r="V119" s="28"/>
      <c r="W119" s="28"/>
      <c r="X119" s="29">
        <f>IF($B119&lt;&gt;"Entry","",IF(LEN(V119)&lt;4,"",IF(MID(V119,4,1)="P","Individual",IF(MID(V119,4,1)="H","HUF",IF(MID(V119,4,1)="C","Company",IF(MID(V119,4,1)="F","Firm",IF(MID(V119,4,1)="L","LLP",IF(MID(V119,4,1)="T","Trust",IF(MID(V119,4,1)="A","AOP",""))))))))</f>
      </c>
      <c r="Y119" s="28"/>
      <c r="Z119" s="30">
        <f>IF($B119&lt;&gt;"Entry","",IF(Y119="","",IF(W119="Y",SUMPRODUCT(('Rate Lookup'!$A$1:$A$32=Y119)*'Rate Lookup'!$D$1:$D$32),IF(OR(X119="Individual",X119="HUF"),SUMPRODUCT(('Rate Lookup'!$A$1:$A$32=Y119)*'Rate Lookup'!$B$1:$B$32),SUMPRODUCT(('Rate Lookup'!$A$1:$A$32=Y119)*'Rate Lookup'!$C$1:$C$32)))))</f>
      </c>
      <c r="AA119" s="31"/>
      <c r="AB119" s="32"/>
      <c r="AC119" s="27">
        <f>IF($B119&lt;&gt;"Entry","",ROUND(AB119*Z119/100,0))</f>
      </c>
      <c r="AD119" s="27">
        <f>IF($B119&lt;&gt;"Entry","",0)</f>
      </c>
      <c r="AE119" s="27">
        <f>IF($B119&lt;&gt;"Entry","",0)</f>
      </c>
      <c r="AF119" s="27">
        <f>IF($B119&lt;&gt;"Entry","",IF(OR(AC119=0,AA119="",AQ119="",AQ119&lt;=0),0,IF(AQ119&lt;=DATE(YEAR(AA119),MONTH(AA119)+1,7),0,ROUND(AC119*0.015*((YEAR(AQ119)-YEAR(AA119))*12+(MONTH(AQ119)-MONTH(AA119))+1),0))))</f>
      </c>
      <c r="AG119" s="27">
        <f>IF($B119&lt;&gt;"Entry","",0)</f>
      </c>
      <c r="AH119" s="28"/>
      <c r="AI119" s="28"/>
      <c r="AJ119" s="33"/>
      <c r="AK119" s="28"/>
      <c r="AL119" s="28"/>
      <c r="AM119" s="27">
        <f>IF($B119&lt;&gt;"Challan","",SUMIF($D$4:$D$207,D119,$AC$4:$AC$207)+SUMIF($D$4:$D$207,D119,$AF$4:$AF$207)+SUMIF($D$4:$D$207,D119,$AD$4:$AD$207))</f>
      </c>
      <c r="AN119" s="27">
        <f>IF($B119&lt;&gt;"Challan","",O119-M119)</f>
      </c>
      <c r="AO119" s="27">
        <f>IF($B119&lt;&gt;"Challan","",MAX(0,AN119-AM119))</f>
      </c>
      <c r="AP119" s="29">
        <f>IF($B119&lt;&gt;"Challan","",IF(ROUND(AM119-AN119,2)&gt;0,"Over-applied",IF(ROUND(AM119-AN119,2)=0,"Fully Utilised","Unconsumed")))</f>
      </c>
      <c r="AQ119" s="34">
        <f>IF($B119&lt;&gt;"Entry","",SUMPRODUCT(($D$4:$D$207=D119)*($B$4:$B$207="Challan")*$E$4:$E$207))</f>
      </c>
      <c r="AR119" s="35">
        <f>IF(OR($B119&lt;&gt;"Entry",Y119=""),FALSE,AND(SUMPRODUCT(($D$4:$D$207=D119)*($B$4:$B$207="Challan")*($G$4:$G$207&lt;&gt;""))&gt;0,SUMPRODUCT(($D$4:$D$207=D119)*($B$4:$B$207="Challan")*($G$4:$G$207=Y119))=0))</f>
      </c>
    </row>
    <row r="120" spans="1:44" x14ac:dyDescent="0.25">
      <c r="A120" s="21">
        <f>IF($B120="Entry",COUNTIF($B$4:$B120,"Entry"),"")</f>
      </c>
      <c r="B120" s="22"/>
      <c r="C120" s="23"/>
      <c r="D120" s="23"/>
      <c r="E120" s="24"/>
      <c r="F120" s="25"/>
      <c r="G120" s="25"/>
      <c r="H120" s="26"/>
      <c r="I120" s="26"/>
      <c r="J120" s="26"/>
      <c r="K120" s="26"/>
      <c r="L120" s="26"/>
      <c r="M120" s="26"/>
      <c r="N120" s="26"/>
      <c r="O120" s="27">
        <f>IF($B120&lt;&gt;"Challan","",H120+I120+J120+K120+L120+M120)</f>
      </c>
      <c r="P120" s="25"/>
      <c r="Q120" s="25"/>
      <c r="R120" s="25"/>
      <c r="S120" s="25"/>
      <c r="T120" s="25"/>
      <c r="U120" s="28"/>
      <c r="V120" s="28"/>
      <c r="W120" s="28"/>
      <c r="X120" s="29">
        <f>IF($B120&lt;&gt;"Entry","",IF(LEN(V120)&lt;4,"",IF(MID(V120,4,1)="P","Individual",IF(MID(V120,4,1)="H","HUF",IF(MID(V120,4,1)="C","Company",IF(MID(V120,4,1)="F","Firm",IF(MID(V120,4,1)="L","LLP",IF(MID(V120,4,1)="T","Trust",IF(MID(V120,4,1)="A","AOP",""))))))))</f>
      </c>
      <c r="Y120" s="28"/>
      <c r="Z120" s="30">
        <f>IF($B120&lt;&gt;"Entry","",IF(Y120="","",IF(W120="Y",SUMPRODUCT(('Rate Lookup'!$A$1:$A$32=Y120)*'Rate Lookup'!$D$1:$D$32),IF(OR(X120="Individual",X120="HUF"),SUMPRODUCT(('Rate Lookup'!$A$1:$A$32=Y120)*'Rate Lookup'!$B$1:$B$32),SUMPRODUCT(('Rate Lookup'!$A$1:$A$32=Y120)*'Rate Lookup'!$C$1:$C$32)))))</f>
      </c>
      <c r="AA120" s="31"/>
      <c r="AB120" s="32"/>
      <c r="AC120" s="27">
        <f>IF($B120&lt;&gt;"Entry","",ROUND(AB120*Z120/100,0))</f>
      </c>
      <c r="AD120" s="27">
        <f>IF($B120&lt;&gt;"Entry","",0)</f>
      </c>
      <c r="AE120" s="27">
        <f>IF($B120&lt;&gt;"Entry","",0)</f>
      </c>
      <c r="AF120" s="27">
        <f>IF($B120&lt;&gt;"Entry","",IF(OR(AC120=0,AA120="",AQ120="",AQ120&lt;=0),0,IF(AQ120&lt;=DATE(YEAR(AA120),MONTH(AA120)+1,7),0,ROUND(AC120*0.015*((YEAR(AQ120)-YEAR(AA120))*12+(MONTH(AQ120)-MONTH(AA120))+1),0))))</f>
      </c>
      <c r="AG120" s="27">
        <f>IF($B120&lt;&gt;"Entry","",0)</f>
      </c>
      <c r="AH120" s="28"/>
      <c r="AI120" s="28"/>
      <c r="AJ120" s="33"/>
      <c r="AK120" s="28"/>
      <c r="AL120" s="28"/>
      <c r="AM120" s="27">
        <f>IF($B120&lt;&gt;"Challan","",SUMIF($D$4:$D$207,D120,$AC$4:$AC$207)+SUMIF($D$4:$D$207,D120,$AF$4:$AF$207)+SUMIF($D$4:$D$207,D120,$AD$4:$AD$207))</f>
      </c>
      <c r="AN120" s="27">
        <f>IF($B120&lt;&gt;"Challan","",O120-M120)</f>
      </c>
      <c r="AO120" s="27">
        <f>IF($B120&lt;&gt;"Challan","",MAX(0,AN120-AM120))</f>
      </c>
      <c r="AP120" s="29">
        <f>IF($B120&lt;&gt;"Challan","",IF(ROUND(AM120-AN120,2)&gt;0,"Over-applied",IF(ROUND(AM120-AN120,2)=0,"Fully Utilised","Unconsumed")))</f>
      </c>
      <c r="AQ120" s="34">
        <f>IF($B120&lt;&gt;"Entry","",SUMPRODUCT(($D$4:$D$207=D120)*($B$4:$B$207="Challan")*$E$4:$E$207))</f>
      </c>
      <c r="AR120" s="35">
        <f>IF(OR($B120&lt;&gt;"Entry",Y120=""),FALSE,AND(SUMPRODUCT(($D$4:$D$207=D120)*($B$4:$B$207="Challan")*($G$4:$G$207&lt;&gt;""))&gt;0,SUMPRODUCT(($D$4:$D$207=D120)*($B$4:$B$207="Challan")*($G$4:$G$207=Y120))=0))</f>
      </c>
    </row>
    <row r="121" spans="1:44" x14ac:dyDescent="0.25">
      <c r="A121" s="21">
        <f>IF($B121="Entry",COUNTIF($B$4:$B121,"Entry"),"")</f>
      </c>
      <c r="B121" s="22"/>
      <c r="C121" s="23"/>
      <c r="D121" s="23"/>
      <c r="E121" s="24"/>
      <c r="F121" s="25"/>
      <c r="G121" s="25"/>
      <c r="H121" s="26"/>
      <c r="I121" s="26"/>
      <c r="J121" s="26"/>
      <c r="K121" s="26"/>
      <c r="L121" s="26"/>
      <c r="M121" s="26"/>
      <c r="N121" s="26"/>
      <c r="O121" s="27">
        <f>IF($B121&lt;&gt;"Challan","",H121+I121+J121+K121+L121+M121)</f>
      </c>
      <c r="P121" s="25"/>
      <c r="Q121" s="25"/>
      <c r="R121" s="25"/>
      <c r="S121" s="25"/>
      <c r="T121" s="25"/>
      <c r="U121" s="28"/>
      <c r="V121" s="28"/>
      <c r="W121" s="28"/>
      <c r="X121" s="29">
        <f>IF($B121&lt;&gt;"Entry","",IF(LEN(V121)&lt;4,"",IF(MID(V121,4,1)="P","Individual",IF(MID(V121,4,1)="H","HUF",IF(MID(V121,4,1)="C","Company",IF(MID(V121,4,1)="F","Firm",IF(MID(V121,4,1)="L","LLP",IF(MID(V121,4,1)="T","Trust",IF(MID(V121,4,1)="A","AOP",""))))))))</f>
      </c>
      <c r="Y121" s="28"/>
      <c r="Z121" s="30">
        <f>IF($B121&lt;&gt;"Entry","",IF(Y121="","",IF(W121="Y",SUMPRODUCT(('Rate Lookup'!$A$1:$A$32=Y121)*'Rate Lookup'!$D$1:$D$32),IF(OR(X121="Individual",X121="HUF"),SUMPRODUCT(('Rate Lookup'!$A$1:$A$32=Y121)*'Rate Lookup'!$B$1:$B$32),SUMPRODUCT(('Rate Lookup'!$A$1:$A$32=Y121)*'Rate Lookup'!$C$1:$C$32)))))</f>
      </c>
      <c r="AA121" s="31"/>
      <c r="AB121" s="32"/>
      <c r="AC121" s="27">
        <f>IF($B121&lt;&gt;"Entry","",ROUND(AB121*Z121/100,0))</f>
      </c>
      <c r="AD121" s="27">
        <f>IF($B121&lt;&gt;"Entry","",0)</f>
      </c>
      <c r="AE121" s="27">
        <f>IF($B121&lt;&gt;"Entry","",0)</f>
      </c>
      <c r="AF121" s="27">
        <f>IF($B121&lt;&gt;"Entry","",IF(OR(AC121=0,AA121="",AQ121="",AQ121&lt;=0),0,IF(AQ121&lt;=DATE(YEAR(AA121),MONTH(AA121)+1,7),0,ROUND(AC121*0.015*((YEAR(AQ121)-YEAR(AA121))*12+(MONTH(AQ121)-MONTH(AA121))+1),0))))</f>
      </c>
      <c r="AG121" s="27">
        <f>IF($B121&lt;&gt;"Entry","",0)</f>
      </c>
      <c r="AH121" s="28"/>
      <c r="AI121" s="28"/>
      <c r="AJ121" s="33"/>
      <c r="AK121" s="28"/>
      <c r="AL121" s="28"/>
      <c r="AM121" s="27">
        <f>IF($B121&lt;&gt;"Challan","",SUMIF($D$4:$D$207,D121,$AC$4:$AC$207)+SUMIF($D$4:$D$207,D121,$AF$4:$AF$207)+SUMIF($D$4:$D$207,D121,$AD$4:$AD$207))</f>
      </c>
      <c r="AN121" s="27">
        <f>IF($B121&lt;&gt;"Challan","",O121-M121)</f>
      </c>
      <c r="AO121" s="27">
        <f>IF($B121&lt;&gt;"Challan","",MAX(0,AN121-AM121))</f>
      </c>
      <c r="AP121" s="29">
        <f>IF($B121&lt;&gt;"Challan","",IF(ROUND(AM121-AN121,2)&gt;0,"Over-applied",IF(ROUND(AM121-AN121,2)=0,"Fully Utilised","Unconsumed")))</f>
      </c>
      <c r="AQ121" s="34">
        <f>IF($B121&lt;&gt;"Entry","",SUMPRODUCT(($D$4:$D$207=D121)*($B$4:$B$207="Challan")*$E$4:$E$207))</f>
      </c>
      <c r="AR121" s="35">
        <f>IF(OR($B121&lt;&gt;"Entry",Y121=""),FALSE,AND(SUMPRODUCT(($D$4:$D$207=D121)*($B$4:$B$207="Challan")*($G$4:$G$207&lt;&gt;""))&gt;0,SUMPRODUCT(($D$4:$D$207=D121)*($B$4:$B$207="Challan")*($G$4:$G$207=Y121))=0))</f>
      </c>
    </row>
    <row r="122" spans="1:44" x14ac:dyDescent="0.25">
      <c r="A122" s="21">
        <f>IF($B122="Entry",COUNTIF($B$4:$B122,"Entry"),"")</f>
      </c>
      <c r="B122" s="22"/>
      <c r="C122" s="23"/>
      <c r="D122" s="23"/>
      <c r="E122" s="24"/>
      <c r="F122" s="25"/>
      <c r="G122" s="25"/>
      <c r="H122" s="26"/>
      <c r="I122" s="26"/>
      <c r="J122" s="26"/>
      <c r="K122" s="26"/>
      <c r="L122" s="26"/>
      <c r="M122" s="26"/>
      <c r="N122" s="26"/>
      <c r="O122" s="27">
        <f>IF($B122&lt;&gt;"Challan","",H122+I122+J122+K122+L122+M122)</f>
      </c>
      <c r="P122" s="25"/>
      <c r="Q122" s="25"/>
      <c r="R122" s="25"/>
      <c r="S122" s="25"/>
      <c r="T122" s="25"/>
      <c r="U122" s="28"/>
      <c r="V122" s="28"/>
      <c r="W122" s="28"/>
      <c r="X122" s="29">
        <f>IF($B122&lt;&gt;"Entry","",IF(LEN(V122)&lt;4,"",IF(MID(V122,4,1)="P","Individual",IF(MID(V122,4,1)="H","HUF",IF(MID(V122,4,1)="C","Company",IF(MID(V122,4,1)="F","Firm",IF(MID(V122,4,1)="L","LLP",IF(MID(V122,4,1)="T","Trust",IF(MID(V122,4,1)="A","AOP",""))))))))</f>
      </c>
      <c r="Y122" s="28"/>
      <c r="Z122" s="30">
        <f>IF($B122&lt;&gt;"Entry","",IF(Y122="","",IF(W122="Y",SUMPRODUCT(('Rate Lookup'!$A$1:$A$32=Y122)*'Rate Lookup'!$D$1:$D$32),IF(OR(X122="Individual",X122="HUF"),SUMPRODUCT(('Rate Lookup'!$A$1:$A$32=Y122)*'Rate Lookup'!$B$1:$B$32),SUMPRODUCT(('Rate Lookup'!$A$1:$A$32=Y122)*'Rate Lookup'!$C$1:$C$32)))))</f>
      </c>
      <c r="AA122" s="31"/>
      <c r="AB122" s="32"/>
      <c r="AC122" s="27">
        <f>IF($B122&lt;&gt;"Entry","",ROUND(AB122*Z122/100,0))</f>
      </c>
      <c r="AD122" s="27">
        <f>IF($B122&lt;&gt;"Entry","",0)</f>
      </c>
      <c r="AE122" s="27">
        <f>IF($B122&lt;&gt;"Entry","",0)</f>
      </c>
      <c r="AF122" s="27">
        <f>IF($B122&lt;&gt;"Entry","",IF(OR(AC122=0,AA122="",AQ122="",AQ122&lt;=0),0,IF(AQ122&lt;=DATE(YEAR(AA122),MONTH(AA122)+1,7),0,ROUND(AC122*0.015*((YEAR(AQ122)-YEAR(AA122))*12+(MONTH(AQ122)-MONTH(AA122))+1),0))))</f>
      </c>
      <c r="AG122" s="27">
        <f>IF($B122&lt;&gt;"Entry","",0)</f>
      </c>
      <c r="AH122" s="28"/>
      <c r="AI122" s="28"/>
      <c r="AJ122" s="33"/>
      <c r="AK122" s="28"/>
      <c r="AL122" s="28"/>
      <c r="AM122" s="27">
        <f>IF($B122&lt;&gt;"Challan","",SUMIF($D$4:$D$207,D122,$AC$4:$AC$207)+SUMIF($D$4:$D$207,D122,$AF$4:$AF$207)+SUMIF($D$4:$D$207,D122,$AD$4:$AD$207))</f>
      </c>
      <c r="AN122" s="27">
        <f>IF($B122&lt;&gt;"Challan","",O122-M122)</f>
      </c>
      <c r="AO122" s="27">
        <f>IF($B122&lt;&gt;"Challan","",MAX(0,AN122-AM122))</f>
      </c>
      <c r="AP122" s="29">
        <f>IF($B122&lt;&gt;"Challan","",IF(ROUND(AM122-AN122,2)&gt;0,"Over-applied",IF(ROUND(AM122-AN122,2)=0,"Fully Utilised","Unconsumed")))</f>
      </c>
      <c r="AQ122" s="34">
        <f>IF($B122&lt;&gt;"Entry","",SUMPRODUCT(($D$4:$D$207=D122)*($B$4:$B$207="Challan")*$E$4:$E$207))</f>
      </c>
      <c r="AR122" s="35">
        <f>IF(OR($B122&lt;&gt;"Entry",Y122=""),FALSE,AND(SUMPRODUCT(($D$4:$D$207=D122)*($B$4:$B$207="Challan")*($G$4:$G$207&lt;&gt;""))&gt;0,SUMPRODUCT(($D$4:$D$207=D122)*($B$4:$B$207="Challan")*($G$4:$G$207=Y122))=0))</f>
      </c>
    </row>
    <row r="123" spans="1:44" x14ac:dyDescent="0.25">
      <c r="A123" s="21">
        <f>IF($B123="Entry",COUNTIF($B$4:$B123,"Entry"),"")</f>
      </c>
      <c r="B123" s="22"/>
      <c r="C123" s="23"/>
      <c r="D123" s="23"/>
      <c r="E123" s="24"/>
      <c r="F123" s="25"/>
      <c r="G123" s="25"/>
      <c r="H123" s="26"/>
      <c r="I123" s="26"/>
      <c r="J123" s="26"/>
      <c r="K123" s="26"/>
      <c r="L123" s="26"/>
      <c r="M123" s="26"/>
      <c r="N123" s="26"/>
      <c r="O123" s="27">
        <f>IF($B123&lt;&gt;"Challan","",H123+I123+J123+K123+L123+M123)</f>
      </c>
      <c r="P123" s="25"/>
      <c r="Q123" s="25"/>
      <c r="R123" s="25"/>
      <c r="S123" s="25"/>
      <c r="T123" s="25"/>
      <c r="U123" s="28"/>
      <c r="V123" s="28"/>
      <c r="W123" s="28"/>
      <c r="X123" s="29">
        <f>IF($B123&lt;&gt;"Entry","",IF(LEN(V123)&lt;4,"",IF(MID(V123,4,1)="P","Individual",IF(MID(V123,4,1)="H","HUF",IF(MID(V123,4,1)="C","Company",IF(MID(V123,4,1)="F","Firm",IF(MID(V123,4,1)="L","LLP",IF(MID(V123,4,1)="T","Trust",IF(MID(V123,4,1)="A","AOP",""))))))))</f>
      </c>
      <c r="Y123" s="28"/>
      <c r="Z123" s="30">
        <f>IF($B123&lt;&gt;"Entry","",IF(Y123="","",IF(W123="Y",SUMPRODUCT(('Rate Lookup'!$A$1:$A$32=Y123)*'Rate Lookup'!$D$1:$D$32),IF(OR(X123="Individual",X123="HUF"),SUMPRODUCT(('Rate Lookup'!$A$1:$A$32=Y123)*'Rate Lookup'!$B$1:$B$32),SUMPRODUCT(('Rate Lookup'!$A$1:$A$32=Y123)*'Rate Lookup'!$C$1:$C$32)))))</f>
      </c>
      <c r="AA123" s="31"/>
      <c r="AB123" s="32"/>
      <c r="AC123" s="27">
        <f>IF($B123&lt;&gt;"Entry","",ROUND(AB123*Z123/100,0))</f>
      </c>
      <c r="AD123" s="27">
        <f>IF($B123&lt;&gt;"Entry","",0)</f>
      </c>
      <c r="AE123" s="27">
        <f>IF($B123&lt;&gt;"Entry","",0)</f>
      </c>
      <c r="AF123" s="27">
        <f>IF($B123&lt;&gt;"Entry","",IF(OR(AC123=0,AA123="",AQ123="",AQ123&lt;=0),0,IF(AQ123&lt;=DATE(YEAR(AA123),MONTH(AA123)+1,7),0,ROUND(AC123*0.015*((YEAR(AQ123)-YEAR(AA123))*12+(MONTH(AQ123)-MONTH(AA123))+1),0))))</f>
      </c>
      <c r="AG123" s="27">
        <f>IF($B123&lt;&gt;"Entry","",0)</f>
      </c>
      <c r="AH123" s="28"/>
      <c r="AI123" s="28"/>
      <c r="AJ123" s="33"/>
      <c r="AK123" s="28"/>
      <c r="AL123" s="28"/>
      <c r="AM123" s="27">
        <f>IF($B123&lt;&gt;"Challan","",SUMIF($D$4:$D$207,D123,$AC$4:$AC$207)+SUMIF($D$4:$D$207,D123,$AF$4:$AF$207)+SUMIF($D$4:$D$207,D123,$AD$4:$AD$207))</f>
      </c>
      <c r="AN123" s="27">
        <f>IF($B123&lt;&gt;"Challan","",O123-M123)</f>
      </c>
      <c r="AO123" s="27">
        <f>IF($B123&lt;&gt;"Challan","",MAX(0,AN123-AM123))</f>
      </c>
      <c r="AP123" s="29">
        <f>IF($B123&lt;&gt;"Challan","",IF(ROUND(AM123-AN123,2)&gt;0,"Over-applied",IF(ROUND(AM123-AN123,2)=0,"Fully Utilised","Unconsumed")))</f>
      </c>
      <c r="AQ123" s="34">
        <f>IF($B123&lt;&gt;"Entry","",SUMPRODUCT(($D$4:$D$207=D123)*($B$4:$B$207="Challan")*$E$4:$E$207))</f>
      </c>
      <c r="AR123" s="35">
        <f>IF(OR($B123&lt;&gt;"Entry",Y123=""),FALSE,AND(SUMPRODUCT(($D$4:$D$207=D123)*($B$4:$B$207="Challan")*($G$4:$G$207&lt;&gt;""))&gt;0,SUMPRODUCT(($D$4:$D$207=D123)*($B$4:$B$207="Challan")*($G$4:$G$207=Y123))=0))</f>
      </c>
    </row>
    <row r="124" spans="1:44" x14ac:dyDescent="0.25">
      <c r="A124" s="21">
        <f>IF($B124="Entry",COUNTIF($B$4:$B124,"Entry"),"")</f>
      </c>
      <c r="B124" s="22"/>
      <c r="C124" s="23"/>
      <c r="D124" s="23"/>
      <c r="E124" s="24"/>
      <c r="F124" s="25"/>
      <c r="G124" s="25"/>
      <c r="H124" s="26"/>
      <c r="I124" s="26"/>
      <c r="J124" s="26"/>
      <c r="K124" s="26"/>
      <c r="L124" s="26"/>
      <c r="M124" s="26"/>
      <c r="N124" s="26"/>
      <c r="O124" s="27">
        <f>IF($B124&lt;&gt;"Challan","",H124+I124+J124+K124+L124+M124)</f>
      </c>
      <c r="P124" s="25"/>
      <c r="Q124" s="25"/>
      <c r="R124" s="25"/>
      <c r="S124" s="25"/>
      <c r="T124" s="25"/>
      <c r="U124" s="28"/>
      <c r="V124" s="28"/>
      <c r="W124" s="28"/>
      <c r="X124" s="29">
        <f>IF($B124&lt;&gt;"Entry","",IF(LEN(V124)&lt;4,"",IF(MID(V124,4,1)="P","Individual",IF(MID(V124,4,1)="H","HUF",IF(MID(V124,4,1)="C","Company",IF(MID(V124,4,1)="F","Firm",IF(MID(V124,4,1)="L","LLP",IF(MID(V124,4,1)="T","Trust",IF(MID(V124,4,1)="A","AOP",""))))))))</f>
      </c>
      <c r="Y124" s="28"/>
      <c r="Z124" s="30">
        <f>IF($B124&lt;&gt;"Entry","",IF(Y124="","",IF(W124="Y",SUMPRODUCT(('Rate Lookup'!$A$1:$A$32=Y124)*'Rate Lookup'!$D$1:$D$32),IF(OR(X124="Individual",X124="HUF"),SUMPRODUCT(('Rate Lookup'!$A$1:$A$32=Y124)*'Rate Lookup'!$B$1:$B$32),SUMPRODUCT(('Rate Lookup'!$A$1:$A$32=Y124)*'Rate Lookup'!$C$1:$C$32)))))</f>
      </c>
      <c r="AA124" s="31"/>
      <c r="AB124" s="32"/>
      <c r="AC124" s="27">
        <f>IF($B124&lt;&gt;"Entry","",ROUND(AB124*Z124/100,0))</f>
      </c>
      <c r="AD124" s="27">
        <f>IF($B124&lt;&gt;"Entry","",0)</f>
      </c>
      <c r="AE124" s="27">
        <f>IF($B124&lt;&gt;"Entry","",0)</f>
      </c>
      <c r="AF124" s="27">
        <f>IF($B124&lt;&gt;"Entry","",IF(OR(AC124=0,AA124="",AQ124="",AQ124&lt;=0),0,IF(AQ124&lt;=DATE(YEAR(AA124),MONTH(AA124)+1,7),0,ROUND(AC124*0.015*((YEAR(AQ124)-YEAR(AA124))*12+(MONTH(AQ124)-MONTH(AA124))+1),0))))</f>
      </c>
      <c r="AG124" s="27">
        <f>IF($B124&lt;&gt;"Entry","",0)</f>
      </c>
      <c r="AH124" s="28"/>
      <c r="AI124" s="28"/>
      <c r="AJ124" s="33"/>
      <c r="AK124" s="28"/>
      <c r="AL124" s="28"/>
      <c r="AM124" s="27">
        <f>IF($B124&lt;&gt;"Challan","",SUMIF($D$4:$D$207,D124,$AC$4:$AC$207)+SUMIF($D$4:$D$207,D124,$AF$4:$AF$207)+SUMIF($D$4:$D$207,D124,$AD$4:$AD$207))</f>
      </c>
      <c r="AN124" s="27">
        <f>IF($B124&lt;&gt;"Challan","",O124-M124)</f>
      </c>
      <c r="AO124" s="27">
        <f>IF($B124&lt;&gt;"Challan","",MAX(0,AN124-AM124))</f>
      </c>
      <c r="AP124" s="29">
        <f>IF($B124&lt;&gt;"Challan","",IF(ROUND(AM124-AN124,2)&gt;0,"Over-applied",IF(ROUND(AM124-AN124,2)=0,"Fully Utilised","Unconsumed")))</f>
      </c>
      <c r="AQ124" s="34">
        <f>IF($B124&lt;&gt;"Entry","",SUMPRODUCT(($D$4:$D$207=D124)*($B$4:$B$207="Challan")*$E$4:$E$207))</f>
      </c>
      <c r="AR124" s="35">
        <f>IF(OR($B124&lt;&gt;"Entry",Y124=""),FALSE,AND(SUMPRODUCT(($D$4:$D$207=D124)*($B$4:$B$207="Challan")*($G$4:$G$207&lt;&gt;""))&gt;0,SUMPRODUCT(($D$4:$D$207=D124)*($B$4:$B$207="Challan")*($G$4:$G$207=Y124))=0))</f>
      </c>
    </row>
    <row r="125" spans="1:44" x14ac:dyDescent="0.25">
      <c r="A125" s="21">
        <f>IF($B125="Entry",COUNTIF($B$4:$B125,"Entry"),"")</f>
      </c>
      <c r="B125" s="22"/>
      <c r="C125" s="23"/>
      <c r="D125" s="23"/>
      <c r="E125" s="24"/>
      <c r="F125" s="25"/>
      <c r="G125" s="25"/>
      <c r="H125" s="26"/>
      <c r="I125" s="26"/>
      <c r="J125" s="26"/>
      <c r="K125" s="26"/>
      <c r="L125" s="26"/>
      <c r="M125" s="26"/>
      <c r="N125" s="26"/>
      <c r="O125" s="27">
        <f>IF($B125&lt;&gt;"Challan","",H125+I125+J125+K125+L125+M125)</f>
      </c>
      <c r="P125" s="25"/>
      <c r="Q125" s="25"/>
      <c r="R125" s="25"/>
      <c r="S125" s="25"/>
      <c r="T125" s="25"/>
      <c r="U125" s="28"/>
      <c r="V125" s="28"/>
      <c r="W125" s="28"/>
      <c r="X125" s="29">
        <f>IF($B125&lt;&gt;"Entry","",IF(LEN(V125)&lt;4,"",IF(MID(V125,4,1)="P","Individual",IF(MID(V125,4,1)="H","HUF",IF(MID(V125,4,1)="C","Company",IF(MID(V125,4,1)="F","Firm",IF(MID(V125,4,1)="L","LLP",IF(MID(V125,4,1)="T","Trust",IF(MID(V125,4,1)="A","AOP",""))))))))</f>
      </c>
      <c r="Y125" s="28"/>
      <c r="Z125" s="30">
        <f>IF($B125&lt;&gt;"Entry","",IF(Y125="","",IF(W125="Y",SUMPRODUCT(('Rate Lookup'!$A$1:$A$32=Y125)*'Rate Lookup'!$D$1:$D$32),IF(OR(X125="Individual",X125="HUF"),SUMPRODUCT(('Rate Lookup'!$A$1:$A$32=Y125)*'Rate Lookup'!$B$1:$B$32),SUMPRODUCT(('Rate Lookup'!$A$1:$A$32=Y125)*'Rate Lookup'!$C$1:$C$32)))))</f>
      </c>
      <c r="AA125" s="31"/>
      <c r="AB125" s="32"/>
      <c r="AC125" s="27">
        <f>IF($B125&lt;&gt;"Entry","",ROUND(AB125*Z125/100,0))</f>
      </c>
      <c r="AD125" s="27">
        <f>IF($B125&lt;&gt;"Entry","",0)</f>
      </c>
      <c r="AE125" s="27">
        <f>IF($B125&lt;&gt;"Entry","",0)</f>
      </c>
      <c r="AF125" s="27">
        <f>IF($B125&lt;&gt;"Entry","",IF(OR(AC125=0,AA125="",AQ125="",AQ125&lt;=0),0,IF(AQ125&lt;=DATE(YEAR(AA125),MONTH(AA125)+1,7),0,ROUND(AC125*0.015*((YEAR(AQ125)-YEAR(AA125))*12+(MONTH(AQ125)-MONTH(AA125))+1),0))))</f>
      </c>
      <c r="AG125" s="27">
        <f>IF($B125&lt;&gt;"Entry","",0)</f>
      </c>
      <c r="AH125" s="28"/>
      <c r="AI125" s="28"/>
      <c r="AJ125" s="33"/>
      <c r="AK125" s="28"/>
      <c r="AL125" s="28"/>
      <c r="AM125" s="27">
        <f>IF($B125&lt;&gt;"Challan","",SUMIF($D$4:$D$207,D125,$AC$4:$AC$207)+SUMIF($D$4:$D$207,D125,$AF$4:$AF$207)+SUMIF($D$4:$D$207,D125,$AD$4:$AD$207))</f>
      </c>
      <c r="AN125" s="27">
        <f>IF($B125&lt;&gt;"Challan","",O125-M125)</f>
      </c>
      <c r="AO125" s="27">
        <f>IF($B125&lt;&gt;"Challan","",MAX(0,AN125-AM125))</f>
      </c>
      <c r="AP125" s="29">
        <f>IF($B125&lt;&gt;"Challan","",IF(ROUND(AM125-AN125,2)&gt;0,"Over-applied",IF(ROUND(AM125-AN125,2)=0,"Fully Utilised","Unconsumed")))</f>
      </c>
      <c r="AQ125" s="34">
        <f>IF($B125&lt;&gt;"Entry","",SUMPRODUCT(($D$4:$D$207=D125)*($B$4:$B$207="Challan")*$E$4:$E$207))</f>
      </c>
      <c r="AR125" s="35">
        <f>IF(OR($B125&lt;&gt;"Entry",Y125=""),FALSE,AND(SUMPRODUCT(($D$4:$D$207=D125)*($B$4:$B$207="Challan")*($G$4:$G$207&lt;&gt;""))&gt;0,SUMPRODUCT(($D$4:$D$207=D125)*($B$4:$B$207="Challan")*($G$4:$G$207=Y125))=0))</f>
      </c>
    </row>
    <row r="126" spans="1:44" x14ac:dyDescent="0.25">
      <c r="A126" s="21">
        <f>IF($B126="Entry",COUNTIF($B$4:$B126,"Entry"),"")</f>
      </c>
      <c r="B126" s="22"/>
      <c r="C126" s="23"/>
      <c r="D126" s="23"/>
      <c r="E126" s="24"/>
      <c r="F126" s="25"/>
      <c r="G126" s="25"/>
      <c r="H126" s="26"/>
      <c r="I126" s="26"/>
      <c r="J126" s="26"/>
      <c r="K126" s="26"/>
      <c r="L126" s="26"/>
      <c r="M126" s="26"/>
      <c r="N126" s="26"/>
      <c r="O126" s="27">
        <f>IF($B126&lt;&gt;"Challan","",H126+I126+J126+K126+L126+M126)</f>
      </c>
      <c r="P126" s="25"/>
      <c r="Q126" s="25"/>
      <c r="R126" s="25"/>
      <c r="S126" s="25"/>
      <c r="T126" s="25"/>
      <c r="U126" s="28"/>
      <c r="V126" s="28"/>
      <c r="W126" s="28"/>
      <c r="X126" s="29">
        <f>IF($B126&lt;&gt;"Entry","",IF(LEN(V126)&lt;4,"",IF(MID(V126,4,1)="P","Individual",IF(MID(V126,4,1)="H","HUF",IF(MID(V126,4,1)="C","Company",IF(MID(V126,4,1)="F","Firm",IF(MID(V126,4,1)="L","LLP",IF(MID(V126,4,1)="T","Trust",IF(MID(V126,4,1)="A","AOP",""))))))))</f>
      </c>
      <c r="Y126" s="28"/>
      <c r="Z126" s="30">
        <f>IF($B126&lt;&gt;"Entry","",IF(Y126="","",IF(W126="Y",SUMPRODUCT(('Rate Lookup'!$A$1:$A$32=Y126)*'Rate Lookup'!$D$1:$D$32),IF(OR(X126="Individual",X126="HUF"),SUMPRODUCT(('Rate Lookup'!$A$1:$A$32=Y126)*'Rate Lookup'!$B$1:$B$32),SUMPRODUCT(('Rate Lookup'!$A$1:$A$32=Y126)*'Rate Lookup'!$C$1:$C$32)))))</f>
      </c>
      <c r="AA126" s="31"/>
      <c r="AB126" s="32"/>
      <c r="AC126" s="27">
        <f>IF($B126&lt;&gt;"Entry","",ROUND(AB126*Z126/100,0))</f>
      </c>
      <c r="AD126" s="27">
        <f>IF($B126&lt;&gt;"Entry","",0)</f>
      </c>
      <c r="AE126" s="27">
        <f>IF($B126&lt;&gt;"Entry","",0)</f>
      </c>
      <c r="AF126" s="27">
        <f>IF($B126&lt;&gt;"Entry","",IF(OR(AC126=0,AA126="",AQ126="",AQ126&lt;=0),0,IF(AQ126&lt;=DATE(YEAR(AA126),MONTH(AA126)+1,7),0,ROUND(AC126*0.015*((YEAR(AQ126)-YEAR(AA126))*12+(MONTH(AQ126)-MONTH(AA126))+1),0))))</f>
      </c>
      <c r="AG126" s="27">
        <f>IF($B126&lt;&gt;"Entry","",0)</f>
      </c>
      <c r="AH126" s="28"/>
      <c r="AI126" s="28"/>
      <c r="AJ126" s="33"/>
      <c r="AK126" s="28"/>
      <c r="AL126" s="28"/>
      <c r="AM126" s="27">
        <f>IF($B126&lt;&gt;"Challan","",SUMIF($D$4:$D$207,D126,$AC$4:$AC$207)+SUMIF($D$4:$D$207,D126,$AF$4:$AF$207)+SUMIF($D$4:$D$207,D126,$AD$4:$AD$207))</f>
      </c>
      <c r="AN126" s="27">
        <f>IF($B126&lt;&gt;"Challan","",O126-M126)</f>
      </c>
      <c r="AO126" s="27">
        <f>IF($B126&lt;&gt;"Challan","",MAX(0,AN126-AM126))</f>
      </c>
      <c r="AP126" s="29">
        <f>IF($B126&lt;&gt;"Challan","",IF(ROUND(AM126-AN126,2)&gt;0,"Over-applied",IF(ROUND(AM126-AN126,2)=0,"Fully Utilised","Unconsumed")))</f>
      </c>
      <c r="AQ126" s="34">
        <f>IF($B126&lt;&gt;"Entry","",SUMPRODUCT(($D$4:$D$207=D126)*($B$4:$B$207="Challan")*$E$4:$E$207))</f>
      </c>
      <c r="AR126" s="35">
        <f>IF(OR($B126&lt;&gt;"Entry",Y126=""),FALSE,AND(SUMPRODUCT(($D$4:$D$207=D126)*($B$4:$B$207="Challan")*($G$4:$G$207&lt;&gt;""))&gt;0,SUMPRODUCT(($D$4:$D$207=D126)*($B$4:$B$207="Challan")*($G$4:$G$207=Y126))=0))</f>
      </c>
    </row>
    <row r="127" spans="1:44" x14ac:dyDescent="0.25">
      <c r="A127" s="21">
        <f>IF($B127="Entry",COUNTIF($B$4:$B127,"Entry"),"")</f>
      </c>
      <c r="B127" s="22"/>
      <c r="C127" s="23"/>
      <c r="D127" s="23"/>
      <c r="E127" s="24"/>
      <c r="F127" s="25"/>
      <c r="G127" s="25"/>
      <c r="H127" s="26"/>
      <c r="I127" s="26"/>
      <c r="J127" s="26"/>
      <c r="K127" s="26"/>
      <c r="L127" s="26"/>
      <c r="M127" s="26"/>
      <c r="N127" s="26"/>
      <c r="O127" s="27">
        <f>IF($B127&lt;&gt;"Challan","",H127+I127+J127+K127+L127+M127)</f>
      </c>
      <c r="P127" s="25"/>
      <c r="Q127" s="25"/>
      <c r="R127" s="25"/>
      <c r="S127" s="25"/>
      <c r="T127" s="25"/>
      <c r="U127" s="28"/>
      <c r="V127" s="28"/>
      <c r="W127" s="28"/>
      <c r="X127" s="29">
        <f>IF($B127&lt;&gt;"Entry","",IF(LEN(V127)&lt;4,"",IF(MID(V127,4,1)="P","Individual",IF(MID(V127,4,1)="H","HUF",IF(MID(V127,4,1)="C","Company",IF(MID(V127,4,1)="F","Firm",IF(MID(V127,4,1)="L","LLP",IF(MID(V127,4,1)="T","Trust",IF(MID(V127,4,1)="A","AOP",""))))))))</f>
      </c>
      <c r="Y127" s="28"/>
      <c r="Z127" s="30">
        <f>IF($B127&lt;&gt;"Entry","",IF(Y127="","",IF(W127="Y",SUMPRODUCT(('Rate Lookup'!$A$1:$A$32=Y127)*'Rate Lookup'!$D$1:$D$32),IF(OR(X127="Individual",X127="HUF"),SUMPRODUCT(('Rate Lookup'!$A$1:$A$32=Y127)*'Rate Lookup'!$B$1:$B$32),SUMPRODUCT(('Rate Lookup'!$A$1:$A$32=Y127)*'Rate Lookup'!$C$1:$C$32)))))</f>
      </c>
      <c r="AA127" s="31"/>
      <c r="AB127" s="32"/>
      <c r="AC127" s="27">
        <f>IF($B127&lt;&gt;"Entry","",ROUND(AB127*Z127/100,0))</f>
      </c>
      <c r="AD127" s="27">
        <f>IF($B127&lt;&gt;"Entry","",0)</f>
      </c>
      <c r="AE127" s="27">
        <f>IF($B127&lt;&gt;"Entry","",0)</f>
      </c>
      <c r="AF127" s="27">
        <f>IF($B127&lt;&gt;"Entry","",IF(OR(AC127=0,AA127="",AQ127="",AQ127&lt;=0),0,IF(AQ127&lt;=DATE(YEAR(AA127),MONTH(AA127)+1,7),0,ROUND(AC127*0.015*((YEAR(AQ127)-YEAR(AA127))*12+(MONTH(AQ127)-MONTH(AA127))+1),0))))</f>
      </c>
      <c r="AG127" s="27">
        <f>IF($B127&lt;&gt;"Entry","",0)</f>
      </c>
      <c r="AH127" s="28"/>
      <c r="AI127" s="28"/>
      <c r="AJ127" s="33"/>
      <c r="AK127" s="28"/>
      <c r="AL127" s="28"/>
      <c r="AM127" s="27">
        <f>IF($B127&lt;&gt;"Challan","",SUMIF($D$4:$D$207,D127,$AC$4:$AC$207)+SUMIF($D$4:$D$207,D127,$AF$4:$AF$207)+SUMIF($D$4:$D$207,D127,$AD$4:$AD$207))</f>
      </c>
      <c r="AN127" s="27">
        <f>IF($B127&lt;&gt;"Challan","",O127-M127)</f>
      </c>
      <c r="AO127" s="27">
        <f>IF($B127&lt;&gt;"Challan","",MAX(0,AN127-AM127))</f>
      </c>
      <c r="AP127" s="29">
        <f>IF($B127&lt;&gt;"Challan","",IF(ROUND(AM127-AN127,2)&gt;0,"Over-applied",IF(ROUND(AM127-AN127,2)=0,"Fully Utilised","Unconsumed")))</f>
      </c>
      <c r="AQ127" s="34">
        <f>IF($B127&lt;&gt;"Entry","",SUMPRODUCT(($D$4:$D$207=D127)*($B$4:$B$207="Challan")*$E$4:$E$207))</f>
      </c>
      <c r="AR127" s="35">
        <f>IF(OR($B127&lt;&gt;"Entry",Y127=""),FALSE,AND(SUMPRODUCT(($D$4:$D$207=D127)*($B$4:$B$207="Challan")*($G$4:$G$207&lt;&gt;""))&gt;0,SUMPRODUCT(($D$4:$D$207=D127)*($B$4:$B$207="Challan")*($G$4:$G$207=Y127))=0))</f>
      </c>
    </row>
    <row r="128" spans="1:44" x14ac:dyDescent="0.25">
      <c r="A128" s="21">
        <f>IF($B128="Entry",COUNTIF($B$4:$B128,"Entry"),"")</f>
      </c>
      <c r="B128" s="22"/>
      <c r="C128" s="23"/>
      <c r="D128" s="23"/>
      <c r="E128" s="24"/>
      <c r="F128" s="25"/>
      <c r="G128" s="25"/>
      <c r="H128" s="26"/>
      <c r="I128" s="26"/>
      <c r="J128" s="26"/>
      <c r="K128" s="26"/>
      <c r="L128" s="26"/>
      <c r="M128" s="26"/>
      <c r="N128" s="26"/>
      <c r="O128" s="27">
        <f>IF($B128&lt;&gt;"Challan","",H128+I128+J128+K128+L128+M128)</f>
      </c>
      <c r="P128" s="25"/>
      <c r="Q128" s="25"/>
      <c r="R128" s="25"/>
      <c r="S128" s="25"/>
      <c r="T128" s="25"/>
      <c r="U128" s="28"/>
      <c r="V128" s="28"/>
      <c r="W128" s="28"/>
      <c r="X128" s="29">
        <f>IF($B128&lt;&gt;"Entry","",IF(LEN(V128)&lt;4,"",IF(MID(V128,4,1)="P","Individual",IF(MID(V128,4,1)="H","HUF",IF(MID(V128,4,1)="C","Company",IF(MID(V128,4,1)="F","Firm",IF(MID(V128,4,1)="L","LLP",IF(MID(V128,4,1)="T","Trust",IF(MID(V128,4,1)="A","AOP",""))))))))</f>
      </c>
      <c r="Y128" s="28"/>
      <c r="Z128" s="30">
        <f>IF($B128&lt;&gt;"Entry","",IF(Y128="","",IF(W128="Y",SUMPRODUCT(('Rate Lookup'!$A$1:$A$32=Y128)*'Rate Lookup'!$D$1:$D$32),IF(OR(X128="Individual",X128="HUF"),SUMPRODUCT(('Rate Lookup'!$A$1:$A$32=Y128)*'Rate Lookup'!$B$1:$B$32),SUMPRODUCT(('Rate Lookup'!$A$1:$A$32=Y128)*'Rate Lookup'!$C$1:$C$32)))))</f>
      </c>
      <c r="AA128" s="31"/>
      <c r="AB128" s="32"/>
      <c r="AC128" s="27">
        <f>IF($B128&lt;&gt;"Entry","",ROUND(AB128*Z128/100,0))</f>
      </c>
      <c r="AD128" s="27">
        <f>IF($B128&lt;&gt;"Entry","",0)</f>
      </c>
      <c r="AE128" s="27">
        <f>IF($B128&lt;&gt;"Entry","",0)</f>
      </c>
      <c r="AF128" s="27">
        <f>IF($B128&lt;&gt;"Entry","",IF(OR(AC128=0,AA128="",AQ128="",AQ128&lt;=0),0,IF(AQ128&lt;=DATE(YEAR(AA128),MONTH(AA128)+1,7),0,ROUND(AC128*0.015*((YEAR(AQ128)-YEAR(AA128))*12+(MONTH(AQ128)-MONTH(AA128))+1),0))))</f>
      </c>
      <c r="AG128" s="27">
        <f>IF($B128&lt;&gt;"Entry","",0)</f>
      </c>
      <c r="AH128" s="28"/>
      <c r="AI128" s="28"/>
      <c r="AJ128" s="33"/>
      <c r="AK128" s="28"/>
      <c r="AL128" s="28"/>
      <c r="AM128" s="27">
        <f>IF($B128&lt;&gt;"Challan","",SUMIF($D$4:$D$207,D128,$AC$4:$AC$207)+SUMIF($D$4:$D$207,D128,$AF$4:$AF$207)+SUMIF($D$4:$D$207,D128,$AD$4:$AD$207))</f>
      </c>
      <c r="AN128" s="27">
        <f>IF($B128&lt;&gt;"Challan","",O128-M128)</f>
      </c>
      <c r="AO128" s="27">
        <f>IF($B128&lt;&gt;"Challan","",MAX(0,AN128-AM128))</f>
      </c>
      <c r="AP128" s="29">
        <f>IF($B128&lt;&gt;"Challan","",IF(ROUND(AM128-AN128,2)&gt;0,"Over-applied",IF(ROUND(AM128-AN128,2)=0,"Fully Utilised","Unconsumed")))</f>
      </c>
      <c r="AQ128" s="34">
        <f>IF($B128&lt;&gt;"Entry","",SUMPRODUCT(($D$4:$D$207=D128)*($B$4:$B$207="Challan")*$E$4:$E$207))</f>
      </c>
      <c r="AR128" s="35">
        <f>IF(OR($B128&lt;&gt;"Entry",Y128=""),FALSE,AND(SUMPRODUCT(($D$4:$D$207=D128)*($B$4:$B$207="Challan")*($G$4:$G$207&lt;&gt;""))&gt;0,SUMPRODUCT(($D$4:$D$207=D128)*($B$4:$B$207="Challan")*($G$4:$G$207=Y128))=0))</f>
      </c>
    </row>
    <row r="129" spans="1:44" x14ac:dyDescent="0.25">
      <c r="A129" s="21">
        <f>IF($B129="Entry",COUNTIF($B$4:$B129,"Entry"),"")</f>
      </c>
      <c r="B129" s="22"/>
      <c r="C129" s="23"/>
      <c r="D129" s="23"/>
      <c r="E129" s="24"/>
      <c r="F129" s="25"/>
      <c r="G129" s="25"/>
      <c r="H129" s="26"/>
      <c r="I129" s="26"/>
      <c r="J129" s="26"/>
      <c r="K129" s="26"/>
      <c r="L129" s="26"/>
      <c r="M129" s="26"/>
      <c r="N129" s="26"/>
      <c r="O129" s="27">
        <f>IF($B129&lt;&gt;"Challan","",H129+I129+J129+K129+L129+M129)</f>
      </c>
      <c r="P129" s="25"/>
      <c r="Q129" s="25"/>
      <c r="R129" s="25"/>
      <c r="S129" s="25"/>
      <c r="T129" s="25"/>
      <c r="U129" s="28"/>
      <c r="V129" s="28"/>
      <c r="W129" s="28"/>
      <c r="X129" s="29">
        <f>IF($B129&lt;&gt;"Entry","",IF(LEN(V129)&lt;4,"",IF(MID(V129,4,1)="P","Individual",IF(MID(V129,4,1)="H","HUF",IF(MID(V129,4,1)="C","Company",IF(MID(V129,4,1)="F","Firm",IF(MID(V129,4,1)="L","LLP",IF(MID(V129,4,1)="T","Trust",IF(MID(V129,4,1)="A","AOP",""))))))))</f>
      </c>
      <c r="Y129" s="28"/>
      <c r="Z129" s="30">
        <f>IF($B129&lt;&gt;"Entry","",IF(Y129="","",IF(W129="Y",SUMPRODUCT(('Rate Lookup'!$A$1:$A$32=Y129)*'Rate Lookup'!$D$1:$D$32),IF(OR(X129="Individual",X129="HUF"),SUMPRODUCT(('Rate Lookup'!$A$1:$A$32=Y129)*'Rate Lookup'!$B$1:$B$32),SUMPRODUCT(('Rate Lookup'!$A$1:$A$32=Y129)*'Rate Lookup'!$C$1:$C$32)))))</f>
      </c>
      <c r="AA129" s="31"/>
      <c r="AB129" s="32"/>
      <c r="AC129" s="27">
        <f>IF($B129&lt;&gt;"Entry","",ROUND(AB129*Z129/100,0))</f>
      </c>
      <c r="AD129" s="27">
        <f>IF($B129&lt;&gt;"Entry","",0)</f>
      </c>
      <c r="AE129" s="27">
        <f>IF($B129&lt;&gt;"Entry","",0)</f>
      </c>
      <c r="AF129" s="27">
        <f>IF($B129&lt;&gt;"Entry","",IF(OR(AC129=0,AA129="",AQ129="",AQ129&lt;=0),0,IF(AQ129&lt;=DATE(YEAR(AA129),MONTH(AA129)+1,7),0,ROUND(AC129*0.015*((YEAR(AQ129)-YEAR(AA129))*12+(MONTH(AQ129)-MONTH(AA129))+1),0))))</f>
      </c>
      <c r="AG129" s="27">
        <f>IF($B129&lt;&gt;"Entry","",0)</f>
      </c>
      <c r="AH129" s="28"/>
      <c r="AI129" s="28"/>
      <c r="AJ129" s="33"/>
      <c r="AK129" s="28"/>
      <c r="AL129" s="28"/>
      <c r="AM129" s="27">
        <f>IF($B129&lt;&gt;"Challan","",SUMIF($D$4:$D$207,D129,$AC$4:$AC$207)+SUMIF($D$4:$D$207,D129,$AF$4:$AF$207)+SUMIF($D$4:$D$207,D129,$AD$4:$AD$207))</f>
      </c>
      <c r="AN129" s="27">
        <f>IF($B129&lt;&gt;"Challan","",O129-M129)</f>
      </c>
      <c r="AO129" s="27">
        <f>IF($B129&lt;&gt;"Challan","",MAX(0,AN129-AM129))</f>
      </c>
      <c r="AP129" s="29">
        <f>IF($B129&lt;&gt;"Challan","",IF(ROUND(AM129-AN129,2)&gt;0,"Over-applied",IF(ROUND(AM129-AN129,2)=0,"Fully Utilised","Unconsumed")))</f>
      </c>
      <c r="AQ129" s="34">
        <f>IF($B129&lt;&gt;"Entry","",SUMPRODUCT(($D$4:$D$207=D129)*($B$4:$B$207="Challan")*$E$4:$E$207))</f>
      </c>
      <c r="AR129" s="35">
        <f>IF(OR($B129&lt;&gt;"Entry",Y129=""),FALSE,AND(SUMPRODUCT(($D$4:$D$207=D129)*($B$4:$B$207="Challan")*($G$4:$G$207&lt;&gt;""))&gt;0,SUMPRODUCT(($D$4:$D$207=D129)*($B$4:$B$207="Challan")*($G$4:$G$207=Y129))=0))</f>
      </c>
    </row>
    <row r="130" spans="1:44" x14ac:dyDescent="0.25">
      <c r="A130" s="21">
        <f>IF($B130="Entry",COUNTIF($B$4:$B130,"Entry"),"")</f>
      </c>
      <c r="B130" s="22"/>
      <c r="C130" s="23"/>
      <c r="D130" s="23"/>
      <c r="E130" s="24"/>
      <c r="F130" s="25"/>
      <c r="G130" s="25"/>
      <c r="H130" s="26"/>
      <c r="I130" s="26"/>
      <c r="J130" s="26"/>
      <c r="K130" s="26"/>
      <c r="L130" s="26"/>
      <c r="M130" s="26"/>
      <c r="N130" s="26"/>
      <c r="O130" s="27">
        <f>IF($B130&lt;&gt;"Challan","",H130+I130+J130+K130+L130+M130)</f>
      </c>
      <c r="P130" s="25"/>
      <c r="Q130" s="25"/>
      <c r="R130" s="25"/>
      <c r="S130" s="25"/>
      <c r="T130" s="25"/>
      <c r="U130" s="28"/>
      <c r="V130" s="28"/>
      <c r="W130" s="28"/>
      <c r="X130" s="29">
        <f>IF($B130&lt;&gt;"Entry","",IF(LEN(V130)&lt;4,"",IF(MID(V130,4,1)="P","Individual",IF(MID(V130,4,1)="H","HUF",IF(MID(V130,4,1)="C","Company",IF(MID(V130,4,1)="F","Firm",IF(MID(V130,4,1)="L","LLP",IF(MID(V130,4,1)="T","Trust",IF(MID(V130,4,1)="A","AOP",""))))))))</f>
      </c>
      <c r="Y130" s="28"/>
      <c r="Z130" s="30">
        <f>IF($B130&lt;&gt;"Entry","",IF(Y130="","",IF(W130="Y",SUMPRODUCT(('Rate Lookup'!$A$1:$A$32=Y130)*'Rate Lookup'!$D$1:$D$32),IF(OR(X130="Individual",X130="HUF"),SUMPRODUCT(('Rate Lookup'!$A$1:$A$32=Y130)*'Rate Lookup'!$B$1:$B$32),SUMPRODUCT(('Rate Lookup'!$A$1:$A$32=Y130)*'Rate Lookup'!$C$1:$C$32)))))</f>
      </c>
      <c r="AA130" s="31"/>
      <c r="AB130" s="32"/>
      <c r="AC130" s="27">
        <f>IF($B130&lt;&gt;"Entry","",ROUND(AB130*Z130/100,0))</f>
      </c>
      <c r="AD130" s="27">
        <f>IF($B130&lt;&gt;"Entry","",0)</f>
      </c>
      <c r="AE130" s="27">
        <f>IF($B130&lt;&gt;"Entry","",0)</f>
      </c>
      <c r="AF130" s="27">
        <f>IF($B130&lt;&gt;"Entry","",IF(OR(AC130=0,AA130="",AQ130="",AQ130&lt;=0),0,IF(AQ130&lt;=DATE(YEAR(AA130),MONTH(AA130)+1,7),0,ROUND(AC130*0.015*((YEAR(AQ130)-YEAR(AA130))*12+(MONTH(AQ130)-MONTH(AA130))+1),0))))</f>
      </c>
      <c r="AG130" s="27">
        <f>IF($B130&lt;&gt;"Entry","",0)</f>
      </c>
      <c r="AH130" s="28"/>
      <c r="AI130" s="28"/>
      <c r="AJ130" s="33"/>
      <c r="AK130" s="28"/>
      <c r="AL130" s="28"/>
      <c r="AM130" s="27">
        <f>IF($B130&lt;&gt;"Challan","",SUMIF($D$4:$D$207,D130,$AC$4:$AC$207)+SUMIF($D$4:$D$207,D130,$AF$4:$AF$207)+SUMIF($D$4:$D$207,D130,$AD$4:$AD$207))</f>
      </c>
      <c r="AN130" s="27">
        <f>IF($B130&lt;&gt;"Challan","",O130-M130)</f>
      </c>
      <c r="AO130" s="27">
        <f>IF($B130&lt;&gt;"Challan","",MAX(0,AN130-AM130))</f>
      </c>
      <c r="AP130" s="29">
        <f>IF($B130&lt;&gt;"Challan","",IF(ROUND(AM130-AN130,2)&gt;0,"Over-applied",IF(ROUND(AM130-AN130,2)=0,"Fully Utilised","Unconsumed")))</f>
      </c>
      <c r="AQ130" s="34">
        <f>IF($B130&lt;&gt;"Entry","",SUMPRODUCT(($D$4:$D$207=D130)*($B$4:$B$207="Challan")*$E$4:$E$207))</f>
      </c>
      <c r="AR130" s="35">
        <f>IF(OR($B130&lt;&gt;"Entry",Y130=""),FALSE,AND(SUMPRODUCT(($D$4:$D$207=D130)*($B$4:$B$207="Challan")*($G$4:$G$207&lt;&gt;""))&gt;0,SUMPRODUCT(($D$4:$D$207=D130)*($B$4:$B$207="Challan")*($G$4:$G$207=Y130))=0))</f>
      </c>
    </row>
    <row r="131" spans="1:44" x14ac:dyDescent="0.25">
      <c r="A131" s="21">
        <f>IF($B131="Entry",COUNTIF($B$4:$B131,"Entry"),"")</f>
      </c>
      <c r="B131" s="22"/>
      <c r="C131" s="23"/>
      <c r="D131" s="23"/>
      <c r="E131" s="24"/>
      <c r="F131" s="25"/>
      <c r="G131" s="25"/>
      <c r="H131" s="26"/>
      <c r="I131" s="26"/>
      <c r="J131" s="26"/>
      <c r="K131" s="26"/>
      <c r="L131" s="26"/>
      <c r="M131" s="26"/>
      <c r="N131" s="26"/>
      <c r="O131" s="27">
        <f>IF($B131&lt;&gt;"Challan","",H131+I131+J131+K131+L131+M131)</f>
      </c>
      <c r="P131" s="25"/>
      <c r="Q131" s="25"/>
      <c r="R131" s="25"/>
      <c r="S131" s="25"/>
      <c r="T131" s="25"/>
      <c r="U131" s="28"/>
      <c r="V131" s="28"/>
      <c r="W131" s="28"/>
      <c r="X131" s="29">
        <f>IF($B131&lt;&gt;"Entry","",IF(LEN(V131)&lt;4,"",IF(MID(V131,4,1)="P","Individual",IF(MID(V131,4,1)="H","HUF",IF(MID(V131,4,1)="C","Company",IF(MID(V131,4,1)="F","Firm",IF(MID(V131,4,1)="L","LLP",IF(MID(V131,4,1)="T","Trust",IF(MID(V131,4,1)="A","AOP",""))))))))</f>
      </c>
      <c r="Y131" s="28"/>
      <c r="Z131" s="30">
        <f>IF($B131&lt;&gt;"Entry","",IF(Y131="","",IF(W131="Y",SUMPRODUCT(('Rate Lookup'!$A$1:$A$32=Y131)*'Rate Lookup'!$D$1:$D$32),IF(OR(X131="Individual",X131="HUF"),SUMPRODUCT(('Rate Lookup'!$A$1:$A$32=Y131)*'Rate Lookup'!$B$1:$B$32),SUMPRODUCT(('Rate Lookup'!$A$1:$A$32=Y131)*'Rate Lookup'!$C$1:$C$32)))))</f>
      </c>
      <c r="AA131" s="31"/>
      <c r="AB131" s="32"/>
      <c r="AC131" s="27">
        <f>IF($B131&lt;&gt;"Entry","",ROUND(AB131*Z131/100,0))</f>
      </c>
      <c r="AD131" s="27">
        <f>IF($B131&lt;&gt;"Entry","",0)</f>
      </c>
      <c r="AE131" s="27">
        <f>IF($B131&lt;&gt;"Entry","",0)</f>
      </c>
      <c r="AF131" s="27">
        <f>IF($B131&lt;&gt;"Entry","",IF(OR(AC131=0,AA131="",AQ131="",AQ131&lt;=0),0,IF(AQ131&lt;=DATE(YEAR(AA131),MONTH(AA131)+1,7),0,ROUND(AC131*0.015*((YEAR(AQ131)-YEAR(AA131))*12+(MONTH(AQ131)-MONTH(AA131))+1),0))))</f>
      </c>
      <c r="AG131" s="27">
        <f>IF($B131&lt;&gt;"Entry","",0)</f>
      </c>
      <c r="AH131" s="28"/>
      <c r="AI131" s="28"/>
      <c r="AJ131" s="33"/>
      <c r="AK131" s="28"/>
      <c r="AL131" s="28"/>
      <c r="AM131" s="27">
        <f>IF($B131&lt;&gt;"Challan","",SUMIF($D$4:$D$207,D131,$AC$4:$AC$207)+SUMIF($D$4:$D$207,D131,$AF$4:$AF$207)+SUMIF($D$4:$D$207,D131,$AD$4:$AD$207))</f>
      </c>
      <c r="AN131" s="27">
        <f>IF($B131&lt;&gt;"Challan","",O131-M131)</f>
      </c>
      <c r="AO131" s="27">
        <f>IF($B131&lt;&gt;"Challan","",MAX(0,AN131-AM131))</f>
      </c>
      <c r="AP131" s="29">
        <f>IF($B131&lt;&gt;"Challan","",IF(ROUND(AM131-AN131,2)&gt;0,"Over-applied",IF(ROUND(AM131-AN131,2)=0,"Fully Utilised","Unconsumed")))</f>
      </c>
      <c r="AQ131" s="34">
        <f>IF($B131&lt;&gt;"Entry","",SUMPRODUCT(($D$4:$D$207=D131)*($B$4:$B$207="Challan")*$E$4:$E$207))</f>
      </c>
      <c r="AR131" s="35">
        <f>IF(OR($B131&lt;&gt;"Entry",Y131=""),FALSE,AND(SUMPRODUCT(($D$4:$D$207=D131)*($B$4:$B$207="Challan")*($G$4:$G$207&lt;&gt;""))&gt;0,SUMPRODUCT(($D$4:$D$207=D131)*($B$4:$B$207="Challan")*($G$4:$G$207=Y131))=0))</f>
      </c>
    </row>
    <row r="132" spans="1:44" x14ac:dyDescent="0.25">
      <c r="A132" s="21">
        <f>IF($B132="Entry",COUNTIF($B$4:$B132,"Entry"),"")</f>
      </c>
      <c r="B132" s="22"/>
      <c r="C132" s="23"/>
      <c r="D132" s="23"/>
      <c r="E132" s="24"/>
      <c r="F132" s="25"/>
      <c r="G132" s="25"/>
      <c r="H132" s="26"/>
      <c r="I132" s="26"/>
      <c r="J132" s="26"/>
      <c r="K132" s="26"/>
      <c r="L132" s="26"/>
      <c r="M132" s="26"/>
      <c r="N132" s="26"/>
      <c r="O132" s="27">
        <f>IF($B132&lt;&gt;"Challan","",H132+I132+J132+K132+L132+M132)</f>
      </c>
      <c r="P132" s="25"/>
      <c r="Q132" s="25"/>
      <c r="R132" s="25"/>
      <c r="S132" s="25"/>
      <c r="T132" s="25"/>
      <c r="U132" s="28"/>
      <c r="V132" s="28"/>
      <c r="W132" s="28"/>
      <c r="X132" s="29">
        <f>IF($B132&lt;&gt;"Entry","",IF(LEN(V132)&lt;4,"",IF(MID(V132,4,1)="P","Individual",IF(MID(V132,4,1)="H","HUF",IF(MID(V132,4,1)="C","Company",IF(MID(V132,4,1)="F","Firm",IF(MID(V132,4,1)="L","LLP",IF(MID(V132,4,1)="T","Trust",IF(MID(V132,4,1)="A","AOP",""))))))))</f>
      </c>
      <c r="Y132" s="28"/>
      <c r="Z132" s="30">
        <f>IF($B132&lt;&gt;"Entry","",IF(Y132="","",IF(W132="Y",SUMPRODUCT(('Rate Lookup'!$A$1:$A$32=Y132)*'Rate Lookup'!$D$1:$D$32),IF(OR(X132="Individual",X132="HUF"),SUMPRODUCT(('Rate Lookup'!$A$1:$A$32=Y132)*'Rate Lookup'!$B$1:$B$32),SUMPRODUCT(('Rate Lookup'!$A$1:$A$32=Y132)*'Rate Lookup'!$C$1:$C$32)))))</f>
      </c>
      <c r="AA132" s="31"/>
      <c r="AB132" s="32"/>
      <c r="AC132" s="27">
        <f>IF($B132&lt;&gt;"Entry","",ROUND(AB132*Z132/100,0))</f>
      </c>
      <c r="AD132" s="27">
        <f>IF($B132&lt;&gt;"Entry","",0)</f>
      </c>
      <c r="AE132" s="27">
        <f>IF($B132&lt;&gt;"Entry","",0)</f>
      </c>
      <c r="AF132" s="27">
        <f>IF($B132&lt;&gt;"Entry","",IF(OR(AC132=0,AA132="",AQ132="",AQ132&lt;=0),0,IF(AQ132&lt;=DATE(YEAR(AA132),MONTH(AA132)+1,7),0,ROUND(AC132*0.015*((YEAR(AQ132)-YEAR(AA132))*12+(MONTH(AQ132)-MONTH(AA132))+1),0))))</f>
      </c>
      <c r="AG132" s="27">
        <f>IF($B132&lt;&gt;"Entry","",0)</f>
      </c>
      <c r="AH132" s="28"/>
      <c r="AI132" s="28"/>
      <c r="AJ132" s="33"/>
      <c r="AK132" s="28"/>
      <c r="AL132" s="28"/>
      <c r="AM132" s="27">
        <f>IF($B132&lt;&gt;"Challan","",SUMIF($D$4:$D$207,D132,$AC$4:$AC$207)+SUMIF($D$4:$D$207,D132,$AF$4:$AF$207)+SUMIF($D$4:$D$207,D132,$AD$4:$AD$207))</f>
      </c>
      <c r="AN132" s="27">
        <f>IF($B132&lt;&gt;"Challan","",O132-M132)</f>
      </c>
      <c r="AO132" s="27">
        <f>IF($B132&lt;&gt;"Challan","",MAX(0,AN132-AM132))</f>
      </c>
      <c r="AP132" s="29">
        <f>IF($B132&lt;&gt;"Challan","",IF(ROUND(AM132-AN132,2)&gt;0,"Over-applied",IF(ROUND(AM132-AN132,2)=0,"Fully Utilised","Unconsumed")))</f>
      </c>
      <c r="AQ132" s="34">
        <f>IF($B132&lt;&gt;"Entry","",SUMPRODUCT(($D$4:$D$207=D132)*($B$4:$B$207="Challan")*$E$4:$E$207))</f>
      </c>
      <c r="AR132" s="35">
        <f>IF(OR($B132&lt;&gt;"Entry",Y132=""),FALSE,AND(SUMPRODUCT(($D$4:$D$207=D132)*($B$4:$B$207="Challan")*($G$4:$G$207&lt;&gt;""))&gt;0,SUMPRODUCT(($D$4:$D$207=D132)*($B$4:$B$207="Challan")*($G$4:$G$207=Y132))=0))</f>
      </c>
    </row>
    <row r="133" spans="1:44" x14ac:dyDescent="0.25">
      <c r="A133" s="21">
        <f>IF($B133="Entry",COUNTIF($B$4:$B133,"Entry"),"")</f>
      </c>
      <c r="B133" s="22"/>
      <c r="C133" s="23"/>
      <c r="D133" s="23"/>
      <c r="E133" s="24"/>
      <c r="F133" s="25"/>
      <c r="G133" s="25"/>
      <c r="H133" s="26"/>
      <c r="I133" s="26"/>
      <c r="J133" s="26"/>
      <c r="K133" s="26"/>
      <c r="L133" s="26"/>
      <c r="M133" s="26"/>
      <c r="N133" s="26"/>
      <c r="O133" s="27">
        <f>IF($B133&lt;&gt;"Challan","",H133+I133+J133+K133+L133+M133)</f>
      </c>
      <c r="P133" s="25"/>
      <c r="Q133" s="25"/>
      <c r="R133" s="25"/>
      <c r="S133" s="25"/>
      <c r="T133" s="25"/>
      <c r="U133" s="28"/>
      <c r="V133" s="28"/>
      <c r="W133" s="28"/>
      <c r="X133" s="29">
        <f>IF($B133&lt;&gt;"Entry","",IF(LEN(V133)&lt;4,"",IF(MID(V133,4,1)="P","Individual",IF(MID(V133,4,1)="H","HUF",IF(MID(V133,4,1)="C","Company",IF(MID(V133,4,1)="F","Firm",IF(MID(V133,4,1)="L","LLP",IF(MID(V133,4,1)="T","Trust",IF(MID(V133,4,1)="A","AOP",""))))))))</f>
      </c>
      <c r="Y133" s="28"/>
      <c r="Z133" s="30">
        <f>IF($B133&lt;&gt;"Entry","",IF(Y133="","",IF(W133="Y",SUMPRODUCT(('Rate Lookup'!$A$1:$A$32=Y133)*'Rate Lookup'!$D$1:$D$32),IF(OR(X133="Individual",X133="HUF"),SUMPRODUCT(('Rate Lookup'!$A$1:$A$32=Y133)*'Rate Lookup'!$B$1:$B$32),SUMPRODUCT(('Rate Lookup'!$A$1:$A$32=Y133)*'Rate Lookup'!$C$1:$C$32)))))</f>
      </c>
      <c r="AA133" s="31"/>
      <c r="AB133" s="32"/>
      <c r="AC133" s="27">
        <f>IF($B133&lt;&gt;"Entry","",ROUND(AB133*Z133/100,0))</f>
      </c>
      <c r="AD133" s="27">
        <f>IF($B133&lt;&gt;"Entry","",0)</f>
      </c>
      <c r="AE133" s="27">
        <f>IF($B133&lt;&gt;"Entry","",0)</f>
      </c>
      <c r="AF133" s="27">
        <f>IF($B133&lt;&gt;"Entry","",IF(OR(AC133=0,AA133="",AQ133="",AQ133&lt;=0),0,IF(AQ133&lt;=DATE(YEAR(AA133),MONTH(AA133)+1,7),0,ROUND(AC133*0.015*((YEAR(AQ133)-YEAR(AA133))*12+(MONTH(AQ133)-MONTH(AA133))+1),0))))</f>
      </c>
      <c r="AG133" s="27">
        <f>IF($B133&lt;&gt;"Entry","",0)</f>
      </c>
      <c r="AH133" s="28"/>
      <c r="AI133" s="28"/>
      <c r="AJ133" s="33"/>
      <c r="AK133" s="28"/>
      <c r="AL133" s="28"/>
      <c r="AM133" s="27">
        <f>IF($B133&lt;&gt;"Challan","",SUMIF($D$4:$D$207,D133,$AC$4:$AC$207)+SUMIF($D$4:$D$207,D133,$AF$4:$AF$207)+SUMIF($D$4:$D$207,D133,$AD$4:$AD$207))</f>
      </c>
      <c r="AN133" s="27">
        <f>IF($B133&lt;&gt;"Challan","",O133-M133)</f>
      </c>
      <c r="AO133" s="27">
        <f>IF($B133&lt;&gt;"Challan","",MAX(0,AN133-AM133))</f>
      </c>
      <c r="AP133" s="29">
        <f>IF($B133&lt;&gt;"Challan","",IF(ROUND(AM133-AN133,2)&gt;0,"Over-applied",IF(ROUND(AM133-AN133,2)=0,"Fully Utilised","Unconsumed")))</f>
      </c>
      <c r="AQ133" s="34">
        <f>IF($B133&lt;&gt;"Entry","",SUMPRODUCT(($D$4:$D$207=D133)*($B$4:$B$207="Challan")*$E$4:$E$207))</f>
      </c>
      <c r="AR133" s="35">
        <f>IF(OR($B133&lt;&gt;"Entry",Y133=""),FALSE,AND(SUMPRODUCT(($D$4:$D$207=D133)*($B$4:$B$207="Challan")*($G$4:$G$207&lt;&gt;""))&gt;0,SUMPRODUCT(($D$4:$D$207=D133)*($B$4:$B$207="Challan")*($G$4:$G$207=Y133))=0))</f>
      </c>
    </row>
    <row r="134" spans="1:44" x14ac:dyDescent="0.25">
      <c r="A134" s="21">
        <f>IF($B134="Entry",COUNTIF($B$4:$B134,"Entry"),"")</f>
      </c>
      <c r="B134" s="22"/>
      <c r="C134" s="23"/>
      <c r="D134" s="23"/>
      <c r="E134" s="24"/>
      <c r="F134" s="25"/>
      <c r="G134" s="25"/>
      <c r="H134" s="26"/>
      <c r="I134" s="26"/>
      <c r="J134" s="26"/>
      <c r="K134" s="26"/>
      <c r="L134" s="26"/>
      <c r="M134" s="26"/>
      <c r="N134" s="26"/>
      <c r="O134" s="27">
        <f>IF($B134&lt;&gt;"Challan","",H134+I134+J134+K134+L134+M134)</f>
      </c>
      <c r="P134" s="25"/>
      <c r="Q134" s="25"/>
      <c r="R134" s="25"/>
      <c r="S134" s="25"/>
      <c r="T134" s="25"/>
      <c r="U134" s="28"/>
      <c r="V134" s="28"/>
      <c r="W134" s="28"/>
      <c r="X134" s="29">
        <f>IF($B134&lt;&gt;"Entry","",IF(LEN(V134)&lt;4,"",IF(MID(V134,4,1)="P","Individual",IF(MID(V134,4,1)="H","HUF",IF(MID(V134,4,1)="C","Company",IF(MID(V134,4,1)="F","Firm",IF(MID(V134,4,1)="L","LLP",IF(MID(V134,4,1)="T","Trust",IF(MID(V134,4,1)="A","AOP",""))))))))</f>
      </c>
      <c r="Y134" s="28"/>
      <c r="Z134" s="30">
        <f>IF($B134&lt;&gt;"Entry","",IF(Y134="","",IF(W134="Y",SUMPRODUCT(('Rate Lookup'!$A$1:$A$32=Y134)*'Rate Lookup'!$D$1:$D$32),IF(OR(X134="Individual",X134="HUF"),SUMPRODUCT(('Rate Lookup'!$A$1:$A$32=Y134)*'Rate Lookup'!$B$1:$B$32),SUMPRODUCT(('Rate Lookup'!$A$1:$A$32=Y134)*'Rate Lookup'!$C$1:$C$32)))))</f>
      </c>
      <c r="AA134" s="31"/>
      <c r="AB134" s="32"/>
      <c r="AC134" s="27">
        <f>IF($B134&lt;&gt;"Entry","",ROUND(AB134*Z134/100,0))</f>
      </c>
      <c r="AD134" s="27">
        <f>IF($B134&lt;&gt;"Entry","",0)</f>
      </c>
      <c r="AE134" s="27">
        <f>IF($B134&lt;&gt;"Entry","",0)</f>
      </c>
      <c r="AF134" s="27">
        <f>IF($B134&lt;&gt;"Entry","",IF(OR(AC134=0,AA134="",AQ134="",AQ134&lt;=0),0,IF(AQ134&lt;=DATE(YEAR(AA134),MONTH(AA134)+1,7),0,ROUND(AC134*0.015*((YEAR(AQ134)-YEAR(AA134))*12+(MONTH(AQ134)-MONTH(AA134))+1),0))))</f>
      </c>
      <c r="AG134" s="27">
        <f>IF($B134&lt;&gt;"Entry","",0)</f>
      </c>
      <c r="AH134" s="28"/>
      <c r="AI134" s="28"/>
      <c r="AJ134" s="33"/>
      <c r="AK134" s="28"/>
      <c r="AL134" s="28"/>
      <c r="AM134" s="27">
        <f>IF($B134&lt;&gt;"Challan","",SUMIF($D$4:$D$207,D134,$AC$4:$AC$207)+SUMIF($D$4:$D$207,D134,$AF$4:$AF$207)+SUMIF($D$4:$D$207,D134,$AD$4:$AD$207))</f>
      </c>
      <c r="AN134" s="27">
        <f>IF($B134&lt;&gt;"Challan","",O134-M134)</f>
      </c>
      <c r="AO134" s="27">
        <f>IF($B134&lt;&gt;"Challan","",MAX(0,AN134-AM134))</f>
      </c>
      <c r="AP134" s="29">
        <f>IF($B134&lt;&gt;"Challan","",IF(ROUND(AM134-AN134,2)&gt;0,"Over-applied",IF(ROUND(AM134-AN134,2)=0,"Fully Utilised","Unconsumed")))</f>
      </c>
      <c r="AQ134" s="34">
        <f>IF($B134&lt;&gt;"Entry","",SUMPRODUCT(($D$4:$D$207=D134)*($B$4:$B$207="Challan")*$E$4:$E$207))</f>
      </c>
      <c r="AR134" s="35">
        <f>IF(OR($B134&lt;&gt;"Entry",Y134=""),FALSE,AND(SUMPRODUCT(($D$4:$D$207=D134)*($B$4:$B$207="Challan")*($G$4:$G$207&lt;&gt;""))&gt;0,SUMPRODUCT(($D$4:$D$207=D134)*($B$4:$B$207="Challan")*($G$4:$G$207=Y134))=0))</f>
      </c>
    </row>
    <row r="135" spans="1:44" x14ac:dyDescent="0.25">
      <c r="A135" s="21">
        <f>IF($B135="Entry",COUNTIF($B$4:$B135,"Entry"),"")</f>
      </c>
      <c r="B135" s="22"/>
      <c r="C135" s="23"/>
      <c r="D135" s="23"/>
      <c r="E135" s="24"/>
      <c r="F135" s="25"/>
      <c r="G135" s="25"/>
      <c r="H135" s="26"/>
      <c r="I135" s="26"/>
      <c r="J135" s="26"/>
      <c r="K135" s="26"/>
      <c r="L135" s="26"/>
      <c r="M135" s="26"/>
      <c r="N135" s="26"/>
      <c r="O135" s="27">
        <f>IF($B135&lt;&gt;"Challan","",H135+I135+J135+K135+L135+M135)</f>
      </c>
      <c r="P135" s="25"/>
      <c r="Q135" s="25"/>
      <c r="R135" s="25"/>
      <c r="S135" s="25"/>
      <c r="T135" s="25"/>
      <c r="U135" s="28"/>
      <c r="V135" s="28"/>
      <c r="W135" s="28"/>
      <c r="X135" s="29">
        <f>IF($B135&lt;&gt;"Entry","",IF(LEN(V135)&lt;4,"",IF(MID(V135,4,1)="P","Individual",IF(MID(V135,4,1)="H","HUF",IF(MID(V135,4,1)="C","Company",IF(MID(V135,4,1)="F","Firm",IF(MID(V135,4,1)="L","LLP",IF(MID(V135,4,1)="T","Trust",IF(MID(V135,4,1)="A","AOP",""))))))))</f>
      </c>
      <c r="Y135" s="28"/>
      <c r="Z135" s="30">
        <f>IF($B135&lt;&gt;"Entry","",IF(Y135="","",IF(W135="Y",SUMPRODUCT(('Rate Lookup'!$A$1:$A$32=Y135)*'Rate Lookup'!$D$1:$D$32),IF(OR(X135="Individual",X135="HUF"),SUMPRODUCT(('Rate Lookup'!$A$1:$A$32=Y135)*'Rate Lookup'!$B$1:$B$32),SUMPRODUCT(('Rate Lookup'!$A$1:$A$32=Y135)*'Rate Lookup'!$C$1:$C$32)))))</f>
      </c>
      <c r="AA135" s="31"/>
      <c r="AB135" s="32"/>
      <c r="AC135" s="27">
        <f>IF($B135&lt;&gt;"Entry","",ROUND(AB135*Z135/100,0))</f>
      </c>
      <c r="AD135" s="27">
        <f>IF($B135&lt;&gt;"Entry","",0)</f>
      </c>
      <c r="AE135" s="27">
        <f>IF($B135&lt;&gt;"Entry","",0)</f>
      </c>
      <c r="AF135" s="27">
        <f>IF($B135&lt;&gt;"Entry","",IF(OR(AC135=0,AA135="",AQ135="",AQ135&lt;=0),0,IF(AQ135&lt;=DATE(YEAR(AA135),MONTH(AA135)+1,7),0,ROUND(AC135*0.015*((YEAR(AQ135)-YEAR(AA135))*12+(MONTH(AQ135)-MONTH(AA135))+1),0))))</f>
      </c>
      <c r="AG135" s="27">
        <f>IF($B135&lt;&gt;"Entry","",0)</f>
      </c>
      <c r="AH135" s="28"/>
      <c r="AI135" s="28"/>
      <c r="AJ135" s="33"/>
      <c r="AK135" s="28"/>
      <c r="AL135" s="28"/>
      <c r="AM135" s="27">
        <f>IF($B135&lt;&gt;"Challan","",SUMIF($D$4:$D$207,D135,$AC$4:$AC$207)+SUMIF($D$4:$D$207,D135,$AF$4:$AF$207)+SUMIF($D$4:$D$207,D135,$AD$4:$AD$207))</f>
      </c>
      <c r="AN135" s="27">
        <f>IF($B135&lt;&gt;"Challan","",O135-M135)</f>
      </c>
      <c r="AO135" s="27">
        <f>IF($B135&lt;&gt;"Challan","",MAX(0,AN135-AM135))</f>
      </c>
      <c r="AP135" s="29">
        <f>IF($B135&lt;&gt;"Challan","",IF(ROUND(AM135-AN135,2)&gt;0,"Over-applied",IF(ROUND(AM135-AN135,2)=0,"Fully Utilised","Unconsumed")))</f>
      </c>
      <c r="AQ135" s="34">
        <f>IF($B135&lt;&gt;"Entry","",SUMPRODUCT(($D$4:$D$207=D135)*($B$4:$B$207="Challan")*$E$4:$E$207))</f>
      </c>
      <c r="AR135" s="35">
        <f>IF(OR($B135&lt;&gt;"Entry",Y135=""),FALSE,AND(SUMPRODUCT(($D$4:$D$207=D135)*($B$4:$B$207="Challan")*($G$4:$G$207&lt;&gt;""))&gt;0,SUMPRODUCT(($D$4:$D$207=D135)*($B$4:$B$207="Challan")*($G$4:$G$207=Y135))=0))</f>
      </c>
    </row>
    <row r="136" spans="1:44" x14ac:dyDescent="0.25">
      <c r="A136" s="21">
        <f>IF($B136="Entry",COUNTIF($B$4:$B136,"Entry"),"")</f>
      </c>
      <c r="B136" s="22"/>
      <c r="C136" s="23"/>
      <c r="D136" s="23"/>
      <c r="E136" s="24"/>
      <c r="F136" s="25"/>
      <c r="G136" s="25"/>
      <c r="H136" s="26"/>
      <c r="I136" s="26"/>
      <c r="J136" s="26"/>
      <c r="K136" s="26"/>
      <c r="L136" s="26"/>
      <c r="M136" s="26"/>
      <c r="N136" s="26"/>
      <c r="O136" s="27">
        <f>IF($B136&lt;&gt;"Challan","",H136+I136+J136+K136+L136+M136)</f>
      </c>
      <c r="P136" s="25"/>
      <c r="Q136" s="25"/>
      <c r="R136" s="25"/>
      <c r="S136" s="25"/>
      <c r="T136" s="25"/>
      <c r="U136" s="28"/>
      <c r="V136" s="28"/>
      <c r="W136" s="28"/>
      <c r="X136" s="29">
        <f>IF($B136&lt;&gt;"Entry","",IF(LEN(V136)&lt;4,"",IF(MID(V136,4,1)="P","Individual",IF(MID(V136,4,1)="H","HUF",IF(MID(V136,4,1)="C","Company",IF(MID(V136,4,1)="F","Firm",IF(MID(V136,4,1)="L","LLP",IF(MID(V136,4,1)="T","Trust",IF(MID(V136,4,1)="A","AOP",""))))))))</f>
      </c>
      <c r="Y136" s="28"/>
      <c r="Z136" s="30">
        <f>IF($B136&lt;&gt;"Entry","",IF(Y136="","",IF(W136="Y",SUMPRODUCT(('Rate Lookup'!$A$1:$A$32=Y136)*'Rate Lookup'!$D$1:$D$32),IF(OR(X136="Individual",X136="HUF"),SUMPRODUCT(('Rate Lookup'!$A$1:$A$32=Y136)*'Rate Lookup'!$B$1:$B$32),SUMPRODUCT(('Rate Lookup'!$A$1:$A$32=Y136)*'Rate Lookup'!$C$1:$C$32)))))</f>
      </c>
      <c r="AA136" s="31"/>
      <c r="AB136" s="32"/>
      <c r="AC136" s="27">
        <f>IF($B136&lt;&gt;"Entry","",ROUND(AB136*Z136/100,0))</f>
      </c>
      <c r="AD136" s="27">
        <f>IF($B136&lt;&gt;"Entry","",0)</f>
      </c>
      <c r="AE136" s="27">
        <f>IF($B136&lt;&gt;"Entry","",0)</f>
      </c>
      <c r="AF136" s="27">
        <f>IF($B136&lt;&gt;"Entry","",IF(OR(AC136=0,AA136="",AQ136="",AQ136&lt;=0),0,IF(AQ136&lt;=DATE(YEAR(AA136),MONTH(AA136)+1,7),0,ROUND(AC136*0.015*((YEAR(AQ136)-YEAR(AA136))*12+(MONTH(AQ136)-MONTH(AA136))+1),0))))</f>
      </c>
      <c r="AG136" s="27">
        <f>IF($B136&lt;&gt;"Entry","",0)</f>
      </c>
      <c r="AH136" s="28"/>
      <c r="AI136" s="28"/>
      <c r="AJ136" s="33"/>
      <c r="AK136" s="28"/>
      <c r="AL136" s="28"/>
      <c r="AM136" s="27">
        <f>IF($B136&lt;&gt;"Challan","",SUMIF($D$4:$D$207,D136,$AC$4:$AC$207)+SUMIF($D$4:$D$207,D136,$AF$4:$AF$207)+SUMIF($D$4:$D$207,D136,$AD$4:$AD$207))</f>
      </c>
      <c r="AN136" s="27">
        <f>IF($B136&lt;&gt;"Challan","",O136-M136)</f>
      </c>
      <c r="AO136" s="27">
        <f>IF($B136&lt;&gt;"Challan","",MAX(0,AN136-AM136))</f>
      </c>
      <c r="AP136" s="29">
        <f>IF($B136&lt;&gt;"Challan","",IF(ROUND(AM136-AN136,2)&gt;0,"Over-applied",IF(ROUND(AM136-AN136,2)=0,"Fully Utilised","Unconsumed")))</f>
      </c>
      <c r="AQ136" s="34">
        <f>IF($B136&lt;&gt;"Entry","",SUMPRODUCT(($D$4:$D$207=D136)*($B$4:$B$207="Challan")*$E$4:$E$207))</f>
      </c>
      <c r="AR136" s="35">
        <f>IF(OR($B136&lt;&gt;"Entry",Y136=""),FALSE,AND(SUMPRODUCT(($D$4:$D$207=D136)*($B$4:$B$207="Challan")*($G$4:$G$207&lt;&gt;""))&gt;0,SUMPRODUCT(($D$4:$D$207=D136)*($B$4:$B$207="Challan")*($G$4:$G$207=Y136))=0))</f>
      </c>
    </row>
    <row r="137" spans="1:44" x14ac:dyDescent="0.25">
      <c r="A137" s="21">
        <f>IF($B137="Entry",COUNTIF($B$4:$B137,"Entry"),"")</f>
      </c>
      <c r="B137" s="22"/>
      <c r="C137" s="23"/>
      <c r="D137" s="23"/>
      <c r="E137" s="24"/>
      <c r="F137" s="25"/>
      <c r="G137" s="25"/>
      <c r="H137" s="26"/>
      <c r="I137" s="26"/>
      <c r="J137" s="26"/>
      <c r="K137" s="26"/>
      <c r="L137" s="26"/>
      <c r="M137" s="26"/>
      <c r="N137" s="26"/>
      <c r="O137" s="27">
        <f>IF($B137&lt;&gt;"Challan","",H137+I137+J137+K137+L137+M137)</f>
      </c>
      <c r="P137" s="25"/>
      <c r="Q137" s="25"/>
      <c r="R137" s="25"/>
      <c r="S137" s="25"/>
      <c r="T137" s="25"/>
      <c r="U137" s="28"/>
      <c r="V137" s="28"/>
      <c r="W137" s="28"/>
      <c r="X137" s="29">
        <f>IF($B137&lt;&gt;"Entry","",IF(LEN(V137)&lt;4,"",IF(MID(V137,4,1)="P","Individual",IF(MID(V137,4,1)="H","HUF",IF(MID(V137,4,1)="C","Company",IF(MID(V137,4,1)="F","Firm",IF(MID(V137,4,1)="L","LLP",IF(MID(V137,4,1)="T","Trust",IF(MID(V137,4,1)="A","AOP",""))))))))</f>
      </c>
      <c r="Y137" s="28"/>
      <c r="Z137" s="30">
        <f>IF($B137&lt;&gt;"Entry","",IF(Y137="","",IF(W137="Y",SUMPRODUCT(('Rate Lookup'!$A$1:$A$32=Y137)*'Rate Lookup'!$D$1:$D$32),IF(OR(X137="Individual",X137="HUF"),SUMPRODUCT(('Rate Lookup'!$A$1:$A$32=Y137)*'Rate Lookup'!$B$1:$B$32),SUMPRODUCT(('Rate Lookup'!$A$1:$A$32=Y137)*'Rate Lookup'!$C$1:$C$32)))))</f>
      </c>
      <c r="AA137" s="31"/>
      <c r="AB137" s="32"/>
      <c r="AC137" s="27">
        <f>IF($B137&lt;&gt;"Entry","",ROUND(AB137*Z137/100,0))</f>
      </c>
      <c r="AD137" s="27">
        <f>IF($B137&lt;&gt;"Entry","",0)</f>
      </c>
      <c r="AE137" s="27">
        <f>IF($B137&lt;&gt;"Entry","",0)</f>
      </c>
      <c r="AF137" s="27">
        <f>IF($B137&lt;&gt;"Entry","",IF(OR(AC137=0,AA137="",AQ137="",AQ137&lt;=0),0,IF(AQ137&lt;=DATE(YEAR(AA137),MONTH(AA137)+1,7),0,ROUND(AC137*0.015*((YEAR(AQ137)-YEAR(AA137))*12+(MONTH(AQ137)-MONTH(AA137))+1),0))))</f>
      </c>
      <c r="AG137" s="27">
        <f>IF($B137&lt;&gt;"Entry","",0)</f>
      </c>
      <c r="AH137" s="28"/>
      <c r="AI137" s="28"/>
      <c r="AJ137" s="33"/>
      <c r="AK137" s="28"/>
      <c r="AL137" s="28"/>
      <c r="AM137" s="27">
        <f>IF($B137&lt;&gt;"Challan","",SUMIF($D$4:$D$207,D137,$AC$4:$AC$207)+SUMIF($D$4:$D$207,D137,$AF$4:$AF$207)+SUMIF($D$4:$D$207,D137,$AD$4:$AD$207))</f>
      </c>
      <c r="AN137" s="27">
        <f>IF($B137&lt;&gt;"Challan","",O137-M137)</f>
      </c>
      <c r="AO137" s="27">
        <f>IF($B137&lt;&gt;"Challan","",MAX(0,AN137-AM137))</f>
      </c>
      <c r="AP137" s="29">
        <f>IF($B137&lt;&gt;"Challan","",IF(ROUND(AM137-AN137,2)&gt;0,"Over-applied",IF(ROUND(AM137-AN137,2)=0,"Fully Utilised","Unconsumed")))</f>
      </c>
      <c r="AQ137" s="34">
        <f>IF($B137&lt;&gt;"Entry","",SUMPRODUCT(($D$4:$D$207=D137)*($B$4:$B$207="Challan")*$E$4:$E$207))</f>
      </c>
      <c r="AR137" s="35">
        <f>IF(OR($B137&lt;&gt;"Entry",Y137=""),FALSE,AND(SUMPRODUCT(($D$4:$D$207=D137)*($B$4:$B$207="Challan")*($G$4:$G$207&lt;&gt;""))&gt;0,SUMPRODUCT(($D$4:$D$207=D137)*($B$4:$B$207="Challan")*($G$4:$G$207=Y137))=0))</f>
      </c>
    </row>
    <row r="138" spans="1:44" x14ac:dyDescent="0.25">
      <c r="A138" s="21">
        <f>IF($B138="Entry",COUNTIF($B$4:$B138,"Entry"),"")</f>
      </c>
      <c r="B138" s="22"/>
      <c r="C138" s="23"/>
      <c r="D138" s="23"/>
      <c r="E138" s="24"/>
      <c r="F138" s="25"/>
      <c r="G138" s="25"/>
      <c r="H138" s="26"/>
      <c r="I138" s="26"/>
      <c r="J138" s="26"/>
      <c r="K138" s="26"/>
      <c r="L138" s="26"/>
      <c r="M138" s="26"/>
      <c r="N138" s="26"/>
      <c r="O138" s="27">
        <f>IF($B138&lt;&gt;"Challan","",H138+I138+J138+K138+L138+M138)</f>
      </c>
      <c r="P138" s="25"/>
      <c r="Q138" s="25"/>
      <c r="R138" s="25"/>
      <c r="S138" s="25"/>
      <c r="T138" s="25"/>
      <c r="U138" s="28"/>
      <c r="V138" s="28"/>
      <c r="W138" s="28"/>
      <c r="X138" s="29">
        <f>IF($B138&lt;&gt;"Entry","",IF(LEN(V138)&lt;4,"",IF(MID(V138,4,1)="P","Individual",IF(MID(V138,4,1)="H","HUF",IF(MID(V138,4,1)="C","Company",IF(MID(V138,4,1)="F","Firm",IF(MID(V138,4,1)="L","LLP",IF(MID(V138,4,1)="T","Trust",IF(MID(V138,4,1)="A","AOP",""))))))))</f>
      </c>
      <c r="Y138" s="28"/>
      <c r="Z138" s="30">
        <f>IF($B138&lt;&gt;"Entry","",IF(Y138="","",IF(W138="Y",SUMPRODUCT(('Rate Lookup'!$A$1:$A$32=Y138)*'Rate Lookup'!$D$1:$D$32),IF(OR(X138="Individual",X138="HUF"),SUMPRODUCT(('Rate Lookup'!$A$1:$A$32=Y138)*'Rate Lookup'!$B$1:$B$32),SUMPRODUCT(('Rate Lookup'!$A$1:$A$32=Y138)*'Rate Lookup'!$C$1:$C$32)))))</f>
      </c>
      <c r="AA138" s="31"/>
      <c r="AB138" s="32"/>
      <c r="AC138" s="27">
        <f>IF($B138&lt;&gt;"Entry","",ROUND(AB138*Z138/100,0))</f>
      </c>
      <c r="AD138" s="27">
        <f>IF($B138&lt;&gt;"Entry","",0)</f>
      </c>
      <c r="AE138" s="27">
        <f>IF($B138&lt;&gt;"Entry","",0)</f>
      </c>
      <c r="AF138" s="27">
        <f>IF($B138&lt;&gt;"Entry","",IF(OR(AC138=0,AA138="",AQ138="",AQ138&lt;=0),0,IF(AQ138&lt;=DATE(YEAR(AA138),MONTH(AA138)+1,7),0,ROUND(AC138*0.015*((YEAR(AQ138)-YEAR(AA138))*12+(MONTH(AQ138)-MONTH(AA138))+1),0))))</f>
      </c>
      <c r="AG138" s="27">
        <f>IF($B138&lt;&gt;"Entry","",0)</f>
      </c>
      <c r="AH138" s="28"/>
      <c r="AI138" s="28"/>
      <c r="AJ138" s="33"/>
      <c r="AK138" s="28"/>
      <c r="AL138" s="28"/>
      <c r="AM138" s="27">
        <f>IF($B138&lt;&gt;"Challan","",SUMIF($D$4:$D$207,D138,$AC$4:$AC$207)+SUMIF($D$4:$D$207,D138,$AF$4:$AF$207)+SUMIF($D$4:$D$207,D138,$AD$4:$AD$207))</f>
      </c>
      <c r="AN138" s="27">
        <f>IF($B138&lt;&gt;"Challan","",O138-M138)</f>
      </c>
      <c r="AO138" s="27">
        <f>IF($B138&lt;&gt;"Challan","",MAX(0,AN138-AM138))</f>
      </c>
      <c r="AP138" s="29">
        <f>IF($B138&lt;&gt;"Challan","",IF(ROUND(AM138-AN138,2)&gt;0,"Over-applied",IF(ROUND(AM138-AN138,2)=0,"Fully Utilised","Unconsumed")))</f>
      </c>
      <c r="AQ138" s="34">
        <f>IF($B138&lt;&gt;"Entry","",SUMPRODUCT(($D$4:$D$207=D138)*($B$4:$B$207="Challan")*$E$4:$E$207))</f>
      </c>
      <c r="AR138" s="35">
        <f>IF(OR($B138&lt;&gt;"Entry",Y138=""),FALSE,AND(SUMPRODUCT(($D$4:$D$207=D138)*($B$4:$B$207="Challan")*($G$4:$G$207&lt;&gt;""))&gt;0,SUMPRODUCT(($D$4:$D$207=D138)*($B$4:$B$207="Challan")*($G$4:$G$207=Y138))=0))</f>
      </c>
    </row>
    <row r="139" spans="1:44" x14ac:dyDescent="0.25">
      <c r="A139" s="21">
        <f>IF($B139="Entry",COUNTIF($B$4:$B139,"Entry"),"")</f>
      </c>
      <c r="B139" s="22"/>
      <c r="C139" s="23"/>
      <c r="D139" s="23"/>
      <c r="E139" s="24"/>
      <c r="F139" s="25"/>
      <c r="G139" s="25"/>
      <c r="H139" s="26"/>
      <c r="I139" s="26"/>
      <c r="J139" s="26"/>
      <c r="K139" s="26"/>
      <c r="L139" s="26"/>
      <c r="M139" s="26"/>
      <c r="N139" s="26"/>
      <c r="O139" s="27">
        <f>IF($B139&lt;&gt;"Challan","",H139+I139+J139+K139+L139+M139)</f>
      </c>
      <c r="P139" s="25"/>
      <c r="Q139" s="25"/>
      <c r="R139" s="25"/>
      <c r="S139" s="25"/>
      <c r="T139" s="25"/>
      <c r="U139" s="28"/>
      <c r="V139" s="28"/>
      <c r="W139" s="28"/>
      <c r="X139" s="29">
        <f>IF($B139&lt;&gt;"Entry","",IF(LEN(V139)&lt;4,"",IF(MID(V139,4,1)="P","Individual",IF(MID(V139,4,1)="H","HUF",IF(MID(V139,4,1)="C","Company",IF(MID(V139,4,1)="F","Firm",IF(MID(V139,4,1)="L","LLP",IF(MID(V139,4,1)="T","Trust",IF(MID(V139,4,1)="A","AOP",""))))))))</f>
      </c>
      <c r="Y139" s="28"/>
      <c r="Z139" s="30">
        <f>IF($B139&lt;&gt;"Entry","",IF(Y139="","",IF(W139="Y",SUMPRODUCT(('Rate Lookup'!$A$1:$A$32=Y139)*'Rate Lookup'!$D$1:$D$32),IF(OR(X139="Individual",X139="HUF"),SUMPRODUCT(('Rate Lookup'!$A$1:$A$32=Y139)*'Rate Lookup'!$B$1:$B$32),SUMPRODUCT(('Rate Lookup'!$A$1:$A$32=Y139)*'Rate Lookup'!$C$1:$C$32)))))</f>
      </c>
      <c r="AA139" s="31"/>
      <c r="AB139" s="32"/>
      <c r="AC139" s="27">
        <f>IF($B139&lt;&gt;"Entry","",ROUND(AB139*Z139/100,0))</f>
      </c>
      <c r="AD139" s="27">
        <f>IF($B139&lt;&gt;"Entry","",0)</f>
      </c>
      <c r="AE139" s="27">
        <f>IF($B139&lt;&gt;"Entry","",0)</f>
      </c>
      <c r="AF139" s="27">
        <f>IF($B139&lt;&gt;"Entry","",IF(OR(AC139=0,AA139="",AQ139="",AQ139&lt;=0),0,IF(AQ139&lt;=DATE(YEAR(AA139),MONTH(AA139)+1,7),0,ROUND(AC139*0.015*((YEAR(AQ139)-YEAR(AA139))*12+(MONTH(AQ139)-MONTH(AA139))+1),0))))</f>
      </c>
      <c r="AG139" s="27">
        <f>IF($B139&lt;&gt;"Entry","",0)</f>
      </c>
      <c r="AH139" s="28"/>
      <c r="AI139" s="28"/>
      <c r="AJ139" s="33"/>
      <c r="AK139" s="28"/>
      <c r="AL139" s="28"/>
      <c r="AM139" s="27">
        <f>IF($B139&lt;&gt;"Challan","",SUMIF($D$4:$D$207,D139,$AC$4:$AC$207)+SUMIF($D$4:$D$207,D139,$AF$4:$AF$207)+SUMIF($D$4:$D$207,D139,$AD$4:$AD$207))</f>
      </c>
      <c r="AN139" s="27">
        <f>IF($B139&lt;&gt;"Challan","",O139-M139)</f>
      </c>
      <c r="AO139" s="27">
        <f>IF($B139&lt;&gt;"Challan","",MAX(0,AN139-AM139))</f>
      </c>
      <c r="AP139" s="29">
        <f>IF($B139&lt;&gt;"Challan","",IF(ROUND(AM139-AN139,2)&gt;0,"Over-applied",IF(ROUND(AM139-AN139,2)=0,"Fully Utilised","Unconsumed")))</f>
      </c>
      <c r="AQ139" s="34">
        <f>IF($B139&lt;&gt;"Entry","",SUMPRODUCT(($D$4:$D$207=D139)*($B$4:$B$207="Challan")*$E$4:$E$207))</f>
      </c>
      <c r="AR139" s="35">
        <f>IF(OR($B139&lt;&gt;"Entry",Y139=""),FALSE,AND(SUMPRODUCT(($D$4:$D$207=D139)*($B$4:$B$207="Challan")*($G$4:$G$207&lt;&gt;""))&gt;0,SUMPRODUCT(($D$4:$D$207=D139)*($B$4:$B$207="Challan")*($G$4:$G$207=Y139))=0))</f>
      </c>
    </row>
    <row r="140" spans="1:44" x14ac:dyDescent="0.25">
      <c r="A140" s="21">
        <f>IF($B140="Entry",COUNTIF($B$4:$B140,"Entry"),"")</f>
      </c>
      <c r="B140" s="22"/>
      <c r="C140" s="23"/>
      <c r="D140" s="23"/>
      <c r="E140" s="24"/>
      <c r="F140" s="25"/>
      <c r="G140" s="25"/>
      <c r="H140" s="26"/>
      <c r="I140" s="26"/>
      <c r="J140" s="26"/>
      <c r="K140" s="26"/>
      <c r="L140" s="26"/>
      <c r="M140" s="26"/>
      <c r="N140" s="26"/>
      <c r="O140" s="27">
        <f>IF($B140&lt;&gt;"Challan","",H140+I140+J140+K140+L140+M140)</f>
      </c>
      <c r="P140" s="25"/>
      <c r="Q140" s="25"/>
      <c r="R140" s="25"/>
      <c r="S140" s="25"/>
      <c r="T140" s="25"/>
      <c r="U140" s="28"/>
      <c r="V140" s="28"/>
      <c r="W140" s="28"/>
      <c r="X140" s="29">
        <f>IF($B140&lt;&gt;"Entry","",IF(LEN(V140)&lt;4,"",IF(MID(V140,4,1)="P","Individual",IF(MID(V140,4,1)="H","HUF",IF(MID(V140,4,1)="C","Company",IF(MID(V140,4,1)="F","Firm",IF(MID(V140,4,1)="L","LLP",IF(MID(V140,4,1)="T","Trust",IF(MID(V140,4,1)="A","AOP",""))))))))</f>
      </c>
      <c r="Y140" s="28"/>
      <c r="Z140" s="30">
        <f>IF($B140&lt;&gt;"Entry","",IF(Y140="","",IF(W140="Y",SUMPRODUCT(('Rate Lookup'!$A$1:$A$32=Y140)*'Rate Lookup'!$D$1:$D$32),IF(OR(X140="Individual",X140="HUF"),SUMPRODUCT(('Rate Lookup'!$A$1:$A$32=Y140)*'Rate Lookup'!$B$1:$B$32),SUMPRODUCT(('Rate Lookup'!$A$1:$A$32=Y140)*'Rate Lookup'!$C$1:$C$32)))))</f>
      </c>
      <c r="AA140" s="31"/>
      <c r="AB140" s="32"/>
      <c r="AC140" s="27">
        <f>IF($B140&lt;&gt;"Entry","",ROUND(AB140*Z140/100,0))</f>
      </c>
      <c r="AD140" s="27">
        <f>IF($B140&lt;&gt;"Entry","",0)</f>
      </c>
      <c r="AE140" s="27">
        <f>IF($B140&lt;&gt;"Entry","",0)</f>
      </c>
      <c r="AF140" s="27">
        <f>IF($B140&lt;&gt;"Entry","",IF(OR(AC140=0,AA140="",AQ140="",AQ140&lt;=0),0,IF(AQ140&lt;=DATE(YEAR(AA140),MONTH(AA140)+1,7),0,ROUND(AC140*0.015*((YEAR(AQ140)-YEAR(AA140))*12+(MONTH(AQ140)-MONTH(AA140))+1),0))))</f>
      </c>
      <c r="AG140" s="27">
        <f>IF($B140&lt;&gt;"Entry","",0)</f>
      </c>
      <c r="AH140" s="28"/>
      <c r="AI140" s="28"/>
      <c r="AJ140" s="33"/>
      <c r="AK140" s="28"/>
      <c r="AL140" s="28"/>
      <c r="AM140" s="27">
        <f>IF($B140&lt;&gt;"Challan","",SUMIF($D$4:$D$207,D140,$AC$4:$AC$207)+SUMIF($D$4:$D$207,D140,$AF$4:$AF$207)+SUMIF($D$4:$D$207,D140,$AD$4:$AD$207))</f>
      </c>
      <c r="AN140" s="27">
        <f>IF($B140&lt;&gt;"Challan","",O140-M140)</f>
      </c>
      <c r="AO140" s="27">
        <f>IF($B140&lt;&gt;"Challan","",MAX(0,AN140-AM140))</f>
      </c>
      <c r="AP140" s="29">
        <f>IF($B140&lt;&gt;"Challan","",IF(ROUND(AM140-AN140,2)&gt;0,"Over-applied",IF(ROUND(AM140-AN140,2)=0,"Fully Utilised","Unconsumed")))</f>
      </c>
      <c r="AQ140" s="34">
        <f>IF($B140&lt;&gt;"Entry","",SUMPRODUCT(($D$4:$D$207=D140)*($B$4:$B$207="Challan")*$E$4:$E$207))</f>
      </c>
      <c r="AR140" s="35">
        <f>IF(OR($B140&lt;&gt;"Entry",Y140=""),FALSE,AND(SUMPRODUCT(($D$4:$D$207=D140)*($B$4:$B$207="Challan")*($G$4:$G$207&lt;&gt;""))&gt;0,SUMPRODUCT(($D$4:$D$207=D140)*($B$4:$B$207="Challan")*($G$4:$G$207=Y140))=0))</f>
      </c>
    </row>
    <row r="141" spans="1:44" x14ac:dyDescent="0.25">
      <c r="A141" s="21">
        <f>IF($B141="Entry",COUNTIF($B$4:$B141,"Entry"),"")</f>
      </c>
      <c r="B141" s="22"/>
      <c r="C141" s="23"/>
      <c r="D141" s="23"/>
      <c r="E141" s="24"/>
      <c r="F141" s="25"/>
      <c r="G141" s="25"/>
      <c r="H141" s="26"/>
      <c r="I141" s="26"/>
      <c r="J141" s="26"/>
      <c r="K141" s="26"/>
      <c r="L141" s="26"/>
      <c r="M141" s="26"/>
      <c r="N141" s="26"/>
      <c r="O141" s="27">
        <f>IF($B141&lt;&gt;"Challan","",H141+I141+J141+K141+L141+M141)</f>
      </c>
      <c r="P141" s="25"/>
      <c r="Q141" s="25"/>
      <c r="R141" s="25"/>
      <c r="S141" s="25"/>
      <c r="T141" s="25"/>
      <c r="U141" s="28"/>
      <c r="V141" s="28"/>
      <c r="W141" s="28"/>
      <c r="X141" s="29">
        <f>IF($B141&lt;&gt;"Entry","",IF(LEN(V141)&lt;4,"",IF(MID(V141,4,1)="P","Individual",IF(MID(V141,4,1)="H","HUF",IF(MID(V141,4,1)="C","Company",IF(MID(V141,4,1)="F","Firm",IF(MID(V141,4,1)="L","LLP",IF(MID(V141,4,1)="T","Trust",IF(MID(V141,4,1)="A","AOP",""))))))))</f>
      </c>
      <c r="Y141" s="28"/>
      <c r="Z141" s="30">
        <f>IF($B141&lt;&gt;"Entry","",IF(Y141="","",IF(W141="Y",SUMPRODUCT(('Rate Lookup'!$A$1:$A$32=Y141)*'Rate Lookup'!$D$1:$D$32),IF(OR(X141="Individual",X141="HUF"),SUMPRODUCT(('Rate Lookup'!$A$1:$A$32=Y141)*'Rate Lookup'!$B$1:$B$32),SUMPRODUCT(('Rate Lookup'!$A$1:$A$32=Y141)*'Rate Lookup'!$C$1:$C$32)))))</f>
      </c>
      <c r="AA141" s="31"/>
      <c r="AB141" s="32"/>
      <c r="AC141" s="27">
        <f>IF($B141&lt;&gt;"Entry","",ROUND(AB141*Z141/100,0))</f>
      </c>
      <c r="AD141" s="27">
        <f>IF($B141&lt;&gt;"Entry","",0)</f>
      </c>
      <c r="AE141" s="27">
        <f>IF($B141&lt;&gt;"Entry","",0)</f>
      </c>
      <c r="AF141" s="27">
        <f>IF($B141&lt;&gt;"Entry","",IF(OR(AC141=0,AA141="",AQ141="",AQ141&lt;=0),0,IF(AQ141&lt;=DATE(YEAR(AA141),MONTH(AA141)+1,7),0,ROUND(AC141*0.015*((YEAR(AQ141)-YEAR(AA141))*12+(MONTH(AQ141)-MONTH(AA141))+1),0))))</f>
      </c>
      <c r="AG141" s="27">
        <f>IF($B141&lt;&gt;"Entry","",0)</f>
      </c>
      <c r="AH141" s="28"/>
      <c r="AI141" s="28"/>
      <c r="AJ141" s="33"/>
      <c r="AK141" s="28"/>
      <c r="AL141" s="28"/>
      <c r="AM141" s="27">
        <f>IF($B141&lt;&gt;"Challan","",SUMIF($D$4:$D$207,D141,$AC$4:$AC$207)+SUMIF($D$4:$D$207,D141,$AF$4:$AF$207)+SUMIF($D$4:$D$207,D141,$AD$4:$AD$207))</f>
      </c>
      <c r="AN141" s="27">
        <f>IF($B141&lt;&gt;"Challan","",O141-M141)</f>
      </c>
      <c r="AO141" s="27">
        <f>IF($B141&lt;&gt;"Challan","",MAX(0,AN141-AM141))</f>
      </c>
      <c r="AP141" s="29">
        <f>IF($B141&lt;&gt;"Challan","",IF(ROUND(AM141-AN141,2)&gt;0,"Over-applied",IF(ROUND(AM141-AN141,2)=0,"Fully Utilised","Unconsumed")))</f>
      </c>
      <c r="AQ141" s="34">
        <f>IF($B141&lt;&gt;"Entry","",SUMPRODUCT(($D$4:$D$207=D141)*($B$4:$B$207="Challan")*$E$4:$E$207))</f>
      </c>
      <c r="AR141" s="35">
        <f>IF(OR($B141&lt;&gt;"Entry",Y141=""),FALSE,AND(SUMPRODUCT(($D$4:$D$207=D141)*($B$4:$B$207="Challan")*($G$4:$G$207&lt;&gt;""))&gt;0,SUMPRODUCT(($D$4:$D$207=D141)*($B$4:$B$207="Challan")*($G$4:$G$207=Y141))=0))</f>
      </c>
    </row>
    <row r="142" spans="1:44" x14ac:dyDescent="0.25">
      <c r="A142" s="21">
        <f>IF($B142="Entry",COUNTIF($B$4:$B142,"Entry"),"")</f>
      </c>
      <c r="B142" s="22"/>
      <c r="C142" s="23"/>
      <c r="D142" s="23"/>
      <c r="E142" s="24"/>
      <c r="F142" s="25"/>
      <c r="G142" s="25"/>
      <c r="H142" s="26"/>
      <c r="I142" s="26"/>
      <c r="J142" s="26"/>
      <c r="K142" s="26"/>
      <c r="L142" s="26"/>
      <c r="M142" s="26"/>
      <c r="N142" s="26"/>
      <c r="O142" s="27">
        <f>IF($B142&lt;&gt;"Challan","",H142+I142+J142+K142+L142+M142)</f>
      </c>
      <c r="P142" s="25"/>
      <c r="Q142" s="25"/>
      <c r="R142" s="25"/>
      <c r="S142" s="25"/>
      <c r="T142" s="25"/>
      <c r="U142" s="28"/>
      <c r="V142" s="28"/>
      <c r="W142" s="28"/>
      <c r="X142" s="29">
        <f>IF($B142&lt;&gt;"Entry","",IF(LEN(V142)&lt;4,"",IF(MID(V142,4,1)="P","Individual",IF(MID(V142,4,1)="H","HUF",IF(MID(V142,4,1)="C","Company",IF(MID(V142,4,1)="F","Firm",IF(MID(V142,4,1)="L","LLP",IF(MID(V142,4,1)="T","Trust",IF(MID(V142,4,1)="A","AOP",""))))))))</f>
      </c>
      <c r="Y142" s="28"/>
      <c r="Z142" s="30">
        <f>IF($B142&lt;&gt;"Entry","",IF(Y142="","",IF(W142="Y",SUMPRODUCT(('Rate Lookup'!$A$1:$A$32=Y142)*'Rate Lookup'!$D$1:$D$32),IF(OR(X142="Individual",X142="HUF"),SUMPRODUCT(('Rate Lookup'!$A$1:$A$32=Y142)*'Rate Lookup'!$B$1:$B$32),SUMPRODUCT(('Rate Lookup'!$A$1:$A$32=Y142)*'Rate Lookup'!$C$1:$C$32)))))</f>
      </c>
      <c r="AA142" s="31"/>
      <c r="AB142" s="32"/>
      <c r="AC142" s="27">
        <f>IF($B142&lt;&gt;"Entry","",ROUND(AB142*Z142/100,0))</f>
      </c>
      <c r="AD142" s="27">
        <f>IF($B142&lt;&gt;"Entry","",0)</f>
      </c>
      <c r="AE142" s="27">
        <f>IF($B142&lt;&gt;"Entry","",0)</f>
      </c>
      <c r="AF142" s="27">
        <f>IF($B142&lt;&gt;"Entry","",IF(OR(AC142=0,AA142="",AQ142="",AQ142&lt;=0),0,IF(AQ142&lt;=DATE(YEAR(AA142),MONTH(AA142)+1,7),0,ROUND(AC142*0.015*((YEAR(AQ142)-YEAR(AA142))*12+(MONTH(AQ142)-MONTH(AA142))+1),0))))</f>
      </c>
      <c r="AG142" s="27">
        <f>IF($B142&lt;&gt;"Entry","",0)</f>
      </c>
      <c r="AH142" s="28"/>
      <c r="AI142" s="28"/>
      <c r="AJ142" s="33"/>
      <c r="AK142" s="28"/>
      <c r="AL142" s="28"/>
      <c r="AM142" s="27">
        <f>IF($B142&lt;&gt;"Challan","",SUMIF($D$4:$D$207,D142,$AC$4:$AC$207)+SUMIF($D$4:$D$207,D142,$AF$4:$AF$207)+SUMIF($D$4:$D$207,D142,$AD$4:$AD$207))</f>
      </c>
      <c r="AN142" s="27">
        <f>IF($B142&lt;&gt;"Challan","",O142-M142)</f>
      </c>
      <c r="AO142" s="27">
        <f>IF($B142&lt;&gt;"Challan","",MAX(0,AN142-AM142))</f>
      </c>
      <c r="AP142" s="29">
        <f>IF($B142&lt;&gt;"Challan","",IF(ROUND(AM142-AN142,2)&gt;0,"Over-applied",IF(ROUND(AM142-AN142,2)=0,"Fully Utilised","Unconsumed")))</f>
      </c>
      <c r="AQ142" s="34">
        <f>IF($B142&lt;&gt;"Entry","",SUMPRODUCT(($D$4:$D$207=D142)*($B$4:$B$207="Challan")*$E$4:$E$207))</f>
      </c>
      <c r="AR142" s="35">
        <f>IF(OR($B142&lt;&gt;"Entry",Y142=""),FALSE,AND(SUMPRODUCT(($D$4:$D$207=D142)*($B$4:$B$207="Challan")*($G$4:$G$207&lt;&gt;""))&gt;0,SUMPRODUCT(($D$4:$D$207=D142)*($B$4:$B$207="Challan")*($G$4:$G$207=Y142))=0))</f>
      </c>
    </row>
    <row r="143" spans="1:44" x14ac:dyDescent="0.25">
      <c r="A143" s="21">
        <f>IF($B143="Entry",COUNTIF($B$4:$B143,"Entry"),"")</f>
      </c>
      <c r="B143" s="22"/>
      <c r="C143" s="23"/>
      <c r="D143" s="23"/>
      <c r="E143" s="24"/>
      <c r="F143" s="25"/>
      <c r="G143" s="25"/>
      <c r="H143" s="26"/>
      <c r="I143" s="26"/>
      <c r="J143" s="26"/>
      <c r="K143" s="26"/>
      <c r="L143" s="26"/>
      <c r="M143" s="26"/>
      <c r="N143" s="26"/>
      <c r="O143" s="27">
        <f>IF($B143&lt;&gt;"Challan","",H143+I143+J143+K143+L143+M143)</f>
      </c>
      <c r="P143" s="25"/>
      <c r="Q143" s="25"/>
      <c r="R143" s="25"/>
      <c r="S143" s="25"/>
      <c r="T143" s="25"/>
      <c r="U143" s="28"/>
      <c r="V143" s="28"/>
      <c r="W143" s="28"/>
      <c r="X143" s="29">
        <f>IF($B143&lt;&gt;"Entry","",IF(LEN(V143)&lt;4,"",IF(MID(V143,4,1)="P","Individual",IF(MID(V143,4,1)="H","HUF",IF(MID(V143,4,1)="C","Company",IF(MID(V143,4,1)="F","Firm",IF(MID(V143,4,1)="L","LLP",IF(MID(V143,4,1)="T","Trust",IF(MID(V143,4,1)="A","AOP",""))))))))</f>
      </c>
      <c r="Y143" s="28"/>
      <c r="Z143" s="30">
        <f>IF($B143&lt;&gt;"Entry","",IF(Y143="","",IF(W143="Y",SUMPRODUCT(('Rate Lookup'!$A$1:$A$32=Y143)*'Rate Lookup'!$D$1:$D$32),IF(OR(X143="Individual",X143="HUF"),SUMPRODUCT(('Rate Lookup'!$A$1:$A$32=Y143)*'Rate Lookup'!$B$1:$B$32),SUMPRODUCT(('Rate Lookup'!$A$1:$A$32=Y143)*'Rate Lookup'!$C$1:$C$32)))))</f>
      </c>
      <c r="AA143" s="31"/>
      <c r="AB143" s="32"/>
      <c r="AC143" s="27">
        <f>IF($B143&lt;&gt;"Entry","",ROUND(AB143*Z143/100,0))</f>
      </c>
      <c r="AD143" s="27">
        <f>IF($B143&lt;&gt;"Entry","",0)</f>
      </c>
      <c r="AE143" s="27">
        <f>IF($B143&lt;&gt;"Entry","",0)</f>
      </c>
      <c r="AF143" s="27">
        <f>IF($B143&lt;&gt;"Entry","",IF(OR(AC143=0,AA143="",AQ143="",AQ143&lt;=0),0,IF(AQ143&lt;=DATE(YEAR(AA143),MONTH(AA143)+1,7),0,ROUND(AC143*0.015*((YEAR(AQ143)-YEAR(AA143))*12+(MONTH(AQ143)-MONTH(AA143))+1),0))))</f>
      </c>
      <c r="AG143" s="27">
        <f>IF($B143&lt;&gt;"Entry","",0)</f>
      </c>
      <c r="AH143" s="28"/>
      <c r="AI143" s="28"/>
      <c r="AJ143" s="33"/>
      <c r="AK143" s="28"/>
      <c r="AL143" s="28"/>
      <c r="AM143" s="27">
        <f>IF($B143&lt;&gt;"Challan","",SUMIF($D$4:$D$207,D143,$AC$4:$AC$207)+SUMIF($D$4:$D$207,D143,$AF$4:$AF$207)+SUMIF($D$4:$D$207,D143,$AD$4:$AD$207))</f>
      </c>
      <c r="AN143" s="27">
        <f>IF($B143&lt;&gt;"Challan","",O143-M143)</f>
      </c>
      <c r="AO143" s="27">
        <f>IF($B143&lt;&gt;"Challan","",MAX(0,AN143-AM143))</f>
      </c>
      <c r="AP143" s="29">
        <f>IF($B143&lt;&gt;"Challan","",IF(ROUND(AM143-AN143,2)&gt;0,"Over-applied",IF(ROUND(AM143-AN143,2)=0,"Fully Utilised","Unconsumed")))</f>
      </c>
      <c r="AQ143" s="34">
        <f>IF($B143&lt;&gt;"Entry","",SUMPRODUCT(($D$4:$D$207=D143)*($B$4:$B$207="Challan")*$E$4:$E$207))</f>
      </c>
      <c r="AR143" s="35">
        <f>IF(OR($B143&lt;&gt;"Entry",Y143=""),FALSE,AND(SUMPRODUCT(($D$4:$D$207=D143)*($B$4:$B$207="Challan")*($G$4:$G$207&lt;&gt;""))&gt;0,SUMPRODUCT(($D$4:$D$207=D143)*($B$4:$B$207="Challan")*($G$4:$G$207=Y143))=0))</f>
      </c>
    </row>
    <row r="144" spans="1:44" x14ac:dyDescent="0.25">
      <c r="A144" s="21">
        <f>IF($B144="Entry",COUNTIF($B$4:$B144,"Entry"),"")</f>
      </c>
      <c r="B144" s="22"/>
      <c r="C144" s="23"/>
      <c r="D144" s="23"/>
      <c r="E144" s="24"/>
      <c r="F144" s="25"/>
      <c r="G144" s="25"/>
      <c r="H144" s="26"/>
      <c r="I144" s="26"/>
      <c r="J144" s="26"/>
      <c r="K144" s="26"/>
      <c r="L144" s="26"/>
      <c r="M144" s="26"/>
      <c r="N144" s="26"/>
      <c r="O144" s="27">
        <f>IF($B144&lt;&gt;"Challan","",H144+I144+J144+K144+L144+M144)</f>
      </c>
      <c r="P144" s="25"/>
      <c r="Q144" s="25"/>
      <c r="R144" s="25"/>
      <c r="S144" s="25"/>
      <c r="T144" s="25"/>
      <c r="U144" s="28"/>
      <c r="V144" s="28"/>
      <c r="W144" s="28"/>
      <c r="X144" s="29">
        <f>IF($B144&lt;&gt;"Entry","",IF(LEN(V144)&lt;4,"",IF(MID(V144,4,1)="P","Individual",IF(MID(V144,4,1)="H","HUF",IF(MID(V144,4,1)="C","Company",IF(MID(V144,4,1)="F","Firm",IF(MID(V144,4,1)="L","LLP",IF(MID(V144,4,1)="T","Trust",IF(MID(V144,4,1)="A","AOP",""))))))))</f>
      </c>
      <c r="Y144" s="28"/>
      <c r="Z144" s="30">
        <f>IF($B144&lt;&gt;"Entry","",IF(Y144="","",IF(W144="Y",SUMPRODUCT(('Rate Lookup'!$A$1:$A$32=Y144)*'Rate Lookup'!$D$1:$D$32),IF(OR(X144="Individual",X144="HUF"),SUMPRODUCT(('Rate Lookup'!$A$1:$A$32=Y144)*'Rate Lookup'!$B$1:$B$32),SUMPRODUCT(('Rate Lookup'!$A$1:$A$32=Y144)*'Rate Lookup'!$C$1:$C$32)))))</f>
      </c>
      <c r="AA144" s="31"/>
      <c r="AB144" s="32"/>
      <c r="AC144" s="27">
        <f>IF($B144&lt;&gt;"Entry","",ROUND(AB144*Z144/100,0))</f>
      </c>
      <c r="AD144" s="27">
        <f>IF($B144&lt;&gt;"Entry","",0)</f>
      </c>
      <c r="AE144" s="27">
        <f>IF($B144&lt;&gt;"Entry","",0)</f>
      </c>
      <c r="AF144" s="27">
        <f>IF($B144&lt;&gt;"Entry","",IF(OR(AC144=0,AA144="",AQ144="",AQ144&lt;=0),0,IF(AQ144&lt;=DATE(YEAR(AA144),MONTH(AA144)+1,7),0,ROUND(AC144*0.015*((YEAR(AQ144)-YEAR(AA144))*12+(MONTH(AQ144)-MONTH(AA144))+1),0))))</f>
      </c>
      <c r="AG144" s="27">
        <f>IF($B144&lt;&gt;"Entry","",0)</f>
      </c>
      <c r="AH144" s="28"/>
      <c r="AI144" s="28"/>
      <c r="AJ144" s="33"/>
      <c r="AK144" s="28"/>
      <c r="AL144" s="28"/>
      <c r="AM144" s="27">
        <f>IF($B144&lt;&gt;"Challan","",SUMIF($D$4:$D$207,D144,$AC$4:$AC$207)+SUMIF($D$4:$D$207,D144,$AF$4:$AF$207)+SUMIF($D$4:$D$207,D144,$AD$4:$AD$207))</f>
      </c>
      <c r="AN144" s="27">
        <f>IF($B144&lt;&gt;"Challan","",O144-M144)</f>
      </c>
      <c r="AO144" s="27">
        <f>IF($B144&lt;&gt;"Challan","",MAX(0,AN144-AM144))</f>
      </c>
      <c r="AP144" s="29">
        <f>IF($B144&lt;&gt;"Challan","",IF(ROUND(AM144-AN144,2)&gt;0,"Over-applied",IF(ROUND(AM144-AN144,2)=0,"Fully Utilised","Unconsumed")))</f>
      </c>
      <c r="AQ144" s="34">
        <f>IF($B144&lt;&gt;"Entry","",SUMPRODUCT(($D$4:$D$207=D144)*($B$4:$B$207="Challan")*$E$4:$E$207))</f>
      </c>
      <c r="AR144" s="35">
        <f>IF(OR($B144&lt;&gt;"Entry",Y144=""),FALSE,AND(SUMPRODUCT(($D$4:$D$207=D144)*($B$4:$B$207="Challan")*($G$4:$G$207&lt;&gt;""))&gt;0,SUMPRODUCT(($D$4:$D$207=D144)*($B$4:$B$207="Challan")*($G$4:$G$207=Y144))=0))</f>
      </c>
    </row>
    <row r="145" spans="1:44" x14ac:dyDescent="0.25">
      <c r="A145" s="21">
        <f>IF($B145="Entry",COUNTIF($B$4:$B145,"Entry"),"")</f>
      </c>
      <c r="B145" s="22"/>
      <c r="C145" s="23"/>
      <c r="D145" s="23"/>
      <c r="E145" s="24"/>
      <c r="F145" s="25"/>
      <c r="G145" s="25"/>
      <c r="H145" s="26"/>
      <c r="I145" s="26"/>
      <c r="J145" s="26"/>
      <c r="K145" s="26"/>
      <c r="L145" s="26"/>
      <c r="M145" s="26"/>
      <c r="N145" s="26"/>
      <c r="O145" s="27">
        <f>IF($B145&lt;&gt;"Challan","",H145+I145+J145+K145+L145+M145)</f>
      </c>
      <c r="P145" s="25"/>
      <c r="Q145" s="25"/>
      <c r="R145" s="25"/>
      <c r="S145" s="25"/>
      <c r="T145" s="25"/>
      <c r="U145" s="28"/>
      <c r="V145" s="28"/>
      <c r="W145" s="28"/>
      <c r="X145" s="29">
        <f>IF($B145&lt;&gt;"Entry","",IF(LEN(V145)&lt;4,"",IF(MID(V145,4,1)="P","Individual",IF(MID(V145,4,1)="H","HUF",IF(MID(V145,4,1)="C","Company",IF(MID(V145,4,1)="F","Firm",IF(MID(V145,4,1)="L","LLP",IF(MID(V145,4,1)="T","Trust",IF(MID(V145,4,1)="A","AOP",""))))))))</f>
      </c>
      <c r="Y145" s="28"/>
      <c r="Z145" s="30">
        <f>IF($B145&lt;&gt;"Entry","",IF(Y145="","",IF(W145="Y",SUMPRODUCT(('Rate Lookup'!$A$1:$A$32=Y145)*'Rate Lookup'!$D$1:$D$32),IF(OR(X145="Individual",X145="HUF"),SUMPRODUCT(('Rate Lookup'!$A$1:$A$32=Y145)*'Rate Lookup'!$B$1:$B$32),SUMPRODUCT(('Rate Lookup'!$A$1:$A$32=Y145)*'Rate Lookup'!$C$1:$C$32)))))</f>
      </c>
      <c r="AA145" s="31"/>
      <c r="AB145" s="32"/>
      <c r="AC145" s="27">
        <f>IF($B145&lt;&gt;"Entry","",ROUND(AB145*Z145/100,0))</f>
      </c>
      <c r="AD145" s="27">
        <f>IF($B145&lt;&gt;"Entry","",0)</f>
      </c>
      <c r="AE145" s="27">
        <f>IF($B145&lt;&gt;"Entry","",0)</f>
      </c>
      <c r="AF145" s="27">
        <f>IF($B145&lt;&gt;"Entry","",IF(OR(AC145=0,AA145="",AQ145="",AQ145&lt;=0),0,IF(AQ145&lt;=DATE(YEAR(AA145),MONTH(AA145)+1,7),0,ROUND(AC145*0.015*((YEAR(AQ145)-YEAR(AA145))*12+(MONTH(AQ145)-MONTH(AA145))+1),0))))</f>
      </c>
      <c r="AG145" s="27">
        <f>IF($B145&lt;&gt;"Entry","",0)</f>
      </c>
      <c r="AH145" s="28"/>
      <c r="AI145" s="28"/>
      <c r="AJ145" s="33"/>
      <c r="AK145" s="28"/>
      <c r="AL145" s="28"/>
      <c r="AM145" s="27">
        <f>IF($B145&lt;&gt;"Challan","",SUMIF($D$4:$D$207,D145,$AC$4:$AC$207)+SUMIF($D$4:$D$207,D145,$AF$4:$AF$207)+SUMIF($D$4:$D$207,D145,$AD$4:$AD$207))</f>
      </c>
      <c r="AN145" s="27">
        <f>IF($B145&lt;&gt;"Challan","",O145-M145)</f>
      </c>
      <c r="AO145" s="27">
        <f>IF($B145&lt;&gt;"Challan","",MAX(0,AN145-AM145))</f>
      </c>
      <c r="AP145" s="29">
        <f>IF($B145&lt;&gt;"Challan","",IF(ROUND(AM145-AN145,2)&gt;0,"Over-applied",IF(ROUND(AM145-AN145,2)=0,"Fully Utilised","Unconsumed")))</f>
      </c>
      <c r="AQ145" s="34">
        <f>IF($B145&lt;&gt;"Entry","",SUMPRODUCT(($D$4:$D$207=D145)*($B$4:$B$207="Challan")*$E$4:$E$207))</f>
      </c>
      <c r="AR145" s="35">
        <f>IF(OR($B145&lt;&gt;"Entry",Y145=""),FALSE,AND(SUMPRODUCT(($D$4:$D$207=D145)*($B$4:$B$207="Challan")*($G$4:$G$207&lt;&gt;""))&gt;0,SUMPRODUCT(($D$4:$D$207=D145)*($B$4:$B$207="Challan")*($G$4:$G$207=Y145))=0))</f>
      </c>
    </row>
    <row r="146" spans="1:44" x14ac:dyDescent="0.25">
      <c r="A146" s="21">
        <f>IF($B146="Entry",COUNTIF($B$4:$B146,"Entry"),"")</f>
      </c>
      <c r="B146" s="22"/>
      <c r="C146" s="23"/>
      <c r="D146" s="23"/>
      <c r="E146" s="24"/>
      <c r="F146" s="25"/>
      <c r="G146" s="25"/>
      <c r="H146" s="26"/>
      <c r="I146" s="26"/>
      <c r="J146" s="26"/>
      <c r="K146" s="26"/>
      <c r="L146" s="26"/>
      <c r="M146" s="26"/>
      <c r="N146" s="26"/>
      <c r="O146" s="27">
        <f>IF($B146&lt;&gt;"Challan","",H146+I146+J146+K146+L146+M146)</f>
      </c>
      <c r="P146" s="25"/>
      <c r="Q146" s="25"/>
      <c r="R146" s="25"/>
      <c r="S146" s="25"/>
      <c r="T146" s="25"/>
      <c r="U146" s="28"/>
      <c r="V146" s="28"/>
      <c r="W146" s="28"/>
      <c r="X146" s="29">
        <f>IF($B146&lt;&gt;"Entry","",IF(LEN(V146)&lt;4,"",IF(MID(V146,4,1)="P","Individual",IF(MID(V146,4,1)="H","HUF",IF(MID(V146,4,1)="C","Company",IF(MID(V146,4,1)="F","Firm",IF(MID(V146,4,1)="L","LLP",IF(MID(V146,4,1)="T","Trust",IF(MID(V146,4,1)="A","AOP",""))))))))</f>
      </c>
      <c r="Y146" s="28"/>
      <c r="Z146" s="30">
        <f>IF($B146&lt;&gt;"Entry","",IF(Y146="","",IF(W146="Y",SUMPRODUCT(('Rate Lookup'!$A$1:$A$32=Y146)*'Rate Lookup'!$D$1:$D$32),IF(OR(X146="Individual",X146="HUF"),SUMPRODUCT(('Rate Lookup'!$A$1:$A$32=Y146)*'Rate Lookup'!$B$1:$B$32),SUMPRODUCT(('Rate Lookup'!$A$1:$A$32=Y146)*'Rate Lookup'!$C$1:$C$32)))))</f>
      </c>
      <c r="AA146" s="31"/>
      <c r="AB146" s="32"/>
      <c r="AC146" s="27">
        <f>IF($B146&lt;&gt;"Entry","",ROUND(AB146*Z146/100,0))</f>
      </c>
      <c r="AD146" s="27">
        <f>IF($B146&lt;&gt;"Entry","",0)</f>
      </c>
      <c r="AE146" s="27">
        <f>IF($B146&lt;&gt;"Entry","",0)</f>
      </c>
      <c r="AF146" s="27">
        <f>IF($B146&lt;&gt;"Entry","",IF(OR(AC146=0,AA146="",AQ146="",AQ146&lt;=0),0,IF(AQ146&lt;=DATE(YEAR(AA146),MONTH(AA146)+1,7),0,ROUND(AC146*0.015*((YEAR(AQ146)-YEAR(AA146))*12+(MONTH(AQ146)-MONTH(AA146))+1),0))))</f>
      </c>
      <c r="AG146" s="27">
        <f>IF($B146&lt;&gt;"Entry","",0)</f>
      </c>
      <c r="AH146" s="28"/>
      <c r="AI146" s="28"/>
      <c r="AJ146" s="33"/>
      <c r="AK146" s="28"/>
      <c r="AL146" s="28"/>
      <c r="AM146" s="27">
        <f>IF($B146&lt;&gt;"Challan","",SUMIF($D$4:$D$207,D146,$AC$4:$AC$207)+SUMIF($D$4:$D$207,D146,$AF$4:$AF$207)+SUMIF($D$4:$D$207,D146,$AD$4:$AD$207))</f>
      </c>
      <c r="AN146" s="27">
        <f>IF($B146&lt;&gt;"Challan","",O146-M146)</f>
      </c>
      <c r="AO146" s="27">
        <f>IF($B146&lt;&gt;"Challan","",MAX(0,AN146-AM146))</f>
      </c>
      <c r="AP146" s="29">
        <f>IF($B146&lt;&gt;"Challan","",IF(ROUND(AM146-AN146,2)&gt;0,"Over-applied",IF(ROUND(AM146-AN146,2)=0,"Fully Utilised","Unconsumed")))</f>
      </c>
      <c r="AQ146" s="34">
        <f>IF($B146&lt;&gt;"Entry","",SUMPRODUCT(($D$4:$D$207=D146)*($B$4:$B$207="Challan")*$E$4:$E$207))</f>
      </c>
      <c r="AR146" s="35">
        <f>IF(OR($B146&lt;&gt;"Entry",Y146=""),FALSE,AND(SUMPRODUCT(($D$4:$D$207=D146)*($B$4:$B$207="Challan")*($G$4:$G$207&lt;&gt;""))&gt;0,SUMPRODUCT(($D$4:$D$207=D146)*($B$4:$B$207="Challan")*($G$4:$G$207=Y146))=0))</f>
      </c>
    </row>
    <row r="147" spans="1:44" x14ac:dyDescent="0.25">
      <c r="A147" s="21">
        <f>IF($B147="Entry",COUNTIF($B$4:$B147,"Entry"),"")</f>
      </c>
      <c r="B147" s="22"/>
      <c r="C147" s="23"/>
      <c r="D147" s="23"/>
      <c r="E147" s="24"/>
      <c r="F147" s="25"/>
      <c r="G147" s="25"/>
      <c r="H147" s="26"/>
      <c r="I147" s="26"/>
      <c r="J147" s="26"/>
      <c r="K147" s="26"/>
      <c r="L147" s="26"/>
      <c r="M147" s="26"/>
      <c r="N147" s="26"/>
      <c r="O147" s="27">
        <f>IF($B147&lt;&gt;"Challan","",H147+I147+J147+K147+L147+M147)</f>
      </c>
      <c r="P147" s="25"/>
      <c r="Q147" s="25"/>
      <c r="R147" s="25"/>
      <c r="S147" s="25"/>
      <c r="T147" s="25"/>
      <c r="U147" s="28"/>
      <c r="V147" s="28"/>
      <c r="W147" s="28"/>
      <c r="X147" s="29">
        <f>IF($B147&lt;&gt;"Entry","",IF(LEN(V147)&lt;4,"",IF(MID(V147,4,1)="P","Individual",IF(MID(V147,4,1)="H","HUF",IF(MID(V147,4,1)="C","Company",IF(MID(V147,4,1)="F","Firm",IF(MID(V147,4,1)="L","LLP",IF(MID(V147,4,1)="T","Trust",IF(MID(V147,4,1)="A","AOP",""))))))))</f>
      </c>
      <c r="Y147" s="28"/>
      <c r="Z147" s="30">
        <f>IF($B147&lt;&gt;"Entry","",IF(Y147="","",IF(W147="Y",SUMPRODUCT(('Rate Lookup'!$A$1:$A$32=Y147)*'Rate Lookup'!$D$1:$D$32),IF(OR(X147="Individual",X147="HUF"),SUMPRODUCT(('Rate Lookup'!$A$1:$A$32=Y147)*'Rate Lookup'!$B$1:$B$32),SUMPRODUCT(('Rate Lookup'!$A$1:$A$32=Y147)*'Rate Lookup'!$C$1:$C$32)))))</f>
      </c>
      <c r="AA147" s="31"/>
      <c r="AB147" s="32"/>
      <c r="AC147" s="27">
        <f>IF($B147&lt;&gt;"Entry","",ROUND(AB147*Z147/100,0))</f>
      </c>
      <c r="AD147" s="27">
        <f>IF($B147&lt;&gt;"Entry","",0)</f>
      </c>
      <c r="AE147" s="27">
        <f>IF($B147&lt;&gt;"Entry","",0)</f>
      </c>
      <c r="AF147" s="27">
        <f>IF($B147&lt;&gt;"Entry","",IF(OR(AC147=0,AA147="",AQ147="",AQ147&lt;=0),0,IF(AQ147&lt;=DATE(YEAR(AA147),MONTH(AA147)+1,7),0,ROUND(AC147*0.015*((YEAR(AQ147)-YEAR(AA147))*12+(MONTH(AQ147)-MONTH(AA147))+1),0))))</f>
      </c>
      <c r="AG147" s="27">
        <f>IF($B147&lt;&gt;"Entry","",0)</f>
      </c>
      <c r="AH147" s="28"/>
      <c r="AI147" s="28"/>
      <c r="AJ147" s="33"/>
      <c r="AK147" s="28"/>
      <c r="AL147" s="28"/>
      <c r="AM147" s="27">
        <f>IF($B147&lt;&gt;"Challan","",SUMIF($D$4:$D$207,D147,$AC$4:$AC$207)+SUMIF($D$4:$D$207,D147,$AF$4:$AF$207)+SUMIF($D$4:$D$207,D147,$AD$4:$AD$207))</f>
      </c>
      <c r="AN147" s="27">
        <f>IF($B147&lt;&gt;"Challan","",O147-M147)</f>
      </c>
      <c r="AO147" s="27">
        <f>IF($B147&lt;&gt;"Challan","",MAX(0,AN147-AM147))</f>
      </c>
      <c r="AP147" s="29">
        <f>IF($B147&lt;&gt;"Challan","",IF(ROUND(AM147-AN147,2)&gt;0,"Over-applied",IF(ROUND(AM147-AN147,2)=0,"Fully Utilised","Unconsumed")))</f>
      </c>
      <c r="AQ147" s="34">
        <f>IF($B147&lt;&gt;"Entry","",SUMPRODUCT(($D$4:$D$207=D147)*($B$4:$B$207="Challan")*$E$4:$E$207))</f>
      </c>
      <c r="AR147" s="35">
        <f>IF(OR($B147&lt;&gt;"Entry",Y147=""),FALSE,AND(SUMPRODUCT(($D$4:$D$207=D147)*($B$4:$B$207="Challan")*($G$4:$G$207&lt;&gt;""))&gt;0,SUMPRODUCT(($D$4:$D$207=D147)*($B$4:$B$207="Challan")*($G$4:$G$207=Y147))=0))</f>
      </c>
    </row>
    <row r="148" spans="1:44" x14ac:dyDescent="0.25">
      <c r="A148" s="21">
        <f>IF($B148="Entry",COUNTIF($B$4:$B148,"Entry"),"")</f>
      </c>
      <c r="B148" s="22"/>
      <c r="C148" s="23"/>
      <c r="D148" s="23"/>
      <c r="E148" s="24"/>
      <c r="F148" s="25"/>
      <c r="G148" s="25"/>
      <c r="H148" s="26"/>
      <c r="I148" s="26"/>
      <c r="J148" s="26"/>
      <c r="K148" s="26"/>
      <c r="L148" s="26"/>
      <c r="M148" s="26"/>
      <c r="N148" s="26"/>
      <c r="O148" s="27">
        <f>IF($B148&lt;&gt;"Challan","",H148+I148+J148+K148+L148+M148)</f>
      </c>
      <c r="P148" s="25"/>
      <c r="Q148" s="25"/>
      <c r="R148" s="25"/>
      <c r="S148" s="25"/>
      <c r="T148" s="25"/>
      <c r="U148" s="28"/>
      <c r="V148" s="28"/>
      <c r="W148" s="28"/>
      <c r="X148" s="29">
        <f>IF($B148&lt;&gt;"Entry","",IF(LEN(V148)&lt;4,"",IF(MID(V148,4,1)="P","Individual",IF(MID(V148,4,1)="H","HUF",IF(MID(V148,4,1)="C","Company",IF(MID(V148,4,1)="F","Firm",IF(MID(V148,4,1)="L","LLP",IF(MID(V148,4,1)="T","Trust",IF(MID(V148,4,1)="A","AOP",""))))))))</f>
      </c>
      <c r="Y148" s="28"/>
      <c r="Z148" s="30">
        <f>IF($B148&lt;&gt;"Entry","",IF(Y148="","",IF(W148="Y",SUMPRODUCT(('Rate Lookup'!$A$1:$A$32=Y148)*'Rate Lookup'!$D$1:$D$32),IF(OR(X148="Individual",X148="HUF"),SUMPRODUCT(('Rate Lookup'!$A$1:$A$32=Y148)*'Rate Lookup'!$B$1:$B$32),SUMPRODUCT(('Rate Lookup'!$A$1:$A$32=Y148)*'Rate Lookup'!$C$1:$C$32)))))</f>
      </c>
      <c r="AA148" s="31"/>
      <c r="AB148" s="32"/>
      <c r="AC148" s="27">
        <f>IF($B148&lt;&gt;"Entry","",ROUND(AB148*Z148/100,0))</f>
      </c>
      <c r="AD148" s="27">
        <f>IF($B148&lt;&gt;"Entry","",0)</f>
      </c>
      <c r="AE148" s="27">
        <f>IF($B148&lt;&gt;"Entry","",0)</f>
      </c>
      <c r="AF148" s="27">
        <f>IF($B148&lt;&gt;"Entry","",IF(OR(AC148=0,AA148="",AQ148="",AQ148&lt;=0),0,IF(AQ148&lt;=DATE(YEAR(AA148),MONTH(AA148)+1,7),0,ROUND(AC148*0.015*((YEAR(AQ148)-YEAR(AA148))*12+(MONTH(AQ148)-MONTH(AA148))+1),0))))</f>
      </c>
      <c r="AG148" s="27">
        <f>IF($B148&lt;&gt;"Entry","",0)</f>
      </c>
      <c r="AH148" s="28"/>
      <c r="AI148" s="28"/>
      <c r="AJ148" s="33"/>
      <c r="AK148" s="28"/>
      <c r="AL148" s="28"/>
      <c r="AM148" s="27">
        <f>IF($B148&lt;&gt;"Challan","",SUMIF($D$4:$D$207,D148,$AC$4:$AC$207)+SUMIF($D$4:$D$207,D148,$AF$4:$AF$207)+SUMIF($D$4:$D$207,D148,$AD$4:$AD$207))</f>
      </c>
      <c r="AN148" s="27">
        <f>IF($B148&lt;&gt;"Challan","",O148-M148)</f>
      </c>
      <c r="AO148" s="27">
        <f>IF($B148&lt;&gt;"Challan","",MAX(0,AN148-AM148))</f>
      </c>
      <c r="AP148" s="29">
        <f>IF($B148&lt;&gt;"Challan","",IF(ROUND(AM148-AN148,2)&gt;0,"Over-applied",IF(ROUND(AM148-AN148,2)=0,"Fully Utilised","Unconsumed")))</f>
      </c>
      <c r="AQ148" s="34">
        <f>IF($B148&lt;&gt;"Entry","",SUMPRODUCT(($D$4:$D$207=D148)*($B$4:$B$207="Challan")*$E$4:$E$207))</f>
      </c>
      <c r="AR148" s="35">
        <f>IF(OR($B148&lt;&gt;"Entry",Y148=""),FALSE,AND(SUMPRODUCT(($D$4:$D$207=D148)*($B$4:$B$207="Challan")*($G$4:$G$207&lt;&gt;""))&gt;0,SUMPRODUCT(($D$4:$D$207=D148)*($B$4:$B$207="Challan")*($G$4:$G$207=Y148))=0))</f>
      </c>
    </row>
    <row r="149" spans="1:44" x14ac:dyDescent="0.25">
      <c r="A149" s="21">
        <f>IF($B149="Entry",COUNTIF($B$4:$B149,"Entry"),"")</f>
      </c>
      <c r="B149" s="22"/>
      <c r="C149" s="23"/>
      <c r="D149" s="23"/>
      <c r="E149" s="24"/>
      <c r="F149" s="25"/>
      <c r="G149" s="25"/>
      <c r="H149" s="26"/>
      <c r="I149" s="26"/>
      <c r="J149" s="26"/>
      <c r="K149" s="26"/>
      <c r="L149" s="26"/>
      <c r="M149" s="26"/>
      <c r="N149" s="26"/>
      <c r="O149" s="27">
        <f>IF($B149&lt;&gt;"Challan","",H149+I149+J149+K149+L149+M149)</f>
      </c>
      <c r="P149" s="25"/>
      <c r="Q149" s="25"/>
      <c r="R149" s="25"/>
      <c r="S149" s="25"/>
      <c r="T149" s="25"/>
      <c r="U149" s="28"/>
      <c r="V149" s="28"/>
      <c r="W149" s="28"/>
      <c r="X149" s="29">
        <f>IF($B149&lt;&gt;"Entry","",IF(LEN(V149)&lt;4,"",IF(MID(V149,4,1)="P","Individual",IF(MID(V149,4,1)="H","HUF",IF(MID(V149,4,1)="C","Company",IF(MID(V149,4,1)="F","Firm",IF(MID(V149,4,1)="L","LLP",IF(MID(V149,4,1)="T","Trust",IF(MID(V149,4,1)="A","AOP",""))))))))</f>
      </c>
      <c r="Y149" s="28"/>
      <c r="Z149" s="30">
        <f>IF($B149&lt;&gt;"Entry","",IF(Y149="","",IF(W149="Y",SUMPRODUCT(('Rate Lookup'!$A$1:$A$32=Y149)*'Rate Lookup'!$D$1:$D$32),IF(OR(X149="Individual",X149="HUF"),SUMPRODUCT(('Rate Lookup'!$A$1:$A$32=Y149)*'Rate Lookup'!$B$1:$B$32),SUMPRODUCT(('Rate Lookup'!$A$1:$A$32=Y149)*'Rate Lookup'!$C$1:$C$32)))))</f>
      </c>
      <c r="AA149" s="31"/>
      <c r="AB149" s="32"/>
      <c r="AC149" s="27">
        <f>IF($B149&lt;&gt;"Entry","",ROUND(AB149*Z149/100,0))</f>
      </c>
      <c r="AD149" s="27">
        <f>IF($B149&lt;&gt;"Entry","",0)</f>
      </c>
      <c r="AE149" s="27">
        <f>IF($B149&lt;&gt;"Entry","",0)</f>
      </c>
      <c r="AF149" s="27">
        <f>IF($B149&lt;&gt;"Entry","",IF(OR(AC149=0,AA149="",AQ149="",AQ149&lt;=0),0,IF(AQ149&lt;=DATE(YEAR(AA149),MONTH(AA149)+1,7),0,ROUND(AC149*0.015*((YEAR(AQ149)-YEAR(AA149))*12+(MONTH(AQ149)-MONTH(AA149))+1),0))))</f>
      </c>
      <c r="AG149" s="27">
        <f>IF($B149&lt;&gt;"Entry","",0)</f>
      </c>
      <c r="AH149" s="28"/>
      <c r="AI149" s="28"/>
      <c r="AJ149" s="33"/>
      <c r="AK149" s="28"/>
      <c r="AL149" s="28"/>
      <c r="AM149" s="27">
        <f>IF($B149&lt;&gt;"Challan","",SUMIF($D$4:$D$207,D149,$AC$4:$AC$207)+SUMIF($D$4:$D$207,D149,$AF$4:$AF$207)+SUMIF($D$4:$D$207,D149,$AD$4:$AD$207))</f>
      </c>
      <c r="AN149" s="27">
        <f>IF($B149&lt;&gt;"Challan","",O149-M149)</f>
      </c>
      <c r="AO149" s="27">
        <f>IF($B149&lt;&gt;"Challan","",MAX(0,AN149-AM149))</f>
      </c>
      <c r="AP149" s="29">
        <f>IF($B149&lt;&gt;"Challan","",IF(ROUND(AM149-AN149,2)&gt;0,"Over-applied",IF(ROUND(AM149-AN149,2)=0,"Fully Utilised","Unconsumed")))</f>
      </c>
      <c r="AQ149" s="34">
        <f>IF($B149&lt;&gt;"Entry","",SUMPRODUCT(($D$4:$D$207=D149)*($B$4:$B$207="Challan")*$E$4:$E$207))</f>
      </c>
      <c r="AR149" s="35">
        <f>IF(OR($B149&lt;&gt;"Entry",Y149=""),FALSE,AND(SUMPRODUCT(($D$4:$D$207=D149)*($B$4:$B$207="Challan")*($G$4:$G$207&lt;&gt;""))&gt;0,SUMPRODUCT(($D$4:$D$207=D149)*($B$4:$B$207="Challan")*($G$4:$G$207=Y149))=0))</f>
      </c>
    </row>
    <row r="150" spans="1:44" x14ac:dyDescent="0.25">
      <c r="A150" s="21">
        <f>IF($B150="Entry",COUNTIF($B$4:$B150,"Entry"),"")</f>
      </c>
      <c r="B150" s="22"/>
      <c r="C150" s="23"/>
      <c r="D150" s="23"/>
      <c r="E150" s="24"/>
      <c r="F150" s="25"/>
      <c r="G150" s="25"/>
      <c r="H150" s="26"/>
      <c r="I150" s="26"/>
      <c r="J150" s="26"/>
      <c r="K150" s="26"/>
      <c r="L150" s="26"/>
      <c r="M150" s="26"/>
      <c r="N150" s="26"/>
      <c r="O150" s="27">
        <f>IF($B150&lt;&gt;"Challan","",H150+I150+J150+K150+L150+M150)</f>
      </c>
      <c r="P150" s="25"/>
      <c r="Q150" s="25"/>
      <c r="R150" s="25"/>
      <c r="S150" s="25"/>
      <c r="T150" s="25"/>
      <c r="U150" s="28"/>
      <c r="V150" s="28"/>
      <c r="W150" s="28"/>
      <c r="X150" s="29">
        <f>IF($B150&lt;&gt;"Entry","",IF(LEN(V150)&lt;4,"",IF(MID(V150,4,1)="P","Individual",IF(MID(V150,4,1)="H","HUF",IF(MID(V150,4,1)="C","Company",IF(MID(V150,4,1)="F","Firm",IF(MID(V150,4,1)="L","LLP",IF(MID(V150,4,1)="T","Trust",IF(MID(V150,4,1)="A","AOP",""))))))))</f>
      </c>
      <c r="Y150" s="28"/>
      <c r="Z150" s="30">
        <f>IF($B150&lt;&gt;"Entry","",IF(Y150="","",IF(W150="Y",SUMPRODUCT(('Rate Lookup'!$A$1:$A$32=Y150)*'Rate Lookup'!$D$1:$D$32),IF(OR(X150="Individual",X150="HUF"),SUMPRODUCT(('Rate Lookup'!$A$1:$A$32=Y150)*'Rate Lookup'!$B$1:$B$32),SUMPRODUCT(('Rate Lookup'!$A$1:$A$32=Y150)*'Rate Lookup'!$C$1:$C$32)))))</f>
      </c>
      <c r="AA150" s="31"/>
      <c r="AB150" s="32"/>
      <c r="AC150" s="27">
        <f>IF($B150&lt;&gt;"Entry","",ROUND(AB150*Z150/100,0))</f>
      </c>
      <c r="AD150" s="27">
        <f>IF($B150&lt;&gt;"Entry","",0)</f>
      </c>
      <c r="AE150" s="27">
        <f>IF($B150&lt;&gt;"Entry","",0)</f>
      </c>
      <c r="AF150" s="27">
        <f>IF($B150&lt;&gt;"Entry","",IF(OR(AC150=0,AA150="",AQ150="",AQ150&lt;=0),0,IF(AQ150&lt;=DATE(YEAR(AA150),MONTH(AA150)+1,7),0,ROUND(AC150*0.015*((YEAR(AQ150)-YEAR(AA150))*12+(MONTH(AQ150)-MONTH(AA150))+1),0))))</f>
      </c>
      <c r="AG150" s="27">
        <f>IF($B150&lt;&gt;"Entry","",0)</f>
      </c>
      <c r="AH150" s="28"/>
      <c r="AI150" s="28"/>
      <c r="AJ150" s="33"/>
      <c r="AK150" s="28"/>
      <c r="AL150" s="28"/>
      <c r="AM150" s="27">
        <f>IF($B150&lt;&gt;"Challan","",SUMIF($D$4:$D$207,D150,$AC$4:$AC$207)+SUMIF($D$4:$D$207,D150,$AF$4:$AF$207)+SUMIF($D$4:$D$207,D150,$AD$4:$AD$207))</f>
      </c>
      <c r="AN150" s="27">
        <f>IF($B150&lt;&gt;"Challan","",O150-M150)</f>
      </c>
      <c r="AO150" s="27">
        <f>IF($B150&lt;&gt;"Challan","",MAX(0,AN150-AM150))</f>
      </c>
      <c r="AP150" s="29">
        <f>IF($B150&lt;&gt;"Challan","",IF(ROUND(AM150-AN150,2)&gt;0,"Over-applied",IF(ROUND(AM150-AN150,2)=0,"Fully Utilised","Unconsumed")))</f>
      </c>
      <c r="AQ150" s="34">
        <f>IF($B150&lt;&gt;"Entry","",SUMPRODUCT(($D$4:$D$207=D150)*($B$4:$B$207="Challan")*$E$4:$E$207))</f>
      </c>
      <c r="AR150" s="35">
        <f>IF(OR($B150&lt;&gt;"Entry",Y150=""),FALSE,AND(SUMPRODUCT(($D$4:$D$207=D150)*($B$4:$B$207="Challan")*($G$4:$G$207&lt;&gt;""))&gt;0,SUMPRODUCT(($D$4:$D$207=D150)*($B$4:$B$207="Challan")*($G$4:$G$207=Y150))=0))</f>
      </c>
    </row>
    <row r="151" spans="1:44" x14ac:dyDescent="0.25">
      <c r="A151" s="21">
        <f>IF($B151="Entry",COUNTIF($B$4:$B151,"Entry"),"")</f>
      </c>
      <c r="B151" s="22"/>
      <c r="C151" s="23"/>
      <c r="D151" s="23"/>
      <c r="E151" s="24"/>
      <c r="F151" s="25"/>
      <c r="G151" s="25"/>
      <c r="H151" s="26"/>
      <c r="I151" s="26"/>
      <c r="J151" s="26"/>
      <c r="K151" s="26"/>
      <c r="L151" s="26"/>
      <c r="M151" s="26"/>
      <c r="N151" s="26"/>
      <c r="O151" s="27">
        <f>IF($B151&lt;&gt;"Challan","",H151+I151+J151+K151+L151+M151)</f>
      </c>
      <c r="P151" s="25"/>
      <c r="Q151" s="25"/>
      <c r="R151" s="25"/>
      <c r="S151" s="25"/>
      <c r="T151" s="25"/>
      <c r="U151" s="28"/>
      <c r="V151" s="28"/>
      <c r="W151" s="28"/>
      <c r="X151" s="29">
        <f>IF($B151&lt;&gt;"Entry","",IF(LEN(V151)&lt;4,"",IF(MID(V151,4,1)="P","Individual",IF(MID(V151,4,1)="H","HUF",IF(MID(V151,4,1)="C","Company",IF(MID(V151,4,1)="F","Firm",IF(MID(V151,4,1)="L","LLP",IF(MID(V151,4,1)="T","Trust",IF(MID(V151,4,1)="A","AOP",""))))))))</f>
      </c>
      <c r="Y151" s="28"/>
      <c r="Z151" s="30">
        <f>IF($B151&lt;&gt;"Entry","",IF(Y151="","",IF(W151="Y",SUMPRODUCT(('Rate Lookup'!$A$1:$A$32=Y151)*'Rate Lookup'!$D$1:$D$32),IF(OR(X151="Individual",X151="HUF"),SUMPRODUCT(('Rate Lookup'!$A$1:$A$32=Y151)*'Rate Lookup'!$B$1:$B$32),SUMPRODUCT(('Rate Lookup'!$A$1:$A$32=Y151)*'Rate Lookup'!$C$1:$C$32)))))</f>
      </c>
      <c r="AA151" s="31"/>
      <c r="AB151" s="32"/>
      <c r="AC151" s="27">
        <f>IF($B151&lt;&gt;"Entry","",ROUND(AB151*Z151/100,0))</f>
      </c>
      <c r="AD151" s="27">
        <f>IF($B151&lt;&gt;"Entry","",0)</f>
      </c>
      <c r="AE151" s="27">
        <f>IF($B151&lt;&gt;"Entry","",0)</f>
      </c>
      <c r="AF151" s="27">
        <f>IF($B151&lt;&gt;"Entry","",IF(OR(AC151=0,AA151="",AQ151="",AQ151&lt;=0),0,IF(AQ151&lt;=DATE(YEAR(AA151),MONTH(AA151)+1,7),0,ROUND(AC151*0.015*((YEAR(AQ151)-YEAR(AA151))*12+(MONTH(AQ151)-MONTH(AA151))+1),0))))</f>
      </c>
      <c r="AG151" s="27">
        <f>IF($B151&lt;&gt;"Entry","",0)</f>
      </c>
      <c r="AH151" s="28"/>
      <c r="AI151" s="28"/>
      <c r="AJ151" s="33"/>
      <c r="AK151" s="28"/>
      <c r="AL151" s="28"/>
      <c r="AM151" s="27">
        <f>IF($B151&lt;&gt;"Challan","",SUMIF($D$4:$D$207,D151,$AC$4:$AC$207)+SUMIF($D$4:$D$207,D151,$AF$4:$AF$207)+SUMIF($D$4:$D$207,D151,$AD$4:$AD$207))</f>
      </c>
      <c r="AN151" s="27">
        <f>IF($B151&lt;&gt;"Challan","",O151-M151)</f>
      </c>
      <c r="AO151" s="27">
        <f>IF($B151&lt;&gt;"Challan","",MAX(0,AN151-AM151))</f>
      </c>
      <c r="AP151" s="29">
        <f>IF($B151&lt;&gt;"Challan","",IF(ROUND(AM151-AN151,2)&gt;0,"Over-applied",IF(ROUND(AM151-AN151,2)=0,"Fully Utilised","Unconsumed")))</f>
      </c>
      <c r="AQ151" s="34">
        <f>IF($B151&lt;&gt;"Entry","",SUMPRODUCT(($D$4:$D$207=D151)*($B$4:$B$207="Challan")*$E$4:$E$207))</f>
      </c>
      <c r="AR151" s="35">
        <f>IF(OR($B151&lt;&gt;"Entry",Y151=""),FALSE,AND(SUMPRODUCT(($D$4:$D$207=D151)*($B$4:$B$207="Challan")*($G$4:$G$207&lt;&gt;""))&gt;0,SUMPRODUCT(($D$4:$D$207=D151)*($B$4:$B$207="Challan")*($G$4:$G$207=Y151))=0))</f>
      </c>
    </row>
    <row r="152" spans="1:44" x14ac:dyDescent="0.25">
      <c r="A152" s="21">
        <f>IF($B152="Entry",COUNTIF($B$4:$B152,"Entry"),"")</f>
      </c>
      <c r="B152" s="22"/>
      <c r="C152" s="23"/>
      <c r="D152" s="23"/>
      <c r="E152" s="24"/>
      <c r="F152" s="25"/>
      <c r="G152" s="25"/>
      <c r="H152" s="26"/>
      <c r="I152" s="26"/>
      <c r="J152" s="26"/>
      <c r="K152" s="26"/>
      <c r="L152" s="26"/>
      <c r="M152" s="26"/>
      <c r="N152" s="26"/>
      <c r="O152" s="27">
        <f>IF($B152&lt;&gt;"Challan","",H152+I152+J152+K152+L152+M152)</f>
      </c>
      <c r="P152" s="25"/>
      <c r="Q152" s="25"/>
      <c r="R152" s="25"/>
      <c r="S152" s="25"/>
      <c r="T152" s="25"/>
      <c r="U152" s="28"/>
      <c r="V152" s="28"/>
      <c r="W152" s="28"/>
      <c r="X152" s="29">
        <f>IF($B152&lt;&gt;"Entry","",IF(LEN(V152)&lt;4,"",IF(MID(V152,4,1)="P","Individual",IF(MID(V152,4,1)="H","HUF",IF(MID(V152,4,1)="C","Company",IF(MID(V152,4,1)="F","Firm",IF(MID(V152,4,1)="L","LLP",IF(MID(V152,4,1)="T","Trust",IF(MID(V152,4,1)="A","AOP",""))))))))</f>
      </c>
      <c r="Y152" s="28"/>
      <c r="Z152" s="30">
        <f>IF($B152&lt;&gt;"Entry","",IF(Y152="","",IF(W152="Y",SUMPRODUCT(('Rate Lookup'!$A$1:$A$32=Y152)*'Rate Lookup'!$D$1:$D$32),IF(OR(X152="Individual",X152="HUF"),SUMPRODUCT(('Rate Lookup'!$A$1:$A$32=Y152)*'Rate Lookup'!$B$1:$B$32),SUMPRODUCT(('Rate Lookup'!$A$1:$A$32=Y152)*'Rate Lookup'!$C$1:$C$32)))))</f>
      </c>
      <c r="AA152" s="31"/>
      <c r="AB152" s="32"/>
      <c r="AC152" s="27">
        <f>IF($B152&lt;&gt;"Entry","",ROUND(AB152*Z152/100,0))</f>
      </c>
      <c r="AD152" s="27">
        <f>IF($B152&lt;&gt;"Entry","",0)</f>
      </c>
      <c r="AE152" s="27">
        <f>IF($B152&lt;&gt;"Entry","",0)</f>
      </c>
      <c r="AF152" s="27">
        <f>IF($B152&lt;&gt;"Entry","",IF(OR(AC152=0,AA152="",AQ152="",AQ152&lt;=0),0,IF(AQ152&lt;=DATE(YEAR(AA152),MONTH(AA152)+1,7),0,ROUND(AC152*0.015*((YEAR(AQ152)-YEAR(AA152))*12+(MONTH(AQ152)-MONTH(AA152))+1),0))))</f>
      </c>
      <c r="AG152" s="27">
        <f>IF($B152&lt;&gt;"Entry","",0)</f>
      </c>
      <c r="AH152" s="28"/>
      <c r="AI152" s="28"/>
      <c r="AJ152" s="33"/>
      <c r="AK152" s="28"/>
      <c r="AL152" s="28"/>
      <c r="AM152" s="27">
        <f>IF($B152&lt;&gt;"Challan","",SUMIF($D$4:$D$207,D152,$AC$4:$AC$207)+SUMIF($D$4:$D$207,D152,$AF$4:$AF$207)+SUMIF($D$4:$D$207,D152,$AD$4:$AD$207))</f>
      </c>
      <c r="AN152" s="27">
        <f>IF($B152&lt;&gt;"Challan","",O152-M152)</f>
      </c>
      <c r="AO152" s="27">
        <f>IF($B152&lt;&gt;"Challan","",MAX(0,AN152-AM152))</f>
      </c>
      <c r="AP152" s="29">
        <f>IF($B152&lt;&gt;"Challan","",IF(ROUND(AM152-AN152,2)&gt;0,"Over-applied",IF(ROUND(AM152-AN152,2)=0,"Fully Utilised","Unconsumed")))</f>
      </c>
      <c r="AQ152" s="34">
        <f>IF($B152&lt;&gt;"Entry","",SUMPRODUCT(($D$4:$D$207=D152)*($B$4:$B$207="Challan")*$E$4:$E$207))</f>
      </c>
      <c r="AR152" s="35">
        <f>IF(OR($B152&lt;&gt;"Entry",Y152=""),FALSE,AND(SUMPRODUCT(($D$4:$D$207=D152)*($B$4:$B$207="Challan")*($G$4:$G$207&lt;&gt;""))&gt;0,SUMPRODUCT(($D$4:$D$207=D152)*($B$4:$B$207="Challan")*($G$4:$G$207=Y152))=0))</f>
      </c>
    </row>
    <row r="153" spans="1:44" x14ac:dyDescent="0.25">
      <c r="A153" s="21">
        <f>IF($B153="Entry",COUNTIF($B$4:$B153,"Entry"),"")</f>
      </c>
      <c r="B153" s="22"/>
      <c r="C153" s="23"/>
      <c r="D153" s="23"/>
      <c r="E153" s="24"/>
      <c r="F153" s="25"/>
      <c r="G153" s="25"/>
      <c r="H153" s="26"/>
      <c r="I153" s="26"/>
      <c r="J153" s="26"/>
      <c r="K153" s="26"/>
      <c r="L153" s="26"/>
      <c r="M153" s="26"/>
      <c r="N153" s="26"/>
      <c r="O153" s="27">
        <f>IF($B153&lt;&gt;"Challan","",H153+I153+J153+K153+L153+M153)</f>
      </c>
      <c r="P153" s="25"/>
      <c r="Q153" s="25"/>
      <c r="R153" s="25"/>
      <c r="S153" s="25"/>
      <c r="T153" s="25"/>
      <c r="U153" s="28"/>
      <c r="V153" s="28"/>
      <c r="W153" s="28"/>
      <c r="X153" s="29">
        <f>IF($B153&lt;&gt;"Entry","",IF(LEN(V153)&lt;4,"",IF(MID(V153,4,1)="P","Individual",IF(MID(V153,4,1)="H","HUF",IF(MID(V153,4,1)="C","Company",IF(MID(V153,4,1)="F","Firm",IF(MID(V153,4,1)="L","LLP",IF(MID(V153,4,1)="T","Trust",IF(MID(V153,4,1)="A","AOP",""))))))))</f>
      </c>
      <c r="Y153" s="28"/>
      <c r="Z153" s="30">
        <f>IF($B153&lt;&gt;"Entry","",IF(Y153="","",IF(W153="Y",SUMPRODUCT(('Rate Lookup'!$A$1:$A$32=Y153)*'Rate Lookup'!$D$1:$D$32),IF(OR(X153="Individual",X153="HUF"),SUMPRODUCT(('Rate Lookup'!$A$1:$A$32=Y153)*'Rate Lookup'!$B$1:$B$32),SUMPRODUCT(('Rate Lookup'!$A$1:$A$32=Y153)*'Rate Lookup'!$C$1:$C$32)))))</f>
      </c>
      <c r="AA153" s="31"/>
      <c r="AB153" s="32"/>
      <c r="AC153" s="27">
        <f>IF($B153&lt;&gt;"Entry","",ROUND(AB153*Z153/100,0))</f>
      </c>
      <c r="AD153" s="27">
        <f>IF($B153&lt;&gt;"Entry","",0)</f>
      </c>
      <c r="AE153" s="27">
        <f>IF($B153&lt;&gt;"Entry","",0)</f>
      </c>
      <c r="AF153" s="27">
        <f>IF($B153&lt;&gt;"Entry","",IF(OR(AC153=0,AA153="",AQ153="",AQ153&lt;=0),0,IF(AQ153&lt;=DATE(YEAR(AA153),MONTH(AA153)+1,7),0,ROUND(AC153*0.015*((YEAR(AQ153)-YEAR(AA153))*12+(MONTH(AQ153)-MONTH(AA153))+1),0))))</f>
      </c>
      <c r="AG153" s="27">
        <f>IF($B153&lt;&gt;"Entry","",0)</f>
      </c>
      <c r="AH153" s="28"/>
      <c r="AI153" s="28"/>
      <c r="AJ153" s="33"/>
      <c r="AK153" s="28"/>
      <c r="AL153" s="28"/>
      <c r="AM153" s="27">
        <f>IF($B153&lt;&gt;"Challan","",SUMIF($D$4:$D$207,D153,$AC$4:$AC$207)+SUMIF($D$4:$D$207,D153,$AF$4:$AF$207)+SUMIF($D$4:$D$207,D153,$AD$4:$AD$207))</f>
      </c>
      <c r="AN153" s="27">
        <f>IF($B153&lt;&gt;"Challan","",O153-M153)</f>
      </c>
      <c r="AO153" s="27">
        <f>IF($B153&lt;&gt;"Challan","",MAX(0,AN153-AM153))</f>
      </c>
      <c r="AP153" s="29">
        <f>IF($B153&lt;&gt;"Challan","",IF(ROUND(AM153-AN153,2)&gt;0,"Over-applied",IF(ROUND(AM153-AN153,2)=0,"Fully Utilised","Unconsumed")))</f>
      </c>
      <c r="AQ153" s="34">
        <f>IF($B153&lt;&gt;"Entry","",SUMPRODUCT(($D$4:$D$207=D153)*($B$4:$B$207="Challan")*$E$4:$E$207))</f>
      </c>
      <c r="AR153" s="35">
        <f>IF(OR($B153&lt;&gt;"Entry",Y153=""),FALSE,AND(SUMPRODUCT(($D$4:$D$207=D153)*($B$4:$B$207="Challan")*($G$4:$G$207&lt;&gt;""))&gt;0,SUMPRODUCT(($D$4:$D$207=D153)*($B$4:$B$207="Challan")*($G$4:$G$207=Y153))=0))</f>
      </c>
    </row>
    <row r="154" spans="1:44" x14ac:dyDescent="0.25">
      <c r="A154" s="21">
        <f>IF($B154="Entry",COUNTIF($B$4:$B154,"Entry"),"")</f>
      </c>
      <c r="B154" s="22"/>
      <c r="C154" s="23"/>
      <c r="D154" s="23"/>
      <c r="E154" s="24"/>
      <c r="F154" s="25"/>
      <c r="G154" s="25"/>
      <c r="H154" s="26"/>
      <c r="I154" s="26"/>
      <c r="J154" s="26"/>
      <c r="K154" s="26"/>
      <c r="L154" s="26"/>
      <c r="M154" s="26"/>
      <c r="N154" s="26"/>
      <c r="O154" s="27">
        <f>IF($B154&lt;&gt;"Challan","",H154+I154+J154+K154+L154+M154)</f>
      </c>
      <c r="P154" s="25"/>
      <c r="Q154" s="25"/>
      <c r="R154" s="25"/>
      <c r="S154" s="25"/>
      <c r="T154" s="25"/>
      <c r="U154" s="28"/>
      <c r="V154" s="28"/>
      <c r="W154" s="28"/>
      <c r="X154" s="29">
        <f>IF($B154&lt;&gt;"Entry","",IF(LEN(V154)&lt;4,"",IF(MID(V154,4,1)="P","Individual",IF(MID(V154,4,1)="H","HUF",IF(MID(V154,4,1)="C","Company",IF(MID(V154,4,1)="F","Firm",IF(MID(V154,4,1)="L","LLP",IF(MID(V154,4,1)="T","Trust",IF(MID(V154,4,1)="A","AOP",""))))))))</f>
      </c>
      <c r="Y154" s="28"/>
      <c r="Z154" s="30">
        <f>IF($B154&lt;&gt;"Entry","",IF(Y154="","",IF(W154="Y",SUMPRODUCT(('Rate Lookup'!$A$1:$A$32=Y154)*'Rate Lookup'!$D$1:$D$32),IF(OR(X154="Individual",X154="HUF"),SUMPRODUCT(('Rate Lookup'!$A$1:$A$32=Y154)*'Rate Lookup'!$B$1:$B$32),SUMPRODUCT(('Rate Lookup'!$A$1:$A$32=Y154)*'Rate Lookup'!$C$1:$C$32)))))</f>
      </c>
      <c r="AA154" s="31"/>
      <c r="AB154" s="32"/>
      <c r="AC154" s="27">
        <f>IF($B154&lt;&gt;"Entry","",ROUND(AB154*Z154/100,0))</f>
      </c>
      <c r="AD154" s="27">
        <f>IF($B154&lt;&gt;"Entry","",0)</f>
      </c>
      <c r="AE154" s="27">
        <f>IF($B154&lt;&gt;"Entry","",0)</f>
      </c>
      <c r="AF154" s="27">
        <f>IF($B154&lt;&gt;"Entry","",IF(OR(AC154=0,AA154="",AQ154="",AQ154&lt;=0),0,IF(AQ154&lt;=DATE(YEAR(AA154),MONTH(AA154)+1,7),0,ROUND(AC154*0.015*((YEAR(AQ154)-YEAR(AA154))*12+(MONTH(AQ154)-MONTH(AA154))+1),0))))</f>
      </c>
      <c r="AG154" s="27">
        <f>IF($B154&lt;&gt;"Entry","",0)</f>
      </c>
      <c r="AH154" s="28"/>
      <c r="AI154" s="28"/>
      <c r="AJ154" s="33"/>
      <c r="AK154" s="28"/>
      <c r="AL154" s="28"/>
      <c r="AM154" s="27">
        <f>IF($B154&lt;&gt;"Challan","",SUMIF($D$4:$D$207,D154,$AC$4:$AC$207)+SUMIF($D$4:$D$207,D154,$AF$4:$AF$207)+SUMIF($D$4:$D$207,D154,$AD$4:$AD$207))</f>
      </c>
      <c r="AN154" s="27">
        <f>IF($B154&lt;&gt;"Challan","",O154-M154)</f>
      </c>
      <c r="AO154" s="27">
        <f>IF($B154&lt;&gt;"Challan","",MAX(0,AN154-AM154))</f>
      </c>
      <c r="AP154" s="29">
        <f>IF($B154&lt;&gt;"Challan","",IF(ROUND(AM154-AN154,2)&gt;0,"Over-applied",IF(ROUND(AM154-AN154,2)=0,"Fully Utilised","Unconsumed")))</f>
      </c>
      <c r="AQ154" s="34">
        <f>IF($B154&lt;&gt;"Entry","",SUMPRODUCT(($D$4:$D$207=D154)*($B$4:$B$207="Challan")*$E$4:$E$207))</f>
      </c>
      <c r="AR154" s="35">
        <f>IF(OR($B154&lt;&gt;"Entry",Y154=""),FALSE,AND(SUMPRODUCT(($D$4:$D$207=D154)*($B$4:$B$207="Challan")*($G$4:$G$207&lt;&gt;""))&gt;0,SUMPRODUCT(($D$4:$D$207=D154)*($B$4:$B$207="Challan")*($G$4:$G$207=Y154))=0))</f>
      </c>
    </row>
    <row r="155" spans="1:44" x14ac:dyDescent="0.25">
      <c r="A155" s="21">
        <f>IF($B155="Entry",COUNTIF($B$4:$B155,"Entry"),"")</f>
      </c>
      <c r="B155" s="22"/>
      <c r="C155" s="23"/>
      <c r="D155" s="23"/>
      <c r="E155" s="24"/>
      <c r="F155" s="25"/>
      <c r="G155" s="25"/>
      <c r="H155" s="26"/>
      <c r="I155" s="26"/>
      <c r="J155" s="26"/>
      <c r="K155" s="26"/>
      <c r="L155" s="26"/>
      <c r="M155" s="26"/>
      <c r="N155" s="26"/>
      <c r="O155" s="27">
        <f>IF($B155&lt;&gt;"Challan","",H155+I155+J155+K155+L155+M155)</f>
      </c>
      <c r="P155" s="25"/>
      <c r="Q155" s="25"/>
      <c r="R155" s="25"/>
      <c r="S155" s="25"/>
      <c r="T155" s="25"/>
      <c r="U155" s="28"/>
      <c r="V155" s="28"/>
      <c r="W155" s="28"/>
      <c r="X155" s="29">
        <f>IF($B155&lt;&gt;"Entry","",IF(LEN(V155)&lt;4,"",IF(MID(V155,4,1)="P","Individual",IF(MID(V155,4,1)="H","HUF",IF(MID(V155,4,1)="C","Company",IF(MID(V155,4,1)="F","Firm",IF(MID(V155,4,1)="L","LLP",IF(MID(V155,4,1)="T","Trust",IF(MID(V155,4,1)="A","AOP",""))))))))</f>
      </c>
      <c r="Y155" s="28"/>
      <c r="Z155" s="30">
        <f>IF($B155&lt;&gt;"Entry","",IF(Y155="","",IF(W155="Y",SUMPRODUCT(('Rate Lookup'!$A$1:$A$32=Y155)*'Rate Lookup'!$D$1:$D$32),IF(OR(X155="Individual",X155="HUF"),SUMPRODUCT(('Rate Lookup'!$A$1:$A$32=Y155)*'Rate Lookup'!$B$1:$B$32),SUMPRODUCT(('Rate Lookup'!$A$1:$A$32=Y155)*'Rate Lookup'!$C$1:$C$32)))))</f>
      </c>
      <c r="AA155" s="31"/>
      <c r="AB155" s="32"/>
      <c r="AC155" s="27">
        <f>IF($B155&lt;&gt;"Entry","",ROUND(AB155*Z155/100,0))</f>
      </c>
      <c r="AD155" s="27">
        <f>IF($B155&lt;&gt;"Entry","",0)</f>
      </c>
      <c r="AE155" s="27">
        <f>IF($B155&lt;&gt;"Entry","",0)</f>
      </c>
      <c r="AF155" s="27">
        <f>IF($B155&lt;&gt;"Entry","",IF(OR(AC155=0,AA155="",AQ155="",AQ155&lt;=0),0,IF(AQ155&lt;=DATE(YEAR(AA155),MONTH(AA155)+1,7),0,ROUND(AC155*0.015*((YEAR(AQ155)-YEAR(AA155))*12+(MONTH(AQ155)-MONTH(AA155))+1),0))))</f>
      </c>
      <c r="AG155" s="27">
        <f>IF($B155&lt;&gt;"Entry","",0)</f>
      </c>
      <c r="AH155" s="28"/>
      <c r="AI155" s="28"/>
      <c r="AJ155" s="33"/>
      <c r="AK155" s="28"/>
      <c r="AL155" s="28"/>
      <c r="AM155" s="27">
        <f>IF($B155&lt;&gt;"Challan","",SUMIF($D$4:$D$207,D155,$AC$4:$AC$207)+SUMIF($D$4:$D$207,D155,$AF$4:$AF$207)+SUMIF($D$4:$D$207,D155,$AD$4:$AD$207))</f>
      </c>
      <c r="AN155" s="27">
        <f>IF($B155&lt;&gt;"Challan","",O155-M155)</f>
      </c>
      <c r="AO155" s="27">
        <f>IF($B155&lt;&gt;"Challan","",MAX(0,AN155-AM155))</f>
      </c>
      <c r="AP155" s="29">
        <f>IF($B155&lt;&gt;"Challan","",IF(ROUND(AM155-AN155,2)&gt;0,"Over-applied",IF(ROUND(AM155-AN155,2)=0,"Fully Utilised","Unconsumed")))</f>
      </c>
      <c r="AQ155" s="34">
        <f>IF($B155&lt;&gt;"Entry","",SUMPRODUCT(($D$4:$D$207=D155)*($B$4:$B$207="Challan")*$E$4:$E$207))</f>
      </c>
      <c r="AR155" s="35">
        <f>IF(OR($B155&lt;&gt;"Entry",Y155=""),FALSE,AND(SUMPRODUCT(($D$4:$D$207=D155)*($B$4:$B$207="Challan")*($G$4:$G$207&lt;&gt;""))&gt;0,SUMPRODUCT(($D$4:$D$207=D155)*($B$4:$B$207="Challan")*($G$4:$G$207=Y155))=0))</f>
      </c>
    </row>
    <row r="156" spans="1:44" x14ac:dyDescent="0.25">
      <c r="A156" s="21">
        <f>IF($B156="Entry",COUNTIF($B$4:$B156,"Entry"),"")</f>
      </c>
      <c r="B156" s="22"/>
      <c r="C156" s="23"/>
      <c r="D156" s="23"/>
      <c r="E156" s="24"/>
      <c r="F156" s="25"/>
      <c r="G156" s="25"/>
      <c r="H156" s="26"/>
      <c r="I156" s="26"/>
      <c r="J156" s="26"/>
      <c r="K156" s="26"/>
      <c r="L156" s="26"/>
      <c r="M156" s="26"/>
      <c r="N156" s="26"/>
      <c r="O156" s="27">
        <f>IF($B156&lt;&gt;"Challan","",H156+I156+J156+K156+L156+M156)</f>
      </c>
      <c r="P156" s="25"/>
      <c r="Q156" s="25"/>
      <c r="R156" s="25"/>
      <c r="S156" s="25"/>
      <c r="T156" s="25"/>
      <c r="U156" s="28"/>
      <c r="V156" s="28"/>
      <c r="W156" s="28"/>
      <c r="X156" s="29">
        <f>IF($B156&lt;&gt;"Entry","",IF(LEN(V156)&lt;4,"",IF(MID(V156,4,1)="P","Individual",IF(MID(V156,4,1)="H","HUF",IF(MID(V156,4,1)="C","Company",IF(MID(V156,4,1)="F","Firm",IF(MID(V156,4,1)="L","LLP",IF(MID(V156,4,1)="T","Trust",IF(MID(V156,4,1)="A","AOP",""))))))))</f>
      </c>
      <c r="Y156" s="28"/>
      <c r="Z156" s="30">
        <f>IF($B156&lt;&gt;"Entry","",IF(Y156="","",IF(W156="Y",SUMPRODUCT(('Rate Lookup'!$A$1:$A$32=Y156)*'Rate Lookup'!$D$1:$D$32),IF(OR(X156="Individual",X156="HUF"),SUMPRODUCT(('Rate Lookup'!$A$1:$A$32=Y156)*'Rate Lookup'!$B$1:$B$32),SUMPRODUCT(('Rate Lookup'!$A$1:$A$32=Y156)*'Rate Lookup'!$C$1:$C$32)))))</f>
      </c>
      <c r="AA156" s="31"/>
      <c r="AB156" s="32"/>
      <c r="AC156" s="27">
        <f>IF($B156&lt;&gt;"Entry","",ROUND(AB156*Z156/100,0))</f>
      </c>
      <c r="AD156" s="27">
        <f>IF($B156&lt;&gt;"Entry","",0)</f>
      </c>
      <c r="AE156" s="27">
        <f>IF($B156&lt;&gt;"Entry","",0)</f>
      </c>
      <c r="AF156" s="27">
        <f>IF($B156&lt;&gt;"Entry","",IF(OR(AC156=0,AA156="",AQ156="",AQ156&lt;=0),0,IF(AQ156&lt;=DATE(YEAR(AA156),MONTH(AA156)+1,7),0,ROUND(AC156*0.015*((YEAR(AQ156)-YEAR(AA156))*12+(MONTH(AQ156)-MONTH(AA156))+1),0))))</f>
      </c>
      <c r="AG156" s="27">
        <f>IF($B156&lt;&gt;"Entry","",0)</f>
      </c>
      <c r="AH156" s="28"/>
      <c r="AI156" s="28"/>
      <c r="AJ156" s="33"/>
      <c r="AK156" s="28"/>
      <c r="AL156" s="28"/>
      <c r="AM156" s="27">
        <f>IF($B156&lt;&gt;"Challan","",SUMIF($D$4:$D$207,D156,$AC$4:$AC$207)+SUMIF($D$4:$D$207,D156,$AF$4:$AF$207)+SUMIF($D$4:$D$207,D156,$AD$4:$AD$207))</f>
      </c>
      <c r="AN156" s="27">
        <f>IF($B156&lt;&gt;"Challan","",O156-M156)</f>
      </c>
      <c r="AO156" s="27">
        <f>IF($B156&lt;&gt;"Challan","",MAX(0,AN156-AM156))</f>
      </c>
      <c r="AP156" s="29">
        <f>IF($B156&lt;&gt;"Challan","",IF(ROUND(AM156-AN156,2)&gt;0,"Over-applied",IF(ROUND(AM156-AN156,2)=0,"Fully Utilised","Unconsumed")))</f>
      </c>
      <c r="AQ156" s="34">
        <f>IF($B156&lt;&gt;"Entry","",SUMPRODUCT(($D$4:$D$207=D156)*($B$4:$B$207="Challan")*$E$4:$E$207))</f>
      </c>
      <c r="AR156" s="35">
        <f>IF(OR($B156&lt;&gt;"Entry",Y156=""),FALSE,AND(SUMPRODUCT(($D$4:$D$207=D156)*($B$4:$B$207="Challan")*($G$4:$G$207&lt;&gt;""))&gt;0,SUMPRODUCT(($D$4:$D$207=D156)*($B$4:$B$207="Challan")*($G$4:$G$207=Y156))=0))</f>
      </c>
    </row>
    <row r="157" spans="1:44" x14ac:dyDescent="0.25">
      <c r="A157" s="21">
        <f>IF($B157="Entry",COUNTIF($B$4:$B157,"Entry"),"")</f>
      </c>
      <c r="B157" s="22"/>
      <c r="C157" s="23"/>
      <c r="D157" s="23"/>
      <c r="E157" s="24"/>
      <c r="F157" s="25"/>
      <c r="G157" s="25"/>
      <c r="H157" s="26"/>
      <c r="I157" s="26"/>
      <c r="J157" s="26"/>
      <c r="K157" s="26"/>
      <c r="L157" s="26"/>
      <c r="M157" s="26"/>
      <c r="N157" s="26"/>
      <c r="O157" s="27">
        <f>IF($B157&lt;&gt;"Challan","",H157+I157+J157+K157+L157+M157)</f>
      </c>
      <c r="P157" s="25"/>
      <c r="Q157" s="25"/>
      <c r="R157" s="25"/>
      <c r="S157" s="25"/>
      <c r="T157" s="25"/>
      <c r="U157" s="28"/>
      <c r="V157" s="28"/>
      <c r="W157" s="28"/>
      <c r="X157" s="29">
        <f>IF($B157&lt;&gt;"Entry","",IF(LEN(V157)&lt;4,"",IF(MID(V157,4,1)="P","Individual",IF(MID(V157,4,1)="H","HUF",IF(MID(V157,4,1)="C","Company",IF(MID(V157,4,1)="F","Firm",IF(MID(V157,4,1)="L","LLP",IF(MID(V157,4,1)="T","Trust",IF(MID(V157,4,1)="A","AOP",""))))))))</f>
      </c>
      <c r="Y157" s="28"/>
      <c r="Z157" s="30">
        <f>IF($B157&lt;&gt;"Entry","",IF(Y157="","",IF(W157="Y",SUMPRODUCT(('Rate Lookup'!$A$1:$A$32=Y157)*'Rate Lookup'!$D$1:$D$32),IF(OR(X157="Individual",X157="HUF"),SUMPRODUCT(('Rate Lookup'!$A$1:$A$32=Y157)*'Rate Lookup'!$B$1:$B$32),SUMPRODUCT(('Rate Lookup'!$A$1:$A$32=Y157)*'Rate Lookup'!$C$1:$C$32)))))</f>
      </c>
      <c r="AA157" s="31"/>
      <c r="AB157" s="32"/>
      <c r="AC157" s="27">
        <f>IF($B157&lt;&gt;"Entry","",ROUND(AB157*Z157/100,0))</f>
      </c>
      <c r="AD157" s="27">
        <f>IF($B157&lt;&gt;"Entry","",0)</f>
      </c>
      <c r="AE157" s="27">
        <f>IF($B157&lt;&gt;"Entry","",0)</f>
      </c>
      <c r="AF157" s="27">
        <f>IF($B157&lt;&gt;"Entry","",IF(OR(AC157=0,AA157="",AQ157="",AQ157&lt;=0),0,IF(AQ157&lt;=DATE(YEAR(AA157),MONTH(AA157)+1,7),0,ROUND(AC157*0.015*((YEAR(AQ157)-YEAR(AA157))*12+(MONTH(AQ157)-MONTH(AA157))+1),0))))</f>
      </c>
      <c r="AG157" s="27">
        <f>IF($B157&lt;&gt;"Entry","",0)</f>
      </c>
      <c r="AH157" s="28"/>
      <c r="AI157" s="28"/>
      <c r="AJ157" s="33"/>
      <c r="AK157" s="28"/>
      <c r="AL157" s="28"/>
      <c r="AM157" s="27">
        <f>IF($B157&lt;&gt;"Challan","",SUMIF($D$4:$D$207,D157,$AC$4:$AC$207)+SUMIF($D$4:$D$207,D157,$AF$4:$AF$207)+SUMIF($D$4:$D$207,D157,$AD$4:$AD$207))</f>
      </c>
      <c r="AN157" s="27">
        <f>IF($B157&lt;&gt;"Challan","",O157-M157)</f>
      </c>
      <c r="AO157" s="27">
        <f>IF($B157&lt;&gt;"Challan","",MAX(0,AN157-AM157))</f>
      </c>
      <c r="AP157" s="29">
        <f>IF($B157&lt;&gt;"Challan","",IF(ROUND(AM157-AN157,2)&gt;0,"Over-applied",IF(ROUND(AM157-AN157,2)=0,"Fully Utilised","Unconsumed")))</f>
      </c>
      <c r="AQ157" s="34">
        <f>IF($B157&lt;&gt;"Entry","",SUMPRODUCT(($D$4:$D$207=D157)*($B$4:$B$207="Challan")*$E$4:$E$207))</f>
      </c>
      <c r="AR157" s="35">
        <f>IF(OR($B157&lt;&gt;"Entry",Y157=""),FALSE,AND(SUMPRODUCT(($D$4:$D$207=D157)*($B$4:$B$207="Challan")*($G$4:$G$207&lt;&gt;""))&gt;0,SUMPRODUCT(($D$4:$D$207=D157)*($B$4:$B$207="Challan")*($G$4:$G$207=Y157))=0))</f>
      </c>
    </row>
    <row r="158" spans="1:44" x14ac:dyDescent="0.25">
      <c r="A158" s="21">
        <f>IF($B158="Entry",COUNTIF($B$4:$B158,"Entry"),"")</f>
      </c>
      <c r="B158" s="22"/>
      <c r="C158" s="23"/>
      <c r="D158" s="23"/>
      <c r="E158" s="24"/>
      <c r="F158" s="25"/>
      <c r="G158" s="25"/>
      <c r="H158" s="26"/>
      <c r="I158" s="26"/>
      <c r="J158" s="26"/>
      <c r="K158" s="26"/>
      <c r="L158" s="26"/>
      <c r="M158" s="26"/>
      <c r="N158" s="26"/>
      <c r="O158" s="27">
        <f>IF($B158&lt;&gt;"Challan","",H158+I158+J158+K158+L158+M158)</f>
      </c>
      <c r="P158" s="25"/>
      <c r="Q158" s="25"/>
      <c r="R158" s="25"/>
      <c r="S158" s="25"/>
      <c r="T158" s="25"/>
      <c r="U158" s="28"/>
      <c r="V158" s="28"/>
      <c r="W158" s="28"/>
      <c r="X158" s="29">
        <f>IF($B158&lt;&gt;"Entry","",IF(LEN(V158)&lt;4,"",IF(MID(V158,4,1)="P","Individual",IF(MID(V158,4,1)="H","HUF",IF(MID(V158,4,1)="C","Company",IF(MID(V158,4,1)="F","Firm",IF(MID(V158,4,1)="L","LLP",IF(MID(V158,4,1)="T","Trust",IF(MID(V158,4,1)="A","AOP",""))))))))</f>
      </c>
      <c r="Y158" s="28"/>
      <c r="Z158" s="30">
        <f>IF($B158&lt;&gt;"Entry","",IF(Y158="","",IF(W158="Y",SUMPRODUCT(('Rate Lookup'!$A$1:$A$32=Y158)*'Rate Lookup'!$D$1:$D$32),IF(OR(X158="Individual",X158="HUF"),SUMPRODUCT(('Rate Lookup'!$A$1:$A$32=Y158)*'Rate Lookup'!$B$1:$B$32),SUMPRODUCT(('Rate Lookup'!$A$1:$A$32=Y158)*'Rate Lookup'!$C$1:$C$32)))))</f>
      </c>
      <c r="AA158" s="31"/>
      <c r="AB158" s="32"/>
      <c r="AC158" s="27">
        <f>IF($B158&lt;&gt;"Entry","",ROUND(AB158*Z158/100,0))</f>
      </c>
      <c r="AD158" s="27">
        <f>IF($B158&lt;&gt;"Entry","",0)</f>
      </c>
      <c r="AE158" s="27">
        <f>IF($B158&lt;&gt;"Entry","",0)</f>
      </c>
      <c r="AF158" s="27">
        <f>IF($B158&lt;&gt;"Entry","",IF(OR(AC158=0,AA158="",AQ158="",AQ158&lt;=0),0,IF(AQ158&lt;=DATE(YEAR(AA158),MONTH(AA158)+1,7),0,ROUND(AC158*0.015*((YEAR(AQ158)-YEAR(AA158))*12+(MONTH(AQ158)-MONTH(AA158))+1),0))))</f>
      </c>
      <c r="AG158" s="27">
        <f>IF($B158&lt;&gt;"Entry","",0)</f>
      </c>
      <c r="AH158" s="28"/>
      <c r="AI158" s="28"/>
      <c r="AJ158" s="33"/>
      <c r="AK158" s="28"/>
      <c r="AL158" s="28"/>
      <c r="AM158" s="27">
        <f>IF($B158&lt;&gt;"Challan","",SUMIF($D$4:$D$207,D158,$AC$4:$AC$207)+SUMIF($D$4:$D$207,D158,$AF$4:$AF$207)+SUMIF($D$4:$D$207,D158,$AD$4:$AD$207))</f>
      </c>
      <c r="AN158" s="27">
        <f>IF($B158&lt;&gt;"Challan","",O158-M158)</f>
      </c>
      <c r="AO158" s="27">
        <f>IF($B158&lt;&gt;"Challan","",MAX(0,AN158-AM158))</f>
      </c>
      <c r="AP158" s="29">
        <f>IF($B158&lt;&gt;"Challan","",IF(ROUND(AM158-AN158,2)&gt;0,"Over-applied",IF(ROUND(AM158-AN158,2)=0,"Fully Utilised","Unconsumed")))</f>
      </c>
      <c r="AQ158" s="34">
        <f>IF($B158&lt;&gt;"Entry","",SUMPRODUCT(($D$4:$D$207=D158)*($B$4:$B$207="Challan")*$E$4:$E$207))</f>
      </c>
      <c r="AR158" s="35">
        <f>IF(OR($B158&lt;&gt;"Entry",Y158=""),FALSE,AND(SUMPRODUCT(($D$4:$D$207=D158)*($B$4:$B$207="Challan")*($G$4:$G$207&lt;&gt;""))&gt;0,SUMPRODUCT(($D$4:$D$207=D158)*($B$4:$B$207="Challan")*($G$4:$G$207=Y158))=0))</f>
      </c>
    </row>
    <row r="159" spans="1:44" x14ac:dyDescent="0.25">
      <c r="A159" s="21">
        <f>IF($B159="Entry",COUNTIF($B$4:$B159,"Entry"),"")</f>
      </c>
      <c r="B159" s="22"/>
      <c r="C159" s="23"/>
      <c r="D159" s="23"/>
      <c r="E159" s="24"/>
      <c r="F159" s="25"/>
      <c r="G159" s="25"/>
      <c r="H159" s="26"/>
      <c r="I159" s="26"/>
      <c r="J159" s="26"/>
      <c r="K159" s="26"/>
      <c r="L159" s="26"/>
      <c r="M159" s="26"/>
      <c r="N159" s="26"/>
      <c r="O159" s="27">
        <f>IF($B159&lt;&gt;"Challan","",H159+I159+J159+K159+L159+M159)</f>
      </c>
      <c r="P159" s="25"/>
      <c r="Q159" s="25"/>
      <c r="R159" s="25"/>
      <c r="S159" s="25"/>
      <c r="T159" s="25"/>
      <c r="U159" s="28"/>
      <c r="V159" s="28"/>
      <c r="W159" s="28"/>
      <c r="X159" s="29">
        <f>IF($B159&lt;&gt;"Entry","",IF(LEN(V159)&lt;4,"",IF(MID(V159,4,1)="P","Individual",IF(MID(V159,4,1)="H","HUF",IF(MID(V159,4,1)="C","Company",IF(MID(V159,4,1)="F","Firm",IF(MID(V159,4,1)="L","LLP",IF(MID(V159,4,1)="T","Trust",IF(MID(V159,4,1)="A","AOP",""))))))))</f>
      </c>
      <c r="Y159" s="28"/>
      <c r="Z159" s="30">
        <f>IF($B159&lt;&gt;"Entry","",IF(Y159="","",IF(W159="Y",SUMPRODUCT(('Rate Lookup'!$A$1:$A$32=Y159)*'Rate Lookup'!$D$1:$D$32),IF(OR(X159="Individual",X159="HUF"),SUMPRODUCT(('Rate Lookup'!$A$1:$A$32=Y159)*'Rate Lookup'!$B$1:$B$32),SUMPRODUCT(('Rate Lookup'!$A$1:$A$32=Y159)*'Rate Lookup'!$C$1:$C$32)))))</f>
      </c>
      <c r="AA159" s="31"/>
      <c r="AB159" s="32"/>
      <c r="AC159" s="27">
        <f>IF($B159&lt;&gt;"Entry","",ROUND(AB159*Z159/100,0))</f>
      </c>
      <c r="AD159" s="27">
        <f>IF($B159&lt;&gt;"Entry","",0)</f>
      </c>
      <c r="AE159" s="27">
        <f>IF($B159&lt;&gt;"Entry","",0)</f>
      </c>
      <c r="AF159" s="27">
        <f>IF($B159&lt;&gt;"Entry","",IF(OR(AC159=0,AA159="",AQ159="",AQ159&lt;=0),0,IF(AQ159&lt;=DATE(YEAR(AA159),MONTH(AA159)+1,7),0,ROUND(AC159*0.015*((YEAR(AQ159)-YEAR(AA159))*12+(MONTH(AQ159)-MONTH(AA159))+1),0))))</f>
      </c>
      <c r="AG159" s="27">
        <f>IF($B159&lt;&gt;"Entry","",0)</f>
      </c>
      <c r="AH159" s="28"/>
      <c r="AI159" s="28"/>
      <c r="AJ159" s="33"/>
      <c r="AK159" s="28"/>
      <c r="AL159" s="28"/>
      <c r="AM159" s="27">
        <f>IF($B159&lt;&gt;"Challan","",SUMIF($D$4:$D$207,D159,$AC$4:$AC$207)+SUMIF($D$4:$D$207,D159,$AF$4:$AF$207)+SUMIF($D$4:$D$207,D159,$AD$4:$AD$207))</f>
      </c>
      <c r="AN159" s="27">
        <f>IF($B159&lt;&gt;"Challan","",O159-M159)</f>
      </c>
      <c r="AO159" s="27">
        <f>IF($B159&lt;&gt;"Challan","",MAX(0,AN159-AM159))</f>
      </c>
      <c r="AP159" s="29">
        <f>IF($B159&lt;&gt;"Challan","",IF(ROUND(AM159-AN159,2)&gt;0,"Over-applied",IF(ROUND(AM159-AN159,2)=0,"Fully Utilised","Unconsumed")))</f>
      </c>
      <c r="AQ159" s="34">
        <f>IF($B159&lt;&gt;"Entry","",SUMPRODUCT(($D$4:$D$207=D159)*($B$4:$B$207="Challan")*$E$4:$E$207))</f>
      </c>
      <c r="AR159" s="35">
        <f>IF(OR($B159&lt;&gt;"Entry",Y159=""),FALSE,AND(SUMPRODUCT(($D$4:$D$207=D159)*($B$4:$B$207="Challan")*($G$4:$G$207&lt;&gt;""))&gt;0,SUMPRODUCT(($D$4:$D$207=D159)*($B$4:$B$207="Challan")*($G$4:$G$207=Y159))=0))</f>
      </c>
    </row>
    <row r="160" spans="1:44" x14ac:dyDescent="0.25">
      <c r="A160" s="21">
        <f>IF($B160="Entry",COUNTIF($B$4:$B160,"Entry"),"")</f>
      </c>
      <c r="B160" s="22"/>
      <c r="C160" s="23"/>
      <c r="D160" s="23"/>
      <c r="E160" s="24"/>
      <c r="F160" s="25"/>
      <c r="G160" s="25"/>
      <c r="H160" s="26"/>
      <c r="I160" s="26"/>
      <c r="J160" s="26"/>
      <c r="K160" s="26"/>
      <c r="L160" s="26"/>
      <c r="M160" s="26"/>
      <c r="N160" s="26"/>
      <c r="O160" s="27">
        <f>IF($B160&lt;&gt;"Challan","",H160+I160+J160+K160+L160+M160)</f>
      </c>
      <c r="P160" s="25"/>
      <c r="Q160" s="25"/>
      <c r="R160" s="25"/>
      <c r="S160" s="25"/>
      <c r="T160" s="25"/>
      <c r="U160" s="28"/>
      <c r="V160" s="28"/>
      <c r="W160" s="28"/>
      <c r="X160" s="29">
        <f>IF($B160&lt;&gt;"Entry","",IF(LEN(V160)&lt;4,"",IF(MID(V160,4,1)="P","Individual",IF(MID(V160,4,1)="H","HUF",IF(MID(V160,4,1)="C","Company",IF(MID(V160,4,1)="F","Firm",IF(MID(V160,4,1)="L","LLP",IF(MID(V160,4,1)="T","Trust",IF(MID(V160,4,1)="A","AOP",""))))))))</f>
      </c>
      <c r="Y160" s="28"/>
      <c r="Z160" s="30">
        <f>IF($B160&lt;&gt;"Entry","",IF(Y160="","",IF(W160="Y",SUMPRODUCT(('Rate Lookup'!$A$1:$A$32=Y160)*'Rate Lookup'!$D$1:$D$32),IF(OR(X160="Individual",X160="HUF"),SUMPRODUCT(('Rate Lookup'!$A$1:$A$32=Y160)*'Rate Lookup'!$B$1:$B$32),SUMPRODUCT(('Rate Lookup'!$A$1:$A$32=Y160)*'Rate Lookup'!$C$1:$C$32)))))</f>
      </c>
      <c r="AA160" s="31"/>
      <c r="AB160" s="32"/>
      <c r="AC160" s="27">
        <f>IF($B160&lt;&gt;"Entry","",ROUND(AB160*Z160/100,0))</f>
      </c>
      <c r="AD160" s="27">
        <f>IF($B160&lt;&gt;"Entry","",0)</f>
      </c>
      <c r="AE160" s="27">
        <f>IF($B160&lt;&gt;"Entry","",0)</f>
      </c>
      <c r="AF160" s="27">
        <f>IF($B160&lt;&gt;"Entry","",IF(OR(AC160=0,AA160="",AQ160="",AQ160&lt;=0),0,IF(AQ160&lt;=DATE(YEAR(AA160),MONTH(AA160)+1,7),0,ROUND(AC160*0.015*((YEAR(AQ160)-YEAR(AA160))*12+(MONTH(AQ160)-MONTH(AA160))+1),0))))</f>
      </c>
      <c r="AG160" s="27">
        <f>IF($B160&lt;&gt;"Entry","",0)</f>
      </c>
      <c r="AH160" s="28"/>
      <c r="AI160" s="28"/>
      <c r="AJ160" s="33"/>
      <c r="AK160" s="28"/>
      <c r="AL160" s="28"/>
      <c r="AM160" s="27">
        <f>IF($B160&lt;&gt;"Challan","",SUMIF($D$4:$D$207,D160,$AC$4:$AC$207)+SUMIF($D$4:$D$207,D160,$AF$4:$AF$207)+SUMIF($D$4:$D$207,D160,$AD$4:$AD$207))</f>
      </c>
      <c r="AN160" s="27">
        <f>IF($B160&lt;&gt;"Challan","",O160-M160)</f>
      </c>
      <c r="AO160" s="27">
        <f>IF($B160&lt;&gt;"Challan","",MAX(0,AN160-AM160))</f>
      </c>
      <c r="AP160" s="29">
        <f>IF($B160&lt;&gt;"Challan","",IF(ROUND(AM160-AN160,2)&gt;0,"Over-applied",IF(ROUND(AM160-AN160,2)=0,"Fully Utilised","Unconsumed")))</f>
      </c>
      <c r="AQ160" s="34">
        <f>IF($B160&lt;&gt;"Entry","",SUMPRODUCT(($D$4:$D$207=D160)*($B$4:$B$207="Challan")*$E$4:$E$207))</f>
      </c>
      <c r="AR160" s="35">
        <f>IF(OR($B160&lt;&gt;"Entry",Y160=""),FALSE,AND(SUMPRODUCT(($D$4:$D$207=D160)*($B$4:$B$207="Challan")*($G$4:$G$207&lt;&gt;""))&gt;0,SUMPRODUCT(($D$4:$D$207=D160)*($B$4:$B$207="Challan")*($G$4:$G$207=Y160))=0))</f>
      </c>
    </row>
    <row r="161" spans="1:44" x14ac:dyDescent="0.25">
      <c r="A161" s="21">
        <f>IF($B161="Entry",COUNTIF($B$4:$B161,"Entry"),"")</f>
      </c>
      <c r="B161" s="22"/>
      <c r="C161" s="23"/>
      <c r="D161" s="23"/>
      <c r="E161" s="24"/>
      <c r="F161" s="25"/>
      <c r="G161" s="25"/>
      <c r="H161" s="26"/>
      <c r="I161" s="26"/>
      <c r="J161" s="26"/>
      <c r="K161" s="26"/>
      <c r="L161" s="26"/>
      <c r="M161" s="26"/>
      <c r="N161" s="26"/>
      <c r="O161" s="27">
        <f>IF($B161&lt;&gt;"Challan","",H161+I161+J161+K161+L161+M161)</f>
      </c>
      <c r="P161" s="25"/>
      <c r="Q161" s="25"/>
      <c r="R161" s="25"/>
      <c r="S161" s="25"/>
      <c r="T161" s="25"/>
      <c r="U161" s="28"/>
      <c r="V161" s="28"/>
      <c r="W161" s="28"/>
      <c r="X161" s="29">
        <f>IF($B161&lt;&gt;"Entry","",IF(LEN(V161)&lt;4,"",IF(MID(V161,4,1)="P","Individual",IF(MID(V161,4,1)="H","HUF",IF(MID(V161,4,1)="C","Company",IF(MID(V161,4,1)="F","Firm",IF(MID(V161,4,1)="L","LLP",IF(MID(V161,4,1)="T","Trust",IF(MID(V161,4,1)="A","AOP",""))))))))</f>
      </c>
      <c r="Y161" s="28"/>
      <c r="Z161" s="30">
        <f>IF($B161&lt;&gt;"Entry","",IF(Y161="","",IF(W161="Y",SUMPRODUCT(('Rate Lookup'!$A$1:$A$32=Y161)*'Rate Lookup'!$D$1:$D$32),IF(OR(X161="Individual",X161="HUF"),SUMPRODUCT(('Rate Lookup'!$A$1:$A$32=Y161)*'Rate Lookup'!$B$1:$B$32),SUMPRODUCT(('Rate Lookup'!$A$1:$A$32=Y161)*'Rate Lookup'!$C$1:$C$32)))))</f>
      </c>
      <c r="AA161" s="31"/>
      <c r="AB161" s="32"/>
      <c r="AC161" s="27">
        <f>IF($B161&lt;&gt;"Entry","",ROUND(AB161*Z161/100,0))</f>
      </c>
      <c r="AD161" s="27">
        <f>IF($B161&lt;&gt;"Entry","",0)</f>
      </c>
      <c r="AE161" s="27">
        <f>IF($B161&lt;&gt;"Entry","",0)</f>
      </c>
      <c r="AF161" s="27">
        <f>IF($B161&lt;&gt;"Entry","",IF(OR(AC161=0,AA161="",AQ161="",AQ161&lt;=0),0,IF(AQ161&lt;=DATE(YEAR(AA161),MONTH(AA161)+1,7),0,ROUND(AC161*0.015*((YEAR(AQ161)-YEAR(AA161))*12+(MONTH(AQ161)-MONTH(AA161))+1),0))))</f>
      </c>
      <c r="AG161" s="27">
        <f>IF($B161&lt;&gt;"Entry","",0)</f>
      </c>
      <c r="AH161" s="28"/>
      <c r="AI161" s="28"/>
      <c r="AJ161" s="33"/>
      <c r="AK161" s="28"/>
      <c r="AL161" s="28"/>
      <c r="AM161" s="27">
        <f>IF($B161&lt;&gt;"Challan","",SUMIF($D$4:$D$207,D161,$AC$4:$AC$207)+SUMIF($D$4:$D$207,D161,$AF$4:$AF$207)+SUMIF($D$4:$D$207,D161,$AD$4:$AD$207))</f>
      </c>
      <c r="AN161" s="27">
        <f>IF($B161&lt;&gt;"Challan","",O161-M161)</f>
      </c>
      <c r="AO161" s="27">
        <f>IF($B161&lt;&gt;"Challan","",MAX(0,AN161-AM161))</f>
      </c>
      <c r="AP161" s="29">
        <f>IF($B161&lt;&gt;"Challan","",IF(ROUND(AM161-AN161,2)&gt;0,"Over-applied",IF(ROUND(AM161-AN161,2)=0,"Fully Utilised","Unconsumed")))</f>
      </c>
      <c r="AQ161" s="34">
        <f>IF($B161&lt;&gt;"Entry","",SUMPRODUCT(($D$4:$D$207=D161)*($B$4:$B$207="Challan")*$E$4:$E$207))</f>
      </c>
      <c r="AR161" s="35">
        <f>IF(OR($B161&lt;&gt;"Entry",Y161=""),FALSE,AND(SUMPRODUCT(($D$4:$D$207=D161)*($B$4:$B$207="Challan")*($G$4:$G$207&lt;&gt;""))&gt;0,SUMPRODUCT(($D$4:$D$207=D161)*($B$4:$B$207="Challan")*($G$4:$G$207=Y161))=0))</f>
      </c>
    </row>
    <row r="162" spans="1:44" x14ac:dyDescent="0.25">
      <c r="A162" s="21">
        <f>IF($B162="Entry",COUNTIF($B$4:$B162,"Entry"),"")</f>
      </c>
      <c r="B162" s="22"/>
      <c r="C162" s="23"/>
      <c r="D162" s="23"/>
      <c r="E162" s="24"/>
      <c r="F162" s="25"/>
      <c r="G162" s="25"/>
      <c r="H162" s="26"/>
      <c r="I162" s="26"/>
      <c r="J162" s="26"/>
      <c r="K162" s="26"/>
      <c r="L162" s="26"/>
      <c r="M162" s="26"/>
      <c r="N162" s="26"/>
      <c r="O162" s="27">
        <f>IF($B162&lt;&gt;"Challan","",H162+I162+J162+K162+L162+M162)</f>
      </c>
      <c r="P162" s="25"/>
      <c r="Q162" s="25"/>
      <c r="R162" s="25"/>
      <c r="S162" s="25"/>
      <c r="T162" s="25"/>
      <c r="U162" s="28"/>
      <c r="V162" s="28"/>
      <c r="W162" s="28"/>
      <c r="X162" s="29">
        <f>IF($B162&lt;&gt;"Entry","",IF(LEN(V162)&lt;4,"",IF(MID(V162,4,1)="P","Individual",IF(MID(V162,4,1)="H","HUF",IF(MID(V162,4,1)="C","Company",IF(MID(V162,4,1)="F","Firm",IF(MID(V162,4,1)="L","LLP",IF(MID(V162,4,1)="T","Trust",IF(MID(V162,4,1)="A","AOP",""))))))))</f>
      </c>
      <c r="Y162" s="28"/>
      <c r="Z162" s="30">
        <f>IF($B162&lt;&gt;"Entry","",IF(Y162="","",IF(W162="Y",SUMPRODUCT(('Rate Lookup'!$A$1:$A$32=Y162)*'Rate Lookup'!$D$1:$D$32),IF(OR(X162="Individual",X162="HUF"),SUMPRODUCT(('Rate Lookup'!$A$1:$A$32=Y162)*'Rate Lookup'!$B$1:$B$32),SUMPRODUCT(('Rate Lookup'!$A$1:$A$32=Y162)*'Rate Lookup'!$C$1:$C$32)))))</f>
      </c>
      <c r="AA162" s="31"/>
      <c r="AB162" s="32"/>
      <c r="AC162" s="27">
        <f>IF($B162&lt;&gt;"Entry","",ROUND(AB162*Z162/100,0))</f>
      </c>
      <c r="AD162" s="27">
        <f>IF($B162&lt;&gt;"Entry","",0)</f>
      </c>
      <c r="AE162" s="27">
        <f>IF($B162&lt;&gt;"Entry","",0)</f>
      </c>
      <c r="AF162" s="27">
        <f>IF($B162&lt;&gt;"Entry","",IF(OR(AC162=0,AA162="",AQ162="",AQ162&lt;=0),0,IF(AQ162&lt;=DATE(YEAR(AA162),MONTH(AA162)+1,7),0,ROUND(AC162*0.015*((YEAR(AQ162)-YEAR(AA162))*12+(MONTH(AQ162)-MONTH(AA162))+1),0))))</f>
      </c>
      <c r="AG162" s="27">
        <f>IF($B162&lt;&gt;"Entry","",0)</f>
      </c>
      <c r="AH162" s="28"/>
      <c r="AI162" s="28"/>
      <c r="AJ162" s="33"/>
      <c r="AK162" s="28"/>
      <c r="AL162" s="28"/>
      <c r="AM162" s="27">
        <f>IF($B162&lt;&gt;"Challan","",SUMIF($D$4:$D$207,D162,$AC$4:$AC$207)+SUMIF($D$4:$D$207,D162,$AF$4:$AF$207)+SUMIF($D$4:$D$207,D162,$AD$4:$AD$207))</f>
      </c>
      <c r="AN162" s="27">
        <f>IF($B162&lt;&gt;"Challan","",O162-M162)</f>
      </c>
      <c r="AO162" s="27">
        <f>IF($B162&lt;&gt;"Challan","",MAX(0,AN162-AM162))</f>
      </c>
      <c r="AP162" s="29">
        <f>IF($B162&lt;&gt;"Challan","",IF(ROUND(AM162-AN162,2)&gt;0,"Over-applied",IF(ROUND(AM162-AN162,2)=0,"Fully Utilised","Unconsumed")))</f>
      </c>
      <c r="AQ162" s="34">
        <f>IF($B162&lt;&gt;"Entry","",SUMPRODUCT(($D$4:$D$207=D162)*($B$4:$B$207="Challan")*$E$4:$E$207))</f>
      </c>
      <c r="AR162" s="35">
        <f>IF(OR($B162&lt;&gt;"Entry",Y162=""),FALSE,AND(SUMPRODUCT(($D$4:$D$207=D162)*($B$4:$B$207="Challan")*($G$4:$G$207&lt;&gt;""))&gt;0,SUMPRODUCT(($D$4:$D$207=D162)*($B$4:$B$207="Challan")*($G$4:$G$207=Y162))=0))</f>
      </c>
    </row>
    <row r="163" spans="1:44" x14ac:dyDescent="0.25">
      <c r="A163" s="21">
        <f>IF($B163="Entry",COUNTIF($B$4:$B163,"Entry"),"")</f>
      </c>
      <c r="B163" s="22"/>
      <c r="C163" s="23"/>
      <c r="D163" s="23"/>
      <c r="E163" s="24"/>
      <c r="F163" s="25"/>
      <c r="G163" s="25"/>
      <c r="H163" s="26"/>
      <c r="I163" s="26"/>
      <c r="J163" s="26"/>
      <c r="K163" s="26"/>
      <c r="L163" s="26"/>
      <c r="M163" s="26"/>
      <c r="N163" s="26"/>
      <c r="O163" s="27">
        <f>IF($B163&lt;&gt;"Challan","",H163+I163+J163+K163+L163+M163)</f>
      </c>
      <c r="P163" s="25"/>
      <c r="Q163" s="25"/>
      <c r="R163" s="25"/>
      <c r="S163" s="25"/>
      <c r="T163" s="25"/>
      <c r="U163" s="28"/>
      <c r="V163" s="28"/>
      <c r="W163" s="28"/>
      <c r="X163" s="29">
        <f>IF($B163&lt;&gt;"Entry","",IF(LEN(V163)&lt;4,"",IF(MID(V163,4,1)="P","Individual",IF(MID(V163,4,1)="H","HUF",IF(MID(V163,4,1)="C","Company",IF(MID(V163,4,1)="F","Firm",IF(MID(V163,4,1)="L","LLP",IF(MID(V163,4,1)="T","Trust",IF(MID(V163,4,1)="A","AOP",""))))))))</f>
      </c>
      <c r="Y163" s="28"/>
      <c r="Z163" s="30">
        <f>IF($B163&lt;&gt;"Entry","",IF(Y163="","",IF(W163="Y",SUMPRODUCT(('Rate Lookup'!$A$1:$A$32=Y163)*'Rate Lookup'!$D$1:$D$32),IF(OR(X163="Individual",X163="HUF"),SUMPRODUCT(('Rate Lookup'!$A$1:$A$32=Y163)*'Rate Lookup'!$B$1:$B$32),SUMPRODUCT(('Rate Lookup'!$A$1:$A$32=Y163)*'Rate Lookup'!$C$1:$C$32)))))</f>
      </c>
      <c r="AA163" s="31"/>
      <c r="AB163" s="32"/>
      <c r="AC163" s="27">
        <f>IF($B163&lt;&gt;"Entry","",ROUND(AB163*Z163/100,0))</f>
      </c>
      <c r="AD163" s="27">
        <f>IF($B163&lt;&gt;"Entry","",0)</f>
      </c>
      <c r="AE163" s="27">
        <f>IF($B163&lt;&gt;"Entry","",0)</f>
      </c>
      <c r="AF163" s="27">
        <f>IF($B163&lt;&gt;"Entry","",IF(OR(AC163=0,AA163="",AQ163="",AQ163&lt;=0),0,IF(AQ163&lt;=DATE(YEAR(AA163),MONTH(AA163)+1,7),0,ROUND(AC163*0.015*((YEAR(AQ163)-YEAR(AA163))*12+(MONTH(AQ163)-MONTH(AA163))+1),0))))</f>
      </c>
      <c r="AG163" s="27">
        <f>IF($B163&lt;&gt;"Entry","",0)</f>
      </c>
      <c r="AH163" s="28"/>
      <c r="AI163" s="28"/>
      <c r="AJ163" s="33"/>
      <c r="AK163" s="28"/>
      <c r="AL163" s="28"/>
      <c r="AM163" s="27">
        <f>IF($B163&lt;&gt;"Challan","",SUMIF($D$4:$D$207,D163,$AC$4:$AC$207)+SUMIF($D$4:$D$207,D163,$AF$4:$AF$207)+SUMIF($D$4:$D$207,D163,$AD$4:$AD$207))</f>
      </c>
      <c r="AN163" s="27">
        <f>IF($B163&lt;&gt;"Challan","",O163-M163)</f>
      </c>
      <c r="AO163" s="27">
        <f>IF($B163&lt;&gt;"Challan","",MAX(0,AN163-AM163))</f>
      </c>
      <c r="AP163" s="29">
        <f>IF($B163&lt;&gt;"Challan","",IF(ROUND(AM163-AN163,2)&gt;0,"Over-applied",IF(ROUND(AM163-AN163,2)=0,"Fully Utilised","Unconsumed")))</f>
      </c>
      <c r="AQ163" s="34">
        <f>IF($B163&lt;&gt;"Entry","",SUMPRODUCT(($D$4:$D$207=D163)*($B$4:$B$207="Challan")*$E$4:$E$207))</f>
      </c>
      <c r="AR163" s="35">
        <f>IF(OR($B163&lt;&gt;"Entry",Y163=""),FALSE,AND(SUMPRODUCT(($D$4:$D$207=D163)*($B$4:$B$207="Challan")*($G$4:$G$207&lt;&gt;""))&gt;0,SUMPRODUCT(($D$4:$D$207=D163)*($B$4:$B$207="Challan")*($G$4:$G$207=Y163))=0))</f>
      </c>
    </row>
    <row r="164" spans="1:44" x14ac:dyDescent="0.25">
      <c r="A164" s="21">
        <f>IF($B164="Entry",COUNTIF($B$4:$B164,"Entry"),"")</f>
      </c>
      <c r="B164" s="22"/>
      <c r="C164" s="23"/>
      <c r="D164" s="23"/>
      <c r="E164" s="24"/>
      <c r="F164" s="25"/>
      <c r="G164" s="25"/>
      <c r="H164" s="26"/>
      <c r="I164" s="26"/>
      <c r="J164" s="26"/>
      <c r="K164" s="26"/>
      <c r="L164" s="26"/>
      <c r="M164" s="26"/>
      <c r="N164" s="26"/>
      <c r="O164" s="27">
        <f>IF($B164&lt;&gt;"Challan","",H164+I164+J164+K164+L164+M164)</f>
      </c>
      <c r="P164" s="25"/>
      <c r="Q164" s="25"/>
      <c r="R164" s="25"/>
      <c r="S164" s="25"/>
      <c r="T164" s="25"/>
      <c r="U164" s="28"/>
      <c r="V164" s="28"/>
      <c r="W164" s="28"/>
      <c r="X164" s="29">
        <f>IF($B164&lt;&gt;"Entry","",IF(LEN(V164)&lt;4,"",IF(MID(V164,4,1)="P","Individual",IF(MID(V164,4,1)="H","HUF",IF(MID(V164,4,1)="C","Company",IF(MID(V164,4,1)="F","Firm",IF(MID(V164,4,1)="L","LLP",IF(MID(V164,4,1)="T","Trust",IF(MID(V164,4,1)="A","AOP",""))))))))</f>
      </c>
      <c r="Y164" s="28"/>
      <c r="Z164" s="30">
        <f>IF($B164&lt;&gt;"Entry","",IF(Y164="","",IF(W164="Y",SUMPRODUCT(('Rate Lookup'!$A$1:$A$32=Y164)*'Rate Lookup'!$D$1:$D$32),IF(OR(X164="Individual",X164="HUF"),SUMPRODUCT(('Rate Lookup'!$A$1:$A$32=Y164)*'Rate Lookup'!$B$1:$B$32),SUMPRODUCT(('Rate Lookup'!$A$1:$A$32=Y164)*'Rate Lookup'!$C$1:$C$32)))))</f>
      </c>
      <c r="AA164" s="31"/>
      <c r="AB164" s="32"/>
      <c r="AC164" s="27">
        <f>IF($B164&lt;&gt;"Entry","",ROUND(AB164*Z164/100,0))</f>
      </c>
      <c r="AD164" s="27">
        <f>IF($B164&lt;&gt;"Entry","",0)</f>
      </c>
      <c r="AE164" s="27">
        <f>IF($B164&lt;&gt;"Entry","",0)</f>
      </c>
      <c r="AF164" s="27">
        <f>IF($B164&lt;&gt;"Entry","",IF(OR(AC164=0,AA164="",AQ164="",AQ164&lt;=0),0,IF(AQ164&lt;=DATE(YEAR(AA164),MONTH(AA164)+1,7),0,ROUND(AC164*0.015*((YEAR(AQ164)-YEAR(AA164))*12+(MONTH(AQ164)-MONTH(AA164))+1),0))))</f>
      </c>
      <c r="AG164" s="27">
        <f>IF($B164&lt;&gt;"Entry","",0)</f>
      </c>
      <c r="AH164" s="28"/>
      <c r="AI164" s="28"/>
      <c r="AJ164" s="33"/>
      <c r="AK164" s="28"/>
      <c r="AL164" s="28"/>
      <c r="AM164" s="27">
        <f>IF($B164&lt;&gt;"Challan","",SUMIF($D$4:$D$207,D164,$AC$4:$AC$207)+SUMIF($D$4:$D$207,D164,$AF$4:$AF$207)+SUMIF($D$4:$D$207,D164,$AD$4:$AD$207))</f>
      </c>
      <c r="AN164" s="27">
        <f>IF($B164&lt;&gt;"Challan","",O164-M164)</f>
      </c>
      <c r="AO164" s="27">
        <f>IF($B164&lt;&gt;"Challan","",MAX(0,AN164-AM164))</f>
      </c>
      <c r="AP164" s="29">
        <f>IF($B164&lt;&gt;"Challan","",IF(ROUND(AM164-AN164,2)&gt;0,"Over-applied",IF(ROUND(AM164-AN164,2)=0,"Fully Utilised","Unconsumed")))</f>
      </c>
      <c r="AQ164" s="34">
        <f>IF($B164&lt;&gt;"Entry","",SUMPRODUCT(($D$4:$D$207=D164)*($B$4:$B$207="Challan")*$E$4:$E$207))</f>
      </c>
      <c r="AR164" s="35">
        <f>IF(OR($B164&lt;&gt;"Entry",Y164=""),FALSE,AND(SUMPRODUCT(($D$4:$D$207=D164)*($B$4:$B$207="Challan")*($G$4:$G$207&lt;&gt;""))&gt;0,SUMPRODUCT(($D$4:$D$207=D164)*($B$4:$B$207="Challan")*($G$4:$G$207=Y164))=0))</f>
      </c>
    </row>
    <row r="165" spans="1:44" x14ac:dyDescent="0.25">
      <c r="A165" s="21">
        <f>IF($B165="Entry",COUNTIF($B$4:$B165,"Entry"),"")</f>
      </c>
      <c r="B165" s="22"/>
      <c r="C165" s="23"/>
      <c r="D165" s="23"/>
      <c r="E165" s="24"/>
      <c r="F165" s="25"/>
      <c r="G165" s="25"/>
      <c r="H165" s="26"/>
      <c r="I165" s="26"/>
      <c r="J165" s="26"/>
      <c r="K165" s="26"/>
      <c r="L165" s="26"/>
      <c r="M165" s="26"/>
      <c r="N165" s="26"/>
      <c r="O165" s="27">
        <f>IF($B165&lt;&gt;"Challan","",H165+I165+J165+K165+L165+M165)</f>
      </c>
      <c r="P165" s="25"/>
      <c r="Q165" s="25"/>
      <c r="R165" s="25"/>
      <c r="S165" s="25"/>
      <c r="T165" s="25"/>
      <c r="U165" s="28"/>
      <c r="V165" s="28"/>
      <c r="W165" s="28"/>
      <c r="X165" s="29">
        <f>IF($B165&lt;&gt;"Entry","",IF(LEN(V165)&lt;4,"",IF(MID(V165,4,1)="P","Individual",IF(MID(V165,4,1)="H","HUF",IF(MID(V165,4,1)="C","Company",IF(MID(V165,4,1)="F","Firm",IF(MID(V165,4,1)="L","LLP",IF(MID(V165,4,1)="T","Trust",IF(MID(V165,4,1)="A","AOP",""))))))))</f>
      </c>
      <c r="Y165" s="28"/>
      <c r="Z165" s="30">
        <f>IF($B165&lt;&gt;"Entry","",IF(Y165="","",IF(W165="Y",SUMPRODUCT(('Rate Lookup'!$A$1:$A$32=Y165)*'Rate Lookup'!$D$1:$D$32),IF(OR(X165="Individual",X165="HUF"),SUMPRODUCT(('Rate Lookup'!$A$1:$A$32=Y165)*'Rate Lookup'!$B$1:$B$32),SUMPRODUCT(('Rate Lookup'!$A$1:$A$32=Y165)*'Rate Lookup'!$C$1:$C$32)))))</f>
      </c>
      <c r="AA165" s="31"/>
      <c r="AB165" s="32"/>
      <c r="AC165" s="27">
        <f>IF($B165&lt;&gt;"Entry","",ROUND(AB165*Z165/100,0))</f>
      </c>
      <c r="AD165" s="27">
        <f>IF($B165&lt;&gt;"Entry","",0)</f>
      </c>
      <c r="AE165" s="27">
        <f>IF($B165&lt;&gt;"Entry","",0)</f>
      </c>
      <c r="AF165" s="27">
        <f>IF($B165&lt;&gt;"Entry","",IF(OR(AC165=0,AA165="",AQ165="",AQ165&lt;=0),0,IF(AQ165&lt;=DATE(YEAR(AA165),MONTH(AA165)+1,7),0,ROUND(AC165*0.015*((YEAR(AQ165)-YEAR(AA165))*12+(MONTH(AQ165)-MONTH(AA165))+1),0))))</f>
      </c>
      <c r="AG165" s="27">
        <f>IF($B165&lt;&gt;"Entry","",0)</f>
      </c>
      <c r="AH165" s="28"/>
      <c r="AI165" s="28"/>
      <c r="AJ165" s="33"/>
      <c r="AK165" s="28"/>
      <c r="AL165" s="28"/>
      <c r="AM165" s="27">
        <f>IF($B165&lt;&gt;"Challan","",SUMIF($D$4:$D$207,D165,$AC$4:$AC$207)+SUMIF($D$4:$D$207,D165,$AF$4:$AF$207)+SUMIF($D$4:$D$207,D165,$AD$4:$AD$207))</f>
      </c>
      <c r="AN165" s="27">
        <f>IF($B165&lt;&gt;"Challan","",O165-M165)</f>
      </c>
      <c r="AO165" s="27">
        <f>IF($B165&lt;&gt;"Challan","",MAX(0,AN165-AM165))</f>
      </c>
      <c r="AP165" s="29">
        <f>IF($B165&lt;&gt;"Challan","",IF(ROUND(AM165-AN165,2)&gt;0,"Over-applied",IF(ROUND(AM165-AN165,2)=0,"Fully Utilised","Unconsumed")))</f>
      </c>
      <c r="AQ165" s="34">
        <f>IF($B165&lt;&gt;"Entry","",SUMPRODUCT(($D$4:$D$207=D165)*($B$4:$B$207="Challan")*$E$4:$E$207))</f>
      </c>
      <c r="AR165" s="35">
        <f>IF(OR($B165&lt;&gt;"Entry",Y165=""),FALSE,AND(SUMPRODUCT(($D$4:$D$207=D165)*($B$4:$B$207="Challan")*($G$4:$G$207&lt;&gt;""))&gt;0,SUMPRODUCT(($D$4:$D$207=D165)*($B$4:$B$207="Challan")*($G$4:$G$207=Y165))=0))</f>
      </c>
    </row>
    <row r="166" spans="1:44" x14ac:dyDescent="0.25">
      <c r="A166" s="21">
        <f>IF($B166="Entry",COUNTIF($B$4:$B166,"Entry"),"")</f>
      </c>
      <c r="B166" s="22"/>
      <c r="C166" s="23"/>
      <c r="D166" s="23"/>
      <c r="E166" s="24"/>
      <c r="F166" s="25"/>
      <c r="G166" s="25"/>
      <c r="H166" s="26"/>
      <c r="I166" s="26"/>
      <c r="J166" s="26"/>
      <c r="K166" s="26"/>
      <c r="L166" s="26"/>
      <c r="M166" s="26"/>
      <c r="N166" s="26"/>
      <c r="O166" s="27">
        <f>IF($B166&lt;&gt;"Challan","",H166+I166+J166+K166+L166+M166)</f>
      </c>
      <c r="P166" s="25"/>
      <c r="Q166" s="25"/>
      <c r="R166" s="25"/>
      <c r="S166" s="25"/>
      <c r="T166" s="25"/>
      <c r="U166" s="28"/>
      <c r="V166" s="28"/>
      <c r="W166" s="28"/>
      <c r="X166" s="29">
        <f>IF($B166&lt;&gt;"Entry","",IF(LEN(V166)&lt;4,"",IF(MID(V166,4,1)="P","Individual",IF(MID(V166,4,1)="H","HUF",IF(MID(V166,4,1)="C","Company",IF(MID(V166,4,1)="F","Firm",IF(MID(V166,4,1)="L","LLP",IF(MID(V166,4,1)="T","Trust",IF(MID(V166,4,1)="A","AOP",""))))))))</f>
      </c>
      <c r="Y166" s="28"/>
      <c r="Z166" s="30">
        <f>IF($B166&lt;&gt;"Entry","",IF(Y166="","",IF(W166="Y",SUMPRODUCT(('Rate Lookup'!$A$1:$A$32=Y166)*'Rate Lookup'!$D$1:$D$32),IF(OR(X166="Individual",X166="HUF"),SUMPRODUCT(('Rate Lookup'!$A$1:$A$32=Y166)*'Rate Lookup'!$B$1:$B$32),SUMPRODUCT(('Rate Lookup'!$A$1:$A$32=Y166)*'Rate Lookup'!$C$1:$C$32)))))</f>
      </c>
      <c r="AA166" s="31"/>
      <c r="AB166" s="32"/>
      <c r="AC166" s="27">
        <f>IF($B166&lt;&gt;"Entry","",ROUND(AB166*Z166/100,0))</f>
      </c>
      <c r="AD166" s="27">
        <f>IF($B166&lt;&gt;"Entry","",0)</f>
      </c>
      <c r="AE166" s="27">
        <f>IF($B166&lt;&gt;"Entry","",0)</f>
      </c>
      <c r="AF166" s="27">
        <f>IF($B166&lt;&gt;"Entry","",IF(OR(AC166=0,AA166="",AQ166="",AQ166&lt;=0),0,IF(AQ166&lt;=DATE(YEAR(AA166),MONTH(AA166)+1,7),0,ROUND(AC166*0.015*((YEAR(AQ166)-YEAR(AA166))*12+(MONTH(AQ166)-MONTH(AA166))+1),0))))</f>
      </c>
      <c r="AG166" s="27">
        <f>IF($B166&lt;&gt;"Entry","",0)</f>
      </c>
      <c r="AH166" s="28"/>
      <c r="AI166" s="28"/>
      <c r="AJ166" s="33"/>
      <c r="AK166" s="28"/>
      <c r="AL166" s="28"/>
      <c r="AM166" s="27">
        <f>IF($B166&lt;&gt;"Challan","",SUMIF($D$4:$D$207,D166,$AC$4:$AC$207)+SUMIF($D$4:$D$207,D166,$AF$4:$AF$207)+SUMIF($D$4:$D$207,D166,$AD$4:$AD$207))</f>
      </c>
      <c r="AN166" s="27">
        <f>IF($B166&lt;&gt;"Challan","",O166-M166)</f>
      </c>
      <c r="AO166" s="27">
        <f>IF($B166&lt;&gt;"Challan","",MAX(0,AN166-AM166))</f>
      </c>
      <c r="AP166" s="29">
        <f>IF($B166&lt;&gt;"Challan","",IF(ROUND(AM166-AN166,2)&gt;0,"Over-applied",IF(ROUND(AM166-AN166,2)=0,"Fully Utilised","Unconsumed")))</f>
      </c>
      <c r="AQ166" s="34">
        <f>IF($B166&lt;&gt;"Entry","",SUMPRODUCT(($D$4:$D$207=D166)*($B$4:$B$207="Challan")*$E$4:$E$207))</f>
      </c>
      <c r="AR166" s="35">
        <f>IF(OR($B166&lt;&gt;"Entry",Y166=""),FALSE,AND(SUMPRODUCT(($D$4:$D$207=D166)*($B$4:$B$207="Challan")*($G$4:$G$207&lt;&gt;""))&gt;0,SUMPRODUCT(($D$4:$D$207=D166)*($B$4:$B$207="Challan")*($G$4:$G$207=Y166))=0))</f>
      </c>
    </row>
    <row r="167" spans="1:44" x14ac:dyDescent="0.25">
      <c r="A167" s="21">
        <f>IF($B167="Entry",COUNTIF($B$4:$B167,"Entry"),"")</f>
      </c>
      <c r="B167" s="22"/>
      <c r="C167" s="23"/>
      <c r="D167" s="23"/>
      <c r="E167" s="24"/>
      <c r="F167" s="25"/>
      <c r="G167" s="25"/>
      <c r="H167" s="26"/>
      <c r="I167" s="26"/>
      <c r="J167" s="26"/>
      <c r="K167" s="26"/>
      <c r="L167" s="26"/>
      <c r="M167" s="26"/>
      <c r="N167" s="26"/>
      <c r="O167" s="27">
        <f>IF($B167&lt;&gt;"Challan","",H167+I167+J167+K167+L167+M167)</f>
      </c>
      <c r="P167" s="25"/>
      <c r="Q167" s="25"/>
      <c r="R167" s="25"/>
      <c r="S167" s="25"/>
      <c r="T167" s="25"/>
      <c r="U167" s="28"/>
      <c r="V167" s="28"/>
      <c r="W167" s="28"/>
      <c r="X167" s="29">
        <f>IF($B167&lt;&gt;"Entry","",IF(LEN(V167)&lt;4,"",IF(MID(V167,4,1)="P","Individual",IF(MID(V167,4,1)="H","HUF",IF(MID(V167,4,1)="C","Company",IF(MID(V167,4,1)="F","Firm",IF(MID(V167,4,1)="L","LLP",IF(MID(V167,4,1)="T","Trust",IF(MID(V167,4,1)="A","AOP",""))))))))</f>
      </c>
      <c r="Y167" s="28"/>
      <c r="Z167" s="30">
        <f>IF($B167&lt;&gt;"Entry","",IF(Y167="","",IF(W167="Y",SUMPRODUCT(('Rate Lookup'!$A$1:$A$32=Y167)*'Rate Lookup'!$D$1:$D$32),IF(OR(X167="Individual",X167="HUF"),SUMPRODUCT(('Rate Lookup'!$A$1:$A$32=Y167)*'Rate Lookup'!$B$1:$B$32),SUMPRODUCT(('Rate Lookup'!$A$1:$A$32=Y167)*'Rate Lookup'!$C$1:$C$32)))))</f>
      </c>
      <c r="AA167" s="31"/>
      <c r="AB167" s="32"/>
      <c r="AC167" s="27">
        <f>IF($B167&lt;&gt;"Entry","",ROUND(AB167*Z167/100,0))</f>
      </c>
      <c r="AD167" s="27">
        <f>IF($B167&lt;&gt;"Entry","",0)</f>
      </c>
      <c r="AE167" s="27">
        <f>IF($B167&lt;&gt;"Entry","",0)</f>
      </c>
      <c r="AF167" s="27">
        <f>IF($B167&lt;&gt;"Entry","",IF(OR(AC167=0,AA167="",AQ167="",AQ167&lt;=0),0,IF(AQ167&lt;=DATE(YEAR(AA167),MONTH(AA167)+1,7),0,ROUND(AC167*0.015*((YEAR(AQ167)-YEAR(AA167))*12+(MONTH(AQ167)-MONTH(AA167))+1),0))))</f>
      </c>
      <c r="AG167" s="27">
        <f>IF($B167&lt;&gt;"Entry","",0)</f>
      </c>
      <c r="AH167" s="28"/>
      <c r="AI167" s="28"/>
      <c r="AJ167" s="33"/>
      <c r="AK167" s="28"/>
      <c r="AL167" s="28"/>
      <c r="AM167" s="27">
        <f>IF($B167&lt;&gt;"Challan","",SUMIF($D$4:$D$207,D167,$AC$4:$AC$207)+SUMIF($D$4:$D$207,D167,$AF$4:$AF$207)+SUMIF($D$4:$D$207,D167,$AD$4:$AD$207))</f>
      </c>
      <c r="AN167" s="27">
        <f>IF($B167&lt;&gt;"Challan","",O167-M167)</f>
      </c>
      <c r="AO167" s="27">
        <f>IF($B167&lt;&gt;"Challan","",MAX(0,AN167-AM167))</f>
      </c>
      <c r="AP167" s="29">
        <f>IF($B167&lt;&gt;"Challan","",IF(ROUND(AM167-AN167,2)&gt;0,"Over-applied",IF(ROUND(AM167-AN167,2)=0,"Fully Utilised","Unconsumed")))</f>
      </c>
      <c r="AQ167" s="34">
        <f>IF($B167&lt;&gt;"Entry","",SUMPRODUCT(($D$4:$D$207=D167)*($B$4:$B$207="Challan")*$E$4:$E$207))</f>
      </c>
      <c r="AR167" s="35">
        <f>IF(OR($B167&lt;&gt;"Entry",Y167=""),FALSE,AND(SUMPRODUCT(($D$4:$D$207=D167)*($B$4:$B$207="Challan")*($G$4:$G$207&lt;&gt;""))&gt;0,SUMPRODUCT(($D$4:$D$207=D167)*($B$4:$B$207="Challan")*($G$4:$G$207=Y167))=0))</f>
      </c>
    </row>
    <row r="168" spans="1:44" x14ac:dyDescent="0.25">
      <c r="A168" s="21">
        <f>IF($B168="Entry",COUNTIF($B$4:$B168,"Entry"),"")</f>
      </c>
      <c r="B168" s="22"/>
      <c r="C168" s="23"/>
      <c r="D168" s="23"/>
      <c r="E168" s="24"/>
      <c r="F168" s="25"/>
      <c r="G168" s="25"/>
      <c r="H168" s="26"/>
      <c r="I168" s="26"/>
      <c r="J168" s="26"/>
      <c r="K168" s="26"/>
      <c r="L168" s="26"/>
      <c r="M168" s="26"/>
      <c r="N168" s="26"/>
      <c r="O168" s="27">
        <f>IF($B168&lt;&gt;"Challan","",H168+I168+J168+K168+L168+M168)</f>
      </c>
      <c r="P168" s="25"/>
      <c r="Q168" s="25"/>
      <c r="R168" s="25"/>
      <c r="S168" s="25"/>
      <c r="T168" s="25"/>
      <c r="U168" s="28"/>
      <c r="V168" s="28"/>
      <c r="W168" s="28"/>
      <c r="X168" s="29">
        <f>IF($B168&lt;&gt;"Entry","",IF(LEN(V168)&lt;4,"",IF(MID(V168,4,1)="P","Individual",IF(MID(V168,4,1)="H","HUF",IF(MID(V168,4,1)="C","Company",IF(MID(V168,4,1)="F","Firm",IF(MID(V168,4,1)="L","LLP",IF(MID(V168,4,1)="T","Trust",IF(MID(V168,4,1)="A","AOP",""))))))))</f>
      </c>
      <c r="Y168" s="28"/>
      <c r="Z168" s="30">
        <f>IF($B168&lt;&gt;"Entry","",IF(Y168="","",IF(W168="Y",SUMPRODUCT(('Rate Lookup'!$A$1:$A$32=Y168)*'Rate Lookup'!$D$1:$D$32),IF(OR(X168="Individual",X168="HUF"),SUMPRODUCT(('Rate Lookup'!$A$1:$A$32=Y168)*'Rate Lookup'!$B$1:$B$32),SUMPRODUCT(('Rate Lookup'!$A$1:$A$32=Y168)*'Rate Lookup'!$C$1:$C$32)))))</f>
      </c>
      <c r="AA168" s="31"/>
      <c r="AB168" s="32"/>
      <c r="AC168" s="27">
        <f>IF($B168&lt;&gt;"Entry","",ROUND(AB168*Z168/100,0))</f>
      </c>
      <c r="AD168" s="27">
        <f>IF($B168&lt;&gt;"Entry","",0)</f>
      </c>
      <c r="AE168" s="27">
        <f>IF($B168&lt;&gt;"Entry","",0)</f>
      </c>
      <c r="AF168" s="27">
        <f>IF($B168&lt;&gt;"Entry","",IF(OR(AC168=0,AA168="",AQ168="",AQ168&lt;=0),0,IF(AQ168&lt;=DATE(YEAR(AA168),MONTH(AA168)+1,7),0,ROUND(AC168*0.015*((YEAR(AQ168)-YEAR(AA168))*12+(MONTH(AQ168)-MONTH(AA168))+1),0))))</f>
      </c>
      <c r="AG168" s="27">
        <f>IF($B168&lt;&gt;"Entry","",0)</f>
      </c>
      <c r="AH168" s="28"/>
      <c r="AI168" s="28"/>
      <c r="AJ168" s="33"/>
      <c r="AK168" s="28"/>
      <c r="AL168" s="28"/>
      <c r="AM168" s="27">
        <f>IF($B168&lt;&gt;"Challan","",SUMIF($D$4:$D$207,D168,$AC$4:$AC$207)+SUMIF($D$4:$D$207,D168,$AF$4:$AF$207)+SUMIF($D$4:$D$207,D168,$AD$4:$AD$207))</f>
      </c>
      <c r="AN168" s="27">
        <f>IF($B168&lt;&gt;"Challan","",O168-M168)</f>
      </c>
      <c r="AO168" s="27">
        <f>IF($B168&lt;&gt;"Challan","",MAX(0,AN168-AM168))</f>
      </c>
      <c r="AP168" s="29">
        <f>IF($B168&lt;&gt;"Challan","",IF(ROUND(AM168-AN168,2)&gt;0,"Over-applied",IF(ROUND(AM168-AN168,2)=0,"Fully Utilised","Unconsumed")))</f>
      </c>
      <c r="AQ168" s="34">
        <f>IF($B168&lt;&gt;"Entry","",SUMPRODUCT(($D$4:$D$207=D168)*($B$4:$B$207="Challan")*$E$4:$E$207))</f>
      </c>
      <c r="AR168" s="35">
        <f>IF(OR($B168&lt;&gt;"Entry",Y168=""),FALSE,AND(SUMPRODUCT(($D$4:$D$207=D168)*($B$4:$B$207="Challan")*($G$4:$G$207&lt;&gt;""))&gt;0,SUMPRODUCT(($D$4:$D$207=D168)*($B$4:$B$207="Challan")*($G$4:$G$207=Y168))=0))</f>
      </c>
    </row>
    <row r="169" spans="1:44" x14ac:dyDescent="0.25">
      <c r="A169" s="21">
        <f>IF($B169="Entry",COUNTIF($B$4:$B169,"Entry"),"")</f>
      </c>
      <c r="B169" s="22"/>
      <c r="C169" s="23"/>
      <c r="D169" s="23"/>
      <c r="E169" s="24"/>
      <c r="F169" s="25"/>
      <c r="G169" s="25"/>
      <c r="H169" s="26"/>
      <c r="I169" s="26"/>
      <c r="J169" s="26"/>
      <c r="K169" s="26"/>
      <c r="L169" s="26"/>
      <c r="M169" s="26"/>
      <c r="N169" s="26"/>
      <c r="O169" s="27">
        <f>IF($B169&lt;&gt;"Challan","",H169+I169+J169+K169+L169+M169)</f>
      </c>
      <c r="P169" s="25"/>
      <c r="Q169" s="25"/>
      <c r="R169" s="25"/>
      <c r="S169" s="25"/>
      <c r="T169" s="25"/>
      <c r="U169" s="28"/>
      <c r="V169" s="28"/>
      <c r="W169" s="28"/>
      <c r="X169" s="29">
        <f>IF($B169&lt;&gt;"Entry","",IF(LEN(V169)&lt;4,"",IF(MID(V169,4,1)="P","Individual",IF(MID(V169,4,1)="H","HUF",IF(MID(V169,4,1)="C","Company",IF(MID(V169,4,1)="F","Firm",IF(MID(V169,4,1)="L","LLP",IF(MID(V169,4,1)="T","Trust",IF(MID(V169,4,1)="A","AOP",""))))))))</f>
      </c>
      <c r="Y169" s="28"/>
      <c r="Z169" s="30">
        <f>IF($B169&lt;&gt;"Entry","",IF(Y169="","",IF(W169="Y",SUMPRODUCT(('Rate Lookup'!$A$1:$A$32=Y169)*'Rate Lookup'!$D$1:$D$32),IF(OR(X169="Individual",X169="HUF"),SUMPRODUCT(('Rate Lookup'!$A$1:$A$32=Y169)*'Rate Lookup'!$B$1:$B$32),SUMPRODUCT(('Rate Lookup'!$A$1:$A$32=Y169)*'Rate Lookup'!$C$1:$C$32)))))</f>
      </c>
      <c r="AA169" s="31"/>
      <c r="AB169" s="32"/>
      <c r="AC169" s="27">
        <f>IF($B169&lt;&gt;"Entry","",ROUND(AB169*Z169/100,0))</f>
      </c>
      <c r="AD169" s="27">
        <f>IF($B169&lt;&gt;"Entry","",0)</f>
      </c>
      <c r="AE169" s="27">
        <f>IF($B169&lt;&gt;"Entry","",0)</f>
      </c>
      <c r="AF169" s="27">
        <f>IF($B169&lt;&gt;"Entry","",IF(OR(AC169=0,AA169="",AQ169="",AQ169&lt;=0),0,IF(AQ169&lt;=DATE(YEAR(AA169),MONTH(AA169)+1,7),0,ROUND(AC169*0.015*((YEAR(AQ169)-YEAR(AA169))*12+(MONTH(AQ169)-MONTH(AA169))+1),0))))</f>
      </c>
      <c r="AG169" s="27">
        <f>IF($B169&lt;&gt;"Entry","",0)</f>
      </c>
      <c r="AH169" s="28"/>
      <c r="AI169" s="28"/>
      <c r="AJ169" s="33"/>
      <c r="AK169" s="28"/>
      <c r="AL169" s="28"/>
      <c r="AM169" s="27">
        <f>IF($B169&lt;&gt;"Challan","",SUMIF($D$4:$D$207,D169,$AC$4:$AC$207)+SUMIF($D$4:$D$207,D169,$AF$4:$AF$207)+SUMIF($D$4:$D$207,D169,$AD$4:$AD$207))</f>
      </c>
      <c r="AN169" s="27">
        <f>IF($B169&lt;&gt;"Challan","",O169-M169)</f>
      </c>
      <c r="AO169" s="27">
        <f>IF($B169&lt;&gt;"Challan","",MAX(0,AN169-AM169))</f>
      </c>
      <c r="AP169" s="29">
        <f>IF($B169&lt;&gt;"Challan","",IF(ROUND(AM169-AN169,2)&gt;0,"Over-applied",IF(ROUND(AM169-AN169,2)=0,"Fully Utilised","Unconsumed")))</f>
      </c>
      <c r="AQ169" s="34">
        <f>IF($B169&lt;&gt;"Entry","",SUMPRODUCT(($D$4:$D$207=D169)*($B$4:$B$207="Challan")*$E$4:$E$207))</f>
      </c>
      <c r="AR169" s="35">
        <f>IF(OR($B169&lt;&gt;"Entry",Y169=""),FALSE,AND(SUMPRODUCT(($D$4:$D$207=D169)*($B$4:$B$207="Challan")*($G$4:$G$207&lt;&gt;""))&gt;0,SUMPRODUCT(($D$4:$D$207=D169)*($B$4:$B$207="Challan")*($G$4:$G$207=Y169))=0))</f>
      </c>
    </row>
    <row r="170" spans="1:44" x14ac:dyDescent="0.25">
      <c r="A170" s="21">
        <f>IF($B170="Entry",COUNTIF($B$4:$B170,"Entry"),"")</f>
      </c>
      <c r="B170" s="22"/>
      <c r="C170" s="23"/>
      <c r="D170" s="23"/>
      <c r="E170" s="24"/>
      <c r="F170" s="25"/>
      <c r="G170" s="25"/>
      <c r="H170" s="26"/>
      <c r="I170" s="26"/>
      <c r="J170" s="26"/>
      <c r="K170" s="26"/>
      <c r="L170" s="26"/>
      <c r="M170" s="26"/>
      <c r="N170" s="26"/>
      <c r="O170" s="27">
        <f>IF($B170&lt;&gt;"Challan","",H170+I170+J170+K170+L170+M170)</f>
      </c>
      <c r="P170" s="25"/>
      <c r="Q170" s="25"/>
      <c r="R170" s="25"/>
      <c r="S170" s="25"/>
      <c r="T170" s="25"/>
      <c r="U170" s="28"/>
      <c r="V170" s="28"/>
      <c r="W170" s="28"/>
      <c r="X170" s="29">
        <f>IF($B170&lt;&gt;"Entry","",IF(LEN(V170)&lt;4,"",IF(MID(V170,4,1)="P","Individual",IF(MID(V170,4,1)="H","HUF",IF(MID(V170,4,1)="C","Company",IF(MID(V170,4,1)="F","Firm",IF(MID(V170,4,1)="L","LLP",IF(MID(V170,4,1)="T","Trust",IF(MID(V170,4,1)="A","AOP",""))))))))</f>
      </c>
      <c r="Y170" s="28"/>
      <c r="Z170" s="30">
        <f>IF($B170&lt;&gt;"Entry","",IF(Y170="","",IF(W170="Y",SUMPRODUCT(('Rate Lookup'!$A$1:$A$32=Y170)*'Rate Lookup'!$D$1:$D$32),IF(OR(X170="Individual",X170="HUF"),SUMPRODUCT(('Rate Lookup'!$A$1:$A$32=Y170)*'Rate Lookup'!$B$1:$B$32),SUMPRODUCT(('Rate Lookup'!$A$1:$A$32=Y170)*'Rate Lookup'!$C$1:$C$32)))))</f>
      </c>
      <c r="AA170" s="31"/>
      <c r="AB170" s="32"/>
      <c r="AC170" s="27">
        <f>IF($B170&lt;&gt;"Entry","",ROUND(AB170*Z170/100,0))</f>
      </c>
      <c r="AD170" s="27">
        <f>IF($B170&lt;&gt;"Entry","",0)</f>
      </c>
      <c r="AE170" s="27">
        <f>IF($B170&lt;&gt;"Entry","",0)</f>
      </c>
      <c r="AF170" s="27">
        <f>IF($B170&lt;&gt;"Entry","",IF(OR(AC170=0,AA170="",AQ170="",AQ170&lt;=0),0,IF(AQ170&lt;=DATE(YEAR(AA170),MONTH(AA170)+1,7),0,ROUND(AC170*0.015*((YEAR(AQ170)-YEAR(AA170))*12+(MONTH(AQ170)-MONTH(AA170))+1),0))))</f>
      </c>
      <c r="AG170" s="27">
        <f>IF($B170&lt;&gt;"Entry","",0)</f>
      </c>
      <c r="AH170" s="28"/>
      <c r="AI170" s="28"/>
      <c r="AJ170" s="33"/>
      <c r="AK170" s="28"/>
      <c r="AL170" s="28"/>
      <c r="AM170" s="27">
        <f>IF($B170&lt;&gt;"Challan","",SUMIF($D$4:$D$207,D170,$AC$4:$AC$207)+SUMIF($D$4:$D$207,D170,$AF$4:$AF$207)+SUMIF($D$4:$D$207,D170,$AD$4:$AD$207))</f>
      </c>
      <c r="AN170" s="27">
        <f>IF($B170&lt;&gt;"Challan","",O170-M170)</f>
      </c>
      <c r="AO170" s="27">
        <f>IF($B170&lt;&gt;"Challan","",MAX(0,AN170-AM170))</f>
      </c>
      <c r="AP170" s="29">
        <f>IF($B170&lt;&gt;"Challan","",IF(ROUND(AM170-AN170,2)&gt;0,"Over-applied",IF(ROUND(AM170-AN170,2)=0,"Fully Utilised","Unconsumed")))</f>
      </c>
      <c r="AQ170" s="34">
        <f>IF($B170&lt;&gt;"Entry","",SUMPRODUCT(($D$4:$D$207=D170)*($B$4:$B$207="Challan")*$E$4:$E$207))</f>
      </c>
      <c r="AR170" s="35">
        <f>IF(OR($B170&lt;&gt;"Entry",Y170=""),FALSE,AND(SUMPRODUCT(($D$4:$D$207=D170)*($B$4:$B$207="Challan")*($G$4:$G$207&lt;&gt;""))&gt;0,SUMPRODUCT(($D$4:$D$207=D170)*($B$4:$B$207="Challan")*($G$4:$G$207=Y170))=0))</f>
      </c>
    </row>
    <row r="171" spans="1:44" x14ac:dyDescent="0.25">
      <c r="A171" s="21">
        <f>IF($B171="Entry",COUNTIF($B$4:$B171,"Entry"),"")</f>
      </c>
      <c r="B171" s="22"/>
      <c r="C171" s="23"/>
      <c r="D171" s="23"/>
      <c r="E171" s="24"/>
      <c r="F171" s="25"/>
      <c r="G171" s="25"/>
      <c r="H171" s="26"/>
      <c r="I171" s="26"/>
      <c r="J171" s="26"/>
      <c r="K171" s="26"/>
      <c r="L171" s="26"/>
      <c r="M171" s="26"/>
      <c r="N171" s="26"/>
      <c r="O171" s="27">
        <f>IF($B171&lt;&gt;"Challan","",H171+I171+J171+K171+L171+M171)</f>
      </c>
      <c r="P171" s="25"/>
      <c r="Q171" s="25"/>
      <c r="R171" s="25"/>
      <c r="S171" s="25"/>
      <c r="T171" s="25"/>
      <c r="U171" s="28"/>
      <c r="V171" s="28"/>
      <c r="W171" s="28"/>
      <c r="X171" s="29">
        <f>IF($B171&lt;&gt;"Entry","",IF(LEN(V171)&lt;4,"",IF(MID(V171,4,1)="P","Individual",IF(MID(V171,4,1)="H","HUF",IF(MID(V171,4,1)="C","Company",IF(MID(V171,4,1)="F","Firm",IF(MID(V171,4,1)="L","LLP",IF(MID(V171,4,1)="T","Trust",IF(MID(V171,4,1)="A","AOP",""))))))))</f>
      </c>
      <c r="Y171" s="28"/>
      <c r="Z171" s="30">
        <f>IF($B171&lt;&gt;"Entry","",IF(Y171="","",IF(W171="Y",SUMPRODUCT(('Rate Lookup'!$A$1:$A$32=Y171)*'Rate Lookup'!$D$1:$D$32),IF(OR(X171="Individual",X171="HUF"),SUMPRODUCT(('Rate Lookup'!$A$1:$A$32=Y171)*'Rate Lookup'!$B$1:$B$32),SUMPRODUCT(('Rate Lookup'!$A$1:$A$32=Y171)*'Rate Lookup'!$C$1:$C$32)))))</f>
      </c>
      <c r="AA171" s="31"/>
      <c r="AB171" s="32"/>
      <c r="AC171" s="27">
        <f>IF($B171&lt;&gt;"Entry","",ROUND(AB171*Z171/100,0))</f>
      </c>
      <c r="AD171" s="27">
        <f>IF($B171&lt;&gt;"Entry","",0)</f>
      </c>
      <c r="AE171" s="27">
        <f>IF($B171&lt;&gt;"Entry","",0)</f>
      </c>
      <c r="AF171" s="27">
        <f>IF($B171&lt;&gt;"Entry","",IF(OR(AC171=0,AA171="",AQ171="",AQ171&lt;=0),0,IF(AQ171&lt;=DATE(YEAR(AA171),MONTH(AA171)+1,7),0,ROUND(AC171*0.015*((YEAR(AQ171)-YEAR(AA171))*12+(MONTH(AQ171)-MONTH(AA171))+1),0))))</f>
      </c>
      <c r="AG171" s="27">
        <f>IF($B171&lt;&gt;"Entry","",0)</f>
      </c>
      <c r="AH171" s="28"/>
      <c r="AI171" s="28"/>
      <c r="AJ171" s="33"/>
      <c r="AK171" s="28"/>
      <c r="AL171" s="28"/>
      <c r="AM171" s="27">
        <f>IF($B171&lt;&gt;"Challan","",SUMIF($D$4:$D$207,D171,$AC$4:$AC$207)+SUMIF($D$4:$D$207,D171,$AF$4:$AF$207)+SUMIF($D$4:$D$207,D171,$AD$4:$AD$207))</f>
      </c>
      <c r="AN171" s="27">
        <f>IF($B171&lt;&gt;"Challan","",O171-M171)</f>
      </c>
      <c r="AO171" s="27">
        <f>IF($B171&lt;&gt;"Challan","",MAX(0,AN171-AM171))</f>
      </c>
      <c r="AP171" s="29">
        <f>IF($B171&lt;&gt;"Challan","",IF(ROUND(AM171-AN171,2)&gt;0,"Over-applied",IF(ROUND(AM171-AN171,2)=0,"Fully Utilised","Unconsumed")))</f>
      </c>
      <c r="AQ171" s="34">
        <f>IF($B171&lt;&gt;"Entry","",SUMPRODUCT(($D$4:$D$207=D171)*($B$4:$B$207="Challan")*$E$4:$E$207))</f>
      </c>
      <c r="AR171" s="35">
        <f>IF(OR($B171&lt;&gt;"Entry",Y171=""),FALSE,AND(SUMPRODUCT(($D$4:$D$207=D171)*($B$4:$B$207="Challan")*($G$4:$G$207&lt;&gt;""))&gt;0,SUMPRODUCT(($D$4:$D$207=D171)*($B$4:$B$207="Challan")*($G$4:$G$207=Y171))=0))</f>
      </c>
    </row>
    <row r="172" spans="1:44" x14ac:dyDescent="0.25">
      <c r="A172" s="21">
        <f>IF($B172="Entry",COUNTIF($B$4:$B172,"Entry"),"")</f>
      </c>
      <c r="B172" s="22"/>
      <c r="C172" s="23"/>
      <c r="D172" s="23"/>
      <c r="E172" s="24"/>
      <c r="F172" s="25"/>
      <c r="G172" s="25"/>
      <c r="H172" s="26"/>
      <c r="I172" s="26"/>
      <c r="J172" s="26"/>
      <c r="K172" s="26"/>
      <c r="L172" s="26"/>
      <c r="M172" s="26"/>
      <c r="N172" s="26"/>
      <c r="O172" s="27">
        <f>IF($B172&lt;&gt;"Challan","",H172+I172+J172+K172+L172+M172)</f>
      </c>
      <c r="P172" s="25"/>
      <c r="Q172" s="25"/>
      <c r="R172" s="25"/>
      <c r="S172" s="25"/>
      <c r="T172" s="25"/>
      <c r="U172" s="28"/>
      <c r="V172" s="28"/>
      <c r="W172" s="28"/>
      <c r="X172" s="29">
        <f>IF($B172&lt;&gt;"Entry","",IF(LEN(V172)&lt;4,"",IF(MID(V172,4,1)="P","Individual",IF(MID(V172,4,1)="H","HUF",IF(MID(V172,4,1)="C","Company",IF(MID(V172,4,1)="F","Firm",IF(MID(V172,4,1)="L","LLP",IF(MID(V172,4,1)="T","Trust",IF(MID(V172,4,1)="A","AOP",""))))))))</f>
      </c>
      <c r="Y172" s="28"/>
      <c r="Z172" s="30">
        <f>IF($B172&lt;&gt;"Entry","",IF(Y172="","",IF(W172="Y",SUMPRODUCT(('Rate Lookup'!$A$1:$A$32=Y172)*'Rate Lookup'!$D$1:$D$32),IF(OR(X172="Individual",X172="HUF"),SUMPRODUCT(('Rate Lookup'!$A$1:$A$32=Y172)*'Rate Lookup'!$B$1:$B$32),SUMPRODUCT(('Rate Lookup'!$A$1:$A$32=Y172)*'Rate Lookup'!$C$1:$C$32)))))</f>
      </c>
      <c r="AA172" s="31"/>
      <c r="AB172" s="32"/>
      <c r="AC172" s="27">
        <f>IF($B172&lt;&gt;"Entry","",ROUND(AB172*Z172/100,0))</f>
      </c>
      <c r="AD172" s="27">
        <f>IF($B172&lt;&gt;"Entry","",0)</f>
      </c>
      <c r="AE172" s="27">
        <f>IF($B172&lt;&gt;"Entry","",0)</f>
      </c>
      <c r="AF172" s="27">
        <f>IF($B172&lt;&gt;"Entry","",IF(OR(AC172=0,AA172="",AQ172="",AQ172&lt;=0),0,IF(AQ172&lt;=DATE(YEAR(AA172),MONTH(AA172)+1,7),0,ROUND(AC172*0.015*((YEAR(AQ172)-YEAR(AA172))*12+(MONTH(AQ172)-MONTH(AA172))+1),0))))</f>
      </c>
      <c r="AG172" s="27">
        <f>IF($B172&lt;&gt;"Entry","",0)</f>
      </c>
      <c r="AH172" s="28"/>
      <c r="AI172" s="28"/>
      <c r="AJ172" s="33"/>
      <c r="AK172" s="28"/>
      <c r="AL172" s="28"/>
      <c r="AM172" s="27">
        <f>IF($B172&lt;&gt;"Challan","",SUMIF($D$4:$D$207,D172,$AC$4:$AC$207)+SUMIF($D$4:$D$207,D172,$AF$4:$AF$207)+SUMIF($D$4:$D$207,D172,$AD$4:$AD$207))</f>
      </c>
      <c r="AN172" s="27">
        <f>IF($B172&lt;&gt;"Challan","",O172-M172)</f>
      </c>
      <c r="AO172" s="27">
        <f>IF($B172&lt;&gt;"Challan","",MAX(0,AN172-AM172))</f>
      </c>
      <c r="AP172" s="29">
        <f>IF($B172&lt;&gt;"Challan","",IF(ROUND(AM172-AN172,2)&gt;0,"Over-applied",IF(ROUND(AM172-AN172,2)=0,"Fully Utilised","Unconsumed")))</f>
      </c>
      <c r="AQ172" s="34">
        <f>IF($B172&lt;&gt;"Entry","",SUMPRODUCT(($D$4:$D$207=D172)*($B$4:$B$207="Challan")*$E$4:$E$207))</f>
      </c>
      <c r="AR172" s="35">
        <f>IF(OR($B172&lt;&gt;"Entry",Y172=""),FALSE,AND(SUMPRODUCT(($D$4:$D$207=D172)*($B$4:$B$207="Challan")*($G$4:$G$207&lt;&gt;""))&gt;0,SUMPRODUCT(($D$4:$D$207=D172)*($B$4:$B$207="Challan")*($G$4:$G$207=Y172))=0))</f>
      </c>
    </row>
    <row r="173" spans="1:44" x14ac:dyDescent="0.25">
      <c r="A173" s="21">
        <f>IF($B173="Entry",COUNTIF($B$4:$B173,"Entry"),"")</f>
      </c>
      <c r="B173" s="22"/>
      <c r="C173" s="23"/>
      <c r="D173" s="23"/>
      <c r="E173" s="24"/>
      <c r="F173" s="25"/>
      <c r="G173" s="25"/>
      <c r="H173" s="26"/>
      <c r="I173" s="26"/>
      <c r="J173" s="26"/>
      <c r="K173" s="26"/>
      <c r="L173" s="26"/>
      <c r="M173" s="26"/>
      <c r="N173" s="26"/>
      <c r="O173" s="27">
        <f>IF($B173&lt;&gt;"Challan","",H173+I173+J173+K173+L173+M173)</f>
      </c>
      <c r="P173" s="25"/>
      <c r="Q173" s="25"/>
      <c r="R173" s="25"/>
      <c r="S173" s="25"/>
      <c r="T173" s="25"/>
      <c r="U173" s="28"/>
      <c r="V173" s="28"/>
      <c r="W173" s="28"/>
      <c r="X173" s="29">
        <f>IF($B173&lt;&gt;"Entry","",IF(LEN(V173)&lt;4,"",IF(MID(V173,4,1)="P","Individual",IF(MID(V173,4,1)="H","HUF",IF(MID(V173,4,1)="C","Company",IF(MID(V173,4,1)="F","Firm",IF(MID(V173,4,1)="L","LLP",IF(MID(V173,4,1)="T","Trust",IF(MID(V173,4,1)="A","AOP",""))))))))</f>
      </c>
      <c r="Y173" s="28"/>
      <c r="Z173" s="30">
        <f>IF($B173&lt;&gt;"Entry","",IF(Y173="","",IF(W173="Y",SUMPRODUCT(('Rate Lookup'!$A$1:$A$32=Y173)*'Rate Lookup'!$D$1:$D$32),IF(OR(X173="Individual",X173="HUF"),SUMPRODUCT(('Rate Lookup'!$A$1:$A$32=Y173)*'Rate Lookup'!$B$1:$B$32),SUMPRODUCT(('Rate Lookup'!$A$1:$A$32=Y173)*'Rate Lookup'!$C$1:$C$32)))))</f>
      </c>
      <c r="AA173" s="31"/>
      <c r="AB173" s="32"/>
      <c r="AC173" s="27">
        <f>IF($B173&lt;&gt;"Entry","",ROUND(AB173*Z173/100,0))</f>
      </c>
      <c r="AD173" s="27">
        <f>IF($B173&lt;&gt;"Entry","",0)</f>
      </c>
      <c r="AE173" s="27">
        <f>IF($B173&lt;&gt;"Entry","",0)</f>
      </c>
      <c r="AF173" s="27">
        <f>IF($B173&lt;&gt;"Entry","",IF(OR(AC173=0,AA173="",AQ173="",AQ173&lt;=0),0,IF(AQ173&lt;=DATE(YEAR(AA173),MONTH(AA173)+1,7),0,ROUND(AC173*0.015*((YEAR(AQ173)-YEAR(AA173))*12+(MONTH(AQ173)-MONTH(AA173))+1),0))))</f>
      </c>
      <c r="AG173" s="27">
        <f>IF($B173&lt;&gt;"Entry","",0)</f>
      </c>
      <c r="AH173" s="28"/>
      <c r="AI173" s="28"/>
      <c r="AJ173" s="33"/>
      <c r="AK173" s="28"/>
      <c r="AL173" s="28"/>
      <c r="AM173" s="27">
        <f>IF($B173&lt;&gt;"Challan","",SUMIF($D$4:$D$207,D173,$AC$4:$AC$207)+SUMIF($D$4:$D$207,D173,$AF$4:$AF$207)+SUMIF($D$4:$D$207,D173,$AD$4:$AD$207))</f>
      </c>
      <c r="AN173" s="27">
        <f>IF($B173&lt;&gt;"Challan","",O173-M173)</f>
      </c>
      <c r="AO173" s="27">
        <f>IF($B173&lt;&gt;"Challan","",MAX(0,AN173-AM173))</f>
      </c>
      <c r="AP173" s="29">
        <f>IF($B173&lt;&gt;"Challan","",IF(ROUND(AM173-AN173,2)&gt;0,"Over-applied",IF(ROUND(AM173-AN173,2)=0,"Fully Utilised","Unconsumed")))</f>
      </c>
      <c r="AQ173" s="34">
        <f>IF($B173&lt;&gt;"Entry","",SUMPRODUCT(($D$4:$D$207=D173)*($B$4:$B$207="Challan")*$E$4:$E$207))</f>
      </c>
      <c r="AR173" s="35">
        <f>IF(OR($B173&lt;&gt;"Entry",Y173=""),FALSE,AND(SUMPRODUCT(($D$4:$D$207=D173)*($B$4:$B$207="Challan")*($G$4:$G$207&lt;&gt;""))&gt;0,SUMPRODUCT(($D$4:$D$207=D173)*($B$4:$B$207="Challan")*($G$4:$G$207=Y173))=0))</f>
      </c>
    </row>
    <row r="174" spans="1:44" x14ac:dyDescent="0.25">
      <c r="A174" s="21">
        <f>IF($B174="Entry",COUNTIF($B$4:$B174,"Entry"),"")</f>
      </c>
      <c r="B174" s="22"/>
      <c r="C174" s="23"/>
      <c r="D174" s="23"/>
      <c r="E174" s="24"/>
      <c r="F174" s="25"/>
      <c r="G174" s="25"/>
      <c r="H174" s="26"/>
      <c r="I174" s="26"/>
      <c r="J174" s="26"/>
      <c r="K174" s="26"/>
      <c r="L174" s="26"/>
      <c r="M174" s="26"/>
      <c r="N174" s="26"/>
      <c r="O174" s="27">
        <f>IF($B174&lt;&gt;"Challan","",H174+I174+J174+K174+L174+M174)</f>
      </c>
      <c r="P174" s="25"/>
      <c r="Q174" s="25"/>
      <c r="R174" s="25"/>
      <c r="S174" s="25"/>
      <c r="T174" s="25"/>
      <c r="U174" s="28"/>
      <c r="V174" s="28"/>
      <c r="W174" s="28"/>
      <c r="X174" s="29">
        <f>IF($B174&lt;&gt;"Entry","",IF(LEN(V174)&lt;4,"",IF(MID(V174,4,1)="P","Individual",IF(MID(V174,4,1)="H","HUF",IF(MID(V174,4,1)="C","Company",IF(MID(V174,4,1)="F","Firm",IF(MID(V174,4,1)="L","LLP",IF(MID(V174,4,1)="T","Trust",IF(MID(V174,4,1)="A","AOP",""))))))))</f>
      </c>
      <c r="Y174" s="28"/>
      <c r="Z174" s="30">
        <f>IF($B174&lt;&gt;"Entry","",IF(Y174="","",IF(W174="Y",SUMPRODUCT(('Rate Lookup'!$A$1:$A$32=Y174)*'Rate Lookup'!$D$1:$D$32),IF(OR(X174="Individual",X174="HUF"),SUMPRODUCT(('Rate Lookup'!$A$1:$A$32=Y174)*'Rate Lookup'!$B$1:$B$32),SUMPRODUCT(('Rate Lookup'!$A$1:$A$32=Y174)*'Rate Lookup'!$C$1:$C$32)))))</f>
      </c>
      <c r="AA174" s="31"/>
      <c r="AB174" s="32"/>
      <c r="AC174" s="27">
        <f>IF($B174&lt;&gt;"Entry","",ROUND(AB174*Z174/100,0))</f>
      </c>
      <c r="AD174" s="27">
        <f>IF($B174&lt;&gt;"Entry","",0)</f>
      </c>
      <c r="AE174" s="27">
        <f>IF($B174&lt;&gt;"Entry","",0)</f>
      </c>
      <c r="AF174" s="27">
        <f>IF($B174&lt;&gt;"Entry","",IF(OR(AC174=0,AA174="",AQ174="",AQ174&lt;=0),0,IF(AQ174&lt;=DATE(YEAR(AA174),MONTH(AA174)+1,7),0,ROUND(AC174*0.015*((YEAR(AQ174)-YEAR(AA174))*12+(MONTH(AQ174)-MONTH(AA174))+1),0))))</f>
      </c>
      <c r="AG174" s="27">
        <f>IF($B174&lt;&gt;"Entry","",0)</f>
      </c>
      <c r="AH174" s="28"/>
      <c r="AI174" s="28"/>
      <c r="AJ174" s="33"/>
      <c r="AK174" s="28"/>
      <c r="AL174" s="28"/>
      <c r="AM174" s="27">
        <f>IF($B174&lt;&gt;"Challan","",SUMIF($D$4:$D$207,D174,$AC$4:$AC$207)+SUMIF($D$4:$D$207,D174,$AF$4:$AF$207)+SUMIF($D$4:$D$207,D174,$AD$4:$AD$207))</f>
      </c>
      <c r="AN174" s="27">
        <f>IF($B174&lt;&gt;"Challan","",O174-M174)</f>
      </c>
      <c r="AO174" s="27">
        <f>IF($B174&lt;&gt;"Challan","",MAX(0,AN174-AM174))</f>
      </c>
      <c r="AP174" s="29">
        <f>IF($B174&lt;&gt;"Challan","",IF(ROUND(AM174-AN174,2)&gt;0,"Over-applied",IF(ROUND(AM174-AN174,2)=0,"Fully Utilised","Unconsumed")))</f>
      </c>
      <c r="AQ174" s="34">
        <f>IF($B174&lt;&gt;"Entry","",SUMPRODUCT(($D$4:$D$207=D174)*($B$4:$B$207="Challan")*$E$4:$E$207))</f>
      </c>
      <c r="AR174" s="35">
        <f>IF(OR($B174&lt;&gt;"Entry",Y174=""),FALSE,AND(SUMPRODUCT(($D$4:$D$207=D174)*($B$4:$B$207="Challan")*($G$4:$G$207&lt;&gt;""))&gt;0,SUMPRODUCT(($D$4:$D$207=D174)*($B$4:$B$207="Challan")*($G$4:$G$207=Y174))=0))</f>
      </c>
    </row>
    <row r="175" spans="1:44" x14ac:dyDescent="0.25">
      <c r="A175" s="21">
        <f>IF($B175="Entry",COUNTIF($B$4:$B175,"Entry"),"")</f>
      </c>
      <c r="B175" s="22"/>
      <c r="C175" s="23"/>
      <c r="D175" s="23"/>
      <c r="E175" s="24"/>
      <c r="F175" s="25"/>
      <c r="G175" s="25"/>
      <c r="H175" s="26"/>
      <c r="I175" s="26"/>
      <c r="J175" s="26"/>
      <c r="K175" s="26"/>
      <c r="L175" s="26"/>
      <c r="M175" s="26"/>
      <c r="N175" s="26"/>
      <c r="O175" s="27">
        <f>IF($B175&lt;&gt;"Challan","",H175+I175+J175+K175+L175+M175)</f>
      </c>
      <c r="P175" s="25"/>
      <c r="Q175" s="25"/>
      <c r="R175" s="25"/>
      <c r="S175" s="25"/>
      <c r="T175" s="25"/>
      <c r="U175" s="28"/>
      <c r="V175" s="28"/>
      <c r="W175" s="28"/>
      <c r="X175" s="29">
        <f>IF($B175&lt;&gt;"Entry","",IF(LEN(V175)&lt;4,"",IF(MID(V175,4,1)="P","Individual",IF(MID(V175,4,1)="H","HUF",IF(MID(V175,4,1)="C","Company",IF(MID(V175,4,1)="F","Firm",IF(MID(V175,4,1)="L","LLP",IF(MID(V175,4,1)="T","Trust",IF(MID(V175,4,1)="A","AOP",""))))))))</f>
      </c>
      <c r="Y175" s="28"/>
      <c r="Z175" s="30">
        <f>IF($B175&lt;&gt;"Entry","",IF(Y175="","",IF(W175="Y",SUMPRODUCT(('Rate Lookup'!$A$1:$A$32=Y175)*'Rate Lookup'!$D$1:$D$32),IF(OR(X175="Individual",X175="HUF"),SUMPRODUCT(('Rate Lookup'!$A$1:$A$32=Y175)*'Rate Lookup'!$B$1:$B$32),SUMPRODUCT(('Rate Lookup'!$A$1:$A$32=Y175)*'Rate Lookup'!$C$1:$C$32)))))</f>
      </c>
      <c r="AA175" s="31"/>
      <c r="AB175" s="32"/>
      <c r="AC175" s="27">
        <f>IF($B175&lt;&gt;"Entry","",ROUND(AB175*Z175/100,0))</f>
      </c>
      <c r="AD175" s="27">
        <f>IF($B175&lt;&gt;"Entry","",0)</f>
      </c>
      <c r="AE175" s="27">
        <f>IF($B175&lt;&gt;"Entry","",0)</f>
      </c>
      <c r="AF175" s="27">
        <f>IF($B175&lt;&gt;"Entry","",IF(OR(AC175=0,AA175="",AQ175="",AQ175&lt;=0),0,IF(AQ175&lt;=DATE(YEAR(AA175),MONTH(AA175)+1,7),0,ROUND(AC175*0.015*((YEAR(AQ175)-YEAR(AA175))*12+(MONTH(AQ175)-MONTH(AA175))+1),0))))</f>
      </c>
      <c r="AG175" s="27">
        <f>IF($B175&lt;&gt;"Entry","",0)</f>
      </c>
      <c r="AH175" s="28"/>
      <c r="AI175" s="28"/>
      <c r="AJ175" s="33"/>
      <c r="AK175" s="28"/>
      <c r="AL175" s="28"/>
      <c r="AM175" s="27">
        <f>IF($B175&lt;&gt;"Challan","",SUMIF($D$4:$D$207,D175,$AC$4:$AC$207)+SUMIF($D$4:$D$207,D175,$AF$4:$AF$207)+SUMIF($D$4:$D$207,D175,$AD$4:$AD$207))</f>
      </c>
      <c r="AN175" s="27">
        <f>IF($B175&lt;&gt;"Challan","",O175-M175)</f>
      </c>
      <c r="AO175" s="27">
        <f>IF($B175&lt;&gt;"Challan","",MAX(0,AN175-AM175))</f>
      </c>
      <c r="AP175" s="29">
        <f>IF($B175&lt;&gt;"Challan","",IF(ROUND(AM175-AN175,2)&gt;0,"Over-applied",IF(ROUND(AM175-AN175,2)=0,"Fully Utilised","Unconsumed")))</f>
      </c>
      <c r="AQ175" s="34">
        <f>IF($B175&lt;&gt;"Entry","",SUMPRODUCT(($D$4:$D$207=D175)*($B$4:$B$207="Challan")*$E$4:$E$207))</f>
      </c>
      <c r="AR175" s="35">
        <f>IF(OR($B175&lt;&gt;"Entry",Y175=""),FALSE,AND(SUMPRODUCT(($D$4:$D$207=D175)*($B$4:$B$207="Challan")*($G$4:$G$207&lt;&gt;""))&gt;0,SUMPRODUCT(($D$4:$D$207=D175)*($B$4:$B$207="Challan")*($G$4:$G$207=Y175))=0))</f>
      </c>
    </row>
    <row r="176" spans="1:44" x14ac:dyDescent="0.25">
      <c r="A176" s="21">
        <f>IF($B176="Entry",COUNTIF($B$4:$B176,"Entry"),"")</f>
      </c>
      <c r="B176" s="22"/>
      <c r="C176" s="23"/>
      <c r="D176" s="23"/>
      <c r="E176" s="24"/>
      <c r="F176" s="25"/>
      <c r="G176" s="25"/>
      <c r="H176" s="26"/>
      <c r="I176" s="26"/>
      <c r="J176" s="26"/>
      <c r="K176" s="26"/>
      <c r="L176" s="26"/>
      <c r="M176" s="26"/>
      <c r="N176" s="26"/>
      <c r="O176" s="27">
        <f>IF($B176&lt;&gt;"Challan","",H176+I176+J176+K176+L176+M176)</f>
      </c>
      <c r="P176" s="25"/>
      <c r="Q176" s="25"/>
      <c r="R176" s="25"/>
      <c r="S176" s="25"/>
      <c r="T176" s="25"/>
      <c r="U176" s="28"/>
      <c r="V176" s="28"/>
      <c r="W176" s="28"/>
      <c r="X176" s="29">
        <f>IF($B176&lt;&gt;"Entry","",IF(LEN(V176)&lt;4,"",IF(MID(V176,4,1)="P","Individual",IF(MID(V176,4,1)="H","HUF",IF(MID(V176,4,1)="C","Company",IF(MID(V176,4,1)="F","Firm",IF(MID(V176,4,1)="L","LLP",IF(MID(V176,4,1)="T","Trust",IF(MID(V176,4,1)="A","AOP",""))))))))</f>
      </c>
      <c r="Y176" s="28"/>
      <c r="Z176" s="30">
        <f>IF($B176&lt;&gt;"Entry","",IF(Y176="","",IF(W176="Y",SUMPRODUCT(('Rate Lookup'!$A$1:$A$32=Y176)*'Rate Lookup'!$D$1:$D$32),IF(OR(X176="Individual",X176="HUF"),SUMPRODUCT(('Rate Lookup'!$A$1:$A$32=Y176)*'Rate Lookup'!$B$1:$B$32),SUMPRODUCT(('Rate Lookup'!$A$1:$A$32=Y176)*'Rate Lookup'!$C$1:$C$32)))))</f>
      </c>
      <c r="AA176" s="31"/>
      <c r="AB176" s="32"/>
      <c r="AC176" s="27">
        <f>IF($B176&lt;&gt;"Entry","",ROUND(AB176*Z176/100,0))</f>
      </c>
      <c r="AD176" s="27">
        <f>IF($B176&lt;&gt;"Entry","",0)</f>
      </c>
      <c r="AE176" s="27">
        <f>IF($B176&lt;&gt;"Entry","",0)</f>
      </c>
      <c r="AF176" s="27">
        <f>IF($B176&lt;&gt;"Entry","",IF(OR(AC176=0,AA176="",AQ176="",AQ176&lt;=0),0,IF(AQ176&lt;=DATE(YEAR(AA176),MONTH(AA176)+1,7),0,ROUND(AC176*0.015*((YEAR(AQ176)-YEAR(AA176))*12+(MONTH(AQ176)-MONTH(AA176))+1),0))))</f>
      </c>
      <c r="AG176" s="27">
        <f>IF($B176&lt;&gt;"Entry","",0)</f>
      </c>
      <c r="AH176" s="28"/>
      <c r="AI176" s="28"/>
      <c r="AJ176" s="33"/>
      <c r="AK176" s="28"/>
      <c r="AL176" s="28"/>
      <c r="AM176" s="27">
        <f>IF($B176&lt;&gt;"Challan","",SUMIF($D$4:$D$207,D176,$AC$4:$AC$207)+SUMIF($D$4:$D$207,D176,$AF$4:$AF$207)+SUMIF($D$4:$D$207,D176,$AD$4:$AD$207))</f>
      </c>
      <c r="AN176" s="27">
        <f>IF($B176&lt;&gt;"Challan","",O176-M176)</f>
      </c>
      <c r="AO176" s="27">
        <f>IF($B176&lt;&gt;"Challan","",MAX(0,AN176-AM176))</f>
      </c>
      <c r="AP176" s="29">
        <f>IF($B176&lt;&gt;"Challan","",IF(ROUND(AM176-AN176,2)&gt;0,"Over-applied",IF(ROUND(AM176-AN176,2)=0,"Fully Utilised","Unconsumed")))</f>
      </c>
      <c r="AQ176" s="34">
        <f>IF($B176&lt;&gt;"Entry","",SUMPRODUCT(($D$4:$D$207=D176)*($B$4:$B$207="Challan")*$E$4:$E$207))</f>
      </c>
      <c r="AR176" s="35">
        <f>IF(OR($B176&lt;&gt;"Entry",Y176=""),FALSE,AND(SUMPRODUCT(($D$4:$D$207=D176)*($B$4:$B$207="Challan")*($G$4:$G$207&lt;&gt;""))&gt;0,SUMPRODUCT(($D$4:$D$207=D176)*($B$4:$B$207="Challan")*($G$4:$G$207=Y176))=0))</f>
      </c>
    </row>
    <row r="177" spans="1:44" x14ac:dyDescent="0.25">
      <c r="A177" s="21">
        <f>IF($B177="Entry",COUNTIF($B$4:$B177,"Entry"),"")</f>
      </c>
      <c r="B177" s="22"/>
      <c r="C177" s="23"/>
      <c r="D177" s="23"/>
      <c r="E177" s="24"/>
      <c r="F177" s="25"/>
      <c r="G177" s="25"/>
      <c r="H177" s="26"/>
      <c r="I177" s="26"/>
      <c r="J177" s="26"/>
      <c r="K177" s="26"/>
      <c r="L177" s="26"/>
      <c r="M177" s="26"/>
      <c r="N177" s="26"/>
      <c r="O177" s="27">
        <f>IF($B177&lt;&gt;"Challan","",H177+I177+J177+K177+L177+M177)</f>
      </c>
      <c r="P177" s="25"/>
      <c r="Q177" s="25"/>
      <c r="R177" s="25"/>
      <c r="S177" s="25"/>
      <c r="T177" s="25"/>
      <c r="U177" s="28"/>
      <c r="V177" s="28"/>
      <c r="W177" s="28"/>
      <c r="X177" s="29">
        <f>IF($B177&lt;&gt;"Entry","",IF(LEN(V177)&lt;4,"",IF(MID(V177,4,1)="P","Individual",IF(MID(V177,4,1)="H","HUF",IF(MID(V177,4,1)="C","Company",IF(MID(V177,4,1)="F","Firm",IF(MID(V177,4,1)="L","LLP",IF(MID(V177,4,1)="T","Trust",IF(MID(V177,4,1)="A","AOP",""))))))))</f>
      </c>
      <c r="Y177" s="28"/>
      <c r="Z177" s="30">
        <f>IF($B177&lt;&gt;"Entry","",IF(Y177="","",IF(W177="Y",SUMPRODUCT(('Rate Lookup'!$A$1:$A$32=Y177)*'Rate Lookup'!$D$1:$D$32),IF(OR(X177="Individual",X177="HUF"),SUMPRODUCT(('Rate Lookup'!$A$1:$A$32=Y177)*'Rate Lookup'!$B$1:$B$32),SUMPRODUCT(('Rate Lookup'!$A$1:$A$32=Y177)*'Rate Lookup'!$C$1:$C$32)))))</f>
      </c>
      <c r="AA177" s="31"/>
      <c r="AB177" s="32"/>
      <c r="AC177" s="27">
        <f>IF($B177&lt;&gt;"Entry","",ROUND(AB177*Z177/100,0))</f>
      </c>
      <c r="AD177" s="27">
        <f>IF($B177&lt;&gt;"Entry","",0)</f>
      </c>
      <c r="AE177" s="27">
        <f>IF($B177&lt;&gt;"Entry","",0)</f>
      </c>
      <c r="AF177" s="27">
        <f>IF($B177&lt;&gt;"Entry","",IF(OR(AC177=0,AA177="",AQ177="",AQ177&lt;=0),0,IF(AQ177&lt;=DATE(YEAR(AA177),MONTH(AA177)+1,7),0,ROUND(AC177*0.015*((YEAR(AQ177)-YEAR(AA177))*12+(MONTH(AQ177)-MONTH(AA177))+1),0))))</f>
      </c>
      <c r="AG177" s="27">
        <f>IF($B177&lt;&gt;"Entry","",0)</f>
      </c>
      <c r="AH177" s="28"/>
      <c r="AI177" s="28"/>
      <c r="AJ177" s="33"/>
      <c r="AK177" s="28"/>
      <c r="AL177" s="28"/>
      <c r="AM177" s="27">
        <f>IF($B177&lt;&gt;"Challan","",SUMIF($D$4:$D$207,D177,$AC$4:$AC$207)+SUMIF($D$4:$D$207,D177,$AF$4:$AF$207)+SUMIF($D$4:$D$207,D177,$AD$4:$AD$207))</f>
      </c>
      <c r="AN177" s="27">
        <f>IF($B177&lt;&gt;"Challan","",O177-M177)</f>
      </c>
      <c r="AO177" s="27">
        <f>IF($B177&lt;&gt;"Challan","",MAX(0,AN177-AM177))</f>
      </c>
      <c r="AP177" s="29">
        <f>IF($B177&lt;&gt;"Challan","",IF(ROUND(AM177-AN177,2)&gt;0,"Over-applied",IF(ROUND(AM177-AN177,2)=0,"Fully Utilised","Unconsumed")))</f>
      </c>
      <c r="AQ177" s="34">
        <f>IF($B177&lt;&gt;"Entry","",SUMPRODUCT(($D$4:$D$207=D177)*($B$4:$B$207="Challan")*$E$4:$E$207))</f>
      </c>
      <c r="AR177" s="35">
        <f>IF(OR($B177&lt;&gt;"Entry",Y177=""),FALSE,AND(SUMPRODUCT(($D$4:$D$207=D177)*($B$4:$B$207="Challan")*($G$4:$G$207&lt;&gt;""))&gt;0,SUMPRODUCT(($D$4:$D$207=D177)*($B$4:$B$207="Challan")*($G$4:$G$207=Y177))=0))</f>
      </c>
    </row>
    <row r="178" spans="1:44" x14ac:dyDescent="0.25">
      <c r="A178" s="21">
        <f>IF($B178="Entry",COUNTIF($B$4:$B178,"Entry"),"")</f>
      </c>
      <c r="B178" s="22"/>
      <c r="C178" s="23"/>
      <c r="D178" s="23"/>
      <c r="E178" s="24"/>
      <c r="F178" s="25"/>
      <c r="G178" s="25"/>
      <c r="H178" s="26"/>
      <c r="I178" s="26"/>
      <c r="J178" s="26"/>
      <c r="K178" s="26"/>
      <c r="L178" s="26"/>
      <c r="M178" s="26"/>
      <c r="N178" s="26"/>
      <c r="O178" s="27">
        <f>IF($B178&lt;&gt;"Challan","",H178+I178+J178+K178+L178+M178)</f>
      </c>
      <c r="P178" s="25"/>
      <c r="Q178" s="25"/>
      <c r="R178" s="25"/>
      <c r="S178" s="25"/>
      <c r="T178" s="25"/>
      <c r="U178" s="28"/>
      <c r="V178" s="28"/>
      <c r="W178" s="28"/>
      <c r="X178" s="29">
        <f>IF($B178&lt;&gt;"Entry","",IF(LEN(V178)&lt;4,"",IF(MID(V178,4,1)="P","Individual",IF(MID(V178,4,1)="H","HUF",IF(MID(V178,4,1)="C","Company",IF(MID(V178,4,1)="F","Firm",IF(MID(V178,4,1)="L","LLP",IF(MID(V178,4,1)="T","Trust",IF(MID(V178,4,1)="A","AOP",""))))))))</f>
      </c>
      <c r="Y178" s="28"/>
      <c r="Z178" s="30">
        <f>IF($B178&lt;&gt;"Entry","",IF(Y178="","",IF(W178="Y",SUMPRODUCT(('Rate Lookup'!$A$1:$A$32=Y178)*'Rate Lookup'!$D$1:$D$32),IF(OR(X178="Individual",X178="HUF"),SUMPRODUCT(('Rate Lookup'!$A$1:$A$32=Y178)*'Rate Lookup'!$B$1:$B$32),SUMPRODUCT(('Rate Lookup'!$A$1:$A$32=Y178)*'Rate Lookup'!$C$1:$C$32)))))</f>
      </c>
      <c r="AA178" s="31"/>
      <c r="AB178" s="32"/>
      <c r="AC178" s="27">
        <f>IF($B178&lt;&gt;"Entry","",ROUND(AB178*Z178/100,0))</f>
      </c>
      <c r="AD178" s="27">
        <f>IF($B178&lt;&gt;"Entry","",0)</f>
      </c>
      <c r="AE178" s="27">
        <f>IF($B178&lt;&gt;"Entry","",0)</f>
      </c>
      <c r="AF178" s="27">
        <f>IF($B178&lt;&gt;"Entry","",IF(OR(AC178=0,AA178="",AQ178="",AQ178&lt;=0),0,IF(AQ178&lt;=DATE(YEAR(AA178),MONTH(AA178)+1,7),0,ROUND(AC178*0.015*((YEAR(AQ178)-YEAR(AA178))*12+(MONTH(AQ178)-MONTH(AA178))+1),0))))</f>
      </c>
      <c r="AG178" s="27">
        <f>IF($B178&lt;&gt;"Entry","",0)</f>
      </c>
      <c r="AH178" s="28"/>
      <c r="AI178" s="28"/>
      <c r="AJ178" s="33"/>
      <c r="AK178" s="28"/>
      <c r="AL178" s="28"/>
      <c r="AM178" s="27">
        <f>IF($B178&lt;&gt;"Challan","",SUMIF($D$4:$D$207,D178,$AC$4:$AC$207)+SUMIF($D$4:$D$207,D178,$AF$4:$AF$207)+SUMIF($D$4:$D$207,D178,$AD$4:$AD$207))</f>
      </c>
      <c r="AN178" s="27">
        <f>IF($B178&lt;&gt;"Challan","",O178-M178)</f>
      </c>
      <c r="AO178" s="27">
        <f>IF($B178&lt;&gt;"Challan","",MAX(0,AN178-AM178))</f>
      </c>
      <c r="AP178" s="29">
        <f>IF($B178&lt;&gt;"Challan","",IF(ROUND(AM178-AN178,2)&gt;0,"Over-applied",IF(ROUND(AM178-AN178,2)=0,"Fully Utilised","Unconsumed")))</f>
      </c>
      <c r="AQ178" s="34">
        <f>IF($B178&lt;&gt;"Entry","",SUMPRODUCT(($D$4:$D$207=D178)*($B$4:$B$207="Challan")*$E$4:$E$207))</f>
      </c>
      <c r="AR178" s="35">
        <f>IF(OR($B178&lt;&gt;"Entry",Y178=""),FALSE,AND(SUMPRODUCT(($D$4:$D$207=D178)*($B$4:$B$207="Challan")*($G$4:$G$207&lt;&gt;""))&gt;0,SUMPRODUCT(($D$4:$D$207=D178)*($B$4:$B$207="Challan")*($G$4:$G$207=Y178))=0))</f>
      </c>
    </row>
    <row r="179" spans="1:44" x14ac:dyDescent="0.25">
      <c r="A179" s="21">
        <f>IF($B179="Entry",COUNTIF($B$4:$B179,"Entry"),"")</f>
      </c>
      <c r="B179" s="22"/>
      <c r="C179" s="23"/>
      <c r="D179" s="23"/>
      <c r="E179" s="24"/>
      <c r="F179" s="25"/>
      <c r="G179" s="25"/>
      <c r="H179" s="26"/>
      <c r="I179" s="26"/>
      <c r="J179" s="26"/>
      <c r="K179" s="26"/>
      <c r="L179" s="26"/>
      <c r="M179" s="26"/>
      <c r="N179" s="26"/>
      <c r="O179" s="27">
        <f>IF($B179&lt;&gt;"Challan","",H179+I179+J179+K179+L179+M179)</f>
      </c>
      <c r="P179" s="25"/>
      <c r="Q179" s="25"/>
      <c r="R179" s="25"/>
      <c r="S179" s="25"/>
      <c r="T179" s="25"/>
      <c r="U179" s="28"/>
      <c r="V179" s="28"/>
      <c r="W179" s="28"/>
      <c r="X179" s="29">
        <f>IF($B179&lt;&gt;"Entry","",IF(LEN(V179)&lt;4,"",IF(MID(V179,4,1)="P","Individual",IF(MID(V179,4,1)="H","HUF",IF(MID(V179,4,1)="C","Company",IF(MID(V179,4,1)="F","Firm",IF(MID(V179,4,1)="L","LLP",IF(MID(V179,4,1)="T","Trust",IF(MID(V179,4,1)="A","AOP",""))))))))</f>
      </c>
      <c r="Y179" s="28"/>
      <c r="Z179" s="30">
        <f>IF($B179&lt;&gt;"Entry","",IF(Y179="","",IF(W179="Y",SUMPRODUCT(('Rate Lookup'!$A$1:$A$32=Y179)*'Rate Lookup'!$D$1:$D$32),IF(OR(X179="Individual",X179="HUF"),SUMPRODUCT(('Rate Lookup'!$A$1:$A$32=Y179)*'Rate Lookup'!$B$1:$B$32),SUMPRODUCT(('Rate Lookup'!$A$1:$A$32=Y179)*'Rate Lookup'!$C$1:$C$32)))))</f>
      </c>
      <c r="AA179" s="31"/>
      <c r="AB179" s="32"/>
      <c r="AC179" s="27">
        <f>IF($B179&lt;&gt;"Entry","",ROUND(AB179*Z179/100,0))</f>
      </c>
      <c r="AD179" s="27">
        <f>IF($B179&lt;&gt;"Entry","",0)</f>
      </c>
      <c r="AE179" s="27">
        <f>IF($B179&lt;&gt;"Entry","",0)</f>
      </c>
      <c r="AF179" s="27">
        <f>IF($B179&lt;&gt;"Entry","",IF(OR(AC179=0,AA179="",AQ179="",AQ179&lt;=0),0,IF(AQ179&lt;=DATE(YEAR(AA179),MONTH(AA179)+1,7),0,ROUND(AC179*0.015*((YEAR(AQ179)-YEAR(AA179))*12+(MONTH(AQ179)-MONTH(AA179))+1),0))))</f>
      </c>
      <c r="AG179" s="27">
        <f>IF($B179&lt;&gt;"Entry","",0)</f>
      </c>
      <c r="AH179" s="28"/>
      <c r="AI179" s="28"/>
      <c r="AJ179" s="33"/>
      <c r="AK179" s="28"/>
      <c r="AL179" s="28"/>
      <c r="AM179" s="27">
        <f>IF($B179&lt;&gt;"Challan","",SUMIF($D$4:$D$207,D179,$AC$4:$AC$207)+SUMIF($D$4:$D$207,D179,$AF$4:$AF$207)+SUMIF($D$4:$D$207,D179,$AD$4:$AD$207))</f>
      </c>
      <c r="AN179" s="27">
        <f>IF($B179&lt;&gt;"Challan","",O179-M179)</f>
      </c>
      <c r="AO179" s="27">
        <f>IF($B179&lt;&gt;"Challan","",MAX(0,AN179-AM179))</f>
      </c>
      <c r="AP179" s="29">
        <f>IF($B179&lt;&gt;"Challan","",IF(ROUND(AM179-AN179,2)&gt;0,"Over-applied",IF(ROUND(AM179-AN179,2)=0,"Fully Utilised","Unconsumed")))</f>
      </c>
      <c r="AQ179" s="34">
        <f>IF($B179&lt;&gt;"Entry","",SUMPRODUCT(($D$4:$D$207=D179)*($B$4:$B$207="Challan")*$E$4:$E$207))</f>
      </c>
      <c r="AR179" s="35">
        <f>IF(OR($B179&lt;&gt;"Entry",Y179=""),FALSE,AND(SUMPRODUCT(($D$4:$D$207=D179)*($B$4:$B$207="Challan")*($G$4:$G$207&lt;&gt;""))&gt;0,SUMPRODUCT(($D$4:$D$207=D179)*($B$4:$B$207="Challan")*($G$4:$G$207=Y179))=0))</f>
      </c>
    </row>
    <row r="180" spans="1:44" x14ac:dyDescent="0.25">
      <c r="A180" s="21">
        <f>IF($B180="Entry",COUNTIF($B$4:$B180,"Entry"),"")</f>
      </c>
      <c r="B180" s="22"/>
      <c r="C180" s="23"/>
      <c r="D180" s="23"/>
      <c r="E180" s="24"/>
      <c r="F180" s="25"/>
      <c r="G180" s="25"/>
      <c r="H180" s="26"/>
      <c r="I180" s="26"/>
      <c r="J180" s="26"/>
      <c r="K180" s="26"/>
      <c r="L180" s="26"/>
      <c r="M180" s="26"/>
      <c r="N180" s="26"/>
      <c r="O180" s="27">
        <f>IF($B180&lt;&gt;"Challan","",H180+I180+J180+K180+L180+M180)</f>
      </c>
      <c r="P180" s="25"/>
      <c r="Q180" s="25"/>
      <c r="R180" s="25"/>
      <c r="S180" s="25"/>
      <c r="T180" s="25"/>
      <c r="U180" s="28"/>
      <c r="V180" s="28"/>
      <c r="W180" s="28"/>
      <c r="X180" s="29">
        <f>IF($B180&lt;&gt;"Entry","",IF(LEN(V180)&lt;4,"",IF(MID(V180,4,1)="P","Individual",IF(MID(V180,4,1)="H","HUF",IF(MID(V180,4,1)="C","Company",IF(MID(V180,4,1)="F","Firm",IF(MID(V180,4,1)="L","LLP",IF(MID(V180,4,1)="T","Trust",IF(MID(V180,4,1)="A","AOP",""))))))))</f>
      </c>
      <c r="Y180" s="28"/>
      <c r="Z180" s="30">
        <f>IF($B180&lt;&gt;"Entry","",IF(Y180="","",IF(W180="Y",SUMPRODUCT(('Rate Lookup'!$A$1:$A$32=Y180)*'Rate Lookup'!$D$1:$D$32),IF(OR(X180="Individual",X180="HUF"),SUMPRODUCT(('Rate Lookup'!$A$1:$A$32=Y180)*'Rate Lookup'!$B$1:$B$32),SUMPRODUCT(('Rate Lookup'!$A$1:$A$32=Y180)*'Rate Lookup'!$C$1:$C$32)))))</f>
      </c>
      <c r="AA180" s="31"/>
      <c r="AB180" s="32"/>
      <c r="AC180" s="27">
        <f>IF($B180&lt;&gt;"Entry","",ROUND(AB180*Z180/100,0))</f>
      </c>
      <c r="AD180" s="27">
        <f>IF($B180&lt;&gt;"Entry","",0)</f>
      </c>
      <c r="AE180" s="27">
        <f>IF($B180&lt;&gt;"Entry","",0)</f>
      </c>
      <c r="AF180" s="27">
        <f>IF($B180&lt;&gt;"Entry","",IF(OR(AC180=0,AA180="",AQ180="",AQ180&lt;=0),0,IF(AQ180&lt;=DATE(YEAR(AA180),MONTH(AA180)+1,7),0,ROUND(AC180*0.015*((YEAR(AQ180)-YEAR(AA180))*12+(MONTH(AQ180)-MONTH(AA180))+1),0))))</f>
      </c>
      <c r="AG180" s="27">
        <f>IF($B180&lt;&gt;"Entry","",0)</f>
      </c>
      <c r="AH180" s="28"/>
      <c r="AI180" s="28"/>
      <c r="AJ180" s="33"/>
      <c r="AK180" s="28"/>
      <c r="AL180" s="28"/>
      <c r="AM180" s="27">
        <f>IF($B180&lt;&gt;"Challan","",SUMIF($D$4:$D$207,D180,$AC$4:$AC$207)+SUMIF($D$4:$D$207,D180,$AF$4:$AF$207)+SUMIF($D$4:$D$207,D180,$AD$4:$AD$207))</f>
      </c>
      <c r="AN180" s="27">
        <f>IF($B180&lt;&gt;"Challan","",O180-M180)</f>
      </c>
      <c r="AO180" s="27">
        <f>IF($B180&lt;&gt;"Challan","",MAX(0,AN180-AM180))</f>
      </c>
      <c r="AP180" s="29">
        <f>IF($B180&lt;&gt;"Challan","",IF(ROUND(AM180-AN180,2)&gt;0,"Over-applied",IF(ROUND(AM180-AN180,2)=0,"Fully Utilised","Unconsumed")))</f>
      </c>
      <c r="AQ180" s="34">
        <f>IF($B180&lt;&gt;"Entry","",SUMPRODUCT(($D$4:$D$207=D180)*($B$4:$B$207="Challan")*$E$4:$E$207))</f>
      </c>
      <c r="AR180" s="35">
        <f>IF(OR($B180&lt;&gt;"Entry",Y180=""),FALSE,AND(SUMPRODUCT(($D$4:$D$207=D180)*($B$4:$B$207="Challan")*($G$4:$G$207&lt;&gt;""))&gt;0,SUMPRODUCT(($D$4:$D$207=D180)*($B$4:$B$207="Challan")*($G$4:$G$207=Y180))=0))</f>
      </c>
    </row>
    <row r="181" spans="1:44" x14ac:dyDescent="0.25">
      <c r="A181" s="21">
        <f>IF($B181="Entry",COUNTIF($B$4:$B181,"Entry"),"")</f>
      </c>
      <c r="B181" s="22"/>
      <c r="C181" s="23"/>
      <c r="D181" s="23"/>
      <c r="E181" s="24"/>
      <c r="F181" s="25"/>
      <c r="G181" s="25"/>
      <c r="H181" s="26"/>
      <c r="I181" s="26"/>
      <c r="J181" s="26"/>
      <c r="K181" s="26"/>
      <c r="L181" s="26"/>
      <c r="M181" s="26"/>
      <c r="N181" s="26"/>
      <c r="O181" s="27">
        <f>IF($B181&lt;&gt;"Challan","",H181+I181+J181+K181+L181+M181)</f>
      </c>
      <c r="P181" s="25"/>
      <c r="Q181" s="25"/>
      <c r="R181" s="25"/>
      <c r="S181" s="25"/>
      <c r="T181" s="25"/>
      <c r="U181" s="28"/>
      <c r="V181" s="28"/>
      <c r="W181" s="28"/>
      <c r="X181" s="29">
        <f>IF($B181&lt;&gt;"Entry","",IF(LEN(V181)&lt;4,"",IF(MID(V181,4,1)="P","Individual",IF(MID(V181,4,1)="H","HUF",IF(MID(V181,4,1)="C","Company",IF(MID(V181,4,1)="F","Firm",IF(MID(V181,4,1)="L","LLP",IF(MID(V181,4,1)="T","Trust",IF(MID(V181,4,1)="A","AOP",""))))))))</f>
      </c>
      <c r="Y181" s="28"/>
      <c r="Z181" s="30">
        <f>IF($B181&lt;&gt;"Entry","",IF(Y181="","",IF(W181="Y",SUMPRODUCT(('Rate Lookup'!$A$1:$A$32=Y181)*'Rate Lookup'!$D$1:$D$32),IF(OR(X181="Individual",X181="HUF"),SUMPRODUCT(('Rate Lookup'!$A$1:$A$32=Y181)*'Rate Lookup'!$B$1:$B$32),SUMPRODUCT(('Rate Lookup'!$A$1:$A$32=Y181)*'Rate Lookup'!$C$1:$C$32)))))</f>
      </c>
      <c r="AA181" s="31"/>
      <c r="AB181" s="32"/>
      <c r="AC181" s="27">
        <f>IF($B181&lt;&gt;"Entry","",ROUND(AB181*Z181/100,0))</f>
      </c>
      <c r="AD181" s="27">
        <f>IF($B181&lt;&gt;"Entry","",0)</f>
      </c>
      <c r="AE181" s="27">
        <f>IF($B181&lt;&gt;"Entry","",0)</f>
      </c>
      <c r="AF181" s="27">
        <f>IF($B181&lt;&gt;"Entry","",IF(OR(AC181=0,AA181="",AQ181="",AQ181&lt;=0),0,IF(AQ181&lt;=DATE(YEAR(AA181),MONTH(AA181)+1,7),0,ROUND(AC181*0.015*((YEAR(AQ181)-YEAR(AA181))*12+(MONTH(AQ181)-MONTH(AA181))+1),0))))</f>
      </c>
      <c r="AG181" s="27">
        <f>IF($B181&lt;&gt;"Entry","",0)</f>
      </c>
      <c r="AH181" s="28"/>
      <c r="AI181" s="28"/>
      <c r="AJ181" s="33"/>
      <c r="AK181" s="28"/>
      <c r="AL181" s="28"/>
      <c r="AM181" s="27">
        <f>IF($B181&lt;&gt;"Challan","",SUMIF($D$4:$D$207,D181,$AC$4:$AC$207)+SUMIF($D$4:$D$207,D181,$AF$4:$AF$207)+SUMIF($D$4:$D$207,D181,$AD$4:$AD$207))</f>
      </c>
      <c r="AN181" s="27">
        <f>IF($B181&lt;&gt;"Challan","",O181-M181)</f>
      </c>
      <c r="AO181" s="27">
        <f>IF($B181&lt;&gt;"Challan","",MAX(0,AN181-AM181))</f>
      </c>
      <c r="AP181" s="29">
        <f>IF($B181&lt;&gt;"Challan","",IF(ROUND(AM181-AN181,2)&gt;0,"Over-applied",IF(ROUND(AM181-AN181,2)=0,"Fully Utilised","Unconsumed")))</f>
      </c>
      <c r="AQ181" s="34">
        <f>IF($B181&lt;&gt;"Entry","",SUMPRODUCT(($D$4:$D$207=D181)*($B$4:$B$207="Challan")*$E$4:$E$207))</f>
      </c>
      <c r="AR181" s="35">
        <f>IF(OR($B181&lt;&gt;"Entry",Y181=""),FALSE,AND(SUMPRODUCT(($D$4:$D$207=D181)*($B$4:$B$207="Challan")*($G$4:$G$207&lt;&gt;""))&gt;0,SUMPRODUCT(($D$4:$D$207=D181)*($B$4:$B$207="Challan")*($G$4:$G$207=Y181))=0))</f>
      </c>
    </row>
    <row r="182" spans="1:44" x14ac:dyDescent="0.25">
      <c r="A182" s="21">
        <f>IF($B182="Entry",COUNTIF($B$4:$B182,"Entry"),"")</f>
      </c>
      <c r="B182" s="22"/>
      <c r="C182" s="23"/>
      <c r="D182" s="23"/>
      <c r="E182" s="24"/>
      <c r="F182" s="25"/>
      <c r="G182" s="25"/>
      <c r="H182" s="26"/>
      <c r="I182" s="26"/>
      <c r="J182" s="26"/>
      <c r="K182" s="26"/>
      <c r="L182" s="26"/>
      <c r="M182" s="26"/>
      <c r="N182" s="26"/>
      <c r="O182" s="27">
        <f>IF($B182&lt;&gt;"Challan","",H182+I182+J182+K182+L182+M182)</f>
      </c>
      <c r="P182" s="25"/>
      <c r="Q182" s="25"/>
      <c r="R182" s="25"/>
      <c r="S182" s="25"/>
      <c r="T182" s="25"/>
      <c r="U182" s="28"/>
      <c r="V182" s="28"/>
      <c r="W182" s="28"/>
      <c r="X182" s="29">
        <f>IF($B182&lt;&gt;"Entry","",IF(LEN(V182)&lt;4,"",IF(MID(V182,4,1)="P","Individual",IF(MID(V182,4,1)="H","HUF",IF(MID(V182,4,1)="C","Company",IF(MID(V182,4,1)="F","Firm",IF(MID(V182,4,1)="L","LLP",IF(MID(V182,4,1)="T","Trust",IF(MID(V182,4,1)="A","AOP",""))))))))</f>
      </c>
      <c r="Y182" s="28"/>
      <c r="Z182" s="30">
        <f>IF($B182&lt;&gt;"Entry","",IF(Y182="","",IF(W182="Y",SUMPRODUCT(('Rate Lookup'!$A$1:$A$32=Y182)*'Rate Lookup'!$D$1:$D$32),IF(OR(X182="Individual",X182="HUF"),SUMPRODUCT(('Rate Lookup'!$A$1:$A$32=Y182)*'Rate Lookup'!$B$1:$B$32),SUMPRODUCT(('Rate Lookup'!$A$1:$A$32=Y182)*'Rate Lookup'!$C$1:$C$32)))))</f>
      </c>
      <c r="AA182" s="31"/>
      <c r="AB182" s="32"/>
      <c r="AC182" s="27">
        <f>IF($B182&lt;&gt;"Entry","",ROUND(AB182*Z182/100,0))</f>
      </c>
      <c r="AD182" s="27">
        <f>IF($B182&lt;&gt;"Entry","",0)</f>
      </c>
      <c r="AE182" s="27">
        <f>IF($B182&lt;&gt;"Entry","",0)</f>
      </c>
      <c r="AF182" s="27">
        <f>IF($B182&lt;&gt;"Entry","",IF(OR(AC182=0,AA182="",AQ182="",AQ182&lt;=0),0,IF(AQ182&lt;=DATE(YEAR(AA182),MONTH(AA182)+1,7),0,ROUND(AC182*0.015*((YEAR(AQ182)-YEAR(AA182))*12+(MONTH(AQ182)-MONTH(AA182))+1),0))))</f>
      </c>
      <c r="AG182" s="27">
        <f>IF($B182&lt;&gt;"Entry","",0)</f>
      </c>
      <c r="AH182" s="28"/>
      <c r="AI182" s="28"/>
      <c r="AJ182" s="33"/>
      <c r="AK182" s="28"/>
      <c r="AL182" s="28"/>
      <c r="AM182" s="27">
        <f>IF($B182&lt;&gt;"Challan","",SUMIF($D$4:$D$207,D182,$AC$4:$AC$207)+SUMIF($D$4:$D$207,D182,$AF$4:$AF$207)+SUMIF($D$4:$D$207,D182,$AD$4:$AD$207))</f>
      </c>
      <c r="AN182" s="27">
        <f>IF($B182&lt;&gt;"Challan","",O182-M182)</f>
      </c>
      <c r="AO182" s="27">
        <f>IF($B182&lt;&gt;"Challan","",MAX(0,AN182-AM182))</f>
      </c>
      <c r="AP182" s="29">
        <f>IF($B182&lt;&gt;"Challan","",IF(ROUND(AM182-AN182,2)&gt;0,"Over-applied",IF(ROUND(AM182-AN182,2)=0,"Fully Utilised","Unconsumed")))</f>
      </c>
      <c r="AQ182" s="34">
        <f>IF($B182&lt;&gt;"Entry","",SUMPRODUCT(($D$4:$D$207=D182)*($B$4:$B$207="Challan")*$E$4:$E$207))</f>
      </c>
      <c r="AR182" s="35">
        <f>IF(OR($B182&lt;&gt;"Entry",Y182=""),FALSE,AND(SUMPRODUCT(($D$4:$D$207=D182)*($B$4:$B$207="Challan")*($G$4:$G$207&lt;&gt;""))&gt;0,SUMPRODUCT(($D$4:$D$207=D182)*($B$4:$B$207="Challan")*($G$4:$G$207=Y182))=0))</f>
      </c>
    </row>
    <row r="183" spans="1:44" x14ac:dyDescent="0.25">
      <c r="A183" s="21">
        <f>IF($B183="Entry",COUNTIF($B$4:$B183,"Entry"),"")</f>
      </c>
      <c r="B183" s="22"/>
      <c r="C183" s="23"/>
      <c r="D183" s="23"/>
      <c r="E183" s="24"/>
      <c r="F183" s="25"/>
      <c r="G183" s="25"/>
      <c r="H183" s="26"/>
      <c r="I183" s="26"/>
      <c r="J183" s="26"/>
      <c r="K183" s="26"/>
      <c r="L183" s="26"/>
      <c r="M183" s="26"/>
      <c r="N183" s="26"/>
      <c r="O183" s="27">
        <f>IF($B183&lt;&gt;"Challan","",H183+I183+J183+K183+L183+M183)</f>
      </c>
      <c r="P183" s="25"/>
      <c r="Q183" s="25"/>
      <c r="R183" s="25"/>
      <c r="S183" s="25"/>
      <c r="T183" s="25"/>
      <c r="U183" s="28"/>
      <c r="V183" s="28"/>
      <c r="W183" s="28"/>
      <c r="X183" s="29">
        <f>IF($B183&lt;&gt;"Entry","",IF(LEN(V183)&lt;4,"",IF(MID(V183,4,1)="P","Individual",IF(MID(V183,4,1)="H","HUF",IF(MID(V183,4,1)="C","Company",IF(MID(V183,4,1)="F","Firm",IF(MID(V183,4,1)="L","LLP",IF(MID(V183,4,1)="T","Trust",IF(MID(V183,4,1)="A","AOP",""))))))))</f>
      </c>
      <c r="Y183" s="28"/>
      <c r="Z183" s="30">
        <f>IF($B183&lt;&gt;"Entry","",IF(Y183="","",IF(W183="Y",SUMPRODUCT(('Rate Lookup'!$A$1:$A$32=Y183)*'Rate Lookup'!$D$1:$D$32),IF(OR(X183="Individual",X183="HUF"),SUMPRODUCT(('Rate Lookup'!$A$1:$A$32=Y183)*'Rate Lookup'!$B$1:$B$32),SUMPRODUCT(('Rate Lookup'!$A$1:$A$32=Y183)*'Rate Lookup'!$C$1:$C$32)))))</f>
      </c>
      <c r="AA183" s="31"/>
      <c r="AB183" s="32"/>
      <c r="AC183" s="27">
        <f>IF($B183&lt;&gt;"Entry","",ROUND(AB183*Z183/100,0))</f>
      </c>
      <c r="AD183" s="27">
        <f>IF($B183&lt;&gt;"Entry","",0)</f>
      </c>
      <c r="AE183" s="27">
        <f>IF($B183&lt;&gt;"Entry","",0)</f>
      </c>
      <c r="AF183" s="27">
        <f>IF($B183&lt;&gt;"Entry","",IF(OR(AC183=0,AA183="",AQ183="",AQ183&lt;=0),0,IF(AQ183&lt;=DATE(YEAR(AA183),MONTH(AA183)+1,7),0,ROUND(AC183*0.015*((YEAR(AQ183)-YEAR(AA183))*12+(MONTH(AQ183)-MONTH(AA183))+1),0))))</f>
      </c>
      <c r="AG183" s="27">
        <f>IF($B183&lt;&gt;"Entry","",0)</f>
      </c>
      <c r="AH183" s="28"/>
      <c r="AI183" s="28"/>
      <c r="AJ183" s="33"/>
      <c r="AK183" s="28"/>
      <c r="AL183" s="28"/>
      <c r="AM183" s="27">
        <f>IF($B183&lt;&gt;"Challan","",SUMIF($D$4:$D$207,D183,$AC$4:$AC$207)+SUMIF($D$4:$D$207,D183,$AF$4:$AF$207)+SUMIF($D$4:$D$207,D183,$AD$4:$AD$207))</f>
      </c>
      <c r="AN183" s="27">
        <f>IF($B183&lt;&gt;"Challan","",O183-M183)</f>
      </c>
      <c r="AO183" s="27">
        <f>IF($B183&lt;&gt;"Challan","",MAX(0,AN183-AM183))</f>
      </c>
      <c r="AP183" s="29">
        <f>IF($B183&lt;&gt;"Challan","",IF(ROUND(AM183-AN183,2)&gt;0,"Over-applied",IF(ROUND(AM183-AN183,2)=0,"Fully Utilised","Unconsumed")))</f>
      </c>
      <c r="AQ183" s="34">
        <f>IF($B183&lt;&gt;"Entry","",SUMPRODUCT(($D$4:$D$207=D183)*($B$4:$B$207="Challan")*$E$4:$E$207))</f>
      </c>
      <c r="AR183" s="35">
        <f>IF(OR($B183&lt;&gt;"Entry",Y183=""),FALSE,AND(SUMPRODUCT(($D$4:$D$207=D183)*($B$4:$B$207="Challan")*($G$4:$G$207&lt;&gt;""))&gt;0,SUMPRODUCT(($D$4:$D$207=D183)*($B$4:$B$207="Challan")*($G$4:$G$207=Y183))=0))</f>
      </c>
    </row>
    <row r="184" spans="1:44" x14ac:dyDescent="0.25">
      <c r="A184" s="21">
        <f>IF($B184="Entry",COUNTIF($B$4:$B184,"Entry"),"")</f>
      </c>
      <c r="B184" s="22"/>
      <c r="C184" s="23"/>
      <c r="D184" s="23"/>
      <c r="E184" s="24"/>
      <c r="F184" s="25"/>
      <c r="G184" s="25"/>
      <c r="H184" s="26"/>
      <c r="I184" s="26"/>
      <c r="J184" s="26"/>
      <c r="K184" s="26"/>
      <c r="L184" s="26"/>
      <c r="M184" s="26"/>
      <c r="N184" s="26"/>
      <c r="O184" s="27">
        <f>IF($B184&lt;&gt;"Challan","",H184+I184+J184+K184+L184+M184)</f>
      </c>
      <c r="P184" s="25"/>
      <c r="Q184" s="25"/>
      <c r="R184" s="25"/>
      <c r="S184" s="25"/>
      <c r="T184" s="25"/>
      <c r="U184" s="28"/>
      <c r="V184" s="28"/>
      <c r="W184" s="28"/>
      <c r="X184" s="29">
        <f>IF($B184&lt;&gt;"Entry","",IF(LEN(V184)&lt;4,"",IF(MID(V184,4,1)="P","Individual",IF(MID(V184,4,1)="H","HUF",IF(MID(V184,4,1)="C","Company",IF(MID(V184,4,1)="F","Firm",IF(MID(V184,4,1)="L","LLP",IF(MID(V184,4,1)="T","Trust",IF(MID(V184,4,1)="A","AOP",""))))))))</f>
      </c>
      <c r="Y184" s="28"/>
      <c r="Z184" s="30">
        <f>IF($B184&lt;&gt;"Entry","",IF(Y184="","",IF(W184="Y",SUMPRODUCT(('Rate Lookup'!$A$1:$A$32=Y184)*'Rate Lookup'!$D$1:$D$32),IF(OR(X184="Individual",X184="HUF"),SUMPRODUCT(('Rate Lookup'!$A$1:$A$32=Y184)*'Rate Lookup'!$B$1:$B$32),SUMPRODUCT(('Rate Lookup'!$A$1:$A$32=Y184)*'Rate Lookup'!$C$1:$C$32)))))</f>
      </c>
      <c r="AA184" s="31"/>
      <c r="AB184" s="32"/>
      <c r="AC184" s="27">
        <f>IF($B184&lt;&gt;"Entry","",ROUND(AB184*Z184/100,0))</f>
      </c>
      <c r="AD184" s="27">
        <f>IF($B184&lt;&gt;"Entry","",0)</f>
      </c>
      <c r="AE184" s="27">
        <f>IF($B184&lt;&gt;"Entry","",0)</f>
      </c>
      <c r="AF184" s="27">
        <f>IF($B184&lt;&gt;"Entry","",IF(OR(AC184=0,AA184="",AQ184="",AQ184&lt;=0),0,IF(AQ184&lt;=DATE(YEAR(AA184),MONTH(AA184)+1,7),0,ROUND(AC184*0.015*((YEAR(AQ184)-YEAR(AA184))*12+(MONTH(AQ184)-MONTH(AA184))+1),0))))</f>
      </c>
      <c r="AG184" s="27">
        <f>IF($B184&lt;&gt;"Entry","",0)</f>
      </c>
      <c r="AH184" s="28"/>
      <c r="AI184" s="28"/>
      <c r="AJ184" s="33"/>
      <c r="AK184" s="28"/>
      <c r="AL184" s="28"/>
      <c r="AM184" s="27">
        <f>IF($B184&lt;&gt;"Challan","",SUMIF($D$4:$D$207,D184,$AC$4:$AC$207)+SUMIF($D$4:$D$207,D184,$AF$4:$AF$207)+SUMIF($D$4:$D$207,D184,$AD$4:$AD$207))</f>
      </c>
      <c r="AN184" s="27">
        <f>IF($B184&lt;&gt;"Challan","",O184-M184)</f>
      </c>
      <c r="AO184" s="27">
        <f>IF($B184&lt;&gt;"Challan","",MAX(0,AN184-AM184))</f>
      </c>
      <c r="AP184" s="29">
        <f>IF($B184&lt;&gt;"Challan","",IF(ROUND(AM184-AN184,2)&gt;0,"Over-applied",IF(ROUND(AM184-AN184,2)=0,"Fully Utilised","Unconsumed")))</f>
      </c>
      <c r="AQ184" s="34">
        <f>IF($B184&lt;&gt;"Entry","",SUMPRODUCT(($D$4:$D$207=D184)*($B$4:$B$207="Challan")*$E$4:$E$207))</f>
      </c>
      <c r="AR184" s="35">
        <f>IF(OR($B184&lt;&gt;"Entry",Y184=""),FALSE,AND(SUMPRODUCT(($D$4:$D$207=D184)*($B$4:$B$207="Challan")*($G$4:$G$207&lt;&gt;""))&gt;0,SUMPRODUCT(($D$4:$D$207=D184)*($B$4:$B$207="Challan")*($G$4:$G$207=Y184))=0))</f>
      </c>
    </row>
    <row r="185" spans="1:44" x14ac:dyDescent="0.25">
      <c r="A185" s="21">
        <f>IF($B185="Entry",COUNTIF($B$4:$B185,"Entry"),"")</f>
      </c>
      <c r="B185" s="22"/>
      <c r="C185" s="23"/>
      <c r="D185" s="23"/>
      <c r="E185" s="24"/>
      <c r="F185" s="25"/>
      <c r="G185" s="25"/>
      <c r="H185" s="26"/>
      <c r="I185" s="26"/>
      <c r="J185" s="26"/>
      <c r="K185" s="26"/>
      <c r="L185" s="26"/>
      <c r="M185" s="26"/>
      <c r="N185" s="26"/>
      <c r="O185" s="27">
        <f>IF($B185&lt;&gt;"Challan","",H185+I185+J185+K185+L185+M185)</f>
      </c>
      <c r="P185" s="25"/>
      <c r="Q185" s="25"/>
      <c r="R185" s="25"/>
      <c r="S185" s="25"/>
      <c r="T185" s="25"/>
      <c r="U185" s="28"/>
      <c r="V185" s="28"/>
      <c r="W185" s="28"/>
      <c r="X185" s="29">
        <f>IF($B185&lt;&gt;"Entry","",IF(LEN(V185)&lt;4,"",IF(MID(V185,4,1)="P","Individual",IF(MID(V185,4,1)="H","HUF",IF(MID(V185,4,1)="C","Company",IF(MID(V185,4,1)="F","Firm",IF(MID(V185,4,1)="L","LLP",IF(MID(V185,4,1)="T","Trust",IF(MID(V185,4,1)="A","AOP",""))))))))</f>
      </c>
      <c r="Y185" s="28"/>
      <c r="Z185" s="30">
        <f>IF($B185&lt;&gt;"Entry","",IF(Y185="","",IF(W185="Y",SUMPRODUCT(('Rate Lookup'!$A$1:$A$32=Y185)*'Rate Lookup'!$D$1:$D$32),IF(OR(X185="Individual",X185="HUF"),SUMPRODUCT(('Rate Lookup'!$A$1:$A$32=Y185)*'Rate Lookup'!$B$1:$B$32),SUMPRODUCT(('Rate Lookup'!$A$1:$A$32=Y185)*'Rate Lookup'!$C$1:$C$32)))))</f>
      </c>
      <c r="AA185" s="31"/>
      <c r="AB185" s="32"/>
      <c r="AC185" s="27">
        <f>IF($B185&lt;&gt;"Entry","",ROUND(AB185*Z185/100,0))</f>
      </c>
      <c r="AD185" s="27">
        <f>IF($B185&lt;&gt;"Entry","",0)</f>
      </c>
      <c r="AE185" s="27">
        <f>IF($B185&lt;&gt;"Entry","",0)</f>
      </c>
      <c r="AF185" s="27">
        <f>IF($B185&lt;&gt;"Entry","",IF(OR(AC185=0,AA185="",AQ185="",AQ185&lt;=0),0,IF(AQ185&lt;=DATE(YEAR(AA185),MONTH(AA185)+1,7),0,ROUND(AC185*0.015*((YEAR(AQ185)-YEAR(AA185))*12+(MONTH(AQ185)-MONTH(AA185))+1),0))))</f>
      </c>
      <c r="AG185" s="27">
        <f>IF($B185&lt;&gt;"Entry","",0)</f>
      </c>
      <c r="AH185" s="28"/>
      <c r="AI185" s="28"/>
      <c r="AJ185" s="33"/>
      <c r="AK185" s="28"/>
      <c r="AL185" s="28"/>
      <c r="AM185" s="27">
        <f>IF($B185&lt;&gt;"Challan","",SUMIF($D$4:$D$207,D185,$AC$4:$AC$207)+SUMIF($D$4:$D$207,D185,$AF$4:$AF$207)+SUMIF($D$4:$D$207,D185,$AD$4:$AD$207))</f>
      </c>
      <c r="AN185" s="27">
        <f>IF($B185&lt;&gt;"Challan","",O185-M185)</f>
      </c>
      <c r="AO185" s="27">
        <f>IF($B185&lt;&gt;"Challan","",MAX(0,AN185-AM185))</f>
      </c>
      <c r="AP185" s="29">
        <f>IF($B185&lt;&gt;"Challan","",IF(ROUND(AM185-AN185,2)&gt;0,"Over-applied",IF(ROUND(AM185-AN185,2)=0,"Fully Utilised","Unconsumed")))</f>
      </c>
      <c r="AQ185" s="34">
        <f>IF($B185&lt;&gt;"Entry","",SUMPRODUCT(($D$4:$D$207=D185)*($B$4:$B$207="Challan")*$E$4:$E$207))</f>
      </c>
      <c r="AR185" s="35">
        <f>IF(OR($B185&lt;&gt;"Entry",Y185=""),FALSE,AND(SUMPRODUCT(($D$4:$D$207=D185)*($B$4:$B$207="Challan")*($G$4:$G$207&lt;&gt;""))&gt;0,SUMPRODUCT(($D$4:$D$207=D185)*($B$4:$B$207="Challan")*($G$4:$G$207=Y185))=0))</f>
      </c>
    </row>
    <row r="186" spans="1:44" x14ac:dyDescent="0.25">
      <c r="A186" s="21">
        <f>IF($B186="Entry",COUNTIF($B$4:$B186,"Entry"),"")</f>
      </c>
      <c r="B186" s="22"/>
      <c r="C186" s="23"/>
      <c r="D186" s="23"/>
      <c r="E186" s="24"/>
      <c r="F186" s="25"/>
      <c r="G186" s="25"/>
      <c r="H186" s="26"/>
      <c r="I186" s="26"/>
      <c r="J186" s="26"/>
      <c r="K186" s="26"/>
      <c r="L186" s="26"/>
      <c r="M186" s="26"/>
      <c r="N186" s="26"/>
      <c r="O186" s="27">
        <f>IF($B186&lt;&gt;"Challan","",H186+I186+J186+K186+L186+M186)</f>
      </c>
      <c r="P186" s="25"/>
      <c r="Q186" s="25"/>
      <c r="R186" s="25"/>
      <c r="S186" s="25"/>
      <c r="T186" s="25"/>
      <c r="U186" s="28"/>
      <c r="V186" s="28"/>
      <c r="W186" s="28"/>
      <c r="X186" s="29">
        <f>IF($B186&lt;&gt;"Entry","",IF(LEN(V186)&lt;4,"",IF(MID(V186,4,1)="P","Individual",IF(MID(V186,4,1)="H","HUF",IF(MID(V186,4,1)="C","Company",IF(MID(V186,4,1)="F","Firm",IF(MID(V186,4,1)="L","LLP",IF(MID(V186,4,1)="T","Trust",IF(MID(V186,4,1)="A","AOP",""))))))))</f>
      </c>
      <c r="Y186" s="28"/>
      <c r="Z186" s="30">
        <f>IF($B186&lt;&gt;"Entry","",IF(Y186="","",IF(W186="Y",SUMPRODUCT(('Rate Lookup'!$A$1:$A$32=Y186)*'Rate Lookup'!$D$1:$D$32),IF(OR(X186="Individual",X186="HUF"),SUMPRODUCT(('Rate Lookup'!$A$1:$A$32=Y186)*'Rate Lookup'!$B$1:$B$32),SUMPRODUCT(('Rate Lookup'!$A$1:$A$32=Y186)*'Rate Lookup'!$C$1:$C$32)))))</f>
      </c>
      <c r="AA186" s="31"/>
      <c r="AB186" s="32"/>
      <c r="AC186" s="27">
        <f>IF($B186&lt;&gt;"Entry","",ROUND(AB186*Z186/100,0))</f>
      </c>
      <c r="AD186" s="27">
        <f>IF($B186&lt;&gt;"Entry","",0)</f>
      </c>
      <c r="AE186" s="27">
        <f>IF($B186&lt;&gt;"Entry","",0)</f>
      </c>
      <c r="AF186" s="27">
        <f>IF($B186&lt;&gt;"Entry","",IF(OR(AC186=0,AA186="",AQ186="",AQ186&lt;=0),0,IF(AQ186&lt;=DATE(YEAR(AA186),MONTH(AA186)+1,7),0,ROUND(AC186*0.015*((YEAR(AQ186)-YEAR(AA186))*12+(MONTH(AQ186)-MONTH(AA186))+1),0))))</f>
      </c>
      <c r="AG186" s="27">
        <f>IF($B186&lt;&gt;"Entry","",0)</f>
      </c>
      <c r="AH186" s="28"/>
      <c r="AI186" s="28"/>
      <c r="AJ186" s="33"/>
      <c r="AK186" s="28"/>
      <c r="AL186" s="28"/>
      <c r="AM186" s="27">
        <f>IF($B186&lt;&gt;"Challan","",SUMIF($D$4:$D$207,D186,$AC$4:$AC$207)+SUMIF($D$4:$D$207,D186,$AF$4:$AF$207)+SUMIF($D$4:$D$207,D186,$AD$4:$AD$207))</f>
      </c>
      <c r="AN186" s="27">
        <f>IF($B186&lt;&gt;"Challan","",O186-M186)</f>
      </c>
      <c r="AO186" s="27">
        <f>IF($B186&lt;&gt;"Challan","",MAX(0,AN186-AM186))</f>
      </c>
      <c r="AP186" s="29">
        <f>IF($B186&lt;&gt;"Challan","",IF(ROUND(AM186-AN186,2)&gt;0,"Over-applied",IF(ROUND(AM186-AN186,2)=0,"Fully Utilised","Unconsumed")))</f>
      </c>
      <c r="AQ186" s="34">
        <f>IF($B186&lt;&gt;"Entry","",SUMPRODUCT(($D$4:$D$207=D186)*($B$4:$B$207="Challan")*$E$4:$E$207))</f>
      </c>
      <c r="AR186" s="35">
        <f>IF(OR($B186&lt;&gt;"Entry",Y186=""),FALSE,AND(SUMPRODUCT(($D$4:$D$207=D186)*($B$4:$B$207="Challan")*($G$4:$G$207&lt;&gt;""))&gt;0,SUMPRODUCT(($D$4:$D$207=D186)*($B$4:$B$207="Challan")*($G$4:$G$207=Y186))=0))</f>
      </c>
    </row>
    <row r="187" spans="1:44" x14ac:dyDescent="0.25">
      <c r="A187" s="21">
        <f>IF($B187="Entry",COUNTIF($B$4:$B187,"Entry"),"")</f>
      </c>
      <c r="B187" s="22"/>
      <c r="C187" s="23"/>
      <c r="D187" s="23"/>
      <c r="E187" s="24"/>
      <c r="F187" s="25"/>
      <c r="G187" s="25"/>
      <c r="H187" s="26"/>
      <c r="I187" s="26"/>
      <c r="J187" s="26"/>
      <c r="K187" s="26"/>
      <c r="L187" s="26"/>
      <c r="M187" s="26"/>
      <c r="N187" s="26"/>
      <c r="O187" s="27">
        <f>IF($B187&lt;&gt;"Challan","",H187+I187+J187+K187+L187+M187)</f>
      </c>
      <c r="P187" s="25"/>
      <c r="Q187" s="25"/>
      <c r="R187" s="25"/>
      <c r="S187" s="25"/>
      <c r="T187" s="25"/>
      <c r="U187" s="28"/>
      <c r="V187" s="28"/>
      <c r="W187" s="28"/>
      <c r="X187" s="29">
        <f>IF($B187&lt;&gt;"Entry","",IF(LEN(V187)&lt;4,"",IF(MID(V187,4,1)="P","Individual",IF(MID(V187,4,1)="H","HUF",IF(MID(V187,4,1)="C","Company",IF(MID(V187,4,1)="F","Firm",IF(MID(V187,4,1)="L","LLP",IF(MID(V187,4,1)="T","Trust",IF(MID(V187,4,1)="A","AOP",""))))))))</f>
      </c>
      <c r="Y187" s="28"/>
      <c r="Z187" s="30">
        <f>IF($B187&lt;&gt;"Entry","",IF(Y187="","",IF(W187="Y",SUMPRODUCT(('Rate Lookup'!$A$1:$A$32=Y187)*'Rate Lookup'!$D$1:$D$32),IF(OR(X187="Individual",X187="HUF"),SUMPRODUCT(('Rate Lookup'!$A$1:$A$32=Y187)*'Rate Lookup'!$B$1:$B$32),SUMPRODUCT(('Rate Lookup'!$A$1:$A$32=Y187)*'Rate Lookup'!$C$1:$C$32)))))</f>
      </c>
      <c r="AA187" s="31"/>
      <c r="AB187" s="32"/>
      <c r="AC187" s="27">
        <f>IF($B187&lt;&gt;"Entry","",ROUND(AB187*Z187/100,0))</f>
      </c>
      <c r="AD187" s="27">
        <f>IF($B187&lt;&gt;"Entry","",0)</f>
      </c>
      <c r="AE187" s="27">
        <f>IF($B187&lt;&gt;"Entry","",0)</f>
      </c>
      <c r="AF187" s="27">
        <f>IF($B187&lt;&gt;"Entry","",IF(OR(AC187=0,AA187="",AQ187="",AQ187&lt;=0),0,IF(AQ187&lt;=DATE(YEAR(AA187),MONTH(AA187)+1,7),0,ROUND(AC187*0.015*((YEAR(AQ187)-YEAR(AA187))*12+(MONTH(AQ187)-MONTH(AA187))+1),0))))</f>
      </c>
      <c r="AG187" s="27">
        <f>IF($B187&lt;&gt;"Entry","",0)</f>
      </c>
      <c r="AH187" s="28"/>
      <c r="AI187" s="28"/>
      <c r="AJ187" s="33"/>
      <c r="AK187" s="28"/>
      <c r="AL187" s="28"/>
      <c r="AM187" s="27">
        <f>IF($B187&lt;&gt;"Challan","",SUMIF($D$4:$D$207,D187,$AC$4:$AC$207)+SUMIF($D$4:$D$207,D187,$AF$4:$AF$207)+SUMIF($D$4:$D$207,D187,$AD$4:$AD$207))</f>
      </c>
      <c r="AN187" s="27">
        <f>IF($B187&lt;&gt;"Challan","",O187-M187)</f>
      </c>
      <c r="AO187" s="27">
        <f>IF($B187&lt;&gt;"Challan","",MAX(0,AN187-AM187))</f>
      </c>
      <c r="AP187" s="29">
        <f>IF($B187&lt;&gt;"Challan","",IF(ROUND(AM187-AN187,2)&gt;0,"Over-applied",IF(ROUND(AM187-AN187,2)=0,"Fully Utilised","Unconsumed")))</f>
      </c>
      <c r="AQ187" s="34">
        <f>IF($B187&lt;&gt;"Entry","",SUMPRODUCT(($D$4:$D$207=D187)*($B$4:$B$207="Challan")*$E$4:$E$207))</f>
      </c>
      <c r="AR187" s="35">
        <f>IF(OR($B187&lt;&gt;"Entry",Y187=""),FALSE,AND(SUMPRODUCT(($D$4:$D$207=D187)*($B$4:$B$207="Challan")*($G$4:$G$207&lt;&gt;""))&gt;0,SUMPRODUCT(($D$4:$D$207=D187)*($B$4:$B$207="Challan")*($G$4:$G$207=Y187))=0))</f>
      </c>
    </row>
    <row r="188" spans="1:44" x14ac:dyDescent="0.25">
      <c r="A188" s="21">
        <f>IF($B188="Entry",COUNTIF($B$4:$B188,"Entry"),"")</f>
      </c>
      <c r="B188" s="22"/>
      <c r="C188" s="23"/>
      <c r="D188" s="23"/>
      <c r="E188" s="24"/>
      <c r="F188" s="25"/>
      <c r="G188" s="25"/>
      <c r="H188" s="26"/>
      <c r="I188" s="26"/>
      <c r="J188" s="26"/>
      <c r="K188" s="26"/>
      <c r="L188" s="26"/>
      <c r="M188" s="26"/>
      <c r="N188" s="26"/>
      <c r="O188" s="27">
        <f>IF($B188&lt;&gt;"Challan","",H188+I188+J188+K188+L188+M188)</f>
      </c>
      <c r="P188" s="25"/>
      <c r="Q188" s="25"/>
      <c r="R188" s="25"/>
      <c r="S188" s="25"/>
      <c r="T188" s="25"/>
      <c r="U188" s="28"/>
      <c r="V188" s="28"/>
      <c r="W188" s="28"/>
      <c r="X188" s="29">
        <f>IF($B188&lt;&gt;"Entry","",IF(LEN(V188)&lt;4,"",IF(MID(V188,4,1)="P","Individual",IF(MID(V188,4,1)="H","HUF",IF(MID(V188,4,1)="C","Company",IF(MID(V188,4,1)="F","Firm",IF(MID(V188,4,1)="L","LLP",IF(MID(V188,4,1)="T","Trust",IF(MID(V188,4,1)="A","AOP",""))))))))</f>
      </c>
      <c r="Y188" s="28"/>
      <c r="Z188" s="30">
        <f>IF($B188&lt;&gt;"Entry","",IF(Y188="","",IF(W188="Y",SUMPRODUCT(('Rate Lookup'!$A$1:$A$32=Y188)*'Rate Lookup'!$D$1:$D$32),IF(OR(X188="Individual",X188="HUF"),SUMPRODUCT(('Rate Lookup'!$A$1:$A$32=Y188)*'Rate Lookup'!$B$1:$B$32),SUMPRODUCT(('Rate Lookup'!$A$1:$A$32=Y188)*'Rate Lookup'!$C$1:$C$32)))))</f>
      </c>
      <c r="AA188" s="31"/>
      <c r="AB188" s="32"/>
      <c r="AC188" s="27">
        <f>IF($B188&lt;&gt;"Entry","",ROUND(AB188*Z188/100,0))</f>
      </c>
      <c r="AD188" s="27">
        <f>IF($B188&lt;&gt;"Entry","",0)</f>
      </c>
      <c r="AE188" s="27">
        <f>IF($B188&lt;&gt;"Entry","",0)</f>
      </c>
      <c r="AF188" s="27">
        <f>IF($B188&lt;&gt;"Entry","",IF(OR(AC188=0,AA188="",AQ188="",AQ188&lt;=0),0,IF(AQ188&lt;=DATE(YEAR(AA188),MONTH(AA188)+1,7),0,ROUND(AC188*0.015*((YEAR(AQ188)-YEAR(AA188))*12+(MONTH(AQ188)-MONTH(AA188))+1),0))))</f>
      </c>
      <c r="AG188" s="27">
        <f>IF($B188&lt;&gt;"Entry","",0)</f>
      </c>
      <c r="AH188" s="28"/>
      <c r="AI188" s="28"/>
      <c r="AJ188" s="33"/>
      <c r="AK188" s="28"/>
      <c r="AL188" s="28"/>
      <c r="AM188" s="27">
        <f>IF($B188&lt;&gt;"Challan","",SUMIF($D$4:$D$207,D188,$AC$4:$AC$207)+SUMIF($D$4:$D$207,D188,$AF$4:$AF$207)+SUMIF($D$4:$D$207,D188,$AD$4:$AD$207))</f>
      </c>
      <c r="AN188" s="27">
        <f>IF($B188&lt;&gt;"Challan","",O188-M188)</f>
      </c>
      <c r="AO188" s="27">
        <f>IF($B188&lt;&gt;"Challan","",MAX(0,AN188-AM188))</f>
      </c>
      <c r="AP188" s="29">
        <f>IF($B188&lt;&gt;"Challan","",IF(ROUND(AM188-AN188,2)&gt;0,"Over-applied",IF(ROUND(AM188-AN188,2)=0,"Fully Utilised","Unconsumed")))</f>
      </c>
      <c r="AQ188" s="34">
        <f>IF($B188&lt;&gt;"Entry","",SUMPRODUCT(($D$4:$D$207=D188)*($B$4:$B$207="Challan")*$E$4:$E$207))</f>
      </c>
      <c r="AR188" s="35">
        <f>IF(OR($B188&lt;&gt;"Entry",Y188=""),FALSE,AND(SUMPRODUCT(($D$4:$D$207=D188)*($B$4:$B$207="Challan")*($G$4:$G$207&lt;&gt;""))&gt;0,SUMPRODUCT(($D$4:$D$207=D188)*($B$4:$B$207="Challan")*($G$4:$G$207=Y188))=0))</f>
      </c>
    </row>
    <row r="189" spans="1:44" x14ac:dyDescent="0.25">
      <c r="A189" s="21">
        <f>IF($B189="Entry",COUNTIF($B$4:$B189,"Entry"),"")</f>
      </c>
      <c r="B189" s="22"/>
      <c r="C189" s="23"/>
      <c r="D189" s="23"/>
      <c r="E189" s="24"/>
      <c r="F189" s="25"/>
      <c r="G189" s="25"/>
      <c r="H189" s="26"/>
      <c r="I189" s="26"/>
      <c r="J189" s="26"/>
      <c r="K189" s="26"/>
      <c r="L189" s="26"/>
      <c r="M189" s="26"/>
      <c r="N189" s="26"/>
      <c r="O189" s="27">
        <f>IF($B189&lt;&gt;"Challan","",H189+I189+J189+K189+L189+M189)</f>
      </c>
      <c r="P189" s="25"/>
      <c r="Q189" s="25"/>
      <c r="R189" s="25"/>
      <c r="S189" s="25"/>
      <c r="T189" s="25"/>
      <c r="U189" s="28"/>
      <c r="V189" s="28"/>
      <c r="W189" s="28"/>
      <c r="X189" s="29">
        <f>IF($B189&lt;&gt;"Entry","",IF(LEN(V189)&lt;4,"",IF(MID(V189,4,1)="P","Individual",IF(MID(V189,4,1)="H","HUF",IF(MID(V189,4,1)="C","Company",IF(MID(V189,4,1)="F","Firm",IF(MID(V189,4,1)="L","LLP",IF(MID(V189,4,1)="T","Trust",IF(MID(V189,4,1)="A","AOP",""))))))))</f>
      </c>
      <c r="Y189" s="28"/>
      <c r="Z189" s="30">
        <f>IF($B189&lt;&gt;"Entry","",IF(Y189="","",IF(W189="Y",SUMPRODUCT(('Rate Lookup'!$A$1:$A$32=Y189)*'Rate Lookup'!$D$1:$D$32),IF(OR(X189="Individual",X189="HUF"),SUMPRODUCT(('Rate Lookup'!$A$1:$A$32=Y189)*'Rate Lookup'!$B$1:$B$32),SUMPRODUCT(('Rate Lookup'!$A$1:$A$32=Y189)*'Rate Lookup'!$C$1:$C$32)))))</f>
      </c>
      <c r="AA189" s="31"/>
      <c r="AB189" s="32"/>
      <c r="AC189" s="27">
        <f>IF($B189&lt;&gt;"Entry","",ROUND(AB189*Z189/100,0))</f>
      </c>
      <c r="AD189" s="27">
        <f>IF($B189&lt;&gt;"Entry","",0)</f>
      </c>
      <c r="AE189" s="27">
        <f>IF($B189&lt;&gt;"Entry","",0)</f>
      </c>
      <c r="AF189" s="27">
        <f>IF($B189&lt;&gt;"Entry","",IF(OR(AC189=0,AA189="",AQ189="",AQ189&lt;=0),0,IF(AQ189&lt;=DATE(YEAR(AA189),MONTH(AA189)+1,7),0,ROUND(AC189*0.015*((YEAR(AQ189)-YEAR(AA189))*12+(MONTH(AQ189)-MONTH(AA189))+1),0))))</f>
      </c>
      <c r="AG189" s="27">
        <f>IF($B189&lt;&gt;"Entry","",0)</f>
      </c>
      <c r="AH189" s="28"/>
      <c r="AI189" s="28"/>
      <c r="AJ189" s="33"/>
      <c r="AK189" s="28"/>
      <c r="AL189" s="28"/>
      <c r="AM189" s="27">
        <f>IF($B189&lt;&gt;"Challan","",SUMIF($D$4:$D$207,D189,$AC$4:$AC$207)+SUMIF($D$4:$D$207,D189,$AF$4:$AF$207)+SUMIF($D$4:$D$207,D189,$AD$4:$AD$207))</f>
      </c>
      <c r="AN189" s="27">
        <f>IF($B189&lt;&gt;"Challan","",O189-M189)</f>
      </c>
      <c r="AO189" s="27">
        <f>IF($B189&lt;&gt;"Challan","",MAX(0,AN189-AM189))</f>
      </c>
      <c r="AP189" s="29">
        <f>IF($B189&lt;&gt;"Challan","",IF(ROUND(AM189-AN189,2)&gt;0,"Over-applied",IF(ROUND(AM189-AN189,2)=0,"Fully Utilised","Unconsumed")))</f>
      </c>
      <c r="AQ189" s="34">
        <f>IF($B189&lt;&gt;"Entry","",SUMPRODUCT(($D$4:$D$207=D189)*($B$4:$B$207="Challan")*$E$4:$E$207))</f>
      </c>
      <c r="AR189" s="35">
        <f>IF(OR($B189&lt;&gt;"Entry",Y189=""),FALSE,AND(SUMPRODUCT(($D$4:$D$207=D189)*($B$4:$B$207="Challan")*($G$4:$G$207&lt;&gt;""))&gt;0,SUMPRODUCT(($D$4:$D$207=D189)*($B$4:$B$207="Challan")*($G$4:$G$207=Y189))=0))</f>
      </c>
    </row>
    <row r="190" spans="1:44" x14ac:dyDescent="0.25">
      <c r="A190" s="21">
        <f>IF($B190="Entry",COUNTIF($B$4:$B190,"Entry"),"")</f>
      </c>
      <c r="B190" s="22"/>
      <c r="C190" s="23"/>
      <c r="D190" s="23"/>
      <c r="E190" s="24"/>
      <c r="F190" s="25"/>
      <c r="G190" s="25"/>
      <c r="H190" s="26"/>
      <c r="I190" s="26"/>
      <c r="J190" s="26"/>
      <c r="K190" s="26"/>
      <c r="L190" s="26"/>
      <c r="M190" s="26"/>
      <c r="N190" s="26"/>
      <c r="O190" s="27">
        <f>IF($B190&lt;&gt;"Challan","",H190+I190+J190+K190+L190+M190)</f>
      </c>
      <c r="P190" s="25"/>
      <c r="Q190" s="25"/>
      <c r="R190" s="25"/>
      <c r="S190" s="25"/>
      <c r="T190" s="25"/>
      <c r="U190" s="28"/>
      <c r="V190" s="28"/>
      <c r="W190" s="28"/>
      <c r="X190" s="29">
        <f>IF($B190&lt;&gt;"Entry","",IF(LEN(V190)&lt;4,"",IF(MID(V190,4,1)="P","Individual",IF(MID(V190,4,1)="H","HUF",IF(MID(V190,4,1)="C","Company",IF(MID(V190,4,1)="F","Firm",IF(MID(V190,4,1)="L","LLP",IF(MID(V190,4,1)="T","Trust",IF(MID(V190,4,1)="A","AOP",""))))))))</f>
      </c>
      <c r="Y190" s="28"/>
      <c r="Z190" s="30">
        <f>IF($B190&lt;&gt;"Entry","",IF(Y190="","",IF(W190="Y",SUMPRODUCT(('Rate Lookup'!$A$1:$A$32=Y190)*'Rate Lookup'!$D$1:$D$32),IF(OR(X190="Individual",X190="HUF"),SUMPRODUCT(('Rate Lookup'!$A$1:$A$32=Y190)*'Rate Lookup'!$B$1:$B$32),SUMPRODUCT(('Rate Lookup'!$A$1:$A$32=Y190)*'Rate Lookup'!$C$1:$C$32)))))</f>
      </c>
      <c r="AA190" s="31"/>
      <c r="AB190" s="32"/>
      <c r="AC190" s="27">
        <f>IF($B190&lt;&gt;"Entry","",ROUND(AB190*Z190/100,0))</f>
      </c>
      <c r="AD190" s="27">
        <f>IF($B190&lt;&gt;"Entry","",0)</f>
      </c>
      <c r="AE190" s="27">
        <f>IF($B190&lt;&gt;"Entry","",0)</f>
      </c>
      <c r="AF190" s="27">
        <f>IF($B190&lt;&gt;"Entry","",IF(OR(AC190=0,AA190="",AQ190="",AQ190&lt;=0),0,IF(AQ190&lt;=DATE(YEAR(AA190),MONTH(AA190)+1,7),0,ROUND(AC190*0.015*((YEAR(AQ190)-YEAR(AA190))*12+(MONTH(AQ190)-MONTH(AA190))+1),0))))</f>
      </c>
      <c r="AG190" s="27">
        <f>IF($B190&lt;&gt;"Entry","",0)</f>
      </c>
      <c r="AH190" s="28"/>
      <c r="AI190" s="28"/>
      <c r="AJ190" s="33"/>
      <c r="AK190" s="28"/>
      <c r="AL190" s="28"/>
      <c r="AM190" s="27">
        <f>IF($B190&lt;&gt;"Challan","",SUMIF($D$4:$D$207,D190,$AC$4:$AC$207)+SUMIF($D$4:$D$207,D190,$AF$4:$AF$207)+SUMIF($D$4:$D$207,D190,$AD$4:$AD$207))</f>
      </c>
      <c r="AN190" s="27">
        <f>IF($B190&lt;&gt;"Challan","",O190-M190)</f>
      </c>
      <c r="AO190" s="27">
        <f>IF($B190&lt;&gt;"Challan","",MAX(0,AN190-AM190))</f>
      </c>
      <c r="AP190" s="29">
        <f>IF($B190&lt;&gt;"Challan","",IF(ROUND(AM190-AN190,2)&gt;0,"Over-applied",IF(ROUND(AM190-AN190,2)=0,"Fully Utilised","Unconsumed")))</f>
      </c>
      <c r="AQ190" s="34">
        <f>IF($B190&lt;&gt;"Entry","",SUMPRODUCT(($D$4:$D$207=D190)*($B$4:$B$207="Challan")*$E$4:$E$207))</f>
      </c>
      <c r="AR190" s="35">
        <f>IF(OR($B190&lt;&gt;"Entry",Y190=""),FALSE,AND(SUMPRODUCT(($D$4:$D$207=D190)*($B$4:$B$207="Challan")*($G$4:$G$207&lt;&gt;""))&gt;0,SUMPRODUCT(($D$4:$D$207=D190)*($B$4:$B$207="Challan")*($G$4:$G$207=Y190))=0))</f>
      </c>
    </row>
    <row r="191" spans="1:44" x14ac:dyDescent="0.25">
      <c r="A191" s="21">
        <f>IF($B191="Entry",COUNTIF($B$4:$B191,"Entry"),"")</f>
      </c>
      <c r="B191" s="22"/>
      <c r="C191" s="23"/>
      <c r="D191" s="23"/>
      <c r="E191" s="24"/>
      <c r="F191" s="25"/>
      <c r="G191" s="25"/>
      <c r="H191" s="26"/>
      <c r="I191" s="26"/>
      <c r="J191" s="26"/>
      <c r="K191" s="26"/>
      <c r="L191" s="26"/>
      <c r="M191" s="26"/>
      <c r="N191" s="26"/>
      <c r="O191" s="27">
        <f>IF($B191&lt;&gt;"Challan","",H191+I191+J191+K191+L191+M191)</f>
      </c>
      <c r="P191" s="25"/>
      <c r="Q191" s="25"/>
      <c r="R191" s="25"/>
      <c r="S191" s="25"/>
      <c r="T191" s="25"/>
      <c r="U191" s="28"/>
      <c r="V191" s="28"/>
      <c r="W191" s="28"/>
      <c r="X191" s="29">
        <f>IF($B191&lt;&gt;"Entry","",IF(LEN(V191)&lt;4,"",IF(MID(V191,4,1)="P","Individual",IF(MID(V191,4,1)="H","HUF",IF(MID(V191,4,1)="C","Company",IF(MID(V191,4,1)="F","Firm",IF(MID(V191,4,1)="L","LLP",IF(MID(V191,4,1)="T","Trust",IF(MID(V191,4,1)="A","AOP",""))))))))</f>
      </c>
      <c r="Y191" s="28"/>
      <c r="Z191" s="30">
        <f>IF($B191&lt;&gt;"Entry","",IF(Y191="","",IF(W191="Y",SUMPRODUCT(('Rate Lookup'!$A$1:$A$32=Y191)*'Rate Lookup'!$D$1:$D$32),IF(OR(X191="Individual",X191="HUF"),SUMPRODUCT(('Rate Lookup'!$A$1:$A$32=Y191)*'Rate Lookup'!$B$1:$B$32),SUMPRODUCT(('Rate Lookup'!$A$1:$A$32=Y191)*'Rate Lookup'!$C$1:$C$32)))))</f>
      </c>
      <c r="AA191" s="31"/>
      <c r="AB191" s="32"/>
      <c r="AC191" s="27">
        <f>IF($B191&lt;&gt;"Entry","",ROUND(AB191*Z191/100,0))</f>
      </c>
      <c r="AD191" s="27">
        <f>IF($B191&lt;&gt;"Entry","",0)</f>
      </c>
      <c r="AE191" s="27">
        <f>IF($B191&lt;&gt;"Entry","",0)</f>
      </c>
      <c r="AF191" s="27">
        <f>IF($B191&lt;&gt;"Entry","",IF(OR(AC191=0,AA191="",AQ191="",AQ191&lt;=0),0,IF(AQ191&lt;=DATE(YEAR(AA191),MONTH(AA191)+1,7),0,ROUND(AC191*0.015*((YEAR(AQ191)-YEAR(AA191))*12+(MONTH(AQ191)-MONTH(AA191))+1),0))))</f>
      </c>
      <c r="AG191" s="27">
        <f>IF($B191&lt;&gt;"Entry","",0)</f>
      </c>
      <c r="AH191" s="28"/>
      <c r="AI191" s="28"/>
      <c r="AJ191" s="33"/>
      <c r="AK191" s="28"/>
      <c r="AL191" s="28"/>
      <c r="AM191" s="27">
        <f>IF($B191&lt;&gt;"Challan","",SUMIF($D$4:$D$207,D191,$AC$4:$AC$207)+SUMIF($D$4:$D$207,D191,$AF$4:$AF$207)+SUMIF($D$4:$D$207,D191,$AD$4:$AD$207))</f>
      </c>
      <c r="AN191" s="27">
        <f>IF($B191&lt;&gt;"Challan","",O191-M191)</f>
      </c>
      <c r="AO191" s="27">
        <f>IF($B191&lt;&gt;"Challan","",MAX(0,AN191-AM191))</f>
      </c>
      <c r="AP191" s="29">
        <f>IF($B191&lt;&gt;"Challan","",IF(ROUND(AM191-AN191,2)&gt;0,"Over-applied",IF(ROUND(AM191-AN191,2)=0,"Fully Utilised","Unconsumed")))</f>
      </c>
      <c r="AQ191" s="34">
        <f>IF($B191&lt;&gt;"Entry","",SUMPRODUCT(($D$4:$D$207=D191)*($B$4:$B$207="Challan")*$E$4:$E$207))</f>
      </c>
      <c r="AR191" s="35">
        <f>IF(OR($B191&lt;&gt;"Entry",Y191=""),FALSE,AND(SUMPRODUCT(($D$4:$D$207=D191)*($B$4:$B$207="Challan")*($G$4:$G$207&lt;&gt;""))&gt;0,SUMPRODUCT(($D$4:$D$207=D191)*($B$4:$B$207="Challan")*($G$4:$G$207=Y191))=0))</f>
      </c>
    </row>
    <row r="192" spans="1:44" x14ac:dyDescent="0.25">
      <c r="A192" s="21">
        <f>IF($B192="Entry",COUNTIF($B$4:$B192,"Entry"),"")</f>
      </c>
      <c r="B192" s="22"/>
      <c r="C192" s="23"/>
      <c r="D192" s="23"/>
      <c r="E192" s="24"/>
      <c r="F192" s="25"/>
      <c r="G192" s="25"/>
      <c r="H192" s="26"/>
      <c r="I192" s="26"/>
      <c r="J192" s="26"/>
      <c r="K192" s="26"/>
      <c r="L192" s="26"/>
      <c r="M192" s="26"/>
      <c r="N192" s="26"/>
      <c r="O192" s="27">
        <f>IF($B192&lt;&gt;"Challan","",H192+I192+J192+K192+L192+M192)</f>
      </c>
      <c r="P192" s="25"/>
      <c r="Q192" s="25"/>
      <c r="R192" s="25"/>
      <c r="S192" s="25"/>
      <c r="T192" s="25"/>
      <c r="U192" s="28"/>
      <c r="V192" s="28"/>
      <c r="W192" s="28"/>
      <c r="X192" s="29">
        <f>IF($B192&lt;&gt;"Entry","",IF(LEN(V192)&lt;4,"",IF(MID(V192,4,1)="P","Individual",IF(MID(V192,4,1)="H","HUF",IF(MID(V192,4,1)="C","Company",IF(MID(V192,4,1)="F","Firm",IF(MID(V192,4,1)="L","LLP",IF(MID(V192,4,1)="T","Trust",IF(MID(V192,4,1)="A","AOP",""))))))))</f>
      </c>
      <c r="Y192" s="28"/>
      <c r="Z192" s="30">
        <f>IF($B192&lt;&gt;"Entry","",IF(Y192="","",IF(W192="Y",SUMPRODUCT(('Rate Lookup'!$A$1:$A$32=Y192)*'Rate Lookup'!$D$1:$D$32),IF(OR(X192="Individual",X192="HUF"),SUMPRODUCT(('Rate Lookup'!$A$1:$A$32=Y192)*'Rate Lookup'!$B$1:$B$32),SUMPRODUCT(('Rate Lookup'!$A$1:$A$32=Y192)*'Rate Lookup'!$C$1:$C$32)))))</f>
      </c>
      <c r="AA192" s="31"/>
      <c r="AB192" s="32"/>
      <c r="AC192" s="27">
        <f>IF($B192&lt;&gt;"Entry","",ROUND(AB192*Z192/100,0))</f>
      </c>
      <c r="AD192" s="27">
        <f>IF($B192&lt;&gt;"Entry","",0)</f>
      </c>
      <c r="AE192" s="27">
        <f>IF($B192&lt;&gt;"Entry","",0)</f>
      </c>
      <c r="AF192" s="27">
        <f>IF($B192&lt;&gt;"Entry","",IF(OR(AC192=0,AA192="",AQ192="",AQ192&lt;=0),0,IF(AQ192&lt;=DATE(YEAR(AA192),MONTH(AA192)+1,7),0,ROUND(AC192*0.015*((YEAR(AQ192)-YEAR(AA192))*12+(MONTH(AQ192)-MONTH(AA192))+1),0))))</f>
      </c>
      <c r="AG192" s="27">
        <f>IF($B192&lt;&gt;"Entry","",0)</f>
      </c>
      <c r="AH192" s="28"/>
      <c r="AI192" s="28"/>
      <c r="AJ192" s="33"/>
      <c r="AK192" s="28"/>
      <c r="AL192" s="28"/>
      <c r="AM192" s="27">
        <f>IF($B192&lt;&gt;"Challan","",SUMIF($D$4:$D$207,D192,$AC$4:$AC$207)+SUMIF($D$4:$D$207,D192,$AF$4:$AF$207)+SUMIF($D$4:$D$207,D192,$AD$4:$AD$207))</f>
      </c>
      <c r="AN192" s="27">
        <f>IF($B192&lt;&gt;"Challan","",O192-M192)</f>
      </c>
      <c r="AO192" s="27">
        <f>IF($B192&lt;&gt;"Challan","",MAX(0,AN192-AM192))</f>
      </c>
      <c r="AP192" s="29">
        <f>IF($B192&lt;&gt;"Challan","",IF(ROUND(AM192-AN192,2)&gt;0,"Over-applied",IF(ROUND(AM192-AN192,2)=0,"Fully Utilised","Unconsumed")))</f>
      </c>
      <c r="AQ192" s="34">
        <f>IF($B192&lt;&gt;"Entry","",SUMPRODUCT(($D$4:$D$207=D192)*($B$4:$B$207="Challan")*$E$4:$E$207))</f>
      </c>
      <c r="AR192" s="35">
        <f>IF(OR($B192&lt;&gt;"Entry",Y192=""),FALSE,AND(SUMPRODUCT(($D$4:$D$207=D192)*($B$4:$B$207="Challan")*($G$4:$G$207&lt;&gt;""))&gt;0,SUMPRODUCT(($D$4:$D$207=D192)*($B$4:$B$207="Challan")*($G$4:$G$207=Y192))=0))</f>
      </c>
    </row>
    <row r="193" spans="1:44" x14ac:dyDescent="0.25">
      <c r="A193" s="21">
        <f>IF($B193="Entry",COUNTIF($B$4:$B193,"Entry"),"")</f>
      </c>
      <c r="B193" s="22"/>
      <c r="C193" s="23"/>
      <c r="D193" s="23"/>
      <c r="E193" s="24"/>
      <c r="F193" s="25"/>
      <c r="G193" s="25"/>
      <c r="H193" s="26"/>
      <c r="I193" s="26"/>
      <c r="J193" s="26"/>
      <c r="K193" s="26"/>
      <c r="L193" s="26"/>
      <c r="M193" s="26"/>
      <c r="N193" s="26"/>
      <c r="O193" s="27">
        <f>IF($B193&lt;&gt;"Challan","",H193+I193+J193+K193+L193+M193)</f>
      </c>
      <c r="P193" s="25"/>
      <c r="Q193" s="25"/>
      <c r="R193" s="25"/>
      <c r="S193" s="25"/>
      <c r="T193" s="25"/>
      <c r="U193" s="28"/>
      <c r="V193" s="28"/>
      <c r="W193" s="28"/>
      <c r="X193" s="29">
        <f>IF($B193&lt;&gt;"Entry","",IF(LEN(V193)&lt;4,"",IF(MID(V193,4,1)="P","Individual",IF(MID(V193,4,1)="H","HUF",IF(MID(V193,4,1)="C","Company",IF(MID(V193,4,1)="F","Firm",IF(MID(V193,4,1)="L","LLP",IF(MID(V193,4,1)="T","Trust",IF(MID(V193,4,1)="A","AOP",""))))))))</f>
      </c>
      <c r="Y193" s="28"/>
      <c r="Z193" s="30">
        <f>IF($B193&lt;&gt;"Entry","",IF(Y193="","",IF(W193="Y",SUMPRODUCT(('Rate Lookup'!$A$1:$A$32=Y193)*'Rate Lookup'!$D$1:$D$32),IF(OR(X193="Individual",X193="HUF"),SUMPRODUCT(('Rate Lookup'!$A$1:$A$32=Y193)*'Rate Lookup'!$B$1:$B$32),SUMPRODUCT(('Rate Lookup'!$A$1:$A$32=Y193)*'Rate Lookup'!$C$1:$C$32)))))</f>
      </c>
      <c r="AA193" s="31"/>
      <c r="AB193" s="32"/>
      <c r="AC193" s="27">
        <f>IF($B193&lt;&gt;"Entry","",ROUND(AB193*Z193/100,0))</f>
      </c>
      <c r="AD193" s="27">
        <f>IF($B193&lt;&gt;"Entry","",0)</f>
      </c>
      <c r="AE193" s="27">
        <f>IF($B193&lt;&gt;"Entry","",0)</f>
      </c>
      <c r="AF193" s="27">
        <f>IF($B193&lt;&gt;"Entry","",IF(OR(AC193=0,AA193="",AQ193="",AQ193&lt;=0),0,IF(AQ193&lt;=DATE(YEAR(AA193),MONTH(AA193)+1,7),0,ROUND(AC193*0.015*((YEAR(AQ193)-YEAR(AA193))*12+(MONTH(AQ193)-MONTH(AA193))+1),0))))</f>
      </c>
      <c r="AG193" s="27">
        <f>IF($B193&lt;&gt;"Entry","",0)</f>
      </c>
      <c r="AH193" s="28"/>
      <c r="AI193" s="28"/>
      <c r="AJ193" s="33"/>
      <c r="AK193" s="28"/>
      <c r="AL193" s="28"/>
      <c r="AM193" s="27">
        <f>IF($B193&lt;&gt;"Challan","",SUMIF($D$4:$D$207,D193,$AC$4:$AC$207)+SUMIF($D$4:$D$207,D193,$AF$4:$AF$207)+SUMIF($D$4:$D$207,D193,$AD$4:$AD$207))</f>
      </c>
      <c r="AN193" s="27">
        <f>IF($B193&lt;&gt;"Challan","",O193-M193)</f>
      </c>
      <c r="AO193" s="27">
        <f>IF($B193&lt;&gt;"Challan","",MAX(0,AN193-AM193))</f>
      </c>
      <c r="AP193" s="29">
        <f>IF($B193&lt;&gt;"Challan","",IF(ROUND(AM193-AN193,2)&gt;0,"Over-applied",IF(ROUND(AM193-AN193,2)=0,"Fully Utilised","Unconsumed")))</f>
      </c>
      <c r="AQ193" s="34">
        <f>IF($B193&lt;&gt;"Entry","",SUMPRODUCT(($D$4:$D$207=D193)*($B$4:$B$207="Challan")*$E$4:$E$207))</f>
      </c>
      <c r="AR193" s="35">
        <f>IF(OR($B193&lt;&gt;"Entry",Y193=""),FALSE,AND(SUMPRODUCT(($D$4:$D$207=D193)*($B$4:$B$207="Challan")*($G$4:$G$207&lt;&gt;""))&gt;0,SUMPRODUCT(($D$4:$D$207=D193)*($B$4:$B$207="Challan")*($G$4:$G$207=Y193))=0))</f>
      </c>
    </row>
    <row r="194" spans="1:44" x14ac:dyDescent="0.25">
      <c r="A194" s="21">
        <f>IF($B194="Entry",COUNTIF($B$4:$B194,"Entry"),"")</f>
      </c>
      <c r="B194" s="22"/>
      <c r="C194" s="23"/>
      <c r="D194" s="23"/>
      <c r="E194" s="24"/>
      <c r="F194" s="25"/>
      <c r="G194" s="25"/>
      <c r="H194" s="26"/>
      <c r="I194" s="26"/>
      <c r="J194" s="26"/>
      <c r="K194" s="26"/>
      <c r="L194" s="26"/>
      <c r="M194" s="26"/>
      <c r="N194" s="26"/>
      <c r="O194" s="27">
        <f>IF($B194&lt;&gt;"Challan","",H194+I194+J194+K194+L194+M194)</f>
      </c>
      <c r="P194" s="25"/>
      <c r="Q194" s="25"/>
      <c r="R194" s="25"/>
      <c r="S194" s="25"/>
      <c r="T194" s="25"/>
      <c r="U194" s="28"/>
      <c r="V194" s="28"/>
      <c r="W194" s="28"/>
      <c r="X194" s="29">
        <f>IF($B194&lt;&gt;"Entry","",IF(LEN(V194)&lt;4,"",IF(MID(V194,4,1)="P","Individual",IF(MID(V194,4,1)="H","HUF",IF(MID(V194,4,1)="C","Company",IF(MID(V194,4,1)="F","Firm",IF(MID(V194,4,1)="L","LLP",IF(MID(V194,4,1)="T","Trust",IF(MID(V194,4,1)="A","AOP",""))))))))</f>
      </c>
      <c r="Y194" s="28"/>
      <c r="Z194" s="30">
        <f>IF($B194&lt;&gt;"Entry","",IF(Y194="","",IF(W194="Y",SUMPRODUCT(('Rate Lookup'!$A$1:$A$32=Y194)*'Rate Lookup'!$D$1:$D$32),IF(OR(X194="Individual",X194="HUF"),SUMPRODUCT(('Rate Lookup'!$A$1:$A$32=Y194)*'Rate Lookup'!$B$1:$B$32),SUMPRODUCT(('Rate Lookup'!$A$1:$A$32=Y194)*'Rate Lookup'!$C$1:$C$32)))))</f>
      </c>
      <c r="AA194" s="31"/>
      <c r="AB194" s="32"/>
      <c r="AC194" s="27">
        <f>IF($B194&lt;&gt;"Entry","",ROUND(AB194*Z194/100,0))</f>
      </c>
      <c r="AD194" s="27">
        <f>IF($B194&lt;&gt;"Entry","",0)</f>
      </c>
      <c r="AE194" s="27">
        <f>IF($B194&lt;&gt;"Entry","",0)</f>
      </c>
      <c r="AF194" s="27">
        <f>IF($B194&lt;&gt;"Entry","",IF(OR(AC194=0,AA194="",AQ194="",AQ194&lt;=0),0,IF(AQ194&lt;=DATE(YEAR(AA194),MONTH(AA194)+1,7),0,ROUND(AC194*0.015*((YEAR(AQ194)-YEAR(AA194))*12+(MONTH(AQ194)-MONTH(AA194))+1),0))))</f>
      </c>
      <c r="AG194" s="27">
        <f>IF($B194&lt;&gt;"Entry","",0)</f>
      </c>
      <c r="AH194" s="28"/>
      <c r="AI194" s="28"/>
      <c r="AJ194" s="33"/>
      <c r="AK194" s="28"/>
      <c r="AL194" s="28"/>
      <c r="AM194" s="27">
        <f>IF($B194&lt;&gt;"Challan","",SUMIF($D$4:$D$207,D194,$AC$4:$AC$207)+SUMIF($D$4:$D$207,D194,$AF$4:$AF$207)+SUMIF($D$4:$D$207,D194,$AD$4:$AD$207))</f>
      </c>
      <c r="AN194" s="27">
        <f>IF($B194&lt;&gt;"Challan","",O194-M194)</f>
      </c>
      <c r="AO194" s="27">
        <f>IF($B194&lt;&gt;"Challan","",MAX(0,AN194-AM194))</f>
      </c>
      <c r="AP194" s="29">
        <f>IF($B194&lt;&gt;"Challan","",IF(ROUND(AM194-AN194,2)&gt;0,"Over-applied",IF(ROUND(AM194-AN194,2)=0,"Fully Utilised","Unconsumed")))</f>
      </c>
      <c r="AQ194" s="34">
        <f>IF($B194&lt;&gt;"Entry","",SUMPRODUCT(($D$4:$D$207=D194)*($B$4:$B$207="Challan")*$E$4:$E$207))</f>
      </c>
      <c r="AR194" s="35">
        <f>IF(OR($B194&lt;&gt;"Entry",Y194=""),FALSE,AND(SUMPRODUCT(($D$4:$D$207=D194)*($B$4:$B$207="Challan")*($G$4:$G$207&lt;&gt;""))&gt;0,SUMPRODUCT(($D$4:$D$207=D194)*($B$4:$B$207="Challan")*($G$4:$G$207=Y194))=0))</f>
      </c>
    </row>
    <row r="195" spans="1:44" x14ac:dyDescent="0.25">
      <c r="A195" s="21">
        <f>IF($B195="Entry",COUNTIF($B$4:$B195,"Entry"),"")</f>
      </c>
      <c r="B195" s="22"/>
      <c r="C195" s="23"/>
      <c r="D195" s="23"/>
      <c r="E195" s="24"/>
      <c r="F195" s="25"/>
      <c r="G195" s="25"/>
      <c r="H195" s="26"/>
      <c r="I195" s="26"/>
      <c r="J195" s="26"/>
      <c r="K195" s="26"/>
      <c r="L195" s="26"/>
      <c r="M195" s="26"/>
      <c r="N195" s="26"/>
      <c r="O195" s="27">
        <f>IF($B195&lt;&gt;"Challan","",H195+I195+J195+K195+L195+M195)</f>
      </c>
      <c r="P195" s="25"/>
      <c r="Q195" s="25"/>
      <c r="R195" s="25"/>
      <c r="S195" s="25"/>
      <c r="T195" s="25"/>
      <c r="U195" s="28"/>
      <c r="V195" s="28"/>
      <c r="W195" s="28"/>
      <c r="X195" s="29">
        <f>IF($B195&lt;&gt;"Entry","",IF(LEN(V195)&lt;4,"",IF(MID(V195,4,1)="P","Individual",IF(MID(V195,4,1)="H","HUF",IF(MID(V195,4,1)="C","Company",IF(MID(V195,4,1)="F","Firm",IF(MID(V195,4,1)="L","LLP",IF(MID(V195,4,1)="T","Trust",IF(MID(V195,4,1)="A","AOP",""))))))))</f>
      </c>
      <c r="Y195" s="28"/>
      <c r="Z195" s="30">
        <f>IF($B195&lt;&gt;"Entry","",IF(Y195="","",IF(W195="Y",SUMPRODUCT(('Rate Lookup'!$A$1:$A$32=Y195)*'Rate Lookup'!$D$1:$D$32),IF(OR(X195="Individual",X195="HUF"),SUMPRODUCT(('Rate Lookup'!$A$1:$A$32=Y195)*'Rate Lookup'!$B$1:$B$32),SUMPRODUCT(('Rate Lookup'!$A$1:$A$32=Y195)*'Rate Lookup'!$C$1:$C$32)))))</f>
      </c>
      <c r="AA195" s="31"/>
      <c r="AB195" s="32"/>
      <c r="AC195" s="27">
        <f>IF($B195&lt;&gt;"Entry","",ROUND(AB195*Z195/100,0))</f>
      </c>
      <c r="AD195" s="27">
        <f>IF($B195&lt;&gt;"Entry","",0)</f>
      </c>
      <c r="AE195" s="27">
        <f>IF($B195&lt;&gt;"Entry","",0)</f>
      </c>
      <c r="AF195" s="27">
        <f>IF($B195&lt;&gt;"Entry","",IF(OR(AC195=0,AA195="",AQ195="",AQ195&lt;=0),0,IF(AQ195&lt;=DATE(YEAR(AA195),MONTH(AA195)+1,7),0,ROUND(AC195*0.015*((YEAR(AQ195)-YEAR(AA195))*12+(MONTH(AQ195)-MONTH(AA195))+1),0))))</f>
      </c>
      <c r="AG195" s="27">
        <f>IF($B195&lt;&gt;"Entry","",0)</f>
      </c>
      <c r="AH195" s="28"/>
      <c r="AI195" s="28"/>
      <c r="AJ195" s="33"/>
      <c r="AK195" s="28"/>
      <c r="AL195" s="28"/>
      <c r="AM195" s="27">
        <f>IF($B195&lt;&gt;"Challan","",SUMIF($D$4:$D$207,D195,$AC$4:$AC$207)+SUMIF($D$4:$D$207,D195,$AF$4:$AF$207)+SUMIF($D$4:$D$207,D195,$AD$4:$AD$207))</f>
      </c>
      <c r="AN195" s="27">
        <f>IF($B195&lt;&gt;"Challan","",O195-M195)</f>
      </c>
      <c r="AO195" s="27">
        <f>IF($B195&lt;&gt;"Challan","",MAX(0,AN195-AM195))</f>
      </c>
      <c r="AP195" s="29">
        <f>IF($B195&lt;&gt;"Challan","",IF(ROUND(AM195-AN195,2)&gt;0,"Over-applied",IF(ROUND(AM195-AN195,2)=0,"Fully Utilised","Unconsumed")))</f>
      </c>
      <c r="AQ195" s="34">
        <f>IF($B195&lt;&gt;"Entry","",SUMPRODUCT(($D$4:$D$207=D195)*($B$4:$B$207="Challan")*$E$4:$E$207))</f>
      </c>
      <c r="AR195" s="35">
        <f>IF(OR($B195&lt;&gt;"Entry",Y195=""),FALSE,AND(SUMPRODUCT(($D$4:$D$207=D195)*($B$4:$B$207="Challan")*($G$4:$G$207&lt;&gt;""))&gt;0,SUMPRODUCT(($D$4:$D$207=D195)*($B$4:$B$207="Challan")*($G$4:$G$207=Y195))=0))</f>
      </c>
    </row>
    <row r="196" spans="1:44" x14ac:dyDescent="0.25">
      <c r="A196" s="21">
        <f>IF($B196="Entry",COUNTIF($B$4:$B196,"Entry"),"")</f>
      </c>
      <c r="B196" s="22"/>
      <c r="C196" s="23"/>
      <c r="D196" s="23"/>
      <c r="E196" s="24"/>
      <c r="F196" s="25"/>
      <c r="G196" s="25"/>
      <c r="H196" s="26"/>
      <c r="I196" s="26"/>
      <c r="J196" s="26"/>
      <c r="K196" s="26"/>
      <c r="L196" s="26"/>
      <c r="M196" s="26"/>
      <c r="N196" s="26"/>
      <c r="O196" s="27">
        <f>IF($B196&lt;&gt;"Challan","",H196+I196+J196+K196+L196+M196)</f>
      </c>
      <c r="P196" s="25"/>
      <c r="Q196" s="25"/>
      <c r="R196" s="25"/>
      <c r="S196" s="25"/>
      <c r="T196" s="25"/>
      <c r="U196" s="28"/>
      <c r="V196" s="28"/>
      <c r="W196" s="28"/>
      <c r="X196" s="29">
        <f>IF($B196&lt;&gt;"Entry","",IF(LEN(V196)&lt;4,"",IF(MID(V196,4,1)="P","Individual",IF(MID(V196,4,1)="H","HUF",IF(MID(V196,4,1)="C","Company",IF(MID(V196,4,1)="F","Firm",IF(MID(V196,4,1)="L","LLP",IF(MID(V196,4,1)="T","Trust",IF(MID(V196,4,1)="A","AOP",""))))))))</f>
      </c>
      <c r="Y196" s="28"/>
      <c r="Z196" s="30">
        <f>IF($B196&lt;&gt;"Entry","",IF(Y196="","",IF(W196="Y",SUMPRODUCT(('Rate Lookup'!$A$1:$A$32=Y196)*'Rate Lookup'!$D$1:$D$32),IF(OR(X196="Individual",X196="HUF"),SUMPRODUCT(('Rate Lookup'!$A$1:$A$32=Y196)*'Rate Lookup'!$B$1:$B$32),SUMPRODUCT(('Rate Lookup'!$A$1:$A$32=Y196)*'Rate Lookup'!$C$1:$C$32)))))</f>
      </c>
      <c r="AA196" s="31"/>
      <c r="AB196" s="32"/>
      <c r="AC196" s="27">
        <f>IF($B196&lt;&gt;"Entry","",ROUND(AB196*Z196/100,0))</f>
      </c>
      <c r="AD196" s="27">
        <f>IF($B196&lt;&gt;"Entry","",0)</f>
      </c>
      <c r="AE196" s="27">
        <f>IF($B196&lt;&gt;"Entry","",0)</f>
      </c>
      <c r="AF196" s="27">
        <f>IF($B196&lt;&gt;"Entry","",IF(OR(AC196=0,AA196="",AQ196="",AQ196&lt;=0),0,IF(AQ196&lt;=DATE(YEAR(AA196),MONTH(AA196)+1,7),0,ROUND(AC196*0.015*((YEAR(AQ196)-YEAR(AA196))*12+(MONTH(AQ196)-MONTH(AA196))+1),0))))</f>
      </c>
      <c r="AG196" s="27">
        <f>IF($B196&lt;&gt;"Entry","",0)</f>
      </c>
      <c r="AH196" s="28"/>
      <c r="AI196" s="28"/>
      <c r="AJ196" s="33"/>
      <c r="AK196" s="28"/>
      <c r="AL196" s="28"/>
      <c r="AM196" s="27">
        <f>IF($B196&lt;&gt;"Challan","",SUMIF($D$4:$D$207,D196,$AC$4:$AC$207)+SUMIF($D$4:$D$207,D196,$AF$4:$AF$207)+SUMIF($D$4:$D$207,D196,$AD$4:$AD$207))</f>
      </c>
      <c r="AN196" s="27">
        <f>IF($B196&lt;&gt;"Challan","",O196-M196)</f>
      </c>
      <c r="AO196" s="27">
        <f>IF($B196&lt;&gt;"Challan","",MAX(0,AN196-AM196))</f>
      </c>
      <c r="AP196" s="29">
        <f>IF($B196&lt;&gt;"Challan","",IF(ROUND(AM196-AN196,2)&gt;0,"Over-applied",IF(ROUND(AM196-AN196,2)=0,"Fully Utilised","Unconsumed")))</f>
      </c>
      <c r="AQ196" s="34">
        <f>IF($B196&lt;&gt;"Entry","",SUMPRODUCT(($D$4:$D$207=D196)*($B$4:$B$207="Challan")*$E$4:$E$207))</f>
      </c>
      <c r="AR196" s="35">
        <f>IF(OR($B196&lt;&gt;"Entry",Y196=""),FALSE,AND(SUMPRODUCT(($D$4:$D$207=D196)*($B$4:$B$207="Challan")*($G$4:$G$207&lt;&gt;""))&gt;0,SUMPRODUCT(($D$4:$D$207=D196)*($B$4:$B$207="Challan")*($G$4:$G$207=Y196))=0))</f>
      </c>
    </row>
    <row r="197" spans="1:44" x14ac:dyDescent="0.25">
      <c r="A197" s="21">
        <f>IF($B197="Entry",COUNTIF($B$4:$B197,"Entry"),"")</f>
      </c>
      <c r="B197" s="22"/>
      <c r="C197" s="23"/>
      <c r="D197" s="23"/>
      <c r="E197" s="24"/>
      <c r="F197" s="25"/>
      <c r="G197" s="25"/>
      <c r="H197" s="26"/>
      <c r="I197" s="26"/>
      <c r="J197" s="26"/>
      <c r="K197" s="26"/>
      <c r="L197" s="26"/>
      <c r="M197" s="26"/>
      <c r="N197" s="26"/>
      <c r="O197" s="27">
        <f>IF($B197&lt;&gt;"Challan","",H197+I197+J197+K197+L197+M197)</f>
      </c>
      <c r="P197" s="25"/>
      <c r="Q197" s="25"/>
      <c r="R197" s="25"/>
      <c r="S197" s="25"/>
      <c r="T197" s="25"/>
      <c r="U197" s="28"/>
      <c r="V197" s="28"/>
      <c r="W197" s="28"/>
      <c r="X197" s="29">
        <f>IF($B197&lt;&gt;"Entry","",IF(LEN(V197)&lt;4,"",IF(MID(V197,4,1)="P","Individual",IF(MID(V197,4,1)="H","HUF",IF(MID(V197,4,1)="C","Company",IF(MID(V197,4,1)="F","Firm",IF(MID(V197,4,1)="L","LLP",IF(MID(V197,4,1)="T","Trust",IF(MID(V197,4,1)="A","AOP",""))))))))</f>
      </c>
      <c r="Y197" s="28"/>
      <c r="Z197" s="30">
        <f>IF($B197&lt;&gt;"Entry","",IF(Y197="","",IF(W197="Y",SUMPRODUCT(('Rate Lookup'!$A$1:$A$32=Y197)*'Rate Lookup'!$D$1:$D$32),IF(OR(X197="Individual",X197="HUF"),SUMPRODUCT(('Rate Lookup'!$A$1:$A$32=Y197)*'Rate Lookup'!$B$1:$B$32),SUMPRODUCT(('Rate Lookup'!$A$1:$A$32=Y197)*'Rate Lookup'!$C$1:$C$32)))))</f>
      </c>
      <c r="AA197" s="31"/>
      <c r="AB197" s="32"/>
      <c r="AC197" s="27">
        <f>IF($B197&lt;&gt;"Entry","",ROUND(AB197*Z197/100,0))</f>
      </c>
      <c r="AD197" s="27">
        <f>IF($B197&lt;&gt;"Entry","",0)</f>
      </c>
      <c r="AE197" s="27">
        <f>IF($B197&lt;&gt;"Entry","",0)</f>
      </c>
      <c r="AF197" s="27">
        <f>IF($B197&lt;&gt;"Entry","",IF(OR(AC197=0,AA197="",AQ197="",AQ197&lt;=0),0,IF(AQ197&lt;=DATE(YEAR(AA197),MONTH(AA197)+1,7),0,ROUND(AC197*0.015*((YEAR(AQ197)-YEAR(AA197))*12+(MONTH(AQ197)-MONTH(AA197))+1),0))))</f>
      </c>
      <c r="AG197" s="27">
        <f>IF($B197&lt;&gt;"Entry","",0)</f>
      </c>
      <c r="AH197" s="28"/>
      <c r="AI197" s="28"/>
      <c r="AJ197" s="33"/>
      <c r="AK197" s="28"/>
      <c r="AL197" s="28"/>
      <c r="AM197" s="27">
        <f>IF($B197&lt;&gt;"Challan","",SUMIF($D$4:$D$207,D197,$AC$4:$AC$207)+SUMIF($D$4:$D$207,D197,$AF$4:$AF$207)+SUMIF($D$4:$D$207,D197,$AD$4:$AD$207))</f>
      </c>
      <c r="AN197" s="27">
        <f>IF($B197&lt;&gt;"Challan","",O197-M197)</f>
      </c>
      <c r="AO197" s="27">
        <f>IF($B197&lt;&gt;"Challan","",MAX(0,AN197-AM197))</f>
      </c>
      <c r="AP197" s="29">
        <f>IF($B197&lt;&gt;"Challan","",IF(ROUND(AM197-AN197,2)&gt;0,"Over-applied",IF(ROUND(AM197-AN197,2)=0,"Fully Utilised","Unconsumed")))</f>
      </c>
      <c r="AQ197" s="34">
        <f>IF($B197&lt;&gt;"Entry","",SUMPRODUCT(($D$4:$D$207=D197)*($B$4:$B$207="Challan")*$E$4:$E$207))</f>
      </c>
      <c r="AR197" s="35">
        <f>IF(OR($B197&lt;&gt;"Entry",Y197=""),FALSE,AND(SUMPRODUCT(($D$4:$D$207=D197)*($B$4:$B$207="Challan")*($G$4:$G$207&lt;&gt;""))&gt;0,SUMPRODUCT(($D$4:$D$207=D197)*($B$4:$B$207="Challan")*($G$4:$G$207=Y197))=0))</f>
      </c>
    </row>
    <row r="198" spans="1:44" x14ac:dyDescent="0.25">
      <c r="A198" s="21">
        <f>IF($B198="Entry",COUNTIF($B$4:$B198,"Entry"),"")</f>
      </c>
      <c r="B198" s="22"/>
      <c r="C198" s="23"/>
      <c r="D198" s="23"/>
      <c r="E198" s="24"/>
      <c r="F198" s="25"/>
      <c r="G198" s="25"/>
      <c r="H198" s="26"/>
      <c r="I198" s="26"/>
      <c r="J198" s="26"/>
      <c r="K198" s="26"/>
      <c r="L198" s="26"/>
      <c r="M198" s="26"/>
      <c r="N198" s="26"/>
      <c r="O198" s="27">
        <f>IF($B198&lt;&gt;"Challan","",H198+I198+J198+K198+L198+M198)</f>
      </c>
      <c r="P198" s="25"/>
      <c r="Q198" s="25"/>
      <c r="R198" s="25"/>
      <c r="S198" s="25"/>
      <c r="T198" s="25"/>
      <c r="U198" s="28"/>
      <c r="V198" s="28"/>
      <c r="W198" s="28"/>
      <c r="X198" s="29">
        <f>IF($B198&lt;&gt;"Entry","",IF(LEN(V198)&lt;4,"",IF(MID(V198,4,1)="P","Individual",IF(MID(V198,4,1)="H","HUF",IF(MID(V198,4,1)="C","Company",IF(MID(V198,4,1)="F","Firm",IF(MID(V198,4,1)="L","LLP",IF(MID(V198,4,1)="T","Trust",IF(MID(V198,4,1)="A","AOP",""))))))))</f>
      </c>
      <c r="Y198" s="28"/>
      <c r="Z198" s="30">
        <f>IF($B198&lt;&gt;"Entry","",IF(Y198="","",IF(W198="Y",SUMPRODUCT(('Rate Lookup'!$A$1:$A$32=Y198)*'Rate Lookup'!$D$1:$D$32),IF(OR(X198="Individual",X198="HUF"),SUMPRODUCT(('Rate Lookup'!$A$1:$A$32=Y198)*'Rate Lookup'!$B$1:$B$32),SUMPRODUCT(('Rate Lookup'!$A$1:$A$32=Y198)*'Rate Lookup'!$C$1:$C$32)))))</f>
      </c>
      <c r="AA198" s="31"/>
      <c r="AB198" s="32"/>
      <c r="AC198" s="27">
        <f>IF($B198&lt;&gt;"Entry","",ROUND(AB198*Z198/100,0))</f>
      </c>
      <c r="AD198" s="27">
        <f>IF($B198&lt;&gt;"Entry","",0)</f>
      </c>
      <c r="AE198" s="27">
        <f>IF($B198&lt;&gt;"Entry","",0)</f>
      </c>
      <c r="AF198" s="27">
        <f>IF($B198&lt;&gt;"Entry","",IF(OR(AC198=0,AA198="",AQ198="",AQ198&lt;=0),0,IF(AQ198&lt;=DATE(YEAR(AA198),MONTH(AA198)+1,7),0,ROUND(AC198*0.015*((YEAR(AQ198)-YEAR(AA198))*12+(MONTH(AQ198)-MONTH(AA198))+1),0))))</f>
      </c>
      <c r="AG198" s="27">
        <f>IF($B198&lt;&gt;"Entry","",0)</f>
      </c>
      <c r="AH198" s="28"/>
      <c r="AI198" s="28"/>
      <c r="AJ198" s="33"/>
      <c r="AK198" s="28"/>
      <c r="AL198" s="28"/>
      <c r="AM198" s="27">
        <f>IF($B198&lt;&gt;"Challan","",SUMIF($D$4:$D$207,D198,$AC$4:$AC$207)+SUMIF($D$4:$D$207,D198,$AF$4:$AF$207)+SUMIF($D$4:$D$207,D198,$AD$4:$AD$207))</f>
      </c>
      <c r="AN198" s="27">
        <f>IF($B198&lt;&gt;"Challan","",O198-M198)</f>
      </c>
      <c r="AO198" s="27">
        <f>IF($B198&lt;&gt;"Challan","",MAX(0,AN198-AM198))</f>
      </c>
      <c r="AP198" s="29">
        <f>IF($B198&lt;&gt;"Challan","",IF(ROUND(AM198-AN198,2)&gt;0,"Over-applied",IF(ROUND(AM198-AN198,2)=0,"Fully Utilised","Unconsumed")))</f>
      </c>
      <c r="AQ198" s="34">
        <f>IF($B198&lt;&gt;"Entry","",SUMPRODUCT(($D$4:$D$207=D198)*($B$4:$B$207="Challan")*$E$4:$E$207))</f>
      </c>
      <c r="AR198" s="35">
        <f>IF(OR($B198&lt;&gt;"Entry",Y198=""),FALSE,AND(SUMPRODUCT(($D$4:$D$207=D198)*($B$4:$B$207="Challan")*($G$4:$G$207&lt;&gt;""))&gt;0,SUMPRODUCT(($D$4:$D$207=D198)*($B$4:$B$207="Challan")*($G$4:$G$207=Y198))=0))</f>
      </c>
    </row>
    <row r="199" spans="1:44" x14ac:dyDescent="0.25">
      <c r="A199" s="21">
        <f>IF($B199="Entry",COUNTIF($B$4:$B199,"Entry"),"")</f>
      </c>
      <c r="B199" s="22"/>
      <c r="C199" s="23"/>
      <c r="D199" s="23"/>
      <c r="E199" s="24"/>
      <c r="F199" s="25"/>
      <c r="G199" s="25"/>
      <c r="H199" s="26"/>
      <c r="I199" s="26"/>
      <c r="J199" s="26"/>
      <c r="K199" s="26"/>
      <c r="L199" s="26"/>
      <c r="M199" s="26"/>
      <c r="N199" s="26"/>
      <c r="O199" s="27">
        <f>IF($B199&lt;&gt;"Challan","",H199+I199+J199+K199+L199+M199)</f>
      </c>
      <c r="P199" s="25"/>
      <c r="Q199" s="25"/>
      <c r="R199" s="25"/>
      <c r="S199" s="25"/>
      <c r="T199" s="25"/>
      <c r="U199" s="28"/>
      <c r="V199" s="28"/>
      <c r="W199" s="28"/>
      <c r="X199" s="29">
        <f>IF($B199&lt;&gt;"Entry","",IF(LEN(V199)&lt;4,"",IF(MID(V199,4,1)="P","Individual",IF(MID(V199,4,1)="H","HUF",IF(MID(V199,4,1)="C","Company",IF(MID(V199,4,1)="F","Firm",IF(MID(V199,4,1)="L","LLP",IF(MID(V199,4,1)="T","Trust",IF(MID(V199,4,1)="A","AOP",""))))))))</f>
      </c>
      <c r="Y199" s="28"/>
      <c r="Z199" s="30">
        <f>IF($B199&lt;&gt;"Entry","",IF(Y199="","",IF(W199="Y",SUMPRODUCT(('Rate Lookup'!$A$1:$A$32=Y199)*'Rate Lookup'!$D$1:$D$32),IF(OR(X199="Individual",X199="HUF"),SUMPRODUCT(('Rate Lookup'!$A$1:$A$32=Y199)*'Rate Lookup'!$B$1:$B$32),SUMPRODUCT(('Rate Lookup'!$A$1:$A$32=Y199)*'Rate Lookup'!$C$1:$C$32)))))</f>
      </c>
      <c r="AA199" s="31"/>
      <c r="AB199" s="32"/>
      <c r="AC199" s="27">
        <f>IF($B199&lt;&gt;"Entry","",ROUND(AB199*Z199/100,0))</f>
      </c>
      <c r="AD199" s="27">
        <f>IF($B199&lt;&gt;"Entry","",0)</f>
      </c>
      <c r="AE199" s="27">
        <f>IF($B199&lt;&gt;"Entry","",0)</f>
      </c>
      <c r="AF199" s="27">
        <f>IF($B199&lt;&gt;"Entry","",IF(OR(AC199=0,AA199="",AQ199="",AQ199&lt;=0),0,IF(AQ199&lt;=DATE(YEAR(AA199),MONTH(AA199)+1,7),0,ROUND(AC199*0.015*((YEAR(AQ199)-YEAR(AA199))*12+(MONTH(AQ199)-MONTH(AA199))+1),0))))</f>
      </c>
      <c r="AG199" s="27">
        <f>IF($B199&lt;&gt;"Entry","",0)</f>
      </c>
      <c r="AH199" s="28"/>
      <c r="AI199" s="28"/>
      <c r="AJ199" s="33"/>
      <c r="AK199" s="28"/>
      <c r="AL199" s="28"/>
      <c r="AM199" s="27">
        <f>IF($B199&lt;&gt;"Challan","",SUMIF($D$4:$D$207,D199,$AC$4:$AC$207)+SUMIF($D$4:$D$207,D199,$AF$4:$AF$207)+SUMIF($D$4:$D$207,D199,$AD$4:$AD$207))</f>
      </c>
      <c r="AN199" s="27">
        <f>IF($B199&lt;&gt;"Challan","",O199-M199)</f>
      </c>
      <c r="AO199" s="27">
        <f>IF($B199&lt;&gt;"Challan","",MAX(0,AN199-AM199))</f>
      </c>
      <c r="AP199" s="29">
        <f>IF($B199&lt;&gt;"Challan","",IF(ROUND(AM199-AN199,2)&gt;0,"Over-applied",IF(ROUND(AM199-AN199,2)=0,"Fully Utilised","Unconsumed")))</f>
      </c>
      <c r="AQ199" s="34">
        <f>IF($B199&lt;&gt;"Entry","",SUMPRODUCT(($D$4:$D$207=D199)*($B$4:$B$207="Challan")*$E$4:$E$207))</f>
      </c>
      <c r="AR199" s="35">
        <f>IF(OR($B199&lt;&gt;"Entry",Y199=""),FALSE,AND(SUMPRODUCT(($D$4:$D$207=D199)*($B$4:$B$207="Challan")*($G$4:$G$207&lt;&gt;""))&gt;0,SUMPRODUCT(($D$4:$D$207=D199)*($B$4:$B$207="Challan")*($G$4:$G$207=Y199))=0))</f>
      </c>
    </row>
    <row r="200" spans="1:44" x14ac:dyDescent="0.25">
      <c r="A200" s="21">
        <f>IF($B200="Entry",COUNTIF($B$4:$B200,"Entry"),"")</f>
      </c>
      <c r="B200" s="22"/>
      <c r="C200" s="23"/>
      <c r="D200" s="23"/>
      <c r="E200" s="24"/>
      <c r="F200" s="25"/>
      <c r="G200" s="25"/>
      <c r="H200" s="26"/>
      <c r="I200" s="26"/>
      <c r="J200" s="26"/>
      <c r="K200" s="26"/>
      <c r="L200" s="26"/>
      <c r="M200" s="26"/>
      <c r="N200" s="26"/>
      <c r="O200" s="27">
        <f>IF($B200&lt;&gt;"Challan","",H200+I200+J200+K200+L200+M200)</f>
      </c>
      <c r="P200" s="25"/>
      <c r="Q200" s="25"/>
      <c r="R200" s="25"/>
      <c r="S200" s="25"/>
      <c r="T200" s="25"/>
      <c r="U200" s="28"/>
      <c r="V200" s="28"/>
      <c r="W200" s="28"/>
      <c r="X200" s="29">
        <f>IF($B200&lt;&gt;"Entry","",IF(LEN(V200)&lt;4,"",IF(MID(V200,4,1)="P","Individual",IF(MID(V200,4,1)="H","HUF",IF(MID(V200,4,1)="C","Company",IF(MID(V200,4,1)="F","Firm",IF(MID(V200,4,1)="L","LLP",IF(MID(V200,4,1)="T","Trust",IF(MID(V200,4,1)="A","AOP",""))))))))</f>
      </c>
      <c r="Y200" s="28"/>
      <c r="Z200" s="30">
        <f>IF($B200&lt;&gt;"Entry","",IF(Y200="","",IF(W200="Y",SUMPRODUCT(('Rate Lookup'!$A$1:$A$32=Y200)*'Rate Lookup'!$D$1:$D$32),IF(OR(X200="Individual",X200="HUF"),SUMPRODUCT(('Rate Lookup'!$A$1:$A$32=Y200)*'Rate Lookup'!$B$1:$B$32),SUMPRODUCT(('Rate Lookup'!$A$1:$A$32=Y200)*'Rate Lookup'!$C$1:$C$32)))))</f>
      </c>
      <c r="AA200" s="31"/>
      <c r="AB200" s="32"/>
      <c r="AC200" s="27">
        <f>IF($B200&lt;&gt;"Entry","",ROUND(AB200*Z200/100,0))</f>
      </c>
      <c r="AD200" s="27">
        <f>IF($B200&lt;&gt;"Entry","",0)</f>
      </c>
      <c r="AE200" s="27">
        <f>IF($B200&lt;&gt;"Entry","",0)</f>
      </c>
      <c r="AF200" s="27">
        <f>IF($B200&lt;&gt;"Entry","",IF(OR(AC200=0,AA200="",AQ200="",AQ200&lt;=0),0,IF(AQ200&lt;=DATE(YEAR(AA200),MONTH(AA200)+1,7),0,ROUND(AC200*0.015*((YEAR(AQ200)-YEAR(AA200))*12+(MONTH(AQ200)-MONTH(AA200))+1),0))))</f>
      </c>
      <c r="AG200" s="27">
        <f>IF($B200&lt;&gt;"Entry","",0)</f>
      </c>
      <c r="AH200" s="28"/>
      <c r="AI200" s="28"/>
      <c r="AJ200" s="33"/>
      <c r="AK200" s="28"/>
      <c r="AL200" s="28"/>
      <c r="AM200" s="27">
        <f>IF($B200&lt;&gt;"Challan","",SUMIF($D$4:$D$207,D200,$AC$4:$AC$207)+SUMIF($D$4:$D$207,D200,$AF$4:$AF$207)+SUMIF($D$4:$D$207,D200,$AD$4:$AD$207))</f>
      </c>
      <c r="AN200" s="27">
        <f>IF($B200&lt;&gt;"Challan","",O200-M200)</f>
      </c>
      <c r="AO200" s="27">
        <f>IF($B200&lt;&gt;"Challan","",MAX(0,AN200-AM200))</f>
      </c>
      <c r="AP200" s="29">
        <f>IF($B200&lt;&gt;"Challan","",IF(ROUND(AM200-AN200,2)&gt;0,"Over-applied",IF(ROUND(AM200-AN200,2)=0,"Fully Utilised","Unconsumed")))</f>
      </c>
      <c r="AQ200" s="34">
        <f>IF($B200&lt;&gt;"Entry","",SUMPRODUCT(($D$4:$D$207=D200)*($B$4:$B$207="Challan")*$E$4:$E$207))</f>
      </c>
      <c r="AR200" s="35">
        <f>IF(OR($B200&lt;&gt;"Entry",Y200=""),FALSE,AND(SUMPRODUCT(($D$4:$D$207=D200)*($B$4:$B$207="Challan")*($G$4:$G$207&lt;&gt;""))&gt;0,SUMPRODUCT(($D$4:$D$207=D200)*($B$4:$B$207="Challan")*($G$4:$G$207=Y200))=0))</f>
      </c>
    </row>
    <row r="201" spans="1:44" x14ac:dyDescent="0.25">
      <c r="A201" s="21">
        <f>IF($B201="Entry",COUNTIF($B$4:$B201,"Entry"),"")</f>
      </c>
      <c r="B201" s="22"/>
      <c r="C201" s="23"/>
      <c r="D201" s="23"/>
      <c r="E201" s="24"/>
      <c r="F201" s="25"/>
      <c r="G201" s="25"/>
      <c r="H201" s="26"/>
      <c r="I201" s="26"/>
      <c r="J201" s="26"/>
      <c r="K201" s="26"/>
      <c r="L201" s="26"/>
      <c r="M201" s="26"/>
      <c r="N201" s="26"/>
      <c r="O201" s="27">
        <f>IF($B201&lt;&gt;"Challan","",H201+I201+J201+K201+L201+M201)</f>
      </c>
      <c r="P201" s="25"/>
      <c r="Q201" s="25"/>
      <c r="R201" s="25"/>
      <c r="S201" s="25"/>
      <c r="T201" s="25"/>
      <c r="U201" s="28"/>
      <c r="V201" s="28"/>
      <c r="W201" s="28"/>
      <c r="X201" s="29">
        <f>IF($B201&lt;&gt;"Entry","",IF(LEN(V201)&lt;4,"",IF(MID(V201,4,1)="P","Individual",IF(MID(V201,4,1)="H","HUF",IF(MID(V201,4,1)="C","Company",IF(MID(V201,4,1)="F","Firm",IF(MID(V201,4,1)="L","LLP",IF(MID(V201,4,1)="T","Trust",IF(MID(V201,4,1)="A","AOP",""))))))))</f>
      </c>
      <c r="Y201" s="28"/>
      <c r="Z201" s="30">
        <f>IF($B201&lt;&gt;"Entry","",IF(Y201="","",IF(W201="Y",SUMPRODUCT(('Rate Lookup'!$A$1:$A$32=Y201)*'Rate Lookup'!$D$1:$D$32),IF(OR(X201="Individual",X201="HUF"),SUMPRODUCT(('Rate Lookup'!$A$1:$A$32=Y201)*'Rate Lookup'!$B$1:$B$32),SUMPRODUCT(('Rate Lookup'!$A$1:$A$32=Y201)*'Rate Lookup'!$C$1:$C$32)))))</f>
      </c>
      <c r="AA201" s="31"/>
      <c r="AB201" s="32"/>
      <c r="AC201" s="27">
        <f>IF($B201&lt;&gt;"Entry","",ROUND(AB201*Z201/100,0))</f>
      </c>
      <c r="AD201" s="27">
        <f>IF($B201&lt;&gt;"Entry","",0)</f>
      </c>
      <c r="AE201" s="27">
        <f>IF($B201&lt;&gt;"Entry","",0)</f>
      </c>
      <c r="AF201" s="27">
        <f>IF($B201&lt;&gt;"Entry","",IF(OR(AC201=0,AA201="",AQ201="",AQ201&lt;=0),0,IF(AQ201&lt;=DATE(YEAR(AA201),MONTH(AA201)+1,7),0,ROUND(AC201*0.015*((YEAR(AQ201)-YEAR(AA201))*12+(MONTH(AQ201)-MONTH(AA201))+1),0))))</f>
      </c>
      <c r="AG201" s="27">
        <f>IF($B201&lt;&gt;"Entry","",0)</f>
      </c>
      <c r="AH201" s="28"/>
      <c r="AI201" s="28"/>
      <c r="AJ201" s="33"/>
      <c r="AK201" s="28"/>
      <c r="AL201" s="28"/>
      <c r="AM201" s="27">
        <f>IF($B201&lt;&gt;"Challan","",SUMIF($D$4:$D$207,D201,$AC$4:$AC$207)+SUMIF($D$4:$D$207,D201,$AF$4:$AF$207)+SUMIF($D$4:$D$207,D201,$AD$4:$AD$207))</f>
      </c>
      <c r="AN201" s="27">
        <f>IF($B201&lt;&gt;"Challan","",O201-M201)</f>
      </c>
      <c r="AO201" s="27">
        <f>IF($B201&lt;&gt;"Challan","",MAX(0,AN201-AM201))</f>
      </c>
      <c r="AP201" s="29">
        <f>IF($B201&lt;&gt;"Challan","",IF(ROUND(AM201-AN201,2)&gt;0,"Over-applied",IF(ROUND(AM201-AN201,2)=0,"Fully Utilised","Unconsumed")))</f>
      </c>
      <c r="AQ201" s="34">
        <f>IF($B201&lt;&gt;"Entry","",SUMPRODUCT(($D$4:$D$207=D201)*($B$4:$B$207="Challan")*$E$4:$E$207))</f>
      </c>
      <c r="AR201" s="35">
        <f>IF(OR($B201&lt;&gt;"Entry",Y201=""),FALSE,AND(SUMPRODUCT(($D$4:$D$207=D201)*($B$4:$B$207="Challan")*($G$4:$G$207&lt;&gt;""))&gt;0,SUMPRODUCT(($D$4:$D$207=D201)*($B$4:$B$207="Challan")*($G$4:$G$207=Y201))=0))</f>
      </c>
    </row>
    <row r="202" spans="1:44" x14ac:dyDescent="0.25">
      <c r="A202" s="21">
        <f>IF($B202="Entry",COUNTIF($B$4:$B202,"Entry"),"")</f>
      </c>
      <c r="B202" s="22"/>
      <c r="C202" s="23"/>
      <c r="D202" s="23"/>
      <c r="E202" s="24"/>
      <c r="F202" s="25"/>
      <c r="G202" s="25"/>
      <c r="H202" s="26"/>
      <c r="I202" s="26"/>
      <c r="J202" s="26"/>
      <c r="K202" s="26"/>
      <c r="L202" s="26"/>
      <c r="M202" s="26"/>
      <c r="N202" s="26"/>
      <c r="O202" s="27">
        <f>IF($B202&lt;&gt;"Challan","",H202+I202+J202+K202+L202+M202)</f>
      </c>
      <c r="P202" s="25"/>
      <c r="Q202" s="25"/>
      <c r="R202" s="25"/>
      <c r="S202" s="25"/>
      <c r="T202" s="25"/>
      <c r="U202" s="28"/>
      <c r="V202" s="28"/>
      <c r="W202" s="28"/>
      <c r="X202" s="29">
        <f>IF($B202&lt;&gt;"Entry","",IF(LEN(V202)&lt;4,"",IF(MID(V202,4,1)="P","Individual",IF(MID(V202,4,1)="H","HUF",IF(MID(V202,4,1)="C","Company",IF(MID(V202,4,1)="F","Firm",IF(MID(V202,4,1)="L","LLP",IF(MID(V202,4,1)="T","Trust",IF(MID(V202,4,1)="A","AOP",""))))))))</f>
      </c>
      <c r="Y202" s="28"/>
      <c r="Z202" s="30">
        <f>IF($B202&lt;&gt;"Entry","",IF(Y202="","",IF(W202="Y",SUMPRODUCT(('Rate Lookup'!$A$1:$A$32=Y202)*'Rate Lookup'!$D$1:$D$32),IF(OR(X202="Individual",X202="HUF"),SUMPRODUCT(('Rate Lookup'!$A$1:$A$32=Y202)*'Rate Lookup'!$B$1:$B$32),SUMPRODUCT(('Rate Lookup'!$A$1:$A$32=Y202)*'Rate Lookup'!$C$1:$C$32)))))</f>
      </c>
      <c r="AA202" s="31"/>
      <c r="AB202" s="32"/>
      <c r="AC202" s="27">
        <f>IF($B202&lt;&gt;"Entry","",ROUND(AB202*Z202/100,0))</f>
      </c>
      <c r="AD202" s="27">
        <f>IF($B202&lt;&gt;"Entry","",0)</f>
      </c>
      <c r="AE202" s="27">
        <f>IF($B202&lt;&gt;"Entry","",0)</f>
      </c>
      <c r="AF202" s="27">
        <f>IF($B202&lt;&gt;"Entry","",IF(OR(AC202=0,AA202="",AQ202="",AQ202&lt;=0),0,IF(AQ202&lt;=DATE(YEAR(AA202),MONTH(AA202)+1,7),0,ROUND(AC202*0.015*((YEAR(AQ202)-YEAR(AA202))*12+(MONTH(AQ202)-MONTH(AA202))+1),0))))</f>
      </c>
      <c r="AG202" s="27">
        <f>IF($B202&lt;&gt;"Entry","",0)</f>
      </c>
      <c r="AH202" s="28"/>
      <c r="AI202" s="28"/>
      <c r="AJ202" s="33"/>
      <c r="AK202" s="28"/>
      <c r="AL202" s="28"/>
      <c r="AM202" s="27">
        <f>IF($B202&lt;&gt;"Challan","",SUMIF($D$4:$D$207,D202,$AC$4:$AC$207)+SUMIF($D$4:$D$207,D202,$AF$4:$AF$207)+SUMIF($D$4:$D$207,D202,$AD$4:$AD$207))</f>
      </c>
      <c r="AN202" s="27">
        <f>IF($B202&lt;&gt;"Challan","",O202-M202)</f>
      </c>
      <c r="AO202" s="27">
        <f>IF($B202&lt;&gt;"Challan","",MAX(0,AN202-AM202))</f>
      </c>
      <c r="AP202" s="29">
        <f>IF($B202&lt;&gt;"Challan","",IF(ROUND(AM202-AN202,2)&gt;0,"Over-applied",IF(ROUND(AM202-AN202,2)=0,"Fully Utilised","Unconsumed")))</f>
      </c>
      <c r="AQ202" s="34">
        <f>IF($B202&lt;&gt;"Entry","",SUMPRODUCT(($D$4:$D$207=D202)*($B$4:$B$207="Challan")*$E$4:$E$207))</f>
      </c>
      <c r="AR202" s="35">
        <f>IF(OR($B202&lt;&gt;"Entry",Y202=""),FALSE,AND(SUMPRODUCT(($D$4:$D$207=D202)*($B$4:$B$207="Challan")*($G$4:$G$207&lt;&gt;""))&gt;0,SUMPRODUCT(($D$4:$D$207=D202)*($B$4:$B$207="Challan")*($G$4:$G$207=Y202))=0))</f>
      </c>
    </row>
    <row r="203" spans="1:44" x14ac:dyDescent="0.25">
      <c r="A203" s="21">
        <f>IF($B203="Entry",COUNTIF($B$4:$B203,"Entry"),"")</f>
      </c>
      <c r="B203" s="22"/>
      <c r="C203" s="23"/>
      <c r="D203" s="23"/>
      <c r="E203" s="24"/>
      <c r="F203" s="25"/>
      <c r="G203" s="25"/>
      <c r="H203" s="26"/>
      <c r="I203" s="26"/>
      <c r="J203" s="26"/>
      <c r="K203" s="26"/>
      <c r="L203" s="26"/>
      <c r="M203" s="26"/>
      <c r="N203" s="26"/>
      <c r="O203" s="27">
        <f>IF($B203&lt;&gt;"Challan","",H203+I203+J203+K203+L203+M203)</f>
      </c>
      <c r="P203" s="25"/>
      <c r="Q203" s="25"/>
      <c r="R203" s="25"/>
      <c r="S203" s="25"/>
      <c r="T203" s="25"/>
      <c r="U203" s="28"/>
      <c r="V203" s="28"/>
      <c r="W203" s="28"/>
      <c r="X203" s="29">
        <f>IF($B203&lt;&gt;"Entry","",IF(LEN(V203)&lt;4,"",IF(MID(V203,4,1)="P","Individual",IF(MID(V203,4,1)="H","HUF",IF(MID(V203,4,1)="C","Company",IF(MID(V203,4,1)="F","Firm",IF(MID(V203,4,1)="L","LLP",IF(MID(V203,4,1)="T","Trust",IF(MID(V203,4,1)="A","AOP",""))))))))</f>
      </c>
      <c r="Y203" s="28"/>
      <c r="Z203" s="30">
        <f>IF($B203&lt;&gt;"Entry","",IF(Y203="","",IF(W203="Y",SUMPRODUCT(('Rate Lookup'!$A$1:$A$32=Y203)*'Rate Lookup'!$D$1:$D$32),IF(OR(X203="Individual",X203="HUF"),SUMPRODUCT(('Rate Lookup'!$A$1:$A$32=Y203)*'Rate Lookup'!$B$1:$B$32),SUMPRODUCT(('Rate Lookup'!$A$1:$A$32=Y203)*'Rate Lookup'!$C$1:$C$32)))))</f>
      </c>
      <c r="AA203" s="31"/>
      <c r="AB203" s="32"/>
      <c r="AC203" s="27">
        <f>IF($B203&lt;&gt;"Entry","",ROUND(AB203*Z203/100,0))</f>
      </c>
      <c r="AD203" s="27">
        <f>IF($B203&lt;&gt;"Entry","",0)</f>
      </c>
      <c r="AE203" s="27">
        <f>IF($B203&lt;&gt;"Entry","",0)</f>
      </c>
      <c r="AF203" s="27">
        <f>IF($B203&lt;&gt;"Entry","",IF(OR(AC203=0,AA203="",AQ203="",AQ203&lt;=0),0,IF(AQ203&lt;=DATE(YEAR(AA203),MONTH(AA203)+1,7),0,ROUND(AC203*0.015*((YEAR(AQ203)-YEAR(AA203))*12+(MONTH(AQ203)-MONTH(AA203))+1),0))))</f>
      </c>
      <c r="AG203" s="27">
        <f>IF($B203&lt;&gt;"Entry","",0)</f>
      </c>
      <c r="AH203" s="28"/>
      <c r="AI203" s="28"/>
      <c r="AJ203" s="33"/>
      <c r="AK203" s="28"/>
      <c r="AL203" s="28"/>
      <c r="AM203" s="27">
        <f>IF($B203&lt;&gt;"Challan","",SUMIF($D$4:$D$207,D203,$AC$4:$AC$207)+SUMIF($D$4:$D$207,D203,$AF$4:$AF$207)+SUMIF($D$4:$D$207,D203,$AD$4:$AD$207))</f>
      </c>
      <c r="AN203" s="27">
        <f>IF($B203&lt;&gt;"Challan","",O203-M203)</f>
      </c>
      <c r="AO203" s="27">
        <f>IF($B203&lt;&gt;"Challan","",MAX(0,AN203-AM203))</f>
      </c>
      <c r="AP203" s="29">
        <f>IF($B203&lt;&gt;"Challan","",IF(ROUND(AM203-AN203,2)&gt;0,"Over-applied",IF(ROUND(AM203-AN203,2)=0,"Fully Utilised","Unconsumed")))</f>
      </c>
      <c r="AQ203" s="34">
        <f>IF($B203&lt;&gt;"Entry","",SUMPRODUCT(($D$4:$D$207=D203)*($B$4:$B$207="Challan")*$E$4:$E$207))</f>
      </c>
      <c r="AR203" s="35">
        <f>IF(OR($B203&lt;&gt;"Entry",Y203=""),FALSE,AND(SUMPRODUCT(($D$4:$D$207=D203)*($B$4:$B$207="Challan")*($G$4:$G$207&lt;&gt;""))&gt;0,SUMPRODUCT(($D$4:$D$207=D203)*($B$4:$B$207="Challan")*($G$4:$G$207=Y203))=0))</f>
      </c>
    </row>
    <row r="204" spans="1:44" x14ac:dyDescent="0.25">
      <c r="A204" s="21">
        <f>IF($B204="Entry",COUNTIF($B$4:$B204,"Entry"),"")</f>
      </c>
      <c r="B204" s="22"/>
      <c r="C204" s="23"/>
      <c r="D204" s="23"/>
      <c r="E204" s="24"/>
      <c r="F204" s="25"/>
      <c r="G204" s="25"/>
      <c r="H204" s="26"/>
      <c r="I204" s="26"/>
      <c r="J204" s="26"/>
      <c r="K204" s="26"/>
      <c r="L204" s="26"/>
      <c r="M204" s="26"/>
      <c r="N204" s="26"/>
      <c r="O204" s="27">
        <f>IF($B204&lt;&gt;"Challan","",H204+I204+J204+K204+L204+M204)</f>
      </c>
      <c r="P204" s="25"/>
      <c r="Q204" s="25"/>
      <c r="R204" s="25"/>
      <c r="S204" s="25"/>
      <c r="T204" s="25"/>
      <c r="U204" s="28"/>
      <c r="V204" s="28"/>
      <c r="W204" s="28"/>
      <c r="X204" s="29">
        <f>IF($B204&lt;&gt;"Entry","",IF(LEN(V204)&lt;4,"",IF(MID(V204,4,1)="P","Individual",IF(MID(V204,4,1)="H","HUF",IF(MID(V204,4,1)="C","Company",IF(MID(V204,4,1)="F","Firm",IF(MID(V204,4,1)="L","LLP",IF(MID(V204,4,1)="T","Trust",IF(MID(V204,4,1)="A","AOP",""))))))))</f>
      </c>
      <c r="Y204" s="28"/>
      <c r="Z204" s="30">
        <f>IF($B204&lt;&gt;"Entry","",IF(Y204="","",IF(W204="Y",SUMPRODUCT(('Rate Lookup'!$A$1:$A$32=Y204)*'Rate Lookup'!$D$1:$D$32),IF(OR(X204="Individual",X204="HUF"),SUMPRODUCT(('Rate Lookup'!$A$1:$A$32=Y204)*'Rate Lookup'!$B$1:$B$32),SUMPRODUCT(('Rate Lookup'!$A$1:$A$32=Y204)*'Rate Lookup'!$C$1:$C$32)))))</f>
      </c>
      <c r="AA204" s="31"/>
      <c r="AB204" s="32"/>
      <c r="AC204" s="27">
        <f>IF($B204&lt;&gt;"Entry","",ROUND(AB204*Z204/100,0))</f>
      </c>
      <c r="AD204" s="27">
        <f>IF($B204&lt;&gt;"Entry","",0)</f>
      </c>
      <c r="AE204" s="27">
        <f>IF($B204&lt;&gt;"Entry","",0)</f>
      </c>
      <c r="AF204" s="27">
        <f>IF($B204&lt;&gt;"Entry","",IF(OR(AC204=0,AA204="",AQ204="",AQ204&lt;=0),0,IF(AQ204&lt;=DATE(YEAR(AA204),MONTH(AA204)+1,7),0,ROUND(AC204*0.015*((YEAR(AQ204)-YEAR(AA204))*12+(MONTH(AQ204)-MONTH(AA204))+1),0))))</f>
      </c>
      <c r="AG204" s="27">
        <f>IF($B204&lt;&gt;"Entry","",0)</f>
      </c>
      <c r="AH204" s="28"/>
      <c r="AI204" s="28"/>
      <c r="AJ204" s="33"/>
      <c r="AK204" s="28"/>
      <c r="AL204" s="28"/>
      <c r="AM204" s="27">
        <f>IF($B204&lt;&gt;"Challan","",SUMIF($D$4:$D$207,D204,$AC$4:$AC$207)+SUMIF($D$4:$D$207,D204,$AF$4:$AF$207)+SUMIF($D$4:$D$207,D204,$AD$4:$AD$207))</f>
      </c>
      <c r="AN204" s="27">
        <f>IF($B204&lt;&gt;"Challan","",O204-M204)</f>
      </c>
      <c r="AO204" s="27">
        <f>IF($B204&lt;&gt;"Challan","",MAX(0,AN204-AM204))</f>
      </c>
      <c r="AP204" s="29">
        <f>IF($B204&lt;&gt;"Challan","",IF(ROUND(AM204-AN204,2)&gt;0,"Over-applied",IF(ROUND(AM204-AN204,2)=0,"Fully Utilised","Unconsumed")))</f>
      </c>
      <c r="AQ204" s="34">
        <f>IF($B204&lt;&gt;"Entry","",SUMPRODUCT(($D$4:$D$207=D204)*($B$4:$B$207="Challan")*$E$4:$E$207))</f>
      </c>
      <c r="AR204" s="35">
        <f>IF(OR($B204&lt;&gt;"Entry",Y204=""),FALSE,AND(SUMPRODUCT(($D$4:$D$207=D204)*($B$4:$B$207="Challan")*($G$4:$G$207&lt;&gt;""))&gt;0,SUMPRODUCT(($D$4:$D$207=D204)*($B$4:$B$207="Challan")*($G$4:$G$207=Y204))=0))</f>
      </c>
    </row>
    <row r="205" spans="1:44" x14ac:dyDescent="0.25">
      <c r="A205" s="21">
        <f>IF($B205="Entry",COUNTIF($B$4:$B205,"Entry"),"")</f>
      </c>
      <c r="B205" s="22"/>
      <c r="C205" s="23"/>
      <c r="D205" s="23"/>
      <c r="E205" s="24"/>
      <c r="F205" s="25"/>
      <c r="G205" s="25"/>
      <c r="H205" s="26"/>
      <c r="I205" s="26"/>
      <c r="J205" s="26"/>
      <c r="K205" s="26"/>
      <c r="L205" s="26"/>
      <c r="M205" s="26"/>
      <c r="N205" s="26"/>
      <c r="O205" s="27">
        <f>IF($B205&lt;&gt;"Challan","",H205+I205+J205+K205+L205+M205)</f>
      </c>
      <c r="P205" s="25"/>
      <c r="Q205" s="25"/>
      <c r="R205" s="25"/>
      <c r="S205" s="25"/>
      <c r="T205" s="25"/>
      <c r="U205" s="28"/>
      <c r="V205" s="28"/>
      <c r="W205" s="28"/>
      <c r="X205" s="29">
        <f>IF($B205&lt;&gt;"Entry","",IF(LEN(V205)&lt;4,"",IF(MID(V205,4,1)="P","Individual",IF(MID(V205,4,1)="H","HUF",IF(MID(V205,4,1)="C","Company",IF(MID(V205,4,1)="F","Firm",IF(MID(V205,4,1)="L","LLP",IF(MID(V205,4,1)="T","Trust",IF(MID(V205,4,1)="A","AOP",""))))))))</f>
      </c>
      <c r="Y205" s="28"/>
      <c r="Z205" s="30">
        <f>IF($B205&lt;&gt;"Entry","",IF(Y205="","",IF(W205="Y",SUMPRODUCT(('Rate Lookup'!$A$1:$A$32=Y205)*'Rate Lookup'!$D$1:$D$32),IF(OR(X205="Individual",X205="HUF"),SUMPRODUCT(('Rate Lookup'!$A$1:$A$32=Y205)*'Rate Lookup'!$B$1:$B$32),SUMPRODUCT(('Rate Lookup'!$A$1:$A$32=Y205)*'Rate Lookup'!$C$1:$C$32)))))</f>
      </c>
      <c r="AA205" s="31"/>
      <c r="AB205" s="32"/>
      <c r="AC205" s="27">
        <f>IF($B205&lt;&gt;"Entry","",ROUND(AB205*Z205/100,0))</f>
      </c>
      <c r="AD205" s="27">
        <f>IF($B205&lt;&gt;"Entry","",0)</f>
      </c>
      <c r="AE205" s="27">
        <f>IF($B205&lt;&gt;"Entry","",0)</f>
      </c>
      <c r="AF205" s="27">
        <f>IF($B205&lt;&gt;"Entry","",IF(OR(AC205=0,AA205="",AQ205="",AQ205&lt;=0),0,IF(AQ205&lt;=DATE(YEAR(AA205),MONTH(AA205)+1,7),0,ROUND(AC205*0.015*((YEAR(AQ205)-YEAR(AA205))*12+(MONTH(AQ205)-MONTH(AA205))+1),0))))</f>
      </c>
      <c r="AG205" s="27">
        <f>IF($B205&lt;&gt;"Entry","",0)</f>
      </c>
      <c r="AH205" s="28"/>
      <c r="AI205" s="28"/>
      <c r="AJ205" s="33"/>
      <c r="AK205" s="28"/>
      <c r="AL205" s="28"/>
      <c r="AM205" s="27">
        <f>IF($B205&lt;&gt;"Challan","",SUMIF($D$4:$D$207,D205,$AC$4:$AC$207)+SUMIF($D$4:$D$207,D205,$AF$4:$AF$207)+SUMIF($D$4:$D$207,D205,$AD$4:$AD$207))</f>
      </c>
      <c r="AN205" s="27">
        <f>IF($B205&lt;&gt;"Challan","",O205-M205)</f>
      </c>
      <c r="AO205" s="27">
        <f>IF($B205&lt;&gt;"Challan","",MAX(0,AN205-AM205))</f>
      </c>
      <c r="AP205" s="29">
        <f>IF($B205&lt;&gt;"Challan","",IF(ROUND(AM205-AN205,2)&gt;0,"Over-applied",IF(ROUND(AM205-AN205,2)=0,"Fully Utilised","Unconsumed")))</f>
      </c>
      <c r="AQ205" s="34">
        <f>IF($B205&lt;&gt;"Entry","",SUMPRODUCT(($D$4:$D$207=D205)*($B$4:$B$207="Challan")*$E$4:$E$207))</f>
      </c>
      <c r="AR205" s="35">
        <f>IF(OR($B205&lt;&gt;"Entry",Y205=""),FALSE,AND(SUMPRODUCT(($D$4:$D$207=D205)*($B$4:$B$207="Challan")*($G$4:$G$207&lt;&gt;""))&gt;0,SUMPRODUCT(($D$4:$D$207=D205)*($B$4:$B$207="Challan")*($G$4:$G$207=Y205))=0))</f>
      </c>
    </row>
    <row r="206" spans="1:44" x14ac:dyDescent="0.25">
      <c r="A206" s="21">
        <f>IF($B206="Entry",COUNTIF($B$4:$B206,"Entry"),"")</f>
      </c>
      <c r="B206" s="22"/>
      <c r="C206" s="23"/>
      <c r="D206" s="23"/>
      <c r="E206" s="24"/>
      <c r="F206" s="25"/>
      <c r="G206" s="25"/>
      <c r="H206" s="26"/>
      <c r="I206" s="26"/>
      <c r="J206" s="26"/>
      <c r="K206" s="26"/>
      <c r="L206" s="26"/>
      <c r="M206" s="26"/>
      <c r="N206" s="26"/>
      <c r="O206" s="27">
        <f>IF($B206&lt;&gt;"Challan","",H206+I206+J206+K206+L206+M206)</f>
      </c>
      <c r="P206" s="25"/>
      <c r="Q206" s="25"/>
      <c r="R206" s="25"/>
      <c r="S206" s="25"/>
      <c r="T206" s="25"/>
      <c r="U206" s="28"/>
      <c r="V206" s="28"/>
      <c r="W206" s="28"/>
      <c r="X206" s="29">
        <f>IF($B206&lt;&gt;"Entry","",IF(LEN(V206)&lt;4,"",IF(MID(V206,4,1)="P","Individual",IF(MID(V206,4,1)="H","HUF",IF(MID(V206,4,1)="C","Company",IF(MID(V206,4,1)="F","Firm",IF(MID(V206,4,1)="L","LLP",IF(MID(V206,4,1)="T","Trust",IF(MID(V206,4,1)="A","AOP",""))))))))</f>
      </c>
      <c r="Y206" s="28"/>
      <c r="Z206" s="30">
        <f>IF($B206&lt;&gt;"Entry","",IF(Y206="","",IF(W206="Y",SUMPRODUCT(('Rate Lookup'!$A$1:$A$32=Y206)*'Rate Lookup'!$D$1:$D$32),IF(OR(X206="Individual",X206="HUF"),SUMPRODUCT(('Rate Lookup'!$A$1:$A$32=Y206)*'Rate Lookup'!$B$1:$B$32),SUMPRODUCT(('Rate Lookup'!$A$1:$A$32=Y206)*'Rate Lookup'!$C$1:$C$32)))))</f>
      </c>
      <c r="AA206" s="31"/>
      <c r="AB206" s="32"/>
      <c r="AC206" s="27">
        <f>IF($B206&lt;&gt;"Entry","",ROUND(AB206*Z206/100,0))</f>
      </c>
      <c r="AD206" s="27">
        <f>IF($B206&lt;&gt;"Entry","",0)</f>
      </c>
      <c r="AE206" s="27">
        <f>IF($B206&lt;&gt;"Entry","",0)</f>
      </c>
      <c r="AF206" s="27">
        <f>IF($B206&lt;&gt;"Entry","",IF(OR(AC206=0,AA206="",AQ206="",AQ206&lt;=0),0,IF(AQ206&lt;=DATE(YEAR(AA206),MONTH(AA206)+1,7),0,ROUND(AC206*0.015*((YEAR(AQ206)-YEAR(AA206))*12+(MONTH(AQ206)-MONTH(AA206))+1),0))))</f>
      </c>
      <c r="AG206" s="27">
        <f>IF($B206&lt;&gt;"Entry","",0)</f>
      </c>
      <c r="AH206" s="28"/>
      <c r="AI206" s="28"/>
      <c r="AJ206" s="33"/>
      <c r="AK206" s="28"/>
      <c r="AL206" s="28"/>
      <c r="AM206" s="27">
        <f>IF($B206&lt;&gt;"Challan","",SUMIF($D$4:$D$207,D206,$AC$4:$AC$207)+SUMIF($D$4:$D$207,D206,$AF$4:$AF$207)+SUMIF($D$4:$D$207,D206,$AD$4:$AD$207))</f>
      </c>
      <c r="AN206" s="27">
        <f>IF($B206&lt;&gt;"Challan","",O206-M206)</f>
      </c>
      <c r="AO206" s="27">
        <f>IF($B206&lt;&gt;"Challan","",MAX(0,AN206-AM206))</f>
      </c>
      <c r="AP206" s="29">
        <f>IF($B206&lt;&gt;"Challan","",IF(ROUND(AM206-AN206,2)&gt;0,"Over-applied",IF(ROUND(AM206-AN206,2)=0,"Fully Utilised","Unconsumed")))</f>
      </c>
      <c r="AQ206" s="34">
        <f>IF($B206&lt;&gt;"Entry","",SUMPRODUCT(($D$4:$D$207=D206)*($B$4:$B$207="Challan")*$E$4:$E$207))</f>
      </c>
      <c r="AR206" s="35">
        <f>IF(OR($B206&lt;&gt;"Entry",Y206=""),FALSE,AND(SUMPRODUCT(($D$4:$D$207=D206)*($B$4:$B$207="Challan")*($G$4:$G$207&lt;&gt;""))&gt;0,SUMPRODUCT(($D$4:$D$207=D206)*($B$4:$B$207="Challan")*($G$4:$G$207=Y206))=0))</f>
      </c>
    </row>
    <row r="207" spans="1:44" x14ac:dyDescent="0.25">
      <c r="A207" s="21">
        <f>IF($B207="Entry",COUNTIF($B$4:$B207,"Entry"),"")</f>
      </c>
      <c r="B207" s="22"/>
      <c r="C207" s="23"/>
      <c r="D207" s="23"/>
      <c r="E207" s="24"/>
      <c r="F207" s="25"/>
      <c r="G207" s="25"/>
      <c r="H207" s="26"/>
      <c r="I207" s="26"/>
      <c r="J207" s="26"/>
      <c r="K207" s="26"/>
      <c r="L207" s="26"/>
      <c r="M207" s="26"/>
      <c r="N207" s="26"/>
      <c r="O207" s="27">
        <f>IF($B207&lt;&gt;"Challan","",H207+I207+J207+K207+L207+M207)</f>
      </c>
      <c r="P207" s="25"/>
      <c r="Q207" s="25"/>
      <c r="R207" s="25"/>
      <c r="S207" s="25"/>
      <c r="T207" s="25"/>
      <c r="U207" s="28"/>
      <c r="V207" s="28"/>
      <c r="W207" s="28"/>
      <c r="X207" s="29">
        <f>IF($B207&lt;&gt;"Entry","",IF(LEN(V207)&lt;4,"",IF(MID(V207,4,1)="P","Individual",IF(MID(V207,4,1)="H","HUF",IF(MID(V207,4,1)="C","Company",IF(MID(V207,4,1)="F","Firm",IF(MID(V207,4,1)="L","LLP",IF(MID(V207,4,1)="T","Trust",IF(MID(V207,4,1)="A","AOP",""))))))))</f>
      </c>
      <c r="Y207" s="28"/>
      <c r="Z207" s="30">
        <f>IF($B207&lt;&gt;"Entry","",IF(Y207="","",IF(W207="Y",SUMPRODUCT(('Rate Lookup'!$A$1:$A$32=Y207)*'Rate Lookup'!$D$1:$D$32),IF(OR(X207="Individual",X207="HUF"),SUMPRODUCT(('Rate Lookup'!$A$1:$A$32=Y207)*'Rate Lookup'!$B$1:$B$32),SUMPRODUCT(('Rate Lookup'!$A$1:$A$32=Y207)*'Rate Lookup'!$C$1:$C$32)))))</f>
      </c>
      <c r="AA207" s="31"/>
      <c r="AB207" s="32"/>
      <c r="AC207" s="27">
        <f>IF($B207&lt;&gt;"Entry","",ROUND(AB207*Z207/100,0))</f>
      </c>
      <c r="AD207" s="27">
        <f>IF($B207&lt;&gt;"Entry","",0)</f>
      </c>
      <c r="AE207" s="27">
        <f>IF($B207&lt;&gt;"Entry","",0)</f>
      </c>
      <c r="AF207" s="27">
        <f>IF($B207&lt;&gt;"Entry","",IF(OR(AC207=0,AA207="",AQ207="",AQ207&lt;=0),0,IF(AQ207&lt;=DATE(YEAR(AA207),MONTH(AA207)+1,7),0,ROUND(AC207*0.015*((YEAR(AQ207)-YEAR(AA207))*12+(MONTH(AQ207)-MONTH(AA207))+1),0))))</f>
      </c>
      <c r="AG207" s="27">
        <f>IF($B207&lt;&gt;"Entry","",0)</f>
      </c>
      <c r="AH207" s="28"/>
      <c r="AI207" s="28"/>
      <c r="AJ207" s="33"/>
      <c r="AK207" s="28"/>
      <c r="AL207" s="28"/>
      <c r="AM207" s="27">
        <f>IF($B207&lt;&gt;"Challan","",SUMIF($D$4:$D$207,D207,$AC$4:$AC$207)+SUMIF($D$4:$D$207,D207,$AF$4:$AF$207)+SUMIF($D$4:$D$207,D207,$AD$4:$AD$207))</f>
      </c>
      <c r="AN207" s="27">
        <f>IF($B207&lt;&gt;"Challan","",O207-M207)</f>
      </c>
      <c r="AO207" s="27">
        <f>IF($B207&lt;&gt;"Challan","",MAX(0,AN207-AM207))</f>
      </c>
      <c r="AP207" s="29">
        <f>IF($B207&lt;&gt;"Challan","",IF(ROUND(AM207-AN207,2)&gt;0,"Over-applied",IF(ROUND(AM207-AN207,2)=0,"Fully Utilised","Unconsumed")))</f>
      </c>
      <c r="AQ207" s="34">
        <f>IF($B207&lt;&gt;"Entry","",SUMPRODUCT(($D$4:$D$207=D207)*($B$4:$B$207="Challan")*$E$4:$E$207))</f>
      </c>
      <c r="AR207" s="35">
        <f>IF(OR($B207&lt;&gt;"Entry",Y207=""),FALSE,AND(SUMPRODUCT(($D$4:$D$207=D207)*($B$4:$B$207="Challan")*($G$4:$G$207&lt;&gt;""))&gt;0,SUMPRODUCT(($D$4:$D$207=D207)*($B$4:$B$207="Challan")*($G$4:$G$207=Y207))=0))</f>
      </c>
    </row>
  </sheetData>
  <sheetProtection sheet="1" formatCells="0" formatColumns="0" formatRows="0"/>
  <mergeCells count="2">
    <mergeCell ref="C1:AP1"/>
    <mergeCell ref="A2:AP2"/>
  </mergeCells>
  <conditionalFormatting sqref="A4:AP207">
    <cfRule type="expression" dxfId="0" priority="4">
      <formula>$B4="Challan"</formula>
    </cfRule>
  </conditionalFormatting>
  <conditionalFormatting sqref="AP4:AP207">
    <cfRule type="expression" dxfId="1" priority="1">
      <formula>AP4="Over-applied"</formula>
    </cfRule>
    <cfRule type="expression" dxfId="2" priority="2">
      <formula>AP4="Fully Utilised"</formula>
    </cfRule>
    <cfRule type="expression" dxfId="3" priority="3">
      <formula>AP4="Unconsumed"</formula>
    </cfRule>
  </conditionalFormatting>
  <conditionalFormatting sqref="Y4:Y207">
    <cfRule type="expression" dxfId="4" priority="5">
      <formula>AR4=TRUE</formula>
    </cfRule>
  </conditionalFormatting>
  <dataValidations count="22">
    <dataValidation type="date" allowBlank="1" showErrorMessage="1" errorTitle="Invalid Date" error="Enter a real date (use the date picker), between 01-Apr-2020 and 31-Mar-2030." sqref="AA4:AA207">
      <formula1>43922</formula1>
      <formula2>47573</formula2>
    </dataValidation>
    <dataValidation type="decimal" operator="greaterThanOrEqual" allowBlank="1" showErrorMessage="1" errorTitle="Invalid Amount" error="Must be a number of 0 or more." sqref="AB4:AB207">
      <formula1>0</formula1>
    </dataValidation>
    <dataValidation type="list" allowBlank="1" showErrorMessage="1" errorTitle="Invalid Reason Code" error="Pick a Reason Code from the dropdown (A/B/C/D/E/Y/Z)." sqref="AH4:AH207">
      <formula1>"A,B,C,D,E,Y,Z"</formula1>
    </dataValidation>
    <dataValidation type="decimal" allowBlank="1" showErrorMessage="1" errorTitle="Invalid Rate" error="Rate must be a number between 0 and 100." sqref="AJ4:AJ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within this workbook." sqref="D4:D207">
      <formula1>OR($B4&lt;&gt;"Challan",AND(LEN(D4)=5,COUNTIFS($B$4:$B$207,"Challan",$D$4:$D$207,D4)=1))</formula1>
    </dataValidation>
    <dataValidation type="date" allowBlank="1" showErrorMessage="1" errorTitle="Invalid Date" error="Enter a real date (use the date picker), between 01-Apr-2020 and 31-Mar-2030." sqref="E4:E207">
      <formula1>43922</formula1>
      <formula2>47573</formula2>
    </dataValidation>
    <dataValidation type="list" allowBlank="1" showErrorMessage="1" errorTitle="Invalid Minor Head" error="Pick 200 (TDS Payable) or 400 (Demand) from the dropdown." sqref="F4:F207">
      <formula1>"200,400"</formula1>
    </dataValidation>
    <dataValidation type="list" allowBlank="1" showErrorMessage="1" errorTitle="Invalid Section" error="Pick a section from the dropdown list." sqref="G4:G207">
      <formula1>"192,192A,193,194,194A,194B,194BB,194C,194D,194DA,194G,194H,194I(a),194I(b),194IA,194IB,194IC,194J(a),194J(b),194K,194LA,194LB,194M,194O,194Q,194R,194S,195,196A,196D,206C(1),206C(1H)"</formula1>
    </dataValidation>
    <dataValidation type="decimal" operator="greaterThanOrEqual" allowBlank="1" showErrorMessage="1" errorTitle="Invalid Amount" error="Must be a number of 0 or more." sqref="H4:H207">
      <formula1>0</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custom" allowBlank="1" showErrorMessage="1" errorTitle="Invalid Late Fees Used" error="Late Fees Used cannot be negative or exceed Late Fees u/s 234E." sqref="N4:N207">
      <formula1>AND(N4&gt;=0,N4&lt;=M4)</formula1>
    </dataValidation>
    <dataValidation type="custom" allowBlank="1" showErrorMessage="1" errorTitle="Invalid Bank Name" error="Bank Name must be a name, not a number." sqref="P4:P207">
      <formula1>LEN(SUBSTITUTE(SUBSTITUTE(SUBSTITUTE(SUBSTITUTE(SUBSTITUTE(SUBSTITUTE(SUBSTITUTE(SUBSTITUTE(SUBSTITUTE(SUBSTITUTE(SUBSTITUTE(SUBSTITUTE(SUBSTITUTE(P4,"0",""),"1",""),"2",""),"3",""),"4",""),"5",""),"6",""),"7",""),"8",""),"9",""),",",""),".","")," ",""))&gt;0</formula1>
    </dataValidation>
    <dataValidation type="list" allowBlank="1" showErrorMessage="1" errorTitle="Invalid value" error="Pick Y or N from the dropdown." sqref="Q4:Q207">
      <formula1>"Y,N"</formula1>
    </dataValidation>
    <dataValidation type="custom" allowBlank="1" showErrorMessage="1" errorTitle="Invalid PAN" error="PAN must be 5 letters + 4 digits + 1 letter, uppercase (e.g. AACCP6899F) — unless PAN Not Available is Y." sqref="V4:V207">
      <formula1>OR(W4="Y",AND(LEN(V4)=10,CODE(MID(V4,1,1))&gt;=65,CODE(MID(V4,1,1))&lt;=90,CODE(MID(V4,2,1))&gt;=65,CODE(MID(V4,2,1))&lt;=90,CODE(MID(V4,3,1))&gt;=65,CODE(MID(V4,3,1))&lt;=90,CODE(MID(V4,4,1))&gt;=65,CODE(MID(V4,4,1))&lt;=90,CODE(MID(V4,5,1))&gt;=65,CODE(MID(V4,5,1))&lt;=90,CODE(MID(V4,6,1))&gt;=48,CODE(MID(V4,6,1))&lt;=57,CODE(MID(V4,7,1))&gt;=48,CODE(MID(V4,7,1))&lt;=57,CODE(MID(V4,8,1))&gt;=48,CODE(MID(V4,8,1))&lt;=57,CODE(MID(V4,9,1))&gt;=48,CODE(MID(V4,9,1))&lt;=57,CODE(MID(V4,10,1))&gt;=65,CODE(MID(V4,10,1))&lt;=90))</formula1>
    </dataValidation>
    <dataValidation type="list" allowBlank="1" showErrorMessage="1" errorTitle="Invalid value" error="Pick Y or N from the dropdown." sqref="W4:W207">
      <formula1>"Y,N"</formula1>
    </dataValidation>
    <dataValidation type="list" allowBlank="1" showErrorMessage="1" errorTitle="Invalid Section" error="Pick a section from the dropdown list." sqref="Y4:Y207">
      <formula1>"192,192A,193,194,194A,194B,194BB,194C,194D,194DA,194G,194H,194I(a),194I(b),194IA,194IB,194IC,194J(a),194J(b),194K,194LA,194LB,194M,194O,194Q,194R,194S,195,196A,196D,206C(1),206C(1H)"</formula1>
    </dataValidation>
  </dataValidations>
  <pageMargins left="0.7" right="0.7" top="0.75" bottom="0.75" header="0.3" footer="0.3"/>
  <pageSetup orientation="portrait" horizontalDpi="4294967295" verticalDpi="4294967295" scale="100" fitToWidth="1" fitToHeight="1"/>
  <ignoredErrors>
    <ignoredError sqref="C4:C207" numberStoredAsText="1"/>
    <ignoredError sqref="D4:D207" numberStoredAsText="1"/>
    <ignoredError sqref="F4:F207"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Rate Lookup</vt:lpstr>
      <vt:lpstr>TDS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CAFlow</dc:creator>
  <dc:title/>
  <dc:subject/>
  <dc:description/>
  <cp:keywords/>
  <cp:category/>
  <cp:lastModifiedBy>Unknown</cp:lastModifiedBy>
  <dcterms:created xsi:type="dcterms:W3CDTF">2026-07-29T00:00:00Z</dcterms:created>
  <dcterms:modified xsi:type="dcterms:W3CDTF">2026-07-29T11:21:47Z</dcterms:modified>
</cp:coreProperties>
</file>