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Rate Master" state="visible" r:id="rId5"/>
    <sheet sheetId="3" name="TDS Data" state="visible" r:id="rId6"/>
  </sheets>
  <calcPr calcId="171027"/>
</workbook>
</file>

<file path=xl/sharedStrings.xml><?xml version="1.0" encoding="utf-8"?>
<sst xmlns="http://schemas.openxmlformats.org/spreadsheetml/2006/main" count="388" uniqueCount="243">
  <si>
    <t>TDS DATA ENTRY TEMPLATE — FULL (mirrors the software's Data Entry screen)</t>
  </si>
  <si>
    <t>One sheet, each Challan's full details followed by its Entries — every field, calculation and lookup the software itself uses.</t>
  </si>
  <si>
    <t>How This Template Works</t>
  </si>
  <si>
    <t>•</t>
  </si>
  <si>
    <t>This workbook has THREE sheets: this Instructions sheet, "Rate Master" (reference only — do not edit), and "TDS Data" — the only sheet you fill in.</t>
  </si>
  <si>
    <t>Set the Form Type (B2 on the TDS Data sheet) FIRST — 24Q/26Q/27Q/27EQ — it drives the Suggested Rate/Threshold lookups for every entry.</t>
  </si>
  <si>
    <t>Every row on TDS Data is tagged Challan or Entry via the Row Type dropdown. Add a Challan row with its full deposit breakdown, then add one Entry row directly below it for every deductee paid under that challan — repeating the same Challan ID to link back.</t>
  </si>
  <si>
    <t>One challan can have MANY entries. "Applied", "Allocatable", "Balance" and "Status" (green columns, Challan rows only) update live as you add entries — mirrors the software's own utilisation tracking.</t>
  </si>
  <si>
    <t>"Suggested Rate" and "Suggested Threshold" (green, Entry rows) look up the Rate Master for the Section + Deductee Type you picked — exactly what the software auto-fills. "Rate of TDS" itself stays a field YOU enter, so you can still override it for a Lower Deduction Certificate or other special case.</t>
  </si>
  <si>
    <t>"TDS Amount" and "Interest Amount" (green) calculate automatically — TDS = Amount Paid × Rate; Interest follows Section 201(1A): 1.5% per month (or part) late, counted from the deduction month's 7th-of-next-month due date to the challan's deposit date.</t>
  </si>
  <si>
    <t>Rows 4–7 (gray) are a worked example — one Challan with THREE linked entries. Delete them, overwrite them, or leave them — the software recognises the example Challan ID and always excludes all four rows from import.</t>
  </si>
  <si>
    <t>Do not rename the sheet tabs, insert/delete columns, or change the header row (row 3 on TDS Data) — the software matches columns by these exact header names.</t>
  </si>
  <si>
    <t>What This Template CANNOT Do (please read)</t>
  </si>
  <si>
    <t>Multi-quarter carry-forward: in the software, an unused challan balance is automatically rediscovered in a LATER quarter by querying the live database. A static Excel file can't do that — "Applied"/"Balance" here only sees entries typed into THIS workbook. If a challan's balance genuinely carries into another quarter, track that manually or handle it directly in the software.</t>
  </si>
  <si>
    <t>Global Challan Number uniqueness: the software checks a new Challan Number against every challan for every client and firm, live. This workbook can only check for duplicates WITHIN itself.</t>
  </si>
  <si>
    <t>The 192B Salary tax calculator (24Q salary deductees) is a separate, more involved computation in the software (tax slabs, regime, rebate) and is not reproduced here — enter the Salary deductee's TDS Amount directly.</t>
  </si>
  <si>
    <t>Field Guide — Challan Rows (blue columns)</t>
  </si>
  <si>
    <t>Challan ID*</t>
  </si>
  <si>
    <t>A short, unique code you invent, e.g. CH-001. Repeat it on every linked Entry row.</t>
  </si>
  <si>
    <t>BSR Code*</t>
  </si>
  <si>
    <t>Exactly 7 digits, printed on the challan receipt.</t>
  </si>
  <si>
    <t>Challan Serial No.*</t>
  </si>
  <si>
    <t>Exactly 5 digits, printed on the challan receipt.</t>
  </si>
  <si>
    <t>Date of Deposit*</t>
  </si>
  <si>
    <t>Date this challan was deposited with the bank (use the date picker).</t>
  </si>
  <si>
    <t>Minor Head*</t>
  </si>
  <si>
    <t>200 = TDS Payable (regular), 400 = TDS on Regular Assessment (demand payment).</t>
  </si>
  <si>
    <t>Tax Deposited (₹)*</t>
  </si>
  <si>
    <t>The basic TDS/TCS amount actually deposited via this challan.</t>
  </si>
  <si>
    <t>Surcharge Deposited (₹)</t>
  </si>
  <si>
    <t>Surcharge component of this challan's deposit, if any.</t>
  </si>
  <si>
    <t>Education Cess Deposited (₹)</t>
  </si>
  <si>
    <t>Cess component of this challan's deposit, if any.</t>
  </si>
  <si>
    <t>Interest Deposited (₹)</t>
  </si>
  <si>
    <t>Interest (201(1A)) component of this challan's deposit, if any.</t>
  </si>
  <si>
    <t>Others Deposited (₹)</t>
  </si>
  <si>
    <t>Any other component (e.g. penalty) of this challan's deposit.</t>
  </si>
  <si>
    <t>Late Fees u/s 234E (₹)</t>
  </si>
  <si>
    <t>Late-filing fee levied under Section 234E, if any — kept separate from the TDS-allocatable amount, same as the software.</t>
  </si>
  <si>
    <t>Late Fees Used (₹)</t>
  </si>
  <si>
    <t>How much of the 234E late fee above has been accounted for/paid. Cannot exceed Late Fees u/s 234E.</t>
  </si>
  <si>
    <t>Total Challan Amount (₹)</t>
  </si>
  <si>
    <t>Calculates automatically — sum of Tax + Surcharge + Cess + Interest + Others + Late Fees 234E. Do not edit.</t>
  </si>
  <si>
    <t>Bank Name</t>
  </si>
  <si>
    <t>Optional — the bank where the challan was deposited.</t>
  </si>
  <si>
    <t>Book Entry?</t>
  </si>
  <si>
    <t>Y if this was a government book-entry payment (no cheque/DD), N otherwise.</t>
  </si>
  <si>
    <t>Transfer Voucher No.</t>
  </si>
  <si>
    <t>Only if Book Entry = Y.</t>
  </si>
  <si>
    <t>Cheque/DD No.</t>
  </si>
  <si>
    <t>Only if Book Entry = N.</t>
  </si>
  <si>
    <t>Challan Remarks</t>
  </si>
  <si>
    <t>Optional — any note against this challan.</t>
  </si>
  <si>
    <t>Field Guide — Entry Rows (yellow columns)</t>
  </si>
  <si>
    <t>Must match a Challan ID already entered on a Challan row above.</t>
  </si>
  <si>
    <t>Deductee Name*</t>
  </si>
  <si>
    <t>Full legal name of the person/entity paid.</t>
  </si>
  <si>
    <t>PAN*</t>
  </si>
  <si>
    <t>10-character PAN, 5 letters + 4 digits + 1 letter, UPPERCASE. Leave blank only if PAN Not Available = Y.</t>
  </si>
  <si>
    <t>PAN Not Available?</t>
  </si>
  <si>
    <t>Y if this deductee genuinely has no PAN (206AA higher-rate case) — Suggested Rate then uses the No-PAN rate.</t>
  </si>
  <si>
    <t>Deductee Type*</t>
  </si>
  <si>
    <t>Individual/HUF get the Individual rate from Rate Master; every other type gets the Company rate.</t>
  </si>
  <si>
    <t>Section*</t>
  </si>
  <si>
    <t>Pick from the dropdown — lists every section in the Rate Master sheet (all form types together). Pick the one that matches your Form Type above; Suggested Rate/Threshold are looked up using Section + Form Type together, so an unrelated section from another form won't silently resolve to the wrong rate.</t>
  </si>
  <si>
    <t>Suggested Rate (%)</t>
  </si>
  <si>
    <t>Calculates automatically from Rate Master (Section + Deductee Type + PAN availability). Reference only — Rate of TDS below is still yours to set.</t>
  </si>
  <si>
    <t>Suggested Threshold (₹)</t>
  </si>
  <si>
    <t>Calculates automatically from Rate Master — the amount below which no deduction is normally required (useful for Reason Code A).</t>
  </si>
  <si>
    <t>Rate of TDS (%)*</t>
  </si>
  <si>
    <t>The rate you actually applied — normally matches Suggested Rate, but you may override (e.g. Lower Deduction Certificate).</t>
  </si>
  <si>
    <t>Date of Payment/Credit*</t>
  </si>
  <si>
    <t>Date the deductee was paid or credited, whichever is earlier.</t>
  </si>
  <si>
    <t>Amount Paid/Credited (₹)*</t>
  </si>
  <si>
    <t>Gross amount paid/credited, before TDS.</t>
  </si>
  <si>
    <t>TDS Amount (₹)</t>
  </si>
  <si>
    <t>Calculates automatically as ROUND(Amount Paid × Rate of TDS / 100). Do not edit.</t>
  </si>
  <si>
    <t>Surcharge Amount (₹)</t>
  </si>
  <si>
    <t>Surcharge actually deducted on this entry, if any.</t>
  </si>
  <si>
    <t>Education Cess Amount (₹)</t>
  </si>
  <si>
    <t>Cess actually deducted on this entry, if any. (Not counted in the challan's Applied/Balance — same as the software.)</t>
  </si>
  <si>
    <t>Interest Amount (₹)</t>
  </si>
  <si>
    <t>Calculates automatically per Section 201(1A): 0 if deposited on/before the 7th of the month following deduction; otherwise 1.5% of TDS per month (or part) late, using this entry's Challan row's Date of Deposit.</t>
  </si>
  <si>
    <t>Late Fees Amount (₹)</t>
  </si>
  <si>
    <t>Any late-fee amount attributed to this specific entry (rare). Not counted in Applied/Balance.</t>
  </si>
  <si>
    <t>Reason Code</t>
  </si>
  <si>
    <t>Only if TDS was NOT deducted or was deducted at a lower rate — A (below threshold) / B (197 lower-rate certificate) / C (197A Form 15G/15H) / D (payment to Government) / E (notification exemption) / Y (other reason) / Z (206AA no PAN).</t>
  </si>
  <si>
    <t>Lower Deduction Certificate No.</t>
  </si>
  <si>
    <t>Only if Reason Code = B.</t>
  </si>
  <si>
    <t>Lower Deduction Rate (%)</t>
  </si>
  <si>
    <t>Only if Reason Code = B — the rate specified on the certificate.</t>
  </si>
  <si>
    <t>Country of Residence</t>
  </si>
  <si>
    <t>27Q (non-resident) deductees only.</t>
  </si>
  <si>
    <t>Remarks</t>
  </si>
  <si>
    <t>Optional — any note against this entry.</t>
  </si>
  <si>
    <t>Format Standards (apply throughout)</t>
  </si>
  <si>
    <t>Name: full legal name, avoid abbreviations where possible.</t>
  </si>
  <si>
    <t>PAN: uppercase letters and digits only, no spaces or dashes.</t>
  </si>
  <si>
    <t>Dates: use Excel's own date entry (date picker) — never typed as a plain sentence.</t>
  </si>
  <si>
    <t>Amounts (₹): plain numbers only — no currency symbols or manually typed commas.</t>
  </si>
  <si>
    <t>Percentages (Rate): enter as a plain number, e.g. 10 for 10%, not 0.10.</t>
  </si>
  <si>
    <t>Rows marked with * are required for that row's type — do not leave them blank.</t>
  </si>
  <si>
    <t>Form Type</t>
  </si>
  <si>
    <t>Section Code</t>
  </si>
  <si>
    <t>Nature of Payment</t>
  </si>
  <si>
    <t>Lookup Key (Section|Form)</t>
  </si>
  <si>
    <t>Threshold — Individual (₹)</t>
  </si>
  <si>
    <t>Threshold — Company (₹)</t>
  </si>
  <si>
    <t>Rate — Individual (%)</t>
  </si>
  <si>
    <t>Rate — Company (%)</t>
  </si>
  <si>
    <t>Rate — No PAN (%)</t>
  </si>
  <si>
    <t>26Q</t>
  </si>
  <si>
    <t>192A</t>
  </si>
  <si>
    <t>Premature PF Withdrawal</t>
  </si>
  <si>
    <t>193</t>
  </si>
  <si>
    <t>Interest on Securities</t>
  </si>
  <si>
    <t>194</t>
  </si>
  <si>
    <t>Dividend (Domestic Company)</t>
  </si>
  <si>
    <t>194A-SC</t>
  </si>
  <si>
    <t>Interest (Banks - Sr Citizen)</t>
  </si>
  <si>
    <t>194A</t>
  </si>
  <si>
    <t>Interest (Banks - Others)</t>
  </si>
  <si>
    <t>194B</t>
  </si>
  <si>
    <t>Lottery/Crossword</t>
  </si>
  <si>
    <t>194BB</t>
  </si>
  <si>
    <t>Horse Racing</t>
  </si>
  <si>
    <t>194BA</t>
  </si>
  <si>
    <t>Online Gaming Winnings</t>
  </si>
  <si>
    <t>194LBC</t>
  </si>
  <si>
    <t>Securitisation Trust Income</t>
  </si>
  <si>
    <t>194C</t>
  </si>
  <si>
    <t>Contractor / Sub-contractor</t>
  </si>
  <si>
    <t>194D</t>
  </si>
  <si>
    <t>Insurance Commission</t>
  </si>
  <si>
    <t>194DA</t>
  </si>
  <si>
    <t>Life Insurance Payout</t>
  </si>
  <si>
    <t>194G</t>
  </si>
  <si>
    <t>Lottery Agent Commission</t>
  </si>
  <si>
    <t>194H</t>
  </si>
  <si>
    <t>Commission/Brokerage</t>
  </si>
  <si>
    <t>194I(a)</t>
  </si>
  <si>
    <t>Rent - Plant &amp; Machinery</t>
  </si>
  <si>
    <t>194I(b)</t>
  </si>
  <si>
    <t>Rent - Land/Building</t>
  </si>
  <si>
    <t>194IA</t>
  </si>
  <si>
    <t>Immovable Property Purchase</t>
  </si>
  <si>
    <t>194IB</t>
  </si>
  <si>
    <t>Rent by Ind/HUF (&gt;50k/month)</t>
  </si>
  <si>
    <t>194IC</t>
  </si>
  <si>
    <t>Joint Dev Agreement</t>
  </si>
  <si>
    <t>194J(a)</t>
  </si>
  <si>
    <t>Professional Services</t>
  </si>
  <si>
    <t>194J(b)</t>
  </si>
  <si>
    <t>Technical Services</t>
  </si>
  <si>
    <t>194K</t>
  </si>
  <si>
    <t>MF/UTI Units Income</t>
  </si>
  <si>
    <t>194LA</t>
  </si>
  <si>
    <t>Compulsory Acquisition</t>
  </si>
  <si>
    <t>194LB</t>
  </si>
  <si>
    <t>Infrastructure Bond Interest</t>
  </si>
  <si>
    <t>194M</t>
  </si>
  <si>
    <t>Contractor/Professional by Ind</t>
  </si>
  <si>
    <t>194N-F</t>
  </si>
  <si>
    <t>Cash Withdrawal (ITR Filer)</t>
  </si>
  <si>
    <t>194N-NF</t>
  </si>
  <si>
    <t>Cash Withdrawal (Non-Filer)</t>
  </si>
  <si>
    <t>194O</t>
  </si>
  <si>
    <t>E-Commerce</t>
  </si>
  <si>
    <t>194Q</t>
  </si>
  <si>
    <t>Purchase of Goods</t>
  </si>
  <si>
    <t>194R</t>
  </si>
  <si>
    <t>Benefit/Perquisite in Business</t>
  </si>
  <si>
    <t>194S</t>
  </si>
  <si>
    <t>Virtual Digital Asset</t>
  </si>
  <si>
    <t>194T</t>
  </si>
  <si>
    <t>Payment to Partner</t>
  </si>
  <si>
    <t>194F</t>
  </si>
  <si>
    <t>Mutual Fund Repurchase</t>
  </si>
  <si>
    <t>24Q</t>
  </si>
  <si>
    <t>192</t>
  </si>
  <si>
    <t>Salary</t>
  </si>
  <si>
    <t>PF Withdrawal</t>
  </si>
  <si>
    <t>27EQ</t>
  </si>
  <si>
    <t>206C(1)</t>
  </si>
  <si>
    <t>Scrap</t>
  </si>
  <si>
    <t>206C(1C)</t>
  </si>
  <si>
    <t>Motor Vehicle &gt;10L</t>
  </si>
  <si>
    <t>206C(1G)(a)</t>
  </si>
  <si>
    <t>Overseas Remittance LRS</t>
  </si>
  <si>
    <t>206C(1G)(b)</t>
  </si>
  <si>
    <t>Education Loan Remittance</t>
  </si>
  <si>
    <t>206C(1H)</t>
  </si>
  <si>
    <t>Sale of Goods</t>
  </si>
  <si>
    <t>27Q</t>
  </si>
  <si>
    <t>194E</t>
  </si>
  <si>
    <t>Sportsman/Entertainer NR</t>
  </si>
  <si>
    <t>194LB-NR</t>
  </si>
  <si>
    <t>Infrastructure Bond</t>
  </si>
  <si>
    <t>194LC</t>
  </si>
  <si>
    <t>Corporate Bond</t>
  </si>
  <si>
    <t>194LD</t>
  </si>
  <si>
    <t>Rupee Bonds/Govt Securities</t>
  </si>
  <si>
    <t>195</t>
  </si>
  <si>
    <t>Other Payments to NR</t>
  </si>
  <si>
    <t>196A</t>
  </si>
  <si>
    <t>MF Income to NR</t>
  </si>
  <si>
    <t>196B</t>
  </si>
  <si>
    <t>Offshore Fund Income</t>
  </si>
  <si>
    <t>196C</t>
  </si>
  <si>
    <t>Foreign Currency Bonds</t>
  </si>
  <si>
    <t>196D</t>
  </si>
  <si>
    <t>FII Securities</t>
  </si>
  <si>
    <t>TDS DATA  —  each Challan row's full details, followed by its Entry rows</t>
  </si>
  <si>
    <t>Form Type:</t>
  </si>
  <si>
    <t>Rows 4–7 (gray) are a worked example — one Challan with THREE linked entries. The example Challan ID is auto-excluded on import, so delete, overwrite, or leave them as-is.</t>
  </si>
  <si>
    <t>Sr. No.</t>
  </si>
  <si>
    <t>Row Type*</t>
  </si>
  <si>
    <t>Applied (₹)</t>
  </si>
  <si>
    <t>Allocatable (₹)</t>
  </si>
  <si>
    <t>Balance (₹)</t>
  </si>
  <si>
    <t>Status</t>
  </si>
  <si>
    <t>Linked Challan Deposit Date (internal)</t>
  </si>
  <si>
    <t>Challan</t>
  </si>
  <si>
    <t>EXAMPLE-DO-NOT-IMPORT</t>
  </si>
  <si>
    <t>0510002</t>
  </si>
  <si>
    <t>24894</t>
  </si>
  <si>
    <t>200</t>
  </si>
  <si>
    <t>(auto)</t>
  </si>
  <si>
    <t>HDFC Bank</t>
  </si>
  <si>
    <t>N</t>
  </si>
  <si>
    <t/>
  </si>
  <si>
    <t>Worked example — see Instructions</t>
  </si>
  <si>
    <t>Entry</t>
  </si>
  <si>
    <t>ADINATH PROCESSING INDUSTRIES PRIVATE LIMITED</t>
  </si>
  <si>
    <t>AACCP6899F</t>
  </si>
  <si>
    <t>Company</t>
  </si>
  <si>
    <t>A-ONE CHEM TRADE PVT. LTD.</t>
  </si>
  <si>
    <t>AAGCA2480D</t>
  </si>
  <si>
    <t>KHYATI CHEMICALS PRIVATE LIMITED</t>
  </si>
  <si>
    <t>AAACK6277E</t>
  </si>
  <si>
    <t>B</t>
  </si>
  <si>
    <t>LDC/2026/001</t>
  </si>
  <si>
    <t>NIL rate, LDC on 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</si>
</sst>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####"/>
    <numFmt numFmtId="165" formatCode="dd-mm-yyyy"/>
  </numFmts>
  <fonts count="10" x14ac:knownFonts="1">
    <font>
      <color theme="1"/>
      <family val="2"/>
      <scheme val="minor"/>
      <sz val="11"/>
      <name val="Calibri"/>
    </font>
    <font>
      <b/>
      <color rgb="FF1F3864"/>
      <sz val="16"/>
      <name val="Arial"/>
    </font>
    <font>
      <i/>
      <color rgb="FF595959"/>
      <sz val="10"/>
      <name val="Arial"/>
    </font>
    <font>
      <b/>
      <color rgb="FF1F3864"/>
      <sz val="12"/>
      <name val="Arial"/>
    </font>
    <font>
      <sz val="10"/>
      <name val="Arial"/>
    </font>
    <font>
      <b/>
      <sz val="10"/>
      <name val="Arial"/>
    </font>
    <font>
      <b/>
      <color rgb="FFFFFFFF"/>
      <sz val="10"/>
      <name val="Arial"/>
    </font>
    <font>
      <b/>
      <color rgb="FF1F3864"/>
      <sz val="13"/>
      <name val="Arial"/>
    </font>
    <font>
      <b/>
      <color rgb="FF1F3864"/>
      <sz val="10"/>
      <name val="Arial"/>
    </font>
    <font>
      <i/>
      <color rgb="FF808080"/>
      <sz val="10"/>
      <name val="Arial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CE4D6"/>
      </patternFill>
    </fill>
    <fill>
      <patternFill patternType="solid">
        <fgColor rgb="FFF2F2F2"/>
      </patternFill>
    </fill>
    <fill>
      <patternFill patternType="solid">
        <fgColor rgb="FFE4DFEC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2" borderId="2" xfId="0" applyFont="1" applyFill="1" applyBorder="1" applyAlignment="1">
      <alignment horizontal="center" vertical="center" wrapText="1"/>
    </xf>
    <xf numFmtId="0" fontId="4" fillId="0" borderId="2" xfId="0" applyFont="1" applyBorder="1"/>
    <xf numFmtId="164" fontId="4" fillId="0" borderId="2" xfId="0" applyNumberFormat="1" applyFont="1" applyBorder="1"/>
    <xf numFmtId="0" fontId="7" fillId="0" borderId="0" xfId="0" applyFont="1"/>
    <xf numFmtId="0" fontId="5" fillId="0" borderId="0" xfId="0" applyFont="1"/>
    <xf numFmtId="0" fontId="8" fillId="3" borderId="2" xfId="0" applyFont="1" applyFill="1" applyBorder="1"/>
    <xf numFmtId="0" fontId="2" fillId="0" borderId="0" xfId="0" applyFont="1"/>
    <xf numFmtId="0" fontId="9" fillId="4" borderId="2" xfId="0" applyFont="1" applyFill="1" applyBorder="1"/>
    <xf numFmtId="49" fontId="9" fillId="4" borderId="2" xfId="0" applyNumberFormat="1" applyFont="1" applyFill="1" applyBorder="1"/>
    <xf numFmtId="165" fontId="9" fillId="4" borderId="2" xfId="0" applyNumberFormat="1" applyFont="1" applyFill="1" applyBorder="1"/>
    <xf numFmtId="3" fontId="9" fillId="4" borderId="2" xfId="0" applyNumberFormat="1" applyFont="1" applyFill="1" applyBorder="1"/>
    <xf numFmtId="2" fontId="9" fillId="4" borderId="2" xfId="0" applyNumberFormat="1" applyFont="1" applyFill="1" applyBorder="1"/>
    <xf numFmtId="0" fontId="4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left" vertical="center"/>
    </xf>
    <xf numFmtId="49" fontId="4" fillId="6" borderId="2" xfId="0" applyNumberFormat="1" applyFont="1" applyFill="1" applyBorder="1" applyAlignment="1">
      <alignment horizontal="left" vertical="center"/>
    </xf>
    <xf numFmtId="165" fontId="4" fillId="6" borderId="2" xfId="0" applyNumberFormat="1" applyFont="1" applyFill="1" applyBorder="1" applyAlignment="1">
      <alignment horizontal="left" vertical="center"/>
    </xf>
    <xf numFmtId="0" fontId="4" fillId="6" borderId="2" xfId="0" applyFont="1" applyFill="1" applyBorder="1" applyAlignment="1">
      <alignment horizontal="left" vertical="center"/>
    </xf>
    <xf numFmtId="3" fontId="4" fillId="6" borderId="2" xfId="0" applyNumberFormat="1" applyFont="1" applyFill="1" applyBorder="1" applyAlignment="1">
      <alignment horizontal="left" vertical="center"/>
    </xf>
    <xf numFmtId="3" fontId="4" fillId="7" borderId="2" xfId="0" applyNumberFormat="1" applyFont="1" applyFill="1" applyBorder="1" applyAlignment="1">
      <alignment horizontal="left" vertical="center"/>
    </xf>
    <xf numFmtId="0" fontId="4" fillId="8" borderId="2" xfId="0" applyFont="1" applyFill="1" applyBorder="1" applyAlignment="1">
      <alignment horizontal="left" vertical="center"/>
    </xf>
    <xf numFmtId="2" fontId="4" fillId="7" borderId="2" xfId="0" applyNumberFormat="1" applyFont="1" applyFill="1" applyBorder="1" applyAlignment="1">
      <alignment horizontal="left" vertical="center"/>
    </xf>
    <xf numFmtId="2" fontId="4" fillId="8" borderId="2" xfId="0" applyNumberFormat="1" applyFont="1" applyFill="1" applyBorder="1" applyAlignment="1">
      <alignment horizontal="left" vertical="center"/>
    </xf>
    <xf numFmtId="165" fontId="4" fillId="8" borderId="2" xfId="0" applyNumberFormat="1" applyFont="1" applyFill="1" applyBorder="1" applyAlignment="1">
      <alignment horizontal="left" vertical="center"/>
    </xf>
    <xf numFmtId="3" fontId="4" fillId="8" borderId="2" xfId="0" applyNumberFormat="1" applyFont="1" applyFill="1" applyBorder="1" applyAlignment="1">
      <alignment horizontal="left" vertical="center"/>
    </xf>
    <xf numFmtId="0" fontId="4" fillId="7" borderId="2" xfId="0" applyFont="1" applyFill="1" applyBorder="1" applyAlignment="1">
      <alignment horizontal="left" vertical="center"/>
    </xf>
    <xf numFmtId="165" fontId="0" fillId="0" borderId="0" xfId="0" applyNumberFormat="1"/>
  </cellXfs>
  <cellStyles count="1">
    <cellStyle name="Normal" xfId="0" builtinId="0"/>
  </cellStyles>
  <dxfs count="4">
    <dxf>
      <font>
        <b/>
      </font>
      <fill>
        <patternFill patternType="solid">
          <bgColor rgb="FFEAF1FB"/>
        </patternFill>
      </fill>
    </dxf>
    <dxf>
      <font>
        <b/>
        <color rgb="FFFFFFFF"/>
      </font>
      <fill>
        <patternFill patternType="solid">
          <bgColor rgb="FFC00000"/>
        </patternFill>
      </fill>
    </dxf>
    <dxf>
      <font>
        <b/>
      </font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70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30" style="1" customWidth="1"/>
    <col min="3" max="3" width="66" style="1" customWidth="1"/>
    <col min="4" max="4" width="3" customWidth="1"/>
  </cols>
  <sheetData>
    <row r="2" spans="2:3" x14ac:dyDescent="0.25">
      <c r="B2" s="2" t="s">
        <v>0</v>
      </c>
      <c r="C2" s="2"/>
    </row>
    <row r="3" spans="2:3" x14ac:dyDescent="0.25">
      <c r="B3" s="3" t="s">
        <v>1</v>
      </c>
      <c r="C3" s="3"/>
    </row>
    <row r="5" spans="2:3" x14ac:dyDescent="0.25">
      <c r="B5" s="4" t="s">
        <v>2</v>
      </c>
      <c r="C5" s="4"/>
    </row>
    <row r="6" spans="2:3" x14ac:dyDescent="0.25">
      <c r="B6" s="5" t="s">
        <v>3</v>
      </c>
      <c r="C6" s="5" t="s">
        <v>4</v>
      </c>
    </row>
    <row r="7" spans="2:3" x14ac:dyDescent="0.25">
      <c r="B7" s="5" t="s">
        <v>3</v>
      </c>
      <c r="C7" s="5" t="s">
        <v>5</v>
      </c>
    </row>
    <row r="8" spans="2:3" x14ac:dyDescent="0.25">
      <c r="B8" s="5" t="s">
        <v>3</v>
      </c>
      <c r="C8" s="5" t="s">
        <v>6</v>
      </c>
    </row>
    <row r="9" spans="2:3" x14ac:dyDescent="0.25">
      <c r="B9" s="5" t="s">
        <v>3</v>
      </c>
      <c r="C9" s="5" t="s">
        <v>7</v>
      </c>
    </row>
    <row r="10" spans="2:3" x14ac:dyDescent="0.25">
      <c r="B10" s="5" t="s">
        <v>3</v>
      </c>
      <c r="C10" s="5" t="s">
        <v>8</v>
      </c>
    </row>
    <row r="11" spans="2:3" x14ac:dyDescent="0.25">
      <c r="B11" s="5" t="s">
        <v>3</v>
      </c>
      <c r="C11" s="5" t="s">
        <v>9</v>
      </c>
    </row>
    <row r="12" spans="2:3" x14ac:dyDescent="0.25">
      <c r="B12" s="5" t="s">
        <v>3</v>
      </c>
      <c r="C12" s="5" t="s">
        <v>10</v>
      </c>
    </row>
    <row r="13" spans="2:3" x14ac:dyDescent="0.25">
      <c r="B13" s="5" t="s">
        <v>3</v>
      </c>
      <c r="C13" s="5" t="s">
        <v>11</v>
      </c>
    </row>
    <row r="15" spans="2:3" x14ac:dyDescent="0.25">
      <c r="B15" s="4" t="s">
        <v>12</v>
      </c>
      <c r="C15" s="4"/>
    </row>
    <row r="16" spans="2:3" x14ac:dyDescent="0.25">
      <c r="B16" s="5" t="s">
        <v>3</v>
      </c>
      <c r="C16" s="5" t="s">
        <v>13</v>
      </c>
    </row>
    <row r="17" spans="2:3" x14ac:dyDescent="0.25">
      <c r="B17" s="5" t="s">
        <v>3</v>
      </c>
      <c r="C17" s="5" t="s">
        <v>14</v>
      </c>
    </row>
    <row r="18" spans="2:3" x14ac:dyDescent="0.25">
      <c r="B18" s="5" t="s">
        <v>3</v>
      </c>
      <c r="C18" s="5" t="s">
        <v>15</v>
      </c>
    </row>
    <row r="20" spans="2:3" x14ac:dyDescent="0.25">
      <c r="B20" s="4" t="s">
        <v>16</v>
      </c>
      <c r="C20" s="4"/>
    </row>
    <row r="21" spans="2:3" x14ac:dyDescent="0.25">
      <c r="B21" s="6" t="s">
        <v>17</v>
      </c>
      <c r="C21" s="5" t="s">
        <v>18</v>
      </c>
    </row>
    <row r="22" spans="2:3" x14ac:dyDescent="0.25">
      <c r="B22" s="6" t="s">
        <v>19</v>
      </c>
      <c r="C22" s="5" t="s">
        <v>20</v>
      </c>
    </row>
    <row r="23" spans="2:3" x14ac:dyDescent="0.25">
      <c r="B23" s="6" t="s">
        <v>21</v>
      </c>
      <c r="C23" s="5" t="s">
        <v>22</v>
      </c>
    </row>
    <row r="24" spans="2:3" x14ac:dyDescent="0.25">
      <c r="B24" s="6" t="s">
        <v>23</v>
      </c>
      <c r="C24" s="5" t="s">
        <v>24</v>
      </c>
    </row>
    <row r="25" spans="2:3" x14ac:dyDescent="0.25">
      <c r="B25" s="6" t="s">
        <v>25</v>
      </c>
      <c r="C25" s="5" t="s">
        <v>26</v>
      </c>
    </row>
    <row r="26" spans="2:3" x14ac:dyDescent="0.25">
      <c r="B26" s="6" t="s">
        <v>27</v>
      </c>
      <c r="C26" s="5" t="s">
        <v>28</v>
      </c>
    </row>
    <row r="27" spans="2:3" x14ac:dyDescent="0.25">
      <c r="B27" s="6" t="s">
        <v>29</v>
      </c>
      <c r="C27" s="5" t="s">
        <v>30</v>
      </c>
    </row>
    <row r="28" spans="2:3" x14ac:dyDescent="0.25">
      <c r="B28" s="6" t="s">
        <v>31</v>
      </c>
      <c r="C28" s="5" t="s">
        <v>32</v>
      </c>
    </row>
    <row r="29" spans="2:3" x14ac:dyDescent="0.25">
      <c r="B29" s="6" t="s">
        <v>33</v>
      </c>
      <c r="C29" s="5" t="s">
        <v>34</v>
      </c>
    </row>
    <row r="30" spans="2:3" x14ac:dyDescent="0.25">
      <c r="B30" s="6" t="s">
        <v>35</v>
      </c>
      <c r="C30" s="5" t="s">
        <v>36</v>
      </c>
    </row>
    <row r="31" spans="2:3" x14ac:dyDescent="0.25">
      <c r="B31" s="6" t="s">
        <v>37</v>
      </c>
      <c r="C31" s="5" t="s">
        <v>38</v>
      </c>
    </row>
    <row r="32" spans="2:3" x14ac:dyDescent="0.25">
      <c r="B32" s="6" t="s">
        <v>39</v>
      </c>
      <c r="C32" s="5" t="s">
        <v>40</v>
      </c>
    </row>
    <row r="33" spans="2:3" x14ac:dyDescent="0.25">
      <c r="B33" s="6" t="s">
        <v>41</v>
      </c>
      <c r="C33" s="5" t="s">
        <v>42</v>
      </c>
    </row>
    <row r="34" spans="2:3" x14ac:dyDescent="0.25">
      <c r="B34" s="6" t="s">
        <v>43</v>
      </c>
      <c r="C34" s="5" t="s">
        <v>44</v>
      </c>
    </row>
    <row r="35" spans="2:3" x14ac:dyDescent="0.25">
      <c r="B35" s="6" t="s">
        <v>45</v>
      </c>
      <c r="C35" s="5" t="s">
        <v>46</v>
      </c>
    </row>
    <row r="36" spans="2:3" x14ac:dyDescent="0.25">
      <c r="B36" s="6" t="s">
        <v>47</v>
      </c>
      <c r="C36" s="5" t="s">
        <v>48</v>
      </c>
    </row>
    <row r="37" spans="2:3" x14ac:dyDescent="0.25">
      <c r="B37" s="6" t="s">
        <v>49</v>
      </c>
      <c r="C37" s="5" t="s">
        <v>50</v>
      </c>
    </row>
    <row r="38" spans="2:3" x14ac:dyDescent="0.25">
      <c r="B38" s="6" t="s">
        <v>51</v>
      </c>
      <c r="C38" s="5" t="s">
        <v>52</v>
      </c>
    </row>
    <row r="40" spans="2:3" x14ac:dyDescent="0.25">
      <c r="B40" s="4" t="s">
        <v>53</v>
      </c>
      <c r="C40" s="4"/>
    </row>
    <row r="41" spans="2:3" x14ac:dyDescent="0.25">
      <c r="B41" s="6" t="s">
        <v>17</v>
      </c>
      <c r="C41" s="5" t="s">
        <v>54</v>
      </c>
    </row>
    <row r="42" spans="2:3" x14ac:dyDescent="0.25">
      <c r="B42" s="6" t="s">
        <v>55</v>
      </c>
      <c r="C42" s="5" t="s">
        <v>56</v>
      </c>
    </row>
    <row r="43" spans="2:3" x14ac:dyDescent="0.25">
      <c r="B43" s="6" t="s">
        <v>57</v>
      </c>
      <c r="C43" s="5" t="s">
        <v>58</v>
      </c>
    </row>
    <row r="44" spans="2:3" x14ac:dyDescent="0.25">
      <c r="B44" s="6" t="s">
        <v>59</v>
      </c>
      <c r="C44" s="5" t="s">
        <v>60</v>
      </c>
    </row>
    <row r="45" spans="2:3" x14ac:dyDescent="0.25">
      <c r="B45" s="6" t="s">
        <v>61</v>
      </c>
      <c r="C45" s="5" t="s">
        <v>62</v>
      </c>
    </row>
    <row r="46" spans="2:3" x14ac:dyDescent="0.25">
      <c r="B46" s="6" t="s">
        <v>63</v>
      </c>
      <c r="C46" s="5" t="s">
        <v>64</v>
      </c>
    </row>
    <row r="47" spans="2:3" x14ac:dyDescent="0.25">
      <c r="B47" s="6" t="s">
        <v>65</v>
      </c>
      <c r="C47" s="5" t="s">
        <v>66</v>
      </c>
    </row>
    <row r="48" spans="2:3" x14ac:dyDescent="0.25">
      <c r="B48" s="6" t="s">
        <v>67</v>
      </c>
      <c r="C48" s="5" t="s">
        <v>68</v>
      </c>
    </row>
    <row r="49" spans="2:3" x14ac:dyDescent="0.25">
      <c r="B49" s="6" t="s">
        <v>69</v>
      </c>
      <c r="C49" s="5" t="s">
        <v>70</v>
      </c>
    </row>
    <row r="50" spans="2:3" x14ac:dyDescent="0.25">
      <c r="B50" s="6" t="s">
        <v>71</v>
      </c>
      <c r="C50" s="5" t="s">
        <v>72</v>
      </c>
    </row>
    <row r="51" spans="2:3" x14ac:dyDescent="0.25">
      <c r="B51" s="6" t="s">
        <v>73</v>
      </c>
      <c r="C51" s="5" t="s">
        <v>74</v>
      </c>
    </row>
    <row r="52" spans="2:3" x14ac:dyDescent="0.25">
      <c r="B52" s="6" t="s">
        <v>75</v>
      </c>
      <c r="C52" s="5" t="s">
        <v>76</v>
      </c>
    </row>
    <row r="53" spans="2:3" x14ac:dyDescent="0.25">
      <c r="B53" s="6" t="s">
        <v>77</v>
      </c>
      <c r="C53" s="5" t="s">
        <v>78</v>
      </c>
    </row>
    <row r="54" spans="2:3" x14ac:dyDescent="0.25">
      <c r="B54" s="6" t="s">
        <v>79</v>
      </c>
      <c r="C54" s="5" t="s">
        <v>80</v>
      </c>
    </row>
    <row r="55" spans="2:3" x14ac:dyDescent="0.25">
      <c r="B55" s="6" t="s">
        <v>81</v>
      </c>
      <c r="C55" s="5" t="s">
        <v>82</v>
      </c>
    </row>
    <row r="56" spans="2:3" x14ac:dyDescent="0.25">
      <c r="B56" s="6" t="s">
        <v>83</v>
      </c>
      <c r="C56" s="5" t="s">
        <v>84</v>
      </c>
    </row>
    <row r="57" spans="2:3" x14ac:dyDescent="0.25">
      <c r="B57" s="6" t="s">
        <v>85</v>
      </c>
      <c r="C57" s="5" t="s">
        <v>86</v>
      </c>
    </row>
    <row r="58" spans="2:3" x14ac:dyDescent="0.25">
      <c r="B58" s="6" t="s">
        <v>87</v>
      </c>
      <c r="C58" s="5" t="s">
        <v>88</v>
      </c>
    </row>
    <row r="59" spans="2:3" x14ac:dyDescent="0.25">
      <c r="B59" s="6" t="s">
        <v>89</v>
      </c>
      <c r="C59" s="5" t="s">
        <v>90</v>
      </c>
    </row>
    <row r="60" spans="2:3" x14ac:dyDescent="0.25">
      <c r="B60" s="6" t="s">
        <v>91</v>
      </c>
      <c r="C60" s="5" t="s">
        <v>92</v>
      </c>
    </row>
    <row r="61" spans="2:3" x14ac:dyDescent="0.25">
      <c r="B61" s="6" t="s">
        <v>93</v>
      </c>
      <c r="C61" s="5" t="s">
        <v>94</v>
      </c>
    </row>
    <row r="63" spans="2:3" x14ac:dyDescent="0.25">
      <c r="B63" s="4" t="s">
        <v>95</v>
      </c>
      <c r="C63" s="4"/>
    </row>
    <row r="64" spans="2:3" x14ac:dyDescent="0.25">
      <c r="B64" s="5" t="s">
        <v>3</v>
      </c>
      <c r="C64" s="5" t="s">
        <v>96</v>
      </c>
    </row>
    <row r="65" spans="2:3" x14ac:dyDescent="0.25">
      <c r="B65" s="5" t="s">
        <v>3</v>
      </c>
      <c r="C65" s="5" t="s">
        <v>97</v>
      </c>
    </row>
    <row r="66" spans="2:3" x14ac:dyDescent="0.25">
      <c r="B66" s="5" t="s">
        <v>3</v>
      </c>
      <c r="C66" s="5" t="s">
        <v>98</v>
      </c>
    </row>
    <row r="67" spans="2:3" x14ac:dyDescent="0.25">
      <c r="B67" s="5" t="s">
        <v>3</v>
      </c>
      <c r="C67" s="5" t="s">
        <v>99</v>
      </c>
    </row>
    <row r="68" spans="2:3" x14ac:dyDescent="0.25">
      <c r="B68" s="5" t="s">
        <v>3</v>
      </c>
      <c r="C68" s="5" t="s">
        <v>100</v>
      </c>
    </row>
    <row r="70" spans="2:3" x14ac:dyDescent="0.25">
      <c r="B70" s="4" t="s">
        <v>101</v>
      </c>
      <c r="C70" s="4"/>
    </row>
  </sheetData>
  <mergeCells count="8">
    <mergeCell ref="B2:C2"/>
    <mergeCell ref="B3:C3"/>
    <mergeCell ref="B5:C5"/>
    <mergeCell ref="B15:C15"/>
    <mergeCell ref="B20:C20"/>
    <mergeCell ref="B40:C40"/>
    <mergeCell ref="B63:C63"/>
    <mergeCell ref="B70:C7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0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30" customWidth="1"/>
    <col min="4" max="4" width="26" customWidth="1"/>
    <col min="5" max="6" width="15" customWidth="1"/>
    <col min="7" max="9" width="12" customWidth="1"/>
  </cols>
  <sheetData>
    <row r="1" ht="40" customHeight="1" spans="1:9" x14ac:dyDescent="0.25">
      <c r="A1" s="7" t="s">
        <v>102</v>
      </c>
      <c r="B1" s="7" t="s">
        <v>103</v>
      </c>
      <c r="C1" s="7" t="s">
        <v>104</v>
      </c>
      <c r="D1" s="7" t="s">
        <v>105</v>
      </c>
      <c r="E1" s="7" t="s">
        <v>106</v>
      </c>
      <c r="F1" s="7" t="s">
        <v>107</v>
      </c>
      <c r="G1" s="7" t="s">
        <v>108</v>
      </c>
      <c r="H1" s="7" t="s">
        <v>109</v>
      </c>
      <c r="I1" s="7" t="s">
        <v>110</v>
      </c>
    </row>
    <row r="2" spans="1:9" x14ac:dyDescent="0.25">
      <c r="A2" s="8" t="s">
        <v>111</v>
      </c>
      <c r="B2" s="8" t="s">
        <v>112</v>
      </c>
      <c r="C2" s="8" t="s">
        <v>113</v>
      </c>
      <c r="D2" s="8">
        <f>A2&amp;"|"&amp;B2</f>
      </c>
      <c r="E2" s="9">
        <v>50000</v>
      </c>
      <c r="F2" s="9">
        <v>50000</v>
      </c>
      <c r="G2" s="9">
        <v>10</v>
      </c>
      <c r="H2" s="9">
        <v>10</v>
      </c>
      <c r="I2" s="9">
        <v>20</v>
      </c>
    </row>
    <row r="3" spans="1:9" x14ac:dyDescent="0.25">
      <c r="A3" s="8" t="s">
        <v>111</v>
      </c>
      <c r="B3" s="8" t="s">
        <v>114</v>
      </c>
      <c r="C3" s="8" t="s">
        <v>115</v>
      </c>
      <c r="D3" s="8">
        <f>A3&amp;"|"&amp;B3</f>
      </c>
      <c r="E3" s="9">
        <v>10000</v>
      </c>
      <c r="F3" s="9">
        <v>10000</v>
      </c>
      <c r="G3" s="9">
        <v>10</v>
      </c>
      <c r="H3" s="9">
        <v>10</v>
      </c>
      <c r="I3" s="9">
        <v>20</v>
      </c>
    </row>
    <row r="4" spans="1:9" x14ac:dyDescent="0.25">
      <c r="A4" s="8" t="s">
        <v>111</v>
      </c>
      <c r="B4" s="8" t="s">
        <v>116</v>
      </c>
      <c r="C4" s="8" t="s">
        <v>117</v>
      </c>
      <c r="D4" s="8">
        <f>A4&amp;"|"&amp;B4</f>
      </c>
      <c r="E4" s="9">
        <v>5000</v>
      </c>
      <c r="F4" s="9">
        <v>5000</v>
      </c>
      <c r="G4" s="9">
        <v>10</v>
      </c>
      <c r="H4" s="9">
        <v>10</v>
      </c>
      <c r="I4" s="9">
        <v>20</v>
      </c>
    </row>
    <row r="5" spans="1:9" x14ac:dyDescent="0.25">
      <c r="A5" s="8" t="s">
        <v>111</v>
      </c>
      <c r="B5" s="8" t="s">
        <v>118</v>
      </c>
      <c r="C5" s="8" t="s">
        <v>119</v>
      </c>
      <c r="D5" s="8">
        <f>A5&amp;"|"&amp;B5</f>
      </c>
      <c r="E5" s="9">
        <v>50000</v>
      </c>
      <c r="F5" s="9">
        <v>40000</v>
      </c>
      <c r="G5" s="9">
        <v>10</v>
      </c>
      <c r="H5" s="9">
        <v>10</v>
      </c>
      <c r="I5" s="9">
        <v>20</v>
      </c>
    </row>
    <row r="6" spans="1:9" x14ac:dyDescent="0.25">
      <c r="A6" s="8" t="s">
        <v>111</v>
      </c>
      <c r="B6" s="8" t="s">
        <v>120</v>
      </c>
      <c r="C6" s="8" t="s">
        <v>121</v>
      </c>
      <c r="D6" s="8">
        <f>A6&amp;"|"&amp;B6</f>
      </c>
      <c r="E6" s="9">
        <v>40000</v>
      </c>
      <c r="F6" s="9">
        <v>40000</v>
      </c>
      <c r="G6" s="9">
        <v>10</v>
      </c>
      <c r="H6" s="9">
        <v>10</v>
      </c>
      <c r="I6" s="9">
        <v>20</v>
      </c>
    </row>
    <row r="7" spans="1:9" x14ac:dyDescent="0.25">
      <c r="A7" s="8" t="s">
        <v>111</v>
      </c>
      <c r="B7" s="8" t="s">
        <v>122</v>
      </c>
      <c r="C7" s="8" t="s">
        <v>123</v>
      </c>
      <c r="D7" s="8">
        <f>A7&amp;"|"&amp;B7</f>
      </c>
      <c r="E7" s="9">
        <v>10000</v>
      </c>
      <c r="F7" s="9">
        <v>10000</v>
      </c>
      <c r="G7" s="9">
        <v>30</v>
      </c>
      <c r="H7" s="9">
        <v>30</v>
      </c>
      <c r="I7" s="9">
        <v>30</v>
      </c>
    </row>
    <row r="8" spans="1:9" x14ac:dyDescent="0.25">
      <c r="A8" s="8" t="s">
        <v>111</v>
      </c>
      <c r="B8" s="8" t="s">
        <v>124</v>
      </c>
      <c r="C8" s="8" t="s">
        <v>125</v>
      </c>
      <c r="D8" s="8">
        <f>A8&amp;"|"&amp;B8</f>
      </c>
      <c r="E8" s="9">
        <v>10000</v>
      </c>
      <c r="F8" s="9">
        <v>10000</v>
      </c>
      <c r="G8" s="9">
        <v>30</v>
      </c>
      <c r="H8" s="9">
        <v>30</v>
      </c>
      <c r="I8" s="9">
        <v>30</v>
      </c>
    </row>
    <row r="9" spans="1:9" x14ac:dyDescent="0.25">
      <c r="A9" s="8" t="s">
        <v>111</v>
      </c>
      <c r="B9" s="8" t="s">
        <v>126</v>
      </c>
      <c r="C9" s="8" t="s">
        <v>127</v>
      </c>
      <c r="D9" s="8">
        <f>A9&amp;"|"&amp;B9</f>
      </c>
      <c r="E9" s="9">
        <v>0</v>
      </c>
      <c r="F9" s="9">
        <v>0</v>
      </c>
      <c r="G9" s="9">
        <v>30</v>
      </c>
      <c r="H9" s="9">
        <v>30</v>
      </c>
      <c r="I9" s="9">
        <v>30</v>
      </c>
    </row>
    <row r="10" spans="1:9" x14ac:dyDescent="0.25">
      <c r="A10" s="8" t="s">
        <v>111</v>
      </c>
      <c r="B10" s="8" t="s">
        <v>128</v>
      </c>
      <c r="C10" s="8" t="s">
        <v>129</v>
      </c>
      <c r="D10" s="8">
        <f>A10&amp;"|"&amp;B10</f>
      </c>
      <c r="E10" s="9">
        <v>0</v>
      </c>
      <c r="F10" s="9">
        <v>0</v>
      </c>
      <c r="G10" s="9">
        <v>25</v>
      </c>
      <c r="H10" s="9">
        <v>30</v>
      </c>
      <c r="I10" s="9">
        <v>30</v>
      </c>
    </row>
    <row r="11" spans="1:9" x14ac:dyDescent="0.25">
      <c r="A11" s="8" t="s">
        <v>111</v>
      </c>
      <c r="B11" s="8" t="s">
        <v>130</v>
      </c>
      <c r="C11" s="8" t="s">
        <v>131</v>
      </c>
      <c r="D11" s="8">
        <f>A11&amp;"|"&amp;B11</f>
      </c>
      <c r="E11" s="9">
        <v>30000</v>
      </c>
      <c r="F11" s="9">
        <v>30000</v>
      </c>
      <c r="G11" s="9">
        <v>1</v>
      </c>
      <c r="H11" s="9">
        <v>2</v>
      </c>
      <c r="I11" s="9">
        <v>20</v>
      </c>
    </row>
    <row r="12" spans="1:9" x14ac:dyDescent="0.25">
      <c r="A12" s="8" t="s">
        <v>111</v>
      </c>
      <c r="B12" s="8" t="s">
        <v>132</v>
      </c>
      <c r="C12" s="8" t="s">
        <v>133</v>
      </c>
      <c r="D12" s="8">
        <f>A12&amp;"|"&amp;B12</f>
      </c>
      <c r="E12" s="9">
        <v>15000</v>
      </c>
      <c r="F12" s="9">
        <v>15000</v>
      </c>
      <c r="G12" s="9">
        <v>5</v>
      </c>
      <c r="H12" s="9">
        <v>10</v>
      </c>
      <c r="I12" s="9">
        <v>20</v>
      </c>
    </row>
    <row r="13" spans="1:9" x14ac:dyDescent="0.25">
      <c r="A13" s="8" t="s">
        <v>111</v>
      </c>
      <c r="B13" s="8" t="s">
        <v>134</v>
      </c>
      <c r="C13" s="8" t="s">
        <v>135</v>
      </c>
      <c r="D13" s="8">
        <f>A13&amp;"|"&amp;B13</f>
      </c>
      <c r="E13" s="9">
        <v>100000</v>
      </c>
      <c r="F13" s="9">
        <v>100000</v>
      </c>
      <c r="G13" s="9">
        <v>5</v>
      </c>
      <c r="H13" s="9">
        <v>5</v>
      </c>
      <c r="I13" s="9">
        <v>20</v>
      </c>
    </row>
    <row r="14" spans="1:9" x14ac:dyDescent="0.25">
      <c r="A14" s="8" t="s">
        <v>111</v>
      </c>
      <c r="B14" s="8" t="s">
        <v>136</v>
      </c>
      <c r="C14" s="8" t="s">
        <v>137</v>
      </c>
      <c r="D14" s="8">
        <f>A14&amp;"|"&amp;B14</f>
      </c>
      <c r="E14" s="9">
        <v>15000</v>
      </c>
      <c r="F14" s="9">
        <v>15000</v>
      </c>
      <c r="G14" s="9">
        <v>5</v>
      </c>
      <c r="H14" s="9">
        <v>5</v>
      </c>
      <c r="I14" s="9">
        <v>20</v>
      </c>
    </row>
    <row r="15" spans="1:9" x14ac:dyDescent="0.25">
      <c r="A15" s="8" t="s">
        <v>111</v>
      </c>
      <c r="B15" s="8" t="s">
        <v>138</v>
      </c>
      <c r="C15" s="8" t="s">
        <v>139</v>
      </c>
      <c r="D15" s="8">
        <f>A15&amp;"|"&amp;B15</f>
      </c>
      <c r="E15" s="9">
        <v>15000</v>
      </c>
      <c r="F15" s="9">
        <v>15000</v>
      </c>
      <c r="G15" s="9">
        <v>5</v>
      </c>
      <c r="H15" s="9">
        <v>5</v>
      </c>
      <c r="I15" s="9">
        <v>20</v>
      </c>
    </row>
    <row r="16" spans="1:9" x14ac:dyDescent="0.25">
      <c r="A16" s="8" t="s">
        <v>111</v>
      </c>
      <c r="B16" s="8" t="s">
        <v>140</v>
      </c>
      <c r="C16" s="8" t="s">
        <v>141</v>
      </c>
      <c r="D16" s="8">
        <f>A16&amp;"|"&amp;B16</f>
      </c>
      <c r="E16" s="9">
        <v>240000</v>
      </c>
      <c r="F16" s="9">
        <v>240000</v>
      </c>
      <c r="G16" s="9">
        <v>2</v>
      </c>
      <c r="H16" s="9">
        <v>2</v>
      </c>
      <c r="I16" s="9">
        <v>20</v>
      </c>
    </row>
    <row r="17" spans="1:9" x14ac:dyDescent="0.25">
      <c r="A17" s="8" t="s">
        <v>111</v>
      </c>
      <c r="B17" s="8" t="s">
        <v>142</v>
      </c>
      <c r="C17" s="8" t="s">
        <v>143</v>
      </c>
      <c r="D17" s="8">
        <f>A17&amp;"|"&amp;B17</f>
      </c>
      <c r="E17" s="9">
        <v>240000</v>
      </c>
      <c r="F17" s="9">
        <v>240000</v>
      </c>
      <c r="G17" s="9">
        <v>10</v>
      </c>
      <c r="H17" s="9">
        <v>10</v>
      </c>
      <c r="I17" s="9">
        <v>20</v>
      </c>
    </row>
    <row r="18" spans="1:9" x14ac:dyDescent="0.25">
      <c r="A18" s="8" t="s">
        <v>111</v>
      </c>
      <c r="B18" s="8" t="s">
        <v>144</v>
      </c>
      <c r="C18" s="8" t="s">
        <v>145</v>
      </c>
      <c r="D18" s="8">
        <f>A18&amp;"|"&amp;B18</f>
      </c>
      <c r="E18" s="9">
        <v>5000000</v>
      </c>
      <c r="F18" s="9">
        <v>5000000</v>
      </c>
      <c r="G18" s="9">
        <v>1</v>
      </c>
      <c r="H18" s="9">
        <v>1</v>
      </c>
      <c r="I18" s="9">
        <v>20</v>
      </c>
    </row>
    <row r="19" spans="1:9" x14ac:dyDescent="0.25">
      <c r="A19" s="8" t="s">
        <v>111</v>
      </c>
      <c r="B19" s="8" t="s">
        <v>146</v>
      </c>
      <c r="C19" s="8" t="s">
        <v>147</v>
      </c>
      <c r="D19" s="8">
        <f>A19&amp;"|"&amp;B19</f>
      </c>
      <c r="E19" s="9">
        <v>50000</v>
      </c>
      <c r="F19" s="9">
        <v>0</v>
      </c>
      <c r="G19" s="9">
        <v>2</v>
      </c>
      <c r="H19" s="9">
        <v>0</v>
      </c>
      <c r="I19" s="9">
        <v>20</v>
      </c>
    </row>
    <row r="20" spans="1:9" x14ac:dyDescent="0.25">
      <c r="A20" s="8" t="s">
        <v>111</v>
      </c>
      <c r="B20" s="8" t="s">
        <v>148</v>
      </c>
      <c r="C20" s="8" t="s">
        <v>149</v>
      </c>
      <c r="D20" s="8">
        <f>A20&amp;"|"&amp;B20</f>
      </c>
      <c r="E20" s="9">
        <v>0</v>
      </c>
      <c r="F20" s="9">
        <v>0</v>
      </c>
      <c r="G20" s="9">
        <v>10</v>
      </c>
      <c r="H20" s="9">
        <v>10</v>
      </c>
      <c r="I20" s="9">
        <v>20</v>
      </c>
    </row>
    <row r="21" spans="1:9" x14ac:dyDescent="0.25">
      <c r="A21" s="8" t="s">
        <v>111</v>
      </c>
      <c r="B21" s="8" t="s">
        <v>150</v>
      </c>
      <c r="C21" s="8" t="s">
        <v>151</v>
      </c>
      <c r="D21" s="8">
        <f>A21&amp;"|"&amp;B21</f>
      </c>
      <c r="E21" s="9">
        <v>30000</v>
      </c>
      <c r="F21" s="9">
        <v>30000</v>
      </c>
      <c r="G21" s="9">
        <v>10</v>
      </c>
      <c r="H21" s="9">
        <v>10</v>
      </c>
      <c r="I21" s="9">
        <v>20</v>
      </c>
    </row>
    <row r="22" spans="1:9" x14ac:dyDescent="0.25">
      <c r="A22" s="8" t="s">
        <v>111</v>
      </c>
      <c r="B22" s="8" t="s">
        <v>152</v>
      </c>
      <c r="C22" s="8" t="s">
        <v>153</v>
      </c>
      <c r="D22" s="8">
        <f>A22&amp;"|"&amp;B22</f>
      </c>
      <c r="E22" s="9">
        <v>30000</v>
      </c>
      <c r="F22" s="9">
        <v>30000</v>
      </c>
      <c r="G22" s="9">
        <v>2</v>
      </c>
      <c r="H22" s="9">
        <v>2</v>
      </c>
      <c r="I22" s="9">
        <v>20</v>
      </c>
    </row>
    <row r="23" spans="1:9" x14ac:dyDescent="0.25">
      <c r="A23" s="8" t="s">
        <v>111</v>
      </c>
      <c r="B23" s="8" t="s">
        <v>154</v>
      </c>
      <c r="C23" s="8" t="s">
        <v>155</v>
      </c>
      <c r="D23" s="8">
        <f>A23&amp;"|"&amp;B23</f>
      </c>
      <c r="E23" s="9">
        <v>5000</v>
      </c>
      <c r="F23" s="9">
        <v>5000</v>
      </c>
      <c r="G23" s="9">
        <v>10</v>
      </c>
      <c r="H23" s="9">
        <v>10</v>
      </c>
      <c r="I23" s="9">
        <v>20</v>
      </c>
    </row>
    <row r="24" spans="1:9" x14ac:dyDescent="0.25">
      <c r="A24" s="8" t="s">
        <v>111</v>
      </c>
      <c r="B24" s="8" t="s">
        <v>156</v>
      </c>
      <c r="C24" s="8" t="s">
        <v>157</v>
      </c>
      <c r="D24" s="8">
        <f>A24&amp;"|"&amp;B24</f>
      </c>
      <c r="E24" s="9">
        <v>250000</v>
      </c>
      <c r="F24" s="9">
        <v>250000</v>
      </c>
      <c r="G24" s="9">
        <v>10</v>
      </c>
      <c r="H24" s="9">
        <v>10</v>
      </c>
      <c r="I24" s="9">
        <v>20</v>
      </c>
    </row>
    <row r="25" spans="1:9" x14ac:dyDescent="0.25">
      <c r="A25" s="8" t="s">
        <v>111</v>
      </c>
      <c r="B25" s="8" t="s">
        <v>158</v>
      </c>
      <c r="C25" s="8" t="s">
        <v>159</v>
      </c>
      <c r="D25" s="8">
        <f>A25&amp;"|"&amp;B25</f>
      </c>
      <c r="E25" s="9">
        <v>0</v>
      </c>
      <c r="F25" s="9">
        <v>0</v>
      </c>
      <c r="G25" s="9">
        <v>5</v>
      </c>
      <c r="H25" s="9">
        <v>5</v>
      </c>
      <c r="I25" s="9">
        <v>20</v>
      </c>
    </row>
    <row r="26" spans="1:9" x14ac:dyDescent="0.25">
      <c r="A26" s="8" t="s">
        <v>111</v>
      </c>
      <c r="B26" s="8" t="s">
        <v>160</v>
      </c>
      <c r="C26" s="8" t="s">
        <v>161</v>
      </c>
      <c r="D26" s="8">
        <f>A26&amp;"|"&amp;B26</f>
      </c>
      <c r="E26" s="9">
        <v>5000000</v>
      </c>
      <c r="F26" s="9">
        <v>0</v>
      </c>
      <c r="G26" s="9">
        <v>5</v>
      </c>
      <c r="H26" s="9">
        <v>0</v>
      </c>
      <c r="I26" s="9">
        <v>20</v>
      </c>
    </row>
    <row r="27" spans="1:9" x14ac:dyDescent="0.25">
      <c r="A27" s="8" t="s">
        <v>111</v>
      </c>
      <c r="B27" s="8" t="s">
        <v>162</v>
      </c>
      <c r="C27" s="8" t="s">
        <v>163</v>
      </c>
      <c r="D27" s="8">
        <f>A27&amp;"|"&amp;B27</f>
      </c>
      <c r="E27" s="9">
        <v>10000000</v>
      </c>
      <c r="F27" s="9">
        <v>10000000</v>
      </c>
      <c r="G27" s="9">
        <v>2</v>
      </c>
      <c r="H27" s="9">
        <v>2</v>
      </c>
      <c r="I27" s="9">
        <v>20</v>
      </c>
    </row>
    <row r="28" spans="1:9" x14ac:dyDescent="0.25">
      <c r="A28" s="8" t="s">
        <v>111</v>
      </c>
      <c r="B28" s="8" t="s">
        <v>164</v>
      </c>
      <c r="C28" s="8" t="s">
        <v>165</v>
      </c>
      <c r="D28" s="8">
        <f>A28&amp;"|"&amp;B28</f>
      </c>
      <c r="E28" s="9">
        <v>2000000</v>
      </c>
      <c r="F28" s="9">
        <v>2000000</v>
      </c>
      <c r="G28" s="9">
        <v>2</v>
      </c>
      <c r="H28" s="9">
        <v>2</v>
      </c>
      <c r="I28" s="9">
        <v>20</v>
      </c>
    </row>
    <row r="29" spans="1:9" x14ac:dyDescent="0.25">
      <c r="A29" s="8" t="s">
        <v>111</v>
      </c>
      <c r="B29" s="8" t="s">
        <v>166</v>
      </c>
      <c r="C29" s="8" t="s">
        <v>167</v>
      </c>
      <c r="D29" s="8">
        <f>A29&amp;"|"&amp;B29</f>
      </c>
      <c r="E29" s="9">
        <v>500000</v>
      </c>
      <c r="F29" s="9">
        <v>500000</v>
      </c>
      <c r="G29" s="9">
        <v>1</v>
      </c>
      <c r="H29" s="9">
        <v>1</v>
      </c>
      <c r="I29" s="9">
        <v>20</v>
      </c>
    </row>
    <row r="30" spans="1:9" x14ac:dyDescent="0.25">
      <c r="A30" s="8" t="s">
        <v>111</v>
      </c>
      <c r="B30" s="8" t="s">
        <v>168</v>
      </c>
      <c r="C30" s="8" t="s">
        <v>169</v>
      </c>
      <c r="D30" s="8">
        <f>A30&amp;"|"&amp;B30</f>
      </c>
      <c r="E30" s="9">
        <v>5000000</v>
      </c>
      <c r="F30" s="9">
        <v>5000000</v>
      </c>
      <c r="G30" s="9">
        <v>0.1</v>
      </c>
      <c r="H30" s="9">
        <v>0.1</v>
      </c>
      <c r="I30" s="9">
        <v>5</v>
      </c>
    </row>
    <row r="31" spans="1:9" x14ac:dyDescent="0.25">
      <c r="A31" s="8" t="s">
        <v>111</v>
      </c>
      <c r="B31" s="8" t="s">
        <v>170</v>
      </c>
      <c r="C31" s="8" t="s">
        <v>171</v>
      </c>
      <c r="D31" s="8">
        <f>A31&amp;"|"&amp;B31</f>
      </c>
      <c r="E31" s="9">
        <v>20000</v>
      </c>
      <c r="F31" s="9">
        <v>20000</v>
      </c>
      <c r="G31" s="9">
        <v>10</v>
      </c>
      <c r="H31" s="9">
        <v>10</v>
      </c>
      <c r="I31" s="9">
        <v>20</v>
      </c>
    </row>
    <row r="32" spans="1:9" x14ac:dyDescent="0.25">
      <c r="A32" s="8" t="s">
        <v>111</v>
      </c>
      <c r="B32" s="8" t="s">
        <v>172</v>
      </c>
      <c r="C32" s="8" t="s">
        <v>173</v>
      </c>
      <c r="D32" s="8">
        <f>A32&amp;"|"&amp;B32</f>
      </c>
      <c r="E32" s="9">
        <v>10000</v>
      </c>
      <c r="F32" s="9">
        <v>50000</v>
      </c>
      <c r="G32" s="9">
        <v>1</v>
      </c>
      <c r="H32" s="9">
        <v>1</v>
      </c>
      <c r="I32" s="9">
        <v>20</v>
      </c>
    </row>
    <row r="33" spans="1:9" x14ac:dyDescent="0.25">
      <c r="A33" s="8" t="s">
        <v>111</v>
      </c>
      <c r="B33" s="8" t="s">
        <v>174</v>
      </c>
      <c r="C33" s="8" t="s">
        <v>175</v>
      </c>
      <c r="D33" s="8">
        <f>A33&amp;"|"&amp;B33</f>
      </c>
      <c r="E33" s="9">
        <v>20000</v>
      </c>
      <c r="F33" s="9">
        <v>0</v>
      </c>
      <c r="G33" s="9">
        <v>10</v>
      </c>
      <c r="H33" s="9">
        <v>0</v>
      </c>
      <c r="I33" s="9">
        <v>20</v>
      </c>
    </row>
    <row r="34" spans="1:9" x14ac:dyDescent="0.25">
      <c r="A34" s="8" t="s">
        <v>111</v>
      </c>
      <c r="B34" s="8" t="s">
        <v>176</v>
      </c>
      <c r="C34" s="8" t="s">
        <v>177</v>
      </c>
      <c r="D34" s="8">
        <f>A34&amp;"|"&amp;B34</f>
      </c>
      <c r="E34" s="9">
        <v>0</v>
      </c>
      <c r="F34" s="9">
        <v>0</v>
      </c>
      <c r="G34" s="9">
        <v>20</v>
      </c>
      <c r="H34" s="9">
        <v>20</v>
      </c>
      <c r="I34" s="9">
        <v>20</v>
      </c>
    </row>
    <row r="35" spans="1:9" x14ac:dyDescent="0.25">
      <c r="A35" s="8" t="s">
        <v>178</v>
      </c>
      <c r="B35" s="8" t="s">
        <v>179</v>
      </c>
      <c r="C35" s="8" t="s">
        <v>180</v>
      </c>
      <c r="D35" s="8">
        <f>A35&amp;"|"&amp;B35</f>
      </c>
      <c r="E35" s="9">
        <v>0</v>
      </c>
      <c r="F35" s="9">
        <v>0</v>
      </c>
      <c r="G35" s="9">
        <v>0</v>
      </c>
      <c r="H35" s="9">
        <v>0</v>
      </c>
      <c r="I35" s="9">
        <v>20</v>
      </c>
    </row>
    <row r="36" spans="1:9" x14ac:dyDescent="0.25">
      <c r="A36" s="8" t="s">
        <v>178</v>
      </c>
      <c r="B36" s="8" t="s">
        <v>112</v>
      </c>
      <c r="C36" s="8" t="s">
        <v>181</v>
      </c>
      <c r="D36" s="8">
        <f>A36&amp;"|"&amp;B36</f>
      </c>
      <c r="E36" s="9">
        <v>50000</v>
      </c>
      <c r="F36" s="9">
        <v>0</v>
      </c>
      <c r="G36" s="9">
        <v>10</v>
      </c>
      <c r="H36" s="9">
        <v>0</v>
      </c>
      <c r="I36" s="9">
        <v>20</v>
      </c>
    </row>
    <row r="37" spans="1:9" x14ac:dyDescent="0.25">
      <c r="A37" s="8" t="s">
        <v>182</v>
      </c>
      <c r="B37" s="8" t="s">
        <v>183</v>
      </c>
      <c r="C37" s="8" t="s">
        <v>184</v>
      </c>
      <c r="D37" s="8">
        <f>A37&amp;"|"&amp;B37</f>
      </c>
      <c r="E37" s="9">
        <v>0</v>
      </c>
      <c r="F37" s="9">
        <v>0</v>
      </c>
      <c r="G37" s="9">
        <v>1</v>
      </c>
      <c r="H37" s="9">
        <v>1</v>
      </c>
      <c r="I37" s="9">
        <v>5</v>
      </c>
    </row>
    <row r="38" spans="1:9" x14ac:dyDescent="0.25">
      <c r="A38" s="8" t="s">
        <v>182</v>
      </c>
      <c r="B38" s="8" t="s">
        <v>185</v>
      </c>
      <c r="C38" s="8" t="s">
        <v>186</v>
      </c>
      <c r="D38" s="8">
        <f>A38&amp;"|"&amp;B38</f>
      </c>
      <c r="E38" s="9">
        <v>0</v>
      </c>
      <c r="F38" s="9">
        <v>0</v>
      </c>
      <c r="G38" s="9">
        <v>1</v>
      </c>
      <c r="H38" s="9">
        <v>1</v>
      </c>
      <c r="I38" s="9">
        <v>5</v>
      </c>
    </row>
    <row r="39" spans="1:9" x14ac:dyDescent="0.25">
      <c r="A39" s="8" t="s">
        <v>182</v>
      </c>
      <c r="B39" s="8" t="s">
        <v>187</v>
      </c>
      <c r="C39" s="8" t="s">
        <v>188</v>
      </c>
      <c r="D39" s="8">
        <f>A39&amp;"|"&amp;B39</f>
      </c>
      <c r="E39" s="9">
        <v>700000</v>
      </c>
      <c r="F39" s="9">
        <v>700000</v>
      </c>
      <c r="G39" s="9">
        <v>5</v>
      </c>
      <c r="H39" s="9">
        <v>5</v>
      </c>
      <c r="I39" s="9">
        <v>5</v>
      </c>
    </row>
    <row r="40" spans="1:9" x14ac:dyDescent="0.25">
      <c r="A40" s="8" t="s">
        <v>182</v>
      </c>
      <c r="B40" s="8" t="s">
        <v>189</v>
      </c>
      <c r="C40" s="8" t="s">
        <v>190</v>
      </c>
      <c r="D40" s="8">
        <f>A40&amp;"|"&amp;B40</f>
      </c>
      <c r="E40" s="9">
        <v>700000</v>
      </c>
      <c r="F40" s="9">
        <v>700000</v>
      </c>
      <c r="G40" s="9">
        <v>0.5</v>
      </c>
      <c r="H40" s="9">
        <v>0.5</v>
      </c>
      <c r="I40" s="9">
        <v>5</v>
      </c>
    </row>
    <row r="41" spans="1:9" x14ac:dyDescent="0.25">
      <c r="A41" s="8" t="s">
        <v>182</v>
      </c>
      <c r="B41" s="8" t="s">
        <v>191</v>
      </c>
      <c r="C41" s="8" t="s">
        <v>192</v>
      </c>
      <c r="D41" s="8">
        <f>A41&amp;"|"&amp;B41</f>
      </c>
      <c r="E41" s="9">
        <v>5000000</v>
      </c>
      <c r="F41" s="9">
        <v>5000000</v>
      </c>
      <c r="G41" s="9">
        <v>0.1</v>
      </c>
      <c r="H41" s="9">
        <v>0.1</v>
      </c>
      <c r="I41" s="9">
        <v>1</v>
      </c>
    </row>
    <row r="42" spans="1:9" x14ac:dyDescent="0.25">
      <c r="A42" s="8" t="s">
        <v>193</v>
      </c>
      <c r="B42" s="8" t="s">
        <v>194</v>
      </c>
      <c r="C42" s="8" t="s">
        <v>195</v>
      </c>
      <c r="D42" s="8">
        <f>A42&amp;"|"&amp;B42</f>
      </c>
      <c r="E42" s="9">
        <v>0</v>
      </c>
      <c r="F42" s="9">
        <v>0</v>
      </c>
      <c r="G42" s="9">
        <v>20</v>
      </c>
      <c r="H42" s="9">
        <v>20</v>
      </c>
      <c r="I42" s="9">
        <v>20</v>
      </c>
    </row>
    <row r="43" spans="1:9" x14ac:dyDescent="0.25">
      <c r="A43" s="8" t="s">
        <v>193</v>
      </c>
      <c r="B43" s="8" t="s">
        <v>196</v>
      </c>
      <c r="C43" s="8" t="s">
        <v>197</v>
      </c>
      <c r="D43" s="8">
        <f>A43&amp;"|"&amp;B43</f>
      </c>
      <c r="E43" s="9">
        <v>0</v>
      </c>
      <c r="F43" s="9">
        <v>0</v>
      </c>
      <c r="G43" s="9">
        <v>5</v>
      </c>
      <c r="H43" s="9">
        <v>5</v>
      </c>
      <c r="I43" s="9">
        <v>20</v>
      </c>
    </row>
    <row r="44" spans="1:9" x14ac:dyDescent="0.25">
      <c r="A44" s="8" t="s">
        <v>193</v>
      </c>
      <c r="B44" s="8" t="s">
        <v>198</v>
      </c>
      <c r="C44" s="8" t="s">
        <v>199</v>
      </c>
      <c r="D44" s="8">
        <f>A44&amp;"|"&amp;B44</f>
      </c>
      <c r="E44" s="9">
        <v>0</v>
      </c>
      <c r="F44" s="9">
        <v>0</v>
      </c>
      <c r="G44" s="9">
        <v>5</v>
      </c>
      <c r="H44" s="9">
        <v>5</v>
      </c>
      <c r="I44" s="9">
        <v>20</v>
      </c>
    </row>
    <row r="45" spans="1:9" x14ac:dyDescent="0.25">
      <c r="A45" s="8" t="s">
        <v>193</v>
      </c>
      <c r="B45" s="8" t="s">
        <v>200</v>
      </c>
      <c r="C45" s="8" t="s">
        <v>201</v>
      </c>
      <c r="D45" s="8">
        <f>A45&amp;"|"&amp;B45</f>
      </c>
      <c r="E45" s="9">
        <v>0</v>
      </c>
      <c r="F45" s="9">
        <v>0</v>
      </c>
      <c r="G45" s="9">
        <v>5</v>
      </c>
      <c r="H45" s="9">
        <v>5</v>
      </c>
      <c r="I45" s="9">
        <v>20</v>
      </c>
    </row>
    <row r="46" spans="1:9" x14ac:dyDescent="0.25">
      <c r="A46" s="8" t="s">
        <v>193</v>
      </c>
      <c r="B46" s="8" t="s">
        <v>202</v>
      </c>
      <c r="C46" s="8" t="s">
        <v>203</v>
      </c>
      <c r="D46" s="8">
        <f>A46&amp;"|"&amp;B46</f>
      </c>
      <c r="E46" s="9">
        <v>0</v>
      </c>
      <c r="F46" s="9">
        <v>0</v>
      </c>
      <c r="G46" s="9">
        <v>0</v>
      </c>
      <c r="H46" s="9">
        <v>0</v>
      </c>
      <c r="I46" s="9">
        <v>20</v>
      </c>
    </row>
    <row r="47" spans="1:9" x14ac:dyDescent="0.25">
      <c r="A47" s="8" t="s">
        <v>193</v>
      </c>
      <c r="B47" s="8" t="s">
        <v>204</v>
      </c>
      <c r="C47" s="8" t="s">
        <v>205</v>
      </c>
      <c r="D47" s="8">
        <f>A47&amp;"|"&amp;B47</f>
      </c>
      <c r="E47" s="9">
        <v>0</v>
      </c>
      <c r="F47" s="9">
        <v>0</v>
      </c>
      <c r="G47" s="9">
        <v>10</v>
      </c>
      <c r="H47" s="9">
        <v>10</v>
      </c>
      <c r="I47" s="9">
        <v>20</v>
      </c>
    </row>
    <row r="48" spans="1:9" x14ac:dyDescent="0.25">
      <c r="A48" s="8" t="s">
        <v>193</v>
      </c>
      <c r="B48" s="8" t="s">
        <v>206</v>
      </c>
      <c r="C48" s="8" t="s">
        <v>207</v>
      </c>
      <c r="D48" s="8">
        <f>A48&amp;"|"&amp;B48</f>
      </c>
      <c r="E48" s="9">
        <v>0</v>
      </c>
      <c r="F48" s="9">
        <v>0</v>
      </c>
      <c r="G48" s="9">
        <v>10</v>
      </c>
      <c r="H48" s="9">
        <v>10</v>
      </c>
      <c r="I48" s="9">
        <v>20</v>
      </c>
    </row>
    <row r="49" spans="1:9" x14ac:dyDescent="0.25">
      <c r="A49" s="8" t="s">
        <v>193</v>
      </c>
      <c r="B49" s="8" t="s">
        <v>208</v>
      </c>
      <c r="C49" s="8" t="s">
        <v>209</v>
      </c>
      <c r="D49" s="8">
        <f>A49&amp;"|"&amp;B49</f>
      </c>
      <c r="E49" s="9">
        <v>0</v>
      </c>
      <c r="F49" s="9">
        <v>0</v>
      </c>
      <c r="G49" s="9">
        <v>10</v>
      </c>
      <c r="H49" s="9">
        <v>10</v>
      </c>
      <c r="I49" s="9">
        <v>20</v>
      </c>
    </row>
    <row r="50" spans="1:9" x14ac:dyDescent="0.25">
      <c r="A50" s="8" t="s">
        <v>193</v>
      </c>
      <c r="B50" s="8" t="s">
        <v>210</v>
      </c>
      <c r="C50" s="8" t="s">
        <v>211</v>
      </c>
      <c r="D50" s="8">
        <f>A50&amp;"|"&amp;B50</f>
      </c>
      <c r="E50" s="9">
        <v>0</v>
      </c>
      <c r="F50" s="9">
        <v>0</v>
      </c>
      <c r="G50" s="9">
        <v>20</v>
      </c>
      <c r="H50" s="9">
        <v>20</v>
      </c>
      <c r="I50" s="9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207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2" width="10" customWidth="1"/>
    <col min="3" max="3" width="14" customWidth="1"/>
    <col min="4" max="19" width="12" customWidth="1"/>
    <col min="20" max="20" width="18" customWidth="1"/>
    <col min="21" max="21" width="26" customWidth="1"/>
    <col min="22" max="39" width="12" customWidth="1"/>
    <col min="40" max="40" width="18" customWidth="1"/>
    <col min="41" max="43" width="12" customWidth="1"/>
    <col min="44" max="44" width="13" customWidth="1"/>
    <col min="45" max="45" width="12" hidden="1" customWidth="1"/>
  </cols>
  <sheetData>
    <row r="1" ht="22" customHeight="1" spans="4:44" x14ac:dyDescent="0.25">
      <c r="D1" s="10" t="s">
        <v>212</v>
      </c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</row>
    <row r="2" spans="1:44" x14ac:dyDescent="0.25">
      <c r="A2" s="11" t="s">
        <v>213</v>
      </c>
      <c r="B2" s="12" t="s">
        <v>111</v>
      </c>
      <c r="D2" s="13" t="s">
        <v>214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</row>
    <row r="3" ht="40" customHeight="1" spans="1:45" x14ac:dyDescent="0.25">
      <c r="A3" s="7" t="s">
        <v>215</v>
      </c>
      <c r="B3" s="7" t="s">
        <v>216</v>
      </c>
      <c r="C3" s="7" t="s">
        <v>17</v>
      </c>
      <c r="D3" s="7" t="s">
        <v>19</v>
      </c>
      <c r="E3" s="7" t="s">
        <v>21</v>
      </c>
      <c r="F3" s="7" t="s">
        <v>23</v>
      </c>
      <c r="G3" s="7" t="s">
        <v>25</v>
      </c>
      <c r="H3" s="7" t="s">
        <v>27</v>
      </c>
      <c r="I3" s="7" t="s">
        <v>29</v>
      </c>
      <c r="J3" s="7" t="s">
        <v>31</v>
      </c>
      <c r="K3" s="7" t="s">
        <v>33</v>
      </c>
      <c r="L3" s="7" t="s">
        <v>35</v>
      </c>
      <c r="M3" s="7" t="s">
        <v>37</v>
      </c>
      <c r="N3" s="7" t="s">
        <v>39</v>
      </c>
      <c r="O3" s="7" t="s">
        <v>41</v>
      </c>
      <c r="P3" s="7" t="s">
        <v>43</v>
      </c>
      <c r="Q3" s="7" t="s">
        <v>45</v>
      </c>
      <c r="R3" s="7" t="s">
        <v>47</v>
      </c>
      <c r="S3" s="7" t="s">
        <v>49</v>
      </c>
      <c r="T3" s="7" t="s">
        <v>51</v>
      </c>
      <c r="U3" s="7" t="s">
        <v>55</v>
      </c>
      <c r="V3" s="7" t="s">
        <v>57</v>
      </c>
      <c r="W3" s="7" t="s">
        <v>59</v>
      </c>
      <c r="X3" s="7" t="s">
        <v>61</v>
      </c>
      <c r="Y3" s="7" t="s">
        <v>63</v>
      </c>
      <c r="Z3" s="7" t="s">
        <v>65</v>
      </c>
      <c r="AA3" s="7" t="s">
        <v>67</v>
      </c>
      <c r="AB3" s="7" t="s">
        <v>69</v>
      </c>
      <c r="AC3" s="7" t="s">
        <v>71</v>
      </c>
      <c r="AD3" s="7" t="s">
        <v>73</v>
      </c>
      <c r="AE3" s="7" t="s">
        <v>75</v>
      </c>
      <c r="AF3" s="7" t="s">
        <v>77</v>
      </c>
      <c r="AG3" s="7" t="s">
        <v>79</v>
      </c>
      <c r="AH3" s="7" t="s">
        <v>81</v>
      </c>
      <c r="AI3" s="7" t="s">
        <v>83</v>
      </c>
      <c r="AJ3" s="7" t="s">
        <v>85</v>
      </c>
      <c r="AK3" s="7" t="s">
        <v>87</v>
      </c>
      <c r="AL3" s="7" t="s">
        <v>89</v>
      </c>
      <c r="AM3" s="7" t="s">
        <v>91</v>
      </c>
      <c r="AN3" s="7" t="s">
        <v>93</v>
      </c>
      <c r="AO3" s="7" t="s">
        <v>217</v>
      </c>
      <c r="AP3" s="7" t="s">
        <v>218</v>
      </c>
      <c r="AQ3" s="7" t="s">
        <v>219</v>
      </c>
      <c r="AR3" s="7" t="s">
        <v>220</v>
      </c>
      <c r="AS3" s="7" t="s">
        <v>221</v>
      </c>
    </row>
    <row r="4" spans="1:45" x14ac:dyDescent="0.25">
      <c r="A4" s="14"/>
      <c r="B4" s="14" t="s">
        <v>222</v>
      </c>
      <c r="C4" s="14" t="s">
        <v>223</v>
      </c>
      <c r="D4" s="15" t="s">
        <v>224</v>
      </c>
      <c r="E4" s="15" t="s">
        <v>225</v>
      </c>
      <c r="F4" s="16">
        <v>46177</v>
      </c>
      <c r="G4" s="14" t="s">
        <v>226</v>
      </c>
      <c r="H4" s="17">
        <v>6558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4" t="s">
        <v>227</v>
      </c>
      <c r="P4" s="14" t="s">
        <v>228</v>
      </c>
      <c r="Q4" s="14" t="s">
        <v>229</v>
      </c>
      <c r="R4" s="14"/>
      <c r="S4" s="14" t="s">
        <v>230</v>
      </c>
      <c r="T4" s="14" t="s">
        <v>231</v>
      </c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 t="s">
        <v>227</v>
      </c>
      <c r="AP4" s="14" t="s">
        <v>227</v>
      </c>
      <c r="AQ4" s="14" t="s">
        <v>227</v>
      </c>
      <c r="AR4" s="14" t="s">
        <v>227</v>
      </c>
      <c r="AS4" s="14" t="s">
        <v>230</v>
      </c>
    </row>
    <row r="5" spans="1:45" x14ac:dyDescent="0.25">
      <c r="A5" s="14" t="s">
        <v>227</v>
      </c>
      <c r="B5" s="14" t="s">
        <v>232</v>
      </c>
      <c r="C5" s="14" t="s">
        <v>223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 t="s">
        <v>233</v>
      </c>
      <c r="V5" s="14" t="s">
        <v>234</v>
      </c>
      <c r="W5" s="14" t="s">
        <v>229</v>
      </c>
      <c r="X5" s="14" t="s">
        <v>235</v>
      </c>
      <c r="Y5" s="14" t="s">
        <v>130</v>
      </c>
      <c r="Z5" s="14" t="s">
        <v>227</v>
      </c>
      <c r="AA5" s="14" t="s">
        <v>227</v>
      </c>
      <c r="AB5" s="18">
        <v>0.1</v>
      </c>
      <c r="AC5" s="16">
        <v>46173</v>
      </c>
      <c r="AD5" s="17">
        <v>5558172</v>
      </c>
      <c r="AE5" s="14" t="s">
        <v>227</v>
      </c>
      <c r="AF5" s="17">
        <v>0</v>
      </c>
      <c r="AG5" s="17">
        <v>0</v>
      </c>
      <c r="AH5" s="14" t="s">
        <v>227</v>
      </c>
      <c r="AI5" s="17">
        <v>0</v>
      </c>
      <c r="AJ5" s="14" t="s">
        <v>230</v>
      </c>
      <c r="AK5" s="14" t="s">
        <v>230</v>
      </c>
      <c r="AL5" s="14" t="s">
        <v>230</v>
      </c>
      <c r="AM5" s="14"/>
      <c r="AN5" s="14" t="s">
        <v>230</v>
      </c>
      <c r="AO5" s="14"/>
      <c r="AP5" s="14"/>
      <c r="AQ5" s="14"/>
      <c r="AR5" s="14"/>
      <c r="AS5" s="14" t="s">
        <v>230</v>
      </c>
    </row>
    <row r="6" spans="1:45" x14ac:dyDescent="0.25">
      <c r="A6" s="14" t="s">
        <v>227</v>
      </c>
      <c r="B6" s="14" t="s">
        <v>232</v>
      </c>
      <c r="C6" s="14" t="s">
        <v>223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 t="s">
        <v>236</v>
      </c>
      <c r="V6" s="14" t="s">
        <v>237</v>
      </c>
      <c r="W6" s="14" t="s">
        <v>229</v>
      </c>
      <c r="X6" s="14" t="s">
        <v>235</v>
      </c>
      <c r="Y6" s="14" t="s">
        <v>130</v>
      </c>
      <c r="Z6" s="14" t="s">
        <v>227</v>
      </c>
      <c r="AA6" s="14" t="s">
        <v>227</v>
      </c>
      <c r="AB6" s="18">
        <v>0.2</v>
      </c>
      <c r="AC6" s="16">
        <v>46173</v>
      </c>
      <c r="AD6" s="17">
        <v>500000</v>
      </c>
      <c r="AE6" s="14" t="s">
        <v>227</v>
      </c>
      <c r="AF6" s="17">
        <v>0</v>
      </c>
      <c r="AG6" s="17">
        <v>0</v>
      </c>
      <c r="AH6" s="14" t="s">
        <v>227</v>
      </c>
      <c r="AI6" s="17">
        <v>0</v>
      </c>
      <c r="AJ6" s="14" t="s">
        <v>230</v>
      </c>
      <c r="AK6" s="14" t="s">
        <v>230</v>
      </c>
      <c r="AL6" s="14" t="s">
        <v>230</v>
      </c>
      <c r="AM6" s="14"/>
      <c r="AN6" s="14" t="s">
        <v>230</v>
      </c>
      <c r="AO6" s="14"/>
      <c r="AP6" s="14"/>
      <c r="AQ6" s="14"/>
      <c r="AR6" s="14"/>
      <c r="AS6" s="14" t="s">
        <v>230</v>
      </c>
    </row>
    <row r="7" spans="1:45" x14ac:dyDescent="0.25">
      <c r="A7" s="14" t="s">
        <v>227</v>
      </c>
      <c r="B7" s="14" t="s">
        <v>232</v>
      </c>
      <c r="C7" s="14" t="s">
        <v>223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 t="s">
        <v>238</v>
      </c>
      <c r="V7" s="14" t="s">
        <v>239</v>
      </c>
      <c r="W7" s="14" t="s">
        <v>229</v>
      </c>
      <c r="X7" s="14" t="s">
        <v>235</v>
      </c>
      <c r="Y7" s="14" t="s">
        <v>150</v>
      </c>
      <c r="Z7" s="14" t="s">
        <v>227</v>
      </c>
      <c r="AA7" s="14" t="s">
        <v>227</v>
      </c>
      <c r="AB7" s="18">
        <v>0</v>
      </c>
      <c r="AC7" s="16">
        <v>46173</v>
      </c>
      <c r="AD7" s="17">
        <v>100000</v>
      </c>
      <c r="AE7" s="14" t="s">
        <v>227</v>
      </c>
      <c r="AF7" s="17">
        <v>0</v>
      </c>
      <c r="AG7" s="17">
        <v>0</v>
      </c>
      <c r="AH7" s="14" t="s">
        <v>227</v>
      </c>
      <c r="AI7" s="17">
        <v>0</v>
      </c>
      <c r="AJ7" s="14" t="s">
        <v>240</v>
      </c>
      <c r="AK7" s="14" t="s">
        <v>241</v>
      </c>
      <c r="AL7" s="14">
        <v>0</v>
      </c>
      <c r="AM7" s="14"/>
      <c r="AN7" s="14" t="s">
        <v>242</v>
      </c>
      <c r="AO7" s="14"/>
      <c r="AP7" s="14"/>
      <c r="AQ7" s="14"/>
      <c r="AR7" s="14"/>
      <c r="AS7" s="14" t="s">
        <v>230</v>
      </c>
    </row>
    <row r="8" spans="1:45" x14ac:dyDescent="0.25">
      <c r="A8" s="19">
        <f>IF($B8="Entry",COUNTIF($B$8:$B8,"Entry"),"")</f>
      </c>
      <c r="B8" s="20"/>
      <c r="C8" s="21"/>
      <c r="D8" s="22"/>
      <c r="E8" s="22"/>
      <c r="F8" s="23"/>
      <c r="G8" s="24"/>
      <c r="H8" s="25"/>
      <c r="I8" s="25"/>
      <c r="J8" s="25"/>
      <c r="K8" s="25"/>
      <c r="L8" s="25"/>
      <c r="M8" s="25"/>
      <c r="N8" s="25"/>
      <c r="O8" s="26">
        <f>IF($B8&lt;&gt;"Challan","",H8+I8+J8+K8+L8+M8)</f>
      </c>
      <c r="P8" s="24"/>
      <c r="Q8" s="24"/>
      <c r="R8" s="24"/>
      <c r="S8" s="24"/>
      <c r="T8" s="24"/>
      <c r="U8" s="27"/>
      <c r="V8" s="27"/>
      <c r="W8" s="27"/>
      <c r="X8" s="27"/>
      <c r="Y8" s="27"/>
      <c r="Z8" s="28">
        <f>IFERROR(IF($B8&lt;&gt;"Entry","",IF(W8="Y",SUMPRODUCT(('Rate Master'!$D$2:$D$50=(Y8&amp;"|"&amp;$B$2))*'Rate Master'!$I$2:$I$50),IF(OR(X8="Individual",X8="HUF"),SUMPRODUCT(('Rate Master'!$D$2:$D$50=(Y8&amp;"|"&amp;$B$2))*'Rate Master'!$G$2:$G$50),SUMPRODUCT(('Rate Master'!$D$2:$D$50=(Y8&amp;"|"&amp;$B$2))*'Rate Master'!$H$2:$H$50)))),"")</f>
      </c>
      <c r="AA8" s="26">
        <f>IFERROR(IF($B8&lt;&gt;"Entry","",IF(OR(X8="Individual",X8="HUF"),SUMPRODUCT(('Rate Master'!$D$2:$D$50=(Y8&amp;"|"&amp;$B$2))*'Rate Master'!$E$2:$E$50),SUMPRODUCT(('Rate Master'!$D$2:$D$50=(Y8&amp;"|"&amp;$B$2))*'Rate Master'!$F$2:$F$50))),"")</f>
      </c>
      <c r="AB8" s="29"/>
      <c r="AC8" s="30"/>
      <c r="AD8" s="31"/>
      <c r="AE8" s="26">
        <f>IF($B8&lt;&gt;"Entry","",ROUND(AD8*AB8/100,0))</f>
      </c>
      <c r="AF8" s="31"/>
      <c r="AG8" s="31"/>
      <c r="AH8" s="26">
        <f>IF($B8&lt;&gt;"Entry","",IF(OR(AE8=0,AC8="",AS8="",AS8&lt;=0),0,IF(AS8&lt;=DATE(YEAR(AC8),MONTH(AC8)+1,7),0,ROUND(AE8*0.015*((YEAR(AS8)-YEAR(AC8))*12+(MONTH(AS8)-MONTH(AC8))+1),0))))</f>
      </c>
      <c r="AI8" s="31"/>
      <c r="AJ8" s="27"/>
      <c r="AK8" s="27"/>
      <c r="AL8" s="29"/>
      <c r="AM8" s="27"/>
      <c r="AN8" s="27"/>
      <c r="AO8" s="26">
        <f>IF($B8&lt;&gt;"Challan","",SUMIF($C$8:$C$207,$C8,$AE$8:$AE$207)+SUMIF($C$8:$C$207,$C8,$AH$8:$AH$207)+SUMIF($C$8:$C$207,$C8,$AF$8:$AF$207))</f>
      </c>
      <c r="AP8" s="26">
        <f>IF($B8&lt;&gt;"Challan","",O8-M8)</f>
      </c>
      <c r="AQ8" s="26">
        <f>IF($B8&lt;&gt;"Challan","",MAX(0,AP8-AO8))</f>
      </c>
      <c r="AR8" s="32">
        <f>IF($B8&lt;&gt;"Challan","",IF(ROUND(AO8-AP8,2)&gt;0,"Over-applied",IF(ROUND(AO8-AP8,2)=0,"Fully Utilised","Unconsumed")))</f>
      </c>
      <c r="AS8" s="33">
        <f>IF($B8&lt;&gt;"Entry","",SUMPRODUCT(($C$8:$C$207=$C8)*($B$8:$B$207="Challan")*$F$8:$F$207))</f>
      </c>
    </row>
    <row r="9" spans="1:45" x14ac:dyDescent="0.25">
      <c r="A9" s="19">
        <f>IF($B9="Entry",COUNTIF($B$8:$B9,"Entry"),"")</f>
      </c>
      <c r="B9" s="20"/>
      <c r="C9" s="21"/>
      <c r="D9" s="22"/>
      <c r="E9" s="22"/>
      <c r="F9" s="23"/>
      <c r="G9" s="24"/>
      <c r="H9" s="25"/>
      <c r="I9" s="25"/>
      <c r="J9" s="25"/>
      <c r="K9" s="25"/>
      <c r="L9" s="25"/>
      <c r="M9" s="25"/>
      <c r="N9" s="25"/>
      <c r="O9" s="26">
        <f>IF($B9&lt;&gt;"Challan","",H9+I9+J9+K9+L9+M9)</f>
      </c>
      <c r="P9" s="24"/>
      <c r="Q9" s="24"/>
      <c r="R9" s="24"/>
      <c r="S9" s="24"/>
      <c r="T9" s="24"/>
      <c r="U9" s="27"/>
      <c r="V9" s="27"/>
      <c r="W9" s="27"/>
      <c r="X9" s="27"/>
      <c r="Y9" s="27"/>
      <c r="Z9" s="28">
        <f>IFERROR(IF($B9&lt;&gt;"Entry","",IF(W9="Y",SUMPRODUCT(('Rate Master'!$D$2:$D$50=(Y9&amp;"|"&amp;$B$2))*'Rate Master'!$I$2:$I$50),IF(OR(X9="Individual",X9="HUF"),SUMPRODUCT(('Rate Master'!$D$2:$D$50=(Y9&amp;"|"&amp;$B$2))*'Rate Master'!$G$2:$G$50),SUMPRODUCT(('Rate Master'!$D$2:$D$50=(Y9&amp;"|"&amp;$B$2))*'Rate Master'!$H$2:$H$50)))),"")</f>
      </c>
      <c r="AA9" s="26">
        <f>IFERROR(IF($B9&lt;&gt;"Entry","",IF(OR(X9="Individual",X9="HUF"),SUMPRODUCT(('Rate Master'!$D$2:$D$50=(Y9&amp;"|"&amp;$B$2))*'Rate Master'!$E$2:$E$50),SUMPRODUCT(('Rate Master'!$D$2:$D$50=(Y9&amp;"|"&amp;$B$2))*'Rate Master'!$F$2:$F$50))),"")</f>
      </c>
      <c r="AB9" s="29"/>
      <c r="AC9" s="30"/>
      <c r="AD9" s="31"/>
      <c r="AE9" s="26">
        <f>IF($B9&lt;&gt;"Entry","",ROUND(AD9*AB9/100,0))</f>
      </c>
      <c r="AF9" s="31"/>
      <c r="AG9" s="31"/>
      <c r="AH9" s="26">
        <f>IF($B9&lt;&gt;"Entry","",IF(OR(AE9=0,AC9="",AS9="",AS9&lt;=0),0,IF(AS9&lt;=DATE(YEAR(AC9),MONTH(AC9)+1,7),0,ROUND(AE9*0.015*((YEAR(AS9)-YEAR(AC9))*12+(MONTH(AS9)-MONTH(AC9))+1),0))))</f>
      </c>
      <c r="AI9" s="31"/>
      <c r="AJ9" s="27"/>
      <c r="AK9" s="27"/>
      <c r="AL9" s="29"/>
      <c r="AM9" s="27"/>
      <c r="AN9" s="27"/>
      <c r="AO9" s="26">
        <f>IF($B9&lt;&gt;"Challan","",SUMIF($C$8:$C$207,$C9,$AE$8:$AE$207)+SUMIF($C$8:$C$207,$C9,$AH$8:$AH$207)+SUMIF($C$8:$C$207,$C9,$AF$8:$AF$207))</f>
      </c>
      <c r="AP9" s="26">
        <f>IF($B9&lt;&gt;"Challan","",O9-M9)</f>
      </c>
      <c r="AQ9" s="26">
        <f>IF($B9&lt;&gt;"Challan","",MAX(0,AP9-AO9))</f>
      </c>
      <c r="AR9" s="32">
        <f>IF($B9&lt;&gt;"Challan","",IF(ROUND(AO9-AP9,2)&gt;0,"Over-applied",IF(ROUND(AO9-AP9,2)=0,"Fully Utilised","Unconsumed")))</f>
      </c>
      <c r="AS9" s="33">
        <f>IF($B9&lt;&gt;"Entry","",SUMPRODUCT(($C$8:$C$207=$C9)*($B$8:$B$207="Challan")*$F$8:$F$207))</f>
      </c>
    </row>
    <row r="10" spans="1:45" x14ac:dyDescent="0.25">
      <c r="A10" s="19">
        <f>IF($B10="Entry",COUNTIF($B$8:$B10,"Entry"),"")</f>
      </c>
      <c r="B10" s="20"/>
      <c r="C10" s="21"/>
      <c r="D10" s="22"/>
      <c r="E10" s="22"/>
      <c r="F10" s="23"/>
      <c r="G10" s="24"/>
      <c r="H10" s="25"/>
      <c r="I10" s="25"/>
      <c r="J10" s="25"/>
      <c r="K10" s="25"/>
      <c r="L10" s="25"/>
      <c r="M10" s="25"/>
      <c r="N10" s="25"/>
      <c r="O10" s="26">
        <f>IF($B10&lt;&gt;"Challan","",H10+I10+J10+K10+L10+M10)</f>
      </c>
      <c r="P10" s="24"/>
      <c r="Q10" s="24"/>
      <c r="R10" s="24"/>
      <c r="S10" s="24"/>
      <c r="T10" s="24"/>
      <c r="U10" s="27"/>
      <c r="V10" s="27"/>
      <c r="W10" s="27"/>
      <c r="X10" s="27"/>
      <c r="Y10" s="27"/>
      <c r="Z10" s="28">
        <f>IFERROR(IF($B10&lt;&gt;"Entry","",IF(W10="Y",SUMPRODUCT(('Rate Master'!$D$2:$D$50=(Y10&amp;"|"&amp;$B$2))*'Rate Master'!$I$2:$I$50),IF(OR(X10="Individual",X10="HUF"),SUMPRODUCT(('Rate Master'!$D$2:$D$50=(Y10&amp;"|"&amp;$B$2))*'Rate Master'!$G$2:$G$50),SUMPRODUCT(('Rate Master'!$D$2:$D$50=(Y10&amp;"|"&amp;$B$2))*'Rate Master'!$H$2:$H$50)))),"")</f>
      </c>
      <c r="AA10" s="26">
        <f>IFERROR(IF($B10&lt;&gt;"Entry","",IF(OR(X10="Individual",X10="HUF"),SUMPRODUCT(('Rate Master'!$D$2:$D$50=(Y10&amp;"|"&amp;$B$2))*'Rate Master'!$E$2:$E$50),SUMPRODUCT(('Rate Master'!$D$2:$D$50=(Y10&amp;"|"&amp;$B$2))*'Rate Master'!$F$2:$F$50))),"")</f>
      </c>
      <c r="AB10" s="29"/>
      <c r="AC10" s="30"/>
      <c r="AD10" s="31"/>
      <c r="AE10" s="26">
        <f>IF($B10&lt;&gt;"Entry","",ROUND(AD10*AB10/100,0))</f>
      </c>
      <c r="AF10" s="31"/>
      <c r="AG10" s="31"/>
      <c r="AH10" s="26">
        <f>IF($B10&lt;&gt;"Entry","",IF(OR(AE10=0,AC10="",AS10="",AS10&lt;=0),0,IF(AS10&lt;=DATE(YEAR(AC10),MONTH(AC10)+1,7),0,ROUND(AE10*0.015*((YEAR(AS10)-YEAR(AC10))*12+(MONTH(AS10)-MONTH(AC10))+1),0))))</f>
      </c>
      <c r="AI10" s="31"/>
      <c r="AJ10" s="27"/>
      <c r="AK10" s="27"/>
      <c r="AL10" s="29"/>
      <c r="AM10" s="27"/>
      <c r="AN10" s="27"/>
      <c r="AO10" s="26">
        <f>IF($B10&lt;&gt;"Challan","",SUMIF($C$8:$C$207,$C10,$AE$8:$AE$207)+SUMIF($C$8:$C$207,$C10,$AH$8:$AH$207)+SUMIF($C$8:$C$207,$C10,$AF$8:$AF$207))</f>
      </c>
      <c r="AP10" s="26">
        <f>IF($B10&lt;&gt;"Challan","",O10-M10)</f>
      </c>
      <c r="AQ10" s="26">
        <f>IF($B10&lt;&gt;"Challan","",MAX(0,AP10-AO10))</f>
      </c>
      <c r="AR10" s="32">
        <f>IF($B10&lt;&gt;"Challan","",IF(ROUND(AO10-AP10,2)&gt;0,"Over-applied",IF(ROUND(AO10-AP10,2)=0,"Fully Utilised","Unconsumed")))</f>
      </c>
      <c r="AS10" s="33">
        <f>IF($B10&lt;&gt;"Entry","",SUMPRODUCT(($C$8:$C$207=$C10)*($B$8:$B$207="Challan")*$F$8:$F$207))</f>
      </c>
    </row>
    <row r="11" spans="1:45" x14ac:dyDescent="0.25">
      <c r="A11" s="19">
        <f>IF($B11="Entry",COUNTIF($B$8:$B11,"Entry"),"")</f>
      </c>
      <c r="B11" s="20"/>
      <c r="C11" s="21"/>
      <c r="D11" s="22"/>
      <c r="E11" s="22"/>
      <c r="F11" s="23"/>
      <c r="G11" s="24"/>
      <c r="H11" s="25"/>
      <c r="I11" s="25"/>
      <c r="J11" s="25"/>
      <c r="K11" s="25"/>
      <c r="L11" s="25"/>
      <c r="M11" s="25"/>
      <c r="N11" s="25"/>
      <c r="O11" s="26">
        <f>IF($B11&lt;&gt;"Challan","",H11+I11+J11+K11+L11+M11)</f>
      </c>
      <c r="P11" s="24"/>
      <c r="Q11" s="24"/>
      <c r="R11" s="24"/>
      <c r="S11" s="24"/>
      <c r="T11" s="24"/>
      <c r="U11" s="27"/>
      <c r="V11" s="27"/>
      <c r="W11" s="27"/>
      <c r="X11" s="27"/>
      <c r="Y11" s="27"/>
      <c r="Z11" s="28">
        <f>IFERROR(IF($B11&lt;&gt;"Entry","",IF(W11="Y",SUMPRODUCT(('Rate Master'!$D$2:$D$50=(Y11&amp;"|"&amp;$B$2))*'Rate Master'!$I$2:$I$50),IF(OR(X11="Individual",X11="HUF"),SUMPRODUCT(('Rate Master'!$D$2:$D$50=(Y11&amp;"|"&amp;$B$2))*'Rate Master'!$G$2:$G$50),SUMPRODUCT(('Rate Master'!$D$2:$D$50=(Y11&amp;"|"&amp;$B$2))*'Rate Master'!$H$2:$H$50)))),"")</f>
      </c>
      <c r="AA11" s="26">
        <f>IFERROR(IF($B11&lt;&gt;"Entry","",IF(OR(X11="Individual",X11="HUF"),SUMPRODUCT(('Rate Master'!$D$2:$D$50=(Y11&amp;"|"&amp;$B$2))*'Rate Master'!$E$2:$E$50),SUMPRODUCT(('Rate Master'!$D$2:$D$50=(Y11&amp;"|"&amp;$B$2))*'Rate Master'!$F$2:$F$50))),"")</f>
      </c>
      <c r="AB11" s="29"/>
      <c r="AC11" s="30"/>
      <c r="AD11" s="31"/>
      <c r="AE11" s="26">
        <f>IF($B11&lt;&gt;"Entry","",ROUND(AD11*AB11/100,0))</f>
      </c>
      <c r="AF11" s="31"/>
      <c r="AG11" s="31"/>
      <c r="AH11" s="26">
        <f>IF($B11&lt;&gt;"Entry","",IF(OR(AE11=0,AC11="",AS11="",AS11&lt;=0),0,IF(AS11&lt;=DATE(YEAR(AC11),MONTH(AC11)+1,7),0,ROUND(AE11*0.015*((YEAR(AS11)-YEAR(AC11))*12+(MONTH(AS11)-MONTH(AC11))+1),0))))</f>
      </c>
      <c r="AI11" s="31"/>
      <c r="AJ11" s="27"/>
      <c r="AK11" s="27"/>
      <c r="AL11" s="29"/>
      <c r="AM11" s="27"/>
      <c r="AN11" s="27"/>
      <c r="AO11" s="26">
        <f>IF($B11&lt;&gt;"Challan","",SUMIF($C$8:$C$207,$C11,$AE$8:$AE$207)+SUMIF($C$8:$C$207,$C11,$AH$8:$AH$207)+SUMIF($C$8:$C$207,$C11,$AF$8:$AF$207))</f>
      </c>
      <c r="AP11" s="26">
        <f>IF($B11&lt;&gt;"Challan","",O11-M11)</f>
      </c>
      <c r="AQ11" s="26">
        <f>IF($B11&lt;&gt;"Challan","",MAX(0,AP11-AO11))</f>
      </c>
      <c r="AR11" s="32">
        <f>IF($B11&lt;&gt;"Challan","",IF(ROUND(AO11-AP11,2)&gt;0,"Over-applied",IF(ROUND(AO11-AP11,2)=0,"Fully Utilised","Unconsumed")))</f>
      </c>
      <c r="AS11" s="33">
        <f>IF($B11&lt;&gt;"Entry","",SUMPRODUCT(($C$8:$C$207=$C11)*($B$8:$B$207="Challan")*$F$8:$F$207))</f>
      </c>
    </row>
    <row r="12" spans="1:45" x14ac:dyDescent="0.25">
      <c r="A12" s="19">
        <f>IF($B12="Entry",COUNTIF($B$8:$B12,"Entry"),"")</f>
      </c>
      <c r="B12" s="20"/>
      <c r="C12" s="21"/>
      <c r="D12" s="22"/>
      <c r="E12" s="22"/>
      <c r="F12" s="23"/>
      <c r="G12" s="24"/>
      <c r="H12" s="25"/>
      <c r="I12" s="25"/>
      <c r="J12" s="25"/>
      <c r="K12" s="25"/>
      <c r="L12" s="25"/>
      <c r="M12" s="25"/>
      <c r="N12" s="25"/>
      <c r="O12" s="26">
        <f>IF($B12&lt;&gt;"Challan","",H12+I12+J12+K12+L12+M12)</f>
      </c>
      <c r="P12" s="24"/>
      <c r="Q12" s="24"/>
      <c r="R12" s="24"/>
      <c r="S12" s="24"/>
      <c r="T12" s="24"/>
      <c r="U12" s="27"/>
      <c r="V12" s="27"/>
      <c r="W12" s="27"/>
      <c r="X12" s="27"/>
      <c r="Y12" s="27"/>
      <c r="Z12" s="28">
        <f>IFERROR(IF($B12&lt;&gt;"Entry","",IF(W12="Y",SUMPRODUCT(('Rate Master'!$D$2:$D$50=(Y12&amp;"|"&amp;$B$2))*'Rate Master'!$I$2:$I$50),IF(OR(X12="Individual",X12="HUF"),SUMPRODUCT(('Rate Master'!$D$2:$D$50=(Y12&amp;"|"&amp;$B$2))*'Rate Master'!$G$2:$G$50),SUMPRODUCT(('Rate Master'!$D$2:$D$50=(Y12&amp;"|"&amp;$B$2))*'Rate Master'!$H$2:$H$50)))),"")</f>
      </c>
      <c r="AA12" s="26">
        <f>IFERROR(IF($B12&lt;&gt;"Entry","",IF(OR(X12="Individual",X12="HUF"),SUMPRODUCT(('Rate Master'!$D$2:$D$50=(Y12&amp;"|"&amp;$B$2))*'Rate Master'!$E$2:$E$50),SUMPRODUCT(('Rate Master'!$D$2:$D$50=(Y12&amp;"|"&amp;$B$2))*'Rate Master'!$F$2:$F$50))),"")</f>
      </c>
      <c r="AB12" s="29"/>
      <c r="AC12" s="30"/>
      <c r="AD12" s="31"/>
      <c r="AE12" s="26">
        <f>IF($B12&lt;&gt;"Entry","",ROUND(AD12*AB12/100,0))</f>
      </c>
      <c r="AF12" s="31"/>
      <c r="AG12" s="31"/>
      <c r="AH12" s="26">
        <f>IF($B12&lt;&gt;"Entry","",IF(OR(AE12=0,AC12="",AS12="",AS12&lt;=0),0,IF(AS12&lt;=DATE(YEAR(AC12),MONTH(AC12)+1,7),0,ROUND(AE12*0.015*((YEAR(AS12)-YEAR(AC12))*12+(MONTH(AS12)-MONTH(AC12))+1),0))))</f>
      </c>
      <c r="AI12" s="31"/>
      <c r="AJ12" s="27"/>
      <c r="AK12" s="27"/>
      <c r="AL12" s="29"/>
      <c r="AM12" s="27"/>
      <c r="AN12" s="27"/>
      <c r="AO12" s="26">
        <f>IF($B12&lt;&gt;"Challan","",SUMIF($C$8:$C$207,$C12,$AE$8:$AE$207)+SUMIF($C$8:$C$207,$C12,$AH$8:$AH$207)+SUMIF($C$8:$C$207,$C12,$AF$8:$AF$207))</f>
      </c>
      <c r="AP12" s="26">
        <f>IF($B12&lt;&gt;"Challan","",O12-M12)</f>
      </c>
      <c r="AQ12" s="26">
        <f>IF($B12&lt;&gt;"Challan","",MAX(0,AP12-AO12))</f>
      </c>
      <c r="AR12" s="32">
        <f>IF($B12&lt;&gt;"Challan","",IF(ROUND(AO12-AP12,2)&gt;0,"Over-applied",IF(ROUND(AO12-AP12,2)=0,"Fully Utilised","Unconsumed")))</f>
      </c>
      <c r="AS12" s="33">
        <f>IF($B12&lt;&gt;"Entry","",SUMPRODUCT(($C$8:$C$207=$C12)*($B$8:$B$207="Challan")*$F$8:$F$207))</f>
      </c>
    </row>
    <row r="13" spans="1:45" x14ac:dyDescent="0.25">
      <c r="A13" s="19">
        <f>IF($B13="Entry",COUNTIF($B$8:$B13,"Entry"),"")</f>
      </c>
      <c r="B13" s="20"/>
      <c r="C13" s="21"/>
      <c r="D13" s="22"/>
      <c r="E13" s="22"/>
      <c r="F13" s="23"/>
      <c r="G13" s="24"/>
      <c r="H13" s="25"/>
      <c r="I13" s="25"/>
      <c r="J13" s="25"/>
      <c r="K13" s="25"/>
      <c r="L13" s="25"/>
      <c r="M13" s="25"/>
      <c r="N13" s="25"/>
      <c r="O13" s="26">
        <f>IF($B13&lt;&gt;"Challan","",H13+I13+J13+K13+L13+M13)</f>
      </c>
      <c r="P13" s="24"/>
      <c r="Q13" s="24"/>
      <c r="R13" s="24"/>
      <c r="S13" s="24"/>
      <c r="T13" s="24"/>
      <c r="U13" s="27"/>
      <c r="V13" s="27"/>
      <c r="W13" s="27"/>
      <c r="X13" s="27"/>
      <c r="Y13" s="27"/>
      <c r="Z13" s="28">
        <f>IFERROR(IF($B13&lt;&gt;"Entry","",IF(W13="Y",SUMPRODUCT(('Rate Master'!$D$2:$D$50=(Y13&amp;"|"&amp;$B$2))*'Rate Master'!$I$2:$I$50),IF(OR(X13="Individual",X13="HUF"),SUMPRODUCT(('Rate Master'!$D$2:$D$50=(Y13&amp;"|"&amp;$B$2))*'Rate Master'!$G$2:$G$50),SUMPRODUCT(('Rate Master'!$D$2:$D$50=(Y13&amp;"|"&amp;$B$2))*'Rate Master'!$H$2:$H$50)))),"")</f>
      </c>
      <c r="AA13" s="26">
        <f>IFERROR(IF($B13&lt;&gt;"Entry","",IF(OR(X13="Individual",X13="HUF"),SUMPRODUCT(('Rate Master'!$D$2:$D$50=(Y13&amp;"|"&amp;$B$2))*'Rate Master'!$E$2:$E$50),SUMPRODUCT(('Rate Master'!$D$2:$D$50=(Y13&amp;"|"&amp;$B$2))*'Rate Master'!$F$2:$F$50))),"")</f>
      </c>
      <c r="AB13" s="29"/>
      <c r="AC13" s="30"/>
      <c r="AD13" s="31"/>
      <c r="AE13" s="26">
        <f>IF($B13&lt;&gt;"Entry","",ROUND(AD13*AB13/100,0))</f>
      </c>
      <c r="AF13" s="31"/>
      <c r="AG13" s="31"/>
      <c r="AH13" s="26">
        <f>IF($B13&lt;&gt;"Entry","",IF(OR(AE13=0,AC13="",AS13="",AS13&lt;=0),0,IF(AS13&lt;=DATE(YEAR(AC13),MONTH(AC13)+1,7),0,ROUND(AE13*0.015*((YEAR(AS13)-YEAR(AC13))*12+(MONTH(AS13)-MONTH(AC13))+1),0))))</f>
      </c>
      <c r="AI13" s="31"/>
      <c r="AJ13" s="27"/>
      <c r="AK13" s="27"/>
      <c r="AL13" s="29"/>
      <c r="AM13" s="27"/>
      <c r="AN13" s="27"/>
      <c r="AO13" s="26">
        <f>IF($B13&lt;&gt;"Challan","",SUMIF($C$8:$C$207,$C13,$AE$8:$AE$207)+SUMIF($C$8:$C$207,$C13,$AH$8:$AH$207)+SUMIF($C$8:$C$207,$C13,$AF$8:$AF$207))</f>
      </c>
      <c r="AP13" s="26">
        <f>IF($B13&lt;&gt;"Challan","",O13-M13)</f>
      </c>
      <c r="AQ13" s="26">
        <f>IF($B13&lt;&gt;"Challan","",MAX(0,AP13-AO13))</f>
      </c>
      <c r="AR13" s="32">
        <f>IF($B13&lt;&gt;"Challan","",IF(ROUND(AO13-AP13,2)&gt;0,"Over-applied",IF(ROUND(AO13-AP13,2)=0,"Fully Utilised","Unconsumed")))</f>
      </c>
      <c r="AS13" s="33">
        <f>IF($B13&lt;&gt;"Entry","",SUMPRODUCT(($C$8:$C$207=$C13)*($B$8:$B$207="Challan")*$F$8:$F$207))</f>
      </c>
    </row>
    <row r="14" spans="1:45" x14ac:dyDescent="0.25">
      <c r="A14" s="19">
        <f>IF($B14="Entry",COUNTIF($B$8:$B14,"Entry"),"")</f>
      </c>
      <c r="B14" s="20"/>
      <c r="C14" s="21"/>
      <c r="D14" s="22"/>
      <c r="E14" s="22"/>
      <c r="F14" s="23"/>
      <c r="G14" s="24"/>
      <c r="H14" s="25"/>
      <c r="I14" s="25"/>
      <c r="J14" s="25"/>
      <c r="K14" s="25"/>
      <c r="L14" s="25"/>
      <c r="M14" s="25"/>
      <c r="N14" s="25"/>
      <c r="O14" s="26">
        <f>IF($B14&lt;&gt;"Challan","",H14+I14+J14+K14+L14+M14)</f>
      </c>
      <c r="P14" s="24"/>
      <c r="Q14" s="24"/>
      <c r="R14" s="24"/>
      <c r="S14" s="24"/>
      <c r="T14" s="24"/>
      <c r="U14" s="27"/>
      <c r="V14" s="27"/>
      <c r="W14" s="27"/>
      <c r="X14" s="27"/>
      <c r="Y14" s="27"/>
      <c r="Z14" s="28">
        <f>IFERROR(IF($B14&lt;&gt;"Entry","",IF(W14="Y",SUMPRODUCT(('Rate Master'!$D$2:$D$50=(Y14&amp;"|"&amp;$B$2))*'Rate Master'!$I$2:$I$50),IF(OR(X14="Individual",X14="HUF"),SUMPRODUCT(('Rate Master'!$D$2:$D$50=(Y14&amp;"|"&amp;$B$2))*'Rate Master'!$G$2:$G$50),SUMPRODUCT(('Rate Master'!$D$2:$D$50=(Y14&amp;"|"&amp;$B$2))*'Rate Master'!$H$2:$H$50)))),"")</f>
      </c>
      <c r="AA14" s="26">
        <f>IFERROR(IF($B14&lt;&gt;"Entry","",IF(OR(X14="Individual",X14="HUF"),SUMPRODUCT(('Rate Master'!$D$2:$D$50=(Y14&amp;"|"&amp;$B$2))*'Rate Master'!$E$2:$E$50),SUMPRODUCT(('Rate Master'!$D$2:$D$50=(Y14&amp;"|"&amp;$B$2))*'Rate Master'!$F$2:$F$50))),"")</f>
      </c>
      <c r="AB14" s="29"/>
      <c r="AC14" s="30"/>
      <c r="AD14" s="31"/>
      <c r="AE14" s="26">
        <f>IF($B14&lt;&gt;"Entry","",ROUND(AD14*AB14/100,0))</f>
      </c>
      <c r="AF14" s="31"/>
      <c r="AG14" s="31"/>
      <c r="AH14" s="26">
        <f>IF($B14&lt;&gt;"Entry","",IF(OR(AE14=0,AC14="",AS14="",AS14&lt;=0),0,IF(AS14&lt;=DATE(YEAR(AC14),MONTH(AC14)+1,7),0,ROUND(AE14*0.015*((YEAR(AS14)-YEAR(AC14))*12+(MONTH(AS14)-MONTH(AC14))+1),0))))</f>
      </c>
      <c r="AI14" s="31"/>
      <c r="AJ14" s="27"/>
      <c r="AK14" s="27"/>
      <c r="AL14" s="29"/>
      <c r="AM14" s="27"/>
      <c r="AN14" s="27"/>
      <c r="AO14" s="26">
        <f>IF($B14&lt;&gt;"Challan","",SUMIF($C$8:$C$207,$C14,$AE$8:$AE$207)+SUMIF($C$8:$C$207,$C14,$AH$8:$AH$207)+SUMIF($C$8:$C$207,$C14,$AF$8:$AF$207))</f>
      </c>
      <c r="AP14" s="26">
        <f>IF($B14&lt;&gt;"Challan","",O14-M14)</f>
      </c>
      <c r="AQ14" s="26">
        <f>IF($B14&lt;&gt;"Challan","",MAX(0,AP14-AO14))</f>
      </c>
      <c r="AR14" s="32">
        <f>IF($B14&lt;&gt;"Challan","",IF(ROUND(AO14-AP14,2)&gt;0,"Over-applied",IF(ROUND(AO14-AP14,2)=0,"Fully Utilised","Unconsumed")))</f>
      </c>
      <c r="AS14" s="33">
        <f>IF($B14&lt;&gt;"Entry","",SUMPRODUCT(($C$8:$C$207=$C14)*($B$8:$B$207="Challan")*$F$8:$F$207))</f>
      </c>
    </row>
    <row r="15" spans="1:45" x14ac:dyDescent="0.25">
      <c r="A15" s="19">
        <f>IF($B15="Entry",COUNTIF($B$8:$B15,"Entry"),"")</f>
      </c>
      <c r="B15" s="20"/>
      <c r="C15" s="21"/>
      <c r="D15" s="22"/>
      <c r="E15" s="22"/>
      <c r="F15" s="23"/>
      <c r="G15" s="24"/>
      <c r="H15" s="25"/>
      <c r="I15" s="25"/>
      <c r="J15" s="25"/>
      <c r="K15" s="25"/>
      <c r="L15" s="25"/>
      <c r="M15" s="25"/>
      <c r="N15" s="25"/>
      <c r="O15" s="26">
        <f>IF($B15&lt;&gt;"Challan","",H15+I15+J15+K15+L15+M15)</f>
      </c>
      <c r="P15" s="24"/>
      <c r="Q15" s="24"/>
      <c r="R15" s="24"/>
      <c r="S15" s="24"/>
      <c r="T15" s="24"/>
      <c r="U15" s="27"/>
      <c r="V15" s="27"/>
      <c r="W15" s="27"/>
      <c r="X15" s="27"/>
      <c r="Y15" s="27"/>
      <c r="Z15" s="28">
        <f>IFERROR(IF($B15&lt;&gt;"Entry","",IF(W15="Y",SUMPRODUCT(('Rate Master'!$D$2:$D$50=(Y15&amp;"|"&amp;$B$2))*'Rate Master'!$I$2:$I$50),IF(OR(X15="Individual",X15="HUF"),SUMPRODUCT(('Rate Master'!$D$2:$D$50=(Y15&amp;"|"&amp;$B$2))*'Rate Master'!$G$2:$G$50),SUMPRODUCT(('Rate Master'!$D$2:$D$50=(Y15&amp;"|"&amp;$B$2))*'Rate Master'!$H$2:$H$50)))),"")</f>
      </c>
      <c r="AA15" s="26">
        <f>IFERROR(IF($B15&lt;&gt;"Entry","",IF(OR(X15="Individual",X15="HUF"),SUMPRODUCT(('Rate Master'!$D$2:$D$50=(Y15&amp;"|"&amp;$B$2))*'Rate Master'!$E$2:$E$50),SUMPRODUCT(('Rate Master'!$D$2:$D$50=(Y15&amp;"|"&amp;$B$2))*'Rate Master'!$F$2:$F$50))),"")</f>
      </c>
      <c r="AB15" s="29"/>
      <c r="AC15" s="30"/>
      <c r="AD15" s="31"/>
      <c r="AE15" s="26">
        <f>IF($B15&lt;&gt;"Entry","",ROUND(AD15*AB15/100,0))</f>
      </c>
      <c r="AF15" s="31"/>
      <c r="AG15" s="31"/>
      <c r="AH15" s="26">
        <f>IF($B15&lt;&gt;"Entry","",IF(OR(AE15=0,AC15="",AS15="",AS15&lt;=0),0,IF(AS15&lt;=DATE(YEAR(AC15),MONTH(AC15)+1,7),0,ROUND(AE15*0.015*((YEAR(AS15)-YEAR(AC15))*12+(MONTH(AS15)-MONTH(AC15))+1),0))))</f>
      </c>
      <c r="AI15" s="31"/>
      <c r="AJ15" s="27"/>
      <c r="AK15" s="27"/>
      <c r="AL15" s="29"/>
      <c r="AM15" s="27"/>
      <c r="AN15" s="27"/>
      <c r="AO15" s="26">
        <f>IF($B15&lt;&gt;"Challan","",SUMIF($C$8:$C$207,$C15,$AE$8:$AE$207)+SUMIF($C$8:$C$207,$C15,$AH$8:$AH$207)+SUMIF($C$8:$C$207,$C15,$AF$8:$AF$207))</f>
      </c>
      <c r="AP15" s="26">
        <f>IF($B15&lt;&gt;"Challan","",O15-M15)</f>
      </c>
      <c r="AQ15" s="26">
        <f>IF($B15&lt;&gt;"Challan","",MAX(0,AP15-AO15))</f>
      </c>
      <c r="AR15" s="32">
        <f>IF($B15&lt;&gt;"Challan","",IF(ROUND(AO15-AP15,2)&gt;0,"Over-applied",IF(ROUND(AO15-AP15,2)=0,"Fully Utilised","Unconsumed")))</f>
      </c>
      <c r="AS15" s="33">
        <f>IF($B15&lt;&gt;"Entry","",SUMPRODUCT(($C$8:$C$207=$C15)*($B$8:$B$207="Challan")*$F$8:$F$207))</f>
      </c>
    </row>
    <row r="16" spans="1:45" x14ac:dyDescent="0.25">
      <c r="A16" s="19">
        <f>IF($B16="Entry",COUNTIF($B$8:$B16,"Entry"),"")</f>
      </c>
      <c r="B16" s="20"/>
      <c r="C16" s="21"/>
      <c r="D16" s="22"/>
      <c r="E16" s="22"/>
      <c r="F16" s="23"/>
      <c r="G16" s="24"/>
      <c r="H16" s="25"/>
      <c r="I16" s="25"/>
      <c r="J16" s="25"/>
      <c r="K16" s="25"/>
      <c r="L16" s="25"/>
      <c r="M16" s="25"/>
      <c r="N16" s="25"/>
      <c r="O16" s="26">
        <f>IF($B16&lt;&gt;"Challan","",H16+I16+J16+K16+L16+M16)</f>
      </c>
      <c r="P16" s="24"/>
      <c r="Q16" s="24"/>
      <c r="R16" s="24"/>
      <c r="S16" s="24"/>
      <c r="T16" s="24"/>
      <c r="U16" s="27"/>
      <c r="V16" s="27"/>
      <c r="W16" s="27"/>
      <c r="X16" s="27"/>
      <c r="Y16" s="27"/>
      <c r="Z16" s="28">
        <f>IFERROR(IF($B16&lt;&gt;"Entry","",IF(W16="Y",SUMPRODUCT(('Rate Master'!$D$2:$D$50=(Y16&amp;"|"&amp;$B$2))*'Rate Master'!$I$2:$I$50),IF(OR(X16="Individual",X16="HUF"),SUMPRODUCT(('Rate Master'!$D$2:$D$50=(Y16&amp;"|"&amp;$B$2))*'Rate Master'!$G$2:$G$50),SUMPRODUCT(('Rate Master'!$D$2:$D$50=(Y16&amp;"|"&amp;$B$2))*'Rate Master'!$H$2:$H$50)))),"")</f>
      </c>
      <c r="AA16" s="26">
        <f>IFERROR(IF($B16&lt;&gt;"Entry","",IF(OR(X16="Individual",X16="HUF"),SUMPRODUCT(('Rate Master'!$D$2:$D$50=(Y16&amp;"|"&amp;$B$2))*'Rate Master'!$E$2:$E$50),SUMPRODUCT(('Rate Master'!$D$2:$D$50=(Y16&amp;"|"&amp;$B$2))*'Rate Master'!$F$2:$F$50))),"")</f>
      </c>
      <c r="AB16" s="29"/>
      <c r="AC16" s="30"/>
      <c r="AD16" s="31"/>
      <c r="AE16" s="26">
        <f>IF($B16&lt;&gt;"Entry","",ROUND(AD16*AB16/100,0))</f>
      </c>
      <c r="AF16" s="31"/>
      <c r="AG16" s="31"/>
      <c r="AH16" s="26">
        <f>IF($B16&lt;&gt;"Entry","",IF(OR(AE16=0,AC16="",AS16="",AS16&lt;=0),0,IF(AS16&lt;=DATE(YEAR(AC16),MONTH(AC16)+1,7),0,ROUND(AE16*0.015*((YEAR(AS16)-YEAR(AC16))*12+(MONTH(AS16)-MONTH(AC16))+1),0))))</f>
      </c>
      <c r="AI16" s="31"/>
      <c r="AJ16" s="27"/>
      <c r="AK16" s="27"/>
      <c r="AL16" s="29"/>
      <c r="AM16" s="27"/>
      <c r="AN16" s="27"/>
      <c r="AO16" s="26">
        <f>IF($B16&lt;&gt;"Challan","",SUMIF($C$8:$C$207,$C16,$AE$8:$AE$207)+SUMIF($C$8:$C$207,$C16,$AH$8:$AH$207)+SUMIF($C$8:$C$207,$C16,$AF$8:$AF$207))</f>
      </c>
      <c r="AP16" s="26">
        <f>IF($B16&lt;&gt;"Challan","",O16-M16)</f>
      </c>
      <c r="AQ16" s="26">
        <f>IF($B16&lt;&gt;"Challan","",MAX(0,AP16-AO16))</f>
      </c>
      <c r="AR16" s="32">
        <f>IF($B16&lt;&gt;"Challan","",IF(ROUND(AO16-AP16,2)&gt;0,"Over-applied",IF(ROUND(AO16-AP16,2)=0,"Fully Utilised","Unconsumed")))</f>
      </c>
      <c r="AS16" s="33">
        <f>IF($B16&lt;&gt;"Entry","",SUMPRODUCT(($C$8:$C$207=$C16)*($B$8:$B$207="Challan")*$F$8:$F$207))</f>
      </c>
    </row>
    <row r="17" spans="1:45" x14ac:dyDescent="0.25">
      <c r="A17" s="19">
        <f>IF($B17="Entry",COUNTIF($B$8:$B17,"Entry"),"")</f>
      </c>
      <c r="B17" s="20"/>
      <c r="C17" s="21"/>
      <c r="D17" s="22"/>
      <c r="E17" s="22"/>
      <c r="F17" s="23"/>
      <c r="G17" s="24"/>
      <c r="H17" s="25"/>
      <c r="I17" s="25"/>
      <c r="J17" s="25"/>
      <c r="K17" s="25"/>
      <c r="L17" s="25"/>
      <c r="M17" s="25"/>
      <c r="N17" s="25"/>
      <c r="O17" s="26">
        <f>IF($B17&lt;&gt;"Challan","",H17+I17+J17+K17+L17+M17)</f>
      </c>
      <c r="P17" s="24"/>
      <c r="Q17" s="24"/>
      <c r="R17" s="24"/>
      <c r="S17" s="24"/>
      <c r="T17" s="24"/>
      <c r="U17" s="27"/>
      <c r="V17" s="27"/>
      <c r="W17" s="27"/>
      <c r="X17" s="27"/>
      <c r="Y17" s="27"/>
      <c r="Z17" s="28">
        <f>IFERROR(IF($B17&lt;&gt;"Entry","",IF(W17="Y",SUMPRODUCT(('Rate Master'!$D$2:$D$50=(Y17&amp;"|"&amp;$B$2))*'Rate Master'!$I$2:$I$50),IF(OR(X17="Individual",X17="HUF"),SUMPRODUCT(('Rate Master'!$D$2:$D$50=(Y17&amp;"|"&amp;$B$2))*'Rate Master'!$G$2:$G$50),SUMPRODUCT(('Rate Master'!$D$2:$D$50=(Y17&amp;"|"&amp;$B$2))*'Rate Master'!$H$2:$H$50)))),"")</f>
      </c>
      <c r="AA17" s="26">
        <f>IFERROR(IF($B17&lt;&gt;"Entry","",IF(OR(X17="Individual",X17="HUF"),SUMPRODUCT(('Rate Master'!$D$2:$D$50=(Y17&amp;"|"&amp;$B$2))*'Rate Master'!$E$2:$E$50),SUMPRODUCT(('Rate Master'!$D$2:$D$50=(Y17&amp;"|"&amp;$B$2))*'Rate Master'!$F$2:$F$50))),"")</f>
      </c>
      <c r="AB17" s="29"/>
      <c r="AC17" s="30"/>
      <c r="AD17" s="31"/>
      <c r="AE17" s="26">
        <f>IF($B17&lt;&gt;"Entry","",ROUND(AD17*AB17/100,0))</f>
      </c>
      <c r="AF17" s="31"/>
      <c r="AG17" s="31"/>
      <c r="AH17" s="26">
        <f>IF($B17&lt;&gt;"Entry","",IF(OR(AE17=0,AC17="",AS17="",AS17&lt;=0),0,IF(AS17&lt;=DATE(YEAR(AC17),MONTH(AC17)+1,7),0,ROUND(AE17*0.015*((YEAR(AS17)-YEAR(AC17))*12+(MONTH(AS17)-MONTH(AC17))+1),0))))</f>
      </c>
      <c r="AI17" s="31"/>
      <c r="AJ17" s="27"/>
      <c r="AK17" s="27"/>
      <c r="AL17" s="29"/>
      <c r="AM17" s="27"/>
      <c r="AN17" s="27"/>
      <c r="AO17" s="26">
        <f>IF($B17&lt;&gt;"Challan","",SUMIF($C$8:$C$207,$C17,$AE$8:$AE$207)+SUMIF($C$8:$C$207,$C17,$AH$8:$AH$207)+SUMIF($C$8:$C$207,$C17,$AF$8:$AF$207))</f>
      </c>
      <c r="AP17" s="26">
        <f>IF($B17&lt;&gt;"Challan","",O17-M17)</f>
      </c>
      <c r="AQ17" s="26">
        <f>IF($B17&lt;&gt;"Challan","",MAX(0,AP17-AO17))</f>
      </c>
      <c r="AR17" s="32">
        <f>IF($B17&lt;&gt;"Challan","",IF(ROUND(AO17-AP17,2)&gt;0,"Over-applied",IF(ROUND(AO17-AP17,2)=0,"Fully Utilised","Unconsumed")))</f>
      </c>
      <c r="AS17" s="33">
        <f>IF($B17&lt;&gt;"Entry","",SUMPRODUCT(($C$8:$C$207=$C17)*($B$8:$B$207="Challan")*$F$8:$F$207))</f>
      </c>
    </row>
    <row r="18" spans="1:45" x14ac:dyDescent="0.25">
      <c r="A18" s="19">
        <f>IF($B18="Entry",COUNTIF($B$8:$B18,"Entry"),"")</f>
      </c>
      <c r="B18" s="20"/>
      <c r="C18" s="21"/>
      <c r="D18" s="22"/>
      <c r="E18" s="22"/>
      <c r="F18" s="23"/>
      <c r="G18" s="24"/>
      <c r="H18" s="25"/>
      <c r="I18" s="25"/>
      <c r="J18" s="25"/>
      <c r="K18" s="25"/>
      <c r="L18" s="25"/>
      <c r="M18" s="25"/>
      <c r="N18" s="25"/>
      <c r="O18" s="26">
        <f>IF($B18&lt;&gt;"Challan","",H18+I18+J18+K18+L18+M18)</f>
      </c>
      <c r="P18" s="24"/>
      <c r="Q18" s="24"/>
      <c r="R18" s="24"/>
      <c r="S18" s="24"/>
      <c r="T18" s="24"/>
      <c r="U18" s="27"/>
      <c r="V18" s="27"/>
      <c r="W18" s="27"/>
      <c r="X18" s="27"/>
      <c r="Y18" s="27"/>
      <c r="Z18" s="28">
        <f>IFERROR(IF($B18&lt;&gt;"Entry","",IF(W18="Y",SUMPRODUCT(('Rate Master'!$D$2:$D$50=(Y18&amp;"|"&amp;$B$2))*'Rate Master'!$I$2:$I$50),IF(OR(X18="Individual",X18="HUF"),SUMPRODUCT(('Rate Master'!$D$2:$D$50=(Y18&amp;"|"&amp;$B$2))*'Rate Master'!$G$2:$G$50),SUMPRODUCT(('Rate Master'!$D$2:$D$50=(Y18&amp;"|"&amp;$B$2))*'Rate Master'!$H$2:$H$50)))),"")</f>
      </c>
      <c r="AA18" s="26">
        <f>IFERROR(IF($B18&lt;&gt;"Entry","",IF(OR(X18="Individual",X18="HUF"),SUMPRODUCT(('Rate Master'!$D$2:$D$50=(Y18&amp;"|"&amp;$B$2))*'Rate Master'!$E$2:$E$50),SUMPRODUCT(('Rate Master'!$D$2:$D$50=(Y18&amp;"|"&amp;$B$2))*'Rate Master'!$F$2:$F$50))),"")</f>
      </c>
      <c r="AB18" s="29"/>
      <c r="AC18" s="30"/>
      <c r="AD18" s="31"/>
      <c r="AE18" s="26">
        <f>IF($B18&lt;&gt;"Entry","",ROUND(AD18*AB18/100,0))</f>
      </c>
      <c r="AF18" s="31"/>
      <c r="AG18" s="31"/>
      <c r="AH18" s="26">
        <f>IF($B18&lt;&gt;"Entry","",IF(OR(AE18=0,AC18="",AS18="",AS18&lt;=0),0,IF(AS18&lt;=DATE(YEAR(AC18),MONTH(AC18)+1,7),0,ROUND(AE18*0.015*((YEAR(AS18)-YEAR(AC18))*12+(MONTH(AS18)-MONTH(AC18))+1),0))))</f>
      </c>
      <c r="AI18" s="31"/>
      <c r="AJ18" s="27"/>
      <c r="AK18" s="27"/>
      <c r="AL18" s="29"/>
      <c r="AM18" s="27"/>
      <c r="AN18" s="27"/>
      <c r="AO18" s="26">
        <f>IF($B18&lt;&gt;"Challan","",SUMIF($C$8:$C$207,$C18,$AE$8:$AE$207)+SUMIF($C$8:$C$207,$C18,$AH$8:$AH$207)+SUMIF($C$8:$C$207,$C18,$AF$8:$AF$207))</f>
      </c>
      <c r="AP18" s="26">
        <f>IF($B18&lt;&gt;"Challan","",O18-M18)</f>
      </c>
      <c r="AQ18" s="26">
        <f>IF($B18&lt;&gt;"Challan","",MAX(0,AP18-AO18))</f>
      </c>
      <c r="AR18" s="32">
        <f>IF($B18&lt;&gt;"Challan","",IF(ROUND(AO18-AP18,2)&gt;0,"Over-applied",IF(ROUND(AO18-AP18,2)=0,"Fully Utilised","Unconsumed")))</f>
      </c>
      <c r="AS18" s="33">
        <f>IF($B18&lt;&gt;"Entry","",SUMPRODUCT(($C$8:$C$207=$C18)*($B$8:$B$207="Challan")*$F$8:$F$207))</f>
      </c>
    </row>
    <row r="19" spans="1:45" x14ac:dyDescent="0.25">
      <c r="A19" s="19">
        <f>IF($B19="Entry",COUNTIF($B$8:$B19,"Entry"),"")</f>
      </c>
      <c r="B19" s="20"/>
      <c r="C19" s="21"/>
      <c r="D19" s="22"/>
      <c r="E19" s="22"/>
      <c r="F19" s="23"/>
      <c r="G19" s="24"/>
      <c r="H19" s="25"/>
      <c r="I19" s="25"/>
      <c r="J19" s="25"/>
      <c r="K19" s="25"/>
      <c r="L19" s="25"/>
      <c r="M19" s="25"/>
      <c r="N19" s="25"/>
      <c r="O19" s="26">
        <f>IF($B19&lt;&gt;"Challan","",H19+I19+J19+K19+L19+M19)</f>
      </c>
      <c r="P19" s="24"/>
      <c r="Q19" s="24"/>
      <c r="R19" s="24"/>
      <c r="S19" s="24"/>
      <c r="T19" s="24"/>
      <c r="U19" s="27"/>
      <c r="V19" s="27"/>
      <c r="W19" s="27"/>
      <c r="X19" s="27"/>
      <c r="Y19" s="27"/>
      <c r="Z19" s="28">
        <f>IFERROR(IF($B19&lt;&gt;"Entry","",IF(W19="Y",SUMPRODUCT(('Rate Master'!$D$2:$D$50=(Y19&amp;"|"&amp;$B$2))*'Rate Master'!$I$2:$I$50),IF(OR(X19="Individual",X19="HUF"),SUMPRODUCT(('Rate Master'!$D$2:$D$50=(Y19&amp;"|"&amp;$B$2))*'Rate Master'!$G$2:$G$50),SUMPRODUCT(('Rate Master'!$D$2:$D$50=(Y19&amp;"|"&amp;$B$2))*'Rate Master'!$H$2:$H$50)))),"")</f>
      </c>
      <c r="AA19" s="26">
        <f>IFERROR(IF($B19&lt;&gt;"Entry","",IF(OR(X19="Individual",X19="HUF"),SUMPRODUCT(('Rate Master'!$D$2:$D$50=(Y19&amp;"|"&amp;$B$2))*'Rate Master'!$E$2:$E$50),SUMPRODUCT(('Rate Master'!$D$2:$D$50=(Y19&amp;"|"&amp;$B$2))*'Rate Master'!$F$2:$F$50))),"")</f>
      </c>
      <c r="AB19" s="29"/>
      <c r="AC19" s="30"/>
      <c r="AD19" s="31"/>
      <c r="AE19" s="26">
        <f>IF($B19&lt;&gt;"Entry","",ROUND(AD19*AB19/100,0))</f>
      </c>
      <c r="AF19" s="31"/>
      <c r="AG19" s="31"/>
      <c r="AH19" s="26">
        <f>IF($B19&lt;&gt;"Entry","",IF(OR(AE19=0,AC19="",AS19="",AS19&lt;=0),0,IF(AS19&lt;=DATE(YEAR(AC19),MONTH(AC19)+1,7),0,ROUND(AE19*0.015*((YEAR(AS19)-YEAR(AC19))*12+(MONTH(AS19)-MONTH(AC19))+1),0))))</f>
      </c>
      <c r="AI19" s="31"/>
      <c r="AJ19" s="27"/>
      <c r="AK19" s="27"/>
      <c r="AL19" s="29"/>
      <c r="AM19" s="27"/>
      <c r="AN19" s="27"/>
      <c r="AO19" s="26">
        <f>IF($B19&lt;&gt;"Challan","",SUMIF($C$8:$C$207,$C19,$AE$8:$AE$207)+SUMIF($C$8:$C$207,$C19,$AH$8:$AH$207)+SUMIF($C$8:$C$207,$C19,$AF$8:$AF$207))</f>
      </c>
      <c r="AP19" s="26">
        <f>IF($B19&lt;&gt;"Challan","",O19-M19)</f>
      </c>
      <c r="AQ19" s="26">
        <f>IF($B19&lt;&gt;"Challan","",MAX(0,AP19-AO19))</f>
      </c>
      <c r="AR19" s="32">
        <f>IF($B19&lt;&gt;"Challan","",IF(ROUND(AO19-AP19,2)&gt;0,"Over-applied",IF(ROUND(AO19-AP19,2)=0,"Fully Utilised","Unconsumed")))</f>
      </c>
      <c r="AS19" s="33">
        <f>IF($B19&lt;&gt;"Entry","",SUMPRODUCT(($C$8:$C$207=$C19)*($B$8:$B$207="Challan")*$F$8:$F$207))</f>
      </c>
    </row>
    <row r="20" spans="1:45" x14ac:dyDescent="0.25">
      <c r="A20" s="19">
        <f>IF($B20="Entry",COUNTIF($B$8:$B20,"Entry"),"")</f>
      </c>
      <c r="B20" s="20"/>
      <c r="C20" s="21"/>
      <c r="D20" s="22"/>
      <c r="E20" s="22"/>
      <c r="F20" s="23"/>
      <c r="G20" s="24"/>
      <c r="H20" s="25"/>
      <c r="I20" s="25"/>
      <c r="J20" s="25"/>
      <c r="K20" s="25"/>
      <c r="L20" s="25"/>
      <c r="M20" s="25"/>
      <c r="N20" s="25"/>
      <c r="O20" s="26">
        <f>IF($B20&lt;&gt;"Challan","",H20+I20+J20+K20+L20+M20)</f>
      </c>
      <c r="P20" s="24"/>
      <c r="Q20" s="24"/>
      <c r="R20" s="24"/>
      <c r="S20" s="24"/>
      <c r="T20" s="24"/>
      <c r="U20" s="27"/>
      <c r="V20" s="27"/>
      <c r="W20" s="27"/>
      <c r="X20" s="27"/>
      <c r="Y20" s="27"/>
      <c r="Z20" s="28">
        <f>IFERROR(IF($B20&lt;&gt;"Entry","",IF(W20="Y",SUMPRODUCT(('Rate Master'!$D$2:$D$50=(Y20&amp;"|"&amp;$B$2))*'Rate Master'!$I$2:$I$50),IF(OR(X20="Individual",X20="HUF"),SUMPRODUCT(('Rate Master'!$D$2:$D$50=(Y20&amp;"|"&amp;$B$2))*'Rate Master'!$G$2:$G$50),SUMPRODUCT(('Rate Master'!$D$2:$D$50=(Y20&amp;"|"&amp;$B$2))*'Rate Master'!$H$2:$H$50)))),"")</f>
      </c>
      <c r="AA20" s="26">
        <f>IFERROR(IF($B20&lt;&gt;"Entry","",IF(OR(X20="Individual",X20="HUF"),SUMPRODUCT(('Rate Master'!$D$2:$D$50=(Y20&amp;"|"&amp;$B$2))*'Rate Master'!$E$2:$E$50),SUMPRODUCT(('Rate Master'!$D$2:$D$50=(Y20&amp;"|"&amp;$B$2))*'Rate Master'!$F$2:$F$50))),"")</f>
      </c>
      <c r="AB20" s="29"/>
      <c r="AC20" s="30"/>
      <c r="AD20" s="31"/>
      <c r="AE20" s="26">
        <f>IF($B20&lt;&gt;"Entry","",ROUND(AD20*AB20/100,0))</f>
      </c>
      <c r="AF20" s="31"/>
      <c r="AG20" s="31"/>
      <c r="AH20" s="26">
        <f>IF($B20&lt;&gt;"Entry","",IF(OR(AE20=0,AC20="",AS20="",AS20&lt;=0),0,IF(AS20&lt;=DATE(YEAR(AC20),MONTH(AC20)+1,7),0,ROUND(AE20*0.015*((YEAR(AS20)-YEAR(AC20))*12+(MONTH(AS20)-MONTH(AC20))+1),0))))</f>
      </c>
      <c r="AI20" s="31"/>
      <c r="AJ20" s="27"/>
      <c r="AK20" s="27"/>
      <c r="AL20" s="29"/>
      <c r="AM20" s="27"/>
      <c r="AN20" s="27"/>
      <c r="AO20" s="26">
        <f>IF($B20&lt;&gt;"Challan","",SUMIF($C$8:$C$207,$C20,$AE$8:$AE$207)+SUMIF($C$8:$C$207,$C20,$AH$8:$AH$207)+SUMIF($C$8:$C$207,$C20,$AF$8:$AF$207))</f>
      </c>
      <c r="AP20" s="26">
        <f>IF($B20&lt;&gt;"Challan","",O20-M20)</f>
      </c>
      <c r="AQ20" s="26">
        <f>IF($B20&lt;&gt;"Challan","",MAX(0,AP20-AO20))</f>
      </c>
      <c r="AR20" s="32">
        <f>IF($B20&lt;&gt;"Challan","",IF(ROUND(AO20-AP20,2)&gt;0,"Over-applied",IF(ROUND(AO20-AP20,2)=0,"Fully Utilised","Unconsumed")))</f>
      </c>
      <c r="AS20" s="33">
        <f>IF($B20&lt;&gt;"Entry","",SUMPRODUCT(($C$8:$C$207=$C20)*($B$8:$B$207="Challan")*$F$8:$F$207))</f>
      </c>
    </row>
    <row r="21" spans="1:45" x14ac:dyDescent="0.25">
      <c r="A21" s="19">
        <f>IF($B21="Entry",COUNTIF($B$8:$B21,"Entry"),"")</f>
      </c>
      <c r="B21" s="20"/>
      <c r="C21" s="21"/>
      <c r="D21" s="22"/>
      <c r="E21" s="22"/>
      <c r="F21" s="23"/>
      <c r="G21" s="24"/>
      <c r="H21" s="25"/>
      <c r="I21" s="25"/>
      <c r="J21" s="25"/>
      <c r="K21" s="25"/>
      <c r="L21" s="25"/>
      <c r="M21" s="25"/>
      <c r="N21" s="25"/>
      <c r="O21" s="26">
        <f>IF($B21&lt;&gt;"Challan","",H21+I21+J21+K21+L21+M21)</f>
      </c>
      <c r="P21" s="24"/>
      <c r="Q21" s="24"/>
      <c r="R21" s="24"/>
      <c r="S21" s="24"/>
      <c r="T21" s="24"/>
      <c r="U21" s="27"/>
      <c r="V21" s="27"/>
      <c r="W21" s="27"/>
      <c r="X21" s="27"/>
      <c r="Y21" s="27"/>
      <c r="Z21" s="28">
        <f>IFERROR(IF($B21&lt;&gt;"Entry","",IF(W21="Y",SUMPRODUCT(('Rate Master'!$D$2:$D$50=(Y21&amp;"|"&amp;$B$2))*'Rate Master'!$I$2:$I$50),IF(OR(X21="Individual",X21="HUF"),SUMPRODUCT(('Rate Master'!$D$2:$D$50=(Y21&amp;"|"&amp;$B$2))*'Rate Master'!$G$2:$G$50),SUMPRODUCT(('Rate Master'!$D$2:$D$50=(Y21&amp;"|"&amp;$B$2))*'Rate Master'!$H$2:$H$50)))),"")</f>
      </c>
      <c r="AA21" s="26">
        <f>IFERROR(IF($B21&lt;&gt;"Entry","",IF(OR(X21="Individual",X21="HUF"),SUMPRODUCT(('Rate Master'!$D$2:$D$50=(Y21&amp;"|"&amp;$B$2))*'Rate Master'!$E$2:$E$50),SUMPRODUCT(('Rate Master'!$D$2:$D$50=(Y21&amp;"|"&amp;$B$2))*'Rate Master'!$F$2:$F$50))),"")</f>
      </c>
      <c r="AB21" s="29"/>
      <c r="AC21" s="30"/>
      <c r="AD21" s="31"/>
      <c r="AE21" s="26">
        <f>IF($B21&lt;&gt;"Entry","",ROUND(AD21*AB21/100,0))</f>
      </c>
      <c r="AF21" s="31"/>
      <c r="AG21" s="31"/>
      <c r="AH21" s="26">
        <f>IF($B21&lt;&gt;"Entry","",IF(OR(AE21=0,AC21="",AS21="",AS21&lt;=0),0,IF(AS21&lt;=DATE(YEAR(AC21),MONTH(AC21)+1,7),0,ROUND(AE21*0.015*((YEAR(AS21)-YEAR(AC21))*12+(MONTH(AS21)-MONTH(AC21))+1),0))))</f>
      </c>
      <c r="AI21" s="31"/>
      <c r="AJ21" s="27"/>
      <c r="AK21" s="27"/>
      <c r="AL21" s="29"/>
      <c r="AM21" s="27"/>
      <c r="AN21" s="27"/>
      <c r="AO21" s="26">
        <f>IF($B21&lt;&gt;"Challan","",SUMIF($C$8:$C$207,$C21,$AE$8:$AE$207)+SUMIF($C$8:$C$207,$C21,$AH$8:$AH$207)+SUMIF($C$8:$C$207,$C21,$AF$8:$AF$207))</f>
      </c>
      <c r="AP21" s="26">
        <f>IF($B21&lt;&gt;"Challan","",O21-M21)</f>
      </c>
      <c r="AQ21" s="26">
        <f>IF($B21&lt;&gt;"Challan","",MAX(0,AP21-AO21))</f>
      </c>
      <c r="AR21" s="32">
        <f>IF($B21&lt;&gt;"Challan","",IF(ROUND(AO21-AP21,2)&gt;0,"Over-applied",IF(ROUND(AO21-AP21,2)=0,"Fully Utilised","Unconsumed")))</f>
      </c>
      <c r="AS21" s="33">
        <f>IF($B21&lt;&gt;"Entry","",SUMPRODUCT(($C$8:$C$207=$C21)*($B$8:$B$207="Challan")*$F$8:$F$207))</f>
      </c>
    </row>
    <row r="22" spans="1:45" x14ac:dyDescent="0.25">
      <c r="A22" s="19">
        <f>IF($B22="Entry",COUNTIF($B$8:$B22,"Entry"),"")</f>
      </c>
      <c r="B22" s="20"/>
      <c r="C22" s="21"/>
      <c r="D22" s="22"/>
      <c r="E22" s="22"/>
      <c r="F22" s="23"/>
      <c r="G22" s="24"/>
      <c r="H22" s="25"/>
      <c r="I22" s="25"/>
      <c r="J22" s="25"/>
      <c r="K22" s="25"/>
      <c r="L22" s="25"/>
      <c r="M22" s="25"/>
      <c r="N22" s="25"/>
      <c r="O22" s="26">
        <f>IF($B22&lt;&gt;"Challan","",H22+I22+J22+K22+L22+M22)</f>
      </c>
      <c r="P22" s="24"/>
      <c r="Q22" s="24"/>
      <c r="R22" s="24"/>
      <c r="S22" s="24"/>
      <c r="T22" s="24"/>
      <c r="U22" s="27"/>
      <c r="V22" s="27"/>
      <c r="W22" s="27"/>
      <c r="X22" s="27"/>
      <c r="Y22" s="27"/>
      <c r="Z22" s="28">
        <f>IFERROR(IF($B22&lt;&gt;"Entry","",IF(W22="Y",SUMPRODUCT(('Rate Master'!$D$2:$D$50=(Y22&amp;"|"&amp;$B$2))*'Rate Master'!$I$2:$I$50),IF(OR(X22="Individual",X22="HUF"),SUMPRODUCT(('Rate Master'!$D$2:$D$50=(Y22&amp;"|"&amp;$B$2))*'Rate Master'!$G$2:$G$50),SUMPRODUCT(('Rate Master'!$D$2:$D$50=(Y22&amp;"|"&amp;$B$2))*'Rate Master'!$H$2:$H$50)))),"")</f>
      </c>
      <c r="AA22" s="26">
        <f>IFERROR(IF($B22&lt;&gt;"Entry","",IF(OR(X22="Individual",X22="HUF"),SUMPRODUCT(('Rate Master'!$D$2:$D$50=(Y22&amp;"|"&amp;$B$2))*'Rate Master'!$E$2:$E$50),SUMPRODUCT(('Rate Master'!$D$2:$D$50=(Y22&amp;"|"&amp;$B$2))*'Rate Master'!$F$2:$F$50))),"")</f>
      </c>
      <c r="AB22" s="29"/>
      <c r="AC22" s="30"/>
      <c r="AD22" s="31"/>
      <c r="AE22" s="26">
        <f>IF($B22&lt;&gt;"Entry","",ROUND(AD22*AB22/100,0))</f>
      </c>
      <c r="AF22" s="31"/>
      <c r="AG22" s="31"/>
      <c r="AH22" s="26">
        <f>IF($B22&lt;&gt;"Entry","",IF(OR(AE22=0,AC22="",AS22="",AS22&lt;=0),0,IF(AS22&lt;=DATE(YEAR(AC22),MONTH(AC22)+1,7),0,ROUND(AE22*0.015*((YEAR(AS22)-YEAR(AC22))*12+(MONTH(AS22)-MONTH(AC22))+1),0))))</f>
      </c>
      <c r="AI22" s="31"/>
      <c r="AJ22" s="27"/>
      <c r="AK22" s="27"/>
      <c r="AL22" s="29"/>
      <c r="AM22" s="27"/>
      <c r="AN22" s="27"/>
      <c r="AO22" s="26">
        <f>IF($B22&lt;&gt;"Challan","",SUMIF($C$8:$C$207,$C22,$AE$8:$AE$207)+SUMIF($C$8:$C$207,$C22,$AH$8:$AH$207)+SUMIF($C$8:$C$207,$C22,$AF$8:$AF$207))</f>
      </c>
      <c r="AP22" s="26">
        <f>IF($B22&lt;&gt;"Challan","",O22-M22)</f>
      </c>
      <c r="AQ22" s="26">
        <f>IF($B22&lt;&gt;"Challan","",MAX(0,AP22-AO22))</f>
      </c>
      <c r="AR22" s="32">
        <f>IF($B22&lt;&gt;"Challan","",IF(ROUND(AO22-AP22,2)&gt;0,"Over-applied",IF(ROUND(AO22-AP22,2)=0,"Fully Utilised","Unconsumed")))</f>
      </c>
      <c r="AS22" s="33">
        <f>IF($B22&lt;&gt;"Entry","",SUMPRODUCT(($C$8:$C$207=$C22)*($B$8:$B$207="Challan")*$F$8:$F$207))</f>
      </c>
    </row>
    <row r="23" spans="1:45" x14ac:dyDescent="0.25">
      <c r="A23" s="19">
        <f>IF($B23="Entry",COUNTIF($B$8:$B23,"Entry"),"")</f>
      </c>
      <c r="B23" s="20"/>
      <c r="C23" s="21"/>
      <c r="D23" s="22"/>
      <c r="E23" s="22"/>
      <c r="F23" s="23"/>
      <c r="G23" s="24"/>
      <c r="H23" s="25"/>
      <c r="I23" s="25"/>
      <c r="J23" s="25"/>
      <c r="K23" s="25"/>
      <c r="L23" s="25"/>
      <c r="M23" s="25"/>
      <c r="N23" s="25"/>
      <c r="O23" s="26">
        <f>IF($B23&lt;&gt;"Challan","",H23+I23+J23+K23+L23+M23)</f>
      </c>
      <c r="P23" s="24"/>
      <c r="Q23" s="24"/>
      <c r="R23" s="24"/>
      <c r="S23" s="24"/>
      <c r="T23" s="24"/>
      <c r="U23" s="27"/>
      <c r="V23" s="27"/>
      <c r="W23" s="27"/>
      <c r="X23" s="27"/>
      <c r="Y23" s="27"/>
      <c r="Z23" s="28">
        <f>IFERROR(IF($B23&lt;&gt;"Entry","",IF(W23="Y",SUMPRODUCT(('Rate Master'!$D$2:$D$50=(Y23&amp;"|"&amp;$B$2))*'Rate Master'!$I$2:$I$50),IF(OR(X23="Individual",X23="HUF"),SUMPRODUCT(('Rate Master'!$D$2:$D$50=(Y23&amp;"|"&amp;$B$2))*'Rate Master'!$G$2:$G$50),SUMPRODUCT(('Rate Master'!$D$2:$D$50=(Y23&amp;"|"&amp;$B$2))*'Rate Master'!$H$2:$H$50)))),"")</f>
      </c>
      <c r="AA23" s="26">
        <f>IFERROR(IF($B23&lt;&gt;"Entry","",IF(OR(X23="Individual",X23="HUF"),SUMPRODUCT(('Rate Master'!$D$2:$D$50=(Y23&amp;"|"&amp;$B$2))*'Rate Master'!$E$2:$E$50),SUMPRODUCT(('Rate Master'!$D$2:$D$50=(Y23&amp;"|"&amp;$B$2))*'Rate Master'!$F$2:$F$50))),"")</f>
      </c>
      <c r="AB23" s="29"/>
      <c r="AC23" s="30"/>
      <c r="AD23" s="31"/>
      <c r="AE23" s="26">
        <f>IF($B23&lt;&gt;"Entry","",ROUND(AD23*AB23/100,0))</f>
      </c>
      <c r="AF23" s="31"/>
      <c r="AG23" s="31"/>
      <c r="AH23" s="26">
        <f>IF($B23&lt;&gt;"Entry","",IF(OR(AE23=0,AC23="",AS23="",AS23&lt;=0),0,IF(AS23&lt;=DATE(YEAR(AC23),MONTH(AC23)+1,7),0,ROUND(AE23*0.015*((YEAR(AS23)-YEAR(AC23))*12+(MONTH(AS23)-MONTH(AC23))+1),0))))</f>
      </c>
      <c r="AI23" s="31"/>
      <c r="AJ23" s="27"/>
      <c r="AK23" s="27"/>
      <c r="AL23" s="29"/>
      <c r="AM23" s="27"/>
      <c r="AN23" s="27"/>
      <c r="AO23" s="26">
        <f>IF($B23&lt;&gt;"Challan","",SUMIF($C$8:$C$207,$C23,$AE$8:$AE$207)+SUMIF($C$8:$C$207,$C23,$AH$8:$AH$207)+SUMIF($C$8:$C$207,$C23,$AF$8:$AF$207))</f>
      </c>
      <c r="AP23" s="26">
        <f>IF($B23&lt;&gt;"Challan","",O23-M23)</f>
      </c>
      <c r="AQ23" s="26">
        <f>IF($B23&lt;&gt;"Challan","",MAX(0,AP23-AO23))</f>
      </c>
      <c r="AR23" s="32">
        <f>IF($B23&lt;&gt;"Challan","",IF(ROUND(AO23-AP23,2)&gt;0,"Over-applied",IF(ROUND(AO23-AP23,2)=0,"Fully Utilised","Unconsumed")))</f>
      </c>
      <c r="AS23" s="33">
        <f>IF($B23&lt;&gt;"Entry","",SUMPRODUCT(($C$8:$C$207=$C23)*($B$8:$B$207="Challan")*$F$8:$F$207))</f>
      </c>
    </row>
    <row r="24" spans="1:45" x14ac:dyDescent="0.25">
      <c r="A24" s="19">
        <f>IF($B24="Entry",COUNTIF($B$8:$B24,"Entry"),"")</f>
      </c>
      <c r="B24" s="20"/>
      <c r="C24" s="21"/>
      <c r="D24" s="22"/>
      <c r="E24" s="22"/>
      <c r="F24" s="23"/>
      <c r="G24" s="24"/>
      <c r="H24" s="25"/>
      <c r="I24" s="25"/>
      <c r="J24" s="25"/>
      <c r="K24" s="25"/>
      <c r="L24" s="25"/>
      <c r="M24" s="25"/>
      <c r="N24" s="25"/>
      <c r="O24" s="26">
        <f>IF($B24&lt;&gt;"Challan","",H24+I24+J24+K24+L24+M24)</f>
      </c>
      <c r="P24" s="24"/>
      <c r="Q24" s="24"/>
      <c r="R24" s="24"/>
      <c r="S24" s="24"/>
      <c r="T24" s="24"/>
      <c r="U24" s="27"/>
      <c r="V24" s="27"/>
      <c r="W24" s="27"/>
      <c r="X24" s="27"/>
      <c r="Y24" s="27"/>
      <c r="Z24" s="28">
        <f>IFERROR(IF($B24&lt;&gt;"Entry","",IF(W24="Y",SUMPRODUCT(('Rate Master'!$D$2:$D$50=(Y24&amp;"|"&amp;$B$2))*'Rate Master'!$I$2:$I$50),IF(OR(X24="Individual",X24="HUF"),SUMPRODUCT(('Rate Master'!$D$2:$D$50=(Y24&amp;"|"&amp;$B$2))*'Rate Master'!$G$2:$G$50),SUMPRODUCT(('Rate Master'!$D$2:$D$50=(Y24&amp;"|"&amp;$B$2))*'Rate Master'!$H$2:$H$50)))),"")</f>
      </c>
      <c r="AA24" s="26">
        <f>IFERROR(IF($B24&lt;&gt;"Entry","",IF(OR(X24="Individual",X24="HUF"),SUMPRODUCT(('Rate Master'!$D$2:$D$50=(Y24&amp;"|"&amp;$B$2))*'Rate Master'!$E$2:$E$50),SUMPRODUCT(('Rate Master'!$D$2:$D$50=(Y24&amp;"|"&amp;$B$2))*'Rate Master'!$F$2:$F$50))),"")</f>
      </c>
      <c r="AB24" s="29"/>
      <c r="AC24" s="30"/>
      <c r="AD24" s="31"/>
      <c r="AE24" s="26">
        <f>IF($B24&lt;&gt;"Entry","",ROUND(AD24*AB24/100,0))</f>
      </c>
      <c r="AF24" s="31"/>
      <c r="AG24" s="31"/>
      <c r="AH24" s="26">
        <f>IF($B24&lt;&gt;"Entry","",IF(OR(AE24=0,AC24="",AS24="",AS24&lt;=0),0,IF(AS24&lt;=DATE(YEAR(AC24),MONTH(AC24)+1,7),0,ROUND(AE24*0.015*((YEAR(AS24)-YEAR(AC24))*12+(MONTH(AS24)-MONTH(AC24))+1),0))))</f>
      </c>
      <c r="AI24" s="31"/>
      <c r="AJ24" s="27"/>
      <c r="AK24" s="27"/>
      <c r="AL24" s="29"/>
      <c r="AM24" s="27"/>
      <c r="AN24" s="27"/>
      <c r="AO24" s="26">
        <f>IF($B24&lt;&gt;"Challan","",SUMIF($C$8:$C$207,$C24,$AE$8:$AE$207)+SUMIF($C$8:$C$207,$C24,$AH$8:$AH$207)+SUMIF($C$8:$C$207,$C24,$AF$8:$AF$207))</f>
      </c>
      <c r="AP24" s="26">
        <f>IF($B24&lt;&gt;"Challan","",O24-M24)</f>
      </c>
      <c r="AQ24" s="26">
        <f>IF($B24&lt;&gt;"Challan","",MAX(0,AP24-AO24))</f>
      </c>
      <c r="AR24" s="32">
        <f>IF($B24&lt;&gt;"Challan","",IF(ROUND(AO24-AP24,2)&gt;0,"Over-applied",IF(ROUND(AO24-AP24,2)=0,"Fully Utilised","Unconsumed")))</f>
      </c>
      <c r="AS24" s="33">
        <f>IF($B24&lt;&gt;"Entry","",SUMPRODUCT(($C$8:$C$207=$C24)*($B$8:$B$207="Challan")*$F$8:$F$207))</f>
      </c>
    </row>
    <row r="25" spans="1:45" x14ac:dyDescent="0.25">
      <c r="A25" s="19">
        <f>IF($B25="Entry",COUNTIF($B$8:$B25,"Entry"),"")</f>
      </c>
      <c r="B25" s="20"/>
      <c r="C25" s="21"/>
      <c r="D25" s="22"/>
      <c r="E25" s="22"/>
      <c r="F25" s="23"/>
      <c r="G25" s="24"/>
      <c r="H25" s="25"/>
      <c r="I25" s="25"/>
      <c r="J25" s="25"/>
      <c r="K25" s="25"/>
      <c r="L25" s="25"/>
      <c r="M25" s="25"/>
      <c r="N25" s="25"/>
      <c r="O25" s="26">
        <f>IF($B25&lt;&gt;"Challan","",H25+I25+J25+K25+L25+M25)</f>
      </c>
      <c r="P25" s="24"/>
      <c r="Q25" s="24"/>
      <c r="R25" s="24"/>
      <c r="S25" s="24"/>
      <c r="T25" s="24"/>
      <c r="U25" s="27"/>
      <c r="V25" s="27"/>
      <c r="W25" s="27"/>
      <c r="X25" s="27"/>
      <c r="Y25" s="27"/>
      <c r="Z25" s="28">
        <f>IFERROR(IF($B25&lt;&gt;"Entry","",IF(W25="Y",SUMPRODUCT(('Rate Master'!$D$2:$D$50=(Y25&amp;"|"&amp;$B$2))*'Rate Master'!$I$2:$I$50),IF(OR(X25="Individual",X25="HUF"),SUMPRODUCT(('Rate Master'!$D$2:$D$50=(Y25&amp;"|"&amp;$B$2))*'Rate Master'!$G$2:$G$50),SUMPRODUCT(('Rate Master'!$D$2:$D$50=(Y25&amp;"|"&amp;$B$2))*'Rate Master'!$H$2:$H$50)))),"")</f>
      </c>
      <c r="AA25" s="26">
        <f>IFERROR(IF($B25&lt;&gt;"Entry","",IF(OR(X25="Individual",X25="HUF"),SUMPRODUCT(('Rate Master'!$D$2:$D$50=(Y25&amp;"|"&amp;$B$2))*'Rate Master'!$E$2:$E$50),SUMPRODUCT(('Rate Master'!$D$2:$D$50=(Y25&amp;"|"&amp;$B$2))*'Rate Master'!$F$2:$F$50))),"")</f>
      </c>
      <c r="AB25" s="29"/>
      <c r="AC25" s="30"/>
      <c r="AD25" s="31"/>
      <c r="AE25" s="26">
        <f>IF($B25&lt;&gt;"Entry","",ROUND(AD25*AB25/100,0))</f>
      </c>
      <c r="AF25" s="31"/>
      <c r="AG25" s="31"/>
      <c r="AH25" s="26">
        <f>IF($B25&lt;&gt;"Entry","",IF(OR(AE25=0,AC25="",AS25="",AS25&lt;=0),0,IF(AS25&lt;=DATE(YEAR(AC25),MONTH(AC25)+1,7),0,ROUND(AE25*0.015*((YEAR(AS25)-YEAR(AC25))*12+(MONTH(AS25)-MONTH(AC25))+1),0))))</f>
      </c>
      <c r="AI25" s="31"/>
      <c r="AJ25" s="27"/>
      <c r="AK25" s="27"/>
      <c r="AL25" s="29"/>
      <c r="AM25" s="27"/>
      <c r="AN25" s="27"/>
      <c r="AO25" s="26">
        <f>IF($B25&lt;&gt;"Challan","",SUMIF($C$8:$C$207,$C25,$AE$8:$AE$207)+SUMIF($C$8:$C$207,$C25,$AH$8:$AH$207)+SUMIF($C$8:$C$207,$C25,$AF$8:$AF$207))</f>
      </c>
      <c r="AP25" s="26">
        <f>IF($B25&lt;&gt;"Challan","",O25-M25)</f>
      </c>
      <c r="AQ25" s="26">
        <f>IF($B25&lt;&gt;"Challan","",MAX(0,AP25-AO25))</f>
      </c>
      <c r="AR25" s="32">
        <f>IF($B25&lt;&gt;"Challan","",IF(ROUND(AO25-AP25,2)&gt;0,"Over-applied",IF(ROUND(AO25-AP25,2)=0,"Fully Utilised","Unconsumed")))</f>
      </c>
      <c r="AS25" s="33">
        <f>IF($B25&lt;&gt;"Entry","",SUMPRODUCT(($C$8:$C$207=$C25)*($B$8:$B$207="Challan")*$F$8:$F$207))</f>
      </c>
    </row>
    <row r="26" spans="1:45" x14ac:dyDescent="0.25">
      <c r="A26" s="19">
        <f>IF($B26="Entry",COUNTIF($B$8:$B26,"Entry"),"")</f>
      </c>
      <c r="B26" s="20"/>
      <c r="C26" s="21"/>
      <c r="D26" s="22"/>
      <c r="E26" s="22"/>
      <c r="F26" s="23"/>
      <c r="G26" s="24"/>
      <c r="H26" s="25"/>
      <c r="I26" s="25"/>
      <c r="J26" s="25"/>
      <c r="K26" s="25"/>
      <c r="L26" s="25"/>
      <c r="M26" s="25"/>
      <c r="N26" s="25"/>
      <c r="O26" s="26">
        <f>IF($B26&lt;&gt;"Challan","",H26+I26+J26+K26+L26+M26)</f>
      </c>
      <c r="P26" s="24"/>
      <c r="Q26" s="24"/>
      <c r="R26" s="24"/>
      <c r="S26" s="24"/>
      <c r="T26" s="24"/>
      <c r="U26" s="27"/>
      <c r="V26" s="27"/>
      <c r="W26" s="27"/>
      <c r="X26" s="27"/>
      <c r="Y26" s="27"/>
      <c r="Z26" s="28">
        <f>IFERROR(IF($B26&lt;&gt;"Entry","",IF(W26="Y",SUMPRODUCT(('Rate Master'!$D$2:$D$50=(Y26&amp;"|"&amp;$B$2))*'Rate Master'!$I$2:$I$50),IF(OR(X26="Individual",X26="HUF"),SUMPRODUCT(('Rate Master'!$D$2:$D$50=(Y26&amp;"|"&amp;$B$2))*'Rate Master'!$G$2:$G$50),SUMPRODUCT(('Rate Master'!$D$2:$D$50=(Y26&amp;"|"&amp;$B$2))*'Rate Master'!$H$2:$H$50)))),"")</f>
      </c>
      <c r="AA26" s="26">
        <f>IFERROR(IF($B26&lt;&gt;"Entry","",IF(OR(X26="Individual",X26="HUF"),SUMPRODUCT(('Rate Master'!$D$2:$D$50=(Y26&amp;"|"&amp;$B$2))*'Rate Master'!$E$2:$E$50),SUMPRODUCT(('Rate Master'!$D$2:$D$50=(Y26&amp;"|"&amp;$B$2))*'Rate Master'!$F$2:$F$50))),"")</f>
      </c>
      <c r="AB26" s="29"/>
      <c r="AC26" s="30"/>
      <c r="AD26" s="31"/>
      <c r="AE26" s="26">
        <f>IF($B26&lt;&gt;"Entry","",ROUND(AD26*AB26/100,0))</f>
      </c>
      <c r="AF26" s="31"/>
      <c r="AG26" s="31"/>
      <c r="AH26" s="26">
        <f>IF($B26&lt;&gt;"Entry","",IF(OR(AE26=0,AC26="",AS26="",AS26&lt;=0),0,IF(AS26&lt;=DATE(YEAR(AC26),MONTH(AC26)+1,7),0,ROUND(AE26*0.015*((YEAR(AS26)-YEAR(AC26))*12+(MONTH(AS26)-MONTH(AC26))+1),0))))</f>
      </c>
      <c r="AI26" s="31"/>
      <c r="AJ26" s="27"/>
      <c r="AK26" s="27"/>
      <c r="AL26" s="29"/>
      <c r="AM26" s="27"/>
      <c r="AN26" s="27"/>
      <c r="AO26" s="26">
        <f>IF($B26&lt;&gt;"Challan","",SUMIF($C$8:$C$207,$C26,$AE$8:$AE$207)+SUMIF($C$8:$C$207,$C26,$AH$8:$AH$207)+SUMIF($C$8:$C$207,$C26,$AF$8:$AF$207))</f>
      </c>
      <c r="AP26" s="26">
        <f>IF($B26&lt;&gt;"Challan","",O26-M26)</f>
      </c>
      <c r="AQ26" s="26">
        <f>IF($B26&lt;&gt;"Challan","",MAX(0,AP26-AO26))</f>
      </c>
      <c r="AR26" s="32">
        <f>IF($B26&lt;&gt;"Challan","",IF(ROUND(AO26-AP26,2)&gt;0,"Over-applied",IF(ROUND(AO26-AP26,2)=0,"Fully Utilised","Unconsumed")))</f>
      </c>
      <c r="AS26" s="33">
        <f>IF($B26&lt;&gt;"Entry","",SUMPRODUCT(($C$8:$C$207=$C26)*($B$8:$B$207="Challan")*$F$8:$F$207))</f>
      </c>
    </row>
    <row r="27" spans="1:45" x14ac:dyDescent="0.25">
      <c r="A27" s="19">
        <f>IF($B27="Entry",COUNTIF($B$8:$B27,"Entry"),"")</f>
      </c>
      <c r="B27" s="20"/>
      <c r="C27" s="21"/>
      <c r="D27" s="22"/>
      <c r="E27" s="22"/>
      <c r="F27" s="23"/>
      <c r="G27" s="24"/>
      <c r="H27" s="25"/>
      <c r="I27" s="25"/>
      <c r="J27" s="25"/>
      <c r="K27" s="25"/>
      <c r="L27" s="25"/>
      <c r="M27" s="25"/>
      <c r="N27" s="25"/>
      <c r="O27" s="26">
        <f>IF($B27&lt;&gt;"Challan","",H27+I27+J27+K27+L27+M27)</f>
      </c>
      <c r="P27" s="24"/>
      <c r="Q27" s="24"/>
      <c r="R27" s="24"/>
      <c r="S27" s="24"/>
      <c r="T27" s="24"/>
      <c r="U27" s="27"/>
      <c r="V27" s="27"/>
      <c r="W27" s="27"/>
      <c r="X27" s="27"/>
      <c r="Y27" s="27"/>
      <c r="Z27" s="28">
        <f>IFERROR(IF($B27&lt;&gt;"Entry","",IF(W27="Y",SUMPRODUCT(('Rate Master'!$D$2:$D$50=(Y27&amp;"|"&amp;$B$2))*'Rate Master'!$I$2:$I$50),IF(OR(X27="Individual",X27="HUF"),SUMPRODUCT(('Rate Master'!$D$2:$D$50=(Y27&amp;"|"&amp;$B$2))*'Rate Master'!$G$2:$G$50),SUMPRODUCT(('Rate Master'!$D$2:$D$50=(Y27&amp;"|"&amp;$B$2))*'Rate Master'!$H$2:$H$50)))),"")</f>
      </c>
      <c r="AA27" s="26">
        <f>IFERROR(IF($B27&lt;&gt;"Entry","",IF(OR(X27="Individual",X27="HUF"),SUMPRODUCT(('Rate Master'!$D$2:$D$50=(Y27&amp;"|"&amp;$B$2))*'Rate Master'!$E$2:$E$50),SUMPRODUCT(('Rate Master'!$D$2:$D$50=(Y27&amp;"|"&amp;$B$2))*'Rate Master'!$F$2:$F$50))),"")</f>
      </c>
      <c r="AB27" s="29"/>
      <c r="AC27" s="30"/>
      <c r="AD27" s="31"/>
      <c r="AE27" s="26">
        <f>IF($B27&lt;&gt;"Entry","",ROUND(AD27*AB27/100,0))</f>
      </c>
      <c r="AF27" s="31"/>
      <c r="AG27" s="31"/>
      <c r="AH27" s="26">
        <f>IF($B27&lt;&gt;"Entry","",IF(OR(AE27=0,AC27="",AS27="",AS27&lt;=0),0,IF(AS27&lt;=DATE(YEAR(AC27),MONTH(AC27)+1,7),0,ROUND(AE27*0.015*((YEAR(AS27)-YEAR(AC27))*12+(MONTH(AS27)-MONTH(AC27))+1),0))))</f>
      </c>
      <c r="AI27" s="31"/>
      <c r="AJ27" s="27"/>
      <c r="AK27" s="27"/>
      <c r="AL27" s="29"/>
      <c r="AM27" s="27"/>
      <c r="AN27" s="27"/>
      <c r="AO27" s="26">
        <f>IF($B27&lt;&gt;"Challan","",SUMIF($C$8:$C$207,$C27,$AE$8:$AE$207)+SUMIF($C$8:$C$207,$C27,$AH$8:$AH$207)+SUMIF($C$8:$C$207,$C27,$AF$8:$AF$207))</f>
      </c>
      <c r="AP27" s="26">
        <f>IF($B27&lt;&gt;"Challan","",O27-M27)</f>
      </c>
      <c r="AQ27" s="26">
        <f>IF($B27&lt;&gt;"Challan","",MAX(0,AP27-AO27))</f>
      </c>
      <c r="AR27" s="32">
        <f>IF($B27&lt;&gt;"Challan","",IF(ROUND(AO27-AP27,2)&gt;0,"Over-applied",IF(ROUND(AO27-AP27,2)=0,"Fully Utilised","Unconsumed")))</f>
      </c>
      <c r="AS27" s="33">
        <f>IF($B27&lt;&gt;"Entry","",SUMPRODUCT(($C$8:$C$207=$C27)*($B$8:$B$207="Challan")*$F$8:$F$207))</f>
      </c>
    </row>
    <row r="28" spans="1:45" x14ac:dyDescent="0.25">
      <c r="A28" s="19">
        <f>IF($B28="Entry",COUNTIF($B$8:$B28,"Entry"),"")</f>
      </c>
      <c r="B28" s="20"/>
      <c r="C28" s="21"/>
      <c r="D28" s="22"/>
      <c r="E28" s="22"/>
      <c r="F28" s="23"/>
      <c r="G28" s="24"/>
      <c r="H28" s="25"/>
      <c r="I28" s="25"/>
      <c r="J28" s="25"/>
      <c r="K28" s="25"/>
      <c r="L28" s="25"/>
      <c r="M28" s="25"/>
      <c r="N28" s="25"/>
      <c r="O28" s="26">
        <f>IF($B28&lt;&gt;"Challan","",H28+I28+J28+K28+L28+M28)</f>
      </c>
      <c r="P28" s="24"/>
      <c r="Q28" s="24"/>
      <c r="R28" s="24"/>
      <c r="S28" s="24"/>
      <c r="T28" s="24"/>
      <c r="U28" s="27"/>
      <c r="V28" s="27"/>
      <c r="W28" s="27"/>
      <c r="X28" s="27"/>
      <c r="Y28" s="27"/>
      <c r="Z28" s="28">
        <f>IFERROR(IF($B28&lt;&gt;"Entry","",IF(W28="Y",SUMPRODUCT(('Rate Master'!$D$2:$D$50=(Y28&amp;"|"&amp;$B$2))*'Rate Master'!$I$2:$I$50),IF(OR(X28="Individual",X28="HUF"),SUMPRODUCT(('Rate Master'!$D$2:$D$50=(Y28&amp;"|"&amp;$B$2))*'Rate Master'!$G$2:$G$50),SUMPRODUCT(('Rate Master'!$D$2:$D$50=(Y28&amp;"|"&amp;$B$2))*'Rate Master'!$H$2:$H$50)))),"")</f>
      </c>
      <c r="AA28" s="26">
        <f>IFERROR(IF($B28&lt;&gt;"Entry","",IF(OR(X28="Individual",X28="HUF"),SUMPRODUCT(('Rate Master'!$D$2:$D$50=(Y28&amp;"|"&amp;$B$2))*'Rate Master'!$E$2:$E$50),SUMPRODUCT(('Rate Master'!$D$2:$D$50=(Y28&amp;"|"&amp;$B$2))*'Rate Master'!$F$2:$F$50))),"")</f>
      </c>
      <c r="AB28" s="29"/>
      <c r="AC28" s="30"/>
      <c r="AD28" s="31"/>
      <c r="AE28" s="26">
        <f>IF($B28&lt;&gt;"Entry","",ROUND(AD28*AB28/100,0))</f>
      </c>
      <c r="AF28" s="31"/>
      <c r="AG28" s="31"/>
      <c r="AH28" s="26">
        <f>IF($B28&lt;&gt;"Entry","",IF(OR(AE28=0,AC28="",AS28="",AS28&lt;=0),0,IF(AS28&lt;=DATE(YEAR(AC28),MONTH(AC28)+1,7),0,ROUND(AE28*0.015*((YEAR(AS28)-YEAR(AC28))*12+(MONTH(AS28)-MONTH(AC28))+1),0))))</f>
      </c>
      <c r="AI28" s="31"/>
      <c r="AJ28" s="27"/>
      <c r="AK28" s="27"/>
      <c r="AL28" s="29"/>
      <c r="AM28" s="27"/>
      <c r="AN28" s="27"/>
      <c r="AO28" s="26">
        <f>IF($B28&lt;&gt;"Challan","",SUMIF($C$8:$C$207,$C28,$AE$8:$AE$207)+SUMIF($C$8:$C$207,$C28,$AH$8:$AH$207)+SUMIF($C$8:$C$207,$C28,$AF$8:$AF$207))</f>
      </c>
      <c r="AP28" s="26">
        <f>IF($B28&lt;&gt;"Challan","",O28-M28)</f>
      </c>
      <c r="AQ28" s="26">
        <f>IF($B28&lt;&gt;"Challan","",MAX(0,AP28-AO28))</f>
      </c>
      <c r="AR28" s="32">
        <f>IF($B28&lt;&gt;"Challan","",IF(ROUND(AO28-AP28,2)&gt;0,"Over-applied",IF(ROUND(AO28-AP28,2)=0,"Fully Utilised","Unconsumed")))</f>
      </c>
      <c r="AS28" s="33">
        <f>IF($B28&lt;&gt;"Entry","",SUMPRODUCT(($C$8:$C$207=$C28)*($B$8:$B$207="Challan")*$F$8:$F$207))</f>
      </c>
    </row>
    <row r="29" spans="1:45" x14ac:dyDescent="0.25">
      <c r="A29" s="19">
        <f>IF($B29="Entry",COUNTIF($B$8:$B29,"Entry"),"")</f>
      </c>
      <c r="B29" s="20"/>
      <c r="C29" s="21"/>
      <c r="D29" s="22"/>
      <c r="E29" s="22"/>
      <c r="F29" s="23"/>
      <c r="G29" s="24"/>
      <c r="H29" s="25"/>
      <c r="I29" s="25"/>
      <c r="J29" s="25"/>
      <c r="K29" s="25"/>
      <c r="L29" s="25"/>
      <c r="M29" s="25"/>
      <c r="N29" s="25"/>
      <c r="O29" s="26">
        <f>IF($B29&lt;&gt;"Challan","",H29+I29+J29+K29+L29+M29)</f>
      </c>
      <c r="P29" s="24"/>
      <c r="Q29" s="24"/>
      <c r="R29" s="24"/>
      <c r="S29" s="24"/>
      <c r="T29" s="24"/>
      <c r="U29" s="27"/>
      <c r="V29" s="27"/>
      <c r="W29" s="27"/>
      <c r="X29" s="27"/>
      <c r="Y29" s="27"/>
      <c r="Z29" s="28">
        <f>IFERROR(IF($B29&lt;&gt;"Entry","",IF(W29="Y",SUMPRODUCT(('Rate Master'!$D$2:$D$50=(Y29&amp;"|"&amp;$B$2))*'Rate Master'!$I$2:$I$50),IF(OR(X29="Individual",X29="HUF"),SUMPRODUCT(('Rate Master'!$D$2:$D$50=(Y29&amp;"|"&amp;$B$2))*'Rate Master'!$G$2:$G$50),SUMPRODUCT(('Rate Master'!$D$2:$D$50=(Y29&amp;"|"&amp;$B$2))*'Rate Master'!$H$2:$H$50)))),"")</f>
      </c>
      <c r="AA29" s="26">
        <f>IFERROR(IF($B29&lt;&gt;"Entry","",IF(OR(X29="Individual",X29="HUF"),SUMPRODUCT(('Rate Master'!$D$2:$D$50=(Y29&amp;"|"&amp;$B$2))*'Rate Master'!$E$2:$E$50),SUMPRODUCT(('Rate Master'!$D$2:$D$50=(Y29&amp;"|"&amp;$B$2))*'Rate Master'!$F$2:$F$50))),"")</f>
      </c>
      <c r="AB29" s="29"/>
      <c r="AC29" s="30"/>
      <c r="AD29" s="31"/>
      <c r="AE29" s="26">
        <f>IF($B29&lt;&gt;"Entry","",ROUND(AD29*AB29/100,0))</f>
      </c>
      <c r="AF29" s="31"/>
      <c r="AG29" s="31"/>
      <c r="AH29" s="26">
        <f>IF($B29&lt;&gt;"Entry","",IF(OR(AE29=0,AC29="",AS29="",AS29&lt;=0),0,IF(AS29&lt;=DATE(YEAR(AC29),MONTH(AC29)+1,7),0,ROUND(AE29*0.015*((YEAR(AS29)-YEAR(AC29))*12+(MONTH(AS29)-MONTH(AC29))+1),0))))</f>
      </c>
      <c r="AI29" s="31"/>
      <c r="AJ29" s="27"/>
      <c r="AK29" s="27"/>
      <c r="AL29" s="29"/>
      <c r="AM29" s="27"/>
      <c r="AN29" s="27"/>
      <c r="AO29" s="26">
        <f>IF($B29&lt;&gt;"Challan","",SUMIF($C$8:$C$207,$C29,$AE$8:$AE$207)+SUMIF($C$8:$C$207,$C29,$AH$8:$AH$207)+SUMIF($C$8:$C$207,$C29,$AF$8:$AF$207))</f>
      </c>
      <c r="AP29" s="26">
        <f>IF($B29&lt;&gt;"Challan","",O29-M29)</f>
      </c>
      <c r="AQ29" s="26">
        <f>IF($B29&lt;&gt;"Challan","",MAX(0,AP29-AO29))</f>
      </c>
      <c r="AR29" s="32">
        <f>IF($B29&lt;&gt;"Challan","",IF(ROUND(AO29-AP29,2)&gt;0,"Over-applied",IF(ROUND(AO29-AP29,2)=0,"Fully Utilised","Unconsumed")))</f>
      </c>
      <c r="AS29" s="33">
        <f>IF($B29&lt;&gt;"Entry","",SUMPRODUCT(($C$8:$C$207=$C29)*($B$8:$B$207="Challan")*$F$8:$F$207))</f>
      </c>
    </row>
    <row r="30" spans="1:45" x14ac:dyDescent="0.25">
      <c r="A30" s="19">
        <f>IF($B30="Entry",COUNTIF($B$8:$B30,"Entry"),"")</f>
      </c>
      <c r="B30" s="20"/>
      <c r="C30" s="21"/>
      <c r="D30" s="22"/>
      <c r="E30" s="22"/>
      <c r="F30" s="23"/>
      <c r="G30" s="24"/>
      <c r="H30" s="25"/>
      <c r="I30" s="25"/>
      <c r="J30" s="25"/>
      <c r="K30" s="25"/>
      <c r="L30" s="25"/>
      <c r="M30" s="25"/>
      <c r="N30" s="25"/>
      <c r="O30" s="26">
        <f>IF($B30&lt;&gt;"Challan","",H30+I30+J30+K30+L30+M30)</f>
      </c>
      <c r="P30" s="24"/>
      <c r="Q30" s="24"/>
      <c r="R30" s="24"/>
      <c r="S30" s="24"/>
      <c r="T30" s="24"/>
      <c r="U30" s="27"/>
      <c r="V30" s="27"/>
      <c r="W30" s="27"/>
      <c r="X30" s="27"/>
      <c r="Y30" s="27"/>
      <c r="Z30" s="28">
        <f>IFERROR(IF($B30&lt;&gt;"Entry","",IF(W30="Y",SUMPRODUCT(('Rate Master'!$D$2:$D$50=(Y30&amp;"|"&amp;$B$2))*'Rate Master'!$I$2:$I$50),IF(OR(X30="Individual",X30="HUF"),SUMPRODUCT(('Rate Master'!$D$2:$D$50=(Y30&amp;"|"&amp;$B$2))*'Rate Master'!$G$2:$G$50),SUMPRODUCT(('Rate Master'!$D$2:$D$50=(Y30&amp;"|"&amp;$B$2))*'Rate Master'!$H$2:$H$50)))),"")</f>
      </c>
      <c r="AA30" s="26">
        <f>IFERROR(IF($B30&lt;&gt;"Entry","",IF(OR(X30="Individual",X30="HUF"),SUMPRODUCT(('Rate Master'!$D$2:$D$50=(Y30&amp;"|"&amp;$B$2))*'Rate Master'!$E$2:$E$50),SUMPRODUCT(('Rate Master'!$D$2:$D$50=(Y30&amp;"|"&amp;$B$2))*'Rate Master'!$F$2:$F$50))),"")</f>
      </c>
      <c r="AB30" s="29"/>
      <c r="AC30" s="30"/>
      <c r="AD30" s="31"/>
      <c r="AE30" s="26">
        <f>IF($B30&lt;&gt;"Entry","",ROUND(AD30*AB30/100,0))</f>
      </c>
      <c r="AF30" s="31"/>
      <c r="AG30" s="31"/>
      <c r="AH30" s="26">
        <f>IF($B30&lt;&gt;"Entry","",IF(OR(AE30=0,AC30="",AS30="",AS30&lt;=0),0,IF(AS30&lt;=DATE(YEAR(AC30),MONTH(AC30)+1,7),0,ROUND(AE30*0.015*((YEAR(AS30)-YEAR(AC30))*12+(MONTH(AS30)-MONTH(AC30))+1),0))))</f>
      </c>
      <c r="AI30" s="31"/>
      <c r="AJ30" s="27"/>
      <c r="AK30" s="27"/>
      <c r="AL30" s="29"/>
      <c r="AM30" s="27"/>
      <c r="AN30" s="27"/>
      <c r="AO30" s="26">
        <f>IF($B30&lt;&gt;"Challan","",SUMIF($C$8:$C$207,$C30,$AE$8:$AE$207)+SUMIF($C$8:$C$207,$C30,$AH$8:$AH$207)+SUMIF($C$8:$C$207,$C30,$AF$8:$AF$207))</f>
      </c>
      <c r="AP30" s="26">
        <f>IF($B30&lt;&gt;"Challan","",O30-M30)</f>
      </c>
      <c r="AQ30" s="26">
        <f>IF($B30&lt;&gt;"Challan","",MAX(0,AP30-AO30))</f>
      </c>
      <c r="AR30" s="32">
        <f>IF($B30&lt;&gt;"Challan","",IF(ROUND(AO30-AP30,2)&gt;0,"Over-applied",IF(ROUND(AO30-AP30,2)=0,"Fully Utilised","Unconsumed")))</f>
      </c>
      <c r="AS30" s="33">
        <f>IF($B30&lt;&gt;"Entry","",SUMPRODUCT(($C$8:$C$207=$C30)*($B$8:$B$207="Challan")*$F$8:$F$207))</f>
      </c>
    </row>
    <row r="31" spans="1:45" x14ac:dyDescent="0.25">
      <c r="A31" s="19">
        <f>IF($B31="Entry",COUNTIF($B$8:$B31,"Entry"),"")</f>
      </c>
      <c r="B31" s="20"/>
      <c r="C31" s="21"/>
      <c r="D31" s="22"/>
      <c r="E31" s="22"/>
      <c r="F31" s="23"/>
      <c r="G31" s="24"/>
      <c r="H31" s="25"/>
      <c r="I31" s="25"/>
      <c r="J31" s="25"/>
      <c r="K31" s="25"/>
      <c r="L31" s="25"/>
      <c r="M31" s="25"/>
      <c r="N31" s="25"/>
      <c r="O31" s="26">
        <f>IF($B31&lt;&gt;"Challan","",H31+I31+J31+K31+L31+M31)</f>
      </c>
      <c r="P31" s="24"/>
      <c r="Q31" s="24"/>
      <c r="R31" s="24"/>
      <c r="S31" s="24"/>
      <c r="T31" s="24"/>
      <c r="U31" s="27"/>
      <c r="V31" s="27"/>
      <c r="W31" s="27"/>
      <c r="X31" s="27"/>
      <c r="Y31" s="27"/>
      <c r="Z31" s="28">
        <f>IFERROR(IF($B31&lt;&gt;"Entry","",IF(W31="Y",SUMPRODUCT(('Rate Master'!$D$2:$D$50=(Y31&amp;"|"&amp;$B$2))*'Rate Master'!$I$2:$I$50),IF(OR(X31="Individual",X31="HUF"),SUMPRODUCT(('Rate Master'!$D$2:$D$50=(Y31&amp;"|"&amp;$B$2))*'Rate Master'!$G$2:$G$50),SUMPRODUCT(('Rate Master'!$D$2:$D$50=(Y31&amp;"|"&amp;$B$2))*'Rate Master'!$H$2:$H$50)))),"")</f>
      </c>
      <c r="AA31" s="26">
        <f>IFERROR(IF($B31&lt;&gt;"Entry","",IF(OR(X31="Individual",X31="HUF"),SUMPRODUCT(('Rate Master'!$D$2:$D$50=(Y31&amp;"|"&amp;$B$2))*'Rate Master'!$E$2:$E$50),SUMPRODUCT(('Rate Master'!$D$2:$D$50=(Y31&amp;"|"&amp;$B$2))*'Rate Master'!$F$2:$F$50))),"")</f>
      </c>
      <c r="AB31" s="29"/>
      <c r="AC31" s="30"/>
      <c r="AD31" s="31"/>
      <c r="AE31" s="26">
        <f>IF($B31&lt;&gt;"Entry","",ROUND(AD31*AB31/100,0))</f>
      </c>
      <c r="AF31" s="31"/>
      <c r="AG31" s="31"/>
      <c r="AH31" s="26">
        <f>IF($B31&lt;&gt;"Entry","",IF(OR(AE31=0,AC31="",AS31="",AS31&lt;=0),0,IF(AS31&lt;=DATE(YEAR(AC31),MONTH(AC31)+1,7),0,ROUND(AE31*0.015*((YEAR(AS31)-YEAR(AC31))*12+(MONTH(AS31)-MONTH(AC31))+1),0))))</f>
      </c>
      <c r="AI31" s="31"/>
      <c r="AJ31" s="27"/>
      <c r="AK31" s="27"/>
      <c r="AL31" s="29"/>
      <c r="AM31" s="27"/>
      <c r="AN31" s="27"/>
      <c r="AO31" s="26">
        <f>IF($B31&lt;&gt;"Challan","",SUMIF($C$8:$C$207,$C31,$AE$8:$AE$207)+SUMIF($C$8:$C$207,$C31,$AH$8:$AH$207)+SUMIF($C$8:$C$207,$C31,$AF$8:$AF$207))</f>
      </c>
      <c r="AP31" s="26">
        <f>IF($B31&lt;&gt;"Challan","",O31-M31)</f>
      </c>
      <c r="AQ31" s="26">
        <f>IF($B31&lt;&gt;"Challan","",MAX(0,AP31-AO31))</f>
      </c>
      <c r="AR31" s="32">
        <f>IF($B31&lt;&gt;"Challan","",IF(ROUND(AO31-AP31,2)&gt;0,"Over-applied",IF(ROUND(AO31-AP31,2)=0,"Fully Utilised","Unconsumed")))</f>
      </c>
      <c r="AS31" s="33">
        <f>IF($B31&lt;&gt;"Entry","",SUMPRODUCT(($C$8:$C$207=$C31)*($B$8:$B$207="Challan")*$F$8:$F$207))</f>
      </c>
    </row>
    <row r="32" spans="1:45" x14ac:dyDescent="0.25">
      <c r="A32" s="19">
        <f>IF($B32="Entry",COUNTIF($B$8:$B32,"Entry"),"")</f>
      </c>
      <c r="B32" s="20"/>
      <c r="C32" s="21"/>
      <c r="D32" s="22"/>
      <c r="E32" s="22"/>
      <c r="F32" s="23"/>
      <c r="G32" s="24"/>
      <c r="H32" s="25"/>
      <c r="I32" s="25"/>
      <c r="J32" s="25"/>
      <c r="K32" s="25"/>
      <c r="L32" s="25"/>
      <c r="M32" s="25"/>
      <c r="N32" s="25"/>
      <c r="O32" s="26">
        <f>IF($B32&lt;&gt;"Challan","",H32+I32+J32+K32+L32+M32)</f>
      </c>
      <c r="P32" s="24"/>
      <c r="Q32" s="24"/>
      <c r="R32" s="24"/>
      <c r="S32" s="24"/>
      <c r="T32" s="24"/>
      <c r="U32" s="27"/>
      <c r="V32" s="27"/>
      <c r="W32" s="27"/>
      <c r="X32" s="27"/>
      <c r="Y32" s="27"/>
      <c r="Z32" s="28">
        <f>IFERROR(IF($B32&lt;&gt;"Entry","",IF(W32="Y",SUMPRODUCT(('Rate Master'!$D$2:$D$50=(Y32&amp;"|"&amp;$B$2))*'Rate Master'!$I$2:$I$50),IF(OR(X32="Individual",X32="HUF"),SUMPRODUCT(('Rate Master'!$D$2:$D$50=(Y32&amp;"|"&amp;$B$2))*'Rate Master'!$G$2:$G$50),SUMPRODUCT(('Rate Master'!$D$2:$D$50=(Y32&amp;"|"&amp;$B$2))*'Rate Master'!$H$2:$H$50)))),"")</f>
      </c>
      <c r="AA32" s="26">
        <f>IFERROR(IF($B32&lt;&gt;"Entry","",IF(OR(X32="Individual",X32="HUF"),SUMPRODUCT(('Rate Master'!$D$2:$D$50=(Y32&amp;"|"&amp;$B$2))*'Rate Master'!$E$2:$E$50),SUMPRODUCT(('Rate Master'!$D$2:$D$50=(Y32&amp;"|"&amp;$B$2))*'Rate Master'!$F$2:$F$50))),"")</f>
      </c>
      <c r="AB32" s="29"/>
      <c r="AC32" s="30"/>
      <c r="AD32" s="31"/>
      <c r="AE32" s="26">
        <f>IF($B32&lt;&gt;"Entry","",ROUND(AD32*AB32/100,0))</f>
      </c>
      <c r="AF32" s="31"/>
      <c r="AG32" s="31"/>
      <c r="AH32" s="26">
        <f>IF($B32&lt;&gt;"Entry","",IF(OR(AE32=0,AC32="",AS32="",AS32&lt;=0),0,IF(AS32&lt;=DATE(YEAR(AC32),MONTH(AC32)+1,7),0,ROUND(AE32*0.015*((YEAR(AS32)-YEAR(AC32))*12+(MONTH(AS32)-MONTH(AC32))+1),0))))</f>
      </c>
      <c r="AI32" s="31"/>
      <c r="AJ32" s="27"/>
      <c r="AK32" s="27"/>
      <c r="AL32" s="29"/>
      <c r="AM32" s="27"/>
      <c r="AN32" s="27"/>
      <c r="AO32" s="26">
        <f>IF($B32&lt;&gt;"Challan","",SUMIF($C$8:$C$207,$C32,$AE$8:$AE$207)+SUMIF($C$8:$C$207,$C32,$AH$8:$AH$207)+SUMIF($C$8:$C$207,$C32,$AF$8:$AF$207))</f>
      </c>
      <c r="AP32" s="26">
        <f>IF($B32&lt;&gt;"Challan","",O32-M32)</f>
      </c>
      <c r="AQ32" s="26">
        <f>IF($B32&lt;&gt;"Challan","",MAX(0,AP32-AO32))</f>
      </c>
      <c r="AR32" s="32">
        <f>IF($B32&lt;&gt;"Challan","",IF(ROUND(AO32-AP32,2)&gt;0,"Over-applied",IF(ROUND(AO32-AP32,2)=0,"Fully Utilised","Unconsumed")))</f>
      </c>
      <c r="AS32" s="33">
        <f>IF($B32&lt;&gt;"Entry","",SUMPRODUCT(($C$8:$C$207=$C32)*($B$8:$B$207="Challan")*$F$8:$F$207))</f>
      </c>
    </row>
    <row r="33" spans="1:45" x14ac:dyDescent="0.25">
      <c r="A33" s="19">
        <f>IF($B33="Entry",COUNTIF($B$8:$B33,"Entry"),"")</f>
      </c>
      <c r="B33" s="20"/>
      <c r="C33" s="21"/>
      <c r="D33" s="22"/>
      <c r="E33" s="22"/>
      <c r="F33" s="23"/>
      <c r="G33" s="24"/>
      <c r="H33" s="25"/>
      <c r="I33" s="25"/>
      <c r="J33" s="25"/>
      <c r="K33" s="25"/>
      <c r="L33" s="25"/>
      <c r="M33" s="25"/>
      <c r="N33" s="25"/>
      <c r="O33" s="26">
        <f>IF($B33&lt;&gt;"Challan","",H33+I33+J33+K33+L33+M33)</f>
      </c>
      <c r="P33" s="24"/>
      <c r="Q33" s="24"/>
      <c r="R33" s="24"/>
      <c r="S33" s="24"/>
      <c r="T33" s="24"/>
      <c r="U33" s="27"/>
      <c r="V33" s="27"/>
      <c r="W33" s="27"/>
      <c r="X33" s="27"/>
      <c r="Y33" s="27"/>
      <c r="Z33" s="28">
        <f>IFERROR(IF($B33&lt;&gt;"Entry","",IF(W33="Y",SUMPRODUCT(('Rate Master'!$D$2:$D$50=(Y33&amp;"|"&amp;$B$2))*'Rate Master'!$I$2:$I$50),IF(OR(X33="Individual",X33="HUF"),SUMPRODUCT(('Rate Master'!$D$2:$D$50=(Y33&amp;"|"&amp;$B$2))*'Rate Master'!$G$2:$G$50),SUMPRODUCT(('Rate Master'!$D$2:$D$50=(Y33&amp;"|"&amp;$B$2))*'Rate Master'!$H$2:$H$50)))),"")</f>
      </c>
      <c r="AA33" s="26">
        <f>IFERROR(IF($B33&lt;&gt;"Entry","",IF(OR(X33="Individual",X33="HUF"),SUMPRODUCT(('Rate Master'!$D$2:$D$50=(Y33&amp;"|"&amp;$B$2))*'Rate Master'!$E$2:$E$50),SUMPRODUCT(('Rate Master'!$D$2:$D$50=(Y33&amp;"|"&amp;$B$2))*'Rate Master'!$F$2:$F$50))),"")</f>
      </c>
      <c r="AB33" s="29"/>
      <c r="AC33" s="30"/>
      <c r="AD33" s="31"/>
      <c r="AE33" s="26">
        <f>IF($B33&lt;&gt;"Entry","",ROUND(AD33*AB33/100,0))</f>
      </c>
      <c r="AF33" s="31"/>
      <c r="AG33" s="31"/>
      <c r="AH33" s="26">
        <f>IF($B33&lt;&gt;"Entry","",IF(OR(AE33=0,AC33="",AS33="",AS33&lt;=0),0,IF(AS33&lt;=DATE(YEAR(AC33),MONTH(AC33)+1,7),0,ROUND(AE33*0.015*((YEAR(AS33)-YEAR(AC33))*12+(MONTH(AS33)-MONTH(AC33))+1),0))))</f>
      </c>
      <c r="AI33" s="31"/>
      <c r="AJ33" s="27"/>
      <c r="AK33" s="27"/>
      <c r="AL33" s="29"/>
      <c r="AM33" s="27"/>
      <c r="AN33" s="27"/>
      <c r="AO33" s="26">
        <f>IF($B33&lt;&gt;"Challan","",SUMIF($C$8:$C$207,$C33,$AE$8:$AE$207)+SUMIF($C$8:$C$207,$C33,$AH$8:$AH$207)+SUMIF($C$8:$C$207,$C33,$AF$8:$AF$207))</f>
      </c>
      <c r="AP33" s="26">
        <f>IF($B33&lt;&gt;"Challan","",O33-M33)</f>
      </c>
      <c r="AQ33" s="26">
        <f>IF($B33&lt;&gt;"Challan","",MAX(0,AP33-AO33))</f>
      </c>
      <c r="AR33" s="32">
        <f>IF($B33&lt;&gt;"Challan","",IF(ROUND(AO33-AP33,2)&gt;0,"Over-applied",IF(ROUND(AO33-AP33,2)=0,"Fully Utilised","Unconsumed")))</f>
      </c>
      <c r="AS33" s="33">
        <f>IF($B33&lt;&gt;"Entry","",SUMPRODUCT(($C$8:$C$207=$C33)*($B$8:$B$207="Challan")*$F$8:$F$207))</f>
      </c>
    </row>
    <row r="34" spans="1:45" x14ac:dyDescent="0.25">
      <c r="A34" s="19">
        <f>IF($B34="Entry",COUNTIF($B$8:$B34,"Entry"),"")</f>
      </c>
      <c r="B34" s="20"/>
      <c r="C34" s="21"/>
      <c r="D34" s="22"/>
      <c r="E34" s="22"/>
      <c r="F34" s="23"/>
      <c r="G34" s="24"/>
      <c r="H34" s="25"/>
      <c r="I34" s="25"/>
      <c r="J34" s="25"/>
      <c r="K34" s="25"/>
      <c r="L34" s="25"/>
      <c r="M34" s="25"/>
      <c r="N34" s="25"/>
      <c r="O34" s="26">
        <f>IF($B34&lt;&gt;"Challan","",H34+I34+J34+K34+L34+M34)</f>
      </c>
      <c r="P34" s="24"/>
      <c r="Q34" s="24"/>
      <c r="R34" s="24"/>
      <c r="S34" s="24"/>
      <c r="T34" s="24"/>
      <c r="U34" s="27"/>
      <c r="V34" s="27"/>
      <c r="W34" s="27"/>
      <c r="X34" s="27"/>
      <c r="Y34" s="27"/>
      <c r="Z34" s="28">
        <f>IFERROR(IF($B34&lt;&gt;"Entry","",IF(W34="Y",SUMPRODUCT(('Rate Master'!$D$2:$D$50=(Y34&amp;"|"&amp;$B$2))*'Rate Master'!$I$2:$I$50),IF(OR(X34="Individual",X34="HUF"),SUMPRODUCT(('Rate Master'!$D$2:$D$50=(Y34&amp;"|"&amp;$B$2))*'Rate Master'!$G$2:$G$50),SUMPRODUCT(('Rate Master'!$D$2:$D$50=(Y34&amp;"|"&amp;$B$2))*'Rate Master'!$H$2:$H$50)))),"")</f>
      </c>
      <c r="AA34" s="26">
        <f>IFERROR(IF($B34&lt;&gt;"Entry","",IF(OR(X34="Individual",X34="HUF"),SUMPRODUCT(('Rate Master'!$D$2:$D$50=(Y34&amp;"|"&amp;$B$2))*'Rate Master'!$E$2:$E$50),SUMPRODUCT(('Rate Master'!$D$2:$D$50=(Y34&amp;"|"&amp;$B$2))*'Rate Master'!$F$2:$F$50))),"")</f>
      </c>
      <c r="AB34" s="29"/>
      <c r="AC34" s="30"/>
      <c r="AD34" s="31"/>
      <c r="AE34" s="26">
        <f>IF($B34&lt;&gt;"Entry","",ROUND(AD34*AB34/100,0))</f>
      </c>
      <c r="AF34" s="31"/>
      <c r="AG34" s="31"/>
      <c r="AH34" s="26">
        <f>IF($B34&lt;&gt;"Entry","",IF(OR(AE34=0,AC34="",AS34="",AS34&lt;=0),0,IF(AS34&lt;=DATE(YEAR(AC34),MONTH(AC34)+1,7),0,ROUND(AE34*0.015*((YEAR(AS34)-YEAR(AC34))*12+(MONTH(AS34)-MONTH(AC34))+1),0))))</f>
      </c>
      <c r="AI34" s="31"/>
      <c r="AJ34" s="27"/>
      <c r="AK34" s="27"/>
      <c r="AL34" s="29"/>
      <c r="AM34" s="27"/>
      <c r="AN34" s="27"/>
      <c r="AO34" s="26">
        <f>IF($B34&lt;&gt;"Challan","",SUMIF($C$8:$C$207,$C34,$AE$8:$AE$207)+SUMIF($C$8:$C$207,$C34,$AH$8:$AH$207)+SUMIF($C$8:$C$207,$C34,$AF$8:$AF$207))</f>
      </c>
      <c r="AP34" s="26">
        <f>IF($B34&lt;&gt;"Challan","",O34-M34)</f>
      </c>
      <c r="AQ34" s="26">
        <f>IF($B34&lt;&gt;"Challan","",MAX(0,AP34-AO34))</f>
      </c>
      <c r="AR34" s="32">
        <f>IF($B34&lt;&gt;"Challan","",IF(ROUND(AO34-AP34,2)&gt;0,"Over-applied",IF(ROUND(AO34-AP34,2)=0,"Fully Utilised","Unconsumed")))</f>
      </c>
      <c r="AS34" s="33">
        <f>IF($B34&lt;&gt;"Entry","",SUMPRODUCT(($C$8:$C$207=$C34)*($B$8:$B$207="Challan")*$F$8:$F$207))</f>
      </c>
    </row>
    <row r="35" spans="1:45" x14ac:dyDescent="0.25">
      <c r="A35" s="19">
        <f>IF($B35="Entry",COUNTIF($B$8:$B35,"Entry"),"")</f>
      </c>
      <c r="B35" s="20"/>
      <c r="C35" s="21"/>
      <c r="D35" s="22"/>
      <c r="E35" s="22"/>
      <c r="F35" s="23"/>
      <c r="G35" s="24"/>
      <c r="H35" s="25"/>
      <c r="I35" s="25"/>
      <c r="J35" s="25"/>
      <c r="K35" s="25"/>
      <c r="L35" s="25"/>
      <c r="M35" s="25"/>
      <c r="N35" s="25"/>
      <c r="O35" s="26">
        <f>IF($B35&lt;&gt;"Challan","",H35+I35+J35+K35+L35+M35)</f>
      </c>
      <c r="P35" s="24"/>
      <c r="Q35" s="24"/>
      <c r="R35" s="24"/>
      <c r="S35" s="24"/>
      <c r="T35" s="24"/>
      <c r="U35" s="27"/>
      <c r="V35" s="27"/>
      <c r="W35" s="27"/>
      <c r="X35" s="27"/>
      <c r="Y35" s="27"/>
      <c r="Z35" s="28">
        <f>IFERROR(IF($B35&lt;&gt;"Entry","",IF(W35="Y",SUMPRODUCT(('Rate Master'!$D$2:$D$50=(Y35&amp;"|"&amp;$B$2))*'Rate Master'!$I$2:$I$50),IF(OR(X35="Individual",X35="HUF"),SUMPRODUCT(('Rate Master'!$D$2:$D$50=(Y35&amp;"|"&amp;$B$2))*'Rate Master'!$G$2:$G$50),SUMPRODUCT(('Rate Master'!$D$2:$D$50=(Y35&amp;"|"&amp;$B$2))*'Rate Master'!$H$2:$H$50)))),"")</f>
      </c>
      <c r="AA35" s="26">
        <f>IFERROR(IF($B35&lt;&gt;"Entry","",IF(OR(X35="Individual",X35="HUF"),SUMPRODUCT(('Rate Master'!$D$2:$D$50=(Y35&amp;"|"&amp;$B$2))*'Rate Master'!$E$2:$E$50),SUMPRODUCT(('Rate Master'!$D$2:$D$50=(Y35&amp;"|"&amp;$B$2))*'Rate Master'!$F$2:$F$50))),"")</f>
      </c>
      <c r="AB35" s="29"/>
      <c r="AC35" s="30"/>
      <c r="AD35" s="31"/>
      <c r="AE35" s="26">
        <f>IF($B35&lt;&gt;"Entry","",ROUND(AD35*AB35/100,0))</f>
      </c>
      <c r="AF35" s="31"/>
      <c r="AG35" s="31"/>
      <c r="AH35" s="26">
        <f>IF($B35&lt;&gt;"Entry","",IF(OR(AE35=0,AC35="",AS35="",AS35&lt;=0),0,IF(AS35&lt;=DATE(YEAR(AC35),MONTH(AC35)+1,7),0,ROUND(AE35*0.015*((YEAR(AS35)-YEAR(AC35))*12+(MONTH(AS35)-MONTH(AC35))+1),0))))</f>
      </c>
      <c r="AI35" s="31"/>
      <c r="AJ35" s="27"/>
      <c r="AK35" s="27"/>
      <c r="AL35" s="29"/>
      <c r="AM35" s="27"/>
      <c r="AN35" s="27"/>
      <c r="AO35" s="26">
        <f>IF($B35&lt;&gt;"Challan","",SUMIF($C$8:$C$207,$C35,$AE$8:$AE$207)+SUMIF($C$8:$C$207,$C35,$AH$8:$AH$207)+SUMIF($C$8:$C$207,$C35,$AF$8:$AF$207))</f>
      </c>
      <c r="AP35" s="26">
        <f>IF($B35&lt;&gt;"Challan","",O35-M35)</f>
      </c>
      <c r="AQ35" s="26">
        <f>IF($B35&lt;&gt;"Challan","",MAX(0,AP35-AO35))</f>
      </c>
      <c r="AR35" s="32">
        <f>IF($B35&lt;&gt;"Challan","",IF(ROUND(AO35-AP35,2)&gt;0,"Over-applied",IF(ROUND(AO35-AP35,2)=0,"Fully Utilised","Unconsumed")))</f>
      </c>
      <c r="AS35" s="33">
        <f>IF($B35&lt;&gt;"Entry","",SUMPRODUCT(($C$8:$C$207=$C35)*($B$8:$B$207="Challan")*$F$8:$F$207))</f>
      </c>
    </row>
    <row r="36" spans="1:45" x14ac:dyDescent="0.25">
      <c r="A36" s="19">
        <f>IF($B36="Entry",COUNTIF($B$8:$B36,"Entry"),"")</f>
      </c>
      <c r="B36" s="20"/>
      <c r="C36" s="21"/>
      <c r="D36" s="22"/>
      <c r="E36" s="22"/>
      <c r="F36" s="23"/>
      <c r="G36" s="24"/>
      <c r="H36" s="25"/>
      <c r="I36" s="25"/>
      <c r="J36" s="25"/>
      <c r="K36" s="25"/>
      <c r="L36" s="25"/>
      <c r="M36" s="25"/>
      <c r="N36" s="25"/>
      <c r="O36" s="26">
        <f>IF($B36&lt;&gt;"Challan","",H36+I36+J36+K36+L36+M36)</f>
      </c>
      <c r="P36" s="24"/>
      <c r="Q36" s="24"/>
      <c r="R36" s="24"/>
      <c r="S36" s="24"/>
      <c r="T36" s="24"/>
      <c r="U36" s="27"/>
      <c r="V36" s="27"/>
      <c r="W36" s="27"/>
      <c r="X36" s="27"/>
      <c r="Y36" s="27"/>
      <c r="Z36" s="28">
        <f>IFERROR(IF($B36&lt;&gt;"Entry","",IF(W36="Y",SUMPRODUCT(('Rate Master'!$D$2:$D$50=(Y36&amp;"|"&amp;$B$2))*'Rate Master'!$I$2:$I$50),IF(OR(X36="Individual",X36="HUF"),SUMPRODUCT(('Rate Master'!$D$2:$D$50=(Y36&amp;"|"&amp;$B$2))*'Rate Master'!$G$2:$G$50),SUMPRODUCT(('Rate Master'!$D$2:$D$50=(Y36&amp;"|"&amp;$B$2))*'Rate Master'!$H$2:$H$50)))),"")</f>
      </c>
      <c r="AA36" s="26">
        <f>IFERROR(IF($B36&lt;&gt;"Entry","",IF(OR(X36="Individual",X36="HUF"),SUMPRODUCT(('Rate Master'!$D$2:$D$50=(Y36&amp;"|"&amp;$B$2))*'Rate Master'!$E$2:$E$50),SUMPRODUCT(('Rate Master'!$D$2:$D$50=(Y36&amp;"|"&amp;$B$2))*'Rate Master'!$F$2:$F$50))),"")</f>
      </c>
      <c r="AB36" s="29"/>
      <c r="AC36" s="30"/>
      <c r="AD36" s="31"/>
      <c r="AE36" s="26">
        <f>IF($B36&lt;&gt;"Entry","",ROUND(AD36*AB36/100,0))</f>
      </c>
      <c r="AF36" s="31"/>
      <c r="AG36" s="31"/>
      <c r="AH36" s="26">
        <f>IF($B36&lt;&gt;"Entry","",IF(OR(AE36=0,AC36="",AS36="",AS36&lt;=0),0,IF(AS36&lt;=DATE(YEAR(AC36),MONTH(AC36)+1,7),0,ROUND(AE36*0.015*((YEAR(AS36)-YEAR(AC36))*12+(MONTH(AS36)-MONTH(AC36))+1),0))))</f>
      </c>
      <c r="AI36" s="31"/>
      <c r="AJ36" s="27"/>
      <c r="AK36" s="27"/>
      <c r="AL36" s="29"/>
      <c r="AM36" s="27"/>
      <c r="AN36" s="27"/>
      <c r="AO36" s="26">
        <f>IF($B36&lt;&gt;"Challan","",SUMIF($C$8:$C$207,$C36,$AE$8:$AE$207)+SUMIF($C$8:$C$207,$C36,$AH$8:$AH$207)+SUMIF($C$8:$C$207,$C36,$AF$8:$AF$207))</f>
      </c>
      <c r="AP36" s="26">
        <f>IF($B36&lt;&gt;"Challan","",O36-M36)</f>
      </c>
      <c r="AQ36" s="26">
        <f>IF($B36&lt;&gt;"Challan","",MAX(0,AP36-AO36))</f>
      </c>
      <c r="AR36" s="32">
        <f>IF($B36&lt;&gt;"Challan","",IF(ROUND(AO36-AP36,2)&gt;0,"Over-applied",IF(ROUND(AO36-AP36,2)=0,"Fully Utilised","Unconsumed")))</f>
      </c>
      <c r="AS36" s="33">
        <f>IF($B36&lt;&gt;"Entry","",SUMPRODUCT(($C$8:$C$207=$C36)*($B$8:$B$207="Challan")*$F$8:$F$207))</f>
      </c>
    </row>
    <row r="37" spans="1:45" x14ac:dyDescent="0.25">
      <c r="A37" s="19">
        <f>IF($B37="Entry",COUNTIF($B$8:$B37,"Entry"),"")</f>
      </c>
      <c r="B37" s="20"/>
      <c r="C37" s="21"/>
      <c r="D37" s="22"/>
      <c r="E37" s="22"/>
      <c r="F37" s="23"/>
      <c r="G37" s="24"/>
      <c r="H37" s="25"/>
      <c r="I37" s="25"/>
      <c r="J37" s="25"/>
      <c r="K37" s="25"/>
      <c r="L37" s="25"/>
      <c r="M37" s="25"/>
      <c r="N37" s="25"/>
      <c r="O37" s="26">
        <f>IF($B37&lt;&gt;"Challan","",H37+I37+J37+K37+L37+M37)</f>
      </c>
      <c r="P37" s="24"/>
      <c r="Q37" s="24"/>
      <c r="R37" s="24"/>
      <c r="S37" s="24"/>
      <c r="T37" s="24"/>
      <c r="U37" s="27"/>
      <c r="V37" s="27"/>
      <c r="W37" s="27"/>
      <c r="X37" s="27"/>
      <c r="Y37" s="27"/>
      <c r="Z37" s="28">
        <f>IFERROR(IF($B37&lt;&gt;"Entry","",IF(W37="Y",SUMPRODUCT(('Rate Master'!$D$2:$D$50=(Y37&amp;"|"&amp;$B$2))*'Rate Master'!$I$2:$I$50),IF(OR(X37="Individual",X37="HUF"),SUMPRODUCT(('Rate Master'!$D$2:$D$50=(Y37&amp;"|"&amp;$B$2))*'Rate Master'!$G$2:$G$50),SUMPRODUCT(('Rate Master'!$D$2:$D$50=(Y37&amp;"|"&amp;$B$2))*'Rate Master'!$H$2:$H$50)))),"")</f>
      </c>
      <c r="AA37" s="26">
        <f>IFERROR(IF($B37&lt;&gt;"Entry","",IF(OR(X37="Individual",X37="HUF"),SUMPRODUCT(('Rate Master'!$D$2:$D$50=(Y37&amp;"|"&amp;$B$2))*'Rate Master'!$E$2:$E$50),SUMPRODUCT(('Rate Master'!$D$2:$D$50=(Y37&amp;"|"&amp;$B$2))*'Rate Master'!$F$2:$F$50))),"")</f>
      </c>
      <c r="AB37" s="29"/>
      <c r="AC37" s="30"/>
      <c r="AD37" s="31"/>
      <c r="AE37" s="26">
        <f>IF($B37&lt;&gt;"Entry","",ROUND(AD37*AB37/100,0))</f>
      </c>
      <c r="AF37" s="31"/>
      <c r="AG37" s="31"/>
      <c r="AH37" s="26">
        <f>IF($B37&lt;&gt;"Entry","",IF(OR(AE37=0,AC37="",AS37="",AS37&lt;=0),0,IF(AS37&lt;=DATE(YEAR(AC37),MONTH(AC37)+1,7),0,ROUND(AE37*0.015*((YEAR(AS37)-YEAR(AC37))*12+(MONTH(AS37)-MONTH(AC37))+1),0))))</f>
      </c>
      <c r="AI37" s="31"/>
      <c r="AJ37" s="27"/>
      <c r="AK37" s="27"/>
      <c r="AL37" s="29"/>
      <c r="AM37" s="27"/>
      <c r="AN37" s="27"/>
      <c r="AO37" s="26">
        <f>IF($B37&lt;&gt;"Challan","",SUMIF($C$8:$C$207,$C37,$AE$8:$AE$207)+SUMIF($C$8:$C$207,$C37,$AH$8:$AH$207)+SUMIF($C$8:$C$207,$C37,$AF$8:$AF$207))</f>
      </c>
      <c r="AP37" s="26">
        <f>IF($B37&lt;&gt;"Challan","",O37-M37)</f>
      </c>
      <c r="AQ37" s="26">
        <f>IF($B37&lt;&gt;"Challan","",MAX(0,AP37-AO37))</f>
      </c>
      <c r="AR37" s="32">
        <f>IF($B37&lt;&gt;"Challan","",IF(ROUND(AO37-AP37,2)&gt;0,"Over-applied",IF(ROUND(AO37-AP37,2)=0,"Fully Utilised","Unconsumed")))</f>
      </c>
      <c r="AS37" s="33">
        <f>IF($B37&lt;&gt;"Entry","",SUMPRODUCT(($C$8:$C$207=$C37)*($B$8:$B$207="Challan")*$F$8:$F$207))</f>
      </c>
    </row>
    <row r="38" spans="1:45" x14ac:dyDescent="0.25">
      <c r="A38" s="19">
        <f>IF($B38="Entry",COUNTIF($B$8:$B38,"Entry"),"")</f>
      </c>
      <c r="B38" s="20"/>
      <c r="C38" s="21"/>
      <c r="D38" s="22"/>
      <c r="E38" s="22"/>
      <c r="F38" s="23"/>
      <c r="G38" s="24"/>
      <c r="H38" s="25"/>
      <c r="I38" s="25"/>
      <c r="J38" s="25"/>
      <c r="K38" s="25"/>
      <c r="L38" s="25"/>
      <c r="M38" s="25"/>
      <c r="N38" s="25"/>
      <c r="O38" s="26">
        <f>IF($B38&lt;&gt;"Challan","",H38+I38+J38+K38+L38+M38)</f>
      </c>
      <c r="P38" s="24"/>
      <c r="Q38" s="24"/>
      <c r="R38" s="24"/>
      <c r="S38" s="24"/>
      <c r="T38" s="24"/>
      <c r="U38" s="27"/>
      <c r="V38" s="27"/>
      <c r="W38" s="27"/>
      <c r="X38" s="27"/>
      <c r="Y38" s="27"/>
      <c r="Z38" s="28">
        <f>IFERROR(IF($B38&lt;&gt;"Entry","",IF(W38="Y",SUMPRODUCT(('Rate Master'!$D$2:$D$50=(Y38&amp;"|"&amp;$B$2))*'Rate Master'!$I$2:$I$50),IF(OR(X38="Individual",X38="HUF"),SUMPRODUCT(('Rate Master'!$D$2:$D$50=(Y38&amp;"|"&amp;$B$2))*'Rate Master'!$G$2:$G$50),SUMPRODUCT(('Rate Master'!$D$2:$D$50=(Y38&amp;"|"&amp;$B$2))*'Rate Master'!$H$2:$H$50)))),"")</f>
      </c>
      <c r="AA38" s="26">
        <f>IFERROR(IF($B38&lt;&gt;"Entry","",IF(OR(X38="Individual",X38="HUF"),SUMPRODUCT(('Rate Master'!$D$2:$D$50=(Y38&amp;"|"&amp;$B$2))*'Rate Master'!$E$2:$E$50),SUMPRODUCT(('Rate Master'!$D$2:$D$50=(Y38&amp;"|"&amp;$B$2))*'Rate Master'!$F$2:$F$50))),"")</f>
      </c>
      <c r="AB38" s="29"/>
      <c r="AC38" s="30"/>
      <c r="AD38" s="31"/>
      <c r="AE38" s="26">
        <f>IF($B38&lt;&gt;"Entry","",ROUND(AD38*AB38/100,0))</f>
      </c>
      <c r="AF38" s="31"/>
      <c r="AG38" s="31"/>
      <c r="AH38" s="26">
        <f>IF($B38&lt;&gt;"Entry","",IF(OR(AE38=0,AC38="",AS38="",AS38&lt;=0),0,IF(AS38&lt;=DATE(YEAR(AC38),MONTH(AC38)+1,7),0,ROUND(AE38*0.015*((YEAR(AS38)-YEAR(AC38))*12+(MONTH(AS38)-MONTH(AC38))+1),0))))</f>
      </c>
      <c r="AI38" s="31"/>
      <c r="AJ38" s="27"/>
      <c r="AK38" s="27"/>
      <c r="AL38" s="29"/>
      <c r="AM38" s="27"/>
      <c r="AN38" s="27"/>
      <c r="AO38" s="26">
        <f>IF($B38&lt;&gt;"Challan","",SUMIF($C$8:$C$207,$C38,$AE$8:$AE$207)+SUMIF($C$8:$C$207,$C38,$AH$8:$AH$207)+SUMIF($C$8:$C$207,$C38,$AF$8:$AF$207))</f>
      </c>
      <c r="AP38" s="26">
        <f>IF($B38&lt;&gt;"Challan","",O38-M38)</f>
      </c>
      <c r="AQ38" s="26">
        <f>IF($B38&lt;&gt;"Challan","",MAX(0,AP38-AO38))</f>
      </c>
      <c r="AR38" s="32">
        <f>IF($B38&lt;&gt;"Challan","",IF(ROUND(AO38-AP38,2)&gt;0,"Over-applied",IF(ROUND(AO38-AP38,2)=0,"Fully Utilised","Unconsumed")))</f>
      </c>
      <c r="AS38" s="33">
        <f>IF($B38&lt;&gt;"Entry","",SUMPRODUCT(($C$8:$C$207=$C38)*($B$8:$B$207="Challan")*$F$8:$F$207))</f>
      </c>
    </row>
    <row r="39" spans="1:45" x14ac:dyDescent="0.25">
      <c r="A39" s="19">
        <f>IF($B39="Entry",COUNTIF($B$8:$B39,"Entry"),"")</f>
      </c>
      <c r="B39" s="20"/>
      <c r="C39" s="21"/>
      <c r="D39" s="22"/>
      <c r="E39" s="22"/>
      <c r="F39" s="23"/>
      <c r="G39" s="24"/>
      <c r="H39" s="25"/>
      <c r="I39" s="25"/>
      <c r="J39" s="25"/>
      <c r="K39" s="25"/>
      <c r="L39" s="25"/>
      <c r="M39" s="25"/>
      <c r="N39" s="25"/>
      <c r="O39" s="26">
        <f>IF($B39&lt;&gt;"Challan","",H39+I39+J39+K39+L39+M39)</f>
      </c>
      <c r="P39" s="24"/>
      <c r="Q39" s="24"/>
      <c r="R39" s="24"/>
      <c r="S39" s="24"/>
      <c r="T39" s="24"/>
      <c r="U39" s="27"/>
      <c r="V39" s="27"/>
      <c r="W39" s="27"/>
      <c r="X39" s="27"/>
      <c r="Y39" s="27"/>
      <c r="Z39" s="28">
        <f>IFERROR(IF($B39&lt;&gt;"Entry","",IF(W39="Y",SUMPRODUCT(('Rate Master'!$D$2:$D$50=(Y39&amp;"|"&amp;$B$2))*'Rate Master'!$I$2:$I$50),IF(OR(X39="Individual",X39="HUF"),SUMPRODUCT(('Rate Master'!$D$2:$D$50=(Y39&amp;"|"&amp;$B$2))*'Rate Master'!$G$2:$G$50),SUMPRODUCT(('Rate Master'!$D$2:$D$50=(Y39&amp;"|"&amp;$B$2))*'Rate Master'!$H$2:$H$50)))),"")</f>
      </c>
      <c r="AA39" s="26">
        <f>IFERROR(IF($B39&lt;&gt;"Entry","",IF(OR(X39="Individual",X39="HUF"),SUMPRODUCT(('Rate Master'!$D$2:$D$50=(Y39&amp;"|"&amp;$B$2))*'Rate Master'!$E$2:$E$50),SUMPRODUCT(('Rate Master'!$D$2:$D$50=(Y39&amp;"|"&amp;$B$2))*'Rate Master'!$F$2:$F$50))),"")</f>
      </c>
      <c r="AB39" s="29"/>
      <c r="AC39" s="30"/>
      <c r="AD39" s="31"/>
      <c r="AE39" s="26">
        <f>IF($B39&lt;&gt;"Entry","",ROUND(AD39*AB39/100,0))</f>
      </c>
      <c r="AF39" s="31"/>
      <c r="AG39" s="31"/>
      <c r="AH39" s="26">
        <f>IF($B39&lt;&gt;"Entry","",IF(OR(AE39=0,AC39="",AS39="",AS39&lt;=0),0,IF(AS39&lt;=DATE(YEAR(AC39),MONTH(AC39)+1,7),0,ROUND(AE39*0.015*((YEAR(AS39)-YEAR(AC39))*12+(MONTH(AS39)-MONTH(AC39))+1),0))))</f>
      </c>
      <c r="AI39" s="31"/>
      <c r="AJ39" s="27"/>
      <c r="AK39" s="27"/>
      <c r="AL39" s="29"/>
      <c r="AM39" s="27"/>
      <c r="AN39" s="27"/>
      <c r="AO39" s="26">
        <f>IF($B39&lt;&gt;"Challan","",SUMIF($C$8:$C$207,$C39,$AE$8:$AE$207)+SUMIF($C$8:$C$207,$C39,$AH$8:$AH$207)+SUMIF($C$8:$C$207,$C39,$AF$8:$AF$207))</f>
      </c>
      <c r="AP39" s="26">
        <f>IF($B39&lt;&gt;"Challan","",O39-M39)</f>
      </c>
      <c r="AQ39" s="26">
        <f>IF($B39&lt;&gt;"Challan","",MAX(0,AP39-AO39))</f>
      </c>
      <c r="AR39" s="32">
        <f>IF($B39&lt;&gt;"Challan","",IF(ROUND(AO39-AP39,2)&gt;0,"Over-applied",IF(ROUND(AO39-AP39,2)=0,"Fully Utilised","Unconsumed")))</f>
      </c>
      <c r="AS39" s="33">
        <f>IF($B39&lt;&gt;"Entry","",SUMPRODUCT(($C$8:$C$207=$C39)*($B$8:$B$207="Challan")*$F$8:$F$207))</f>
      </c>
    </row>
    <row r="40" spans="1:45" x14ac:dyDescent="0.25">
      <c r="A40" s="19">
        <f>IF($B40="Entry",COUNTIF($B$8:$B40,"Entry"),"")</f>
      </c>
      <c r="B40" s="20"/>
      <c r="C40" s="21"/>
      <c r="D40" s="22"/>
      <c r="E40" s="22"/>
      <c r="F40" s="23"/>
      <c r="G40" s="24"/>
      <c r="H40" s="25"/>
      <c r="I40" s="25"/>
      <c r="J40" s="25"/>
      <c r="K40" s="25"/>
      <c r="L40" s="25"/>
      <c r="M40" s="25"/>
      <c r="N40" s="25"/>
      <c r="O40" s="26">
        <f>IF($B40&lt;&gt;"Challan","",H40+I40+J40+K40+L40+M40)</f>
      </c>
      <c r="P40" s="24"/>
      <c r="Q40" s="24"/>
      <c r="R40" s="24"/>
      <c r="S40" s="24"/>
      <c r="T40" s="24"/>
      <c r="U40" s="27"/>
      <c r="V40" s="27"/>
      <c r="W40" s="27"/>
      <c r="X40" s="27"/>
      <c r="Y40" s="27"/>
      <c r="Z40" s="28">
        <f>IFERROR(IF($B40&lt;&gt;"Entry","",IF(W40="Y",SUMPRODUCT(('Rate Master'!$D$2:$D$50=(Y40&amp;"|"&amp;$B$2))*'Rate Master'!$I$2:$I$50),IF(OR(X40="Individual",X40="HUF"),SUMPRODUCT(('Rate Master'!$D$2:$D$50=(Y40&amp;"|"&amp;$B$2))*'Rate Master'!$G$2:$G$50),SUMPRODUCT(('Rate Master'!$D$2:$D$50=(Y40&amp;"|"&amp;$B$2))*'Rate Master'!$H$2:$H$50)))),"")</f>
      </c>
      <c r="AA40" s="26">
        <f>IFERROR(IF($B40&lt;&gt;"Entry","",IF(OR(X40="Individual",X40="HUF"),SUMPRODUCT(('Rate Master'!$D$2:$D$50=(Y40&amp;"|"&amp;$B$2))*'Rate Master'!$E$2:$E$50),SUMPRODUCT(('Rate Master'!$D$2:$D$50=(Y40&amp;"|"&amp;$B$2))*'Rate Master'!$F$2:$F$50))),"")</f>
      </c>
      <c r="AB40" s="29"/>
      <c r="AC40" s="30"/>
      <c r="AD40" s="31"/>
      <c r="AE40" s="26">
        <f>IF($B40&lt;&gt;"Entry","",ROUND(AD40*AB40/100,0))</f>
      </c>
      <c r="AF40" s="31"/>
      <c r="AG40" s="31"/>
      <c r="AH40" s="26">
        <f>IF($B40&lt;&gt;"Entry","",IF(OR(AE40=0,AC40="",AS40="",AS40&lt;=0),0,IF(AS40&lt;=DATE(YEAR(AC40),MONTH(AC40)+1,7),0,ROUND(AE40*0.015*((YEAR(AS40)-YEAR(AC40))*12+(MONTH(AS40)-MONTH(AC40))+1),0))))</f>
      </c>
      <c r="AI40" s="31"/>
      <c r="AJ40" s="27"/>
      <c r="AK40" s="27"/>
      <c r="AL40" s="29"/>
      <c r="AM40" s="27"/>
      <c r="AN40" s="27"/>
      <c r="AO40" s="26">
        <f>IF($B40&lt;&gt;"Challan","",SUMIF($C$8:$C$207,$C40,$AE$8:$AE$207)+SUMIF($C$8:$C$207,$C40,$AH$8:$AH$207)+SUMIF($C$8:$C$207,$C40,$AF$8:$AF$207))</f>
      </c>
      <c r="AP40" s="26">
        <f>IF($B40&lt;&gt;"Challan","",O40-M40)</f>
      </c>
      <c r="AQ40" s="26">
        <f>IF($B40&lt;&gt;"Challan","",MAX(0,AP40-AO40))</f>
      </c>
      <c r="AR40" s="32">
        <f>IF($B40&lt;&gt;"Challan","",IF(ROUND(AO40-AP40,2)&gt;0,"Over-applied",IF(ROUND(AO40-AP40,2)=0,"Fully Utilised","Unconsumed")))</f>
      </c>
      <c r="AS40" s="33">
        <f>IF($B40&lt;&gt;"Entry","",SUMPRODUCT(($C$8:$C$207=$C40)*($B$8:$B$207="Challan")*$F$8:$F$207))</f>
      </c>
    </row>
    <row r="41" spans="1:45" x14ac:dyDescent="0.25">
      <c r="A41" s="19">
        <f>IF($B41="Entry",COUNTIF($B$8:$B41,"Entry"),"")</f>
      </c>
      <c r="B41" s="20"/>
      <c r="C41" s="21"/>
      <c r="D41" s="22"/>
      <c r="E41" s="22"/>
      <c r="F41" s="23"/>
      <c r="G41" s="24"/>
      <c r="H41" s="25"/>
      <c r="I41" s="25"/>
      <c r="J41" s="25"/>
      <c r="K41" s="25"/>
      <c r="L41" s="25"/>
      <c r="M41" s="25"/>
      <c r="N41" s="25"/>
      <c r="O41" s="26">
        <f>IF($B41&lt;&gt;"Challan","",H41+I41+J41+K41+L41+M41)</f>
      </c>
      <c r="P41" s="24"/>
      <c r="Q41" s="24"/>
      <c r="R41" s="24"/>
      <c r="S41" s="24"/>
      <c r="T41" s="24"/>
      <c r="U41" s="27"/>
      <c r="V41" s="27"/>
      <c r="W41" s="27"/>
      <c r="X41" s="27"/>
      <c r="Y41" s="27"/>
      <c r="Z41" s="28">
        <f>IFERROR(IF($B41&lt;&gt;"Entry","",IF(W41="Y",SUMPRODUCT(('Rate Master'!$D$2:$D$50=(Y41&amp;"|"&amp;$B$2))*'Rate Master'!$I$2:$I$50),IF(OR(X41="Individual",X41="HUF"),SUMPRODUCT(('Rate Master'!$D$2:$D$50=(Y41&amp;"|"&amp;$B$2))*'Rate Master'!$G$2:$G$50),SUMPRODUCT(('Rate Master'!$D$2:$D$50=(Y41&amp;"|"&amp;$B$2))*'Rate Master'!$H$2:$H$50)))),"")</f>
      </c>
      <c r="AA41" s="26">
        <f>IFERROR(IF($B41&lt;&gt;"Entry","",IF(OR(X41="Individual",X41="HUF"),SUMPRODUCT(('Rate Master'!$D$2:$D$50=(Y41&amp;"|"&amp;$B$2))*'Rate Master'!$E$2:$E$50),SUMPRODUCT(('Rate Master'!$D$2:$D$50=(Y41&amp;"|"&amp;$B$2))*'Rate Master'!$F$2:$F$50))),"")</f>
      </c>
      <c r="AB41" s="29"/>
      <c r="AC41" s="30"/>
      <c r="AD41" s="31"/>
      <c r="AE41" s="26">
        <f>IF($B41&lt;&gt;"Entry","",ROUND(AD41*AB41/100,0))</f>
      </c>
      <c r="AF41" s="31"/>
      <c r="AG41" s="31"/>
      <c r="AH41" s="26">
        <f>IF($B41&lt;&gt;"Entry","",IF(OR(AE41=0,AC41="",AS41="",AS41&lt;=0),0,IF(AS41&lt;=DATE(YEAR(AC41),MONTH(AC41)+1,7),0,ROUND(AE41*0.015*((YEAR(AS41)-YEAR(AC41))*12+(MONTH(AS41)-MONTH(AC41))+1),0))))</f>
      </c>
      <c r="AI41" s="31"/>
      <c r="AJ41" s="27"/>
      <c r="AK41" s="27"/>
      <c r="AL41" s="29"/>
      <c r="AM41" s="27"/>
      <c r="AN41" s="27"/>
      <c r="AO41" s="26">
        <f>IF($B41&lt;&gt;"Challan","",SUMIF($C$8:$C$207,$C41,$AE$8:$AE$207)+SUMIF($C$8:$C$207,$C41,$AH$8:$AH$207)+SUMIF($C$8:$C$207,$C41,$AF$8:$AF$207))</f>
      </c>
      <c r="AP41" s="26">
        <f>IF($B41&lt;&gt;"Challan","",O41-M41)</f>
      </c>
      <c r="AQ41" s="26">
        <f>IF($B41&lt;&gt;"Challan","",MAX(0,AP41-AO41))</f>
      </c>
      <c r="AR41" s="32">
        <f>IF($B41&lt;&gt;"Challan","",IF(ROUND(AO41-AP41,2)&gt;0,"Over-applied",IF(ROUND(AO41-AP41,2)=0,"Fully Utilised","Unconsumed")))</f>
      </c>
      <c r="AS41" s="33">
        <f>IF($B41&lt;&gt;"Entry","",SUMPRODUCT(($C$8:$C$207=$C41)*($B$8:$B$207="Challan")*$F$8:$F$207))</f>
      </c>
    </row>
    <row r="42" spans="1:45" x14ac:dyDescent="0.25">
      <c r="A42" s="19">
        <f>IF($B42="Entry",COUNTIF($B$8:$B42,"Entry"),"")</f>
      </c>
      <c r="B42" s="20"/>
      <c r="C42" s="21"/>
      <c r="D42" s="22"/>
      <c r="E42" s="22"/>
      <c r="F42" s="23"/>
      <c r="G42" s="24"/>
      <c r="H42" s="25"/>
      <c r="I42" s="25"/>
      <c r="J42" s="25"/>
      <c r="K42" s="25"/>
      <c r="L42" s="25"/>
      <c r="M42" s="25"/>
      <c r="N42" s="25"/>
      <c r="O42" s="26">
        <f>IF($B42&lt;&gt;"Challan","",H42+I42+J42+K42+L42+M42)</f>
      </c>
      <c r="P42" s="24"/>
      <c r="Q42" s="24"/>
      <c r="R42" s="24"/>
      <c r="S42" s="24"/>
      <c r="T42" s="24"/>
      <c r="U42" s="27"/>
      <c r="V42" s="27"/>
      <c r="W42" s="27"/>
      <c r="X42" s="27"/>
      <c r="Y42" s="27"/>
      <c r="Z42" s="28">
        <f>IFERROR(IF($B42&lt;&gt;"Entry","",IF(W42="Y",SUMPRODUCT(('Rate Master'!$D$2:$D$50=(Y42&amp;"|"&amp;$B$2))*'Rate Master'!$I$2:$I$50),IF(OR(X42="Individual",X42="HUF"),SUMPRODUCT(('Rate Master'!$D$2:$D$50=(Y42&amp;"|"&amp;$B$2))*'Rate Master'!$G$2:$G$50),SUMPRODUCT(('Rate Master'!$D$2:$D$50=(Y42&amp;"|"&amp;$B$2))*'Rate Master'!$H$2:$H$50)))),"")</f>
      </c>
      <c r="AA42" s="26">
        <f>IFERROR(IF($B42&lt;&gt;"Entry","",IF(OR(X42="Individual",X42="HUF"),SUMPRODUCT(('Rate Master'!$D$2:$D$50=(Y42&amp;"|"&amp;$B$2))*'Rate Master'!$E$2:$E$50),SUMPRODUCT(('Rate Master'!$D$2:$D$50=(Y42&amp;"|"&amp;$B$2))*'Rate Master'!$F$2:$F$50))),"")</f>
      </c>
      <c r="AB42" s="29"/>
      <c r="AC42" s="30"/>
      <c r="AD42" s="31"/>
      <c r="AE42" s="26">
        <f>IF($B42&lt;&gt;"Entry","",ROUND(AD42*AB42/100,0))</f>
      </c>
      <c r="AF42" s="31"/>
      <c r="AG42" s="31"/>
      <c r="AH42" s="26">
        <f>IF($B42&lt;&gt;"Entry","",IF(OR(AE42=0,AC42="",AS42="",AS42&lt;=0),0,IF(AS42&lt;=DATE(YEAR(AC42),MONTH(AC42)+1,7),0,ROUND(AE42*0.015*((YEAR(AS42)-YEAR(AC42))*12+(MONTH(AS42)-MONTH(AC42))+1),0))))</f>
      </c>
      <c r="AI42" s="31"/>
      <c r="AJ42" s="27"/>
      <c r="AK42" s="27"/>
      <c r="AL42" s="29"/>
      <c r="AM42" s="27"/>
      <c r="AN42" s="27"/>
      <c r="AO42" s="26">
        <f>IF($B42&lt;&gt;"Challan","",SUMIF($C$8:$C$207,$C42,$AE$8:$AE$207)+SUMIF($C$8:$C$207,$C42,$AH$8:$AH$207)+SUMIF($C$8:$C$207,$C42,$AF$8:$AF$207))</f>
      </c>
      <c r="AP42" s="26">
        <f>IF($B42&lt;&gt;"Challan","",O42-M42)</f>
      </c>
      <c r="AQ42" s="26">
        <f>IF($B42&lt;&gt;"Challan","",MAX(0,AP42-AO42))</f>
      </c>
      <c r="AR42" s="32">
        <f>IF($B42&lt;&gt;"Challan","",IF(ROUND(AO42-AP42,2)&gt;0,"Over-applied",IF(ROUND(AO42-AP42,2)=0,"Fully Utilised","Unconsumed")))</f>
      </c>
      <c r="AS42" s="33">
        <f>IF($B42&lt;&gt;"Entry","",SUMPRODUCT(($C$8:$C$207=$C42)*($B$8:$B$207="Challan")*$F$8:$F$207))</f>
      </c>
    </row>
    <row r="43" spans="1:45" x14ac:dyDescent="0.25">
      <c r="A43" s="19">
        <f>IF($B43="Entry",COUNTIF($B$8:$B43,"Entry"),"")</f>
      </c>
      <c r="B43" s="20"/>
      <c r="C43" s="21"/>
      <c r="D43" s="22"/>
      <c r="E43" s="22"/>
      <c r="F43" s="23"/>
      <c r="G43" s="24"/>
      <c r="H43" s="25"/>
      <c r="I43" s="25"/>
      <c r="J43" s="25"/>
      <c r="K43" s="25"/>
      <c r="L43" s="25"/>
      <c r="M43" s="25"/>
      <c r="N43" s="25"/>
      <c r="O43" s="26">
        <f>IF($B43&lt;&gt;"Challan","",H43+I43+J43+K43+L43+M43)</f>
      </c>
      <c r="P43" s="24"/>
      <c r="Q43" s="24"/>
      <c r="R43" s="24"/>
      <c r="S43" s="24"/>
      <c r="T43" s="24"/>
      <c r="U43" s="27"/>
      <c r="V43" s="27"/>
      <c r="W43" s="27"/>
      <c r="X43" s="27"/>
      <c r="Y43" s="27"/>
      <c r="Z43" s="28">
        <f>IFERROR(IF($B43&lt;&gt;"Entry","",IF(W43="Y",SUMPRODUCT(('Rate Master'!$D$2:$D$50=(Y43&amp;"|"&amp;$B$2))*'Rate Master'!$I$2:$I$50),IF(OR(X43="Individual",X43="HUF"),SUMPRODUCT(('Rate Master'!$D$2:$D$50=(Y43&amp;"|"&amp;$B$2))*'Rate Master'!$G$2:$G$50),SUMPRODUCT(('Rate Master'!$D$2:$D$50=(Y43&amp;"|"&amp;$B$2))*'Rate Master'!$H$2:$H$50)))),"")</f>
      </c>
      <c r="AA43" s="26">
        <f>IFERROR(IF($B43&lt;&gt;"Entry","",IF(OR(X43="Individual",X43="HUF"),SUMPRODUCT(('Rate Master'!$D$2:$D$50=(Y43&amp;"|"&amp;$B$2))*'Rate Master'!$E$2:$E$50),SUMPRODUCT(('Rate Master'!$D$2:$D$50=(Y43&amp;"|"&amp;$B$2))*'Rate Master'!$F$2:$F$50))),"")</f>
      </c>
      <c r="AB43" s="29"/>
      <c r="AC43" s="30"/>
      <c r="AD43" s="31"/>
      <c r="AE43" s="26">
        <f>IF($B43&lt;&gt;"Entry","",ROUND(AD43*AB43/100,0))</f>
      </c>
      <c r="AF43" s="31"/>
      <c r="AG43" s="31"/>
      <c r="AH43" s="26">
        <f>IF($B43&lt;&gt;"Entry","",IF(OR(AE43=0,AC43="",AS43="",AS43&lt;=0),0,IF(AS43&lt;=DATE(YEAR(AC43),MONTH(AC43)+1,7),0,ROUND(AE43*0.015*((YEAR(AS43)-YEAR(AC43))*12+(MONTH(AS43)-MONTH(AC43))+1),0))))</f>
      </c>
      <c r="AI43" s="31"/>
      <c r="AJ43" s="27"/>
      <c r="AK43" s="27"/>
      <c r="AL43" s="29"/>
      <c r="AM43" s="27"/>
      <c r="AN43" s="27"/>
      <c r="AO43" s="26">
        <f>IF($B43&lt;&gt;"Challan","",SUMIF($C$8:$C$207,$C43,$AE$8:$AE$207)+SUMIF($C$8:$C$207,$C43,$AH$8:$AH$207)+SUMIF($C$8:$C$207,$C43,$AF$8:$AF$207))</f>
      </c>
      <c r="AP43" s="26">
        <f>IF($B43&lt;&gt;"Challan","",O43-M43)</f>
      </c>
      <c r="AQ43" s="26">
        <f>IF($B43&lt;&gt;"Challan","",MAX(0,AP43-AO43))</f>
      </c>
      <c r="AR43" s="32">
        <f>IF($B43&lt;&gt;"Challan","",IF(ROUND(AO43-AP43,2)&gt;0,"Over-applied",IF(ROUND(AO43-AP43,2)=0,"Fully Utilised","Unconsumed")))</f>
      </c>
      <c r="AS43" s="33">
        <f>IF($B43&lt;&gt;"Entry","",SUMPRODUCT(($C$8:$C$207=$C43)*($B$8:$B$207="Challan")*$F$8:$F$207))</f>
      </c>
    </row>
    <row r="44" spans="1:45" x14ac:dyDescent="0.25">
      <c r="A44" s="19">
        <f>IF($B44="Entry",COUNTIF($B$8:$B44,"Entry"),"")</f>
      </c>
      <c r="B44" s="20"/>
      <c r="C44" s="21"/>
      <c r="D44" s="22"/>
      <c r="E44" s="22"/>
      <c r="F44" s="23"/>
      <c r="G44" s="24"/>
      <c r="H44" s="25"/>
      <c r="I44" s="25"/>
      <c r="J44" s="25"/>
      <c r="K44" s="25"/>
      <c r="L44" s="25"/>
      <c r="M44" s="25"/>
      <c r="N44" s="25"/>
      <c r="O44" s="26">
        <f>IF($B44&lt;&gt;"Challan","",H44+I44+J44+K44+L44+M44)</f>
      </c>
      <c r="P44" s="24"/>
      <c r="Q44" s="24"/>
      <c r="R44" s="24"/>
      <c r="S44" s="24"/>
      <c r="T44" s="24"/>
      <c r="U44" s="27"/>
      <c r="V44" s="27"/>
      <c r="W44" s="27"/>
      <c r="X44" s="27"/>
      <c r="Y44" s="27"/>
      <c r="Z44" s="28">
        <f>IFERROR(IF($B44&lt;&gt;"Entry","",IF(W44="Y",SUMPRODUCT(('Rate Master'!$D$2:$D$50=(Y44&amp;"|"&amp;$B$2))*'Rate Master'!$I$2:$I$50),IF(OR(X44="Individual",X44="HUF"),SUMPRODUCT(('Rate Master'!$D$2:$D$50=(Y44&amp;"|"&amp;$B$2))*'Rate Master'!$G$2:$G$50),SUMPRODUCT(('Rate Master'!$D$2:$D$50=(Y44&amp;"|"&amp;$B$2))*'Rate Master'!$H$2:$H$50)))),"")</f>
      </c>
      <c r="AA44" s="26">
        <f>IFERROR(IF($B44&lt;&gt;"Entry","",IF(OR(X44="Individual",X44="HUF"),SUMPRODUCT(('Rate Master'!$D$2:$D$50=(Y44&amp;"|"&amp;$B$2))*'Rate Master'!$E$2:$E$50),SUMPRODUCT(('Rate Master'!$D$2:$D$50=(Y44&amp;"|"&amp;$B$2))*'Rate Master'!$F$2:$F$50))),"")</f>
      </c>
      <c r="AB44" s="29"/>
      <c r="AC44" s="30"/>
      <c r="AD44" s="31"/>
      <c r="AE44" s="26">
        <f>IF($B44&lt;&gt;"Entry","",ROUND(AD44*AB44/100,0))</f>
      </c>
      <c r="AF44" s="31"/>
      <c r="AG44" s="31"/>
      <c r="AH44" s="26">
        <f>IF($B44&lt;&gt;"Entry","",IF(OR(AE44=0,AC44="",AS44="",AS44&lt;=0),0,IF(AS44&lt;=DATE(YEAR(AC44),MONTH(AC44)+1,7),0,ROUND(AE44*0.015*((YEAR(AS44)-YEAR(AC44))*12+(MONTH(AS44)-MONTH(AC44))+1),0))))</f>
      </c>
      <c r="AI44" s="31"/>
      <c r="AJ44" s="27"/>
      <c r="AK44" s="27"/>
      <c r="AL44" s="29"/>
      <c r="AM44" s="27"/>
      <c r="AN44" s="27"/>
      <c r="AO44" s="26">
        <f>IF($B44&lt;&gt;"Challan","",SUMIF($C$8:$C$207,$C44,$AE$8:$AE$207)+SUMIF($C$8:$C$207,$C44,$AH$8:$AH$207)+SUMIF($C$8:$C$207,$C44,$AF$8:$AF$207))</f>
      </c>
      <c r="AP44" s="26">
        <f>IF($B44&lt;&gt;"Challan","",O44-M44)</f>
      </c>
      <c r="AQ44" s="26">
        <f>IF($B44&lt;&gt;"Challan","",MAX(0,AP44-AO44))</f>
      </c>
      <c r="AR44" s="32">
        <f>IF($B44&lt;&gt;"Challan","",IF(ROUND(AO44-AP44,2)&gt;0,"Over-applied",IF(ROUND(AO44-AP44,2)=0,"Fully Utilised","Unconsumed")))</f>
      </c>
      <c r="AS44" s="33">
        <f>IF($B44&lt;&gt;"Entry","",SUMPRODUCT(($C$8:$C$207=$C44)*($B$8:$B$207="Challan")*$F$8:$F$207))</f>
      </c>
    </row>
    <row r="45" spans="1:45" x14ac:dyDescent="0.25">
      <c r="A45" s="19">
        <f>IF($B45="Entry",COUNTIF($B$8:$B45,"Entry"),"")</f>
      </c>
      <c r="B45" s="20"/>
      <c r="C45" s="21"/>
      <c r="D45" s="22"/>
      <c r="E45" s="22"/>
      <c r="F45" s="23"/>
      <c r="G45" s="24"/>
      <c r="H45" s="25"/>
      <c r="I45" s="25"/>
      <c r="J45" s="25"/>
      <c r="K45" s="25"/>
      <c r="L45" s="25"/>
      <c r="M45" s="25"/>
      <c r="N45" s="25"/>
      <c r="O45" s="26">
        <f>IF($B45&lt;&gt;"Challan","",H45+I45+J45+K45+L45+M45)</f>
      </c>
      <c r="P45" s="24"/>
      <c r="Q45" s="24"/>
      <c r="R45" s="24"/>
      <c r="S45" s="24"/>
      <c r="T45" s="24"/>
      <c r="U45" s="27"/>
      <c r="V45" s="27"/>
      <c r="W45" s="27"/>
      <c r="X45" s="27"/>
      <c r="Y45" s="27"/>
      <c r="Z45" s="28">
        <f>IFERROR(IF($B45&lt;&gt;"Entry","",IF(W45="Y",SUMPRODUCT(('Rate Master'!$D$2:$D$50=(Y45&amp;"|"&amp;$B$2))*'Rate Master'!$I$2:$I$50),IF(OR(X45="Individual",X45="HUF"),SUMPRODUCT(('Rate Master'!$D$2:$D$50=(Y45&amp;"|"&amp;$B$2))*'Rate Master'!$G$2:$G$50),SUMPRODUCT(('Rate Master'!$D$2:$D$50=(Y45&amp;"|"&amp;$B$2))*'Rate Master'!$H$2:$H$50)))),"")</f>
      </c>
      <c r="AA45" s="26">
        <f>IFERROR(IF($B45&lt;&gt;"Entry","",IF(OR(X45="Individual",X45="HUF"),SUMPRODUCT(('Rate Master'!$D$2:$D$50=(Y45&amp;"|"&amp;$B$2))*'Rate Master'!$E$2:$E$50),SUMPRODUCT(('Rate Master'!$D$2:$D$50=(Y45&amp;"|"&amp;$B$2))*'Rate Master'!$F$2:$F$50))),"")</f>
      </c>
      <c r="AB45" s="29"/>
      <c r="AC45" s="30"/>
      <c r="AD45" s="31"/>
      <c r="AE45" s="26">
        <f>IF($B45&lt;&gt;"Entry","",ROUND(AD45*AB45/100,0))</f>
      </c>
      <c r="AF45" s="31"/>
      <c r="AG45" s="31"/>
      <c r="AH45" s="26">
        <f>IF($B45&lt;&gt;"Entry","",IF(OR(AE45=0,AC45="",AS45="",AS45&lt;=0),0,IF(AS45&lt;=DATE(YEAR(AC45),MONTH(AC45)+1,7),0,ROUND(AE45*0.015*((YEAR(AS45)-YEAR(AC45))*12+(MONTH(AS45)-MONTH(AC45))+1),0))))</f>
      </c>
      <c r="AI45" s="31"/>
      <c r="AJ45" s="27"/>
      <c r="AK45" s="27"/>
      <c r="AL45" s="29"/>
      <c r="AM45" s="27"/>
      <c r="AN45" s="27"/>
      <c r="AO45" s="26">
        <f>IF($B45&lt;&gt;"Challan","",SUMIF($C$8:$C$207,$C45,$AE$8:$AE$207)+SUMIF($C$8:$C$207,$C45,$AH$8:$AH$207)+SUMIF($C$8:$C$207,$C45,$AF$8:$AF$207))</f>
      </c>
      <c r="AP45" s="26">
        <f>IF($B45&lt;&gt;"Challan","",O45-M45)</f>
      </c>
      <c r="AQ45" s="26">
        <f>IF($B45&lt;&gt;"Challan","",MAX(0,AP45-AO45))</f>
      </c>
      <c r="AR45" s="32">
        <f>IF($B45&lt;&gt;"Challan","",IF(ROUND(AO45-AP45,2)&gt;0,"Over-applied",IF(ROUND(AO45-AP45,2)=0,"Fully Utilised","Unconsumed")))</f>
      </c>
      <c r="AS45" s="33">
        <f>IF($B45&lt;&gt;"Entry","",SUMPRODUCT(($C$8:$C$207=$C45)*($B$8:$B$207="Challan")*$F$8:$F$207))</f>
      </c>
    </row>
    <row r="46" spans="1:45" x14ac:dyDescent="0.25">
      <c r="A46" s="19">
        <f>IF($B46="Entry",COUNTIF($B$8:$B46,"Entry"),"")</f>
      </c>
      <c r="B46" s="20"/>
      <c r="C46" s="21"/>
      <c r="D46" s="22"/>
      <c r="E46" s="22"/>
      <c r="F46" s="23"/>
      <c r="G46" s="24"/>
      <c r="H46" s="25"/>
      <c r="I46" s="25"/>
      <c r="J46" s="25"/>
      <c r="K46" s="25"/>
      <c r="L46" s="25"/>
      <c r="M46" s="25"/>
      <c r="N46" s="25"/>
      <c r="O46" s="26">
        <f>IF($B46&lt;&gt;"Challan","",H46+I46+J46+K46+L46+M46)</f>
      </c>
      <c r="P46" s="24"/>
      <c r="Q46" s="24"/>
      <c r="R46" s="24"/>
      <c r="S46" s="24"/>
      <c r="T46" s="24"/>
      <c r="U46" s="27"/>
      <c r="V46" s="27"/>
      <c r="W46" s="27"/>
      <c r="X46" s="27"/>
      <c r="Y46" s="27"/>
      <c r="Z46" s="28">
        <f>IFERROR(IF($B46&lt;&gt;"Entry","",IF(W46="Y",SUMPRODUCT(('Rate Master'!$D$2:$D$50=(Y46&amp;"|"&amp;$B$2))*'Rate Master'!$I$2:$I$50),IF(OR(X46="Individual",X46="HUF"),SUMPRODUCT(('Rate Master'!$D$2:$D$50=(Y46&amp;"|"&amp;$B$2))*'Rate Master'!$G$2:$G$50),SUMPRODUCT(('Rate Master'!$D$2:$D$50=(Y46&amp;"|"&amp;$B$2))*'Rate Master'!$H$2:$H$50)))),"")</f>
      </c>
      <c r="AA46" s="26">
        <f>IFERROR(IF($B46&lt;&gt;"Entry","",IF(OR(X46="Individual",X46="HUF"),SUMPRODUCT(('Rate Master'!$D$2:$D$50=(Y46&amp;"|"&amp;$B$2))*'Rate Master'!$E$2:$E$50),SUMPRODUCT(('Rate Master'!$D$2:$D$50=(Y46&amp;"|"&amp;$B$2))*'Rate Master'!$F$2:$F$50))),"")</f>
      </c>
      <c r="AB46" s="29"/>
      <c r="AC46" s="30"/>
      <c r="AD46" s="31"/>
      <c r="AE46" s="26">
        <f>IF($B46&lt;&gt;"Entry","",ROUND(AD46*AB46/100,0))</f>
      </c>
      <c r="AF46" s="31"/>
      <c r="AG46" s="31"/>
      <c r="AH46" s="26">
        <f>IF($B46&lt;&gt;"Entry","",IF(OR(AE46=0,AC46="",AS46="",AS46&lt;=0),0,IF(AS46&lt;=DATE(YEAR(AC46),MONTH(AC46)+1,7),0,ROUND(AE46*0.015*((YEAR(AS46)-YEAR(AC46))*12+(MONTH(AS46)-MONTH(AC46))+1),0))))</f>
      </c>
      <c r="AI46" s="31"/>
      <c r="AJ46" s="27"/>
      <c r="AK46" s="27"/>
      <c r="AL46" s="29"/>
      <c r="AM46" s="27"/>
      <c r="AN46" s="27"/>
      <c r="AO46" s="26">
        <f>IF($B46&lt;&gt;"Challan","",SUMIF($C$8:$C$207,$C46,$AE$8:$AE$207)+SUMIF($C$8:$C$207,$C46,$AH$8:$AH$207)+SUMIF($C$8:$C$207,$C46,$AF$8:$AF$207))</f>
      </c>
      <c r="AP46" s="26">
        <f>IF($B46&lt;&gt;"Challan","",O46-M46)</f>
      </c>
      <c r="AQ46" s="26">
        <f>IF($B46&lt;&gt;"Challan","",MAX(0,AP46-AO46))</f>
      </c>
      <c r="AR46" s="32">
        <f>IF($B46&lt;&gt;"Challan","",IF(ROUND(AO46-AP46,2)&gt;0,"Over-applied",IF(ROUND(AO46-AP46,2)=0,"Fully Utilised","Unconsumed")))</f>
      </c>
      <c r="AS46" s="33">
        <f>IF($B46&lt;&gt;"Entry","",SUMPRODUCT(($C$8:$C$207=$C46)*($B$8:$B$207="Challan")*$F$8:$F$207))</f>
      </c>
    </row>
    <row r="47" spans="1:45" x14ac:dyDescent="0.25">
      <c r="A47" s="19">
        <f>IF($B47="Entry",COUNTIF($B$8:$B47,"Entry"),"")</f>
      </c>
      <c r="B47" s="20"/>
      <c r="C47" s="21"/>
      <c r="D47" s="22"/>
      <c r="E47" s="22"/>
      <c r="F47" s="23"/>
      <c r="G47" s="24"/>
      <c r="H47" s="25"/>
      <c r="I47" s="25"/>
      <c r="J47" s="25"/>
      <c r="K47" s="25"/>
      <c r="L47" s="25"/>
      <c r="M47" s="25"/>
      <c r="N47" s="25"/>
      <c r="O47" s="26">
        <f>IF($B47&lt;&gt;"Challan","",H47+I47+J47+K47+L47+M47)</f>
      </c>
      <c r="P47" s="24"/>
      <c r="Q47" s="24"/>
      <c r="R47" s="24"/>
      <c r="S47" s="24"/>
      <c r="T47" s="24"/>
      <c r="U47" s="27"/>
      <c r="V47" s="27"/>
      <c r="W47" s="27"/>
      <c r="X47" s="27"/>
      <c r="Y47" s="27"/>
      <c r="Z47" s="28">
        <f>IFERROR(IF($B47&lt;&gt;"Entry","",IF(W47="Y",SUMPRODUCT(('Rate Master'!$D$2:$D$50=(Y47&amp;"|"&amp;$B$2))*'Rate Master'!$I$2:$I$50),IF(OR(X47="Individual",X47="HUF"),SUMPRODUCT(('Rate Master'!$D$2:$D$50=(Y47&amp;"|"&amp;$B$2))*'Rate Master'!$G$2:$G$50),SUMPRODUCT(('Rate Master'!$D$2:$D$50=(Y47&amp;"|"&amp;$B$2))*'Rate Master'!$H$2:$H$50)))),"")</f>
      </c>
      <c r="AA47" s="26">
        <f>IFERROR(IF($B47&lt;&gt;"Entry","",IF(OR(X47="Individual",X47="HUF"),SUMPRODUCT(('Rate Master'!$D$2:$D$50=(Y47&amp;"|"&amp;$B$2))*'Rate Master'!$E$2:$E$50),SUMPRODUCT(('Rate Master'!$D$2:$D$50=(Y47&amp;"|"&amp;$B$2))*'Rate Master'!$F$2:$F$50))),"")</f>
      </c>
      <c r="AB47" s="29"/>
      <c r="AC47" s="30"/>
      <c r="AD47" s="31"/>
      <c r="AE47" s="26">
        <f>IF($B47&lt;&gt;"Entry","",ROUND(AD47*AB47/100,0))</f>
      </c>
      <c r="AF47" s="31"/>
      <c r="AG47" s="31"/>
      <c r="AH47" s="26">
        <f>IF($B47&lt;&gt;"Entry","",IF(OR(AE47=0,AC47="",AS47="",AS47&lt;=0),0,IF(AS47&lt;=DATE(YEAR(AC47),MONTH(AC47)+1,7),0,ROUND(AE47*0.015*((YEAR(AS47)-YEAR(AC47))*12+(MONTH(AS47)-MONTH(AC47))+1),0))))</f>
      </c>
      <c r="AI47" s="31"/>
      <c r="AJ47" s="27"/>
      <c r="AK47" s="27"/>
      <c r="AL47" s="29"/>
      <c r="AM47" s="27"/>
      <c r="AN47" s="27"/>
      <c r="AO47" s="26">
        <f>IF($B47&lt;&gt;"Challan","",SUMIF($C$8:$C$207,$C47,$AE$8:$AE$207)+SUMIF($C$8:$C$207,$C47,$AH$8:$AH$207)+SUMIF($C$8:$C$207,$C47,$AF$8:$AF$207))</f>
      </c>
      <c r="AP47" s="26">
        <f>IF($B47&lt;&gt;"Challan","",O47-M47)</f>
      </c>
      <c r="AQ47" s="26">
        <f>IF($B47&lt;&gt;"Challan","",MAX(0,AP47-AO47))</f>
      </c>
      <c r="AR47" s="32">
        <f>IF($B47&lt;&gt;"Challan","",IF(ROUND(AO47-AP47,2)&gt;0,"Over-applied",IF(ROUND(AO47-AP47,2)=0,"Fully Utilised","Unconsumed")))</f>
      </c>
      <c r="AS47" s="33">
        <f>IF($B47&lt;&gt;"Entry","",SUMPRODUCT(($C$8:$C$207=$C47)*($B$8:$B$207="Challan")*$F$8:$F$207))</f>
      </c>
    </row>
    <row r="48" spans="1:45" x14ac:dyDescent="0.25">
      <c r="A48" s="19">
        <f>IF($B48="Entry",COUNTIF($B$8:$B48,"Entry"),"")</f>
      </c>
      <c r="B48" s="20"/>
      <c r="C48" s="21"/>
      <c r="D48" s="22"/>
      <c r="E48" s="22"/>
      <c r="F48" s="23"/>
      <c r="G48" s="24"/>
      <c r="H48" s="25"/>
      <c r="I48" s="25"/>
      <c r="J48" s="25"/>
      <c r="K48" s="25"/>
      <c r="L48" s="25"/>
      <c r="M48" s="25"/>
      <c r="N48" s="25"/>
      <c r="O48" s="26">
        <f>IF($B48&lt;&gt;"Challan","",H48+I48+J48+K48+L48+M48)</f>
      </c>
      <c r="P48" s="24"/>
      <c r="Q48" s="24"/>
      <c r="R48" s="24"/>
      <c r="S48" s="24"/>
      <c r="T48" s="24"/>
      <c r="U48" s="27"/>
      <c r="V48" s="27"/>
      <c r="W48" s="27"/>
      <c r="X48" s="27"/>
      <c r="Y48" s="27"/>
      <c r="Z48" s="28">
        <f>IFERROR(IF($B48&lt;&gt;"Entry","",IF(W48="Y",SUMPRODUCT(('Rate Master'!$D$2:$D$50=(Y48&amp;"|"&amp;$B$2))*'Rate Master'!$I$2:$I$50),IF(OR(X48="Individual",X48="HUF"),SUMPRODUCT(('Rate Master'!$D$2:$D$50=(Y48&amp;"|"&amp;$B$2))*'Rate Master'!$G$2:$G$50),SUMPRODUCT(('Rate Master'!$D$2:$D$50=(Y48&amp;"|"&amp;$B$2))*'Rate Master'!$H$2:$H$50)))),"")</f>
      </c>
      <c r="AA48" s="26">
        <f>IFERROR(IF($B48&lt;&gt;"Entry","",IF(OR(X48="Individual",X48="HUF"),SUMPRODUCT(('Rate Master'!$D$2:$D$50=(Y48&amp;"|"&amp;$B$2))*'Rate Master'!$E$2:$E$50),SUMPRODUCT(('Rate Master'!$D$2:$D$50=(Y48&amp;"|"&amp;$B$2))*'Rate Master'!$F$2:$F$50))),"")</f>
      </c>
      <c r="AB48" s="29"/>
      <c r="AC48" s="30"/>
      <c r="AD48" s="31"/>
      <c r="AE48" s="26">
        <f>IF($B48&lt;&gt;"Entry","",ROUND(AD48*AB48/100,0))</f>
      </c>
      <c r="AF48" s="31"/>
      <c r="AG48" s="31"/>
      <c r="AH48" s="26">
        <f>IF($B48&lt;&gt;"Entry","",IF(OR(AE48=0,AC48="",AS48="",AS48&lt;=0),0,IF(AS48&lt;=DATE(YEAR(AC48),MONTH(AC48)+1,7),0,ROUND(AE48*0.015*((YEAR(AS48)-YEAR(AC48))*12+(MONTH(AS48)-MONTH(AC48))+1),0))))</f>
      </c>
      <c r="AI48" s="31"/>
      <c r="AJ48" s="27"/>
      <c r="AK48" s="27"/>
      <c r="AL48" s="29"/>
      <c r="AM48" s="27"/>
      <c r="AN48" s="27"/>
      <c r="AO48" s="26">
        <f>IF($B48&lt;&gt;"Challan","",SUMIF($C$8:$C$207,$C48,$AE$8:$AE$207)+SUMIF($C$8:$C$207,$C48,$AH$8:$AH$207)+SUMIF($C$8:$C$207,$C48,$AF$8:$AF$207))</f>
      </c>
      <c r="AP48" s="26">
        <f>IF($B48&lt;&gt;"Challan","",O48-M48)</f>
      </c>
      <c r="AQ48" s="26">
        <f>IF($B48&lt;&gt;"Challan","",MAX(0,AP48-AO48))</f>
      </c>
      <c r="AR48" s="32">
        <f>IF($B48&lt;&gt;"Challan","",IF(ROUND(AO48-AP48,2)&gt;0,"Over-applied",IF(ROUND(AO48-AP48,2)=0,"Fully Utilised","Unconsumed")))</f>
      </c>
      <c r="AS48" s="33">
        <f>IF($B48&lt;&gt;"Entry","",SUMPRODUCT(($C$8:$C$207=$C48)*($B$8:$B$207="Challan")*$F$8:$F$207))</f>
      </c>
    </row>
    <row r="49" spans="1:45" x14ac:dyDescent="0.25">
      <c r="A49" s="19">
        <f>IF($B49="Entry",COUNTIF($B$8:$B49,"Entry"),"")</f>
      </c>
      <c r="B49" s="20"/>
      <c r="C49" s="21"/>
      <c r="D49" s="22"/>
      <c r="E49" s="22"/>
      <c r="F49" s="23"/>
      <c r="G49" s="24"/>
      <c r="H49" s="25"/>
      <c r="I49" s="25"/>
      <c r="J49" s="25"/>
      <c r="K49" s="25"/>
      <c r="L49" s="25"/>
      <c r="M49" s="25"/>
      <c r="N49" s="25"/>
      <c r="O49" s="26">
        <f>IF($B49&lt;&gt;"Challan","",H49+I49+J49+K49+L49+M49)</f>
      </c>
      <c r="P49" s="24"/>
      <c r="Q49" s="24"/>
      <c r="R49" s="24"/>
      <c r="S49" s="24"/>
      <c r="T49" s="24"/>
      <c r="U49" s="27"/>
      <c r="V49" s="27"/>
      <c r="W49" s="27"/>
      <c r="X49" s="27"/>
      <c r="Y49" s="27"/>
      <c r="Z49" s="28">
        <f>IFERROR(IF($B49&lt;&gt;"Entry","",IF(W49="Y",SUMPRODUCT(('Rate Master'!$D$2:$D$50=(Y49&amp;"|"&amp;$B$2))*'Rate Master'!$I$2:$I$50),IF(OR(X49="Individual",X49="HUF"),SUMPRODUCT(('Rate Master'!$D$2:$D$50=(Y49&amp;"|"&amp;$B$2))*'Rate Master'!$G$2:$G$50),SUMPRODUCT(('Rate Master'!$D$2:$D$50=(Y49&amp;"|"&amp;$B$2))*'Rate Master'!$H$2:$H$50)))),"")</f>
      </c>
      <c r="AA49" s="26">
        <f>IFERROR(IF($B49&lt;&gt;"Entry","",IF(OR(X49="Individual",X49="HUF"),SUMPRODUCT(('Rate Master'!$D$2:$D$50=(Y49&amp;"|"&amp;$B$2))*'Rate Master'!$E$2:$E$50),SUMPRODUCT(('Rate Master'!$D$2:$D$50=(Y49&amp;"|"&amp;$B$2))*'Rate Master'!$F$2:$F$50))),"")</f>
      </c>
      <c r="AB49" s="29"/>
      <c r="AC49" s="30"/>
      <c r="AD49" s="31"/>
      <c r="AE49" s="26">
        <f>IF($B49&lt;&gt;"Entry","",ROUND(AD49*AB49/100,0))</f>
      </c>
      <c r="AF49" s="31"/>
      <c r="AG49" s="31"/>
      <c r="AH49" s="26">
        <f>IF($B49&lt;&gt;"Entry","",IF(OR(AE49=0,AC49="",AS49="",AS49&lt;=0),0,IF(AS49&lt;=DATE(YEAR(AC49),MONTH(AC49)+1,7),0,ROUND(AE49*0.015*((YEAR(AS49)-YEAR(AC49))*12+(MONTH(AS49)-MONTH(AC49))+1),0))))</f>
      </c>
      <c r="AI49" s="31"/>
      <c r="AJ49" s="27"/>
      <c r="AK49" s="27"/>
      <c r="AL49" s="29"/>
      <c r="AM49" s="27"/>
      <c r="AN49" s="27"/>
      <c r="AO49" s="26">
        <f>IF($B49&lt;&gt;"Challan","",SUMIF($C$8:$C$207,$C49,$AE$8:$AE$207)+SUMIF($C$8:$C$207,$C49,$AH$8:$AH$207)+SUMIF($C$8:$C$207,$C49,$AF$8:$AF$207))</f>
      </c>
      <c r="AP49" s="26">
        <f>IF($B49&lt;&gt;"Challan","",O49-M49)</f>
      </c>
      <c r="AQ49" s="26">
        <f>IF($B49&lt;&gt;"Challan","",MAX(0,AP49-AO49))</f>
      </c>
      <c r="AR49" s="32">
        <f>IF($B49&lt;&gt;"Challan","",IF(ROUND(AO49-AP49,2)&gt;0,"Over-applied",IF(ROUND(AO49-AP49,2)=0,"Fully Utilised","Unconsumed")))</f>
      </c>
      <c r="AS49" s="33">
        <f>IF($B49&lt;&gt;"Entry","",SUMPRODUCT(($C$8:$C$207=$C49)*($B$8:$B$207="Challan")*$F$8:$F$207))</f>
      </c>
    </row>
    <row r="50" spans="1:45" x14ac:dyDescent="0.25">
      <c r="A50" s="19">
        <f>IF($B50="Entry",COUNTIF($B$8:$B50,"Entry"),"")</f>
      </c>
      <c r="B50" s="20"/>
      <c r="C50" s="21"/>
      <c r="D50" s="22"/>
      <c r="E50" s="22"/>
      <c r="F50" s="23"/>
      <c r="G50" s="24"/>
      <c r="H50" s="25"/>
      <c r="I50" s="25"/>
      <c r="J50" s="25"/>
      <c r="K50" s="25"/>
      <c r="L50" s="25"/>
      <c r="M50" s="25"/>
      <c r="N50" s="25"/>
      <c r="O50" s="26">
        <f>IF($B50&lt;&gt;"Challan","",H50+I50+J50+K50+L50+M50)</f>
      </c>
      <c r="P50" s="24"/>
      <c r="Q50" s="24"/>
      <c r="R50" s="24"/>
      <c r="S50" s="24"/>
      <c r="T50" s="24"/>
      <c r="U50" s="27"/>
      <c r="V50" s="27"/>
      <c r="W50" s="27"/>
      <c r="X50" s="27"/>
      <c r="Y50" s="27"/>
      <c r="Z50" s="28">
        <f>IFERROR(IF($B50&lt;&gt;"Entry","",IF(W50="Y",SUMPRODUCT(('Rate Master'!$D$2:$D$50=(Y50&amp;"|"&amp;$B$2))*'Rate Master'!$I$2:$I$50),IF(OR(X50="Individual",X50="HUF"),SUMPRODUCT(('Rate Master'!$D$2:$D$50=(Y50&amp;"|"&amp;$B$2))*'Rate Master'!$G$2:$G$50),SUMPRODUCT(('Rate Master'!$D$2:$D$50=(Y50&amp;"|"&amp;$B$2))*'Rate Master'!$H$2:$H$50)))),"")</f>
      </c>
      <c r="AA50" s="26">
        <f>IFERROR(IF($B50&lt;&gt;"Entry","",IF(OR(X50="Individual",X50="HUF"),SUMPRODUCT(('Rate Master'!$D$2:$D$50=(Y50&amp;"|"&amp;$B$2))*'Rate Master'!$E$2:$E$50),SUMPRODUCT(('Rate Master'!$D$2:$D$50=(Y50&amp;"|"&amp;$B$2))*'Rate Master'!$F$2:$F$50))),"")</f>
      </c>
      <c r="AB50" s="29"/>
      <c r="AC50" s="30"/>
      <c r="AD50" s="31"/>
      <c r="AE50" s="26">
        <f>IF($B50&lt;&gt;"Entry","",ROUND(AD50*AB50/100,0))</f>
      </c>
      <c r="AF50" s="31"/>
      <c r="AG50" s="31"/>
      <c r="AH50" s="26">
        <f>IF($B50&lt;&gt;"Entry","",IF(OR(AE50=0,AC50="",AS50="",AS50&lt;=0),0,IF(AS50&lt;=DATE(YEAR(AC50),MONTH(AC50)+1,7),0,ROUND(AE50*0.015*((YEAR(AS50)-YEAR(AC50))*12+(MONTH(AS50)-MONTH(AC50))+1),0))))</f>
      </c>
      <c r="AI50" s="31"/>
      <c r="AJ50" s="27"/>
      <c r="AK50" s="27"/>
      <c r="AL50" s="29"/>
      <c r="AM50" s="27"/>
      <c r="AN50" s="27"/>
      <c r="AO50" s="26">
        <f>IF($B50&lt;&gt;"Challan","",SUMIF($C$8:$C$207,$C50,$AE$8:$AE$207)+SUMIF($C$8:$C$207,$C50,$AH$8:$AH$207)+SUMIF($C$8:$C$207,$C50,$AF$8:$AF$207))</f>
      </c>
      <c r="AP50" s="26">
        <f>IF($B50&lt;&gt;"Challan","",O50-M50)</f>
      </c>
      <c r="AQ50" s="26">
        <f>IF($B50&lt;&gt;"Challan","",MAX(0,AP50-AO50))</f>
      </c>
      <c r="AR50" s="32">
        <f>IF($B50&lt;&gt;"Challan","",IF(ROUND(AO50-AP50,2)&gt;0,"Over-applied",IF(ROUND(AO50-AP50,2)=0,"Fully Utilised","Unconsumed")))</f>
      </c>
      <c r="AS50" s="33">
        <f>IF($B50&lt;&gt;"Entry","",SUMPRODUCT(($C$8:$C$207=$C50)*($B$8:$B$207="Challan")*$F$8:$F$207))</f>
      </c>
    </row>
    <row r="51" spans="1:45" x14ac:dyDescent="0.25">
      <c r="A51" s="19">
        <f>IF($B51="Entry",COUNTIF($B$8:$B51,"Entry"),"")</f>
      </c>
      <c r="B51" s="20"/>
      <c r="C51" s="21"/>
      <c r="D51" s="22"/>
      <c r="E51" s="22"/>
      <c r="F51" s="23"/>
      <c r="G51" s="24"/>
      <c r="H51" s="25"/>
      <c r="I51" s="25"/>
      <c r="J51" s="25"/>
      <c r="K51" s="25"/>
      <c r="L51" s="25"/>
      <c r="M51" s="25"/>
      <c r="N51" s="25"/>
      <c r="O51" s="26">
        <f>IF($B51&lt;&gt;"Challan","",H51+I51+J51+K51+L51+M51)</f>
      </c>
      <c r="P51" s="24"/>
      <c r="Q51" s="24"/>
      <c r="R51" s="24"/>
      <c r="S51" s="24"/>
      <c r="T51" s="24"/>
      <c r="U51" s="27"/>
      <c r="V51" s="27"/>
      <c r="W51" s="27"/>
      <c r="X51" s="27"/>
      <c r="Y51" s="27"/>
      <c r="Z51" s="28">
        <f>IFERROR(IF($B51&lt;&gt;"Entry","",IF(W51="Y",SUMPRODUCT(('Rate Master'!$D$2:$D$50=(Y51&amp;"|"&amp;$B$2))*'Rate Master'!$I$2:$I$50),IF(OR(X51="Individual",X51="HUF"),SUMPRODUCT(('Rate Master'!$D$2:$D$50=(Y51&amp;"|"&amp;$B$2))*'Rate Master'!$G$2:$G$50),SUMPRODUCT(('Rate Master'!$D$2:$D$50=(Y51&amp;"|"&amp;$B$2))*'Rate Master'!$H$2:$H$50)))),"")</f>
      </c>
      <c r="AA51" s="26">
        <f>IFERROR(IF($B51&lt;&gt;"Entry","",IF(OR(X51="Individual",X51="HUF"),SUMPRODUCT(('Rate Master'!$D$2:$D$50=(Y51&amp;"|"&amp;$B$2))*'Rate Master'!$E$2:$E$50),SUMPRODUCT(('Rate Master'!$D$2:$D$50=(Y51&amp;"|"&amp;$B$2))*'Rate Master'!$F$2:$F$50))),"")</f>
      </c>
      <c r="AB51" s="29"/>
      <c r="AC51" s="30"/>
      <c r="AD51" s="31"/>
      <c r="AE51" s="26">
        <f>IF($B51&lt;&gt;"Entry","",ROUND(AD51*AB51/100,0))</f>
      </c>
      <c r="AF51" s="31"/>
      <c r="AG51" s="31"/>
      <c r="AH51" s="26">
        <f>IF($B51&lt;&gt;"Entry","",IF(OR(AE51=0,AC51="",AS51="",AS51&lt;=0),0,IF(AS51&lt;=DATE(YEAR(AC51),MONTH(AC51)+1,7),0,ROUND(AE51*0.015*((YEAR(AS51)-YEAR(AC51))*12+(MONTH(AS51)-MONTH(AC51))+1),0))))</f>
      </c>
      <c r="AI51" s="31"/>
      <c r="AJ51" s="27"/>
      <c r="AK51" s="27"/>
      <c r="AL51" s="29"/>
      <c r="AM51" s="27"/>
      <c r="AN51" s="27"/>
      <c r="AO51" s="26">
        <f>IF($B51&lt;&gt;"Challan","",SUMIF($C$8:$C$207,$C51,$AE$8:$AE$207)+SUMIF($C$8:$C$207,$C51,$AH$8:$AH$207)+SUMIF($C$8:$C$207,$C51,$AF$8:$AF$207))</f>
      </c>
      <c r="AP51" s="26">
        <f>IF($B51&lt;&gt;"Challan","",O51-M51)</f>
      </c>
      <c r="AQ51" s="26">
        <f>IF($B51&lt;&gt;"Challan","",MAX(0,AP51-AO51))</f>
      </c>
      <c r="AR51" s="32">
        <f>IF($B51&lt;&gt;"Challan","",IF(ROUND(AO51-AP51,2)&gt;0,"Over-applied",IF(ROUND(AO51-AP51,2)=0,"Fully Utilised","Unconsumed")))</f>
      </c>
      <c r="AS51" s="33">
        <f>IF($B51&lt;&gt;"Entry","",SUMPRODUCT(($C$8:$C$207=$C51)*($B$8:$B$207="Challan")*$F$8:$F$207))</f>
      </c>
    </row>
    <row r="52" spans="1:45" x14ac:dyDescent="0.25">
      <c r="A52" s="19">
        <f>IF($B52="Entry",COUNTIF($B$8:$B52,"Entry"),"")</f>
      </c>
      <c r="B52" s="20"/>
      <c r="C52" s="21"/>
      <c r="D52" s="22"/>
      <c r="E52" s="22"/>
      <c r="F52" s="23"/>
      <c r="G52" s="24"/>
      <c r="H52" s="25"/>
      <c r="I52" s="25"/>
      <c r="J52" s="25"/>
      <c r="K52" s="25"/>
      <c r="L52" s="25"/>
      <c r="M52" s="25"/>
      <c r="N52" s="25"/>
      <c r="O52" s="26">
        <f>IF($B52&lt;&gt;"Challan","",H52+I52+J52+K52+L52+M52)</f>
      </c>
      <c r="P52" s="24"/>
      <c r="Q52" s="24"/>
      <c r="R52" s="24"/>
      <c r="S52" s="24"/>
      <c r="T52" s="24"/>
      <c r="U52" s="27"/>
      <c r="V52" s="27"/>
      <c r="W52" s="27"/>
      <c r="X52" s="27"/>
      <c r="Y52" s="27"/>
      <c r="Z52" s="28">
        <f>IFERROR(IF($B52&lt;&gt;"Entry","",IF(W52="Y",SUMPRODUCT(('Rate Master'!$D$2:$D$50=(Y52&amp;"|"&amp;$B$2))*'Rate Master'!$I$2:$I$50),IF(OR(X52="Individual",X52="HUF"),SUMPRODUCT(('Rate Master'!$D$2:$D$50=(Y52&amp;"|"&amp;$B$2))*'Rate Master'!$G$2:$G$50),SUMPRODUCT(('Rate Master'!$D$2:$D$50=(Y52&amp;"|"&amp;$B$2))*'Rate Master'!$H$2:$H$50)))),"")</f>
      </c>
      <c r="AA52" s="26">
        <f>IFERROR(IF($B52&lt;&gt;"Entry","",IF(OR(X52="Individual",X52="HUF"),SUMPRODUCT(('Rate Master'!$D$2:$D$50=(Y52&amp;"|"&amp;$B$2))*'Rate Master'!$E$2:$E$50),SUMPRODUCT(('Rate Master'!$D$2:$D$50=(Y52&amp;"|"&amp;$B$2))*'Rate Master'!$F$2:$F$50))),"")</f>
      </c>
      <c r="AB52" s="29"/>
      <c r="AC52" s="30"/>
      <c r="AD52" s="31"/>
      <c r="AE52" s="26">
        <f>IF($B52&lt;&gt;"Entry","",ROUND(AD52*AB52/100,0))</f>
      </c>
      <c r="AF52" s="31"/>
      <c r="AG52" s="31"/>
      <c r="AH52" s="26">
        <f>IF($B52&lt;&gt;"Entry","",IF(OR(AE52=0,AC52="",AS52="",AS52&lt;=0),0,IF(AS52&lt;=DATE(YEAR(AC52),MONTH(AC52)+1,7),0,ROUND(AE52*0.015*((YEAR(AS52)-YEAR(AC52))*12+(MONTH(AS52)-MONTH(AC52))+1),0))))</f>
      </c>
      <c r="AI52" s="31"/>
      <c r="AJ52" s="27"/>
      <c r="AK52" s="27"/>
      <c r="AL52" s="29"/>
      <c r="AM52" s="27"/>
      <c r="AN52" s="27"/>
      <c r="AO52" s="26">
        <f>IF($B52&lt;&gt;"Challan","",SUMIF($C$8:$C$207,$C52,$AE$8:$AE$207)+SUMIF($C$8:$C$207,$C52,$AH$8:$AH$207)+SUMIF($C$8:$C$207,$C52,$AF$8:$AF$207))</f>
      </c>
      <c r="AP52" s="26">
        <f>IF($B52&lt;&gt;"Challan","",O52-M52)</f>
      </c>
      <c r="AQ52" s="26">
        <f>IF($B52&lt;&gt;"Challan","",MAX(0,AP52-AO52))</f>
      </c>
      <c r="AR52" s="32">
        <f>IF($B52&lt;&gt;"Challan","",IF(ROUND(AO52-AP52,2)&gt;0,"Over-applied",IF(ROUND(AO52-AP52,2)=0,"Fully Utilised","Unconsumed")))</f>
      </c>
      <c r="AS52" s="33">
        <f>IF($B52&lt;&gt;"Entry","",SUMPRODUCT(($C$8:$C$207=$C52)*($B$8:$B$207="Challan")*$F$8:$F$207))</f>
      </c>
    </row>
    <row r="53" spans="1:45" x14ac:dyDescent="0.25">
      <c r="A53" s="19">
        <f>IF($B53="Entry",COUNTIF($B$8:$B53,"Entry"),"")</f>
      </c>
      <c r="B53" s="20"/>
      <c r="C53" s="21"/>
      <c r="D53" s="22"/>
      <c r="E53" s="22"/>
      <c r="F53" s="23"/>
      <c r="G53" s="24"/>
      <c r="H53" s="25"/>
      <c r="I53" s="25"/>
      <c r="J53" s="25"/>
      <c r="K53" s="25"/>
      <c r="L53" s="25"/>
      <c r="M53" s="25"/>
      <c r="N53" s="25"/>
      <c r="O53" s="26">
        <f>IF($B53&lt;&gt;"Challan","",H53+I53+J53+K53+L53+M53)</f>
      </c>
      <c r="P53" s="24"/>
      <c r="Q53" s="24"/>
      <c r="R53" s="24"/>
      <c r="S53" s="24"/>
      <c r="T53" s="24"/>
      <c r="U53" s="27"/>
      <c r="V53" s="27"/>
      <c r="W53" s="27"/>
      <c r="X53" s="27"/>
      <c r="Y53" s="27"/>
      <c r="Z53" s="28">
        <f>IFERROR(IF($B53&lt;&gt;"Entry","",IF(W53="Y",SUMPRODUCT(('Rate Master'!$D$2:$D$50=(Y53&amp;"|"&amp;$B$2))*'Rate Master'!$I$2:$I$50),IF(OR(X53="Individual",X53="HUF"),SUMPRODUCT(('Rate Master'!$D$2:$D$50=(Y53&amp;"|"&amp;$B$2))*'Rate Master'!$G$2:$G$50),SUMPRODUCT(('Rate Master'!$D$2:$D$50=(Y53&amp;"|"&amp;$B$2))*'Rate Master'!$H$2:$H$50)))),"")</f>
      </c>
      <c r="AA53" s="26">
        <f>IFERROR(IF($B53&lt;&gt;"Entry","",IF(OR(X53="Individual",X53="HUF"),SUMPRODUCT(('Rate Master'!$D$2:$D$50=(Y53&amp;"|"&amp;$B$2))*'Rate Master'!$E$2:$E$50),SUMPRODUCT(('Rate Master'!$D$2:$D$50=(Y53&amp;"|"&amp;$B$2))*'Rate Master'!$F$2:$F$50))),"")</f>
      </c>
      <c r="AB53" s="29"/>
      <c r="AC53" s="30"/>
      <c r="AD53" s="31"/>
      <c r="AE53" s="26">
        <f>IF($B53&lt;&gt;"Entry","",ROUND(AD53*AB53/100,0))</f>
      </c>
      <c r="AF53" s="31"/>
      <c r="AG53" s="31"/>
      <c r="AH53" s="26">
        <f>IF($B53&lt;&gt;"Entry","",IF(OR(AE53=0,AC53="",AS53="",AS53&lt;=0),0,IF(AS53&lt;=DATE(YEAR(AC53),MONTH(AC53)+1,7),0,ROUND(AE53*0.015*((YEAR(AS53)-YEAR(AC53))*12+(MONTH(AS53)-MONTH(AC53))+1),0))))</f>
      </c>
      <c r="AI53" s="31"/>
      <c r="AJ53" s="27"/>
      <c r="AK53" s="27"/>
      <c r="AL53" s="29"/>
      <c r="AM53" s="27"/>
      <c r="AN53" s="27"/>
      <c r="AO53" s="26">
        <f>IF($B53&lt;&gt;"Challan","",SUMIF($C$8:$C$207,$C53,$AE$8:$AE$207)+SUMIF($C$8:$C$207,$C53,$AH$8:$AH$207)+SUMIF($C$8:$C$207,$C53,$AF$8:$AF$207))</f>
      </c>
      <c r="AP53" s="26">
        <f>IF($B53&lt;&gt;"Challan","",O53-M53)</f>
      </c>
      <c r="AQ53" s="26">
        <f>IF($B53&lt;&gt;"Challan","",MAX(0,AP53-AO53))</f>
      </c>
      <c r="AR53" s="32">
        <f>IF($B53&lt;&gt;"Challan","",IF(ROUND(AO53-AP53,2)&gt;0,"Over-applied",IF(ROUND(AO53-AP53,2)=0,"Fully Utilised","Unconsumed")))</f>
      </c>
      <c r="AS53" s="33">
        <f>IF($B53&lt;&gt;"Entry","",SUMPRODUCT(($C$8:$C$207=$C53)*($B$8:$B$207="Challan")*$F$8:$F$207))</f>
      </c>
    </row>
    <row r="54" spans="1:45" x14ac:dyDescent="0.25">
      <c r="A54" s="19">
        <f>IF($B54="Entry",COUNTIF($B$8:$B54,"Entry"),"")</f>
      </c>
      <c r="B54" s="20"/>
      <c r="C54" s="21"/>
      <c r="D54" s="22"/>
      <c r="E54" s="22"/>
      <c r="F54" s="23"/>
      <c r="G54" s="24"/>
      <c r="H54" s="25"/>
      <c r="I54" s="25"/>
      <c r="J54" s="25"/>
      <c r="K54" s="25"/>
      <c r="L54" s="25"/>
      <c r="M54" s="25"/>
      <c r="N54" s="25"/>
      <c r="O54" s="26">
        <f>IF($B54&lt;&gt;"Challan","",H54+I54+J54+K54+L54+M54)</f>
      </c>
      <c r="P54" s="24"/>
      <c r="Q54" s="24"/>
      <c r="R54" s="24"/>
      <c r="S54" s="24"/>
      <c r="T54" s="24"/>
      <c r="U54" s="27"/>
      <c r="V54" s="27"/>
      <c r="W54" s="27"/>
      <c r="X54" s="27"/>
      <c r="Y54" s="27"/>
      <c r="Z54" s="28">
        <f>IFERROR(IF($B54&lt;&gt;"Entry","",IF(W54="Y",SUMPRODUCT(('Rate Master'!$D$2:$D$50=(Y54&amp;"|"&amp;$B$2))*'Rate Master'!$I$2:$I$50),IF(OR(X54="Individual",X54="HUF"),SUMPRODUCT(('Rate Master'!$D$2:$D$50=(Y54&amp;"|"&amp;$B$2))*'Rate Master'!$G$2:$G$50),SUMPRODUCT(('Rate Master'!$D$2:$D$50=(Y54&amp;"|"&amp;$B$2))*'Rate Master'!$H$2:$H$50)))),"")</f>
      </c>
      <c r="AA54" s="26">
        <f>IFERROR(IF($B54&lt;&gt;"Entry","",IF(OR(X54="Individual",X54="HUF"),SUMPRODUCT(('Rate Master'!$D$2:$D$50=(Y54&amp;"|"&amp;$B$2))*'Rate Master'!$E$2:$E$50),SUMPRODUCT(('Rate Master'!$D$2:$D$50=(Y54&amp;"|"&amp;$B$2))*'Rate Master'!$F$2:$F$50))),"")</f>
      </c>
      <c r="AB54" s="29"/>
      <c r="AC54" s="30"/>
      <c r="AD54" s="31"/>
      <c r="AE54" s="26">
        <f>IF($B54&lt;&gt;"Entry","",ROUND(AD54*AB54/100,0))</f>
      </c>
      <c r="AF54" s="31"/>
      <c r="AG54" s="31"/>
      <c r="AH54" s="26">
        <f>IF($B54&lt;&gt;"Entry","",IF(OR(AE54=0,AC54="",AS54="",AS54&lt;=0),0,IF(AS54&lt;=DATE(YEAR(AC54),MONTH(AC54)+1,7),0,ROUND(AE54*0.015*((YEAR(AS54)-YEAR(AC54))*12+(MONTH(AS54)-MONTH(AC54))+1),0))))</f>
      </c>
      <c r="AI54" s="31"/>
      <c r="AJ54" s="27"/>
      <c r="AK54" s="27"/>
      <c r="AL54" s="29"/>
      <c r="AM54" s="27"/>
      <c r="AN54" s="27"/>
      <c r="AO54" s="26">
        <f>IF($B54&lt;&gt;"Challan","",SUMIF($C$8:$C$207,$C54,$AE$8:$AE$207)+SUMIF($C$8:$C$207,$C54,$AH$8:$AH$207)+SUMIF($C$8:$C$207,$C54,$AF$8:$AF$207))</f>
      </c>
      <c r="AP54" s="26">
        <f>IF($B54&lt;&gt;"Challan","",O54-M54)</f>
      </c>
      <c r="AQ54" s="26">
        <f>IF($B54&lt;&gt;"Challan","",MAX(0,AP54-AO54))</f>
      </c>
      <c r="AR54" s="32">
        <f>IF($B54&lt;&gt;"Challan","",IF(ROUND(AO54-AP54,2)&gt;0,"Over-applied",IF(ROUND(AO54-AP54,2)=0,"Fully Utilised","Unconsumed")))</f>
      </c>
      <c r="AS54" s="33">
        <f>IF($B54&lt;&gt;"Entry","",SUMPRODUCT(($C$8:$C$207=$C54)*($B$8:$B$207="Challan")*$F$8:$F$207))</f>
      </c>
    </row>
    <row r="55" spans="1:45" x14ac:dyDescent="0.25">
      <c r="A55" s="19">
        <f>IF($B55="Entry",COUNTIF($B$8:$B55,"Entry"),"")</f>
      </c>
      <c r="B55" s="20"/>
      <c r="C55" s="21"/>
      <c r="D55" s="22"/>
      <c r="E55" s="22"/>
      <c r="F55" s="23"/>
      <c r="G55" s="24"/>
      <c r="H55" s="25"/>
      <c r="I55" s="25"/>
      <c r="J55" s="25"/>
      <c r="K55" s="25"/>
      <c r="L55" s="25"/>
      <c r="M55" s="25"/>
      <c r="N55" s="25"/>
      <c r="O55" s="26">
        <f>IF($B55&lt;&gt;"Challan","",H55+I55+J55+K55+L55+M55)</f>
      </c>
      <c r="P55" s="24"/>
      <c r="Q55" s="24"/>
      <c r="R55" s="24"/>
      <c r="S55" s="24"/>
      <c r="T55" s="24"/>
      <c r="U55" s="27"/>
      <c r="V55" s="27"/>
      <c r="W55" s="27"/>
      <c r="X55" s="27"/>
      <c r="Y55" s="27"/>
      <c r="Z55" s="28">
        <f>IFERROR(IF($B55&lt;&gt;"Entry","",IF(W55="Y",SUMPRODUCT(('Rate Master'!$D$2:$D$50=(Y55&amp;"|"&amp;$B$2))*'Rate Master'!$I$2:$I$50),IF(OR(X55="Individual",X55="HUF"),SUMPRODUCT(('Rate Master'!$D$2:$D$50=(Y55&amp;"|"&amp;$B$2))*'Rate Master'!$G$2:$G$50),SUMPRODUCT(('Rate Master'!$D$2:$D$50=(Y55&amp;"|"&amp;$B$2))*'Rate Master'!$H$2:$H$50)))),"")</f>
      </c>
      <c r="AA55" s="26">
        <f>IFERROR(IF($B55&lt;&gt;"Entry","",IF(OR(X55="Individual",X55="HUF"),SUMPRODUCT(('Rate Master'!$D$2:$D$50=(Y55&amp;"|"&amp;$B$2))*'Rate Master'!$E$2:$E$50),SUMPRODUCT(('Rate Master'!$D$2:$D$50=(Y55&amp;"|"&amp;$B$2))*'Rate Master'!$F$2:$F$50))),"")</f>
      </c>
      <c r="AB55" s="29"/>
      <c r="AC55" s="30"/>
      <c r="AD55" s="31"/>
      <c r="AE55" s="26">
        <f>IF($B55&lt;&gt;"Entry","",ROUND(AD55*AB55/100,0))</f>
      </c>
      <c r="AF55" s="31"/>
      <c r="AG55" s="31"/>
      <c r="AH55" s="26">
        <f>IF($B55&lt;&gt;"Entry","",IF(OR(AE55=0,AC55="",AS55="",AS55&lt;=0),0,IF(AS55&lt;=DATE(YEAR(AC55),MONTH(AC55)+1,7),0,ROUND(AE55*0.015*((YEAR(AS55)-YEAR(AC55))*12+(MONTH(AS55)-MONTH(AC55))+1),0))))</f>
      </c>
      <c r="AI55" s="31"/>
      <c r="AJ55" s="27"/>
      <c r="AK55" s="27"/>
      <c r="AL55" s="29"/>
      <c r="AM55" s="27"/>
      <c r="AN55" s="27"/>
      <c r="AO55" s="26">
        <f>IF($B55&lt;&gt;"Challan","",SUMIF($C$8:$C$207,$C55,$AE$8:$AE$207)+SUMIF($C$8:$C$207,$C55,$AH$8:$AH$207)+SUMIF($C$8:$C$207,$C55,$AF$8:$AF$207))</f>
      </c>
      <c r="AP55" s="26">
        <f>IF($B55&lt;&gt;"Challan","",O55-M55)</f>
      </c>
      <c r="AQ55" s="26">
        <f>IF($B55&lt;&gt;"Challan","",MAX(0,AP55-AO55))</f>
      </c>
      <c r="AR55" s="32">
        <f>IF($B55&lt;&gt;"Challan","",IF(ROUND(AO55-AP55,2)&gt;0,"Over-applied",IF(ROUND(AO55-AP55,2)=0,"Fully Utilised","Unconsumed")))</f>
      </c>
      <c r="AS55" s="33">
        <f>IF($B55&lt;&gt;"Entry","",SUMPRODUCT(($C$8:$C$207=$C55)*($B$8:$B$207="Challan")*$F$8:$F$207))</f>
      </c>
    </row>
    <row r="56" spans="1:45" x14ac:dyDescent="0.25">
      <c r="A56" s="19">
        <f>IF($B56="Entry",COUNTIF($B$8:$B56,"Entry"),"")</f>
      </c>
      <c r="B56" s="20"/>
      <c r="C56" s="21"/>
      <c r="D56" s="22"/>
      <c r="E56" s="22"/>
      <c r="F56" s="23"/>
      <c r="G56" s="24"/>
      <c r="H56" s="25"/>
      <c r="I56" s="25"/>
      <c r="J56" s="25"/>
      <c r="K56" s="25"/>
      <c r="L56" s="25"/>
      <c r="M56" s="25"/>
      <c r="N56" s="25"/>
      <c r="O56" s="26">
        <f>IF($B56&lt;&gt;"Challan","",H56+I56+J56+K56+L56+M56)</f>
      </c>
      <c r="P56" s="24"/>
      <c r="Q56" s="24"/>
      <c r="R56" s="24"/>
      <c r="S56" s="24"/>
      <c r="T56" s="24"/>
      <c r="U56" s="27"/>
      <c r="V56" s="27"/>
      <c r="W56" s="27"/>
      <c r="X56" s="27"/>
      <c r="Y56" s="27"/>
      <c r="Z56" s="28">
        <f>IFERROR(IF($B56&lt;&gt;"Entry","",IF(W56="Y",SUMPRODUCT(('Rate Master'!$D$2:$D$50=(Y56&amp;"|"&amp;$B$2))*'Rate Master'!$I$2:$I$50),IF(OR(X56="Individual",X56="HUF"),SUMPRODUCT(('Rate Master'!$D$2:$D$50=(Y56&amp;"|"&amp;$B$2))*'Rate Master'!$G$2:$G$50),SUMPRODUCT(('Rate Master'!$D$2:$D$50=(Y56&amp;"|"&amp;$B$2))*'Rate Master'!$H$2:$H$50)))),"")</f>
      </c>
      <c r="AA56" s="26">
        <f>IFERROR(IF($B56&lt;&gt;"Entry","",IF(OR(X56="Individual",X56="HUF"),SUMPRODUCT(('Rate Master'!$D$2:$D$50=(Y56&amp;"|"&amp;$B$2))*'Rate Master'!$E$2:$E$50),SUMPRODUCT(('Rate Master'!$D$2:$D$50=(Y56&amp;"|"&amp;$B$2))*'Rate Master'!$F$2:$F$50))),"")</f>
      </c>
      <c r="AB56" s="29"/>
      <c r="AC56" s="30"/>
      <c r="AD56" s="31"/>
      <c r="AE56" s="26">
        <f>IF($B56&lt;&gt;"Entry","",ROUND(AD56*AB56/100,0))</f>
      </c>
      <c r="AF56" s="31"/>
      <c r="AG56" s="31"/>
      <c r="AH56" s="26">
        <f>IF($B56&lt;&gt;"Entry","",IF(OR(AE56=0,AC56="",AS56="",AS56&lt;=0),0,IF(AS56&lt;=DATE(YEAR(AC56),MONTH(AC56)+1,7),0,ROUND(AE56*0.015*((YEAR(AS56)-YEAR(AC56))*12+(MONTH(AS56)-MONTH(AC56))+1),0))))</f>
      </c>
      <c r="AI56" s="31"/>
      <c r="AJ56" s="27"/>
      <c r="AK56" s="27"/>
      <c r="AL56" s="29"/>
      <c r="AM56" s="27"/>
      <c r="AN56" s="27"/>
      <c r="AO56" s="26">
        <f>IF($B56&lt;&gt;"Challan","",SUMIF($C$8:$C$207,$C56,$AE$8:$AE$207)+SUMIF($C$8:$C$207,$C56,$AH$8:$AH$207)+SUMIF($C$8:$C$207,$C56,$AF$8:$AF$207))</f>
      </c>
      <c r="AP56" s="26">
        <f>IF($B56&lt;&gt;"Challan","",O56-M56)</f>
      </c>
      <c r="AQ56" s="26">
        <f>IF($B56&lt;&gt;"Challan","",MAX(0,AP56-AO56))</f>
      </c>
      <c r="AR56" s="32">
        <f>IF($B56&lt;&gt;"Challan","",IF(ROUND(AO56-AP56,2)&gt;0,"Over-applied",IF(ROUND(AO56-AP56,2)=0,"Fully Utilised","Unconsumed")))</f>
      </c>
      <c r="AS56" s="33">
        <f>IF($B56&lt;&gt;"Entry","",SUMPRODUCT(($C$8:$C$207=$C56)*($B$8:$B$207="Challan")*$F$8:$F$207))</f>
      </c>
    </row>
    <row r="57" spans="1:45" x14ac:dyDescent="0.25">
      <c r="A57" s="19">
        <f>IF($B57="Entry",COUNTIF($B$8:$B57,"Entry"),"")</f>
      </c>
      <c r="B57" s="20"/>
      <c r="C57" s="21"/>
      <c r="D57" s="22"/>
      <c r="E57" s="22"/>
      <c r="F57" s="23"/>
      <c r="G57" s="24"/>
      <c r="H57" s="25"/>
      <c r="I57" s="25"/>
      <c r="J57" s="25"/>
      <c r="K57" s="25"/>
      <c r="L57" s="25"/>
      <c r="M57" s="25"/>
      <c r="N57" s="25"/>
      <c r="O57" s="26">
        <f>IF($B57&lt;&gt;"Challan","",H57+I57+J57+K57+L57+M57)</f>
      </c>
      <c r="P57" s="24"/>
      <c r="Q57" s="24"/>
      <c r="R57" s="24"/>
      <c r="S57" s="24"/>
      <c r="T57" s="24"/>
      <c r="U57" s="27"/>
      <c r="V57" s="27"/>
      <c r="W57" s="27"/>
      <c r="X57" s="27"/>
      <c r="Y57" s="27"/>
      <c r="Z57" s="28">
        <f>IFERROR(IF($B57&lt;&gt;"Entry","",IF(W57="Y",SUMPRODUCT(('Rate Master'!$D$2:$D$50=(Y57&amp;"|"&amp;$B$2))*'Rate Master'!$I$2:$I$50),IF(OR(X57="Individual",X57="HUF"),SUMPRODUCT(('Rate Master'!$D$2:$D$50=(Y57&amp;"|"&amp;$B$2))*'Rate Master'!$G$2:$G$50),SUMPRODUCT(('Rate Master'!$D$2:$D$50=(Y57&amp;"|"&amp;$B$2))*'Rate Master'!$H$2:$H$50)))),"")</f>
      </c>
      <c r="AA57" s="26">
        <f>IFERROR(IF($B57&lt;&gt;"Entry","",IF(OR(X57="Individual",X57="HUF"),SUMPRODUCT(('Rate Master'!$D$2:$D$50=(Y57&amp;"|"&amp;$B$2))*'Rate Master'!$E$2:$E$50),SUMPRODUCT(('Rate Master'!$D$2:$D$50=(Y57&amp;"|"&amp;$B$2))*'Rate Master'!$F$2:$F$50))),"")</f>
      </c>
      <c r="AB57" s="29"/>
      <c r="AC57" s="30"/>
      <c r="AD57" s="31"/>
      <c r="AE57" s="26">
        <f>IF($B57&lt;&gt;"Entry","",ROUND(AD57*AB57/100,0))</f>
      </c>
      <c r="AF57" s="31"/>
      <c r="AG57" s="31"/>
      <c r="AH57" s="26">
        <f>IF($B57&lt;&gt;"Entry","",IF(OR(AE57=0,AC57="",AS57="",AS57&lt;=0),0,IF(AS57&lt;=DATE(YEAR(AC57),MONTH(AC57)+1,7),0,ROUND(AE57*0.015*((YEAR(AS57)-YEAR(AC57))*12+(MONTH(AS57)-MONTH(AC57))+1),0))))</f>
      </c>
      <c r="AI57" s="31"/>
      <c r="AJ57" s="27"/>
      <c r="AK57" s="27"/>
      <c r="AL57" s="29"/>
      <c r="AM57" s="27"/>
      <c r="AN57" s="27"/>
      <c r="AO57" s="26">
        <f>IF($B57&lt;&gt;"Challan","",SUMIF($C$8:$C$207,$C57,$AE$8:$AE$207)+SUMIF($C$8:$C$207,$C57,$AH$8:$AH$207)+SUMIF($C$8:$C$207,$C57,$AF$8:$AF$207))</f>
      </c>
      <c r="AP57" s="26">
        <f>IF($B57&lt;&gt;"Challan","",O57-M57)</f>
      </c>
      <c r="AQ57" s="26">
        <f>IF($B57&lt;&gt;"Challan","",MAX(0,AP57-AO57))</f>
      </c>
      <c r="AR57" s="32">
        <f>IF($B57&lt;&gt;"Challan","",IF(ROUND(AO57-AP57,2)&gt;0,"Over-applied",IF(ROUND(AO57-AP57,2)=0,"Fully Utilised","Unconsumed")))</f>
      </c>
      <c r="AS57" s="33">
        <f>IF($B57&lt;&gt;"Entry","",SUMPRODUCT(($C$8:$C$207=$C57)*($B$8:$B$207="Challan")*$F$8:$F$207))</f>
      </c>
    </row>
    <row r="58" spans="1:45" x14ac:dyDescent="0.25">
      <c r="A58" s="19">
        <f>IF($B58="Entry",COUNTIF($B$8:$B58,"Entry"),"")</f>
      </c>
      <c r="B58" s="20"/>
      <c r="C58" s="21"/>
      <c r="D58" s="22"/>
      <c r="E58" s="22"/>
      <c r="F58" s="23"/>
      <c r="G58" s="24"/>
      <c r="H58" s="25"/>
      <c r="I58" s="25"/>
      <c r="J58" s="25"/>
      <c r="K58" s="25"/>
      <c r="L58" s="25"/>
      <c r="M58" s="25"/>
      <c r="N58" s="25"/>
      <c r="O58" s="26">
        <f>IF($B58&lt;&gt;"Challan","",H58+I58+J58+K58+L58+M58)</f>
      </c>
      <c r="P58" s="24"/>
      <c r="Q58" s="24"/>
      <c r="R58" s="24"/>
      <c r="S58" s="24"/>
      <c r="T58" s="24"/>
      <c r="U58" s="27"/>
      <c r="V58" s="27"/>
      <c r="W58" s="27"/>
      <c r="X58" s="27"/>
      <c r="Y58" s="27"/>
      <c r="Z58" s="28">
        <f>IFERROR(IF($B58&lt;&gt;"Entry","",IF(W58="Y",SUMPRODUCT(('Rate Master'!$D$2:$D$50=(Y58&amp;"|"&amp;$B$2))*'Rate Master'!$I$2:$I$50),IF(OR(X58="Individual",X58="HUF"),SUMPRODUCT(('Rate Master'!$D$2:$D$50=(Y58&amp;"|"&amp;$B$2))*'Rate Master'!$G$2:$G$50),SUMPRODUCT(('Rate Master'!$D$2:$D$50=(Y58&amp;"|"&amp;$B$2))*'Rate Master'!$H$2:$H$50)))),"")</f>
      </c>
      <c r="AA58" s="26">
        <f>IFERROR(IF($B58&lt;&gt;"Entry","",IF(OR(X58="Individual",X58="HUF"),SUMPRODUCT(('Rate Master'!$D$2:$D$50=(Y58&amp;"|"&amp;$B$2))*'Rate Master'!$E$2:$E$50),SUMPRODUCT(('Rate Master'!$D$2:$D$50=(Y58&amp;"|"&amp;$B$2))*'Rate Master'!$F$2:$F$50))),"")</f>
      </c>
      <c r="AB58" s="29"/>
      <c r="AC58" s="30"/>
      <c r="AD58" s="31"/>
      <c r="AE58" s="26">
        <f>IF($B58&lt;&gt;"Entry","",ROUND(AD58*AB58/100,0))</f>
      </c>
      <c r="AF58" s="31"/>
      <c r="AG58" s="31"/>
      <c r="AH58" s="26">
        <f>IF($B58&lt;&gt;"Entry","",IF(OR(AE58=0,AC58="",AS58="",AS58&lt;=0),0,IF(AS58&lt;=DATE(YEAR(AC58),MONTH(AC58)+1,7),0,ROUND(AE58*0.015*((YEAR(AS58)-YEAR(AC58))*12+(MONTH(AS58)-MONTH(AC58))+1),0))))</f>
      </c>
      <c r="AI58" s="31"/>
      <c r="AJ58" s="27"/>
      <c r="AK58" s="27"/>
      <c r="AL58" s="29"/>
      <c r="AM58" s="27"/>
      <c r="AN58" s="27"/>
      <c r="AO58" s="26">
        <f>IF($B58&lt;&gt;"Challan","",SUMIF($C$8:$C$207,$C58,$AE$8:$AE$207)+SUMIF($C$8:$C$207,$C58,$AH$8:$AH$207)+SUMIF($C$8:$C$207,$C58,$AF$8:$AF$207))</f>
      </c>
      <c r="AP58" s="26">
        <f>IF($B58&lt;&gt;"Challan","",O58-M58)</f>
      </c>
      <c r="AQ58" s="26">
        <f>IF($B58&lt;&gt;"Challan","",MAX(0,AP58-AO58))</f>
      </c>
      <c r="AR58" s="32">
        <f>IF($B58&lt;&gt;"Challan","",IF(ROUND(AO58-AP58,2)&gt;0,"Over-applied",IF(ROUND(AO58-AP58,2)=0,"Fully Utilised","Unconsumed")))</f>
      </c>
      <c r="AS58" s="33">
        <f>IF($B58&lt;&gt;"Entry","",SUMPRODUCT(($C$8:$C$207=$C58)*($B$8:$B$207="Challan")*$F$8:$F$207))</f>
      </c>
    </row>
    <row r="59" spans="1:45" x14ac:dyDescent="0.25">
      <c r="A59" s="19">
        <f>IF($B59="Entry",COUNTIF($B$8:$B59,"Entry"),"")</f>
      </c>
      <c r="B59" s="20"/>
      <c r="C59" s="21"/>
      <c r="D59" s="22"/>
      <c r="E59" s="22"/>
      <c r="F59" s="23"/>
      <c r="G59" s="24"/>
      <c r="H59" s="25"/>
      <c r="I59" s="25"/>
      <c r="J59" s="25"/>
      <c r="K59" s="25"/>
      <c r="L59" s="25"/>
      <c r="M59" s="25"/>
      <c r="N59" s="25"/>
      <c r="O59" s="26">
        <f>IF($B59&lt;&gt;"Challan","",H59+I59+J59+K59+L59+M59)</f>
      </c>
      <c r="P59" s="24"/>
      <c r="Q59" s="24"/>
      <c r="R59" s="24"/>
      <c r="S59" s="24"/>
      <c r="T59" s="24"/>
      <c r="U59" s="27"/>
      <c r="V59" s="27"/>
      <c r="W59" s="27"/>
      <c r="X59" s="27"/>
      <c r="Y59" s="27"/>
      <c r="Z59" s="28">
        <f>IFERROR(IF($B59&lt;&gt;"Entry","",IF(W59="Y",SUMPRODUCT(('Rate Master'!$D$2:$D$50=(Y59&amp;"|"&amp;$B$2))*'Rate Master'!$I$2:$I$50),IF(OR(X59="Individual",X59="HUF"),SUMPRODUCT(('Rate Master'!$D$2:$D$50=(Y59&amp;"|"&amp;$B$2))*'Rate Master'!$G$2:$G$50),SUMPRODUCT(('Rate Master'!$D$2:$D$50=(Y59&amp;"|"&amp;$B$2))*'Rate Master'!$H$2:$H$50)))),"")</f>
      </c>
      <c r="AA59" s="26">
        <f>IFERROR(IF($B59&lt;&gt;"Entry","",IF(OR(X59="Individual",X59="HUF"),SUMPRODUCT(('Rate Master'!$D$2:$D$50=(Y59&amp;"|"&amp;$B$2))*'Rate Master'!$E$2:$E$50),SUMPRODUCT(('Rate Master'!$D$2:$D$50=(Y59&amp;"|"&amp;$B$2))*'Rate Master'!$F$2:$F$50))),"")</f>
      </c>
      <c r="AB59" s="29"/>
      <c r="AC59" s="30"/>
      <c r="AD59" s="31"/>
      <c r="AE59" s="26">
        <f>IF($B59&lt;&gt;"Entry","",ROUND(AD59*AB59/100,0))</f>
      </c>
      <c r="AF59" s="31"/>
      <c r="AG59" s="31"/>
      <c r="AH59" s="26">
        <f>IF($B59&lt;&gt;"Entry","",IF(OR(AE59=0,AC59="",AS59="",AS59&lt;=0),0,IF(AS59&lt;=DATE(YEAR(AC59),MONTH(AC59)+1,7),0,ROUND(AE59*0.015*((YEAR(AS59)-YEAR(AC59))*12+(MONTH(AS59)-MONTH(AC59))+1),0))))</f>
      </c>
      <c r="AI59" s="31"/>
      <c r="AJ59" s="27"/>
      <c r="AK59" s="27"/>
      <c r="AL59" s="29"/>
      <c r="AM59" s="27"/>
      <c r="AN59" s="27"/>
      <c r="AO59" s="26">
        <f>IF($B59&lt;&gt;"Challan","",SUMIF($C$8:$C$207,$C59,$AE$8:$AE$207)+SUMIF($C$8:$C$207,$C59,$AH$8:$AH$207)+SUMIF($C$8:$C$207,$C59,$AF$8:$AF$207))</f>
      </c>
      <c r="AP59" s="26">
        <f>IF($B59&lt;&gt;"Challan","",O59-M59)</f>
      </c>
      <c r="AQ59" s="26">
        <f>IF($B59&lt;&gt;"Challan","",MAX(0,AP59-AO59))</f>
      </c>
      <c r="AR59" s="32">
        <f>IF($B59&lt;&gt;"Challan","",IF(ROUND(AO59-AP59,2)&gt;0,"Over-applied",IF(ROUND(AO59-AP59,2)=0,"Fully Utilised","Unconsumed")))</f>
      </c>
      <c r="AS59" s="33">
        <f>IF($B59&lt;&gt;"Entry","",SUMPRODUCT(($C$8:$C$207=$C59)*($B$8:$B$207="Challan")*$F$8:$F$207))</f>
      </c>
    </row>
    <row r="60" spans="1:45" x14ac:dyDescent="0.25">
      <c r="A60" s="19">
        <f>IF($B60="Entry",COUNTIF($B$8:$B60,"Entry"),"")</f>
      </c>
      <c r="B60" s="20"/>
      <c r="C60" s="21"/>
      <c r="D60" s="22"/>
      <c r="E60" s="22"/>
      <c r="F60" s="23"/>
      <c r="G60" s="24"/>
      <c r="H60" s="25"/>
      <c r="I60" s="25"/>
      <c r="J60" s="25"/>
      <c r="K60" s="25"/>
      <c r="L60" s="25"/>
      <c r="M60" s="25"/>
      <c r="N60" s="25"/>
      <c r="O60" s="26">
        <f>IF($B60&lt;&gt;"Challan","",H60+I60+J60+K60+L60+M60)</f>
      </c>
      <c r="P60" s="24"/>
      <c r="Q60" s="24"/>
      <c r="R60" s="24"/>
      <c r="S60" s="24"/>
      <c r="T60" s="24"/>
      <c r="U60" s="27"/>
      <c r="V60" s="27"/>
      <c r="W60" s="27"/>
      <c r="X60" s="27"/>
      <c r="Y60" s="27"/>
      <c r="Z60" s="28">
        <f>IFERROR(IF($B60&lt;&gt;"Entry","",IF(W60="Y",SUMPRODUCT(('Rate Master'!$D$2:$D$50=(Y60&amp;"|"&amp;$B$2))*'Rate Master'!$I$2:$I$50),IF(OR(X60="Individual",X60="HUF"),SUMPRODUCT(('Rate Master'!$D$2:$D$50=(Y60&amp;"|"&amp;$B$2))*'Rate Master'!$G$2:$G$50),SUMPRODUCT(('Rate Master'!$D$2:$D$50=(Y60&amp;"|"&amp;$B$2))*'Rate Master'!$H$2:$H$50)))),"")</f>
      </c>
      <c r="AA60" s="26">
        <f>IFERROR(IF($B60&lt;&gt;"Entry","",IF(OR(X60="Individual",X60="HUF"),SUMPRODUCT(('Rate Master'!$D$2:$D$50=(Y60&amp;"|"&amp;$B$2))*'Rate Master'!$E$2:$E$50),SUMPRODUCT(('Rate Master'!$D$2:$D$50=(Y60&amp;"|"&amp;$B$2))*'Rate Master'!$F$2:$F$50))),"")</f>
      </c>
      <c r="AB60" s="29"/>
      <c r="AC60" s="30"/>
      <c r="AD60" s="31"/>
      <c r="AE60" s="26">
        <f>IF($B60&lt;&gt;"Entry","",ROUND(AD60*AB60/100,0))</f>
      </c>
      <c r="AF60" s="31"/>
      <c r="AG60" s="31"/>
      <c r="AH60" s="26">
        <f>IF($B60&lt;&gt;"Entry","",IF(OR(AE60=0,AC60="",AS60="",AS60&lt;=0),0,IF(AS60&lt;=DATE(YEAR(AC60),MONTH(AC60)+1,7),0,ROUND(AE60*0.015*((YEAR(AS60)-YEAR(AC60))*12+(MONTH(AS60)-MONTH(AC60))+1),0))))</f>
      </c>
      <c r="AI60" s="31"/>
      <c r="AJ60" s="27"/>
      <c r="AK60" s="27"/>
      <c r="AL60" s="29"/>
      <c r="AM60" s="27"/>
      <c r="AN60" s="27"/>
      <c r="AO60" s="26">
        <f>IF($B60&lt;&gt;"Challan","",SUMIF($C$8:$C$207,$C60,$AE$8:$AE$207)+SUMIF($C$8:$C$207,$C60,$AH$8:$AH$207)+SUMIF($C$8:$C$207,$C60,$AF$8:$AF$207))</f>
      </c>
      <c r="AP60" s="26">
        <f>IF($B60&lt;&gt;"Challan","",O60-M60)</f>
      </c>
      <c r="AQ60" s="26">
        <f>IF($B60&lt;&gt;"Challan","",MAX(0,AP60-AO60))</f>
      </c>
      <c r="AR60" s="32">
        <f>IF($B60&lt;&gt;"Challan","",IF(ROUND(AO60-AP60,2)&gt;0,"Over-applied",IF(ROUND(AO60-AP60,2)=0,"Fully Utilised","Unconsumed")))</f>
      </c>
      <c r="AS60" s="33">
        <f>IF($B60&lt;&gt;"Entry","",SUMPRODUCT(($C$8:$C$207=$C60)*($B$8:$B$207="Challan")*$F$8:$F$207))</f>
      </c>
    </row>
    <row r="61" spans="1:45" x14ac:dyDescent="0.25">
      <c r="A61" s="19">
        <f>IF($B61="Entry",COUNTIF($B$8:$B61,"Entry"),"")</f>
      </c>
      <c r="B61" s="20"/>
      <c r="C61" s="21"/>
      <c r="D61" s="22"/>
      <c r="E61" s="22"/>
      <c r="F61" s="23"/>
      <c r="G61" s="24"/>
      <c r="H61" s="25"/>
      <c r="I61" s="25"/>
      <c r="J61" s="25"/>
      <c r="K61" s="25"/>
      <c r="L61" s="25"/>
      <c r="M61" s="25"/>
      <c r="N61" s="25"/>
      <c r="O61" s="26">
        <f>IF($B61&lt;&gt;"Challan","",H61+I61+J61+K61+L61+M61)</f>
      </c>
      <c r="P61" s="24"/>
      <c r="Q61" s="24"/>
      <c r="R61" s="24"/>
      <c r="S61" s="24"/>
      <c r="T61" s="24"/>
      <c r="U61" s="27"/>
      <c r="V61" s="27"/>
      <c r="W61" s="27"/>
      <c r="X61" s="27"/>
      <c r="Y61" s="27"/>
      <c r="Z61" s="28">
        <f>IFERROR(IF($B61&lt;&gt;"Entry","",IF(W61="Y",SUMPRODUCT(('Rate Master'!$D$2:$D$50=(Y61&amp;"|"&amp;$B$2))*'Rate Master'!$I$2:$I$50),IF(OR(X61="Individual",X61="HUF"),SUMPRODUCT(('Rate Master'!$D$2:$D$50=(Y61&amp;"|"&amp;$B$2))*'Rate Master'!$G$2:$G$50),SUMPRODUCT(('Rate Master'!$D$2:$D$50=(Y61&amp;"|"&amp;$B$2))*'Rate Master'!$H$2:$H$50)))),"")</f>
      </c>
      <c r="AA61" s="26">
        <f>IFERROR(IF($B61&lt;&gt;"Entry","",IF(OR(X61="Individual",X61="HUF"),SUMPRODUCT(('Rate Master'!$D$2:$D$50=(Y61&amp;"|"&amp;$B$2))*'Rate Master'!$E$2:$E$50),SUMPRODUCT(('Rate Master'!$D$2:$D$50=(Y61&amp;"|"&amp;$B$2))*'Rate Master'!$F$2:$F$50))),"")</f>
      </c>
      <c r="AB61" s="29"/>
      <c r="AC61" s="30"/>
      <c r="AD61" s="31"/>
      <c r="AE61" s="26">
        <f>IF($B61&lt;&gt;"Entry","",ROUND(AD61*AB61/100,0))</f>
      </c>
      <c r="AF61" s="31"/>
      <c r="AG61" s="31"/>
      <c r="AH61" s="26">
        <f>IF($B61&lt;&gt;"Entry","",IF(OR(AE61=0,AC61="",AS61="",AS61&lt;=0),0,IF(AS61&lt;=DATE(YEAR(AC61),MONTH(AC61)+1,7),0,ROUND(AE61*0.015*((YEAR(AS61)-YEAR(AC61))*12+(MONTH(AS61)-MONTH(AC61))+1),0))))</f>
      </c>
      <c r="AI61" s="31"/>
      <c r="AJ61" s="27"/>
      <c r="AK61" s="27"/>
      <c r="AL61" s="29"/>
      <c r="AM61" s="27"/>
      <c r="AN61" s="27"/>
      <c r="AO61" s="26">
        <f>IF($B61&lt;&gt;"Challan","",SUMIF($C$8:$C$207,$C61,$AE$8:$AE$207)+SUMIF($C$8:$C$207,$C61,$AH$8:$AH$207)+SUMIF($C$8:$C$207,$C61,$AF$8:$AF$207))</f>
      </c>
      <c r="AP61" s="26">
        <f>IF($B61&lt;&gt;"Challan","",O61-M61)</f>
      </c>
      <c r="AQ61" s="26">
        <f>IF($B61&lt;&gt;"Challan","",MAX(0,AP61-AO61))</f>
      </c>
      <c r="AR61" s="32">
        <f>IF($B61&lt;&gt;"Challan","",IF(ROUND(AO61-AP61,2)&gt;0,"Over-applied",IF(ROUND(AO61-AP61,2)=0,"Fully Utilised","Unconsumed")))</f>
      </c>
      <c r="AS61" s="33">
        <f>IF($B61&lt;&gt;"Entry","",SUMPRODUCT(($C$8:$C$207=$C61)*($B$8:$B$207="Challan")*$F$8:$F$207))</f>
      </c>
    </row>
    <row r="62" spans="1:45" x14ac:dyDescent="0.25">
      <c r="A62" s="19">
        <f>IF($B62="Entry",COUNTIF($B$8:$B62,"Entry"),"")</f>
      </c>
      <c r="B62" s="20"/>
      <c r="C62" s="21"/>
      <c r="D62" s="22"/>
      <c r="E62" s="22"/>
      <c r="F62" s="23"/>
      <c r="G62" s="24"/>
      <c r="H62" s="25"/>
      <c r="I62" s="25"/>
      <c r="J62" s="25"/>
      <c r="K62" s="25"/>
      <c r="L62" s="25"/>
      <c r="M62" s="25"/>
      <c r="N62" s="25"/>
      <c r="O62" s="26">
        <f>IF($B62&lt;&gt;"Challan","",H62+I62+J62+K62+L62+M62)</f>
      </c>
      <c r="P62" s="24"/>
      <c r="Q62" s="24"/>
      <c r="R62" s="24"/>
      <c r="S62" s="24"/>
      <c r="T62" s="24"/>
      <c r="U62" s="27"/>
      <c r="V62" s="27"/>
      <c r="W62" s="27"/>
      <c r="X62" s="27"/>
      <c r="Y62" s="27"/>
      <c r="Z62" s="28">
        <f>IFERROR(IF($B62&lt;&gt;"Entry","",IF(W62="Y",SUMPRODUCT(('Rate Master'!$D$2:$D$50=(Y62&amp;"|"&amp;$B$2))*'Rate Master'!$I$2:$I$50),IF(OR(X62="Individual",X62="HUF"),SUMPRODUCT(('Rate Master'!$D$2:$D$50=(Y62&amp;"|"&amp;$B$2))*'Rate Master'!$G$2:$G$50),SUMPRODUCT(('Rate Master'!$D$2:$D$50=(Y62&amp;"|"&amp;$B$2))*'Rate Master'!$H$2:$H$50)))),"")</f>
      </c>
      <c r="AA62" s="26">
        <f>IFERROR(IF($B62&lt;&gt;"Entry","",IF(OR(X62="Individual",X62="HUF"),SUMPRODUCT(('Rate Master'!$D$2:$D$50=(Y62&amp;"|"&amp;$B$2))*'Rate Master'!$E$2:$E$50),SUMPRODUCT(('Rate Master'!$D$2:$D$50=(Y62&amp;"|"&amp;$B$2))*'Rate Master'!$F$2:$F$50))),"")</f>
      </c>
      <c r="AB62" s="29"/>
      <c r="AC62" s="30"/>
      <c r="AD62" s="31"/>
      <c r="AE62" s="26">
        <f>IF($B62&lt;&gt;"Entry","",ROUND(AD62*AB62/100,0))</f>
      </c>
      <c r="AF62" s="31"/>
      <c r="AG62" s="31"/>
      <c r="AH62" s="26">
        <f>IF($B62&lt;&gt;"Entry","",IF(OR(AE62=0,AC62="",AS62="",AS62&lt;=0),0,IF(AS62&lt;=DATE(YEAR(AC62),MONTH(AC62)+1,7),0,ROUND(AE62*0.015*((YEAR(AS62)-YEAR(AC62))*12+(MONTH(AS62)-MONTH(AC62))+1),0))))</f>
      </c>
      <c r="AI62" s="31"/>
      <c r="AJ62" s="27"/>
      <c r="AK62" s="27"/>
      <c r="AL62" s="29"/>
      <c r="AM62" s="27"/>
      <c r="AN62" s="27"/>
      <c r="AO62" s="26">
        <f>IF($B62&lt;&gt;"Challan","",SUMIF($C$8:$C$207,$C62,$AE$8:$AE$207)+SUMIF($C$8:$C$207,$C62,$AH$8:$AH$207)+SUMIF($C$8:$C$207,$C62,$AF$8:$AF$207))</f>
      </c>
      <c r="AP62" s="26">
        <f>IF($B62&lt;&gt;"Challan","",O62-M62)</f>
      </c>
      <c r="AQ62" s="26">
        <f>IF($B62&lt;&gt;"Challan","",MAX(0,AP62-AO62))</f>
      </c>
      <c r="AR62" s="32">
        <f>IF($B62&lt;&gt;"Challan","",IF(ROUND(AO62-AP62,2)&gt;0,"Over-applied",IF(ROUND(AO62-AP62,2)=0,"Fully Utilised","Unconsumed")))</f>
      </c>
      <c r="AS62" s="33">
        <f>IF($B62&lt;&gt;"Entry","",SUMPRODUCT(($C$8:$C$207=$C62)*($B$8:$B$207="Challan")*$F$8:$F$207))</f>
      </c>
    </row>
    <row r="63" spans="1:45" x14ac:dyDescent="0.25">
      <c r="A63" s="19">
        <f>IF($B63="Entry",COUNTIF($B$8:$B63,"Entry"),"")</f>
      </c>
      <c r="B63" s="20"/>
      <c r="C63" s="21"/>
      <c r="D63" s="22"/>
      <c r="E63" s="22"/>
      <c r="F63" s="23"/>
      <c r="G63" s="24"/>
      <c r="H63" s="25"/>
      <c r="I63" s="25"/>
      <c r="J63" s="25"/>
      <c r="K63" s="25"/>
      <c r="L63" s="25"/>
      <c r="M63" s="25"/>
      <c r="N63" s="25"/>
      <c r="O63" s="26">
        <f>IF($B63&lt;&gt;"Challan","",H63+I63+J63+K63+L63+M63)</f>
      </c>
      <c r="P63" s="24"/>
      <c r="Q63" s="24"/>
      <c r="R63" s="24"/>
      <c r="S63" s="24"/>
      <c r="T63" s="24"/>
      <c r="U63" s="27"/>
      <c r="V63" s="27"/>
      <c r="W63" s="27"/>
      <c r="X63" s="27"/>
      <c r="Y63" s="27"/>
      <c r="Z63" s="28">
        <f>IFERROR(IF($B63&lt;&gt;"Entry","",IF(W63="Y",SUMPRODUCT(('Rate Master'!$D$2:$D$50=(Y63&amp;"|"&amp;$B$2))*'Rate Master'!$I$2:$I$50),IF(OR(X63="Individual",X63="HUF"),SUMPRODUCT(('Rate Master'!$D$2:$D$50=(Y63&amp;"|"&amp;$B$2))*'Rate Master'!$G$2:$G$50),SUMPRODUCT(('Rate Master'!$D$2:$D$50=(Y63&amp;"|"&amp;$B$2))*'Rate Master'!$H$2:$H$50)))),"")</f>
      </c>
      <c r="AA63" s="26">
        <f>IFERROR(IF($B63&lt;&gt;"Entry","",IF(OR(X63="Individual",X63="HUF"),SUMPRODUCT(('Rate Master'!$D$2:$D$50=(Y63&amp;"|"&amp;$B$2))*'Rate Master'!$E$2:$E$50),SUMPRODUCT(('Rate Master'!$D$2:$D$50=(Y63&amp;"|"&amp;$B$2))*'Rate Master'!$F$2:$F$50))),"")</f>
      </c>
      <c r="AB63" s="29"/>
      <c r="AC63" s="30"/>
      <c r="AD63" s="31"/>
      <c r="AE63" s="26">
        <f>IF($B63&lt;&gt;"Entry","",ROUND(AD63*AB63/100,0))</f>
      </c>
      <c r="AF63" s="31"/>
      <c r="AG63" s="31"/>
      <c r="AH63" s="26">
        <f>IF($B63&lt;&gt;"Entry","",IF(OR(AE63=0,AC63="",AS63="",AS63&lt;=0),0,IF(AS63&lt;=DATE(YEAR(AC63),MONTH(AC63)+1,7),0,ROUND(AE63*0.015*((YEAR(AS63)-YEAR(AC63))*12+(MONTH(AS63)-MONTH(AC63))+1),0))))</f>
      </c>
      <c r="AI63" s="31"/>
      <c r="AJ63" s="27"/>
      <c r="AK63" s="27"/>
      <c r="AL63" s="29"/>
      <c r="AM63" s="27"/>
      <c r="AN63" s="27"/>
      <c r="AO63" s="26">
        <f>IF($B63&lt;&gt;"Challan","",SUMIF($C$8:$C$207,$C63,$AE$8:$AE$207)+SUMIF($C$8:$C$207,$C63,$AH$8:$AH$207)+SUMIF($C$8:$C$207,$C63,$AF$8:$AF$207))</f>
      </c>
      <c r="AP63" s="26">
        <f>IF($B63&lt;&gt;"Challan","",O63-M63)</f>
      </c>
      <c r="AQ63" s="26">
        <f>IF($B63&lt;&gt;"Challan","",MAX(0,AP63-AO63))</f>
      </c>
      <c r="AR63" s="32">
        <f>IF($B63&lt;&gt;"Challan","",IF(ROUND(AO63-AP63,2)&gt;0,"Over-applied",IF(ROUND(AO63-AP63,2)=0,"Fully Utilised","Unconsumed")))</f>
      </c>
      <c r="AS63" s="33">
        <f>IF($B63&lt;&gt;"Entry","",SUMPRODUCT(($C$8:$C$207=$C63)*($B$8:$B$207="Challan")*$F$8:$F$207))</f>
      </c>
    </row>
    <row r="64" spans="1:45" x14ac:dyDescent="0.25">
      <c r="A64" s="19">
        <f>IF($B64="Entry",COUNTIF($B$8:$B64,"Entry"),"")</f>
      </c>
      <c r="B64" s="20"/>
      <c r="C64" s="21"/>
      <c r="D64" s="22"/>
      <c r="E64" s="22"/>
      <c r="F64" s="23"/>
      <c r="G64" s="24"/>
      <c r="H64" s="25"/>
      <c r="I64" s="25"/>
      <c r="J64" s="25"/>
      <c r="K64" s="25"/>
      <c r="L64" s="25"/>
      <c r="M64" s="25"/>
      <c r="N64" s="25"/>
      <c r="O64" s="26">
        <f>IF($B64&lt;&gt;"Challan","",H64+I64+J64+K64+L64+M64)</f>
      </c>
      <c r="P64" s="24"/>
      <c r="Q64" s="24"/>
      <c r="R64" s="24"/>
      <c r="S64" s="24"/>
      <c r="T64" s="24"/>
      <c r="U64" s="27"/>
      <c r="V64" s="27"/>
      <c r="W64" s="27"/>
      <c r="X64" s="27"/>
      <c r="Y64" s="27"/>
      <c r="Z64" s="28">
        <f>IFERROR(IF($B64&lt;&gt;"Entry","",IF(W64="Y",SUMPRODUCT(('Rate Master'!$D$2:$D$50=(Y64&amp;"|"&amp;$B$2))*'Rate Master'!$I$2:$I$50),IF(OR(X64="Individual",X64="HUF"),SUMPRODUCT(('Rate Master'!$D$2:$D$50=(Y64&amp;"|"&amp;$B$2))*'Rate Master'!$G$2:$G$50),SUMPRODUCT(('Rate Master'!$D$2:$D$50=(Y64&amp;"|"&amp;$B$2))*'Rate Master'!$H$2:$H$50)))),"")</f>
      </c>
      <c r="AA64" s="26">
        <f>IFERROR(IF($B64&lt;&gt;"Entry","",IF(OR(X64="Individual",X64="HUF"),SUMPRODUCT(('Rate Master'!$D$2:$D$50=(Y64&amp;"|"&amp;$B$2))*'Rate Master'!$E$2:$E$50),SUMPRODUCT(('Rate Master'!$D$2:$D$50=(Y64&amp;"|"&amp;$B$2))*'Rate Master'!$F$2:$F$50))),"")</f>
      </c>
      <c r="AB64" s="29"/>
      <c r="AC64" s="30"/>
      <c r="AD64" s="31"/>
      <c r="AE64" s="26">
        <f>IF($B64&lt;&gt;"Entry","",ROUND(AD64*AB64/100,0))</f>
      </c>
      <c r="AF64" s="31"/>
      <c r="AG64" s="31"/>
      <c r="AH64" s="26">
        <f>IF($B64&lt;&gt;"Entry","",IF(OR(AE64=0,AC64="",AS64="",AS64&lt;=0),0,IF(AS64&lt;=DATE(YEAR(AC64),MONTH(AC64)+1,7),0,ROUND(AE64*0.015*((YEAR(AS64)-YEAR(AC64))*12+(MONTH(AS64)-MONTH(AC64))+1),0))))</f>
      </c>
      <c r="AI64" s="31"/>
      <c r="AJ64" s="27"/>
      <c r="AK64" s="27"/>
      <c r="AL64" s="29"/>
      <c r="AM64" s="27"/>
      <c r="AN64" s="27"/>
      <c r="AO64" s="26">
        <f>IF($B64&lt;&gt;"Challan","",SUMIF($C$8:$C$207,$C64,$AE$8:$AE$207)+SUMIF($C$8:$C$207,$C64,$AH$8:$AH$207)+SUMIF($C$8:$C$207,$C64,$AF$8:$AF$207))</f>
      </c>
      <c r="AP64" s="26">
        <f>IF($B64&lt;&gt;"Challan","",O64-M64)</f>
      </c>
      <c r="AQ64" s="26">
        <f>IF($B64&lt;&gt;"Challan","",MAX(0,AP64-AO64))</f>
      </c>
      <c r="AR64" s="32">
        <f>IF($B64&lt;&gt;"Challan","",IF(ROUND(AO64-AP64,2)&gt;0,"Over-applied",IF(ROUND(AO64-AP64,2)=0,"Fully Utilised","Unconsumed")))</f>
      </c>
      <c r="AS64" s="33">
        <f>IF($B64&lt;&gt;"Entry","",SUMPRODUCT(($C$8:$C$207=$C64)*($B$8:$B$207="Challan")*$F$8:$F$207))</f>
      </c>
    </row>
    <row r="65" spans="1:45" x14ac:dyDescent="0.25">
      <c r="A65" s="19">
        <f>IF($B65="Entry",COUNTIF($B$8:$B65,"Entry"),"")</f>
      </c>
      <c r="B65" s="20"/>
      <c r="C65" s="21"/>
      <c r="D65" s="22"/>
      <c r="E65" s="22"/>
      <c r="F65" s="23"/>
      <c r="G65" s="24"/>
      <c r="H65" s="25"/>
      <c r="I65" s="25"/>
      <c r="J65" s="25"/>
      <c r="K65" s="25"/>
      <c r="L65" s="25"/>
      <c r="M65" s="25"/>
      <c r="N65" s="25"/>
      <c r="O65" s="26">
        <f>IF($B65&lt;&gt;"Challan","",H65+I65+J65+K65+L65+M65)</f>
      </c>
      <c r="P65" s="24"/>
      <c r="Q65" s="24"/>
      <c r="R65" s="24"/>
      <c r="S65" s="24"/>
      <c r="T65" s="24"/>
      <c r="U65" s="27"/>
      <c r="V65" s="27"/>
      <c r="W65" s="27"/>
      <c r="X65" s="27"/>
      <c r="Y65" s="27"/>
      <c r="Z65" s="28">
        <f>IFERROR(IF($B65&lt;&gt;"Entry","",IF(W65="Y",SUMPRODUCT(('Rate Master'!$D$2:$D$50=(Y65&amp;"|"&amp;$B$2))*'Rate Master'!$I$2:$I$50),IF(OR(X65="Individual",X65="HUF"),SUMPRODUCT(('Rate Master'!$D$2:$D$50=(Y65&amp;"|"&amp;$B$2))*'Rate Master'!$G$2:$G$50),SUMPRODUCT(('Rate Master'!$D$2:$D$50=(Y65&amp;"|"&amp;$B$2))*'Rate Master'!$H$2:$H$50)))),"")</f>
      </c>
      <c r="AA65" s="26">
        <f>IFERROR(IF($B65&lt;&gt;"Entry","",IF(OR(X65="Individual",X65="HUF"),SUMPRODUCT(('Rate Master'!$D$2:$D$50=(Y65&amp;"|"&amp;$B$2))*'Rate Master'!$E$2:$E$50),SUMPRODUCT(('Rate Master'!$D$2:$D$50=(Y65&amp;"|"&amp;$B$2))*'Rate Master'!$F$2:$F$50))),"")</f>
      </c>
      <c r="AB65" s="29"/>
      <c r="AC65" s="30"/>
      <c r="AD65" s="31"/>
      <c r="AE65" s="26">
        <f>IF($B65&lt;&gt;"Entry","",ROUND(AD65*AB65/100,0))</f>
      </c>
      <c r="AF65" s="31"/>
      <c r="AG65" s="31"/>
      <c r="AH65" s="26">
        <f>IF($B65&lt;&gt;"Entry","",IF(OR(AE65=0,AC65="",AS65="",AS65&lt;=0),0,IF(AS65&lt;=DATE(YEAR(AC65),MONTH(AC65)+1,7),0,ROUND(AE65*0.015*((YEAR(AS65)-YEAR(AC65))*12+(MONTH(AS65)-MONTH(AC65))+1),0))))</f>
      </c>
      <c r="AI65" s="31"/>
      <c r="AJ65" s="27"/>
      <c r="AK65" s="27"/>
      <c r="AL65" s="29"/>
      <c r="AM65" s="27"/>
      <c r="AN65" s="27"/>
      <c r="AO65" s="26">
        <f>IF($B65&lt;&gt;"Challan","",SUMIF($C$8:$C$207,$C65,$AE$8:$AE$207)+SUMIF($C$8:$C$207,$C65,$AH$8:$AH$207)+SUMIF($C$8:$C$207,$C65,$AF$8:$AF$207))</f>
      </c>
      <c r="AP65" s="26">
        <f>IF($B65&lt;&gt;"Challan","",O65-M65)</f>
      </c>
      <c r="AQ65" s="26">
        <f>IF($B65&lt;&gt;"Challan","",MAX(0,AP65-AO65))</f>
      </c>
      <c r="AR65" s="32">
        <f>IF($B65&lt;&gt;"Challan","",IF(ROUND(AO65-AP65,2)&gt;0,"Over-applied",IF(ROUND(AO65-AP65,2)=0,"Fully Utilised","Unconsumed")))</f>
      </c>
      <c r="AS65" s="33">
        <f>IF($B65&lt;&gt;"Entry","",SUMPRODUCT(($C$8:$C$207=$C65)*($B$8:$B$207="Challan")*$F$8:$F$207))</f>
      </c>
    </row>
    <row r="66" spans="1:45" x14ac:dyDescent="0.25">
      <c r="A66" s="19">
        <f>IF($B66="Entry",COUNTIF($B$8:$B66,"Entry"),"")</f>
      </c>
      <c r="B66" s="20"/>
      <c r="C66" s="21"/>
      <c r="D66" s="22"/>
      <c r="E66" s="22"/>
      <c r="F66" s="23"/>
      <c r="G66" s="24"/>
      <c r="H66" s="25"/>
      <c r="I66" s="25"/>
      <c r="J66" s="25"/>
      <c r="K66" s="25"/>
      <c r="L66" s="25"/>
      <c r="M66" s="25"/>
      <c r="N66" s="25"/>
      <c r="O66" s="26">
        <f>IF($B66&lt;&gt;"Challan","",H66+I66+J66+K66+L66+M66)</f>
      </c>
      <c r="P66" s="24"/>
      <c r="Q66" s="24"/>
      <c r="R66" s="24"/>
      <c r="S66" s="24"/>
      <c r="T66" s="24"/>
      <c r="U66" s="27"/>
      <c r="V66" s="27"/>
      <c r="W66" s="27"/>
      <c r="X66" s="27"/>
      <c r="Y66" s="27"/>
      <c r="Z66" s="28">
        <f>IFERROR(IF($B66&lt;&gt;"Entry","",IF(W66="Y",SUMPRODUCT(('Rate Master'!$D$2:$D$50=(Y66&amp;"|"&amp;$B$2))*'Rate Master'!$I$2:$I$50),IF(OR(X66="Individual",X66="HUF"),SUMPRODUCT(('Rate Master'!$D$2:$D$50=(Y66&amp;"|"&amp;$B$2))*'Rate Master'!$G$2:$G$50),SUMPRODUCT(('Rate Master'!$D$2:$D$50=(Y66&amp;"|"&amp;$B$2))*'Rate Master'!$H$2:$H$50)))),"")</f>
      </c>
      <c r="AA66" s="26">
        <f>IFERROR(IF($B66&lt;&gt;"Entry","",IF(OR(X66="Individual",X66="HUF"),SUMPRODUCT(('Rate Master'!$D$2:$D$50=(Y66&amp;"|"&amp;$B$2))*'Rate Master'!$E$2:$E$50),SUMPRODUCT(('Rate Master'!$D$2:$D$50=(Y66&amp;"|"&amp;$B$2))*'Rate Master'!$F$2:$F$50))),"")</f>
      </c>
      <c r="AB66" s="29"/>
      <c r="AC66" s="30"/>
      <c r="AD66" s="31"/>
      <c r="AE66" s="26">
        <f>IF($B66&lt;&gt;"Entry","",ROUND(AD66*AB66/100,0))</f>
      </c>
      <c r="AF66" s="31"/>
      <c r="AG66" s="31"/>
      <c r="AH66" s="26">
        <f>IF($B66&lt;&gt;"Entry","",IF(OR(AE66=0,AC66="",AS66="",AS66&lt;=0),0,IF(AS66&lt;=DATE(YEAR(AC66),MONTH(AC66)+1,7),0,ROUND(AE66*0.015*((YEAR(AS66)-YEAR(AC66))*12+(MONTH(AS66)-MONTH(AC66))+1),0))))</f>
      </c>
      <c r="AI66" s="31"/>
      <c r="AJ66" s="27"/>
      <c r="AK66" s="27"/>
      <c r="AL66" s="29"/>
      <c r="AM66" s="27"/>
      <c r="AN66" s="27"/>
      <c r="AO66" s="26">
        <f>IF($B66&lt;&gt;"Challan","",SUMIF($C$8:$C$207,$C66,$AE$8:$AE$207)+SUMIF($C$8:$C$207,$C66,$AH$8:$AH$207)+SUMIF($C$8:$C$207,$C66,$AF$8:$AF$207))</f>
      </c>
      <c r="AP66" s="26">
        <f>IF($B66&lt;&gt;"Challan","",O66-M66)</f>
      </c>
      <c r="AQ66" s="26">
        <f>IF($B66&lt;&gt;"Challan","",MAX(0,AP66-AO66))</f>
      </c>
      <c r="AR66" s="32">
        <f>IF($B66&lt;&gt;"Challan","",IF(ROUND(AO66-AP66,2)&gt;0,"Over-applied",IF(ROUND(AO66-AP66,2)=0,"Fully Utilised","Unconsumed")))</f>
      </c>
      <c r="AS66" s="33">
        <f>IF($B66&lt;&gt;"Entry","",SUMPRODUCT(($C$8:$C$207=$C66)*($B$8:$B$207="Challan")*$F$8:$F$207))</f>
      </c>
    </row>
    <row r="67" spans="1:45" x14ac:dyDescent="0.25">
      <c r="A67" s="19">
        <f>IF($B67="Entry",COUNTIF($B$8:$B67,"Entry"),"")</f>
      </c>
      <c r="B67" s="20"/>
      <c r="C67" s="21"/>
      <c r="D67" s="22"/>
      <c r="E67" s="22"/>
      <c r="F67" s="23"/>
      <c r="G67" s="24"/>
      <c r="H67" s="25"/>
      <c r="I67" s="25"/>
      <c r="J67" s="25"/>
      <c r="K67" s="25"/>
      <c r="L67" s="25"/>
      <c r="M67" s="25"/>
      <c r="N67" s="25"/>
      <c r="O67" s="26">
        <f>IF($B67&lt;&gt;"Challan","",H67+I67+J67+K67+L67+M67)</f>
      </c>
      <c r="P67" s="24"/>
      <c r="Q67" s="24"/>
      <c r="R67" s="24"/>
      <c r="S67" s="24"/>
      <c r="T67" s="24"/>
      <c r="U67" s="27"/>
      <c r="V67" s="27"/>
      <c r="W67" s="27"/>
      <c r="X67" s="27"/>
      <c r="Y67" s="27"/>
      <c r="Z67" s="28">
        <f>IFERROR(IF($B67&lt;&gt;"Entry","",IF(W67="Y",SUMPRODUCT(('Rate Master'!$D$2:$D$50=(Y67&amp;"|"&amp;$B$2))*'Rate Master'!$I$2:$I$50),IF(OR(X67="Individual",X67="HUF"),SUMPRODUCT(('Rate Master'!$D$2:$D$50=(Y67&amp;"|"&amp;$B$2))*'Rate Master'!$G$2:$G$50),SUMPRODUCT(('Rate Master'!$D$2:$D$50=(Y67&amp;"|"&amp;$B$2))*'Rate Master'!$H$2:$H$50)))),"")</f>
      </c>
      <c r="AA67" s="26">
        <f>IFERROR(IF($B67&lt;&gt;"Entry","",IF(OR(X67="Individual",X67="HUF"),SUMPRODUCT(('Rate Master'!$D$2:$D$50=(Y67&amp;"|"&amp;$B$2))*'Rate Master'!$E$2:$E$50),SUMPRODUCT(('Rate Master'!$D$2:$D$50=(Y67&amp;"|"&amp;$B$2))*'Rate Master'!$F$2:$F$50))),"")</f>
      </c>
      <c r="AB67" s="29"/>
      <c r="AC67" s="30"/>
      <c r="AD67" s="31"/>
      <c r="AE67" s="26">
        <f>IF($B67&lt;&gt;"Entry","",ROUND(AD67*AB67/100,0))</f>
      </c>
      <c r="AF67" s="31"/>
      <c r="AG67" s="31"/>
      <c r="AH67" s="26">
        <f>IF($B67&lt;&gt;"Entry","",IF(OR(AE67=0,AC67="",AS67="",AS67&lt;=0),0,IF(AS67&lt;=DATE(YEAR(AC67),MONTH(AC67)+1,7),0,ROUND(AE67*0.015*((YEAR(AS67)-YEAR(AC67))*12+(MONTH(AS67)-MONTH(AC67))+1),0))))</f>
      </c>
      <c r="AI67" s="31"/>
      <c r="AJ67" s="27"/>
      <c r="AK67" s="27"/>
      <c r="AL67" s="29"/>
      <c r="AM67" s="27"/>
      <c r="AN67" s="27"/>
      <c r="AO67" s="26">
        <f>IF($B67&lt;&gt;"Challan","",SUMIF($C$8:$C$207,$C67,$AE$8:$AE$207)+SUMIF($C$8:$C$207,$C67,$AH$8:$AH$207)+SUMIF($C$8:$C$207,$C67,$AF$8:$AF$207))</f>
      </c>
      <c r="AP67" s="26">
        <f>IF($B67&lt;&gt;"Challan","",O67-M67)</f>
      </c>
      <c r="AQ67" s="26">
        <f>IF($B67&lt;&gt;"Challan","",MAX(0,AP67-AO67))</f>
      </c>
      <c r="AR67" s="32">
        <f>IF($B67&lt;&gt;"Challan","",IF(ROUND(AO67-AP67,2)&gt;0,"Over-applied",IF(ROUND(AO67-AP67,2)=0,"Fully Utilised","Unconsumed")))</f>
      </c>
      <c r="AS67" s="33">
        <f>IF($B67&lt;&gt;"Entry","",SUMPRODUCT(($C$8:$C$207=$C67)*($B$8:$B$207="Challan")*$F$8:$F$207))</f>
      </c>
    </row>
    <row r="68" spans="1:45" x14ac:dyDescent="0.25">
      <c r="A68" s="19">
        <f>IF($B68="Entry",COUNTIF($B$8:$B68,"Entry"),"")</f>
      </c>
      <c r="B68" s="20"/>
      <c r="C68" s="21"/>
      <c r="D68" s="22"/>
      <c r="E68" s="22"/>
      <c r="F68" s="23"/>
      <c r="G68" s="24"/>
      <c r="H68" s="25"/>
      <c r="I68" s="25"/>
      <c r="J68" s="25"/>
      <c r="K68" s="25"/>
      <c r="L68" s="25"/>
      <c r="M68" s="25"/>
      <c r="N68" s="25"/>
      <c r="O68" s="26">
        <f>IF($B68&lt;&gt;"Challan","",H68+I68+J68+K68+L68+M68)</f>
      </c>
      <c r="P68" s="24"/>
      <c r="Q68" s="24"/>
      <c r="R68" s="24"/>
      <c r="S68" s="24"/>
      <c r="T68" s="24"/>
      <c r="U68" s="27"/>
      <c r="V68" s="27"/>
      <c r="W68" s="27"/>
      <c r="X68" s="27"/>
      <c r="Y68" s="27"/>
      <c r="Z68" s="28">
        <f>IFERROR(IF($B68&lt;&gt;"Entry","",IF(W68="Y",SUMPRODUCT(('Rate Master'!$D$2:$D$50=(Y68&amp;"|"&amp;$B$2))*'Rate Master'!$I$2:$I$50),IF(OR(X68="Individual",X68="HUF"),SUMPRODUCT(('Rate Master'!$D$2:$D$50=(Y68&amp;"|"&amp;$B$2))*'Rate Master'!$G$2:$G$50),SUMPRODUCT(('Rate Master'!$D$2:$D$50=(Y68&amp;"|"&amp;$B$2))*'Rate Master'!$H$2:$H$50)))),"")</f>
      </c>
      <c r="AA68" s="26">
        <f>IFERROR(IF($B68&lt;&gt;"Entry","",IF(OR(X68="Individual",X68="HUF"),SUMPRODUCT(('Rate Master'!$D$2:$D$50=(Y68&amp;"|"&amp;$B$2))*'Rate Master'!$E$2:$E$50),SUMPRODUCT(('Rate Master'!$D$2:$D$50=(Y68&amp;"|"&amp;$B$2))*'Rate Master'!$F$2:$F$50))),"")</f>
      </c>
      <c r="AB68" s="29"/>
      <c r="AC68" s="30"/>
      <c r="AD68" s="31"/>
      <c r="AE68" s="26">
        <f>IF($B68&lt;&gt;"Entry","",ROUND(AD68*AB68/100,0))</f>
      </c>
      <c r="AF68" s="31"/>
      <c r="AG68" s="31"/>
      <c r="AH68" s="26">
        <f>IF($B68&lt;&gt;"Entry","",IF(OR(AE68=0,AC68="",AS68="",AS68&lt;=0),0,IF(AS68&lt;=DATE(YEAR(AC68),MONTH(AC68)+1,7),0,ROUND(AE68*0.015*((YEAR(AS68)-YEAR(AC68))*12+(MONTH(AS68)-MONTH(AC68))+1),0))))</f>
      </c>
      <c r="AI68" s="31"/>
      <c r="AJ68" s="27"/>
      <c r="AK68" s="27"/>
      <c r="AL68" s="29"/>
      <c r="AM68" s="27"/>
      <c r="AN68" s="27"/>
      <c r="AO68" s="26">
        <f>IF($B68&lt;&gt;"Challan","",SUMIF($C$8:$C$207,$C68,$AE$8:$AE$207)+SUMIF($C$8:$C$207,$C68,$AH$8:$AH$207)+SUMIF($C$8:$C$207,$C68,$AF$8:$AF$207))</f>
      </c>
      <c r="AP68" s="26">
        <f>IF($B68&lt;&gt;"Challan","",O68-M68)</f>
      </c>
      <c r="AQ68" s="26">
        <f>IF($B68&lt;&gt;"Challan","",MAX(0,AP68-AO68))</f>
      </c>
      <c r="AR68" s="32">
        <f>IF($B68&lt;&gt;"Challan","",IF(ROUND(AO68-AP68,2)&gt;0,"Over-applied",IF(ROUND(AO68-AP68,2)=0,"Fully Utilised","Unconsumed")))</f>
      </c>
      <c r="AS68" s="33">
        <f>IF($B68&lt;&gt;"Entry","",SUMPRODUCT(($C$8:$C$207=$C68)*($B$8:$B$207="Challan")*$F$8:$F$207))</f>
      </c>
    </row>
    <row r="69" spans="1:45" x14ac:dyDescent="0.25">
      <c r="A69" s="19">
        <f>IF($B69="Entry",COUNTIF($B$8:$B69,"Entry"),"")</f>
      </c>
      <c r="B69" s="20"/>
      <c r="C69" s="21"/>
      <c r="D69" s="22"/>
      <c r="E69" s="22"/>
      <c r="F69" s="23"/>
      <c r="G69" s="24"/>
      <c r="H69" s="25"/>
      <c r="I69" s="25"/>
      <c r="J69" s="25"/>
      <c r="K69" s="25"/>
      <c r="L69" s="25"/>
      <c r="M69" s="25"/>
      <c r="N69" s="25"/>
      <c r="O69" s="26">
        <f>IF($B69&lt;&gt;"Challan","",H69+I69+J69+K69+L69+M69)</f>
      </c>
      <c r="P69" s="24"/>
      <c r="Q69" s="24"/>
      <c r="R69" s="24"/>
      <c r="S69" s="24"/>
      <c r="T69" s="24"/>
      <c r="U69" s="27"/>
      <c r="V69" s="27"/>
      <c r="W69" s="27"/>
      <c r="X69" s="27"/>
      <c r="Y69" s="27"/>
      <c r="Z69" s="28">
        <f>IFERROR(IF($B69&lt;&gt;"Entry","",IF(W69="Y",SUMPRODUCT(('Rate Master'!$D$2:$D$50=(Y69&amp;"|"&amp;$B$2))*'Rate Master'!$I$2:$I$50),IF(OR(X69="Individual",X69="HUF"),SUMPRODUCT(('Rate Master'!$D$2:$D$50=(Y69&amp;"|"&amp;$B$2))*'Rate Master'!$G$2:$G$50),SUMPRODUCT(('Rate Master'!$D$2:$D$50=(Y69&amp;"|"&amp;$B$2))*'Rate Master'!$H$2:$H$50)))),"")</f>
      </c>
      <c r="AA69" s="26">
        <f>IFERROR(IF($B69&lt;&gt;"Entry","",IF(OR(X69="Individual",X69="HUF"),SUMPRODUCT(('Rate Master'!$D$2:$D$50=(Y69&amp;"|"&amp;$B$2))*'Rate Master'!$E$2:$E$50),SUMPRODUCT(('Rate Master'!$D$2:$D$50=(Y69&amp;"|"&amp;$B$2))*'Rate Master'!$F$2:$F$50))),"")</f>
      </c>
      <c r="AB69" s="29"/>
      <c r="AC69" s="30"/>
      <c r="AD69" s="31"/>
      <c r="AE69" s="26">
        <f>IF($B69&lt;&gt;"Entry","",ROUND(AD69*AB69/100,0))</f>
      </c>
      <c r="AF69" s="31"/>
      <c r="AG69" s="31"/>
      <c r="AH69" s="26">
        <f>IF($B69&lt;&gt;"Entry","",IF(OR(AE69=0,AC69="",AS69="",AS69&lt;=0),0,IF(AS69&lt;=DATE(YEAR(AC69),MONTH(AC69)+1,7),0,ROUND(AE69*0.015*((YEAR(AS69)-YEAR(AC69))*12+(MONTH(AS69)-MONTH(AC69))+1),0))))</f>
      </c>
      <c r="AI69" s="31"/>
      <c r="AJ69" s="27"/>
      <c r="AK69" s="27"/>
      <c r="AL69" s="29"/>
      <c r="AM69" s="27"/>
      <c r="AN69" s="27"/>
      <c r="AO69" s="26">
        <f>IF($B69&lt;&gt;"Challan","",SUMIF($C$8:$C$207,$C69,$AE$8:$AE$207)+SUMIF($C$8:$C$207,$C69,$AH$8:$AH$207)+SUMIF($C$8:$C$207,$C69,$AF$8:$AF$207))</f>
      </c>
      <c r="AP69" s="26">
        <f>IF($B69&lt;&gt;"Challan","",O69-M69)</f>
      </c>
      <c r="AQ69" s="26">
        <f>IF($B69&lt;&gt;"Challan","",MAX(0,AP69-AO69))</f>
      </c>
      <c r="AR69" s="32">
        <f>IF($B69&lt;&gt;"Challan","",IF(ROUND(AO69-AP69,2)&gt;0,"Over-applied",IF(ROUND(AO69-AP69,2)=0,"Fully Utilised","Unconsumed")))</f>
      </c>
      <c r="AS69" s="33">
        <f>IF($B69&lt;&gt;"Entry","",SUMPRODUCT(($C$8:$C$207=$C69)*($B$8:$B$207="Challan")*$F$8:$F$207))</f>
      </c>
    </row>
    <row r="70" spans="1:45" x14ac:dyDescent="0.25">
      <c r="A70" s="19">
        <f>IF($B70="Entry",COUNTIF($B$8:$B70,"Entry"),"")</f>
      </c>
      <c r="B70" s="20"/>
      <c r="C70" s="21"/>
      <c r="D70" s="22"/>
      <c r="E70" s="22"/>
      <c r="F70" s="23"/>
      <c r="G70" s="24"/>
      <c r="H70" s="25"/>
      <c r="I70" s="25"/>
      <c r="J70" s="25"/>
      <c r="K70" s="25"/>
      <c r="L70" s="25"/>
      <c r="M70" s="25"/>
      <c r="N70" s="25"/>
      <c r="O70" s="26">
        <f>IF($B70&lt;&gt;"Challan","",H70+I70+J70+K70+L70+M70)</f>
      </c>
      <c r="P70" s="24"/>
      <c r="Q70" s="24"/>
      <c r="R70" s="24"/>
      <c r="S70" s="24"/>
      <c r="T70" s="24"/>
      <c r="U70" s="27"/>
      <c r="V70" s="27"/>
      <c r="W70" s="27"/>
      <c r="X70" s="27"/>
      <c r="Y70" s="27"/>
      <c r="Z70" s="28">
        <f>IFERROR(IF($B70&lt;&gt;"Entry","",IF(W70="Y",SUMPRODUCT(('Rate Master'!$D$2:$D$50=(Y70&amp;"|"&amp;$B$2))*'Rate Master'!$I$2:$I$50),IF(OR(X70="Individual",X70="HUF"),SUMPRODUCT(('Rate Master'!$D$2:$D$50=(Y70&amp;"|"&amp;$B$2))*'Rate Master'!$G$2:$G$50),SUMPRODUCT(('Rate Master'!$D$2:$D$50=(Y70&amp;"|"&amp;$B$2))*'Rate Master'!$H$2:$H$50)))),"")</f>
      </c>
      <c r="AA70" s="26">
        <f>IFERROR(IF($B70&lt;&gt;"Entry","",IF(OR(X70="Individual",X70="HUF"),SUMPRODUCT(('Rate Master'!$D$2:$D$50=(Y70&amp;"|"&amp;$B$2))*'Rate Master'!$E$2:$E$50),SUMPRODUCT(('Rate Master'!$D$2:$D$50=(Y70&amp;"|"&amp;$B$2))*'Rate Master'!$F$2:$F$50))),"")</f>
      </c>
      <c r="AB70" s="29"/>
      <c r="AC70" s="30"/>
      <c r="AD70" s="31"/>
      <c r="AE70" s="26">
        <f>IF($B70&lt;&gt;"Entry","",ROUND(AD70*AB70/100,0))</f>
      </c>
      <c r="AF70" s="31"/>
      <c r="AG70" s="31"/>
      <c r="AH70" s="26">
        <f>IF($B70&lt;&gt;"Entry","",IF(OR(AE70=0,AC70="",AS70="",AS70&lt;=0),0,IF(AS70&lt;=DATE(YEAR(AC70),MONTH(AC70)+1,7),0,ROUND(AE70*0.015*((YEAR(AS70)-YEAR(AC70))*12+(MONTH(AS70)-MONTH(AC70))+1),0))))</f>
      </c>
      <c r="AI70" s="31"/>
      <c r="AJ70" s="27"/>
      <c r="AK70" s="27"/>
      <c r="AL70" s="29"/>
      <c r="AM70" s="27"/>
      <c r="AN70" s="27"/>
      <c r="AO70" s="26">
        <f>IF($B70&lt;&gt;"Challan","",SUMIF($C$8:$C$207,$C70,$AE$8:$AE$207)+SUMIF($C$8:$C$207,$C70,$AH$8:$AH$207)+SUMIF($C$8:$C$207,$C70,$AF$8:$AF$207))</f>
      </c>
      <c r="AP70" s="26">
        <f>IF($B70&lt;&gt;"Challan","",O70-M70)</f>
      </c>
      <c r="AQ70" s="26">
        <f>IF($B70&lt;&gt;"Challan","",MAX(0,AP70-AO70))</f>
      </c>
      <c r="AR70" s="32">
        <f>IF($B70&lt;&gt;"Challan","",IF(ROUND(AO70-AP70,2)&gt;0,"Over-applied",IF(ROUND(AO70-AP70,2)=0,"Fully Utilised","Unconsumed")))</f>
      </c>
      <c r="AS70" s="33">
        <f>IF($B70&lt;&gt;"Entry","",SUMPRODUCT(($C$8:$C$207=$C70)*($B$8:$B$207="Challan")*$F$8:$F$207))</f>
      </c>
    </row>
    <row r="71" spans="1:45" x14ac:dyDescent="0.25">
      <c r="A71" s="19">
        <f>IF($B71="Entry",COUNTIF($B$8:$B71,"Entry"),"")</f>
      </c>
      <c r="B71" s="20"/>
      <c r="C71" s="21"/>
      <c r="D71" s="22"/>
      <c r="E71" s="22"/>
      <c r="F71" s="23"/>
      <c r="G71" s="24"/>
      <c r="H71" s="25"/>
      <c r="I71" s="25"/>
      <c r="J71" s="25"/>
      <c r="K71" s="25"/>
      <c r="L71" s="25"/>
      <c r="M71" s="25"/>
      <c r="N71" s="25"/>
      <c r="O71" s="26">
        <f>IF($B71&lt;&gt;"Challan","",H71+I71+J71+K71+L71+M71)</f>
      </c>
      <c r="P71" s="24"/>
      <c r="Q71" s="24"/>
      <c r="R71" s="24"/>
      <c r="S71" s="24"/>
      <c r="T71" s="24"/>
      <c r="U71" s="27"/>
      <c r="V71" s="27"/>
      <c r="W71" s="27"/>
      <c r="X71" s="27"/>
      <c r="Y71" s="27"/>
      <c r="Z71" s="28">
        <f>IFERROR(IF($B71&lt;&gt;"Entry","",IF(W71="Y",SUMPRODUCT(('Rate Master'!$D$2:$D$50=(Y71&amp;"|"&amp;$B$2))*'Rate Master'!$I$2:$I$50),IF(OR(X71="Individual",X71="HUF"),SUMPRODUCT(('Rate Master'!$D$2:$D$50=(Y71&amp;"|"&amp;$B$2))*'Rate Master'!$G$2:$G$50),SUMPRODUCT(('Rate Master'!$D$2:$D$50=(Y71&amp;"|"&amp;$B$2))*'Rate Master'!$H$2:$H$50)))),"")</f>
      </c>
      <c r="AA71" s="26">
        <f>IFERROR(IF($B71&lt;&gt;"Entry","",IF(OR(X71="Individual",X71="HUF"),SUMPRODUCT(('Rate Master'!$D$2:$D$50=(Y71&amp;"|"&amp;$B$2))*'Rate Master'!$E$2:$E$50),SUMPRODUCT(('Rate Master'!$D$2:$D$50=(Y71&amp;"|"&amp;$B$2))*'Rate Master'!$F$2:$F$50))),"")</f>
      </c>
      <c r="AB71" s="29"/>
      <c r="AC71" s="30"/>
      <c r="AD71" s="31"/>
      <c r="AE71" s="26">
        <f>IF($B71&lt;&gt;"Entry","",ROUND(AD71*AB71/100,0))</f>
      </c>
      <c r="AF71" s="31"/>
      <c r="AG71" s="31"/>
      <c r="AH71" s="26">
        <f>IF($B71&lt;&gt;"Entry","",IF(OR(AE71=0,AC71="",AS71="",AS71&lt;=0),0,IF(AS71&lt;=DATE(YEAR(AC71),MONTH(AC71)+1,7),0,ROUND(AE71*0.015*((YEAR(AS71)-YEAR(AC71))*12+(MONTH(AS71)-MONTH(AC71))+1),0))))</f>
      </c>
      <c r="AI71" s="31"/>
      <c r="AJ71" s="27"/>
      <c r="AK71" s="27"/>
      <c r="AL71" s="29"/>
      <c r="AM71" s="27"/>
      <c r="AN71" s="27"/>
      <c r="AO71" s="26">
        <f>IF($B71&lt;&gt;"Challan","",SUMIF($C$8:$C$207,$C71,$AE$8:$AE$207)+SUMIF($C$8:$C$207,$C71,$AH$8:$AH$207)+SUMIF($C$8:$C$207,$C71,$AF$8:$AF$207))</f>
      </c>
      <c r="AP71" s="26">
        <f>IF($B71&lt;&gt;"Challan","",O71-M71)</f>
      </c>
      <c r="AQ71" s="26">
        <f>IF($B71&lt;&gt;"Challan","",MAX(0,AP71-AO71))</f>
      </c>
      <c r="AR71" s="32">
        <f>IF($B71&lt;&gt;"Challan","",IF(ROUND(AO71-AP71,2)&gt;0,"Over-applied",IF(ROUND(AO71-AP71,2)=0,"Fully Utilised","Unconsumed")))</f>
      </c>
      <c r="AS71" s="33">
        <f>IF($B71&lt;&gt;"Entry","",SUMPRODUCT(($C$8:$C$207=$C71)*($B$8:$B$207="Challan")*$F$8:$F$207))</f>
      </c>
    </row>
    <row r="72" spans="1:45" x14ac:dyDescent="0.25">
      <c r="A72" s="19">
        <f>IF($B72="Entry",COUNTIF($B$8:$B72,"Entry"),"")</f>
      </c>
      <c r="B72" s="20"/>
      <c r="C72" s="21"/>
      <c r="D72" s="22"/>
      <c r="E72" s="22"/>
      <c r="F72" s="23"/>
      <c r="G72" s="24"/>
      <c r="H72" s="25"/>
      <c r="I72" s="25"/>
      <c r="J72" s="25"/>
      <c r="K72" s="25"/>
      <c r="L72" s="25"/>
      <c r="M72" s="25"/>
      <c r="N72" s="25"/>
      <c r="O72" s="26">
        <f>IF($B72&lt;&gt;"Challan","",H72+I72+J72+K72+L72+M72)</f>
      </c>
      <c r="P72" s="24"/>
      <c r="Q72" s="24"/>
      <c r="R72" s="24"/>
      <c r="S72" s="24"/>
      <c r="T72" s="24"/>
      <c r="U72" s="27"/>
      <c r="V72" s="27"/>
      <c r="W72" s="27"/>
      <c r="X72" s="27"/>
      <c r="Y72" s="27"/>
      <c r="Z72" s="28">
        <f>IFERROR(IF($B72&lt;&gt;"Entry","",IF(W72="Y",SUMPRODUCT(('Rate Master'!$D$2:$D$50=(Y72&amp;"|"&amp;$B$2))*'Rate Master'!$I$2:$I$50),IF(OR(X72="Individual",X72="HUF"),SUMPRODUCT(('Rate Master'!$D$2:$D$50=(Y72&amp;"|"&amp;$B$2))*'Rate Master'!$G$2:$G$50),SUMPRODUCT(('Rate Master'!$D$2:$D$50=(Y72&amp;"|"&amp;$B$2))*'Rate Master'!$H$2:$H$50)))),"")</f>
      </c>
      <c r="AA72" s="26">
        <f>IFERROR(IF($B72&lt;&gt;"Entry","",IF(OR(X72="Individual",X72="HUF"),SUMPRODUCT(('Rate Master'!$D$2:$D$50=(Y72&amp;"|"&amp;$B$2))*'Rate Master'!$E$2:$E$50),SUMPRODUCT(('Rate Master'!$D$2:$D$50=(Y72&amp;"|"&amp;$B$2))*'Rate Master'!$F$2:$F$50))),"")</f>
      </c>
      <c r="AB72" s="29"/>
      <c r="AC72" s="30"/>
      <c r="AD72" s="31"/>
      <c r="AE72" s="26">
        <f>IF($B72&lt;&gt;"Entry","",ROUND(AD72*AB72/100,0))</f>
      </c>
      <c r="AF72" s="31"/>
      <c r="AG72" s="31"/>
      <c r="AH72" s="26">
        <f>IF($B72&lt;&gt;"Entry","",IF(OR(AE72=0,AC72="",AS72="",AS72&lt;=0),0,IF(AS72&lt;=DATE(YEAR(AC72),MONTH(AC72)+1,7),0,ROUND(AE72*0.015*((YEAR(AS72)-YEAR(AC72))*12+(MONTH(AS72)-MONTH(AC72))+1),0))))</f>
      </c>
      <c r="AI72" s="31"/>
      <c r="AJ72" s="27"/>
      <c r="AK72" s="27"/>
      <c r="AL72" s="29"/>
      <c r="AM72" s="27"/>
      <c r="AN72" s="27"/>
      <c r="AO72" s="26">
        <f>IF($B72&lt;&gt;"Challan","",SUMIF($C$8:$C$207,$C72,$AE$8:$AE$207)+SUMIF($C$8:$C$207,$C72,$AH$8:$AH$207)+SUMIF($C$8:$C$207,$C72,$AF$8:$AF$207))</f>
      </c>
      <c r="AP72" s="26">
        <f>IF($B72&lt;&gt;"Challan","",O72-M72)</f>
      </c>
      <c r="AQ72" s="26">
        <f>IF($B72&lt;&gt;"Challan","",MAX(0,AP72-AO72))</f>
      </c>
      <c r="AR72" s="32">
        <f>IF($B72&lt;&gt;"Challan","",IF(ROUND(AO72-AP72,2)&gt;0,"Over-applied",IF(ROUND(AO72-AP72,2)=0,"Fully Utilised","Unconsumed")))</f>
      </c>
      <c r="AS72" s="33">
        <f>IF($B72&lt;&gt;"Entry","",SUMPRODUCT(($C$8:$C$207=$C72)*($B$8:$B$207="Challan")*$F$8:$F$207))</f>
      </c>
    </row>
    <row r="73" spans="1:45" x14ac:dyDescent="0.25">
      <c r="A73" s="19">
        <f>IF($B73="Entry",COUNTIF($B$8:$B73,"Entry"),"")</f>
      </c>
      <c r="B73" s="20"/>
      <c r="C73" s="21"/>
      <c r="D73" s="22"/>
      <c r="E73" s="22"/>
      <c r="F73" s="23"/>
      <c r="G73" s="24"/>
      <c r="H73" s="25"/>
      <c r="I73" s="25"/>
      <c r="J73" s="25"/>
      <c r="K73" s="25"/>
      <c r="L73" s="25"/>
      <c r="M73" s="25"/>
      <c r="N73" s="25"/>
      <c r="O73" s="26">
        <f>IF($B73&lt;&gt;"Challan","",H73+I73+J73+K73+L73+M73)</f>
      </c>
      <c r="P73" s="24"/>
      <c r="Q73" s="24"/>
      <c r="R73" s="24"/>
      <c r="S73" s="24"/>
      <c r="T73" s="24"/>
      <c r="U73" s="27"/>
      <c r="V73" s="27"/>
      <c r="W73" s="27"/>
      <c r="X73" s="27"/>
      <c r="Y73" s="27"/>
      <c r="Z73" s="28">
        <f>IFERROR(IF($B73&lt;&gt;"Entry","",IF(W73="Y",SUMPRODUCT(('Rate Master'!$D$2:$D$50=(Y73&amp;"|"&amp;$B$2))*'Rate Master'!$I$2:$I$50),IF(OR(X73="Individual",X73="HUF"),SUMPRODUCT(('Rate Master'!$D$2:$D$50=(Y73&amp;"|"&amp;$B$2))*'Rate Master'!$G$2:$G$50),SUMPRODUCT(('Rate Master'!$D$2:$D$50=(Y73&amp;"|"&amp;$B$2))*'Rate Master'!$H$2:$H$50)))),"")</f>
      </c>
      <c r="AA73" s="26">
        <f>IFERROR(IF($B73&lt;&gt;"Entry","",IF(OR(X73="Individual",X73="HUF"),SUMPRODUCT(('Rate Master'!$D$2:$D$50=(Y73&amp;"|"&amp;$B$2))*'Rate Master'!$E$2:$E$50),SUMPRODUCT(('Rate Master'!$D$2:$D$50=(Y73&amp;"|"&amp;$B$2))*'Rate Master'!$F$2:$F$50))),"")</f>
      </c>
      <c r="AB73" s="29"/>
      <c r="AC73" s="30"/>
      <c r="AD73" s="31"/>
      <c r="AE73" s="26">
        <f>IF($B73&lt;&gt;"Entry","",ROUND(AD73*AB73/100,0))</f>
      </c>
      <c r="AF73" s="31"/>
      <c r="AG73" s="31"/>
      <c r="AH73" s="26">
        <f>IF($B73&lt;&gt;"Entry","",IF(OR(AE73=0,AC73="",AS73="",AS73&lt;=0),0,IF(AS73&lt;=DATE(YEAR(AC73),MONTH(AC73)+1,7),0,ROUND(AE73*0.015*((YEAR(AS73)-YEAR(AC73))*12+(MONTH(AS73)-MONTH(AC73))+1),0))))</f>
      </c>
      <c r="AI73" s="31"/>
      <c r="AJ73" s="27"/>
      <c r="AK73" s="27"/>
      <c r="AL73" s="29"/>
      <c r="AM73" s="27"/>
      <c r="AN73" s="27"/>
      <c r="AO73" s="26">
        <f>IF($B73&lt;&gt;"Challan","",SUMIF($C$8:$C$207,$C73,$AE$8:$AE$207)+SUMIF($C$8:$C$207,$C73,$AH$8:$AH$207)+SUMIF($C$8:$C$207,$C73,$AF$8:$AF$207))</f>
      </c>
      <c r="AP73" s="26">
        <f>IF($B73&lt;&gt;"Challan","",O73-M73)</f>
      </c>
      <c r="AQ73" s="26">
        <f>IF($B73&lt;&gt;"Challan","",MAX(0,AP73-AO73))</f>
      </c>
      <c r="AR73" s="32">
        <f>IF($B73&lt;&gt;"Challan","",IF(ROUND(AO73-AP73,2)&gt;0,"Over-applied",IF(ROUND(AO73-AP73,2)=0,"Fully Utilised","Unconsumed")))</f>
      </c>
      <c r="AS73" s="33">
        <f>IF($B73&lt;&gt;"Entry","",SUMPRODUCT(($C$8:$C$207=$C73)*($B$8:$B$207="Challan")*$F$8:$F$207))</f>
      </c>
    </row>
    <row r="74" spans="1:45" x14ac:dyDescent="0.25">
      <c r="A74" s="19">
        <f>IF($B74="Entry",COUNTIF($B$8:$B74,"Entry"),"")</f>
      </c>
      <c r="B74" s="20"/>
      <c r="C74" s="21"/>
      <c r="D74" s="22"/>
      <c r="E74" s="22"/>
      <c r="F74" s="23"/>
      <c r="G74" s="24"/>
      <c r="H74" s="25"/>
      <c r="I74" s="25"/>
      <c r="J74" s="25"/>
      <c r="K74" s="25"/>
      <c r="L74" s="25"/>
      <c r="M74" s="25"/>
      <c r="N74" s="25"/>
      <c r="O74" s="26">
        <f>IF($B74&lt;&gt;"Challan","",H74+I74+J74+K74+L74+M74)</f>
      </c>
      <c r="P74" s="24"/>
      <c r="Q74" s="24"/>
      <c r="R74" s="24"/>
      <c r="S74" s="24"/>
      <c r="T74" s="24"/>
      <c r="U74" s="27"/>
      <c r="V74" s="27"/>
      <c r="W74" s="27"/>
      <c r="X74" s="27"/>
      <c r="Y74" s="27"/>
      <c r="Z74" s="28">
        <f>IFERROR(IF($B74&lt;&gt;"Entry","",IF(W74="Y",SUMPRODUCT(('Rate Master'!$D$2:$D$50=(Y74&amp;"|"&amp;$B$2))*'Rate Master'!$I$2:$I$50),IF(OR(X74="Individual",X74="HUF"),SUMPRODUCT(('Rate Master'!$D$2:$D$50=(Y74&amp;"|"&amp;$B$2))*'Rate Master'!$G$2:$G$50),SUMPRODUCT(('Rate Master'!$D$2:$D$50=(Y74&amp;"|"&amp;$B$2))*'Rate Master'!$H$2:$H$50)))),"")</f>
      </c>
      <c r="AA74" s="26">
        <f>IFERROR(IF($B74&lt;&gt;"Entry","",IF(OR(X74="Individual",X74="HUF"),SUMPRODUCT(('Rate Master'!$D$2:$D$50=(Y74&amp;"|"&amp;$B$2))*'Rate Master'!$E$2:$E$50),SUMPRODUCT(('Rate Master'!$D$2:$D$50=(Y74&amp;"|"&amp;$B$2))*'Rate Master'!$F$2:$F$50))),"")</f>
      </c>
      <c r="AB74" s="29"/>
      <c r="AC74" s="30"/>
      <c r="AD74" s="31"/>
      <c r="AE74" s="26">
        <f>IF($B74&lt;&gt;"Entry","",ROUND(AD74*AB74/100,0))</f>
      </c>
      <c r="AF74" s="31"/>
      <c r="AG74" s="31"/>
      <c r="AH74" s="26">
        <f>IF($B74&lt;&gt;"Entry","",IF(OR(AE74=0,AC74="",AS74="",AS74&lt;=0),0,IF(AS74&lt;=DATE(YEAR(AC74),MONTH(AC74)+1,7),0,ROUND(AE74*0.015*((YEAR(AS74)-YEAR(AC74))*12+(MONTH(AS74)-MONTH(AC74))+1),0))))</f>
      </c>
      <c r="AI74" s="31"/>
      <c r="AJ74" s="27"/>
      <c r="AK74" s="27"/>
      <c r="AL74" s="29"/>
      <c r="AM74" s="27"/>
      <c r="AN74" s="27"/>
      <c r="AO74" s="26">
        <f>IF($B74&lt;&gt;"Challan","",SUMIF($C$8:$C$207,$C74,$AE$8:$AE$207)+SUMIF($C$8:$C$207,$C74,$AH$8:$AH$207)+SUMIF($C$8:$C$207,$C74,$AF$8:$AF$207))</f>
      </c>
      <c r="AP74" s="26">
        <f>IF($B74&lt;&gt;"Challan","",O74-M74)</f>
      </c>
      <c r="AQ74" s="26">
        <f>IF($B74&lt;&gt;"Challan","",MAX(0,AP74-AO74))</f>
      </c>
      <c r="AR74" s="32">
        <f>IF($B74&lt;&gt;"Challan","",IF(ROUND(AO74-AP74,2)&gt;0,"Over-applied",IF(ROUND(AO74-AP74,2)=0,"Fully Utilised","Unconsumed")))</f>
      </c>
      <c r="AS74" s="33">
        <f>IF($B74&lt;&gt;"Entry","",SUMPRODUCT(($C$8:$C$207=$C74)*($B$8:$B$207="Challan")*$F$8:$F$207))</f>
      </c>
    </row>
    <row r="75" spans="1:45" x14ac:dyDescent="0.25">
      <c r="A75" s="19">
        <f>IF($B75="Entry",COUNTIF($B$8:$B75,"Entry"),"")</f>
      </c>
      <c r="B75" s="20"/>
      <c r="C75" s="21"/>
      <c r="D75" s="22"/>
      <c r="E75" s="22"/>
      <c r="F75" s="23"/>
      <c r="G75" s="24"/>
      <c r="H75" s="25"/>
      <c r="I75" s="25"/>
      <c r="J75" s="25"/>
      <c r="K75" s="25"/>
      <c r="L75" s="25"/>
      <c r="M75" s="25"/>
      <c r="N75" s="25"/>
      <c r="O75" s="26">
        <f>IF($B75&lt;&gt;"Challan","",H75+I75+J75+K75+L75+M75)</f>
      </c>
      <c r="P75" s="24"/>
      <c r="Q75" s="24"/>
      <c r="R75" s="24"/>
      <c r="S75" s="24"/>
      <c r="T75" s="24"/>
      <c r="U75" s="27"/>
      <c r="V75" s="27"/>
      <c r="W75" s="27"/>
      <c r="X75" s="27"/>
      <c r="Y75" s="27"/>
      <c r="Z75" s="28">
        <f>IFERROR(IF($B75&lt;&gt;"Entry","",IF(W75="Y",SUMPRODUCT(('Rate Master'!$D$2:$D$50=(Y75&amp;"|"&amp;$B$2))*'Rate Master'!$I$2:$I$50),IF(OR(X75="Individual",X75="HUF"),SUMPRODUCT(('Rate Master'!$D$2:$D$50=(Y75&amp;"|"&amp;$B$2))*'Rate Master'!$G$2:$G$50),SUMPRODUCT(('Rate Master'!$D$2:$D$50=(Y75&amp;"|"&amp;$B$2))*'Rate Master'!$H$2:$H$50)))),"")</f>
      </c>
      <c r="AA75" s="26">
        <f>IFERROR(IF($B75&lt;&gt;"Entry","",IF(OR(X75="Individual",X75="HUF"),SUMPRODUCT(('Rate Master'!$D$2:$D$50=(Y75&amp;"|"&amp;$B$2))*'Rate Master'!$E$2:$E$50),SUMPRODUCT(('Rate Master'!$D$2:$D$50=(Y75&amp;"|"&amp;$B$2))*'Rate Master'!$F$2:$F$50))),"")</f>
      </c>
      <c r="AB75" s="29"/>
      <c r="AC75" s="30"/>
      <c r="AD75" s="31"/>
      <c r="AE75" s="26">
        <f>IF($B75&lt;&gt;"Entry","",ROUND(AD75*AB75/100,0))</f>
      </c>
      <c r="AF75" s="31"/>
      <c r="AG75" s="31"/>
      <c r="AH75" s="26">
        <f>IF($B75&lt;&gt;"Entry","",IF(OR(AE75=0,AC75="",AS75="",AS75&lt;=0),0,IF(AS75&lt;=DATE(YEAR(AC75),MONTH(AC75)+1,7),0,ROUND(AE75*0.015*((YEAR(AS75)-YEAR(AC75))*12+(MONTH(AS75)-MONTH(AC75))+1),0))))</f>
      </c>
      <c r="AI75" s="31"/>
      <c r="AJ75" s="27"/>
      <c r="AK75" s="27"/>
      <c r="AL75" s="29"/>
      <c r="AM75" s="27"/>
      <c r="AN75" s="27"/>
      <c r="AO75" s="26">
        <f>IF($B75&lt;&gt;"Challan","",SUMIF($C$8:$C$207,$C75,$AE$8:$AE$207)+SUMIF($C$8:$C$207,$C75,$AH$8:$AH$207)+SUMIF($C$8:$C$207,$C75,$AF$8:$AF$207))</f>
      </c>
      <c r="AP75" s="26">
        <f>IF($B75&lt;&gt;"Challan","",O75-M75)</f>
      </c>
      <c r="AQ75" s="26">
        <f>IF($B75&lt;&gt;"Challan","",MAX(0,AP75-AO75))</f>
      </c>
      <c r="AR75" s="32">
        <f>IF($B75&lt;&gt;"Challan","",IF(ROUND(AO75-AP75,2)&gt;0,"Over-applied",IF(ROUND(AO75-AP75,2)=0,"Fully Utilised","Unconsumed")))</f>
      </c>
      <c r="AS75" s="33">
        <f>IF($B75&lt;&gt;"Entry","",SUMPRODUCT(($C$8:$C$207=$C75)*($B$8:$B$207="Challan")*$F$8:$F$207))</f>
      </c>
    </row>
    <row r="76" spans="1:45" x14ac:dyDescent="0.25">
      <c r="A76" s="19">
        <f>IF($B76="Entry",COUNTIF($B$8:$B76,"Entry"),"")</f>
      </c>
      <c r="B76" s="20"/>
      <c r="C76" s="21"/>
      <c r="D76" s="22"/>
      <c r="E76" s="22"/>
      <c r="F76" s="23"/>
      <c r="G76" s="24"/>
      <c r="H76" s="25"/>
      <c r="I76" s="25"/>
      <c r="J76" s="25"/>
      <c r="K76" s="25"/>
      <c r="L76" s="25"/>
      <c r="M76" s="25"/>
      <c r="N76" s="25"/>
      <c r="O76" s="26">
        <f>IF($B76&lt;&gt;"Challan","",H76+I76+J76+K76+L76+M76)</f>
      </c>
      <c r="P76" s="24"/>
      <c r="Q76" s="24"/>
      <c r="R76" s="24"/>
      <c r="S76" s="24"/>
      <c r="T76" s="24"/>
      <c r="U76" s="27"/>
      <c r="V76" s="27"/>
      <c r="W76" s="27"/>
      <c r="X76" s="27"/>
      <c r="Y76" s="27"/>
      <c r="Z76" s="28">
        <f>IFERROR(IF($B76&lt;&gt;"Entry","",IF(W76="Y",SUMPRODUCT(('Rate Master'!$D$2:$D$50=(Y76&amp;"|"&amp;$B$2))*'Rate Master'!$I$2:$I$50),IF(OR(X76="Individual",X76="HUF"),SUMPRODUCT(('Rate Master'!$D$2:$D$50=(Y76&amp;"|"&amp;$B$2))*'Rate Master'!$G$2:$G$50),SUMPRODUCT(('Rate Master'!$D$2:$D$50=(Y76&amp;"|"&amp;$B$2))*'Rate Master'!$H$2:$H$50)))),"")</f>
      </c>
      <c r="AA76" s="26">
        <f>IFERROR(IF($B76&lt;&gt;"Entry","",IF(OR(X76="Individual",X76="HUF"),SUMPRODUCT(('Rate Master'!$D$2:$D$50=(Y76&amp;"|"&amp;$B$2))*'Rate Master'!$E$2:$E$50),SUMPRODUCT(('Rate Master'!$D$2:$D$50=(Y76&amp;"|"&amp;$B$2))*'Rate Master'!$F$2:$F$50))),"")</f>
      </c>
      <c r="AB76" s="29"/>
      <c r="AC76" s="30"/>
      <c r="AD76" s="31"/>
      <c r="AE76" s="26">
        <f>IF($B76&lt;&gt;"Entry","",ROUND(AD76*AB76/100,0))</f>
      </c>
      <c r="AF76" s="31"/>
      <c r="AG76" s="31"/>
      <c r="AH76" s="26">
        <f>IF($B76&lt;&gt;"Entry","",IF(OR(AE76=0,AC76="",AS76="",AS76&lt;=0),0,IF(AS76&lt;=DATE(YEAR(AC76),MONTH(AC76)+1,7),0,ROUND(AE76*0.015*((YEAR(AS76)-YEAR(AC76))*12+(MONTH(AS76)-MONTH(AC76))+1),0))))</f>
      </c>
      <c r="AI76" s="31"/>
      <c r="AJ76" s="27"/>
      <c r="AK76" s="27"/>
      <c r="AL76" s="29"/>
      <c r="AM76" s="27"/>
      <c r="AN76" s="27"/>
      <c r="AO76" s="26">
        <f>IF($B76&lt;&gt;"Challan","",SUMIF($C$8:$C$207,$C76,$AE$8:$AE$207)+SUMIF($C$8:$C$207,$C76,$AH$8:$AH$207)+SUMIF($C$8:$C$207,$C76,$AF$8:$AF$207))</f>
      </c>
      <c r="AP76" s="26">
        <f>IF($B76&lt;&gt;"Challan","",O76-M76)</f>
      </c>
      <c r="AQ76" s="26">
        <f>IF($B76&lt;&gt;"Challan","",MAX(0,AP76-AO76))</f>
      </c>
      <c r="AR76" s="32">
        <f>IF($B76&lt;&gt;"Challan","",IF(ROUND(AO76-AP76,2)&gt;0,"Over-applied",IF(ROUND(AO76-AP76,2)=0,"Fully Utilised","Unconsumed")))</f>
      </c>
      <c r="AS76" s="33">
        <f>IF($B76&lt;&gt;"Entry","",SUMPRODUCT(($C$8:$C$207=$C76)*($B$8:$B$207="Challan")*$F$8:$F$207))</f>
      </c>
    </row>
    <row r="77" spans="1:45" x14ac:dyDescent="0.25">
      <c r="A77" s="19">
        <f>IF($B77="Entry",COUNTIF($B$8:$B77,"Entry"),"")</f>
      </c>
      <c r="B77" s="20"/>
      <c r="C77" s="21"/>
      <c r="D77" s="22"/>
      <c r="E77" s="22"/>
      <c r="F77" s="23"/>
      <c r="G77" s="24"/>
      <c r="H77" s="25"/>
      <c r="I77" s="25"/>
      <c r="J77" s="25"/>
      <c r="K77" s="25"/>
      <c r="L77" s="25"/>
      <c r="M77" s="25"/>
      <c r="N77" s="25"/>
      <c r="O77" s="26">
        <f>IF($B77&lt;&gt;"Challan","",H77+I77+J77+K77+L77+M77)</f>
      </c>
      <c r="P77" s="24"/>
      <c r="Q77" s="24"/>
      <c r="R77" s="24"/>
      <c r="S77" s="24"/>
      <c r="T77" s="24"/>
      <c r="U77" s="27"/>
      <c r="V77" s="27"/>
      <c r="W77" s="27"/>
      <c r="X77" s="27"/>
      <c r="Y77" s="27"/>
      <c r="Z77" s="28">
        <f>IFERROR(IF($B77&lt;&gt;"Entry","",IF(W77="Y",SUMPRODUCT(('Rate Master'!$D$2:$D$50=(Y77&amp;"|"&amp;$B$2))*'Rate Master'!$I$2:$I$50),IF(OR(X77="Individual",X77="HUF"),SUMPRODUCT(('Rate Master'!$D$2:$D$50=(Y77&amp;"|"&amp;$B$2))*'Rate Master'!$G$2:$G$50),SUMPRODUCT(('Rate Master'!$D$2:$D$50=(Y77&amp;"|"&amp;$B$2))*'Rate Master'!$H$2:$H$50)))),"")</f>
      </c>
      <c r="AA77" s="26">
        <f>IFERROR(IF($B77&lt;&gt;"Entry","",IF(OR(X77="Individual",X77="HUF"),SUMPRODUCT(('Rate Master'!$D$2:$D$50=(Y77&amp;"|"&amp;$B$2))*'Rate Master'!$E$2:$E$50),SUMPRODUCT(('Rate Master'!$D$2:$D$50=(Y77&amp;"|"&amp;$B$2))*'Rate Master'!$F$2:$F$50))),"")</f>
      </c>
      <c r="AB77" s="29"/>
      <c r="AC77" s="30"/>
      <c r="AD77" s="31"/>
      <c r="AE77" s="26">
        <f>IF($B77&lt;&gt;"Entry","",ROUND(AD77*AB77/100,0))</f>
      </c>
      <c r="AF77" s="31"/>
      <c r="AG77" s="31"/>
      <c r="AH77" s="26">
        <f>IF($B77&lt;&gt;"Entry","",IF(OR(AE77=0,AC77="",AS77="",AS77&lt;=0),0,IF(AS77&lt;=DATE(YEAR(AC77),MONTH(AC77)+1,7),0,ROUND(AE77*0.015*((YEAR(AS77)-YEAR(AC77))*12+(MONTH(AS77)-MONTH(AC77))+1),0))))</f>
      </c>
      <c r="AI77" s="31"/>
      <c r="AJ77" s="27"/>
      <c r="AK77" s="27"/>
      <c r="AL77" s="29"/>
      <c r="AM77" s="27"/>
      <c r="AN77" s="27"/>
      <c r="AO77" s="26">
        <f>IF($B77&lt;&gt;"Challan","",SUMIF($C$8:$C$207,$C77,$AE$8:$AE$207)+SUMIF($C$8:$C$207,$C77,$AH$8:$AH$207)+SUMIF($C$8:$C$207,$C77,$AF$8:$AF$207))</f>
      </c>
      <c r="AP77" s="26">
        <f>IF($B77&lt;&gt;"Challan","",O77-M77)</f>
      </c>
      <c r="AQ77" s="26">
        <f>IF($B77&lt;&gt;"Challan","",MAX(0,AP77-AO77))</f>
      </c>
      <c r="AR77" s="32">
        <f>IF($B77&lt;&gt;"Challan","",IF(ROUND(AO77-AP77,2)&gt;0,"Over-applied",IF(ROUND(AO77-AP77,2)=0,"Fully Utilised","Unconsumed")))</f>
      </c>
      <c r="AS77" s="33">
        <f>IF($B77&lt;&gt;"Entry","",SUMPRODUCT(($C$8:$C$207=$C77)*($B$8:$B$207="Challan")*$F$8:$F$207))</f>
      </c>
    </row>
    <row r="78" spans="1:45" x14ac:dyDescent="0.25">
      <c r="A78" s="19">
        <f>IF($B78="Entry",COUNTIF($B$8:$B78,"Entry"),"")</f>
      </c>
      <c r="B78" s="20"/>
      <c r="C78" s="21"/>
      <c r="D78" s="22"/>
      <c r="E78" s="22"/>
      <c r="F78" s="23"/>
      <c r="G78" s="24"/>
      <c r="H78" s="25"/>
      <c r="I78" s="25"/>
      <c r="J78" s="25"/>
      <c r="K78" s="25"/>
      <c r="L78" s="25"/>
      <c r="M78" s="25"/>
      <c r="N78" s="25"/>
      <c r="O78" s="26">
        <f>IF($B78&lt;&gt;"Challan","",H78+I78+J78+K78+L78+M78)</f>
      </c>
      <c r="P78" s="24"/>
      <c r="Q78" s="24"/>
      <c r="R78" s="24"/>
      <c r="S78" s="24"/>
      <c r="T78" s="24"/>
      <c r="U78" s="27"/>
      <c r="V78" s="27"/>
      <c r="W78" s="27"/>
      <c r="X78" s="27"/>
      <c r="Y78" s="27"/>
      <c r="Z78" s="28">
        <f>IFERROR(IF($B78&lt;&gt;"Entry","",IF(W78="Y",SUMPRODUCT(('Rate Master'!$D$2:$D$50=(Y78&amp;"|"&amp;$B$2))*'Rate Master'!$I$2:$I$50),IF(OR(X78="Individual",X78="HUF"),SUMPRODUCT(('Rate Master'!$D$2:$D$50=(Y78&amp;"|"&amp;$B$2))*'Rate Master'!$G$2:$G$50),SUMPRODUCT(('Rate Master'!$D$2:$D$50=(Y78&amp;"|"&amp;$B$2))*'Rate Master'!$H$2:$H$50)))),"")</f>
      </c>
      <c r="AA78" s="26">
        <f>IFERROR(IF($B78&lt;&gt;"Entry","",IF(OR(X78="Individual",X78="HUF"),SUMPRODUCT(('Rate Master'!$D$2:$D$50=(Y78&amp;"|"&amp;$B$2))*'Rate Master'!$E$2:$E$50),SUMPRODUCT(('Rate Master'!$D$2:$D$50=(Y78&amp;"|"&amp;$B$2))*'Rate Master'!$F$2:$F$50))),"")</f>
      </c>
      <c r="AB78" s="29"/>
      <c r="AC78" s="30"/>
      <c r="AD78" s="31"/>
      <c r="AE78" s="26">
        <f>IF($B78&lt;&gt;"Entry","",ROUND(AD78*AB78/100,0))</f>
      </c>
      <c r="AF78" s="31"/>
      <c r="AG78" s="31"/>
      <c r="AH78" s="26">
        <f>IF($B78&lt;&gt;"Entry","",IF(OR(AE78=0,AC78="",AS78="",AS78&lt;=0),0,IF(AS78&lt;=DATE(YEAR(AC78),MONTH(AC78)+1,7),0,ROUND(AE78*0.015*((YEAR(AS78)-YEAR(AC78))*12+(MONTH(AS78)-MONTH(AC78))+1),0))))</f>
      </c>
      <c r="AI78" s="31"/>
      <c r="AJ78" s="27"/>
      <c r="AK78" s="27"/>
      <c r="AL78" s="29"/>
      <c r="AM78" s="27"/>
      <c r="AN78" s="27"/>
      <c r="AO78" s="26">
        <f>IF($B78&lt;&gt;"Challan","",SUMIF($C$8:$C$207,$C78,$AE$8:$AE$207)+SUMIF($C$8:$C$207,$C78,$AH$8:$AH$207)+SUMIF($C$8:$C$207,$C78,$AF$8:$AF$207))</f>
      </c>
      <c r="AP78" s="26">
        <f>IF($B78&lt;&gt;"Challan","",O78-M78)</f>
      </c>
      <c r="AQ78" s="26">
        <f>IF($B78&lt;&gt;"Challan","",MAX(0,AP78-AO78))</f>
      </c>
      <c r="AR78" s="32">
        <f>IF($B78&lt;&gt;"Challan","",IF(ROUND(AO78-AP78,2)&gt;0,"Over-applied",IF(ROUND(AO78-AP78,2)=0,"Fully Utilised","Unconsumed")))</f>
      </c>
      <c r="AS78" s="33">
        <f>IF($B78&lt;&gt;"Entry","",SUMPRODUCT(($C$8:$C$207=$C78)*($B$8:$B$207="Challan")*$F$8:$F$207))</f>
      </c>
    </row>
    <row r="79" spans="1:45" x14ac:dyDescent="0.25">
      <c r="A79" s="19">
        <f>IF($B79="Entry",COUNTIF($B$8:$B79,"Entry"),"")</f>
      </c>
      <c r="B79" s="20"/>
      <c r="C79" s="21"/>
      <c r="D79" s="22"/>
      <c r="E79" s="22"/>
      <c r="F79" s="23"/>
      <c r="G79" s="24"/>
      <c r="H79" s="25"/>
      <c r="I79" s="25"/>
      <c r="J79" s="25"/>
      <c r="K79" s="25"/>
      <c r="L79" s="25"/>
      <c r="M79" s="25"/>
      <c r="N79" s="25"/>
      <c r="O79" s="26">
        <f>IF($B79&lt;&gt;"Challan","",H79+I79+J79+K79+L79+M79)</f>
      </c>
      <c r="P79" s="24"/>
      <c r="Q79" s="24"/>
      <c r="R79" s="24"/>
      <c r="S79" s="24"/>
      <c r="T79" s="24"/>
      <c r="U79" s="27"/>
      <c r="V79" s="27"/>
      <c r="W79" s="27"/>
      <c r="X79" s="27"/>
      <c r="Y79" s="27"/>
      <c r="Z79" s="28">
        <f>IFERROR(IF($B79&lt;&gt;"Entry","",IF(W79="Y",SUMPRODUCT(('Rate Master'!$D$2:$D$50=(Y79&amp;"|"&amp;$B$2))*'Rate Master'!$I$2:$I$50),IF(OR(X79="Individual",X79="HUF"),SUMPRODUCT(('Rate Master'!$D$2:$D$50=(Y79&amp;"|"&amp;$B$2))*'Rate Master'!$G$2:$G$50),SUMPRODUCT(('Rate Master'!$D$2:$D$50=(Y79&amp;"|"&amp;$B$2))*'Rate Master'!$H$2:$H$50)))),"")</f>
      </c>
      <c r="AA79" s="26">
        <f>IFERROR(IF($B79&lt;&gt;"Entry","",IF(OR(X79="Individual",X79="HUF"),SUMPRODUCT(('Rate Master'!$D$2:$D$50=(Y79&amp;"|"&amp;$B$2))*'Rate Master'!$E$2:$E$50),SUMPRODUCT(('Rate Master'!$D$2:$D$50=(Y79&amp;"|"&amp;$B$2))*'Rate Master'!$F$2:$F$50))),"")</f>
      </c>
      <c r="AB79" s="29"/>
      <c r="AC79" s="30"/>
      <c r="AD79" s="31"/>
      <c r="AE79" s="26">
        <f>IF($B79&lt;&gt;"Entry","",ROUND(AD79*AB79/100,0))</f>
      </c>
      <c r="AF79" s="31"/>
      <c r="AG79" s="31"/>
      <c r="AH79" s="26">
        <f>IF($B79&lt;&gt;"Entry","",IF(OR(AE79=0,AC79="",AS79="",AS79&lt;=0),0,IF(AS79&lt;=DATE(YEAR(AC79),MONTH(AC79)+1,7),0,ROUND(AE79*0.015*((YEAR(AS79)-YEAR(AC79))*12+(MONTH(AS79)-MONTH(AC79))+1),0))))</f>
      </c>
      <c r="AI79" s="31"/>
      <c r="AJ79" s="27"/>
      <c r="AK79" s="27"/>
      <c r="AL79" s="29"/>
      <c r="AM79" s="27"/>
      <c r="AN79" s="27"/>
      <c r="AO79" s="26">
        <f>IF($B79&lt;&gt;"Challan","",SUMIF($C$8:$C$207,$C79,$AE$8:$AE$207)+SUMIF($C$8:$C$207,$C79,$AH$8:$AH$207)+SUMIF($C$8:$C$207,$C79,$AF$8:$AF$207))</f>
      </c>
      <c r="AP79" s="26">
        <f>IF($B79&lt;&gt;"Challan","",O79-M79)</f>
      </c>
      <c r="AQ79" s="26">
        <f>IF($B79&lt;&gt;"Challan","",MAX(0,AP79-AO79))</f>
      </c>
      <c r="AR79" s="32">
        <f>IF($B79&lt;&gt;"Challan","",IF(ROUND(AO79-AP79,2)&gt;0,"Over-applied",IF(ROUND(AO79-AP79,2)=0,"Fully Utilised","Unconsumed")))</f>
      </c>
      <c r="AS79" s="33">
        <f>IF($B79&lt;&gt;"Entry","",SUMPRODUCT(($C$8:$C$207=$C79)*($B$8:$B$207="Challan")*$F$8:$F$207))</f>
      </c>
    </row>
    <row r="80" spans="1:45" x14ac:dyDescent="0.25">
      <c r="A80" s="19">
        <f>IF($B80="Entry",COUNTIF($B$8:$B80,"Entry"),"")</f>
      </c>
      <c r="B80" s="20"/>
      <c r="C80" s="21"/>
      <c r="D80" s="22"/>
      <c r="E80" s="22"/>
      <c r="F80" s="23"/>
      <c r="G80" s="24"/>
      <c r="H80" s="25"/>
      <c r="I80" s="25"/>
      <c r="J80" s="25"/>
      <c r="K80" s="25"/>
      <c r="L80" s="25"/>
      <c r="M80" s="25"/>
      <c r="N80" s="25"/>
      <c r="O80" s="26">
        <f>IF($B80&lt;&gt;"Challan","",H80+I80+J80+K80+L80+M80)</f>
      </c>
      <c r="P80" s="24"/>
      <c r="Q80" s="24"/>
      <c r="R80" s="24"/>
      <c r="S80" s="24"/>
      <c r="T80" s="24"/>
      <c r="U80" s="27"/>
      <c r="V80" s="27"/>
      <c r="W80" s="27"/>
      <c r="X80" s="27"/>
      <c r="Y80" s="27"/>
      <c r="Z80" s="28">
        <f>IFERROR(IF($B80&lt;&gt;"Entry","",IF(W80="Y",SUMPRODUCT(('Rate Master'!$D$2:$D$50=(Y80&amp;"|"&amp;$B$2))*'Rate Master'!$I$2:$I$50),IF(OR(X80="Individual",X80="HUF"),SUMPRODUCT(('Rate Master'!$D$2:$D$50=(Y80&amp;"|"&amp;$B$2))*'Rate Master'!$G$2:$G$50),SUMPRODUCT(('Rate Master'!$D$2:$D$50=(Y80&amp;"|"&amp;$B$2))*'Rate Master'!$H$2:$H$50)))),"")</f>
      </c>
      <c r="AA80" s="26">
        <f>IFERROR(IF($B80&lt;&gt;"Entry","",IF(OR(X80="Individual",X80="HUF"),SUMPRODUCT(('Rate Master'!$D$2:$D$50=(Y80&amp;"|"&amp;$B$2))*'Rate Master'!$E$2:$E$50),SUMPRODUCT(('Rate Master'!$D$2:$D$50=(Y80&amp;"|"&amp;$B$2))*'Rate Master'!$F$2:$F$50))),"")</f>
      </c>
      <c r="AB80" s="29"/>
      <c r="AC80" s="30"/>
      <c r="AD80" s="31"/>
      <c r="AE80" s="26">
        <f>IF($B80&lt;&gt;"Entry","",ROUND(AD80*AB80/100,0))</f>
      </c>
      <c r="AF80" s="31"/>
      <c r="AG80" s="31"/>
      <c r="AH80" s="26">
        <f>IF($B80&lt;&gt;"Entry","",IF(OR(AE80=0,AC80="",AS80="",AS80&lt;=0),0,IF(AS80&lt;=DATE(YEAR(AC80),MONTH(AC80)+1,7),0,ROUND(AE80*0.015*((YEAR(AS80)-YEAR(AC80))*12+(MONTH(AS80)-MONTH(AC80))+1),0))))</f>
      </c>
      <c r="AI80" s="31"/>
      <c r="AJ80" s="27"/>
      <c r="AK80" s="27"/>
      <c r="AL80" s="29"/>
      <c r="AM80" s="27"/>
      <c r="AN80" s="27"/>
      <c r="AO80" s="26">
        <f>IF($B80&lt;&gt;"Challan","",SUMIF($C$8:$C$207,$C80,$AE$8:$AE$207)+SUMIF($C$8:$C$207,$C80,$AH$8:$AH$207)+SUMIF($C$8:$C$207,$C80,$AF$8:$AF$207))</f>
      </c>
      <c r="AP80" s="26">
        <f>IF($B80&lt;&gt;"Challan","",O80-M80)</f>
      </c>
      <c r="AQ80" s="26">
        <f>IF($B80&lt;&gt;"Challan","",MAX(0,AP80-AO80))</f>
      </c>
      <c r="AR80" s="32">
        <f>IF($B80&lt;&gt;"Challan","",IF(ROUND(AO80-AP80,2)&gt;0,"Over-applied",IF(ROUND(AO80-AP80,2)=0,"Fully Utilised","Unconsumed")))</f>
      </c>
      <c r="AS80" s="33">
        <f>IF($B80&lt;&gt;"Entry","",SUMPRODUCT(($C$8:$C$207=$C80)*($B$8:$B$207="Challan")*$F$8:$F$207))</f>
      </c>
    </row>
    <row r="81" spans="1:45" x14ac:dyDescent="0.25">
      <c r="A81" s="19">
        <f>IF($B81="Entry",COUNTIF($B$8:$B81,"Entry"),"")</f>
      </c>
      <c r="B81" s="20"/>
      <c r="C81" s="21"/>
      <c r="D81" s="22"/>
      <c r="E81" s="22"/>
      <c r="F81" s="23"/>
      <c r="G81" s="24"/>
      <c r="H81" s="25"/>
      <c r="I81" s="25"/>
      <c r="J81" s="25"/>
      <c r="K81" s="25"/>
      <c r="L81" s="25"/>
      <c r="M81" s="25"/>
      <c r="N81" s="25"/>
      <c r="O81" s="26">
        <f>IF($B81&lt;&gt;"Challan","",H81+I81+J81+K81+L81+M81)</f>
      </c>
      <c r="P81" s="24"/>
      <c r="Q81" s="24"/>
      <c r="R81" s="24"/>
      <c r="S81" s="24"/>
      <c r="T81" s="24"/>
      <c r="U81" s="27"/>
      <c r="V81" s="27"/>
      <c r="W81" s="27"/>
      <c r="X81" s="27"/>
      <c r="Y81" s="27"/>
      <c r="Z81" s="28">
        <f>IFERROR(IF($B81&lt;&gt;"Entry","",IF(W81="Y",SUMPRODUCT(('Rate Master'!$D$2:$D$50=(Y81&amp;"|"&amp;$B$2))*'Rate Master'!$I$2:$I$50),IF(OR(X81="Individual",X81="HUF"),SUMPRODUCT(('Rate Master'!$D$2:$D$50=(Y81&amp;"|"&amp;$B$2))*'Rate Master'!$G$2:$G$50),SUMPRODUCT(('Rate Master'!$D$2:$D$50=(Y81&amp;"|"&amp;$B$2))*'Rate Master'!$H$2:$H$50)))),"")</f>
      </c>
      <c r="AA81" s="26">
        <f>IFERROR(IF($B81&lt;&gt;"Entry","",IF(OR(X81="Individual",X81="HUF"),SUMPRODUCT(('Rate Master'!$D$2:$D$50=(Y81&amp;"|"&amp;$B$2))*'Rate Master'!$E$2:$E$50),SUMPRODUCT(('Rate Master'!$D$2:$D$50=(Y81&amp;"|"&amp;$B$2))*'Rate Master'!$F$2:$F$50))),"")</f>
      </c>
      <c r="AB81" s="29"/>
      <c r="AC81" s="30"/>
      <c r="AD81" s="31"/>
      <c r="AE81" s="26">
        <f>IF($B81&lt;&gt;"Entry","",ROUND(AD81*AB81/100,0))</f>
      </c>
      <c r="AF81" s="31"/>
      <c r="AG81" s="31"/>
      <c r="AH81" s="26">
        <f>IF($B81&lt;&gt;"Entry","",IF(OR(AE81=0,AC81="",AS81="",AS81&lt;=0),0,IF(AS81&lt;=DATE(YEAR(AC81),MONTH(AC81)+1,7),0,ROUND(AE81*0.015*((YEAR(AS81)-YEAR(AC81))*12+(MONTH(AS81)-MONTH(AC81))+1),0))))</f>
      </c>
      <c r="AI81" s="31"/>
      <c r="AJ81" s="27"/>
      <c r="AK81" s="27"/>
      <c r="AL81" s="29"/>
      <c r="AM81" s="27"/>
      <c r="AN81" s="27"/>
      <c r="AO81" s="26">
        <f>IF($B81&lt;&gt;"Challan","",SUMIF($C$8:$C$207,$C81,$AE$8:$AE$207)+SUMIF($C$8:$C$207,$C81,$AH$8:$AH$207)+SUMIF($C$8:$C$207,$C81,$AF$8:$AF$207))</f>
      </c>
      <c r="AP81" s="26">
        <f>IF($B81&lt;&gt;"Challan","",O81-M81)</f>
      </c>
      <c r="AQ81" s="26">
        <f>IF($B81&lt;&gt;"Challan","",MAX(0,AP81-AO81))</f>
      </c>
      <c r="AR81" s="32">
        <f>IF($B81&lt;&gt;"Challan","",IF(ROUND(AO81-AP81,2)&gt;0,"Over-applied",IF(ROUND(AO81-AP81,2)=0,"Fully Utilised","Unconsumed")))</f>
      </c>
      <c r="AS81" s="33">
        <f>IF($B81&lt;&gt;"Entry","",SUMPRODUCT(($C$8:$C$207=$C81)*($B$8:$B$207="Challan")*$F$8:$F$207))</f>
      </c>
    </row>
    <row r="82" spans="1:45" x14ac:dyDescent="0.25">
      <c r="A82" s="19">
        <f>IF($B82="Entry",COUNTIF($B$8:$B82,"Entry"),"")</f>
      </c>
      <c r="B82" s="20"/>
      <c r="C82" s="21"/>
      <c r="D82" s="22"/>
      <c r="E82" s="22"/>
      <c r="F82" s="23"/>
      <c r="G82" s="24"/>
      <c r="H82" s="25"/>
      <c r="I82" s="25"/>
      <c r="J82" s="25"/>
      <c r="K82" s="25"/>
      <c r="L82" s="25"/>
      <c r="M82" s="25"/>
      <c r="N82" s="25"/>
      <c r="O82" s="26">
        <f>IF($B82&lt;&gt;"Challan","",H82+I82+J82+K82+L82+M82)</f>
      </c>
      <c r="P82" s="24"/>
      <c r="Q82" s="24"/>
      <c r="R82" s="24"/>
      <c r="S82" s="24"/>
      <c r="T82" s="24"/>
      <c r="U82" s="27"/>
      <c r="V82" s="27"/>
      <c r="W82" s="27"/>
      <c r="X82" s="27"/>
      <c r="Y82" s="27"/>
      <c r="Z82" s="28">
        <f>IFERROR(IF($B82&lt;&gt;"Entry","",IF(W82="Y",SUMPRODUCT(('Rate Master'!$D$2:$D$50=(Y82&amp;"|"&amp;$B$2))*'Rate Master'!$I$2:$I$50),IF(OR(X82="Individual",X82="HUF"),SUMPRODUCT(('Rate Master'!$D$2:$D$50=(Y82&amp;"|"&amp;$B$2))*'Rate Master'!$G$2:$G$50),SUMPRODUCT(('Rate Master'!$D$2:$D$50=(Y82&amp;"|"&amp;$B$2))*'Rate Master'!$H$2:$H$50)))),"")</f>
      </c>
      <c r="AA82" s="26">
        <f>IFERROR(IF($B82&lt;&gt;"Entry","",IF(OR(X82="Individual",X82="HUF"),SUMPRODUCT(('Rate Master'!$D$2:$D$50=(Y82&amp;"|"&amp;$B$2))*'Rate Master'!$E$2:$E$50),SUMPRODUCT(('Rate Master'!$D$2:$D$50=(Y82&amp;"|"&amp;$B$2))*'Rate Master'!$F$2:$F$50))),"")</f>
      </c>
      <c r="AB82" s="29"/>
      <c r="AC82" s="30"/>
      <c r="AD82" s="31"/>
      <c r="AE82" s="26">
        <f>IF($B82&lt;&gt;"Entry","",ROUND(AD82*AB82/100,0))</f>
      </c>
      <c r="AF82" s="31"/>
      <c r="AG82" s="31"/>
      <c r="AH82" s="26">
        <f>IF($B82&lt;&gt;"Entry","",IF(OR(AE82=0,AC82="",AS82="",AS82&lt;=0),0,IF(AS82&lt;=DATE(YEAR(AC82),MONTH(AC82)+1,7),0,ROUND(AE82*0.015*((YEAR(AS82)-YEAR(AC82))*12+(MONTH(AS82)-MONTH(AC82))+1),0))))</f>
      </c>
      <c r="AI82" s="31"/>
      <c r="AJ82" s="27"/>
      <c r="AK82" s="27"/>
      <c r="AL82" s="29"/>
      <c r="AM82" s="27"/>
      <c r="AN82" s="27"/>
      <c r="AO82" s="26">
        <f>IF($B82&lt;&gt;"Challan","",SUMIF($C$8:$C$207,$C82,$AE$8:$AE$207)+SUMIF($C$8:$C$207,$C82,$AH$8:$AH$207)+SUMIF($C$8:$C$207,$C82,$AF$8:$AF$207))</f>
      </c>
      <c r="AP82" s="26">
        <f>IF($B82&lt;&gt;"Challan","",O82-M82)</f>
      </c>
      <c r="AQ82" s="26">
        <f>IF($B82&lt;&gt;"Challan","",MAX(0,AP82-AO82))</f>
      </c>
      <c r="AR82" s="32">
        <f>IF($B82&lt;&gt;"Challan","",IF(ROUND(AO82-AP82,2)&gt;0,"Over-applied",IF(ROUND(AO82-AP82,2)=0,"Fully Utilised","Unconsumed")))</f>
      </c>
      <c r="AS82" s="33">
        <f>IF($B82&lt;&gt;"Entry","",SUMPRODUCT(($C$8:$C$207=$C82)*($B$8:$B$207="Challan")*$F$8:$F$207))</f>
      </c>
    </row>
    <row r="83" spans="1:45" x14ac:dyDescent="0.25">
      <c r="A83" s="19">
        <f>IF($B83="Entry",COUNTIF($B$8:$B83,"Entry"),"")</f>
      </c>
      <c r="B83" s="20"/>
      <c r="C83" s="21"/>
      <c r="D83" s="22"/>
      <c r="E83" s="22"/>
      <c r="F83" s="23"/>
      <c r="G83" s="24"/>
      <c r="H83" s="25"/>
      <c r="I83" s="25"/>
      <c r="J83" s="25"/>
      <c r="K83" s="25"/>
      <c r="L83" s="25"/>
      <c r="M83" s="25"/>
      <c r="N83" s="25"/>
      <c r="O83" s="26">
        <f>IF($B83&lt;&gt;"Challan","",H83+I83+J83+K83+L83+M83)</f>
      </c>
      <c r="P83" s="24"/>
      <c r="Q83" s="24"/>
      <c r="R83" s="24"/>
      <c r="S83" s="24"/>
      <c r="T83" s="24"/>
      <c r="U83" s="27"/>
      <c r="V83" s="27"/>
      <c r="W83" s="27"/>
      <c r="X83" s="27"/>
      <c r="Y83" s="27"/>
      <c r="Z83" s="28">
        <f>IFERROR(IF($B83&lt;&gt;"Entry","",IF(W83="Y",SUMPRODUCT(('Rate Master'!$D$2:$D$50=(Y83&amp;"|"&amp;$B$2))*'Rate Master'!$I$2:$I$50),IF(OR(X83="Individual",X83="HUF"),SUMPRODUCT(('Rate Master'!$D$2:$D$50=(Y83&amp;"|"&amp;$B$2))*'Rate Master'!$G$2:$G$50),SUMPRODUCT(('Rate Master'!$D$2:$D$50=(Y83&amp;"|"&amp;$B$2))*'Rate Master'!$H$2:$H$50)))),"")</f>
      </c>
      <c r="AA83" s="26">
        <f>IFERROR(IF($B83&lt;&gt;"Entry","",IF(OR(X83="Individual",X83="HUF"),SUMPRODUCT(('Rate Master'!$D$2:$D$50=(Y83&amp;"|"&amp;$B$2))*'Rate Master'!$E$2:$E$50),SUMPRODUCT(('Rate Master'!$D$2:$D$50=(Y83&amp;"|"&amp;$B$2))*'Rate Master'!$F$2:$F$50))),"")</f>
      </c>
      <c r="AB83" s="29"/>
      <c r="AC83" s="30"/>
      <c r="AD83" s="31"/>
      <c r="AE83" s="26">
        <f>IF($B83&lt;&gt;"Entry","",ROUND(AD83*AB83/100,0))</f>
      </c>
      <c r="AF83" s="31"/>
      <c r="AG83" s="31"/>
      <c r="AH83" s="26">
        <f>IF($B83&lt;&gt;"Entry","",IF(OR(AE83=0,AC83="",AS83="",AS83&lt;=0),0,IF(AS83&lt;=DATE(YEAR(AC83),MONTH(AC83)+1,7),0,ROUND(AE83*0.015*((YEAR(AS83)-YEAR(AC83))*12+(MONTH(AS83)-MONTH(AC83))+1),0))))</f>
      </c>
      <c r="AI83" s="31"/>
      <c r="AJ83" s="27"/>
      <c r="AK83" s="27"/>
      <c r="AL83" s="29"/>
      <c r="AM83" s="27"/>
      <c r="AN83" s="27"/>
      <c r="AO83" s="26">
        <f>IF($B83&lt;&gt;"Challan","",SUMIF($C$8:$C$207,$C83,$AE$8:$AE$207)+SUMIF($C$8:$C$207,$C83,$AH$8:$AH$207)+SUMIF($C$8:$C$207,$C83,$AF$8:$AF$207))</f>
      </c>
      <c r="AP83" s="26">
        <f>IF($B83&lt;&gt;"Challan","",O83-M83)</f>
      </c>
      <c r="AQ83" s="26">
        <f>IF($B83&lt;&gt;"Challan","",MAX(0,AP83-AO83))</f>
      </c>
      <c r="AR83" s="32">
        <f>IF($B83&lt;&gt;"Challan","",IF(ROUND(AO83-AP83,2)&gt;0,"Over-applied",IF(ROUND(AO83-AP83,2)=0,"Fully Utilised","Unconsumed")))</f>
      </c>
      <c r="AS83" s="33">
        <f>IF($B83&lt;&gt;"Entry","",SUMPRODUCT(($C$8:$C$207=$C83)*($B$8:$B$207="Challan")*$F$8:$F$207))</f>
      </c>
    </row>
    <row r="84" spans="1:45" x14ac:dyDescent="0.25">
      <c r="A84" s="19">
        <f>IF($B84="Entry",COUNTIF($B$8:$B84,"Entry"),"")</f>
      </c>
      <c r="B84" s="20"/>
      <c r="C84" s="21"/>
      <c r="D84" s="22"/>
      <c r="E84" s="22"/>
      <c r="F84" s="23"/>
      <c r="G84" s="24"/>
      <c r="H84" s="25"/>
      <c r="I84" s="25"/>
      <c r="J84" s="25"/>
      <c r="K84" s="25"/>
      <c r="L84" s="25"/>
      <c r="M84" s="25"/>
      <c r="N84" s="25"/>
      <c r="O84" s="26">
        <f>IF($B84&lt;&gt;"Challan","",H84+I84+J84+K84+L84+M84)</f>
      </c>
      <c r="P84" s="24"/>
      <c r="Q84" s="24"/>
      <c r="R84" s="24"/>
      <c r="S84" s="24"/>
      <c r="T84" s="24"/>
      <c r="U84" s="27"/>
      <c r="V84" s="27"/>
      <c r="W84" s="27"/>
      <c r="X84" s="27"/>
      <c r="Y84" s="27"/>
      <c r="Z84" s="28">
        <f>IFERROR(IF($B84&lt;&gt;"Entry","",IF(W84="Y",SUMPRODUCT(('Rate Master'!$D$2:$D$50=(Y84&amp;"|"&amp;$B$2))*'Rate Master'!$I$2:$I$50),IF(OR(X84="Individual",X84="HUF"),SUMPRODUCT(('Rate Master'!$D$2:$D$50=(Y84&amp;"|"&amp;$B$2))*'Rate Master'!$G$2:$G$50),SUMPRODUCT(('Rate Master'!$D$2:$D$50=(Y84&amp;"|"&amp;$B$2))*'Rate Master'!$H$2:$H$50)))),"")</f>
      </c>
      <c r="AA84" s="26">
        <f>IFERROR(IF($B84&lt;&gt;"Entry","",IF(OR(X84="Individual",X84="HUF"),SUMPRODUCT(('Rate Master'!$D$2:$D$50=(Y84&amp;"|"&amp;$B$2))*'Rate Master'!$E$2:$E$50),SUMPRODUCT(('Rate Master'!$D$2:$D$50=(Y84&amp;"|"&amp;$B$2))*'Rate Master'!$F$2:$F$50))),"")</f>
      </c>
      <c r="AB84" s="29"/>
      <c r="AC84" s="30"/>
      <c r="AD84" s="31"/>
      <c r="AE84" s="26">
        <f>IF($B84&lt;&gt;"Entry","",ROUND(AD84*AB84/100,0))</f>
      </c>
      <c r="AF84" s="31"/>
      <c r="AG84" s="31"/>
      <c r="AH84" s="26">
        <f>IF($B84&lt;&gt;"Entry","",IF(OR(AE84=0,AC84="",AS84="",AS84&lt;=0),0,IF(AS84&lt;=DATE(YEAR(AC84),MONTH(AC84)+1,7),0,ROUND(AE84*0.015*((YEAR(AS84)-YEAR(AC84))*12+(MONTH(AS84)-MONTH(AC84))+1),0))))</f>
      </c>
      <c r="AI84" s="31"/>
      <c r="AJ84" s="27"/>
      <c r="AK84" s="27"/>
      <c r="AL84" s="29"/>
      <c r="AM84" s="27"/>
      <c r="AN84" s="27"/>
      <c r="AO84" s="26">
        <f>IF($B84&lt;&gt;"Challan","",SUMIF($C$8:$C$207,$C84,$AE$8:$AE$207)+SUMIF($C$8:$C$207,$C84,$AH$8:$AH$207)+SUMIF($C$8:$C$207,$C84,$AF$8:$AF$207))</f>
      </c>
      <c r="AP84" s="26">
        <f>IF($B84&lt;&gt;"Challan","",O84-M84)</f>
      </c>
      <c r="AQ84" s="26">
        <f>IF($B84&lt;&gt;"Challan","",MAX(0,AP84-AO84))</f>
      </c>
      <c r="AR84" s="32">
        <f>IF($B84&lt;&gt;"Challan","",IF(ROUND(AO84-AP84,2)&gt;0,"Over-applied",IF(ROUND(AO84-AP84,2)=0,"Fully Utilised","Unconsumed")))</f>
      </c>
      <c r="AS84" s="33">
        <f>IF($B84&lt;&gt;"Entry","",SUMPRODUCT(($C$8:$C$207=$C84)*($B$8:$B$207="Challan")*$F$8:$F$207))</f>
      </c>
    </row>
    <row r="85" spans="1:45" x14ac:dyDescent="0.25">
      <c r="A85" s="19">
        <f>IF($B85="Entry",COUNTIF($B$8:$B85,"Entry"),"")</f>
      </c>
      <c r="B85" s="20"/>
      <c r="C85" s="21"/>
      <c r="D85" s="22"/>
      <c r="E85" s="22"/>
      <c r="F85" s="23"/>
      <c r="G85" s="24"/>
      <c r="H85" s="25"/>
      <c r="I85" s="25"/>
      <c r="J85" s="25"/>
      <c r="K85" s="25"/>
      <c r="L85" s="25"/>
      <c r="M85" s="25"/>
      <c r="N85" s="25"/>
      <c r="O85" s="26">
        <f>IF($B85&lt;&gt;"Challan","",H85+I85+J85+K85+L85+M85)</f>
      </c>
      <c r="P85" s="24"/>
      <c r="Q85" s="24"/>
      <c r="R85" s="24"/>
      <c r="S85" s="24"/>
      <c r="T85" s="24"/>
      <c r="U85" s="27"/>
      <c r="V85" s="27"/>
      <c r="W85" s="27"/>
      <c r="X85" s="27"/>
      <c r="Y85" s="27"/>
      <c r="Z85" s="28">
        <f>IFERROR(IF($B85&lt;&gt;"Entry","",IF(W85="Y",SUMPRODUCT(('Rate Master'!$D$2:$D$50=(Y85&amp;"|"&amp;$B$2))*'Rate Master'!$I$2:$I$50),IF(OR(X85="Individual",X85="HUF"),SUMPRODUCT(('Rate Master'!$D$2:$D$50=(Y85&amp;"|"&amp;$B$2))*'Rate Master'!$G$2:$G$50),SUMPRODUCT(('Rate Master'!$D$2:$D$50=(Y85&amp;"|"&amp;$B$2))*'Rate Master'!$H$2:$H$50)))),"")</f>
      </c>
      <c r="AA85" s="26">
        <f>IFERROR(IF($B85&lt;&gt;"Entry","",IF(OR(X85="Individual",X85="HUF"),SUMPRODUCT(('Rate Master'!$D$2:$D$50=(Y85&amp;"|"&amp;$B$2))*'Rate Master'!$E$2:$E$50),SUMPRODUCT(('Rate Master'!$D$2:$D$50=(Y85&amp;"|"&amp;$B$2))*'Rate Master'!$F$2:$F$50))),"")</f>
      </c>
      <c r="AB85" s="29"/>
      <c r="AC85" s="30"/>
      <c r="AD85" s="31"/>
      <c r="AE85" s="26">
        <f>IF($B85&lt;&gt;"Entry","",ROUND(AD85*AB85/100,0))</f>
      </c>
      <c r="AF85" s="31"/>
      <c r="AG85" s="31"/>
      <c r="AH85" s="26">
        <f>IF($B85&lt;&gt;"Entry","",IF(OR(AE85=0,AC85="",AS85="",AS85&lt;=0),0,IF(AS85&lt;=DATE(YEAR(AC85),MONTH(AC85)+1,7),0,ROUND(AE85*0.015*((YEAR(AS85)-YEAR(AC85))*12+(MONTH(AS85)-MONTH(AC85))+1),0))))</f>
      </c>
      <c r="AI85" s="31"/>
      <c r="AJ85" s="27"/>
      <c r="AK85" s="27"/>
      <c r="AL85" s="29"/>
      <c r="AM85" s="27"/>
      <c r="AN85" s="27"/>
      <c r="AO85" s="26">
        <f>IF($B85&lt;&gt;"Challan","",SUMIF($C$8:$C$207,$C85,$AE$8:$AE$207)+SUMIF($C$8:$C$207,$C85,$AH$8:$AH$207)+SUMIF($C$8:$C$207,$C85,$AF$8:$AF$207))</f>
      </c>
      <c r="AP85" s="26">
        <f>IF($B85&lt;&gt;"Challan","",O85-M85)</f>
      </c>
      <c r="AQ85" s="26">
        <f>IF($B85&lt;&gt;"Challan","",MAX(0,AP85-AO85))</f>
      </c>
      <c r="AR85" s="32">
        <f>IF($B85&lt;&gt;"Challan","",IF(ROUND(AO85-AP85,2)&gt;0,"Over-applied",IF(ROUND(AO85-AP85,2)=0,"Fully Utilised","Unconsumed")))</f>
      </c>
      <c r="AS85" s="33">
        <f>IF($B85&lt;&gt;"Entry","",SUMPRODUCT(($C$8:$C$207=$C85)*($B$8:$B$207="Challan")*$F$8:$F$207))</f>
      </c>
    </row>
    <row r="86" spans="1:45" x14ac:dyDescent="0.25">
      <c r="A86" s="19">
        <f>IF($B86="Entry",COUNTIF($B$8:$B86,"Entry"),"")</f>
      </c>
      <c r="B86" s="20"/>
      <c r="C86" s="21"/>
      <c r="D86" s="22"/>
      <c r="E86" s="22"/>
      <c r="F86" s="23"/>
      <c r="G86" s="24"/>
      <c r="H86" s="25"/>
      <c r="I86" s="25"/>
      <c r="J86" s="25"/>
      <c r="K86" s="25"/>
      <c r="L86" s="25"/>
      <c r="M86" s="25"/>
      <c r="N86" s="25"/>
      <c r="O86" s="26">
        <f>IF($B86&lt;&gt;"Challan","",H86+I86+J86+K86+L86+M86)</f>
      </c>
      <c r="P86" s="24"/>
      <c r="Q86" s="24"/>
      <c r="R86" s="24"/>
      <c r="S86" s="24"/>
      <c r="T86" s="24"/>
      <c r="U86" s="27"/>
      <c r="V86" s="27"/>
      <c r="W86" s="27"/>
      <c r="X86" s="27"/>
      <c r="Y86" s="27"/>
      <c r="Z86" s="28">
        <f>IFERROR(IF($B86&lt;&gt;"Entry","",IF(W86="Y",SUMPRODUCT(('Rate Master'!$D$2:$D$50=(Y86&amp;"|"&amp;$B$2))*'Rate Master'!$I$2:$I$50),IF(OR(X86="Individual",X86="HUF"),SUMPRODUCT(('Rate Master'!$D$2:$D$50=(Y86&amp;"|"&amp;$B$2))*'Rate Master'!$G$2:$G$50),SUMPRODUCT(('Rate Master'!$D$2:$D$50=(Y86&amp;"|"&amp;$B$2))*'Rate Master'!$H$2:$H$50)))),"")</f>
      </c>
      <c r="AA86" s="26">
        <f>IFERROR(IF($B86&lt;&gt;"Entry","",IF(OR(X86="Individual",X86="HUF"),SUMPRODUCT(('Rate Master'!$D$2:$D$50=(Y86&amp;"|"&amp;$B$2))*'Rate Master'!$E$2:$E$50),SUMPRODUCT(('Rate Master'!$D$2:$D$50=(Y86&amp;"|"&amp;$B$2))*'Rate Master'!$F$2:$F$50))),"")</f>
      </c>
      <c r="AB86" s="29"/>
      <c r="AC86" s="30"/>
      <c r="AD86" s="31"/>
      <c r="AE86" s="26">
        <f>IF($B86&lt;&gt;"Entry","",ROUND(AD86*AB86/100,0))</f>
      </c>
      <c r="AF86" s="31"/>
      <c r="AG86" s="31"/>
      <c r="AH86" s="26">
        <f>IF($B86&lt;&gt;"Entry","",IF(OR(AE86=0,AC86="",AS86="",AS86&lt;=0),0,IF(AS86&lt;=DATE(YEAR(AC86),MONTH(AC86)+1,7),0,ROUND(AE86*0.015*((YEAR(AS86)-YEAR(AC86))*12+(MONTH(AS86)-MONTH(AC86))+1),0))))</f>
      </c>
      <c r="AI86" s="31"/>
      <c r="AJ86" s="27"/>
      <c r="AK86" s="27"/>
      <c r="AL86" s="29"/>
      <c r="AM86" s="27"/>
      <c r="AN86" s="27"/>
      <c r="AO86" s="26">
        <f>IF($B86&lt;&gt;"Challan","",SUMIF($C$8:$C$207,$C86,$AE$8:$AE$207)+SUMIF($C$8:$C$207,$C86,$AH$8:$AH$207)+SUMIF($C$8:$C$207,$C86,$AF$8:$AF$207))</f>
      </c>
      <c r="AP86" s="26">
        <f>IF($B86&lt;&gt;"Challan","",O86-M86)</f>
      </c>
      <c r="AQ86" s="26">
        <f>IF($B86&lt;&gt;"Challan","",MAX(0,AP86-AO86))</f>
      </c>
      <c r="AR86" s="32">
        <f>IF($B86&lt;&gt;"Challan","",IF(ROUND(AO86-AP86,2)&gt;0,"Over-applied",IF(ROUND(AO86-AP86,2)=0,"Fully Utilised","Unconsumed")))</f>
      </c>
      <c r="AS86" s="33">
        <f>IF($B86&lt;&gt;"Entry","",SUMPRODUCT(($C$8:$C$207=$C86)*($B$8:$B$207="Challan")*$F$8:$F$207))</f>
      </c>
    </row>
    <row r="87" spans="1:45" x14ac:dyDescent="0.25">
      <c r="A87" s="19">
        <f>IF($B87="Entry",COUNTIF($B$8:$B87,"Entry"),"")</f>
      </c>
      <c r="B87" s="20"/>
      <c r="C87" s="21"/>
      <c r="D87" s="22"/>
      <c r="E87" s="22"/>
      <c r="F87" s="23"/>
      <c r="G87" s="24"/>
      <c r="H87" s="25"/>
      <c r="I87" s="25"/>
      <c r="J87" s="25"/>
      <c r="K87" s="25"/>
      <c r="L87" s="25"/>
      <c r="M87" s="25"/>
      <c r="N87" s="25"/>
      <c r="O87" s="26">
        <f>IF($B87&lt;&gt;"Challan","",H87+I87+J87+K87+L87+M87)</f>
      </c>
      <c r="P87" s="24"/>
      <c r="Q87" s="24"/>
      <c r="R87" s="24"/>
      <c r="S87" s="24"/>
      <c r="T87" s="24"/>
      <c r="U87" s="27"/>
      <c r="V87" s="27"/>
      <c r="W87" s="27"/>
      <c r="X87" s="27"/>
      <c r="Y87" s="27"/>
      <c r="Z87" s="28">
        <f>IFERROR(IF($B87&lt;&gt;"Entry","",IF(W87="Y",SUMPRODUCT(('Rate Master'!$D$2:$D$50=(Y87&amp;"|"&amp;$B$2))*'Rate Master'!$I$2:$I$50),IF(OR(X87="Individual",X87="HUF"),SUMPRODUCT(('Rate Master'!$D$2:$D$50=(Y87&amp;"|"&amp;$B$2))*'Rate Master'!$G$2:$G$50),SUMPRODUCT(('Rate Master'!$D$2:$D$50=(Y87&amp;"|"&amp;$B$2))*'Rate Master'!$H$2:$H$50)))),"")</f>
      </c>
      <c r="AA87" s="26">
        <f>IFERROR(IF($B87&lt;&gt;"Entry","",IF(OR(X87="Individual",X87="HUF"),SUMPRODUCT(('Rate Master'!$D$2:$D$50=(Y87&amp;"|"&amp;$B$2))*'Rate Master'!$E$2:$E$50),SUMPRODUCT(('Rate Master'!$D$2:$D$50=(Y87&amp;"|"&amp;$B$2))*'Rate Master'!$F$2:$F$50))),"")</f>
      </c>
      <c r="AB87" s="29"/>
      <c r="AC87" s="30"/>
      <c r="AD87" s="31"/>
      <c r="AE87" s="26">
        <f>IF($B87&lt;&gt;"Entry","",ROUND(AD87*AB87/100,0))</f>
      </c>
      <c r="AF87" s="31"/>
      <c r="AG87" s="31"/>
      <c r="AH87" s="26">
        <f>IF($B87&lt;&gt;"Entry","",IF(OR(AE87=0,AC87="",AS87="",AS87&lt;=0),0,IF(AS87&lt;=DATE(YEAR(AC87),MONTH(AC87)+1,7),0,ROUND(AE87*0.015*((YEAR(AS87)-YEAR(AC87))*12+(MONTH(AS87)-MONTH(AC87))+1),0))))</f>
      </c>
      <c r="AI87" s="31"/>
      <c r="AJ87" s="27"/>
      <c r="AK87" s="27"/>
      <c r="AL87" s="29"/>
      <c r="AM87" s="27"/>
      <c r="AN87" s="27"/>
      <c r="AO87" s="26">
        <f>IF($B87&lt;&gt;"Challan","",SUMIF($C$8:$C$207,$C87,$AE$8:$AE$207)+SUMIF($C$8:$C$207,$C87,$AH$8:$AH$207)+SUMIF($C$8:$C$207,$C87,$AF$8:$AF$207))</f>
      </c>
      <c r="AP87" s="26">
        <f>IF($B87&lt;&gt;"Challan","",O87-M87)</f>
      </c>
      <c r="AQ87" s="26">
        <f>IF($B87&lt;&gt;"Challan","",MAX(0,AP87-AO87))</f>
      </c>
      <c r="AR87" s="32">
        <f>IF($B87&lt;&gt;"Challan","",IF(ROUND(AO87-AP87,2)&gt;0,"Over-applied",IF(ROUND(AO87-AP87,2)=0,"Fully Utilised","Unconsumed")))</f>
      </c>
      <c r="AS87" s="33">
        <f>IF($B87&lt;&gt;"Entry","",SUMPRODUCT(($C$8:$C$207=$C87)*($B$8:$B$207="Challan")*$F$8:$F$207))</f>
      </c>
    </row>
    <row r="88" spans="1:45" x14ac:dyDescent="0.25">
      <c r="A88" s="19">
        <f>IF($B88="Entry",COUNTIF($B$8:$B88,"Entry"),"")</f>
      </c>
      <c r="B88" s="20"/>
      <c r="C88" s="21"/>
      <c r="D88" s="22"/>
      <c r="E88" s="22"/>
      <c r="F88" s="23"/>
      <c r="G88" s="24"/>
      <c r="H88" s="25"/>
      <c r="I88" s="25"/>
      <c r="J88" s="25"/>
      <c r="K88" s="25"/>
      <c r="L88" s="25"/>
      <c r="M88" s="25"/>
      <c r="N88" s="25"/>
      <c r="O88" s="26">
        <f>IF($B88&lt;&gt;"Challan","",H88+I88+J88+K88+L88+M88)</f>
      </c>
      <c r="P88" s="24"/>
      <c r="Q88" s="24"/>
      <c r="R88" s="24"/>
      <c r="S88" s="24"/>
      <c r="T88" s="24"/>
      <c r="U88" s="27"/>
      <c r="V88" s="27"/>
      <c r="W88" s="27"/>
      <c r="X88" s="27"/>
      <c r="Y88" s="27"/>
      <c r="Z88" s="28">
        <f>IFERROR(IF($B88&lt;&gt;"Entry","",IF(W88="Y",SUMPRODUCT(('Rate Master'!$D$2:$D$50=(Y88&amp;"|"&amp;$B$2))*'Rate Master'!$I$2:$I$50),IF(OR(X88="Individual",X88="HUF"),SUMPRODUCT(('Rate Master'!$D$2:$D$50=(Y88&amp;"|"&amp;$B$2))*'Rate Master'!$G$2:$G$50),SUMPRODUCT(('Rate Master'!$D$2:$D$50=(Y88&amp;"|"&amp;$B$2))*'Rate Master'!$H$2:$H$50)))),"")</f>
      </c>
      <c r="AA88" s="26">
        <f>IFERROR(IF($B88&lt;&gt;"Entry","",IF(OR(X88="Individual",X88="HUF"),SUMPRODUCT(('Rate Master'!$D$2:$D$50=(Y88&amp;"|"&amp;$B$2))*'Rate Master'!$E$2:$E$50),SUMPRODUCT(('Rate Master'!$D$2:$D$50=(Y88&amp;"|"&amp;$B$2))*'Rate Master'!$F$2:$F$50))),"")</f>
      </c>
      <c r="AB88" s="29"/>
      <c r="AC88" s="30"/>
      <c r="AD88" s="31"/>
      <c r="AE88" s="26">
        <f>IF($B88&lt;&gt;"Entry","",ROUND(AD88*AB88/100,0))</f>
      </c>
      <c r="AF88" s="31"/>
      <c r="AG88" s="31"/>
      <c r="AH88" s="26">
        <f>IF($B88&lt;&gt;"Entry","",IF(OR(AE88=0,AC88="",AS88="",AS88&lt;=0),0,IF(AS88&lt;=DATE(YEAR(AC88),MONTH(AC88)+1,7),0,ROUND(AE88*0.015*((YEAR(AS88)-YEAR(AC88))*12+(MONTH(AS88)-MONTH(AC88))+1),0))))</f>
      </c>
      <c r="AI88" s="31"/>
      <c r="AJ88" s="27"/>
      <c r="AK88" s="27"/>
      <c r="AL88" s="29"/>
      <c r="AM88" s="27"/>
      <c r="AN88" s="27"/>
      <c r="AO88" s="26">
        <f>IF($B88&lt;&gt;"Challan","",SUMIF($C$8:$C$207,$C88,$AE$8:$AE$207)+SUMIF($C$8:$C$207,$C88,$AH$8:$AH$207)+SUMIF($C$8:$C$207,$C88,$AF$8:$AF$207))</f>
      </c>
      <c r="AP88" s="26">
        <f>IF($B88&lt;&gt;"Challan","",O88-M88)</f>
      </c>
      <c r="AQ88" s="26">
        <f>IF($B88&lt;&gt;"Challan","",MAX(0,AP88-AO88))</f>
      </c>
      <c r="AR88" s="32">
        <f>IF($B88&lt;&gt;"Challan","",IF(ROUND(AO88-AP88,2)&gt;0,"Over-applied",IF(ROUND(AO88-AP88,2)=0,"Fully Utilised","Unconsumed")))</f>
      </c>
      <c r="AS88" s="33">
        <f>IF($B88&lt;&gt;"Entry","",SUMPRODUCT(($C$8:$C$207=$C88)*($B$8:$B$207="Challan")*$F$8:$F$207))</f>
      </c>
    </row>
    <row r="89" spans="1:45" x14ac:dyDescent="0.25">
      <c r="A89" s="19">
        <f>IF($B89="Entry",COUNTIF($B$8:$B89,"Entry"),"")</f>
      </c>
      <c r="B89" s="20"/>
      <c r="C89" s="21"/>
      <c r="D89" s="22"/>
      <c r="E89" s="22"/>
      <c r="F89" s="23"/>
      <c r="G89" s="24"/>
      <c r="H89" s="25"/>
      <c r="I89" s="25"/>
      <c r="J89" s="25"/>
      <c r="K89" s="25"/>
      <c r="L89" s="25"/>
      <c r="M89" s="25"/>
      <c r="N89" s="25"/>
      <c r="O89" s="26">
        <f>IF($B89&lt;&gt;"Challan","",H89+I89+J89+K89+L89+M89)</f>
      </c>
      <c r="P89" s="24"/>
      <c r="Q89" s="24"/>
      <c r="R89" s="24"/>
      <c r="S89" s="24"/>
      <c r="T89" s="24"/>
      <c r="U89" s="27"/>
      <c r="V89" s="27"/>
      <c r="W89" s="27"/>
      <c r="X89" s="27"/>
      <c r="Y89" s="27"/>
      <c r="Z89" s="28">
        <f>IFERROR(IF($B89&lt;&gt;"Entry","",IF(W89="Y",SUMPRODUCT(('Rate Master'!$D$2:$D$50=(Y89&amp;"|"&amp;$B$2))*'Rate Master'!$I$2:$I$50),IF(OR(X89="Individual",X89="HUF"),SUMPRODUCT(('Rate Master'!$D$2:$D$50=(Y89&amp;"|"&amp;$B$2))*'Rate Master'!$G$2:$G$50),SUMPRODUCT(('Rate Master'!$D$2:$D$50=(Y89&amp;"|"&amp;$B$2))*'Rate Master'!$H$2:$H$50)))),"")</f>
      </c>
      <c r="AA89" s="26">
        <f>IFERROR(IF($B89&lt;&gt;"Entry","",IF(OR(X89="Individual",X89="HUF"),SUMPRODUCT(('Rate Master'!$D$2:$D$50=(Y89&amp;"|"&amp;$B$2))*'Rate Master'!$E$2:$E$50),SUMPRODUCT(('Rate Master'!$D$2:$D$50=(Y89&amp;"|"&amp;$B$2))*'Rate Master'!$F$2:$F$50))),"")</f>
      </c>
      <c r="AB89" s="29"/>
      <c r="AC89" s="30"/>
      <c r="AD89" s="31"/>
      <c r="AE89" s="26">
        <f>IF($B89&lt;&gt;"Entry","",ROUND(AD89*AB89/100,0))</f>
      </c>
      <c r="AF89" s="31"/>
      <c r="AG89" s="31"/>
      <c r="AH89" s="26">
        <f>IF($B89&lt;&gt;"Entry","",IF(OR(AE89=0,AC89="",AS89="",AS89&lt;=0),0,IF(AS89&lt;=DATE(YEAR(AC89),MONTH(AC89)+1,7),0,ROUND(AE89*0.015*((YEAR(AS89)-YEAR(AC89))*12+(MONTH(AS89)-MONTH(AC89))+1),0))))</f>
      </c>
      <c r="AI89" s="31"/>
      <c r="AJ89" s="27"/>
      <c r="AK89" s="27"/>
      <c r="AL89" s="29"/>
      <c r="AM89" s="27"/>
      <c r="AN89" s="27"/>
      <c r="AO89" s="26">
        <f>IF($B89&lt;&gt;"Challan","",SUMIF($C$8:$C$207,$C89,$AE$8:$AE$207)+SUMIF($C$8:$C$207,$C89,$AH$8:$AH$207)+SUMIF($C$8:$C$207,$C89,$AF$8:$AF$207))</f>
      </c>
      <c r="AP89" s="26">
        <f>IF($B89&lt;&gt;"Challan","",O89-M89)</f>
      </c>
      <c r="AQ89" s="26">
        <f>IF($B89&lt;&gt;"Challan","",MAX(0,AP89-AO89))</f>
      </c>
      <c r="AR89" s="32">
        <f>IF($B89&lt;&gt;"Challan","",IF(ROUND(AO89-AP89,2)&gt;0,"Over-applied",IF(ROUND(AO89-AP89,2)=0,"Fully Utilised","Unconsumed")))</f>
      </c>
      <c r="AS89" s="33">
        <f>IF($B89&lt;&gt;"Entry","",SUMPRODUCT(($C$8:$C$207=$C89)*($B$8:$B$207="Challan")*$F$8:$F$207))</f>
      </c>
    </row>
    <row r="90" spans="1:45" x14ac:dyDescent="0.25">
      <c r="A90" s="19">
        <f>IF($B90="Entry",COUNTIF($B$8:$B90,"Entry"),"")</f>
      </c>
      <c r="B90" s="20"/>
      <c r="C90" s="21"/>
      <c r="D90" s="22"/>
      <c r="E90" s="22"/>
      <c r="F90" s="23"/>
      <c r="G90" s="24"/>
      <c r="H90" s="25"/>
      <c r="I90" s="25"/>
      <c r="J90" s="25"/>
      <c r="K90" s="25"/>
      <c r="L90" s="25"/>
      <c r="M90" s="25"/>
      <c r="N90" s="25"/>
      <c r="O90" s="26">
        <f>IF($B90&lt;&gt;"Challan","",H90+I90+J90+K90+L90+M90)</f>
      </c>
      <c r="P90" s="24"/>
      <c r="Q90" s="24"/>
      <c r="R90" s="24"/>
      <c r="S90" s="24"/>
      <c r="T90" s="24"/>
      <c r="U90" s="27"/>
      <c r="V90" s="27"/>
      <c r="W90" s="27"/>
      <c r="X90" s="27"/>
      <c r="Y90" s="27"/>
      <c r="Z90" s="28">
        <f>IFERROR(IF($B90&lt;&gt;"Entry","",IF(W90="Y",SUMPRODUCT(('Rate Master'!$D$2:$D$50=(Y90&amp;"|"&amp;$B$2))*'Rate Master'!$I$2:$I$50),IF(OR(X90="Individual",X90="HUF"),SUMPRODUCT(('Rate Master'!$D$2:$D$50=(Y90&amp;"|"&amp;$B$2))*'Rate Master'!$G$2:$G$50),SUMPRODUCT(('Rate Master'!$D$2:$D$50=(Y90&amp;"|"&amp;$B$2))*'Rate Master'!$H$2:$H$50)))),"")</f>
      </c>
      <c r="AA90" s="26">
        <f>IFERROR(IF($B90&lt;&gt;"Entry","",IF(OR(X90="Individual",X90="HUF"),SUMPRODUCT(('Rate Master'!$D$2:$D$50=(Y90&amp;"|"&amp;$B$2))*'Rate Master'!$E$2:$E$50),SUMPRODUCT(('Rate Master'!$D$2:$D$50=(Y90&amp;"|"&amp;$B$2))*'Rate Master'!$F$2:$F$50))),"")</f>
      </c>
      <c r="AB90" s="29"/>
      <c r="AC90" s="30"/>
      <c r="AD90" s="31"/>
      <c r="AE90" s="26">
        <f>IF($B90&lt;&gt;"Entry","",ROUND(AD90*AB90/100,0))</f>
      </c>
      <c r="AF90" s="31"/>
      <c r="AG90" s="31"/>
      <c r="AH90" s="26">
        <f>IF($B90&lt;&gt;"Entry","",IF(OR(AE90=0,AC90="",AS90="",AS90&lt;=0),0,IF(AS90&lt;=DATE(YEAR(AC90),MONTH(AC90)+1,7),0,ROUND(AE90*0.015*((YEAR(AS90)-YEAR(AC90))*12+(MONTH(AS90)-MONTH(AC90))+1),0))))</f>
      </c>
      <c r="AI90" s="31"/>
      <c r="AJ90" s="27"/>
      <c r="AK90" s="27"/>
      <c r="AL90" s="29"/>
      <c r="AM90" s="27"/>
      <c r="AN90" s="27"/>
      <c r="AO90" s="26">
        <f>IF($B90&lt;&gt;"Challan","",SUMIF($C$8:$C$207,$C90,$AE$8:$AE$207)+SUMIF($C$8:$C$207,$C90,$AH$8:$AH$207)+SUMIF($C$8:$C$207,$C90,$AF$8:$AF$207))</f>
      </c>
      <c r="AP90" s="26">
        <f>IF($B90&lt;&gt;"Challan","",O90-M90)</f>
      </c>
      <c r="AQ90" s="26">
        <f>IF($B90&lt;&gt;"Challan","",MAX(0,AP90-AO90))</f>
      </c>
      <c r="AR90" s="32">
        <f>IF($B90&lt;&gt;"Challan","",IF(ROUND(AO90-AP90,2)&gt;0,"Over-applied",IF(ROUND(AO90-AP90,2)=0,"Fully Utilised","Unconsumed")))</f>
      </c>
      <c r="AS90" s="33">
        <f>IF($B90&lt;&gt;"Entry","",SUMPRODUCT(($C$8:$C$207=$C90)*($B$8:$B$207="Challan")*$F$8:$F$207))</f>
      </c>
    </row>
    <row r="91" spans="1:45" x14ac:dyDescent="0.25">
      <c r="A91" s="19">
        <f>IF($B91="Entry",COUNTIF($B$8:$B91,"Entry"),"")</f>
      </c>
      <c r="B91" s="20"/>
      <c r="C91" s="21"/>
      <c r="D91" s="22"/>
      <c r="E91" s="22"/>
      <c r="F91" s="23"/>
      <c r="G91" s="24"/>
      <c r="H91" s="25"/>
      <c r="I91" s="25"/>
      <c r="J91" s="25"/>
      <c r="K91" s="25"/>
      <c r="L91" s="25"/>
      <c r="M91" s="25"/>
      <c r="N91" s="25"/>
      <c r="O91" s="26">
        <f>IF($B91&lt;&gt;"Challan","",H91+I91+J91+K91+L91+M91)</f>
      </c>
      <c r="P91" s="24"/>
      <c r="Q91" s="24"/>
      <c r="R91" s="24"/>
      <c r="S91" s="24"/>
      <c r="T91" s="24"/>
      <c r="U91" s="27"/>
      <c r="V91" s="27"/>
      <c r="W91" s="27"/>
      <c r="X91" s="27"/>
      <c r="Y91" s="27"/>
      <c r="Z91" s="28">
        <f>IFERROR(IF($B91&lt;&gt;"Entry","",IF(W91="Y",SUMPRODUCT(('Rate Master'!$D$2:$D$50=(Y91&amp;"|"&amp;$B$2))*'Rate Master'!$I$2:$I$50),IF(OR(X91="Individual",X91="HUF"),SUMPRODUCT(('Rate Master'!$D$2:$D$50=(Y91&amp;"|"&amp;$B$2))*'Rate Master'!$G$2:$G$50),SUMPRODUCT(('Rate Master'!$D$2:$D$50=(Y91&amp;"|"&amp;$B$2))*'Rate Master'!$H$2:$H$50)))),"")</f>
      </c>
      <c r="AA91" s="26">
        <f>IFERROR(IF($B91&lt;&gt;"Entry","",IF(OR(X91="Individual",X91="HUF"),SUMPRODUCT(('Rate Master'!$D$2:$D$50=(Y91&amp;"|"&amp;$B$2))*'Rate Master'!$E$2:$E$50),SUMPRODUCT(('Rate Master'!$D$2:$D$50=(Y91&amp;"|"&amp;$B$2))*'Rate Master'!$F$2:$F$50))),"")</f>
      </c>
      <c r="AB91" s="29"/>
      <c r="AC91" s="30"/>
      <c r="AD91" s="31"/>
      <c r="AE91" s="26">
        <f>IF($B91&lt;&gt;"Entry","",ROUND(AD91*AB91/100,0))</f>
      </c>
      <c r="AF91" s="31"/>
      <c r="AG91" s="31"/>
      <c r="AH91" s="26">
        <f>IF($B91&lt;&gt;"Entry","",IF(OR(AE91=0,AC91="",AS91="",AS91&lt;=0),0,IF(AS91&lt;=DATE(YEAR(AC91),MONTH(AC91)+1,7),0,ROUND(AE91*0.015*((YEAR(AS91)-YEAR(AC91))*12+(MONTH(AS91)-MONTH(AC91))+1),0))))</f>
      </c>
      <c r="AI91" s="31"/>
      <c r="AJ91" s="27"/>
      <c r="AK91" s="27"/>
      <c r="AL91" s="29"/>
      <c r="AM91" s="27"/>
      <c r="AN91" s="27"/>
      <c r="AO91" s="26">
        <f>IF($B91&lt;&gt;"Challan","",SUMIF($C$8:$C$207,$C91,$AE$8:$AE$207)+SUMIF($C$8:$C$207,$C91,$AH$8:$AH$207)+SUMIF($C$8:$C$207,$C91,$AF$8:$AF$207))</f>
      </c>
      <c r="AP91" s="26">
        <f>IF($B91&lt;&gt;"Challan","",O91-M91)</f>
      </c>
      <c r="AQ91" s="26">
        <f>IF($B91&lt;&gt;"Challan","",MAX(0,AP91-AO91))</f>
      </c>
      <c r="AR91" s="32">
        <f>IF($B91&lt;&gt;"Challan","",IF(ROUND(AO91-AP91,2)&gt;0,"Over-applied",IF(ROUND(AO91-AP91,2)=0,"Fully Utilised","Unconsumed")))</f>
      </c>
      <c r="AS91" s="33">
        <f>IF($B91&lt;&gt;"Entry","",SUMPRODUCT(($C$8:$C$207=$C91)*($B$8:$B$207="Challan")*$F$8:$F$207))</f>
      </c>
    </row>
    <row r="92" spans="1:45" x14ac:dyDescent="0.25">
      <c r="A92" s="19">
        <f>IF($B92="Entry",COUNTIF($B$8:$B92,"Entry"),"")</f>
      </c>
      <c r="B92" s="20"/>
      <c r="C92" s="21"/>
      <c r="D92" s="22"/>
      <c r="E92" s="22"/>
      <c r="F92" s="23"/>
      <c r="G92" s="24"/>
      <c r="H92" s="25"/>
      <c r="I92" s="25"/>
      <c r="J92" s="25"/>
      <c r="K92" s="25"/>
      <c r="L92" s="25"/>
      <c r="M92" s="25"/>
      <c r="N92" s="25"/>
      <c r="O92" s="26">
        <f>IF($B92&lt;&gt;"Challan","",H92+I92+J92+K92+L92+M92)</f>
      </c>
      <c r="P92" s="24"/>
      <c r="Q92" s="24"/>
      <c r="R92" s="24"/>
      <c r="S92" s="24"/>
      <c r="T92" s="24"/>
      <c r="U92" s="27"/>
      <c r="V92" s="27"/>
      <c r="W92" s="27"/>
      <c r="X92" s="27"/>
      <c r="Y92" s="27"/>
      <c r="Z92" s="28">
        <f>IFERROR(IF($B92&lt;&gt;"Entry","",IF(W92="Y",SUMPRODUCT(('Rate Master'!$D$2:$D$50=(Y92&amp;"|"&amp;$B$2))*'Rate Master'!$I$2:$I$50),IF(OR(X92="Individual",X92="HUF"),SUMPRODUCT(('Rate Master'!$D$2:$D$50=(Y92&amp;"|"&amp;$B$2))*'Rate Master'!$G$2:$G$50),SUMPRODUCT(('Rate Master'!$D$2:$D$50=(Y92&amp;"|"&amp;$B$2))*'Rate Master'!$H$2:$H$50)))),"")</f>
      </c>
      <c r="AA92" s="26">
        <f>IFERROR(IF($B92&lt;&gt;"Entry","",IF(OR(X92="Individual",X92="HUF"),SUMPRODUCT(('Rate Master'!$D$2:$D$50=(Y92&amp;"|"&amp;$B$2))*'Rate Master'!$E$2:$E$50),SUMPRODUCT(('Rate Master'!$D$2:$D$50=(Y92&amp;"|"&amp;$B$2))*'Rate Master'!$F$2:$F$50))),"")</f>
      </c>
      <c r="AB92" s="29"/>
      <c r="AC92" s="30"/>
      <c r="AD92" s="31"/>
      <c r="AE92" s="26">
        <f>IF($B92&lt;&gt;"Entry","",ROUND(AD92*AB92/100,0))</f>
      </c>
      <c r="AF92" s="31"/>
      <c r="AG92" s="31"/>
      <c r="AH92" s="26">
        <f>IF($B92&lt;&gt;"Entry","",IF(OR(AE92=0,AC92="",AS92="",AS92&lt;=0),0,IF(AS92&lt;=DATE(YEAR(AC92),MONTH(AC92)+1,7),0,ROUND(AE92*0.015*((YEAR(AS92)-YEAR(AC92))*12+(MONTH(AS92)-MONTH(AC92))+1),0))))</f>
      </c>
      <c r="AI92" s="31"/>
      <c r="AJ92" s="27"/>
      <c r="AK92" s="27"/>
      <c r="AL92" s="29"/>
      <c r="AM92" s="27"/>
      <c r="AN92" s="27"/>
      <c r="AO92" s="26">
        <f>IF($B92&lt;&gt;"Challan","",SUMIF($C$8:$C$207,$C92,$AE$8:$AE$207)+SUMIF($C$8:$C$207,$C92,$AH$8:$AH$207)+SUMIF($C$8:$C$207,$C92,$AF$8:$AF$207))</f>
      </c>
      <c r="AP92" s="26">
        <f>IF($B92&lt;&gt;"Challan","",O92-M92)</f>
      </c>
      <c r="AQ92" s="26">
        <f>IF($B92&lt;&gt;"Challan","",MAX(0,AP92-AO92))</f>
      </c>
      <c r="AR92" s="32">
        <f>IF($B92&lt;&gt;"Challan","",IF(ROUND(AO92-AP92,2)&gt;0,"Over-applied",IF(ROUND(AO92-AP92,2)=0,"Fully Utilised","Unconsumed")))</f>
      </c>
      <c r="AS92" s="33">
        <f>IF($B92&lt;&gt;"Entry","",SUMPRODUCT(($C$8:$C$207=$C92)*($B$8:$B$207="Challan")*$F$8:$F$207))</f>
      </c>
    </row>
    <row r="93" spans="1:45" x14ac:dyDescent="0.25">
      <c r="A93" s="19">
        <f>IF($B93="Entry",COUNTIF($B$8:$B93,"Entry"),"")</f>
      </c>
      <c r="B93" s="20"/>
      <c r="C93" s="21"/>
      <c r="D93" s="22"/>
      <c r="E93" s="22"/>
      <c r="F93" s="23"/>
      <c r="G93" s="24"/>
      <c r="H93" s="25"/>
      <c r="I93" s="25"/>
      <c r="J93" s="25"/>
      <c r="K93" s="25"/>
      <c r="L93" s="25"/>
      <c r="M93" s="25"/>
      <c r="N93" s="25"/>
      <c r="O93" s="26">
        <f>IF($B93&lt;&gt;"Challan","",H93+I93+J93+K93+L93+M93)</f>
      </c>
      <c r="P93" s="24"/>
      <c r="Q93" s="24"/>
      <c r="R93" s="24"/>
      <c r="S93" s="24"/>
      <c r="T93" s="24"/>
      <c r="U93" s="27"/>
      <c r="V93" s="27"/>
      <c r="W93" s="27"/>
      <c r="X93" s="27"/>
      <c r="Y93" s="27"/>
      <c r="Z93" s="28">
        <f>IFERROR(IF($B93&lt;&gt;"Entry","",IF(W93="Y",SUMPRODUCT(('Rate Master'!$D$2:$D$50=(Y93&amp;"|"&amp;$B$2))*'Rate Master'!$I$2:$I$50),IF(OR(X93="Individual",X93="HUF"),SUMPRODUCT(('Rate Master'!$D$2:$D$50=(Y93&amp;"|"&amp;$B$2))*'Rate Master'!$G$2:$G$50),SUMPRODUCT(('Rate Master'!$D$2:$D$50=(Y93&amp;"|"&amp;$B$2))*'Rate Master'!$H$2:$H$50)))),"")</f>
      </c>
      <c r="AA93" s="26">
        <f>IFERROR(IF($B93&lt;&gt;"Entry","",IF(OR(X93="Individual",X93="HUF"),SUMPRODUCT(('Rate Master'!$D$2:$D$50=(Y93&amp;"|"&amp;$B$2))*'Rate Master'!$E$2:$E$50),SUMPRODUCT(('Rate Master'!$D$2:$D$50=(Y93&amp;"|"&amp;$B$2))*'Rate Master'!$F$2:$F$50))),"")</f>
      </c>
      <c r="AB93" s="29"/>
      <c r="AC93" s="30"/>
      <c r="AD93" s="31"/>
      <c r="AE93" s="26">
        <f>IF($B93&lt;&gt;"Entry","",ROUND(AD93*AB93/100,0))</f>
      </c>
      <c r="AF93" s="31"/>
      <c r="AG93" s="31"/>
      <c r="AH93" s="26">
        <f>IF($B93&lt;&gt;"Entry","",IF(OR(AE93=0,AC93="",AS93="",AS93&lt;=0),0,IF(AS93&lt;=DATE(YEAR(AC93),MONTH(AC93)+1,7),0,ROUND(AE93*0.015*((YEAR(AS93)-YEAR(AC93))*12+(MONTH(AS93)-MONTH(AC93))+1),0))))</f>
      </c>
      <c r="AI93" s="31"/>
      <c r="AJ93" s="27"/>
      <c r="AK93" s="27"/>
      <c r="AL93" s="29"/>
      <c r="AM93" s="27"/>
      <c r="AN93" s="27"/>
      <c r="AO93" s="26">
        <f>IF($B93&lt;&gt;"Challan","",SUMIF($C$8:$C$207,$C93,$AE$8:$AE$207)+SUMIF($C$8:$C$207,$C93,$AH$8:$AH$207)+SUMIF($C$8:$C$207,$C93,$AF$8:$AF$207))</f>
      </c>
      <c r="AP93" s="26">
        <f>IF($B93&lt;&gt;"Challan","",O93-M93)</f>
      </c>
      <c r="AQ93" s="26">
        <f>IF($B93&lt;&gt;"Challan","",MAX(0,AP93-AO93))</f>
      </c>
      <c r="AR93" s="32">
        <f>IF($B93&lt;&gt;"Challan","",IF(ROUND(AO93-AP93,2)&gt;0,"Over-applied",IF(ROUND(AO93-AP93,2)=0,"Fully Utilised","Unconsumed")))</f>
      </c>
      <c r="AS93" s="33">
        <f>IF($B93&lt;&gt;"Entry","",SUMPRODUCT(($C$8:$C$207=$C93)*($B$8:$B$207="Challan")*$F$8:$F$207))</f>
      </c>
    </row>
    <row r="94" spans="1:45" x14ac:dyDescent="0.25">
      <c r="A94" s="19">
        <f>IF($B94="Entry",COUNTIF($B$8:$B94,"Entry"),"")</f>
      </c>
      <c r="B94" s="20"/>
      <c r="C94" s="21"/>
      <c r="D94" s="22"/>
      <c r="E94" s="22"/>
      <c r="F94" s="23"/>
      <c r="G94" s="24"/>
      <c r="H94" s="25"/>
      <c r="I94" s="25"/>
      <c r="J94" s="25"/>
      <c r="K94" s="25"/>
      <c r="L94" s="25"/>
      <c r="M94" s="25"/>
      <c r="N94" s="25"/>
      <c r="O94" s="26">
        <f>IF($B94&lt;&gt;"Challan","",H94+I94+J94+K94+L94+M94)</f>
      </c>
      <c r="P94" s="24"/>
      <c r="Q94" s="24"/>
      <c r="R94" s="24"/>
      <c r="S94" s="24"/>
      <c r="T94" s="24"/>
      <c r="U94" s="27"/>
      <c r="V94" s="27"/>
      <c r="W94" s="27"/>
      <c r="X94" s="27"/>
      <c r="Y94" s="27"/>
      <c r="Z94" s="28">
        <f>IFERROR(IF($B94&lt;&gt;"Entry","",IF(W94="Y",SUMPRODUCT(('Rate Master'!$D$2:$D$50=(Y94&amp;"|"&amp;$B$2))*'Rate Master'!$I$2:$I$50),IF(OR(X94="Individual",X94="HUF"),SUMPRODUCT(('Rate Master'!$D$2:$D$50=(Y94&amp;"|"&amp;$B$2))*'Rate Master'!$G$2:$G$50),SUMPRODUCT(('Rate Master'!$D$2:$D$50=(Y94&amp;"|"&amp;$B$2))*'Rate Master'!$H$2:$H$50)))),"")</f>
      </c>
      <c r="AA94" s="26">
        <f>IFERROR(IF($B94&lt;&gt;"Entry","",IF(OR(X94="Individual",X94="HUF"),SUMPRODUCT(('Rate Master'!$D$2:$D$50=(Y94&amp;"|"&amp;$B$2))*'Rate Master'!$E$2:$E$50),SUMPRODUCT(('Rate Master'!$D$2:$D$50=(Y94&amp;"|"&amp;$B$2))*'Rate Master'!$F$2:$F$50))),"")</f>
      </c>
      <c r="AB94" s="29"/>
      <c r="AC94" s="30"/>
      <c r="AD94" s="31"/>
      <c r="AE94" s="26">
        <f>IF($B94&lt;&gt;"Entry","",ROUND(AD94*AB94/100,0))</f>
      </c>
      <c r="AF94" s="31"/>
      <c r="AG94" s="31"/>
      <c r="AH94" s="26">
        <f>IF($B94&lt;&gt;"Entry","",IF(OR(AE94=0,AC94="",AS94="",AS94&lt;=0),0,IF(AS94&lt;=DATE(YEAR(AC94),MONTH(AC94)+1,7),0,ROUND(AE94*0.015*((YEAR(AS94)-YEAR(AC94))*12+(MONTH(AS94)-MONTH(AC94))+1),0))))</f>
      </c>
      <c r="AI94" s="31"/>
      <c r="AJ94" s="27"/>
      <c r="AK94" s="27"/>
      <c r="AL94" s="29"/>
      <c r="AM94" s="27"/>
      <c r="AN94" s="27"/>
      <c r="AO94" s="26">
        <f>IF($B94&lt;&gt;"Challan","",SUMIF($C$8:$C$207,$C94,$AE$8:$AE$207)+SUMIF($C$8:$C$207,$C94,$AH$8:$AH$207)+SUMIF($C$8:$C$207,$C94,$AF$8:$AF$207))</f>
      </c>
      <c r="AP94" s="26">
        <f>IF($B94&lt;&gt;"Challan","",O94-M94)</f>
      </c>
      <c r="AQ94" s="26">
        <f>IF($B94&lt;&gt;"Challan","",MAX(0,AP94-AO94))</f>
      </c>
      <c r="AR94" s="32">
        <f>IF($B94&lt;&gt;"Challan","",IF(ROUND(AO94-AP94,2)&gt;0,"Over-applied",IF(ROUND(AO94-AP94,2)=0,"Fully Utilised","Unconsumed")))</f>
      </c>
      <c r="AS94" s="33">
        <f>IF($B94&lt;&gt;"Entry","",SUMPRODUCT(($C$8:$C$207=$C94)*($B$8:$B$207="Challan")*$F$8:$F$207))</f>
      </c>
    </row>
    <row r="95" spans="1:45" x14ac:dyDescent="0.25">
      <c r="A95" s="19">
        <f>IF($B95="Entry",COUNTIF($B$8:$B95,"Entry"),"")</f>
      </c>
      <c r="B95" s="20"/>
      <c r="C95" s="21"/>
      <c r="D95" s="22"/>
      <c r="E95" s="22"/>
      <c r="F95" s="23"/>
      <c r="G95" s="24"/>
      <c r="H95" s="25"/>
      <c r="I95" s="25"/>
      <c r="J95" s="25"/>
      <c r="K95" s="25"/>
      <c r="L95" s="25"/>
      <c r="M95" s="25"/>
      <c r="N95" s="25"/>
      <c r="O95" s="26">
        <f>IF($B95&lt;&gt;"Challan","",H95+I95+J95+K95+L95+M95)</f>
      </c>
      <c r="P95" s="24"/>
      <c r="Q95" s="24"/>
      <c r="R95" s="24"/>
      <c r="S95" s="24"/>
      <c r="T95" s="24"/>
      <c r="U95" s="27"/>
      <c r="V95" s="27"/>
      <c r="W95" s="27"/>
      <c r="X95" s="27"/>
      <c r="Y95" s="27"/>
      <c r="Z95" s="28">
        <f>IFERROR(IF($B95&lt;&gt;"Entry","",IF(W95="Y",SUMPRODUCT(('Rate Master'!$D$2:$D$50=(Y95&amp;"|"&amp;$B$2))*'Rate Master'!$I$2:$I$50),IF(OR(X95="Individual",X95="HUF"),SUMPRODUCT(('Rate Master'!$D$2:$D$50=(Y95&amp;"|"&amp;$B$2))*'Rate Master'!$G$2:$G$50),SUMPRODUCT(('Rate Master'!$D$2:$D$50=(Y95&amp;"|"&amp;$B$2))*'Rate Master'!$H$2:$H$50)))),"")</f>
      </c>
      <c r="AA95" s="26">
        <f>IFERROR(IF($B95&lt;&gt;"Entry","",IF(OR(X95="Individual",X95="HUF"),SUMPRODUCT(('Rate Master'!$D$2:$D$50=(Y95&amp;"|"&amp;$B$2))*'Rate Master'!$E$2:$E$50),SUMPRODUCT(('Rate Master'!$D$2:$D$50=(Y95&amp;"|"&amp;$B$2))*'Rate Master'!$F$2:$F$50))),"")</f>
      </c>
      <c r="AB95" s="29"/>
      <c r="AC95" s="30"/>
      <c r="AD95" s="31"/>
      <c r="AE95" s="26">
        <f>IF($B95&lt;&gt;"Entry","",ROUND(AD95*AB95/100,0))</f>
      </c>
      <c r="AF95" s="31"/>
      <c r="AG95" s="31"/>
      <c r="AH95" s="26">
        <f>IF($B95&lt;&gt;"Entry","",IF(OR(AE95=0,AC95="",AS95="",AS95&lt;=0),0,IF(AS95&lt;=DATE(YEAR(AC95),MONTH(AC95)+1,7),0,ROUND(AE95*0.015*((YEAR(AS95)-YEAR(AC95))*12+(MONTH(AS95)-MONTH(AC95))+1),0))))</f>
      </c>
      <c r="AI95" s="31"/>
      <c r="AJ95" s="27"/>
      <c r="AK95" s="27"/>
      <c r="AL95" s="29"/>
      <c r="AM95" s="27"/>
      <c r="AN95" s="27"/>
      <c r="AO95" s="26">
        <f>IF($B95&lt;&gt;"Challan","",SUMIF($C$8:$C$207,$C95,$AE$8:$AE$207)+SUMIF($C$8:$C$207,$C95,$AH$8:$AH$207)+SUMIF($C$8:$C$207,$C95,$AF$8:$AF$207))</f>
      </c>
      <c r="AP95" s="26">
        <f>IF($B95&lt;&gt;"Challan","",O95-M95)</f>
      </c>
      <c r="AQ95" s="26">
        <f>IF($B95&lt;&gt;"Challan","",MAX(0,AP95-AO95))</f>
      </c>
      <c r="AR95" s="32">
        <f>IF($B95&lt;&gt;"Challan","",IF(ROUND(AO95-AP95,2)&gt;0,"Over-applied",IF(ROUND(AO95-AP95,2)=0,"Fully Utilised","Unconsumed")))</f>
      </c>
      <c r="AS95" s="33">
        <f>IF($B95&lt;&gt;"Entry","",SUMPRODUCT(($C$8:$C$207=$C95)*($B$8:$B$207="Challan")*$F$8:$F$207))</f>
      </c>
    </row>
    <row r="96" spans="1:45" x14ac:dyDescent="0.25">
      <c r="A96" s="19">
        <f>IF($B96="Entry",COUNTIF($B$8:$B96,"Entry"),"")</f>
      </c>
      <c r="B96" s="20"/>
      <c r="C96" s="21"/>
      <c r="D96" s="22"/>
      <c r="E96" s="22"/>
      <c r="F96" s="23"/>
      <c r="G96" s="24"/>
      <c r="H96" s="25"/>
      <c r="I96" s="25"/>
      <c r="J96" s="25"/>
      <c r="K96" s="25"/>
      <c r="L96" s="25"/>
      <c r="M96" s="25"/>
      <c r="N96" s="25"/>
      <c r="O96" s="26">
        <f>IF($B96&lt;&gt;"Challan","",H96+I96+J96+K96+L96+M96)</f>
      </c>
      <c r="P96" s="24"/>
      <c r="Q96" s="24"/>
      <c r="R96" s="24"/>
      <c r="S96" s="24"/>
      <c r="T96" s="24"/>
      <c r="U96" s="27"/>
      <c r="V96" s="27"/>
      <c r="W96" s="27"/>
      <c r="X96" s="27"/>
      <c r="Y96" s="27"/>
      <c r="Z96" s="28">
        <f>IFERROR(IF($B96&lt;&gt;"Entry","",IF(W96="Y",SUMPRODUCT(('Rate Master'!$D$2:$D$50=(Y96&amp;"|"&amp;$B$2))*'Rate Master'!$I$2:$I$50),IF(OR(X96="Individual",X96="HUF"),SUMPRODUCT(('Rate Master'!$D$2:$D$50=(Y96&amp;"|"&amp;$B$2))*'Rate Master'!$G$2:$G$50),SUMPRODUCT(('Rate Master'!$D$2:$D$50=(Y96&amp;"|"&amp;$B$2))*'Rate Master'!$H$2:$H$50)))),"")</f>
      </c>
      <c r="AA96" s="26">
        <f>IFERROR(IF($B96&lt;&gt;"Entry","",IF(OR(X96="Individual",X96="HUF"),SUMPRODUCT(('Rate Master'!$D$2:$D$50=(Y96&amp;"|"&amp;$B$2))*'Rate Master'!$E$2:$E$50),SUMPRODUCT(('Rate Master'!$D$2:$D$50=(Y96&amp;"|"&amp;$B$2))*'Rate Master'!$F$2:$F$50))),"")</f>
      </c>
      <c r="AB96" s="29"/>
      <c r="AC96" s="30"/>
      <c r="AD96" s="31"/>
      <c r="AE96" s="26">
        <f>IF($B96&lt;&gt;"Entry","",ROUND(AD96*AB96/100,0))</f>
      </c>
      <c r="AF96" s="31"/>
      <c r="AG96" s="31"/>
      <c r="AH96" s="26">
        <f>IF($B96&lt;&gt;"Entry","",IF(OR(AE96=0,AC96="",AS96="",AS96&lt;=0),0,IF(AS96&lt;=DATE(YEAR(AC96),MONTH(AC96)+1,7),0,ROUND(AE96*0.015*((YEAR(AS96)-YEAR(AC96))*12+(MONTH(AS96)-MONTH(AC96))+1),0))))</f>
      </c>
      <c r="AI96" s="31"/>
      <c r="AJ96" s="27"/>
      <c r="AK96" s="27"/>
      <c r="AL96" s="29"/>
      <c r="AM96" s="27"/>
      <c r="AN96" s="27"/>
      <c r="AO96" s="26">
        <f>IF($B96&lt;&gt;"Challan","",SUMIF($C$8:$C$207,$C96,$AE$8:$AE$207)+SUMIF($C$8:$C$207,$C96,$AH$8:$AH$207)+SUMIF($C$8:$C$207,$C96,$AF$8:$AF$207))</f>
      </c>
      <c r="AP96" s="26">
        <f>IF($B96&lt;&gt;"Challan","",O96-M96)</f>
      </c>
      <c r="AQ96" s="26">
        <f>IF($B96&lt;&gt;"Challan","",MAX(0,AP96-AO96))</f>
      </c>
      <c r="AR96" s="32">
        <f>IF($B96&lt;&gt;"Challan","",IF(ROUND(AO96-AP96,2)&gt;0,"Over-applied",IF(ROUND(AO96-AP96,2)=0,"Fully Utilised","Unconsumed")))</f>
      </c>
      <c r="AS96" s="33">
        <f>IF($B96&lt;&gt;"Entry","",SUMPRODUCT(($C$8:$C$207=$C96)*($B$8:$B$207="Challan")*$F$8:$F$207))</f>
      </c>
    </row>
    <row r="97" spans="1:45" x14ac:dyDescent="0.25">
      <c r="A97" s="19">
        <f>IF($B97="Entry",COUNTIF($B$8:$B97,"Entry"),"")</f>
      </c>
      <c r="B97" s="20"/>
      <c r="C97" s="21"/>
      <c r="D97" s="22"/>
      <c r="E97" s="22"/>
      <c r="F97" s="23"/>
      <c r="G97" s="24"/>
      <c r="H97" s="25"/>
      <c r="I97" s="25"/>
      <c r="J97" s="25"/>
      <c r="K97" s="25"/>
      <c r="L97" s="25"/>
      <c r="M97" s="25"/>
      <c r="N97" s="25"/>
      <c r="O97" s="26">
        <f>IF($B97&lt;&gt;"Challan","",H97+I97+J97+K97+L97+M97)</f>
      </c>
      <c r="P97" s="24"/>
      <c r="Q97" s="24"/>
      <c r="R97" s="24"/>
      <c r="S97" s="24"/>
      <c r="T97" s="24"/>
      <c r="U97" s="27"/>
      <c r="V97" s="27"/>
      <c r="W97" s="27"/>
      <c r="X97" s="27"/>
      <c r="Y97" s="27"/>
      <c r="Z97" s="28">
        <f>IFERROR(IF($B97&lt;&gt;"Entry","",IF(W97="Y",SUMPRODUCT(('Rate Master'!$D$2:$D$50=(Y97&amp;"|"&amp;$B$2))*'Rate Master'!$I$2:$I$50),IF(OR(X97="Individual",X97="HUF"),SUMPRODUCT(('Rate Master'!$D$2:$D$50=(Y97&amp;"|"&amp;$B$2))*'Rate Master'!$G$2:$G$50),SUMPRODUCT(('Rate Master'!$D$2:$D$50=(Y97&amp;"|"&amp;$B$2))*'Rate Master'!$H$2:$H$50)))),"")</f>
      </c>
      <c r="AA97" s="26">
        <f>IFERROR(IF($B97&lt;&gt;"Entry","",IF(OR(X97="Individual",X97="HUF"),SUMPRODUCT(('Rate Master'!$D$2:$D$50=(Y97&amp;"|"&amp;$B$2))*'Rate Master'!$E$2:$E$50),SUMPRODUCT(('Rate Master'!$D$2:$D$50=(Y97&amp;"|"&amp;$B$2))*'Rate Master'!$F$2:$F$50))),"")</f>
      </c>
      <c r="AB97" s="29"/>
      <c r="AC97" s="30"/>
      <c r="AD97" s="31"/>
      <c r="AE97" s="26">
        <f>IF($B97&lt;&gt;"Entry","",ROUND(AD97*AB97/100,0))</f>
      </c>
      <c r="AF97" s="31"/>
      <c r="AG97" s="31"/>
      <c r="AH97" s="26">
        <f>IF($B97&lt;&gt;"Entry","",IF(OR(AE97=0,AC97="",AS97="",AS97&lt;=0),0,IF(AS97&lt;=DATE(YEAR(AC97),MONTH(AC97)+1,7),0,ROUND(AE97*0.015*((YEAR(AS97)-YEAR(AC97))*12+(MONTH(AS97)-MONTH(AC97))+1),0))))</f>
      </c>
      <c r="AI97" s="31"/>
      <c r="AJ97" s="27"/>
      <c r="AK97" s="27"/>
      <c r="AL97" s="29"/>
      <c r="AM97" s="27"/>
      <c r="AN97" s="27"/>
      <c r="AO97" s="26">
        <f>IF($B97&lt;&gt;"Challan","",SUMIF($C$8:$C$207,$C97,$AE$8:$AE$207)+SUMIF($C$8:$C$207,$C97,$AH$8:$AH$207)+SUMIF($C$8:$C$207,$C97,$AF$8:$AF$207))</f>
      </c>
      <c r="AP97" s="26">
        <f>IF($B97&lt;&gt;"Challan","",O97-M97)</f>
      </c>
      <c r="AQ97" s="26">
        <f>IF($B97&lt;&gt;"Challan","",MAX(0,AP97-AO97))</f>
      </c>
      <c r="AR97" s="32">
        <f>IF($B97&lt;&gt;"Challan","",IF(ROUND(AO97-AP97,2)&gt;0,"Over-applied",IF(ROUND(AO97-AP97,2)=0,"Fully Utilised","Unconsumed")))</f>
      </c>
      <c r="AS97" s="33">
        <f>IF($B97&lt;&gt;"Entry","",SUMPRODUCT(($C$8:$C$207=$C97)*($B$8:$B$207="Challan")*$F$8:$F$207))</f>
      </c>
    </row>
    <row r="98" spans="1:45" x14ac:dyDescent="0.25">
      <c r="A98" s="19">
        <f>IF($B98="Entry",COUNTIF($B$8:$B98,"Entry"),"")</f>
      </c>
      <c r="B98" s="20"/>
      <c r="C98" s="21"/>
      <c r="D98" s="22"/>
      <c r="E98" s="22"/>
      <c r="F98" s="23"/>
      <c r="G98" s="24"/>
      <c r="H98" s="25"/>
      <c r="I98" s="25"/>
      <c r="J98" s="25"/>
      <c r="K98" s="25"/>
      <c r="L98" s="25"/>
      <c r="M98" s="25"/>
      <c r="N98" s="25"/>
      <c r="O98" s="26">
        <f>IF($B98&lt;&gt;"Challan","",H98+I98+J98+K98+L98+M98)</f>
      </c>
      <c r="P98" s="24"/>
      <c r="Q98" s="24"/>
      <c r="R98" s="24"/>
      <c r="S98" s="24"/>
      <c r="T98" s="24"/>
      <c r="U98" s="27"/>
      <c r="V98" s="27"/>
      <c r="W98" s="27"/>
      <c r="X98" s="27"/>
      <c r="Y98" s="27"/>
      <c r="Z98" s="28">
        <f>IFERROR(IF($B98&lt;&gt;"Entry","",IF(W98="Y",SUMPRODUCT(('Rate Master'!$D$2:$D$50=(Y98&amp;"|"&amp;$B$2))*'Rate Master'!$I$2:$I$50),IF(OR(X98="Individual",X98="HUF"),SUMPRODUCT(('Rate Master'!$D$2:$D$50=(Y98&amp;"|"&amp;$B$2))*'Rate Master'!$G$2:$G$50),SUMPRODUCT(('Rate Master'!$D$2:$D$50=(Y98&amp;"|"&amp;$B$2))*'Rate Master'!$H$2:$H$50)))),"")</f>
      </c>
      <c r="AA98" s="26">
        <f>IFERROR(IF($B98&lt;&gt;"Entry","",IF(OR(X98="Individual",X98="HUF"),SUMPRODUCT(('Rate Master'!$D$2:$D$50=(Y98&amp;"|"&amp;$B$2))*'Rate Master'!$E$2:$E$50),SUMPRODUCT(('Rate Master'!$D$2:$D$50=(Y98&amp;"|"&amp;$B$2))*'Rate Master'!$F$2:$F$50))),"")</f>
      </c>
      <c r="AB98" s="29"/>
      <c r="AC98" s="30"/>
      <c r="AD98" s="31"/>
      <c r="AE98" s="26">
        <f>IF($B98&lt;&gt;"Entry","",ROUND(AD98*AB98/100,0))</f>
      </c>
      <c r="AF98" s="31"/>
      <c r="AG98" s="31"/>
      <c r="AH98" s="26">
        <f>IF($B98&lt;&gt;"Entry","",IF(OR(AE98=0,AC98="",AS98="",AS98&lt;=0),0,IF(AS98&lt;=DATE(YEAR(AC98),MONTH(AC98)+1,7),0,ROUND(AE98*0.015*((YEAR(AS98)-YEAR(AC98))*12+(MONTH(AS98)-MONTH(AC98))+1),0))))</f>
      </c>
      <c r="AI98" s="31"/>
      <c r="AJ98" s="27"/>
      <c r="AK98" s="27"/>
      <c r="AL98" s="29"/>
      <c r="AM98" s="27"/>
      <c r="AN98" s="27"/>
      <c r="AO98" s="26">
        <f>IF($B98&lt;&gt;"Challan","",SUMIF($C$8:$C$207,$C98,$AE$8:$AE$207)+SUMIF($C$8:$C$207,$C98,$AH$8:$AH$207)+SUMIF($C$8:$C$207,$C98,$AF$8:$AF$207))</f>
      </c>
      <c r="AP98" s="26">
        <f>IF($B98&lt;&gt;"Challan","",O98-M98)</f>
      </c>
      <c r="AQ98" s="26">
        <f>IF($B98&lt;&gt;"Challan","",MAX(0,AP98-AO98))</f>
      </c>
      <c r="AR98" s="32">
        <f>IF($B98&lt;&gt;"Challan","",IF(ROUND(AO98-AP98,2)&gt;0,"Over-applied",IF(ROUND(AO98-AP98,2)=0,"Fully Utilised","Unconsumed")))</f>
      </c>
      <c r="AS98" s="33">
        <f>IF($B98&lt;&gt;"Entry","",SUMPRODUCT(($C$8:$C$207=$C98)*($B$8:$B$207="Challan")*$F$8:$F$207))</f>
      </c>
    </row>
    <row r="99" spans="1:45" x14ac:dyDescent="0.25">
      <c r="A99" s="19">
        <f>IF($B99="Entry",COUNTIF($B$8:$B99,"Entry"),"")</f>
      </c>
      <c r="B99" s="20"/>
      <c r="C99" s="21"/>
      <c r="D99" s="22"/>
      <c r="E99" s="22"/>
      <c r="F99" s="23"/>
      <c r="G99" s="24"/>
      <c r="H99" s="25"/>
      <c r="I99" s="25"/>
      <c r="J99" s="25"/>
      <c r="K99" s="25"/>
      <c r="L99" s="25"/>
      <c r="M99" s="25"/>
      <c r="N99" s="25"/>
      <c r="O99" s="26">
        <f>IF($B99&lt;&gt;"Challan","",H99+I99+J99+K99+L99+M99)</f>
      </c>
      <c r="P99" s="24"/>
      <c r="Q99" s="24"/>
      <c r="R99" s="24"/>
      <c r="S99" s="24"/>
      <c r="T99" s="24"/>
      <c r="U99" s="27"/>
      <c r="V99" s="27"/>
      <c r="W99" s="27"/>
      <c r="X99" s="27"/>
      <c r="Y99" s="27"/>
      <c r="Z99" s="28">
        <f>IFERROR(IF($B99&lt;&gt;"Entry","",IF(W99="Y",SUMPRODUCT(('Rate Master'!$D$2:$D$50=(Y99&amp;"|"&amp;$B$2))*'Rate Master'!$I$2:$I$50),IF(OR(X99="Individual",X99="HUF"),SUMPRODUCT(('Rate Master'!$D$2:$D$50=(Y99&amp;"|"&amp;$B$2))*'Rate Master'!$G$2:$G$50),SUMPRODUCT(('Rate Master'!$D$2:$D$50=(Y99&amp;"|"&amp;$B$2))*'Rate Master'!$H$2:$H$50)))),"")</f>
      </c>
      <c r="AA99" s="26">
        <f>IFERROR(IF($B99&lt;&gt;"Entry","",IF(OR(X99="Individual",X99="HUF"),SUMPRODUCT(('Rate Master'!$D$2:$D$50=(Y99&amp;"|"&amp;$B$2))*'Rate Master'!$E$2:$E$50),SUMPRODUCT(('Rate Master'!$D$2:$D$50=(Y99&amp;"|"&amp;$B$2))*'Rate Master'!$F$2:$F$50))),"")</f>
      </c>
      <c r="AB99" s="29"/>
      <c r="AC99" s="30"/>
      <c r="AD99" s="31"/>
      <c r="AE99" s="26">
        <f>IF($B99&lt;&gt;"Entry","",ROUND(AD99*AB99/100,0))</f>
      </c>
      <c r="AF99" s="31"/>
      <c r="AG99" s="31"/>
      <c r="AH99" s="26">
        <f>IF($B99&lt;&gt;"Entry","",IF(OR(AE99=0,AC99="",AS99="",AS99&lt;=0),0,IF(AS99&lt;=DATE(YEAR(AC99),MONTH(AC99)+1,7),0,ROUND(AE99*0.015*((YEAR(AS99)-YEAR(AC99))*12+(MONTH(AS99)-MONTH(AC99))+1),0))))</f>
      </c>
      <c r="AI99" s="31"/>
      <c r="AJ99" s="27"/>
      <c r="AK99" s="27"/>
      <c r="AL99" s="29"/>
      <c r="AM99" s="27"/>
      <c r="AN99" s="27"/>
      <c r="AO99" s="26">
        <f>IF($B99&lt;&gt;"Challan","",SUMIF($C$8:$C$207,$C99,$AE$8:$AE$207)+SUMIF($C$8:$C$207,$C99,$AH$8:$AH$207)+SUMIF($C$8:$C$207,$C99,$AF$8:$AF$207))</f>
      </c>
      <c r="AP99" s="26">
        <f>IF($B99&lt;&gt;"Challan","",O99-M99)</f>
      </c>
      <c r="AQ99" s="26">
        <f>IF($B99&lt;&gt;"Challan","",MAX(0,AP99-AO99))</f>
      </c>
      <c r="AR99" s="32">
        <f>IF($B99&lt;&gt;"Challan","",IF(ROUND(AO99-AP99,2)&gt;0,"Over-applied",IF(ROUND(AO99-AP99,2)=0,"Fully Utilised","Unconsumed")))</f>
      </c>
      <c r="AS99" s="33">
        <f>IF($B99&lt;&gt;"Entry","",SUMPRODUCT(($C$8:$C$207=$C99)*($B$8:$B$207="Challan")*$F$8:$F$207))</f>
      </c>
    </row>
    <row r="100" spans="1:45" x14ac:dyDescent="0.25">
      <c r="A100" s="19">
        <f>IF($B100="Entry",COUNTIF($B$8:$B100,"Entry"),"")</f>
      </c>
      <c r="B100" s="20"/>
      <c r="C100" s="21"/>
      <c r="D100" s="22"/>
      <c r="E100" s="22"/>
      <c r="F100" s="23"/>
      <c r="G100" s="24"/>
      <c r="H100" s="25"/>
      <c r="I100" s="25"/>
      <c r="J100" s="25"/>
      <c r="K100" s="25"/>
      <c r="L100" s="25"/>
      <c r="M100" s="25"/>
      <c r="N100" s="25"/>
      <c r="O100" s="26">
        <f>IF($B100&lt;&gt;"Challan","",H100+I100+J100+K100+L100+M100)</f>
      </c>
      <c r="P100" s="24"/>
      <c r="Q100" s="24"/>
      <c r="R100" s="24"/>
      <c r="S100" s="24"/>
      <c r="T100" s="24"/>
      <c r="U100" s="27"/>
      <c r="V100" s="27"/>
      <c r="W100" s="27"/>
      <c r="X100" s="27"/>
      <c r="Y100" s="27"/>
      <c r="Z100" s="28">
        <f>IFERROR(IF($B100&lt;&gt;"Entry","",IF(W100="Y",SUMPRODUCT(('Rate Master'!$D$2:$D$50=(Y100&amp;"|"&amp;$B$2))*'Rate Master'!$I$2:$I$50),IF(OR(X100="Individual",X100="HUF"),SUMPRODUCT(('Rate Master'!$D$2:$D$50=(Y100&amp;"|"&amp;$B$2))*'Rate Master'!$G$2:$G$50),SUMPRODUCT(('Rate Master'!$D$2:$D$50=(Y100&amp;"|"&amp;$B$2))*'Rate Master'!$H$2:$H$50)))),"")</f>
      </c>
      <c r="AA100" s="26">
        <f>IFERROR(IF($B100&lt;&gt;"Entry","",IF(OR(X100="Individual",X100="HUF"),SUMPRODUCT(('Rate Master'!$D$2:$D$50=(Y100&amp;"|"&amp;$B$2))*'Rate Master'!$E$2:$E$50),SUMPRODUCT(('Rate Master'!$D$2:$D$50=(Y100&amp;"|"&amp;$B$2))*'Rate Master'!$F$2:$F$50))),"")</f>
      </c>
      <c r="AB100" s="29"/>
      <c r="AC100" s="30"/>
      <c r="AD100" s="31"/>
      <c r="AE100" s="26">
        <f>IF($B100&lt;&gt;"Entry","",ROUND(AD100*AB100/100,0))</f>
      </c>
      <c r="AF100" s="31"/>
      <c r="AG100" s="31"/>
      <c r="AH100" s="26">
        <f>IF($B100&lt;&gt;"Entry","",IF(OR(AE100=0,AC100="",AS100="",AS100&lt;=0),0,IF(AS100&lt;=DATE(YEAR(AC100),MONTH(AC100)+1,7),0,ROUND(AE100*0.015*((YEAR(AS100)-YEAR(AC100))*12+(MONTH(AS100)-MONTH(AC100))+1),0))))</f>
      </c>
      <c r="AI100" s="31"/>
      <c r="AJ100" s="27"/>
      <c r="AK100" s="27"/>
      <c r="AL100" s="29"/>
      <c r="AM100" s="27"/>
      <c r="AN100" s="27"/>
      <c r="AO100" s="26">
        <f>IF($B100&lt;&gt;"Challan","",SUMIF($C$8:$C$207,$C100,$AE$8:$AE$207)+SUMIF($C$8:$C$207,$C100,$AH$8:$AH$207)+SUMIF($C$8:$C$207,$C100,$AF$8:$AF$207))</f>
      </c>
      <c r="AP100" s="26">
        <f>IF($B100&lt;&gt;"Challan","",O100-M100)</f>
      </c>
      <c r="AQ100" s="26">
        <f>IF($B100&lt;&gt;"Challan","",MAX(0,AP100-AO100))</f>
      </c>
      <c r="AR100" s="32">
        <f>IF($B100&lt;&gt;"Challan","",IF(ROUND(AO100-AP100,2)&gt;0,"Over-applied",IF(ROUND(AO100-AP100,2)=0,"Fully Utilised","Unconsumed")))</f>
      </c>
      <c r="AS100" s="33">
        <f>IF($B100&lt;&gt;"Entry","",SUMPRODUCT(($C$8:$C$207=$C100)*($B$8:$B$207="Challan")*$F$8:$F$207))</f>
      </c>
    </row>
    <row r="101" spans="1:45" x14ac:dyDescent="0.25">
      <c r="A101" s="19">
        <f>IF($B101="Entry",COUNTIF($B$8:$B101,"Entry"),"")</f>
      </c>
      <c r="B101" s="20"/>
      <c r="C101" s="21"/>
      <c r="D101" s="22"/>
      <c r="E101" s="22"/>
      <c r="F101" s="23"/>
      <c r="G101" s="24"/>
      <c r="H101" s="25"/>
      <c r="I101" s="25"/>
      <c r="J101" s="25"/>
      <c r="K101" s="25"/>
      <c r="L101" s="25"/>
      <c r="M101" s="25"/>
      <c r="N101" s="25"/>
      <c r="O101" s="26">
        <f>IF($B101&lt;&gt;"Challan","",H101+I101+J101+K101+L101+M101)</f>
      </c>
      <c r="P101" s="24"/>
      <c r="Q101" s="24"/>
      <c r="R101" s="24"/>
      <c r="S101" s="24"/>
      <c r="T101" s="24"/>
      <c r="U101" s="27"/>
      <c r="V101" s="27"/>
      <c r="W101" s="27"/>
      <c r="X101" s="27"/>
      <c r="Y101" s="27"/>
      <c r="Z101" s="28">
        <f>IFERROR(IF($B101&lt;&gt;"Entry","",IF(W101="Y",SUMPRODUCT(('Rate Master'!$D$2:$D$50=(Y101&amp;"|"&amp;$B$2))*'Rate Master'!$I$2:$I$50),IF(OR(X101="Individual",X101="HUF"),SUMPRODUCT(('Rate Master'!$D$2:$D$50=(Y101&amp;"|"&amp;$B$2))*'Rate Master'!$G$2:$G$50),SUMPRODUCT(('Rate Master'!$D$2:$D$50=(Y101&amp;"|"&amp;$B$2))*'Rate Master'!$H$2:$H$50)))),"")</f>
      </c>
      <c r="AA101" s="26">
        <f>IFERROR(IF($B101&lt;&gt;"Entry","",IF(OR(X101="Individual",X101="HUF"),SUMPRODUCT(('Rate Master'!$D$2:$D$50=(Y101&amp;"|"&amp;$B$2))*'Rate Master'!$E$2:$E$50),SUMPRODUCT(('Rate Master'!$D$2:$D$50=(Y101&amp;"|"&amp;$B$2))*'Rate Master'!$F$2:$F$50))),"")</f>
      </c>
      <c r="AB101" s="29"/>
      <c r="AC101" s="30"/>
      <c r="AD101" s="31"/>
      <c r="AE101" s="26">
        <f>IF($B101&lt;&gt;"Entry","",ROUND(AD101*AB101/100,0))</f>
      </c>
      <c r="AF101" s="31"/>
      <c r="AG101" s="31"/>
      <c r="AH101" s="26">
        <f>IF($B101&lt;&gt;"Entry","",IF(OR(AE101=0,AC101="",AS101="",AS101&lt;=0),0,IF(AS101&lt;=DATE(YEAR(AC101),MONTH(AC101)+1,7),0,ROUND(AE101*0.015*((YEAR(AS101)-YEAR(AC101))*12+(MONTH(AS101)-MONTH(AC101))+1),0))))</f>
      </c>
      <c r="AI101" s="31"/>
      <c r="AJ101" s="27"/>
      <c r="AK101" s="27"/>
      <c r="AL101" s="29"/>
      <c r="AM101" s="27"/>
      <c r="AN101" s="27"/>
      <c r="AO101" s="26">
        <f>IF($B101&lt;&gt;"Challan","",SUMIF($C$8:$C$207,$C101,$AE$8:$AE$207)+SUMIF($C$8:$C$207,$C101,$AH$8:$AH$207)+SUMIF($C$8:$C$207,$C101,$AF$8:$AF$207))</f>
      </c>
      <c r="AP101" s="26">
        <f>IF($B101&lt;&gt;"Challan","",O101-M101)</f>
      </c>
      <c r="AQ101" s="26">
        <f>IF($B101&lt;&gt;"Challan","",MAX(0,AP101-AO101))</f>
      </c>
      <c r="AR101" s="32">
        <f>IF($B101&lt;&gt;"Challan","",IF(ROUND(AO101-AP101,2)&gt;0,"Over-applied",IF(ROUND(AO101-AP101,2)=0,"Fully Utilised","Unconsumed")))</f>
      </c>
      <c r="AS101" s="33">
        <f>IF($B101&lt;&gt;"Entry","",SUMPRODUCT(($C$8:$C$207=$C101)*($B$8:$B$207="Challan")*$F$8:$F$207))</f>
      </c>
    </row>
    <row r="102" spans="1:45" x14ac:dyDescent="0.25">
      <c r="A102" s="19">
        <f>IF($B102="Entry",COUNTIF($B$8:$B102,"Entry"),"")</f>
      </c>
      <c r="B102" s="20"/>
      <c r="C102" s="21"/>
      <c r="D102" s="22"/>
      <c r="E102" s="22"/>
      <c r="F102" s="23"/>
      <c r="G102" s="24"/>
      <c r="H102" s="25"/>
      <c r="I102" s="25"/>
      <c r="J102" s="25"/>
      <c r="K102" s="25"/>
      <c r="L102" s="25"/>
      <c r="M102" s="25"/>
      <c r="N102" s="25"/>
      <c r="O102" s="26">
        <f>IF($B102&lt;&gt;"Challan","",H102+I102+J102+K102+L102+M102)</f>
      </c>
      <c r="P102" s="24"/>
      <c r="Q102" s="24"/>
      <c r="R102" s="24"/>
      <c r="S102" s="24"/>
      <c r="T102" s="24"/>
      <c r="U102" s="27"/>
      <c r="V102" s="27"/>
      <c r="W102" s="27"/>
      <c r="X102" s="27"/>
      <c r="Y102" s="27"/>
      <c r="Z102" s="28">
        <f>IFERROR(IF($B102&lt;&gt;"Entry","",IF(W102="Y",SUMPRODUCT(('Rate Master'!$D$2:$D$50=(Y102&amp;"|"&amp;$B$2))*'Rate Master'!$I$2:$I$50),IF(OR(X102="Individual",X102="HUF"),SUMPRODUCT(('Rate Master'!$D$2:$D$50=(Y102&amp;"|"&amp;$B$2))*'Rate Master'!$G$2:$G$50),SUMPRODUCT(('Rate Master'!$D$2:$D$50=(Y102&amp;"|"&amp;$B$2))*'Rate Master'!$H$2:$H$50)))),"")</f>
      </c>
      <c r="AA102" s="26">
        <f>IFERROR(IF($B102&lt;&gt;"Entry","",IF(OR(X102="Individual",X102="HUF"),SUMPRODUCT(('Rate Master'!$D$2:$D$50=(Y102&amp;"|"&amp;$B$2))*'Rate Master'!$E$2:$E$50),SUMPRODUCT(('Rate Master'!$D$2:$D$50=(Y102&amp;"|"&amp;$B$2))*'Rate Master'!$F$2:$F$50))),"")</f>
      </c>
      <c r="AB102" s="29"/>
      <c r="AC102" s="30"/>
      <c r="AD102" s="31"/>
      <c r="AE102" s="26">
        <f>IF($B102&lt;&gt;"Entry","",ROUND(AD102*AB102/100,0))</f>
      </c>
      <c r="AF102" s="31"/>
      <c r="AG102" s="31"/>
      <c r="AH102" s="26">
        <f>IF($B102&lt;&gt;"Entry","",IF(OR(AE102=0,AC102="",AS102="",AS102&lt;=0),0,IF(AS102&lt;=DATE(YEAR(AC102),MONTH(AC102)+1,7),0,ROUND(AE102*0.015*((YEAR(AS102)-YEAR(AC102))*12+(MONTH(AS102)-MONTH(AC102))+1),0))))</f>
      </c>
      <c r="AI102" s="31"/>
      <c r="AJ102" s="27"/>
      <c r="AK102" s="27"/>
      <c r="AL102" s="29"/>
      <c r="AM102" s="27"/>
      <c r="AN102" s="27"/>
      <c r="AO102" s="26">
        <f>IF($B102&lt;&gt;"Challan","",SUMIF($C$8:$C$207,$C102,$AE$8:$AE$207)+SUMIF($C$8:$C$207,$C102,$AH$8:$AH$207)+SUMIF($C$8:$C$207,$C102,$AF$8:$AF$207))</f>
      </c>
      <c r="AP102" s="26">
        <f>IF($B102&lt;&gt;"Challan","",O102-M102)</f>
      </c>
      <c r="AQ102" s="26">
        <f>IF($B102&lt;&gt;"Challan","",MAX(0,AP102-AO102))</f>
      </c>
      <c r="AR102" s="32">
        <f>IF($B102&lt;&gt;"Challan","",IF(ROUND(AO102-AP102,2)&gt;0,"Over-applied",IF(ROUND(AO102-AP102,2)=0,"Fully Utilised","Unconsumed")))</f>
      </c>
      <c r="AS102" s="33">
        <f>IF($B102&lt;&gt;"Entry","",SUMPRODUCT(($C$8:$C$207=$C102)*($B$8:$B$207="Challan")*$F$8:$F$207))</f>
      </c>
    </row>
    <row r="103" spans="1:45" x14ac:dyDescent="0.25">
      <c r="A103" s="19">
        <f>IF($B103="Entry",COUNTIF($B$8:$B103,"Entry"),"")</f>
      </c>
      <c r="B103" s="20"/>
      <c r="C103" s="21"/>
      <c r="D103" s="22"/>
      <c r="E103" s="22"/>
      <c r="F103" s="23"/>
      <c r="G103" s="24"/>
      <c r="H103" s="25"/>
      <c r="I103" s="25"/>
      <c r="J103" s="25"/>
      <c r="K103" s="25"/>
      <c r="L103" s="25"/>
      <c r="M103" s="25"/>
      <c r="N103" s="25"/>
      <c r="O103" s="26">
        <f>IF($B103&lt;&gt;"Challan","",H103+I103+J103+K103+L103+M103)</f>
      </c>
      <c r="P103" s="24"/>
      <c r="Q103" s="24"/>
      <c r="R103" s="24"/>
      <c r="S103" s="24"/>
      <c r="T103" s="24"/>
      <c r="U103" s="27"/>
      <c r="V103" s="27"/>
      <c r="W103" s="27"/>
      <c r="X103" s="27"/>
      <c r="Y103" s="27"/>
      <c r="Z103" s="28">
        <f>IFERROR(IF($B103&lt;&gt;"Entry","",IF(W103="Y",SUMPRODUCT(('Rate Master'!$D$2:$D$50=(Y103&amp;"|"&amp;$B$2))*'Rate Master'!$I$2:$I$50),IF(OR(X103="Individual",X103="HUF"),SUMPRODUCT(('Rate Master'!$D$2:$D$50=(Y103&amp;"|"&amp;$B$2))*'Rate Master'!$G$2:$G$50),SUMPRODUCT(('Rate Master'!$D$2:$D$50=(Y103&amp;"|"&amp;$B$2))*'Rate Master'!$H$2:$H$50)))),"")</f>
      </c>
      <c r="AA103" s="26">
        <f>IFERROR(IF($B103&lt;&gt;"Entry","",IF(OR(X103="Individual",X103="HUF"),SUMPRODUCT(('Rate Master'!$D$2:$D$50=(Y103&amp;"|"&amp;$B$2))*'Rate Master'!$E$2:$E$50),SUMPRODUCT(('Rate Master'!$D$2:$D$50=(Y103&amp;"|"&amp;$B$2))*'Rate Master'!$F$2:$F$50))),"")</f>
      </c>
      <c r="AB103" s="29"/>
      <c r="AC103" s="30"/>
      <c r="AD103" s="31"/>
      <c r="AE103" s="26">
        <f>IF($B103&lt;&gt;"Entry","",ROUND(AD103*AB103/100,0))</f>
      </c>
      <c r="AF103" s="31"/>
      <c r="AG103" s="31"/>
      <c r="AH103" s="26">
        <f>IF($B103&lt;&gt;"Entry","",IF(OR(AE103=0,AC103="",AS103="",AS103&lt;=0),0,IF(AS103&lt;=DATE(YEAR(AC103),MONTH(AC103)+1,7),0,ROUND(AE103*0.015*((YEAR(AS103)-YEAR(AC103))*12+(MONTH(AS103)-MONTH(AC103))+1),0))))</f>
      </c>
      <c r="AI103" s="31"/>
      <c r="AJ103" s="27"/>
      <c r="AK103" s="27"/>
      <c r="AL103" s="29"/>
      <c r="AM103" s="27"/>
      <c r="AN103" s="27"/>
      <c r="AO103" s="26">
        <f>IF($B103&lt;&gt;"Challan","",SUMIF($C$8:$C$207,$C103,$AE$8:$AE$207)+SUMIF($C$8:$C$207,$C103,$AH$8:$AH$207)+SUMIF($C$8:$C$207,$C103,$AF$8:$AF$207))</f>
      </c>
      <c r="AP103" s="26">
        <f>IF($B103&lt;&gt;"Challan","",O103-M103)</f>
      </c>
      <c r="AQ103" s="26">
        <f>IF($B103&lt;&gt;"Challan","",MAX(0,AP103-AO103))</f>
      </c>
      <c r="AR103" s="32">
        <f>IF($B103&lt;&gt;"Challan","",IF(ROUND(AO103-AP103,2)&gt;0,"Over-applied",IF(ROUND(AO103-AP103,2)=0,"Fully Utilised","Unconsumed")))</f>
      </c>
      <c r="AS103" s="33">
        <f>IF($B103&lt;&gt;"Entry","",SUMPRODUCT(($C$8:$C$207=$C103)*($B$8:$B$207="Challan")*$F$8:$F$207))</f>
      </c>
    </row>
    <row r="104" spans="1:45" x14ac:dyDescent="0.25">
      <c r="A104" s="19">
        <f>IF($B104="Entry",COUNTIF($B$8:$B104,"Entry"),"")</f>
      </c>
      <c r="B104" s="20"/>
      <c r="C104" s="21"/>
      <c r="D104" s="22"/>
      <c r="E104" s="22"/>
      <c r="F104" s="23"/>
      <c r="G104" s="24"/>
      <c r="H104" s="25"/>
      <c r="I104" s="25"/>
      <c r="J104" s="25"/>
      <c r="K104" s="25"/>
      <c r="L104" s="25"/>
      <c r="M104" s="25"/>
      <c r="N104" s="25"/>
      <c r="O104" s="26">
        <f>IF($B104&lt;&gt;"Challan","",H104+I104+J104+K104+L104+M104)</f>
      </c>
      <c r="P104" s="24"/>
      <c r="Q104" s="24"/>
      <c r="R104" s="24"/>
      <c r="S104" s="24"/>
      <c r="T104" s="24"/>
      <c r="U104" s="27"/>
      <c r="V104" s="27"/>
      <c r="W104" s="27"/>
      <c r="X104" s="27"/>
      <c r="Y104" s="27"/>
      <c r="Z104" s="28">
        <f>IFERROR(IF($B104&lt;&gt;"Entry","",IF(W104="Y",SUMPRODUCT(('Rate Master'!$D$2:$D$50=(Y104&amp;"|"&amp;$B$2))*'Rate Master'!$I$2:$I$50),IF(OR(X104="Individual",X104="HUF"),SUMPRODUCT(('Rate Master'!$D$2:$D$50=(Y104&amp;"|"&amp;$B$2))*'Rate Master'!$G$2:$G$50),SUMPRODUCT(('Rate Master'!$D$2:$D$50=(Y104&amp;"|"&amp;$B$2))*'Rate Master'!$H$2:$H$50)))),"")</f>
      </c>
      <c r="AA104" s="26">
        <f>IFERROR(IF($B104&lt;&gt;"Entry","",IF(OR(X104="Individual",X104="HUF"),SUMPRODUCT(('Rate Master'!$D$2:$D$50=(Y104&amp;"|"&amp;$B$2))*'Rate Master'!$E$2:$E$50),SUMPRODUCT(('Rate Master'!$D$2:$D$50=(Y104&amp;"|"&amp;$B$2))*'Rate Master'!$F$2:$F$50))),"")</f>
      </c>
      <c r="AB104" s="29"/>
      <c r="AC104" s="30"/>
      <c r="AD104" s="31"/>
      <c r="AE104" s="26">
        <f>IF($B104&lt;&gt;"Entry","",ROUND(AD104*AB104/100,0))</f>
      </c>
      <c r="AF104" s="31"/>
      <c r="AG104" s="31"/>
      <c r="AH104" s="26">
        <f>IF($B104&lt;&gt;"Entry","",IF(OR(AE104=0,AC104="",AS104="",AS104&lt;=0),0,IF(AS104&lt;=DATE(YEAR(AC104),MONTH(AC104)+1,7),0,ROUND(AE104*0.015*((YEAR(AS104)-YEAR(AC104))*12+(MONTH(AS104)-MONTH(AC104))+1),0))))</f>
      </c>
      <c r="AI104" s="31"/>
      <c r="AJ104" s="27"/>
      <c r="AK104" s="27"/>
      <c r="AL104" s="29"/>
      <c r="AM104" s="27"/>
      <c r="AN104" s="27"/>
      <c r="AO104" s="26">
        <f>IF($B104&lt;&gt;"Challan","",SUMIF($C$8:$C$207,$C104,$AE$8:$AE$207)+SUMIF($C$8:$C$207,$C104,$AH$8:$AH$207)+SUMIF($C$8:$C$207,$C104,$AF$8:$AF$207))</f>
      </c>
      <c r="AP104" s="26">
        <f>IF($B104&lt;&gt;"Challan","",O104-M104)</f>
      </c>
      <c r="AQ104" s="26">
        <f>IF($B104&lt;&gt;"Challan","",MAX(0,AP104-AO104))</f>
      </c>
      <c r="AR104" s="32">
        <f>IF($B104&lt;&gt;"Challan","",IF(ROUND(AO104-AP104,2)&gt;0,"Over-applied",IF(ROUND(AO104-AP104,2)=0,"Fully Utilised","Unconsumed")))</f>
      </c>
      <c r="AS104" s="33">
        <f>IF($B104&lt;&gt;"Entry","",SUMPRODUCT(($C$8:$C$207=$C104)*($B$8:$B$207="Challan")*$F$8:$F$207))</f>
      </c>
    </row>
    <row r="105" spans="1:45" x14ac:dyDescent="0.25">
      <c r="A105" s="19">
        <f>IF($B105="Entry",COUNTIF($B$8:$B105,"Entry"),"")</f>
      </c>
      <c r="B105" s="20"/>
      <c r="C105" s="21"/>
      <c r="D105" s="22"/>
      <c r="E105" s="22"/>
      <c r="F105" s="23"/>
      <c r="G105" s="24"/>
      <c r="H105" s="25"/>
      <c r="I105" s="25"/>
      <c r="J105" s="25"/>
      <c r="K105" s="25"/>
      <c r="L105" s="25"/>
      <c r="M105" s="25"/>
      <c r="N105" s="25"/>
      <c r="O105" s="26">
        <f>IF($B105&lt;&gt;"Challan","",H105+I105+J105+K105+L105+M105)</f>
      </c>
      <c r="P105" s="24"/>
      <c r="Q105" s="24"/>
      <c r="R105" s="24"/>
      <c r="S105" s="24"/>
      <c r="T105" s="24"/>
      <c r="U105" s="27"/>
      <c r="V105" s="27"/>
      <c r="W105" s="27"/>
      <c r="X105" s="27"/>
      <c r="Y105" s="27"/>
      <c r="Z105" s="28">
        <f>IFERROR(IF($B105&lt;&gt;"Entry","",IF(W105="Y",SUMPRODUCT(('Rate Master'!$D$2:$D$50=(Y105&amp;"|"&amp;$B$2))*'Rate Master'!$I$2:$I$50),IF(OR(X105="Individual",X105="HUF"),SUMPRODUCT(('Rate Master'!$D$2:$D$50=(Y105&amp;"|"&amp;$B$2))*'Rate Master'!$G$2:$G$50),SUMPRODUCT(('Rate Master'!$D$2:$D$50=(Y105&amp;"|"&amp;$B$2))*'Rate Master'!$H$2:$H$50)))),"")</f>
      </c>
      <c r="AA105" s="26">
        <f>IFERROR(IF($B105&lt;&gt;"Entry","",IF(OR(X105="Individual",X105="HUF"),SUMPRODUCT(('Rate Master'!$D$2:$D$50=(Y105&amp;"|"&amp;$B$2))*'Rate Master'!$E$2:$E$50),SUMPRODUCT(('Rate Master'!$D$2:$D$50=(Y105&amp;"|"&amp;$B$2))*'Rate Master'!$F$2:$F$50))),"")</f>
      </c>
      <c r="AB105" s="29"/>
      <c r="AC105" s="30"/>
      <c r="AD105" s="31"/>
      <c r="AE105" s="26">
        <f>IF($B105&lt;&gt;"Entry","",ROUND(AD105*AB105/100,0))</f>
      </c>
      <c r="AF105" s="31"/>
      <c r="AG105" s="31"/>
      <c r="AH105" s="26">
        <f>IF($B105&lt;&gt;"Entry","",IF(OR(AE105=0,AC105="",AS105="",AS105&lt;=0),0,IF(AS105&lt;=DATE(YEAR(AC105),MONTH(AC105)+1,7),0,ROUND(AE105*0.015*((YEAR(AS105)-YEAR(AC105))*12+(MONTH(AS105)-MONTH(AC105))+1),0))))</f>
      </c>
      <c r="AI105" s="31"/>
      <c r="AJ105" s="27"/>
      <c r="AK105" s="27"/>
      <c r="AL105" s="29"/>
      <c r="AM105" s="27"/>
      <c r="AN105" s="27"/>
      <c r="AO105" s="26">
        <f>IF($B105&lt;&gt;"Challan","",SUMIF($C$8:$C$207,$C105,$AE$8:$AE$207)+SUMIF($C$8:$C$207,$C105,$AH$8:$AH$207)+SUMIF($C$8:$C$207,$C105,$AF$8:$AF$207))</f>
      </c>
      <c r="AP105" s="26">
        <f>IF($B105&lt;&gt;"Challan","",O105-M105)</f>
      </c>
      <c r="AQ105" s="26">
        <f>IF($B105&lt;&gt;"Challan","",MAX(0,AP105-AO105))</f>
      </c>
      <c r="AR105" s="32">
        <f>IF($B105&lt;&gt;"Challan","",IF(ROUND(AO105-AP105,2)&gt;0,"Over-applied",IF(ROUND(AO105-AP105,2)=0,"Fully Utilised","Unconsumed")))</f>
      </c>
      <c r="AS105" s="33">
        <f>IF($B105&lt;&gt;"Entry","",SUMPRODUCT(($C$8:$C$207=$C105)*($B$8:$B$207="Challan")*$F$8:$F$207))</f>
      </c>
    </row>
    <row r="106" spans="1:45" x14ac:dyDescent="0.25">
      <c r="A106" s="19">
        <f>IF($B106="Entry",COUNTIF($B$8:$B106,"Entry"),"")</f>
      </c>
      <c r="B106" s="20"/>
      <c r="C106" s="21"/>
      <c r="D106" s="22"/>
      <c r="E106" s="22"/>
      <c r="F106" s="23"/>
      <c r="G106" s="24"/>
      <c r="H106" s="25"/>
      <c r="I106" s="25"/>
      <c r="J106" s="25"/>
      <c r="K106" s="25"/>
      <c r="L106" s="25"/>
      <c r="M106" s="25"/>
      <c r="N106" s="25"/>
      <c r="O106" s="26">
        <f>IF($B106&lt;&gt;"Challan","",H106+I106+J106+K106+L106+M106)</f>
      </c>
      <c r="P106" s="24"/>
      <c r="Q106" s="24"/>
      <c r="R106" s="24"/>
      <c r="S106" s="24"/>
      <c r="T106" s="24"/>
      <c r="U106" s="27"/>
      <c r="V106" s="27"/>
      <c r="W106" s="27"/>
      <c r="X106" s="27"/>
      <c r="Y106" s="27"/>
      <c r="Z106" s="28">
        <f>IFERROR(IF($B106&lt;&gt;"Entry","",IF(W106="Y",SUMPRODUCT(('Rate Master'!$D$2:$D$50=(Y106&amp;"|"&amp;$B$2))*'Rate Master'!$I$2:$I$50),IF(OR(X106="Individual",X106="HUF"),SUMPRODUCT(('Rate Master'!$D$2:$D$50=(Y106&amp;"|"&amp;$B$2))*'Rate Master'!$G$2:$G$50),SUMPRODUCT(('Rate Master'!$D$2:$D$50=(Y106&amp;"|"&amp;$B$2))*'Rate Master'!$H$2:$H$50)))),"")</f>
      </c>
      <c r="AA106" s="26">
        <f>IFERROR(IF($B106&lt;&gt;"Entry","",IF(OR(X106="Individual",X106="HUF"),SUMPRODUCT(('Rate Master'!$D$2:$D$50=(Y106&amp;"|"&amp;$B$2))*'Rate Master'!$E$2:$E$50),SUMPRODUCT(('Rate Master'!$D$2:$D$50=(Y106&amp;"|"&amp;$B$2))*'Rate Master'!$F$2:$F$50))),"")</f>
      </c>
      <c r="AB106" s="29"/>
      <c r="AC106" s="30"/>
      <c r="AD106" s="31"/>
      <c r="AE106" s="26">
        <f>IF($B106&lt;&gt;"Entry","",ROUND(AD106*AB106/100,0))</f>
      </c>
      <c r="AF106" s="31"/>
      <c r="AG106" s="31"/>
      <c r="AH106" s="26">
        <f>IF($B106&lt;&gt;"Entry","",IF(OR(AE106=0,AC106="",AS106="",AS106&lt;=0),0,IF(AS106&lt;=DATE(YEAR(AC106),MONTH(AC106)+1,7),0,ROUND(AE106*0.015*((YEAR(AS106)-YEAR(AC106))*12+(MONTH(AS106)-MONTH(AC106))+1),0))))</f>
      </c>
      <c r="AI106" s="31"/>
      <c r="AJ106" s="27"/>
      <c r="AK106" s="27"/>
      <c r="AL106" s="29"/>
      <c r="AM106" s="27"/>
      <c r="AN106" s="27"/>
      <c r="AO106" s="26">
        <f>IF($B106&lt;&gt;"Challan","",SUMIF($C$8:$C$207,$C106,$AE$8:$AE$207)+SUMIF($C$8:$C$207,$C106,$AH$8:$AH$207)+SUMIF($C$8:$C$207,$C106,$AF$8:$AF$207))</f>
      </c>
      <c r="AP106" s="26">
        <f>IF($B106&lt;&gt;"Challan","",O106-M106)</f>
      </c>
      <c r="AQ106" s="26">
        <f>IF($B106&lt;&gt;"Challan","",MAX(0,AP106-AO106))</f>
      </c>
      <c r="AR106" s="32">
        <f>IF($B106&lt;&gt;"Challan","",IF(ROUND(AO106-AP106,2)&gt;0,"Over-applied",IF(ROUND(AO106-AP106,2)=0,"Fully Utilised","Unconsumed")))</f>
      </c>
      <c r="AS106" s="33">
        <f>IF($B106&lt;&gt;"Entry","",SUMPRODUCT(($C$8:$C$207=$C106)*($B$8:$B$207="Challan")*$F$8:$F$207))</f>
      </c>
    </row>
    <row r="107" spans="1:45" x14ac:dyDescent="0.25">
      <c r="A107" s="19">
        <f>IF($B107="Entry",COUNTIF($B$8:$B107,"Entry"),"")</f>
      </c>
      <c r="B107" s="20"/>
      <c r="C107" s="21"/>
      <c r="D107" s="22"/>
      <c r="E107" s="22"/>
      <c r="F107" s="23"/>
      <c r="G107" s="24"/>
      <c r="H107" s="25"/>
      <c r="I107" s="25"/>
      <c r="J107" s="25"/>
      <c r="K107" s="25"/>
      <c r="L107" s="25"/>
      <c r="M107" s="25"/>
      <c r="N107" s="25"/>
      <c r="O107" s="26">
        <f>IF($B107&lt;&gt;"Challan","",H107+I107+J107+K107+L107+M107)</f>
      </c>
      <c r="P107" s="24"/>
      <c r="Q107" s="24"/>
      <c r="R107" s="24"/>
      <c r="S107" s="24"/>
      <c r="T107" s="24"/>
      <c r="U107" s="27"/>
      <c r="V107" s="27"/>
      <c r="W107" s="27"/>
      <c r="X107" s="27"/>
      <c r="Y107" s="27"/>
      <c r="Z107" s="28">
        <f>IFERROR(IF($B107&lt;&gt;"Entry","",IF(W107="Y",SUMPRODUCT(('Rate Master'!$D$2:$D$50=(Y107&amp;"|"&amp;$B$2))*'Rate Master'!$I$2:$I$50),IF(OR(X107="Individual",X107="HUF"),SUMPRODUCT(('Rate Master'!$D$2:$D$50=(Y107&amp;"|"&amp;$B$2))*'Rate Master'!$G$2:$G$50),SUMPRODUCT(('Rate Master'!$D$2:$D$50=(Y107&amp;"|"&amp;$B$2))*'Rate Master'!$H$2:$H$50)))),"")</f>
      </c>
      <c r="AA107" s="26">
        <f>IFERROR(IF($B107&lt;&gt;"Entry","",IF(OR(X107="Individual",X107="HUF"),SUMPRODUCT(('Rate Master'!$D$2:$D$50=(Y107&amp;"|"&amp;$B$2))*'Rate Master'!$E$2:$E$50),SUMPRODUCT(('Rate Master'!$D$2:$D$50=(Y107&amp;"|"&amp;$B$2))*'Rate Master'!$F$2:$F$50))),"")</f>
      </c>
      <c r="AB107" s="29"/>
      <c r="AC107" s="30"/>
      <c r="AD107" s="31"/>
      <c r="AE107" s="26">
        <f>IF($B107&lt;&gt;"Entry","",ROUND(AD107*AB107/100,0))</f>
      </c>
      <c r="AF107" s="31"/>
      <c r="AG107" s="31"/>
      <c r="AH107" s="26">
        <f>IF($B107&lt;&gt;"Entry","",IF(OR(AE107=0,AC107="",AS107="",AS107&lt;=0),0,IF(AS107&lt;=DATE(YEAR(AC107),MONTH(AC107)+1,7),0,ROUND(AE107*0.015*((YEAR(AS107)-YEAR(AC107))*12+(MONTH(AS107)-MONTH(AC107))+1),0))))</f>
      </c>
      <c r="AI107" s="31"/>
      <c r="AJ107" s="27"/>
      <c r="AK107" s="27"/>
      <c r="AL107" s="29"/>
      <c r="AM107" s="27"/>
      <c r="AN107" s="27"/>
      <c r="AO107" s="26">
        <f>IF($B107&lt;&gt;"Challan","",SUMIF($C$8:$C$207,$C107,$AE$8:$AE$207)+SUMIF($C$8:$C$207,$C107,$AH$8:$AH$207)+SUMIF($C$8:$C$207,$C107,$AF$8:$AF$207))</f>
      </c>
      <c r="AP107" s="26">
        <f>IF($B107&lt;&gt;"Challan","",O107-M107)</f>
      </c>
      <c r="AQ107" s="26">
        <f>IF($B107&lt;&gt;"Challan","",MAX(0,AP107-AO107))</f>
      </c>
      <c r="AR107" s="32">
        <f>IF($B107&lt;&gt;"Challan","",IF(ROUND(AO107-AP107,2)&gt;0,"Over-applied",IF(ROUND(AO107-AP107,2)=0,"Fully Utilised","Unconsumed")))</f>
      </c>
      <c r="AS107" s="33">
        <f>IF($B107&lt;&gt;"Entry","",SUMPRODUCT(($C$8:$C$207=$C107)*($B$8:$B$207="Challan")*$F$8:$F$207))</f>
      </c>
    </row>
    <row r="108" spans="1:45" x14ac:dyDescent="0.25">
      <c r="A108" s="19">
        <f>IF($B108="Entry",COUNTIF($B$8:$B108,"Entry"),"")</f>
      </c>
      <c r="B108" s="20"/>
      <c r="C108" s="21"/>
      <c r="D108" s="22"/>
      <c r="E108" s="22"/>
      <c r="F108" s="23"/>
      <c r="G108" s="24"/>
      <c r="H108" s="25"/>
      <c r="I108" s="25"/>
      <c r="J108" s="25"/>
      <c r="K108" s="25"/>
      <c r="L108" s="25"/>
      <c r="M108" s="25"/>
      <c r="N108" s="25"/>
      <c r="O108" s="26">
        <f>IF($B108&lt;&gt;"Challan","",H108+I108+J108+K108+L108+M108)</f>
      </c>
      <c r="P108" s="24"/>
      <c r="Q108" s="24"/>
      <c r="R108" s="24"/>
      <c r="S108" s="24"/>
      <c r="T108" s="24"/>
      <c r="U108" s="27"/>
      <c r="V108" s="27"/>
      <c r="W108" s="27"/>
      <c r="X108" s="27"/>
      <c r="Y108" s="27"/>
      <c r="Z108" s="28">
        <f>IFERROR(IF($B108&lt;&gt;"Entry","",IF(W108="Y",SUMPRODUCT(('Rate Master'!$D$2:$D$50=(Y108&amp;"|"&amp;$B$2))*'Rate Master'!$I$2:$I$50),IF(OR(X108="Individual",X108="HUF"),SUMPRODUCT(('Rate Master'!$D$2:$D$50=(Y108&amp;"|"&amp;$B$2))*'Rate Master'!$G$2:$G$50),SUMPRODUCT(('Rate Master'!$D$2:$D$50=(Y108&amp;"|"&amp;$B$2))*'Rate Master'!$H$2:$H$50)))),"")</f>
      </c>
      <c r="AA108" s="26">
        <f>IFERROR(IF($B108&lt;&gt;"Entry","",IF(OR(X108="Individual",X108="HUF"),SUMPRODUCT(('Rate Master'!$D$2:$D$50=(Y108&amp;"|"&amp;$B$2))*'Rate Master'!$E$2:$E$50),SUMPRODUCT(('Rate Master'!$D$2:$D$50=(Y108&amp;"|"&amp;$B$2))*'Rate Master'!$F$2:$F$50))),"")</f>
      </c>
      <c r="AB108" s="29"/>
      <c r="AC108" s="30"/>
      <c r="AD108" s="31"/>
      <c r="AE108" s="26">
        <f>IF($B108&lt;&gt;"Entry","",ROUND(AD108*AB108/100,0))</f>
      </c>
      <c r="AF108" s="31"/>
      <c r="AG108" s="31"/>
      <c r="AH108" s="26">
        <f>IF($B108&lt;&gt;"Entry","",IF(OR(AE108=0,AC108="",AS108="",AS108&lt;=0),0,IF(AS108&lt;=DATE(YEAR(AC108),MONTH(AC108)+1,7),0,ROUND(AE108*0.015*((YEAR(AS108)-YEAR(AC108))*12+(MONTH(AS108)-MONTH(AC108))+1),0))))</f>
      </c>
      <c r="AI108" s="31"/>
      <c r="AJ108" s="27"/>
      <c r="AK108" s="27"/>
      <c r="AL108" s="29"/>
      <c r="AM108" s="27"/>
      <c r="AN108" s="27"/>
      <c r="AO108" s="26">
        <f>IF($B108&lt;&gt;"Challan","",SUMIF($C$8:$C$207,$C108,$AE$8:$AE$207)+SUMIF($C$8:$C$207,$C108,$AH$8:$AH$207)+SUMIF($C$8:$C$207,$C108,$AF$8:$AF$207))</f>
      </c>
      <c r="AP108" s="26">
        <f>IF($B108&lt;&gt;"Challan","",O108-M108)</f>
      </c>
      <c r="AQ108" s="26">
        <f>IF($B108&lt;&gt;"Challan","",MAX(0,AP108-AO108))</f>
      </c>
      <c r="AR108" s="32">
        <f>IF($B108&lt;&gt;"Challan","",IF(ROUND(AO108-AP108,2)&gt;0,"Over-applied",IF(ROUND(AO108-AP108,2)=0,"Fully Utilised","Unconsumed")))</f>
      </c>
      <c r="AS108" s="33">
        <f>IF($B108&lt;&gt;"Entry","",SUMPRODUCT(($C$8:$C$207=$C108)*($B$8:$B$207="Challan")*$F$8:$F$207))</f>
      </c>
    </row>
    <row r="109" spans="1:45" x14ac:dyDescent="0.25">
      <c r="A109" s="19">
        <f>IF($B109="Entry",COUNTIF($B$8:$B109,"Entry"),"")</f>
      </c>
      <c r="B109" s="20"/>
      <c r="C109" s="21"/>
      <c r="D109" s="22"/>
      <c r="E109" s="22"/>
      <c r="F109" s="23"/>
      <c r="G109" s="24"/>
      <c r="H109" s="25"/>
      <c r="I109" s="25"/>
      <c r="J109" s="25"/>
      <c r="K109" s="25"/>
      <c r="L109" s="25"/>
      <c r="M109" s="25"/>
      <c r="N109" s="25"/>
      <c r="O109" s="26">
        <f>IF($B109&lt;&gt;"Challan","",H109+I109+J109+K109+L109+M109)</f>
      </c>
      <c r="P109" s="24"/>
      <c r="Q109" s="24"/>
      <c r="R109" s="24"/>
      <c r="S109" s="24"/>
      <c r="T109" s="24"/>
      <c r="U109" s="27"/>
      <c r="V109" s="27"/>
      <c r="W109" s="27"/>
      <c r="X109" s="27"/>
      <c r="Y109" s="27"/>
      <c r="Z109" s="28">
        <f>IFERROR(IF($B109&lt;&gt;"Entry","",IF(W109="Y",SUMPRODUCT(('Rate Master'!$D$2:$D$50=(Y109&amp;"|"&amp;$B$2))*'Rate Master'!$I$2:$I$50),IF(OR(X109="Individual",X109="HUF"),SUMPRODUCT(('Rate Master'!$D$2:$D$50=(Y109&amp;"|"&amp;$B$2))*'Rate Master'!$G$2:$G$50),SUMPRODUCT(('Rate Master'!$D$2:$D$50=(Y109&amp;"|"&amp;$B$2))*'Rate Master'!$H$2:$H$50)))),"")</f>
      </c>
      <c r="AA109" s="26">
        <f>IFERROR(IF($B109&lt;&gt;"Entry","",IF(OR(X109="Individual",X109="HUF"),SUMPRODUCT(('Rate Master'!$D$2:$D$50=(Y109&amp;"|"&amp;$B$2))*'Rate Master'!$E$2:$E$50),SUMPRODUCT(('Rate Master'!$D$2:$D$50=(Y109&amp;"|"&amp;$B$2))*'Rate Master'!$F$2:$F$50))),"")</f>
      </c>
      <c r="AB109" s="29"/>
      <c r="AC109" s="30"/>
      <c r="AD109" s="31"/>
      <c r="AE109" s="26">
        <f>IF($B109&lt;&gt;"Entry","",ROUND(AD109*AB109/100,0))</f>
      </c>
      <c r="AF109" s="31"/>
      <c r="AG109" s="31"/>
      <c r="AH109" s="26">
        <f>IF($B109&lt;&gt;"Entry","",IF(OR(AE109=0,AC109="",AS109="",AS109&lt;=0),0,IF(AS109&lt;=DATE(YEAR(AC109),MONTH(AC109)+1,7),0,ROUND(AE109*0.015*((YEAR(AS109)-YEAR(AC109))*12+(MONTH(AS109)-MONTH(AC109))+1),0))))</f>
      </c>
      <c r="AI109" s="31"/>
      <c r="AJ109" s="27"/>
      <c r="AK109" s="27"/>
      <c r="AL109" s="29"/>
      <c r="AM109" s="27"/>
      <c r="AN109" s="27"/>
      <c r="AO109" s="26">
        <f>IF($B109&lt;&gt;"Challan","",SUMIF($C$8:$C$207,$C109,$AE$8:$AE$207)+SUMIF($C$8:$C$207,$C109,$AH$8:$AH$207)+SUMIF($C$8:$C$207,$C109,$AF$8:$AF$207))</f>
      </c>
      <c r="AP109" s="26">
        <f>IF($B109&lt;&gt;"Challan","",O109-M109)</f>
      </c>
      <c r="AQ109" s="26">
        <f>IF($B109&lt;&gt;"Challan","",MAX(0,AP109-AO109))</f>
      </c>
      <c r="AR109" s="32">
        <f>IF($B109&lt;&gt;"Challan","",IF(ROUND(AO109-AP109,2)&gt;0,"Over-applied",IF(ROUND(AO109-AP109,2)=0,"Fully Utilised","Unconsumed")))</f>
      </c>
      <c r="AS109" s="33">
        <f>IF($B109&lt;&gt;"Entry","",SUMPRODUCT(($C$8:$C$207=$C109)*($B$8:$B$207="Challan")*$F$8:$F$207))</f>
      </c>
    </row>
    <row r="110" spans="1:45" x14ac:dyDescent="0.25">
      <c r="A110" s="19">
        <f>IF($B110="Entry",COUNTIF($B$8:$B110,"Entry"),"")</f>
      </c>
      <c r="B110" s="20"/>
      <c r="C110" s="21"/>
      <c r="D110" s="22"/>
      <c r="E110" s="22"/>
      <c r="F110" s="23"/>
      <c r="G110" s="24"/>
      <c r="H110" s="25"/>
      <c r="I110" s="25"/>
      <c r="J110" s="25"/>
      <c r="K110" s="25"/>
      <c r="L110" s="25"/>
      <c r="M110" s="25"/>
      <c r="N110" s="25"/>
      <c r="O110" s="26">
        <f>IF($B110&lt;&gt;"Challan","",H110+I110+J110+K110+L110+M110)</f>
      </c>
      <c r="P110" s="24"/>
      <c r="Q110" s="24"/>
      <c r="R110" s="24"/>
      <c r="S110" s="24"/>
      <c r="T110" s="24"/>
      <c r="U110" s="27"/>
      <c r="V110" s="27"/>
      <c r="W110" s="27"/>
      <c r="X110" s="27"/>
      <c r="Y110" s="27"/>
      <c r="Z110" s="28">
        <f>IFERROR(IF($B110&lt;&gt;"Entry","",IF(W110="Y",SUMPRODUCT(('Rate Master'!$D$2:$D$50=(Y110&amp;"|"&amp;$B$2))*'Rate Master'!$I$2:$I$50),IF(OR(X110="Individual",X110="HUF"),SUMPRODUCT(('Rate Master'!$D$2:$D$50=(Y110&amp;"|"&amp;$B$2))*'Rate Master'!$G$2:$G$50),SUMPRODUCT(('Rate Master'!$D$2:$D$50=(Y110&amp;"|"&amp;$B$2))*'Rate Master'!$H$2:$H$50)))),"")</f>
      </c>
      <c r="AA110" s="26">
        <f>IFERROR(IF($B110&lt;&gt;"Entry","",IF(OR(X110="Individual",X110="HUF"),SUMPRODUCT(('Rate Master'!$D$2:$D$50=(Y110&amp;"|"&amp;$B$2))*'Rate Master'!$E$2:$E$50),SUMPRODUCT(('Rate Master'!$D$2:$D$50=(Y110&amp;"|"&amp;$B$2))*'Rate Master'!$F$2:$F$50))),"")</f>
      </c>
      <c r="AB110" s="29"/>
      <c r="AC110" s="30"/>
      <c r="AD110" s="31"/>
      <c r="AE110" s="26">
        <f>IF($B110&lt;&gt;"Entry","",ROUND(AD110*AB110/100,0))</f>
      </c>
      <c r="AF110" s="31"/>
      <c r="AG110" s="31"/>
      <c r="AH110" s="26">
        <f>IF($B110&lt;&gt;"Entry","",IF(OR(AE110=0,AC110="",AS110="",AS110&lt;=0),0,IF(AS110&lt;=DATE(YEAR(AC110),MONTH(AC110)+1,7),0,ROUND(AE110*0.015*((YEAR(AS110)-YEAR(AC110))*12+(MONTH(AS110)-MONTH(AC110))+1),0))))</f>
      </c>
      <c r="AI110" s="31"/>
      <c r="AJ110" s="27"/>
      <c r="AK110" s="27"/>
      <c r="AL110" s="29"/>
      <c r="AM110" s="27"/>
      <c r="AN110" s="27"/>
      <c r="AO110" s="26">
        <f>IF($B110&lt;&gt;"Challan","",SUMIF($C$8:$C$207,$C110,$AE$8:$AE$207)+SUMIF($C$8:$C$207,$C110,$AH$8:$AH$207)+SUMIF($C$8:$C$207,$C110,$AF$8:$AF$207))</f>
      </c>
      <c r="AP110" s="26">
        <f>IF($B110&lt;&gt;"Challan","",O110-M110)</f>
      </c>
      <c r="AQ110" s="26">
        <f>IF($B110&lt;&gt;"Challan","",MAX(0,AP110-AO110))</f>
      </c>
      <c r="AR110" s="32">
        <f>IF($B110&lt;&gt;"Challan","",IF(ROUND(AO110-AP110,2)&gt;0,"Over-applied",IF(ROUND(AO110-AP110,2)=0,"Fully Utilised","Unconsumed")))</f>
      </c>
      <c r="AS110" s="33">
        <f>IF($B110&lt;&gt;"Entry","",SUMPRODUCT(($C$8:$C$207=$C110)*($B$8:$B$207="Challan")*$F$8:$F$207))</f>
      </c>
    </row>
    <row r="111" spans="1:45" x14ac:dyDescent="0.25">
      <c r="A111" s="19">
        <f>IF($B111="Entry",COUNTIF($B$8:$B111,"Entry"),"")</f>
      </c>
      <c r="B111" s="20"/>
      <c r="C111" s="21"/>
      <c r="D111" s="22"/>
      <c r="E111" s="22"/>
      <c r="F111" s="23"/>
      <c r="G111" s="24"/>
      <c r="H111" s="25"/>
      <c r="I111" s="25"/>
      <c r="J111" s="25"/>
      <c r="K111" s="25"/>
      <c r="L111" s="25"/>
      <c r="M111" s="25"/>
      <c r="N111" s="25"/>
      <c r="O111" s="26">
        <f>IF($B111&lt;&gt;"Challan","",H111+I111+J111+K111+L111+M111)</f>
      </c>
      <c r="P111" s="24"/>
      <c r="Q111" s="24"/>
      <c r="R111" s="24"/>
      <c r="S111" s="24"/>
      <c r="T111" s="24"/>
      <c r="U111" s="27"/>
      <c r="V111" s="27"/>
      <c r="W111" s="27"/>
      <c r="X111" s="27"/>
      <c r="Y111" s="27"/>
      <c r="Z111" s="28">
        <f>IFERROR(IF($B111&lt;&gt;"Entry","",IF(W111="Y",SUMPRODUCT(('Rate Master'!$D$2:$D$50=(Y111&amp;"|"&amp;$B$2))*'Rate Master'!$I$2:$I$50),IF(OR(X111="Individual",X111="HUF"),SUMPRODUCT(('Rate Master'!$D$2:$D$50=(Y111&amp;"|"&amp;$B$2))*'Rate Master'!$G$2:$G$50),SUMPRODUCT(('Rate Master'!$D$2:$D$50=(Y111&amp;"|"&amp;$B$2))*'Rate Master'!$H$2:$H$50)))),"")</f>
      </c>
      <c r="AA111" s="26">
        <f>IFERROR(IF($B111&lt;&gt;"Entry","",IF(OR(X111="Individual",X111="HUF"),SUMPRODUCT(('Rate Master'!$D$2:$D$50=(Y111&amp;"|"&amp;$B$2))*'Rate Master'!$E$2:$E$50),SUMPRODUCT(('Rate Master'!$D$2:$D$50=(Y111&amp;"|"&amp;$B$2))*'Rate Master'!$F$2:$F$50))),"")</f>
      </c>
      <c r="AB111" s="29"/>
      <c r="AC111" s="30"/>
      <c r="AD111" s="31"/>
      <c r="AE111" s="26">
        <f>IF($B111&lt;&gt;"Entry","",ROUND(AD111*AB111/100,0))</f>
      </c>
      <c r="AF111" s="31"/>
      <c r="AG111" s="31"/>
      <c r="AH111" s="26">
        <f>IF($B111&lt;&gt;"Entry","",IF(OR(AE111=0,AC111="",AS111="",AS111&lt;=0),0,IF(AS111&lt;=DATE(YEAR(AC111),MONTH(AC111)+1,7),0,ROUND(AE111*0.015*((YEAR(AS111)-YEAR(AC111))*12+(MONTH(AS111)-MONTH(AC111))+1),0))))</f>
      </c>
      <c r="AI111" s="31"/>
      <c r="AJ111" s="27"/>
      <c r="AK111" s="27"/>
      <c r="AL111" s="29"/>
      <c r="AM111" s="27"/>
      <c r="AN111" s="27"/>
      <c r="AO111" s="26">
        <f>IF($B111&lt;&gt;"Challan","",SUMIF($C$8:$C$207,$C111,$AE$8:$AE$207)+SUMIF($C$8:$C$207,$C111,$AH$8:$AH$207)+SUMIF($C$8:$C$207,$C111,$AF$8:$AF$207))</f>
      </c>
      <c r="AP111" s="26">
        <f>IF($B111&lt;&gt;"Challan","",O111-M111)</f>
      </c>
      <c r="AQ111" s="26">
        <f>IF($B111&lt;&gt;"Challan","",MAX(0,AP111-AO111))</f>
      </c>
      <c r="AR111" s="32">
        <f>IF($B111&lt;&gt;"Challan","",IF(ROUND(AO111-AP111,2)&gt;0,"Over-applied",IF(ROUND(AO111-AP111,2)=0,"Fully Utilised","Unconsumed")))</f>
      </c>
      <c r="AS111" s="33">
        <f>IF($B111&lt;&gt;"Entry","",SUMPRODUCT(($C$8:$C$207=$C111)*($B$8:$B$207="Challan")*$F$8:$F$207))</f>
      </c>
    </row>
    <row r="112" spans="1:45" x14ac:dyDescent="0.25">
      <c r="A112" s="19">
        <f>IF($B112="Entry",COUNTIF($B$8:$B112,"Entry"),"")</f>
      </c>
      <c r="B112" s="20"/>
      <c r="C112" s="21"/>
      <c r="D112" s="22"/>
      <c r="E112" s="22"/>
      <c r="F112" s="23"/>
      <c r="G112" s="24"/>
      <c r="H112" s="25"/>
      <c r="I112" s="25"/>
      <c r="J112" s="25"/>
      <c r="K112" s="25"/>
      <c r="L112" s="25"/>
      <c r="M112" s="25"/>
      <c r="N112" s="25"/>
      <c r="O112" s="26">
        <f>IF($B112&lt;&gt;"Challan","",H112+I112+J112+K112+L112+M112)</f>
      </c>
      <c r="P112" s="24"/>
      <c r="Q112" s="24"/>
      <c r="R112" s="24"/>
      <c r="S112" s="24"/>
      <c r="T112" s="24"/>
      <c r="U112" s="27"/>
      <c r="V112" s="27"/>
      <c r="W112" s="27"/>
      <c r="X112" s="27"/>
      <c r="Y112" s="27"/>
      <c r="Z112" s="28">
        <f>IFERROR(IF($B112&lt;&gt;"Entry","",IF(W112="Y",SUMPRODUCT(('Rate Master'!$D$2:$D$50=(Y112&amp;"|"&amp;$B$2))*'Rate Master'!$I$2:$I$50),IF(OR(X112="Individual",X112="HUF"),SUMPRODUCT(('Rate Master'!$D$2:$D$50=(Y112&amp;"|"&amp;$B$2))*'Rate Master'!$G$2:$G$50),SUMPRODUCT(('Rate Master'!$D$2:$D$50=(Y112&amp;"|"&amp;$B$2))*'Rate Master'!$H$2:$H$50)))),"")</f>
      </c>
      <c r="AA112" s="26">
        <f>IFERROR(IF($B112&lt;&gt;"Entry","",IF(OR(X112="Individual",X112="HUF"),SUMPRODUCT(('Rate Master'!$D$2:$D$50=(Y112&amp;"|"&amp;$B$2))*'Rate Master'!$E$2:$E$50),SUMPRODUCT(('Rate Master'!$D$2:$D$50=(Y112&amp;"|"&amp;$B$2))*'Rate Master'!$F$2:$F$50))),"")</f>
      </c>
      <c r="AB112" s="29"/>
      <c r="AC112" s="30"/>
      <c r="AD112" s="31"/>
      <c r="AE112" s="26">
        <f>IF($B112&lt;&gt;"Entry","",ROUND(AD112*AB112/100,0))</f>
      </c>
      <c r="AF112" s="31"/>
      <c r="AG112" s="31"/>
      <c r="AH112" s="26">
        <f>IF($B112&lt;&gt;"Entry","",IF(OR(AE112=0,AC112="",AS112="",AS112&lt;=0),0,IF(AS112&lt;=DATE(YEAR(AC112),MONTH(AC112)+1,7),0,ROUND(AE112*0.015*((YEAR(AS112)-YEAR(AC112))*12+(MONTH(AS112)-MONTH(AC112))+1),0))))</f>
      </c>
      <c r="AI112" s="31"/>
      <c r="AJ112" s="27"/>
      <c r="AK112" s="27"/>
      <c r="AL112" s="29"/>
      <c r="AM112" s="27"/>
      <c r="AN112" s="27"/>
      <c r="AO112" s="26">
        <f>IF($B112&lt;&gt;"Challan","",SUMIF($C$8:$C$207,$C112,$AE$8:$AE$207)+SUMIF($C$8:$C$207,$C112,$AH$8:$AH$207)+SUMIF($C$8:$C$207,$C112,$AF$8:$AF$207))</f>
      </c>
      <c r="AP112" s="26">
        <f>IF($B112&lt;&gt;"Challan","",O112-M112)</f>
      </c>
      <c r="AQ112" s="26">
        <f>IF($B112&lt;&gt;"Challan","",MAX(0,AP112-AO112))</f>
      </c>
      <c r="AR112" s="32">
        <f>IF($B112&lt;&gt;"Challan","",IF(ROUND(AO112-AP112,2)&gt;0,"Over-applied",IF(ROUND(AO112-AP112,2)=0,"Fully Utilised","Unconsumed")))</f>
      </c>
      <c r="AS112" s="33">
        <f>IF($B112&lt;&gt;"Entry","",SUMPRODUCT(($C$8:$C$207=$C112)*($B$8:$B$207="Challan")*$F$8:$F$207))</f>
      </c>
    </row>
    <row r="113" spans="1:45" x14ac:dyDescent="0.25">
      <c r="A113" s="19">
        <f>IF($B113="Entry",COUNTIF($B$8:$B113,"Entry"),"")</f>
      </c>
      <c r="B113" s="20"/>
      <c r="C113" s="21"/>
      <c r="D113" s="22"/>
      <c r="E113" s="22"/>
      <c r="F113" s="23"/>
      <c r="G113" s="24"/>
      <c r="H113" s="25"/>
      <c r="I113" s="25"/>
      <c r="J113" s="25"/>
      <c r="K113" s="25"/>
      <c r="L113" s="25"/>
      <c r="M113" s="25"/>
      <c r="N113" s="25"/>
      <c r="O113" s="26">
        <f>IF($B113&lt;&gt;"Challan","",H113+I113+J113+K113+L113+M113)</f>
      </c>
      <c r="P113" s="24"/>
      <c r="Q113" s="24"/>
      <c r="R113" s="24"/>
      <c r="S113" s="24"/>
      <c r="T113" s="24"/>
      <c r="U113" s="27"/>
      <c r="V113" s="27"/>
      <c r="W113" s="27"/>
      <c r="X113" s="27"/>
      <c r="Y113" s="27"/>
      <c r="Z113" s="28">
        <f>IFERROR(IF($B113&lt;&gt;"Entry","",IF(W113="Y",SUMPRODUCT(('Rate Master'!$D$2:$D$50=(Y113&amp;"|"&amp;$B$2))*'Rate Master'!$I$2:$I$50),IF(OR(X113="Individual",X113="HUF"),SUMPRODUCT(('Rate Master'!$D$2:$D$50=(Y113&amp;"|"&amp;$B$2))*'Rate Master'!$G$2:$G$50),SUMPRODUCT(('Rate Master'!$D$2:$D$50=(Y113&amp;"|"&amp;$B$2))*'Rate Master'!$H$2:$H$50)))),"")</f>
      </c>
      <c r="AA113" s="26">
        <f>IFERROR(IF($B113&lt;&gt;"Entry","",IF(OR(X113="Individual",X113="HUF"),SUMPRODUCT(('Rate Master'!$D$2:$D$50=(Y113&amp;"|"&amp;$B$2))*'Rate Master'!$E$2:$E$50),SUMPRODUCT(('Rate Master'!$D$2:$D$50=(Y113&amp;"|"&amp;$B$2))*'Rate Master'!$F$2:$F$50))),"")</f>
      </c>
      <c r="AB113" s="29"/>
      <c r="AC113" s="30"/>
      <c r="AD113" s="31"/>
      <c r="AE113" s="26">
        <f>IF($B113&lt;&gt;"Entry","",ROUND(AD113*AB113/100,0))</f>
      </c>
      <c r="AF113" s="31"/>
      <c r="AG113" s="31"/>
      <c r="AH113" s="26">
        <f>IF($B113&lt;&gt;"Entry","",IF(OR(AE113=0,AC113="",AS113="",AS113&lt;=0),0,IF(AS113&lt;=DATE(YEAR(AC113),MONTH(AC113)+1,7),0,ROUND(AE113*0.015*((YEAR(AS113)-YEAR(AC113))*12+(MONTH(AS113)-MONTH(AC113))+1),0))))</f>
      </c>
      <c r="AI113" s="31"/>
      <c r="AJ113" s="27"/>
      <c r="AK113" s="27"/>
      <c r="AL113" s="29"/>
      <c r="AM113" s="27"/>
      <c r="AN113" s="27"/>
      <c r="AO113" s="26">
        <f>IF($B113&lt;&gt;"Challan","",SUMIF($C$8:$C$207,$C113,$AE$8:$AE$207)+SUMIF($C$8:$C$207,$C113,$AH$8:$AH$207)+SUMIF($C$8:$C$207,$C113,$AF$8:$AF$207))</f>
      </c>
      <c r="AP113" s="26">
        <f>IF($B113&lt;&gt;"Challan","",O113-M113)</f>
      </c>
      <c r="AQ113" s="26">
        <f>IF($B113&lt;&gt;"Challan","",MAX(0,AP113-AO113))</f>
      </c>
      <c r="AR113" s="32">
        <f>IF($B113&lt;&gt;"Challan","",IF(ROUND(AO113-AP113,2)&gt;0,"Over-applied",IF(ROUND(AO113-AP113,2)=0,"Fully Utilised","Unconsumed")))</f>
      </c>
      <c r="AS113" s="33">
        <f>IF($B113&lt;&gt;"Entry","",SUMPRODUCT(($C$8:$C$207=$C113)*($B$8:$B$207="Challan")*$F$8:$F$207))</f>
      </c>
    </row>
    <row r="114" spans="1:45" x14ac:dyDescent="0.25">
      <c r="A114" s="19">
        <f>IF($B114="Entry",COUNTIF($B$8:$B114,"Entry"),"")</f>
      </c>
      <c r="B114" s="20"/>
      <c r="C114" s="21"/>
      <c r="D114" s="22"/>
      <c r="E114" s="22"/>
      <c r="F114" s="23"/>
      <c r="G114" s="24"/>
      <c r="H114" s="25"/>
      <c r="I114" s="25"/>
      <c r="J114" s="25"/>
      <c r="K114" s="25"/>
      <c r="L114" s="25"/>
      <c r="M114" s="25"/>
      <c r="N114" s="25"/>
      <c r="O114" s="26">
        <f>IF($B114&lt;&gt;"Challan","",H114+I114+J114+K114+L114+M114)</f>
      </c>
      <c r="P114" s="24"/>
      <c r="Q114" s="24"/>
      <c r="R114" s="24"/>
      <c r="S114" s="24"/>
      <c r="T114" s="24"/>
      <c r="U114" s="27"/>
      <c r="V114" s="27"/>
      <c r="W114" s="27"/>
      <c r="X114" s="27"/>
      <c r="Y114" s="27"/>
      <c r="Z114" s="28">
        <f>IFERROR(IF($B114&lt;&gt;"Entry","",IF(W114="Y",SUMPRODUCT(('Rate Master'!$D$2:$D$50=(Y114&amp;"|"&amp;$B$2))*'Rate Master'!$I$2:$I$50),IF(OR(X114="Individual",X114="HUF"),SUMPRODUCT(('Rate Master'!$D$2:$D$50=(Y114&amp;"|"&amp;$B$2))*'Rate Master'!$G$2:$G$50),SUMPRODUCT(('Rate Master'!$D$2:$D$50=(Y114&amp;"|"&amp;$B$2))*'Rate Master'!$H$2:$H$50)))),"")</f>
      </c>
      <c r="AA114" s="26">
        <f>IFERROR(IF($B114&lt;&gt;"Entry","",IF(OR(X114="Individual",X114="HUF"),SUMPRODUCT(('Rate Master'!$D$2:$D$50=(Y114&amp;"|"&amp;$B$2))*'Rate Master'!$E$2:$E$50),SUMPRODUCT(('Rate Master'!$D$2:$D$50=(Y114&amp;"|"&amp;$B$2))*'Rate Master'!$F$2:$F$50))),"")</f>
      </c>
      <c r="AB114" s="29"/>
      <c r="AC114" s="30"/>
      <c r="AD114" s="31"/>
      <c r="AE114" s="26">
        <f>IF($B114&lt;&gt;"Entry","",ROUND(AD114*AB114/100,0))</f>
      </c>
      <c r="AF114" s="31"/>
      <c r="AG114" s="31"/>
      <c r="AH114" s="26">
        <f>IF($B114&lt;&gt;"Entry","",IF(OR(AE114=0,AC114="",AS114="",AS114&lt;=0),0,IF(AS114&lt;=DATE(YEAR(AC114),MONTH(AC114)+1,7),0,ROUND(AE114*0.015*((YEAR(AS114)-YEAR(AC114))*12+(MONTH(AS114)-MONTH(AC114))+1),0))))</f>
      </c>
      <c r="AI114" s="31"/>
      <c r="AJ114" s="27"/>
      <c r="AK114" s="27"/>
      <c r="AL114" s="29"/>
      <c r="AM114" s="27"/>
      <c r="AN114" s="27"/>
      <c r="AO114" s="26">
        <f>IF($B114&lt;&gt;"Challan","",SUMIF($C$8:$C$207,$C114,$AE$8:$AE$207)+SUMIF($C$8:$C$207,$C114,$AH$8:$AH$207)+SUMIF($C$8:$C$207,$C114,$AF$8:$AF$207))</f>
      </c>
      <c r="AP114" s="26">
        <f>IF($B114&lt;&gt;"Challan","",O114-M114)</f>
      </c>
      <c r="AQ114" s="26">
        <f>IF($B114&lt;&gt;"Challan","",MAX(0,AP114-AO114))</f>
      </c>
      <c r="AR114" s="32">
        <f>IF($B114&lt;&gt;"Challan","",IF(ROUND(AO114-AP114,2)&gt;0,"Over-applied",IF(ROUND(AO114-AP114,2)=0,"Fully Utilised","Unconsumed")))</f>
      </c>
      <c r="AS114" s="33">
        <f>IF($B114&lt;&gt;"Entry","",SUMPRODUCT(($C$8:$C$207=$C114)*($B$8:$B$207="Challan")*$F$8:$F$207))</f>
      </c>
    </row>
    <row r="115" spans="1:45" x14ac:dyDescent="0.25">
      <c r="A115" s="19">
        <f>IF($B115="Entry",COUNTIF($B$8:$B115,"Entry"),"")</f>
      </c>
      <c r="B115" s="20"/>
      <c r="C115" s="21"/>
      <c r="D115" s="22"/>
      <c r="E115" s="22"/>
      <c r="F115" s="23"/>
      <c r="G115" s="24"/>
      <c r="H115" s="25"/>
      <c r="I115" s="25"/>
      <c r="J115" s="25"/>
      <c r="K115" s="25"/>
      <c r="L115" s="25"/>
      <c r="M115" s="25"/>
      <c r="N115" s="25"/>
      <c r="O115" s="26">
        <f>IF($B115&lt;&gt;"Challan","",H115+I115+J115+K115+L115+M115)</f>
      </c>
      <c r="P115" s="24"/>
      <c r="Q115" s="24"/>
      <c r="R115" s="24"/>
      <c r="S115" s="24"/>
      <c r="T115" s="24"/>
      <c r="U115" s="27"/>
      <c r="V115" s="27"/>
      <c r="W115" s="27"/>
      <c r="X115" s="27"/>
      <c r="Y115" s="27"/>
      <c r="Z115" s="28">
        <f>IFERROR(IF($B115&lt;&gt;"Entry","",IF(W115="Y",SUMPRODUCT(('Rate Master'!$D$2:$D$50=(Y115&amp;"|"&amp;$B$2))*'Rate Master'!$I$2:$I$50),IF(OR(X115="Individual",X115="HUF"),SUMPRODUCT(('Rate Master'!$D$2:$D$50=(Y115&amp;"|"&amp;$B$2))*'Rate Master'!$G$2:$G$50),SUMPRODUCT(('Rate Master'!$D$2:$D$50=(Y115&amp;"|"&amp;$B$2))*'Rate Master'!$H$2:$H$50)))),"")</f>
      </c>
      <c r="AA115" s="26">
        <f>IFERROR(IF($B115&lt;&gt;"Entry","",IF(OR(X115="Individual",X115="HUF"),SUMPRODUCT(('Rate Master'!$D$2:$D$50=(Y115&amp;"|"&amp;$B$2))*'Rate Master'!$E$2:$E$50),SUMPRODUCT(('Rate Master'!$D$2:$D$50=(Y115&amp;"|"&amp;$B$2))*'Rate Master'!$F$2:$F$50))),"")</f>
      </c>
      <c r="AB115" s="29"/>
      <c r="AC115" s="30"/>
      <c r="AD115" s="31"/>
      <c r="AE115" s="26">
        <f>IF($B115&lt;&gt;"Entry","",ROUND(AD115*AB115/100,0))</f>
      </c>
      <c r="AF115" s="31"/>
      <c r="AG115" s="31"/>
      <c r="AH115" s="26">
        <f>IF($B115&lt;&gt;"Entry","",IF(OR(AE115=0,AC115="",AS115="",AS115&lt;=0),0,IF(AS115&lt;=DATE(YEAR(AC115),MONTH(AC115)+1,7),0,ROUND(AE115*0.015*((YEAR(AS115)-YEAR(AC115))*12+(MONTH(AS115)-MONTH(AC115))+1),0))))</f>
      </c>
      <c r="AI115" s="31"/>
      <c r="AJ115" s="27"/>
      <c r="AK115" s="27"/>
      <c r="AL115" s="29"/>
      <c r="AM115" s="27"/>
      <c r="AN115" s="27"/>
      <c r="AO115" s="26">
        <f>IF($B115&lt;&gt;"Challan","",SUMIF($C$8:$C$207,$C115,$AE$8:$AE$207)+SUMIF($C$8:$C$207,$C115,$AH$8:$AH$207)+SUMIF($C$8:$C$207,$C115,$AF$8:$AF$207))</f>
      </c>
      <c r="AP115" s="26">
        <f>IF($B115&lt;&gt;"Challan","",O115-M115)</f>
      </c>
      <c r="AQ115" s="26">
        <f>IF($B115&lt;&gt;"Challan","",MAX(0,AP115-AO115))</f>
      </c>
      <c r="AR115" s="32">
        <f>IF($B115&lt;&gt;"Challan","",IF(ROUND(AO115-AP115,2)&gt;0,"Over-applied",IF(ROUND(AO115-AP115,2)=0,"Fully Utilised","Unconsumed")))</f>
      </c>
      <c r="AS115" s="33">
        <f>IF($B115&lt;&gt;"Entry","",SUMPRODUCT(($C$8:$C$207=$C115)*($B$8:$B$207="Challan")*$F$8:$F$207))</f>
      </c>
    </row>
    <row r="116" spans="1:45" x14ac:dyDescent="0.25">
      <c r="A116" s="19">
        <f>IF($B116="Entry",COUNTIF($B$8:$B116,"Entry"),"")</f>
      </c>
      <c r="B116" s="20"/>
      <c r="C116" s="21"/>
      <c r="D116" s="22"/>
      <c r="E116" s="22"/>
      <c r="F116" s="23"/>
      <c r="G116" s="24"/>
      <c r="H116" s="25"/>
      <c r="I116" s="25"/>
      <c r="J116" s="25"/>
      <c r="K116" s="25"/>
      <c r="L116" s="25"/>
      <c r="M116" s="25"/>
      <c r="N116" s="25"/>
      <c r="O116" s="26">
        <f>IF($B116&lt;&gt;"Challan","",H116+I116+J116+K116+L116+M116)</f>
      </c>
      <c r="P116" s="24"/>
      <c r="Q116" s="24"/>
      <c r="R116" s="24"/>
      <c r="S116" s="24"/>
      <c r="T116" s="24"/>
      <c r="U116" s="27"/>
      <c r="V116" s="27"/>
      <c r="W116" s="27"/>
      <c r="X116" s="27"/>
      <c r="Y116" s="27"/>
      <c r="Z116" s="28">
        <f>IFERROR(IF($B116&lt;&gt;"Entry","",IF(W116="Y",SUMPRODUCT(('Rate Master'!$D$2:$D$50=(Y116&amp;"|"&amp;$B$2))*'Rate Master'!$I$2:$I$50),IF(OR(X116="Individual",X116="HUF"),SUMPRODUCT(('Rate Master'!$D$2:$D$50=(Y116&amp;"|"&amp;$B$2))*'Rate Master'!$G$2:$G$50),SUMPRODUCT(('Rate Master'!$D$2:$D$50=(Y116&amp;"|"&amp;$B$2))*'Rate Master'!$H$2:$H$50)))),"")</f>
      </c>
      <c r="AA116" s="26">
        <f>IFERROR(IF($B116&lt;&gt;"Entry","",IF(OR(X116="Individual",X116="HUF"),SUMPRODUCT(('Rate Master'!$D$2:$D$50=(Y116&amp;"|"&amp;$B$2))*'Rate Master'!$E$2:$E$50),SUMPRODUCT(('Rate Master'!$D$2:$D$50=(Y116&amp;"|"&amp;$B$2))*'Rate Master'!$F$2:$F$50))),"")</f>
      </c>
      <c r="AB116" s="29"/>
      <c r="AC116" s="30"/>
      <c r="AD116" s="31"/>
      <c r="AE116" s="26">
        <f>IF($B116&lt;&gt;"Entry","",ROUND(AD116*AB116/100,0))</f>
      </c>
      <c r="AF116" s="31"/>
      <c r="AG116" s="31"/>
      <c r="AH116" s="26">
        <f>IF($B116&lt;&gt;"Entry","",IF(OR(AE116=0,AC116="",AS116="",AS116&lt;=0),0,IF(AS116&lt;=DATE(YEAR(AC116),MONTH(AC116)+1,7),0,ROUND(AE116*0.015*((YEAR(AS116)-YEAR(AC116))*12+(MONTH(AS116)-MONTH(AC116))+1),0))))</f>
      </c>
      <c r="AI116" s="31"/>
      <c r="AJ116" s="27"/>
      <c r="AK116" s="27"/>
      <c r="AL116" s="29"/>
      <c r="AM116" s="27"/>
      <c r="AN116" s="27"/>
      <c r="AO116" s="26">
        <f>IF($B116&lt;&gt;"Challan","",SUMIF($C$8:$C$207,$C116,$AE$8:$AE$207)+SUMIF($C$8:$C$207,$C116,$AH$8:$AH$207)+SUMIF($C$8:$C$207,$C116,$AF$8:$AF$207))</f>
      </c>
      <c r="AP116" s="26">
        <f>IF($B116&lt;&gt;"Challan","",O116-M116)</f>
      </c>
      <c r="AQ116" s="26">
        <f>IF($B116&lt;&gt;"Challan","",MAX(0,AP116-AO116))</f>
      </c>
      <c r="AR116" s="32">
        <f>IF($B116&lt;&gt;"Challan","",IF(ROUND(AO116-AP116,2)&gt;0,"Over-applied",IF(ROUND(AO116-AP116,2)=0,"Fully Utilised","Unconsumed")))</f>
      </c>
      <c r="AS116" s="33">
        <f>IF($B116&lt;&gt;"Entry","",SUMPRODUCT(($C$8:$C$207=$C116)*($B$8:$B$207="Challan")*$F$8:$F$207))</f>
      </c>
    </row>
    <row r="117" spans="1:45" x14ac:dyDescent="0.25">
      <c r="A117" s="19">
        <f>IF($B117="Entry",COUNTIF($B$8:$B117,"Entry"),"")</f>
      </c>
      <c r="B117" s="20"/>
      <c r="C117" s="21"/>
      <c r="D117" s="22"/>
      <c r="E117" s="22"/>
      <c r="F117" s="23"/>
      <c r="G117" s="24"/>
      <c r="H117" s="25"/>
      <c r="I117" s="25"/>
      <c r="J117" s="25"/>
      <c r="K117" s="25"/>
      <c r="L117" s="25"/>
      <c r="M117" s="25"/>
      <c r="N117" s="25"/>
      <c r="O117" s="26">
        <f>IF($B117&lt;&gt;"Challan","",H117+I117+J117+K117+L117+M117)</f>
      </c>
      <c r="P117" s="24"/>
      <c r="Q117" s="24"/>
      <c r="R117" s="24"/>
      <c r="S117" s="24"/>
      <c r="T117" s="24"/>
      <c r="U117" s="27"/>
      <c r="V117" s="27"/>
      <c r="W117" s="27"/>
      <c r="X117" s="27"/>
      <c r="Y117" s="27"/>
      <c r="Z117" s="28">
        <f>IFERROR(IF($B117&lt;&gt;"Entry","",IF(W117="Y",SUMPRODUCT(('Rate Master'!$D$2:$D$50=(Y117&amp;"|"&amp;$B$2))*'Rate Master'!$I$2:$I$50),IF(OR(X117="Individual",X117="HUF"),SUMPRODUCT(('Rate Master'!$D$2:$D$50=(Y117&amp;"|"&amp;$B$2))*'Rate Master'!$G$2:$G$50),SUMPRODUCT(('Rate Master'!$D$2:$D$50=(Y117&amp;"|"&amp;$B$2))*'Rate Master'!$H$2:$H$50)))),"")</f>
      </c>
      <c r="AA117" s="26">
        <f>IFERROR(IF($B117&lt;&gt;"Entry","",IF(OR(X117="Individual",X117="HUF"),SUMPRODUCT(('Rate Master'!$D$2:$D$50=(Y117&amp;"|"&amp;$B$2))*'Rate Master'!$E$2:$E$50),SUMPRODUCT(('Rate Master'!$D$2:$D$50=(Y117&amp;"|"&amp;$B$2))*'Rate Master'!$F$2:$F$50))),"")</f>
      </c>
      <c r="AB117" s="29"/>
      <c r="AC117" s="30"/>
      <c r="AD117" s="31"/>
      <c r="AE117" s="26">
        <f>IF($B117&lt;&gt;"Entry","",ROUND(AD117*AB117/100,0))</f>
      </c>
      <c r="AF117" s="31"/>
      <c r="AG117" s="31"/>
      <c r="AH117" s="26">
        <f>IF($B117&lt;&gt;"Entry","",IF(OR(AE117=0,AC117="",AS117="",AS117&lt;=0),0,IF(AS117&lt;=DATE(YEAR(AC117),MONTH(AC117)+1,7),0,ROUND(AE117*0.015*((YEAR(AS117)-YEAR(AC117))*12+(MONTH(AS117)-MONTH(AC117))+1),0))))</f>
      </c>
      <c r="AI117" s="31"/>
      <c r="AJ117" s="27"/>
      <c r="AK117" s="27"/>
      <c r="AL117" s="29"/>
      <c r="AM117" s="27"/>
      <c r="AN117" s="27"/>
      <c r="AO117" s="26">
        <f>IF($B117&lt;&gt;"Challan","",SUMIF($C$8:$C$207,$C117,$AE$8:$AE$207)+SUMIF($C$8:$C$207,$C117,$AH$8:$AH$207)+SUMIF($C$8:$C$207,$C117,$AF$8:$AF$207))</f>
      </c>
      <c r="AP117" s="26">
        <f>IF($B117&lt;&gt;"Challan","",O117-M117)</f>
      </c>
      <c r="AQ117" s="26">
        <f>IF($B117&lt;&gt;"Challan","",MAX(0,AP117-AO117))</f>
      </c>
      <c r="AR117" s="32">
        <f>IF($B117&lt;&gt;"Challan","",IF(ROUND(AO117-AP117,2)&gt;0,"Over-applied",IF(ROUND(AO117-AP117,2)=0,"Fully Utilised","Unconsumed")))</f>
      </c>
      <c r="AS117" s="33">
        <f>IF($B117&lt;&gt;"Entry","",SUMPRODUCT(($C$8:$C$207=$C117)*($B$8:$B$207="Challan")*$F$8:$F$207))</f>
      </c>
    </row>
    <row r="118" spans="1:45" x14ac:dyDescent="0.25">
      <c r="A118" s="19">
        <f>IF($B118="Entry",COUNTIF($B$8:$B118,"Entry"),"")</f>
      </c>
      <c r="B118" s="20"/>
      <c r="C118" s="21"/>
      <c r="D118" s="22"/>
      <c r="E118" s="22"/>
      <c r="F118" s="23"/>
      <c r="G118" s="24"/>
      <c r="H118" s="25"/>
      <c r="I118" s="25"/>
      <c r="J118" s="25"/>
      <c r="K118" s="25"/>
      <c r="L118" s="25"/>
      <c r="M118" s="25"/>
      <c r="N118" s="25"/>
      <c r="O118" s="26">
        <f>IF($B118&lt;&gt;"Challan","",H118+I118+J118+K118+L118+M118)</f>
      </c>
      <c r="P118" s="24"/>
      <c r="Q118" s="24"/>
      <c r="R118" s="24"/>
      <c r="S118" s="24"/>
      <c r="T118" s="24"/>
      <c r="U118" s="27"/>
      <c r="V118" s="27"/>
      <c r="W118" s="27"/>
      <c r="X118" s="27"/>
      <c r="Y118" s="27"/>
      <c r="Z118" s="28">
        <f>IFERROR(IF($B118&lt;&gt;"Entry","",IF(W118="Y",SUMPRODUCT(('Rate Master'!$D$2:$D$50=(Y118&amp;"|"&amp;$B$2))*'Rate Master'!$I$2:$I$50),IF(OR(X118="Individual",X118="HUF"),SUMPRODUCT(('Rate Master'!$D$2:$D$50=(Y118&amp;"|"&amp;$B$2))*'Rate Master'!$G$2:$G$50),SUMPRODUCT(('Rate Master'!$D$2:$D$50=(Y118&amp;"|"&amp;$B$2))*'Rate Master'!$H$2:$H$50)))),"")</f>
      </c>
      <c r="AA118" s="26">
        <f>IFERROR(IF($B118&lt;&gt;"Entry","",IF(OR(X118="Individual",X118="HUF"),SUMPRODUCT(('Rate Master'!$D$2:$D$50=(Y118&amp;"|"&amp;$B$2))*'Rate Master'!$E$2:$E$50),SUMPRODUCT(('Rate Master'!$D$2:$D$50=(Y118&amp;"|"&amp;$B$2))*'Rate Master'!$F$2:$F$50))),"")</f>
      </c>
      <c r="AB118" s="29"/>
      <c r="AC118" s="30"/>
      <c r="AD118" s="31"/>
      <c r="AE118" s="26">
        <f>IF($B118&lt;&gt;"Entry","",ROUND(AD118*AB118/100,0))</f>
      </c>
      <c r="AF118" s="31"/>
      <c r="AG118" s="31"/>
      <c r="AH118" s="26">
        <f>IF($B118&lt;&gt;"Entry","",IF(OR(AE118=0,AC118="",AS118="",AS118&lt;=0),0,IF(AS118&lt;=DATE(YEAR(AC118),MONTH(AC118)+1,7),0,ROUND(AE118*0.015*((YEAR(AS118)-YEAR(AC118))*12+(MONTH(AS118)-MONTH(AC118))+1),0))))</f>
      </c>
      <c r="AI118" s="31"/>
      <c r="AJ118" s="27"/>
      <c r="AK118" s="27"/>
      <c r="AL118" s="29"/>
      <c r="AM118" s="27"/>
      <c r="AN118" s="27"/>
      <c r="AO118" s="26">
        <f>IF($B118&lt;&gt;"Challan","",SUMIF($C$8:$C$207,$C118,$AE$8:$AE$207)+SUMIF($C$8:$C$207,$C118,$AH$8:$AH$207)+SUMIF($C$8:$C$207,$C118,$AF$8:$AF$207))</f>
      </c>
      <c r="AP118" s="26">
        <f>IF($B118&lt;&gt;"Challan","",O118-M118)</f>
      </c>
      <c r="AQ118" s="26">
        <f>IF($B118&lt;&gt;"Challan","",MAX(0,AP118-AO118))</f>
      </c>
      <c r="AR118" s="32">
        <f>IF($B118&lt;&gt;"Challan","",IF(ROUND(AO118-AP118,2)&gt;0,"Over-applied",IF(ROUND(AO118-AP118,2)=0,"Fully Utilised","Unconsumed")))</f>
      </c>
      <c r="AS118" s="33">
        <f>IF($B118&lt;&gt;"Entry","",SUMPRODUCT(($C$8:$C$207=$C118)*($B$8:$B$207="Challan")*$F$8:$F$207))</f>
      </c>
    </row>
    <row r="119" spans="1:45" x14ac:dyDescent="0.25">
      <c r="A119" s="19">
        <f>IF($B119="Entry",COUNTIF($B$8:$B119,"Entry"),"")</f>
      </c>
      <c r="B119" s="20"/>
      <c r="C119" s="21"/>
      <c r="D119" s="22"/>
      <c r="E119" s="22"/>
      <c r="F119" s="23"/>
      <c r="G119" s="24"/>
      <c r="H119" s="25"/>
      <c r="I119" s="25"/>
      <c r="J119" s="25"/>
      <c r="K119" s="25"/>
      <c r="L119" s="25"/>
      <c r="M119" s="25"/>
      <c r="N119" s="25"/>
      <c r="O119" s="26">
        <f>IF($B119&lt;&gt;"Challan","",H119+I119+J119+K119+L119+M119)</f>
      </c>
      <c r="P119" s="24"/>
      <c r="Q119" s="24"/>
      <c r="R119" s="24"/>
      <c r="S119" s="24"/>
      <c r="T119" s="24"/>
      <c r="U119" s="27"/>
      <c r="V119" s="27"/>
      <c r="W119" s="27"/>
      <c r="X119" s="27"/>
      <c r="Y119" s="27"/>
      <c r="Z119" s="28">
        <f>IFERROR(IF($B119&lt;&gt;"Entry","",IF(W119="Y",SUMPRODUCT(('Rate Master'!$D$2:$D$50=(Y119&amp;"|"&amp;$B$2))*'Rate Master'!$I$2:$I$50),IF(OR(X119="Individual",X119="HUF"),SUMPRODUCT(('Rate Master'!$D$2:$D$50=(Y119&amp;"|"&amp;$B$2))*'Rate Master'!$G$2:$G$50),SUMPRODUCT(('Rate Master'!$D$2:$D$50=(Y119&amp;"|"&amp;$B$2))*'Rate Master'!$H$2:$H$50)))),"")</f>
      </c>
      <c r="AA119" s="26">
        <f>IFERROR(IF($B119&lt;&gt;"Entry","",IF(OR(X119="Individual",X119="HUF"),SUMPRODUCT(('Rate Master'!$D$2:$D$50=(Y119&amp;"|"&amp;$B$2))*'Rate Master'!$E$2:$E$50),SUMPRODUCT(('Rate Master'!$D$2:$D$50=(Y119&amp;"|"&amp;$B$2))*'Rate Master'!$F$2:$F$50))),"")</f>
      </c>
      <c r="AB119" s="29"/>
      <c r="AC119" s="30"/>
      <c r="AD119" s="31"/>
      <c r="AE119" s="26">
        <f>IF($B119&lt;&gt;"Entry","",ROUND(AD119*AB119/100,0))</f>
      </c>
      <c r="AF119" s="31"/>
      <c r="AG119" s="31"/>
      <c r="AH119" s="26">
        <f>IF($B119&lt;&gt;"Entry","",IF(OR(AE119=0,AC119="",AS119="",AS119&lt;=0),0,IF(AS119&lt;=DATE(YEAR(AC119),MONTH(AC119)+1,7),0,ROUND(AE119*0.015*((YEAR(AS119)-YEAR(AC119))*12+(MONTH(AS119)-MONTH(AC119))+1),0))))</f>
      </c>
      <c r="AI119" s="31"/>
      <c r="AJ119" s="27"/>
      <c r="AK119" s="27"/>
      <c r="AL119" s="29"/>
      <c r="AM119" s="27"/>
      <c r="AN119" s="27"/>
      <c r="AO119" s="26">
        <f>IF($B119&lt;&gt;"Challan","",SUMIF($C$8:$C$207,$C119,$AE$8:$AE$207)+SUMIF($C$8:$C$207,$C119,$AH$8:$AH$207)+SUMIF($C$8:$C$207,$C119,$AF$8:$AF$207))</f>
      </c>
      <c r="AP119" s="26">
        <f>IF($B119&lt;&gt;"Challan","",O119-M119)</f>
      </c>
      <c r="AQ119" s="26">
        <f>IF($B119&lt;&gt;"Challan","",MAX(0,AP119-AO119))</f>
      </c>
      <c r="AR119" s="32">
        <f>IF($B119&lt;&gt;"Challan","",IF(ROUND(AO119-AP119,2)&gt;0,"Over-applied",IF(ROUND(AO119-AP119,2)=0,"Fully Utilised","Unconsumed")))</f>
      </c>
      <c r="AS119" s="33">
        <f>IF($B119&lt;&gt;"Entry","",SUMPRODUCT(($C$8:$C$207=$C119)*($B$8:$B$207="Challan")*$F$8:$F$207))</f>
      </c>
    </row>
    <row r="120" spans="1:45" x14ac:dyDescent="0.25">
      <c r="A120" s="19">
        <f>IF($B120="Entry",COUNTIF($B$8:$B120,"Entry"),"")</f>
      </c>
      <c r="B120" s="20"/>
      <c r="C120" s="21"/>
      <c r="D120" s="22"/>
      <c r="E120" s="22"/>
      <c r="F120" s="23"/>
      <c r="G120" s="24"/>
      <c r="H120" s="25"/>
      <c r="I120" s="25"/>
      <c r="J120" s="25"/>
      <c r="K120" s="25"/>
      <c r="L120" s="25"/>
      <c r="M120" s="25"/>
      <c r="N120" s="25"/>
      <c r="O120" s="26">
        <f>IF($B120&lt;&gt;"Challan","",H120+I120+J120+K120+L120+M120)</f>
      </c>
      <c r="P120" s="24"/>
      <c r="Q120" s="24"/>
      <c r="R120" s="24"/>
      <c r="S120" s="24"/>
      <c r="T120" s="24"/>
      <c r="U120" s="27"/>
      <c r="V120" s="27"/>
      <c r="W120" s="27"/>
      <c r="X120" s="27"/>
      <c r="Y120" s="27"/>
      <c r="Z120" s="28">
        <f>IFERROR(IF($B120&lt;&gt;"Entry","",IF(W120="Y",SUMPRODUCT(('Rate Master'!$D$2:$D$50=(Y120&amp;"|"&amp;$B$2))*'Rate Master'!$I$2:$I$50),IF(OR(X120="Individual",X120="HUF"),SUMPRODUCT(('Rate Master'!$D$2:$D$50=(Y120&amp;"|"&amp;$B$2))*'Rate Master'!$G$2:$G$50),SUMPRODUCT(('Rate Master'!$D$2:$D$50=(Y120&amp;"|"&amp;$B$2))*'Rate Master'!$H$2:$H$50)))),"")</f>
      </c>
      <c r="AA120" s="26">
        <f>IFERROR(IF($B120&lt;&gt;"Entry","",IF(OR(X120="Individual",X120="HUF"),SUMPRODUCT(('Rate Master'!$D$2:$D$50=(Y120&amp;"|"&amp;$B$2))*'Rate Master'!$E$2:$E$50),SUMPRODUCT(('Rate Master'!$D$2:$D$50=(Y120&amp;"|"&amp;$B$2))*'Rate Master'!$F$2:$F$50))),"")</f>
      </c>
      <c r="AB120" s="29"/>
      <c r="AC120" s="30"/>
      <c r="AD120" s="31"/>
      <c r="AE120" s="26">
        <f>IF($B120&lt;&gt;"Entry","",ROUND(AD120*AB120/100,0))</f>
      </c>
      <c r="AF120" s="31"/>
      <c r="AG120" s="31"/>
      <c r="AH120" s="26">
        <f>IF($B120&lt;&gt;"Entry","",IF(OR(AE120=0,AC120="",AS120="",AS120&lt;=0),0,IF(AS120&lt;=DATE(YEAR(AC120),MONTH(AC120)+1,7),0,ROUND(AE120*0.015*((YEAR(AS120)-YEAR(AC120))*12+(MONTH(AS120)-MONTH(AC120))+1),0))))</f>
      </c>
      <c r="AI120" s="31"/>
      <c r="AJ120" s="27"/>
      <c r="AK120" s="27"/>
      <c r="AL120" s="29"/>
      <c r="AM120" s="27"/>
      <c r="AN120" s="27"/>
      <c r="AO120" s="26">
        <f>IF($B120&lt;&gt;"Challan","",SUMIF($C$8:$C$207,$C120,$AE$8:$AE$207)+SUMIF($C$8:$C$207,$C120,$AH$8:$AH$207)+SUMIF($C$8:$C$207,$C120,$AF$8:$AF$207))</f>
      </c>
      <c r="AP120" s="26">
        <f>IF($B120&lt;&gt;"Challan","",O120-M120)</f>
      </c>
      <c r="AQ120" s="26">
        <f>IF($B120&lt;&gt;"Challan","",MAX(0,AP120-AO120))</f>
      </c>
      <c r="AR120" s="32">
        <f>IF($B120&lt;&gt;"Challan","",IF(ROUND(AO120-AP120,2)&gt;0,"Over-applied",IF(ROUND(AO120-AP120,2)=0,"Fully Utilised","Unconsumed")))</f>
      </c>
      <c r="AS120" s="33">
        <f>IF($B120&lt;&gt;"Entry","",SUMPRODUCT(($C$8:$C$207=$C120)*($B$8:$B$207="Challan")*$F$8:$F$207))</f>
      </c>
    </row>
    <row r="121" spans="1:45" x14ac:dyDescent="0.25">
      <c r="A121" s="19">
        <f>IF($B121="Entry",COUNTIF($B$8:$B121,"Entry"),"")</f>
      </c>
      <c r="B121" s="20"/>
      <c r="C121" s="21"/>
      <c r="D121" s="22"/>
      <c r="E121" s="22"/>
      <c r="F121" s="23"/>
      <c r="G121" s="24"/>
      <c r="H121" s="25"/>
      <c r="I121" s="25"/>
      <c r="J121" s="25"/>
      <c r="K121" s="25"/>
      <c r="L121" s="25"/>
      <c r="M121" s="25"/>
      <c r="N121" s="25"/>
      <c r="O121" s="26">
        <f>IF($B121&lt;&gt;"Challan","",H121+I121+J121+K121+L121+M121)</f>
      </c>
      <c r="P121" s="24"/>
      <c r="Q121" s="24"/>
      <c r="R121" s="24"/>
      <c r="S121" s="24"/>
      <c r="T121" s="24"/>
      <c r="U121" s="27"/>
      <c r="V121" s="27"/>
      <c r="W121" s="27"/>
      <c r="X121" s="27"/>
      <c r="Y121" s="27"/>
      <c r="Z121" s="28">
        <f>IFERROR(IF($B121&lt;&gt;"Entry","",IF(W121="Y",SUMPRODUCT(('Rate Master'!$D$2:$D$50=(Y121&amp;"|"&amp;$B$2))*'Rate Master'!$I$2:$I$50),IF(OR(X121="Individual",X121="HUF"),SUMPRODUCT(('Rate Master'!$D$2:$D$50=(Y121&amp;"|"&amp;$B$2))*'Rate Master'!$G$2:$G$50),SUMPRODUCT(('Rate Master'!$D$2:$D$50=(Y121&amp;"|"&amp;$B$2))*'Rate Master'!$H$2:$H$50)))),"")</f>
      </c>
      <c r="AA121" s="26">
        <f>IFERROR(IF($B121&lt;&gt;"Entry","",IF(OR(X121="Individual",X121="HUF"),SUMPRODUCT(('Rate Master'!$D$2:$D$50=(Y121&amp;"|"&amp;$B$2))*'Rate Master'!$E$2:$E$50),SUMPRODUCT(('Rate Master'!$D$2:$D$50=(Y121&amp;"|"&amp;$B$2))*'Rate Master'!$F$2:$F$50))),"")</f>
      </c>
      <c r="AB121" s="29"/>
      <c r="AC121" s="30"/>
      <c r="AD121" s="31"/>
      <c r="AE121" s="26">
        <f>IF($B121&lt;&gt;"Entry","",ROUND(AD121*AB121/100,0))</f>
      </c>
      <c r="AF121" s="31"/>
      <c r="AG121" s="31"/>
      <c r="AH121" s="26">
        <f>IF($B121&lt;&gt;"Entry","",IF(OR(AE121=0,AC121="",AS121="",AS121&lt;=0),0,IF(AS121&lt;=DATE(YEAR(AC121),MONTH(AC121)+1,7),0,ROUND(AE121*0.015*((YEAR(AS121)-YEAR(AC121))*12+(MONTH(AS121)-MONTH(AC121))+1),0))))</f>
      </c>
      <c r="AI121" s="31"/>
      <c r="AJ121" s="27"/>
      <c r="AK121" s="27"/>
      <c r="AL121" s="29"/>
      <c r="AM121" s="27"/>
      <c r="AN121" s="27"/>
      <c r="AO121" s="26">
        <f>IF($B121&lt;&gt;"Challan","",SUMIF($C$8:$C$207,$C121,$AE$8:$AE$207)+SUMIF($C$8:$C$207,$C121,$AH$8:$AH$207)+SUMIF($C$8:$C$207,$C121,$AF$8:$AF$207))</f>
      </c>
      <c r="AP121" s="26">
        <f>IF($B121&lt;&gt;"Challan","",O121-M121)</f>
      </c>
      <c r="AQ121" s="26">
        <f>IF($B121&lt;&gt;"Challan","",MAX(0,AP121-AO121))</f>
      </c>
      <c r="AR121" s="32">
        <f>IF($B121&lt;&gt;"Challan","",IF(ROUND(AO121-AP121,2)&gt;0,"Over-applied",IF(ROUND(AO121-AP121,2)=0,"Fully Utilised","Unconsumed")))</f>
      </c>
      <c r="AS121" s="33">
        <f>IF($B121&lt;&gt;"Entry","",SUMPRODUCT(($C$8:$C$207=$C121)*($B$8:$B$207="Challan")*$F$8:$F$207))</f>
      </c>
    </row>
    <row r="122" spans="1:45" x14ac:dyDescent="0.25">
      <c r="A122" s="19">
        <f>IF($B122="Entry",COUNTIF($B$8:$B122,"Entry"),"")</f>
      </c>
      <c r="B122" s="20"/>
      <c r="C122" s="21"/>
      <c r="D122" s="22"/>
      <c r="E122" s="22"/>
      <c r="F122" s="23"/>
      <c r="G122" s="24"/>
      <c r="H122" s="25"/>
      <c r="I122" s="25"/>
      <c r="J122" s="25"/>
      <c r="K122" s="25"/>
      <c r="L122" s="25"/>
      <c r="M122" s="25"/>
      <c r="N122" s="25"/>
      <c r="O122" s="26">
        <f>IF($B122&lt;&gt;"Challan","",H122+I122+J122+K122+L122+M122)</f>
      </c>
      <c r="P122" s="24"/>
      <c r="Q122" s="24"/>
      <c r="R122" s="24"/>
      <c r="S122" s="24"/>
      <c r="T122" s="24"/>
      <c r="U122" s="27"/>
      <c r="V122" s="27"/>
      <c r="W122" s="27"/>
      <c r="X122" s="27"/>
      <c r="Y122" s="27"/>
      <c r="Z122" s="28">
        <f>IFERROR(IF($B122&lt;&gt;"Entry","",IF(W122="Y",SUMPRODUCT(('Rate Master'!$D$2:$D$50=(Y122&amp;"|"&amp;$B$2))*'Rate Master'!$I$2:$I$50),IF(OR(X122="Individual",X122="HUF"),SUMPRODUCT(('Rate Master'!$D$2:$D$50=(Y122&amp;"|"&amp;$B$2))*'Rate Master'!$G$2:$G$50),SUMPRODUCT(('Rate Master'!$D$2:$D$50=(Y122&amp;"|"&amp;$B$2))*'Rate Master'!$H$2:$H$50)))),"")</f>
      </c>
      <c r="AA122" s="26">
        <f>IFERROR(IF($B122&lt;&gt;"Entry","",IF(OR(X122="Individual",X122="HUF"),SUMPRODUCT(('Rate Master'!$D$2:$D$50=(Y122&amp;"|"&amp;$B$2))*'Rate Master'!$E$2:$E$50),SUMPRODUCT(('Rate Master'!$D$2:$D$50=(Y122&amp;"|"&amp;$B$2))*'Rate Master'!$F$2:$F$50))),"")</f>
      </c>
      <c r="AB122" s="29"/>
      <c r="AC122" s="30"/>
      <c r="AD122" s="31"/>
      <c r="AE122" s="26">
        <f>IF($B122&lt;&gt;"Entry","",ROUND(AD122*AB122/100,0))</f>
      </c>
      <c r="AF122" s="31"/>
      <c r="AG122" s="31"/>
      <c r="AH122" s="26">
        <f>IF($B122&lt;&gt;"Entry","",IF(OR(AE122=0,AC122="",AS122="",AS122&lt;=0),0,IF(AS122&lt;=DATE(YEAR(AC122),MONTH(AC122)+1,7),0,ROUND(AE122*0.015*((YEAR(AS122)-YEAR(AC122))*12+(MONTH(AS122)-MONTH(AC122))+1),0))))</f>
      </c>
      <c r="AI122" s="31"/>
      <c r="AJ122" s="27"/>
      <c r="AK122" s="27"/>
      <c r="AL122" s="29"/>
      <c r="AM122" s="27"/>
      <c r="AN122" s="27"/>
      <c r="AO122" s="26">
        <f>IF($B122&lt;&gt;"Challan","",SUMIF($C$8:$C$207,$C122,$AE$8:$AE$207)+SUMIF($C$8:$C$207,$C122,$AH$8:$AH$207)+SUMIF($C$8:$C$207,$C122,$AF$8:$AF$207))</f>
      </c>
      <c r="AP122" s="26">
        <f>IF($B122&lt;&gt;"Challan","",O122-M122)</f>
      </c>
      <c r="AQ122" s="26">
        <f>IF($B122&lt;&gt;"Challan","",MAX(0,AP122-AO122))</f>
      </c>
      <c r="AR122" s="32">
        <f>IF($B122&lt;&gt;"Challan","",IF(ROUND(AO122-AP122,2)&gt;0,"Over-applied",IF(ROUND(AO122-AP122,2)=0,"Fully Utilised","Unconsumed")))</f>
      </c>
      <c r="AS122" s="33">
        <f>IF($B122&lt;&gt;"Entry","",SUMPRODUCT(($C$8:$C$207=$C122)*($B$8:$B$207="Challan")*$F$8:$F$207))</f>
      </c>
    </row>
    <row r="123" spans="1:45" x14ac:dyDescent="0.25">
      <c r="A123" s="19">
        <f>IF($B123="Entry",COUNTIF($B$8:$B123,"Entry"),"")</f>
      </c>
      <c r="B123" s="20"/>
      <c r="C123" s="21"/>
      <c r="D123" s="22"/>
      <c r="E123" s="22"/>
      <c r="F123" s="23"/>
      <c r="G123" s="24"/>
      <c r="H123" s="25"/>
      <c r="I123" s="25"/>
      <c r="J123" s="25"/>
      <c r="K123" s="25"/>
      <c r="L123" s="25"/>
      <c r="M123" s="25"/>
      <c r="N123" s="25"/>
      <c r="O123" s="26">
        <f>IF($B123&lt;&gt;"Challan","",H123+I123+J123+K123+L123+M123)</f>
      </c>
      <c r="P123" s="24"/>
      <c r="Q123" s="24"/>
      <c r="R123" s="24"/>
      <c r="S123" s="24"/>
      <c r="T123" s="24"/>
      <c r="U123" s="27"/>
      <c r="V123" s="27"/>
      <c r="W123" s="27"/>
      <c r="X123" s="27"/>
      <c r="Y123" s="27"/>
      <c r="Z123" s="28">
        <f>IFERROR(IF($B123&lt;&gt;"Entry","",IF(W123="Y",SUMPRODUCT(('Rate Master'!$D$2:$D$50=(Y123&amp;"|"&amp;$B$2))*'Rate Master'!$I$2:$I$50),IF(OR(X123="Individual",X123="HUF"),SUMPRODUCT(('Rate Master'!$D$2:$D$50=(Y123&amp;"|"&amp;$B$2))*'Rate Master'!$G$2:$G$50),SUMPRODUCT(('Rate Master'!$D$2:$D$50=(Y123&amp;"|"&amp;$B$2))*'Rate Master'!$H$2:$H$50)))),"")</f>
      </c>
      <c r="AA123" s="26">
        <f>IFERROR(IF($B123&lt;&gt;"Entry","",IF(OR(X123="Individual",X123="HUF"),SUMPRODUCT(('Rate Master'!$D$2:$D$50=(Y123&amp;"|"&amp;$B$2))*'Rate Master'!$E$2:$E$50),SUMPRODUCT(('Rate Master'!$D$2:$D$50=(Y123&amp;"|"&amp;$B$2))*'Rate Master'!$F$2:$F$50))),"")</f>
      </c>
      <c r="AB123" s="29"/>
      <c r="AC123" s="30"/>
      <c r="AD123" s="31"/>
      <c r="AE123" s="26">
        <f>IF($B123&lt;&gt;"Entry","",ROUND(AD123*AB123/100,0))</f>
      </c>
      <c r="AF123" s="31"/>
      <c r="AG123" s="31"/>
      <c r="AH123" s="26">
        <f>IF($B123&lt;&gt;"Entry","",IF(OR(AE123=0,AC123="",AS123="",AS123&lt;=0),0,IF(AS123&lt;=DATE(YEAR(AC123),MONTH(AC123)+1,7),0,ROUND(AE123*0.015*((YEAR(AS123)-YEAR(AC123))*12+(MONTH(AS123)-MONTH(AC123))+1),0))))</f>
      </c>
      <c r="AI123" s="31"/>
      <c r="AJ123" s="27"/>
      <c r="AK123" s="27"/>
      <c r="AL123" s="29"/>
      <c r="AM123" s="27"/>
      <c r="AN123" s="27"/>
      <c r="AO123" s="26">
        <f>IF($B123&lt;&gt;"Challan","",SUMIF($C$8:$C$207,$C123,$AE$8:$AE$207)+SUMIF($C$8:$C$207,$C123,$AH$8:$AH$207)+SUMIF($C$8:$C$207,$C123,$AF$8:$AF$207))</f>
      </c>
      <c r="AP123" s="26">
        <f>IF($B123&lt;&gt;"Challan","",O123-M123)</f>
      </c>
      <c r="AQ123" s="26">
        <f>IF($B123&lt;&gt;"Challan","",MAX(0,AP123-AO123))</f>
      </c>
      <c r="AR123" s="32">
        <f>IF($B123&lt;&gt;"Challan","",IF(ROUND(AO123-AP123,2)&gt;0,"Over-applied",IF(ROUND(AO123-AP123,2)=0,"Fully Utilised","Unconsumed")))</f>
      </c>
      <c r="AS123" s="33">
        <f>IF($B123&lt;&gt;"Entry","",SUMPRODUCT(($C$8:$C$207=$C123)*($B$8:$B$207="Challan")*$F$8:$F$207))</f>
      </c>
    </row>
    <row r="124" spans="1:45" x14ac:dyDescent="0.25">
      <c r="A124" s="19">
        <f>IF($B124="Entry",COUNTIF($B$8:$B124,"Entry"),"")</f>
      </c>
      <c r="B124" s="20"/>
      <c r="C124" s="21"/>
      <c r="D124" s="22"/>
      <c r="E124" s="22"/>
      <c r="F124" s="23"/>
      <c r="G124" s="24"/>
      <c r="H124" s="25"/>
      <c r="I124" s="25"/>
      <c r="J124" s="25"/>
      <c r="K124" s="25"/>
      <c r="L124" s="25"/>
      <c r="M124" s="25"/>
      <c r="N124" s="25"/>
      <c r="O124" s="26">
        <f>IF($B124&lt;&gt;"Challan","",H124+I124+J124+K124+L124+M124)</f>
      </c>
      <c r="P124" s="24"/>
      <c r="Q124" s="24"/>
      <c r="R124" s="24"/>
      <c r="S124" s="24"/>
      <c r="T124" s="24"/>
      <c r="U124" s="27"/>
      <c r="V124" s="27"/>
      <c r="W124" s="27"/>
      <c r="X124" s="27"/>
      <c r="Y124" s="27"/>
      <c r="Z124" s="28">
        <f>IFERROR(IF($B124&lt;&gt;"Entry","",IF(W124="Y",SUMPRODUCT(('Rate Master'!$D$2:$D$50=(Y124&amp;"|"&amp;$B$2))*'Rate Master'!$I$2:$I$50),IF(OR(X124="Individual",X124="HUF"),SUMPRODUCT(('Rate Master'!$D$2:$D$50=(Y124&amp;"|"&amp;$B$2))*'Rate Master'!$G$2:$G$50),SUMPRODUCT(('Rate Master'!$D$2:$D$50=(Y124&amp;"|"&amp;$B$2))*'Rate Master'!$H$2:$H$50)))),"")</f>
      </c>
      <c r="AA124" s="26">
        <f>IFERROR(IF($B124&lt;&gt;"Entry","",IF(OR(X124="Individual",X124="HUF"),SUMPRODUCT(('Rate Master'!$D$2:$D$50=(Y124&amp;"|"&amp;$B$2))*'Rate Master'!$E$2:$E$50),SUMPRODUCT(('Rate Master'!$D$2:$D$50=(Y124&amp;"|"&amp;$B$2))*'Rate Master'!$F$2:$F$50))),"")</f>
      </c>
      <c r="AB124" s="29"/>
      <c r="AC124" s="30"/>
      <c r="AD124" s="31"/>
      <c r="AE124" s="26">
        <f>IF($B124&lt;&gt;"Entry","",ROUND(AD124*AB124/100,0))</f>
      </c>
      <c r="AF124" s="31"/>
      <c r="AG124" s="31"/>
      <c r="AH124" s="26">
        <f>IF($B124&lt;&gt;"Entry","",IF(OR(AE124=0,AC124="",AS124="",AS124&lt;=0),0,IF(AS124&lt;=DATE(YEAR(AC124),MONTH(AC124)+1,7),0,ROUND(AE124*0.015*((YEAR(AS124)-YEAR(AC124))*12+(MONTH(AS124)-MONTH(AC124))+1),0))))</f>
      </c>
      <c r="AI124" s="31"/>
      <c r="AJ124" s="27"/>
      <c r="AK124" s="27"/>
      <c r="AL124" s="29"/>
      <c r="AM124" s="27"/>
      <c r="AN124" s="27"/>
      <c r="AO124" s="26">
        <f>IF($B124&lt;&gt;"Challan","",SUMIF($C$8:$C$207,$C124,$AE$8:$AE$207)+SUMIF($C$8:$C$207,$C124,$AH$8:$AH$207)+SUMIF($C$8:$C$207,$C124,$AF$8:$AF$207))</f>
      </c>
      <c r="AP124" s="26">
        <f>IF($B124&lt;&gt;"Challan","",O124-M124)</f>
      </c>
      <c r="AQ124" s="26">
        <f>IF($B124&lt;&gt;"Challan","",MAX(0,AP124-AO124))</f>
      </c>
      <c r="AR124" s="32">
        <f>IF($B124&lt;&gt;"Challan","",IF(ROUND(AO124-AP124,2)&gt;0,"Over-applied",IF(ROUND(AO124-AP124,2)=0,"Fully Utilised","Unconsumed")))</f>
      </c>
      <c r="AS124" s="33">
        <f>IF($B124&lt;&gt;"Entry","",SUMPRODUCT(($C$8:$C$207=$C124)*($B$8:$B$207="Challan")*$F$8:$F$207))</f>
      </c>
    </row>
    <row r="125" spans="1:45" x14ac:dyDescent="0.25">
      <c r="A125" s="19">
        <f>IF($B125="Entry",COUNTIF($B$8:$B125,"Entry"),"")</f>
      </c>
      <c r="B125" s="20"/>
      <c r="C125" s="21"/>
      <c r="D125" s="22"/>
      <c r="E125" s="22"/>
      <c r="F125" s="23"/>
      <c r="G125" s="24"/>
      <c r="H125" s="25"/>
      <c r="I125" s="25"/>
      <c r="J125" s="25"/>
      <c r="K125" s="25"/>
      <c r="L125" s="25"/>
      <c r="M125" s="25"/>
      <c r="N125" s="25"/>
      <c r="O125" s="26">
        <f>IF($B125&lt;&gt;"Challan","",H125+I125+J125+K125+L125+M125)</f>
      </c>
      <c r="P125" s="24"/>
      <c r="Q125" s="24"/>
      <c r="R125" s="24"/>
      <c r="S125" s="24"/>
      <c r="T125" s="24"/>
      <c r="U125" s="27"/>
      <c r="V125" s="27"/>
      <c r="W125" s="27"/>
      <c r="X125" s="27"/>
      <c r="Y125" s="27"/>
      <c r="Z125" s="28">
        <f>IFERROR(IF($B125&lt;&gt;"Entry","",IF(W125="Y",SUMPRODUCT(('Rate Master'!$D$2:$D$50=(Y125&amp;"|"&amp;$B$2))*'Rate Master'!$I$2:$I$50),IF(OR(X125="Individual",X125="HUF"),SUMPRODUCT(('Rate Master'!$D$2:$D$50=(Y125&amp;"|"&amp;$B$2))*'Rate Master'!$G$2:$G$50),SUMPRODUCT(('Rate Master'!$D$2:$D$50=(Y125&amp;"|"&amp;$B$2))*'Rate Master'!$H$2:$H$50)))),"")</f>
      </c>
      <c r="AA125" s="26">
        <f>IFERROR(IF($B125&lt;&gt;"Entry","",IF(OR(X125="Individual",X125="HUF"),SUMPRODUCT(('Rate Master'!$D$2:$D$50=(Y125&amp;"|"&amp;$B$2))*'Rate Master'!$E$2:$E$50),SUMPRODUCT(('Rate Master'!$D$2:$D$50=(Y125&amp;"|"&amp;$B$2))*'Rate Master'!$F$2:$F$50))),"")</f>
      </c>
      <c r="AB125" s="29"/>
      <c r="AC125" s="30"/>
      <c r="AD125" s="31"/>
      <c r="AE125" s="26">
        <f>IF($B125&lt;&gt;"Entry","",ROUND(AD125*AB125/100,0))</f>
      </c>
      <c r="AF125" s="31"/>
      <c r="AG125" s="31"/>
      <c r="AH125" s="26">
        <f>IF($B125&lt;&gt;"Entry","",IF(OR(AE125=0,AC125="",AS125="",AS125&lt;=0),0,IF(AS125&lt;=DATE(YEAR(AC125),MONTH(AC125)+1,7),0,ROUND(AE125*0.015*((YEAR(AS125)-YEAR(AC125))*12+(MONTH(AS125)-MONTH(AC125))+1),0))))</f>
      </c>
      <c r="AI125" s="31"/>
      <c r="AJ125" s="27"/>
      <c r="AK125" s="27"/>
      <c r="AL125" s="29"/>
      <c r="AM125" s="27"/>
      <c r="AN125" s="27"/>
      <c r="AO125" s="26">
        <f>IF($B125&lt;&gt;"Challan","",SUMIF($C$8:$C$207,$C125,$AE$8:$AE$207)+SUMIF($C$8:$C$207,$C125,$AH$8:$AH$207)+SUMIF($C$8:$C$207,$C125,$AF$8:$AF$207))</f>
      </c>
      <c r="AP125" s="26">
        <f>IF($B125&lt;&gt;"Challan","",O125-M125)</f>
      </c>
      <c r="AQ125" s="26">
        <f>IF($B125&lt;&gt;"Challan","",MAX(0,AP125-AO125))</f>
      </c>
      <c r="AR125" s="32">
        <f>IF($B125&lt;&gt;"Challan","",IF(ROUND(AO125-AP125,2)&gt;0,"Over-applied",IF(ROUND(AO125-AP125,2)=0,"Fully Utilised","Unconsumed")))</f>
      </c>
      <c r="AS125" s="33">
        <f>IF($B125&lt;&gt;"Entry","",SUMPRODUCT(($C$8:$C$207=$C125)*($B$8:$B$207="Challan")*$F$8:$F$207))</f>
      </c>
    </row>
    <row r="126" spans="1:45" x14ac:dyDescent="0.25">
      <c r="A126" s="19">
        <f>IF($B126="Entry",COUNTIF($B$8:$B126,"Entry"),"")</f>
      </c>
      <c r="B126" s="20"/>
      <c r="C126" s="21"/>
      <c r="D126" s="22"/>
      <c r="E126" s="22"/>
      <c r="F126" s="23"/>
      <c r="G126" s="24"/>
      <c r="H126" s="25"/>
      <c r="I126" s="25"/>
      <c r="J126" s="25"/>
      <c r="K126" s="25"/>
      <c r="L126" s="25"/>
      <c r="M126" s="25"/>
      <c r="N126" s="25"/>
      <c r="O126" s="26">
        <f>IF($B126&lt;&gt;"Challan","",H126+I126+J126+K126+L126+M126)</f>
      </c>
      <c r="P126" s="24"/>
      <c r="Q126" s="24"/>
      <c r="R126" s="24"/>
      <c r="S126" s="24"/>
      <c r="T126" s="24"/>
      <c r="U126" s="27"/>
      <c r="V126" s="27"/>
      <c r="W126" s="27"/>
      <c r="X126" s="27"/>
      <c r="Y126" s="27"/>
      <c r="Z126" s="28">
        <f>IFERROR(IF($B126&lt;&gt;"Entry","",IF(W126="Y",SUMPRODUCT(('Rate Master'!$D$2:$D$50=(Y126&amp;"|"&amp;$B$2))*'Rate Master'!$I$2:$I$50),IF(OR(X126="Individual",X126="HUF"),SUMPRODUCT(('Rate Master'!$D$2:$D$50=(Y126&amp;"|"&amp;$B$2))*'Rate Master'!$G$2:$G$50),SUMPRODUCT(('Rate Master'!$D$2:$D$50=(Y126&amp;"|"&amp;$B$2))*'Rate Master'!$H$2:$H$50)))),"")</f>
      </c>
      <c r="AA126" s="26">
        <f>IFERROR(IF($B126&lt;&gt;"Entry","",IF(OR(X126="Individual",X126="HUF"),SUMPRODUCT(('Rate Master'!$D$2:$D$50=(Y126&amp;"|"&amp;$B$2))*'Rate Master'!$E$2:$E$50),SUMPRODUCT(('Rate Master'!$D$2:$D$50=(Y126&amp;"|"&amp;$B$2))*'Rate Master'!$F$2:$F$50))),"")</f>
      </c>
      <c r="AB126" s="29"/>
      <c r="AC126" s="30"/>
      <c r="AD126" s="31"/>
      <c r="AE126" s="26">
        <f>IF($B126&lt;&gt;"Entry","",ROUND(AD126*AB126/100,0))</f>
      </c>
      <c r="AF126" s="31"/>
      <c r="AG126" s="31"/>
      <c r="AH126" s="26">
        <f>IF($B126&lt;&gt;"Entry","",IF(OR(AE126=0,AC126="",AS126="",AS126&lt;=0),0,IF(AS126&lt;=DATE(YEAR(AC126),MONTH(AC126)+1,7),0,ROUND(AE126*0.015*((YEAR(AS126)-YEAR(AC126))*12+(MONTH(AS126)-MONTH(AC126))+1),0))))</f>
      </c>
      <c r="AI126" s="31"/>
      <c r="AJ126" s="27"/>
      <c r="AK126" s="27"/>
      <c r="AL126" s="29"/>
      <c r="AM126" s="27"/>
      <c r="AN126" s="27"/>
      <c r="AO126" s="26">
        <f>IF($B126&lt;&gt;"Challan","",SUMIF($C$8:$C$207,$C126,$AE$8:$AE$207)+SUMIF($C$8:$C$207,$C126,$AH$8:$AH$207)+SUMIF($C$8:$C$207,$C126,$AF$8:$AF$207))</f>
      </c>
      <c r="AP126" s="26">
        <f>IF($B126&lt;&gt;"Challan","",O126-M126)</f>
      </c>
      <c r="AQ126" s="26">
        <f>IF($B126&lt;&gt;"Challan","",MAX(0,AP126-AO126))</f>
      </c>
      <c r="AR126" s="32">
        <f>IF($B126&lt;&gt;"Challan","",IF(ROUND(AO126-AP126,2)&gt;0,"Over-applied",IF(ROUND(AO126-AP126,2)=0,"Fully Utilised","Unconsumed")))</f>
      </c>
      <c r="AS126" s="33">
        <f>IF($B126&lt;&gt;"Entry","",SUMPRODUCT(($C$8:$C$207=$C126)*($B$8:$B$207="Challan")*$F$8:$F$207))</f>
      </c>
    </row>
    <row r="127" spans="1:45" x14ac:dyDescent="0.25">
      <c r="A127" s="19">
        <f>IF($B127="Entry",COUNTIF($B$8:$B127,"Entry"),"")</f>
      </c>
      <c r="B127" s="20"/>
      <c r="C127" s="21"/>
      <c r="D127" s="22"/>
      <c r="E127" s="22"/>
      <c r="F127" s="23"/>
      <c r="G127" s="24"/>
      <c r="H127" s="25"/>
      <c r="I127" s="25"/>
      <c r="J127" s="25"/>
      <c r="K127" s="25"/>
      <c r="L127" s="25"/>
      <c r="M127" s="25"/>
      <c r="N127" s="25"/>
      <c r="O127" s="26">
        <f>IF($B127&lt;&gt;"Challan","",H127+I127+J127+K127+L127+M127)</f>
      </c>
      <c r="P127" s="24"/>
      <c r="Q127" s="24"/>
      <c r="R127" s="24"/>
      <c r="S127" s="24"/>
      <c r="T127" s="24"/>
      <c r="U127" s="27"/>
      <c r="V127" s="27"/>
      <c r="W127" s="27"/>
      <c r="X127" s="27"/>
      <c r="Y127" s="27"/>
      <c r="Z127" s="28">
        <f>IFERROR(IF($B127&lt;&gt;"Entry","",IF(W127="Y",SUMPRODUCT(('Rate Master'!$D$2:$D$50=(Y127&amp;"|"&amp;$B$2))*'Rate Master'!$I$2:$I$50),IF(OR(X127="Individual",X127="HUF"),SUMPRODUCT(('Rate Master'!$D$2:$D$50=(Y127&amp;"|"&amp;$B$2))*'Rate Master'!$G$2:$G$50),SUMPRODUCT(('Rate Master'!$D$2:$D$50=(Y127&amp;"|"&amp;$B$2))*'Rate Master'!$H$2:$H$50)))),"")</f>
      </c>
      <c r="AA127" s="26">
        <f>IFERROR(IF($B127&lt;&gt;"Entry","",IF(OR(X127="Individual",X127="HUF"),SUMPRODUCT(('Rate Master'!$D$2:$D$50=(Y127&amp;"|"&amp;$B$2))*'Rate Master'!$E$2:$E$50),SUMPRODUCT(('Rate Master'!$D$2:$D$50=(Y127&amp;"|"&amp;$B$2))*'Rate Master'!$F$2:$F$50))),"")</f>
      </c>
      <c r="AB127" s="29"/>
      <c r="AC127" s="30"/>
      <c r="AD127" s="31"/>
      <c r="AE127" s="26">
        <f>IF($B127&lt;&gt;"Entry","",ROUND(AD127*AB127/100,0))</f>
      </c>
      <c r="AF127" s="31"/>
      <c r="AG127" s="31"/>
      <c r="AH127" s="26">
        <f>IF($B127&lt;&gt;"Entry","",IF(OR(AE127=0,AC127="",AS127="",AS127&lt;=0),0,IF(AS127&lt;=DATE(YEAR(AC127),MONTH(AC127)+1,7),0,ROUND(AE127*0.015*((YEAR(AS127)-YEAR(AC127))*12+(MONTH(AS127)-MONTH(AC127))+1),0))))</f>
      </c>
      <c r="AI127" s="31"/>
      <c r="AJ127" s="27"/>
      <c r="AK127" s="27"/>
      <c r="AL127" s="29"/>
      <c r="AM127" s="27"/>
      <c r="AN127" s="27"/>
      <c r="AO127" s="26">
        <f>IF($B127&lt;&gt;"Challan","",SUMIF($C$8:$C$207,$C127,$AE$8:$AE$207)+SUMIF($C$8:$C$207,$C127,$AH$8:$AH$207)+SUMIF($C$8:$C$207,$C127,$AF$8:$AF$207))</f>
      </c>
      <c r="AP127" s="26">
        <f>IF($B127&lt;&gt;"Challan","",O127-M127)</f>
      </c>
      <c r="AQ127" s="26">
        <f>IF($B127&lt;&gt;"Challan","",MAX(0,AP127-AO127))</f>
      </c>
      <c r="AR127" s="32">
        <f>IF($B127&lt;&gt;"Challan","",IF(ROUND(AO127-AP127,2)&gt;0,"Over-applied",IF(ROUND(AO127-AP127,2)=0,"Fully Utilised","Unconsumed")))</f>
      </c>
      <c r="AS127" s="33">
        <f>IF($B127&lt;&gt;"Entry","",SUMPRODUCT(($C$8:$C$207=$C127)*($B$8:$B$207="Challan")*$F$8:$F$207))</f>
      </c>
    </row>
    <row r="128" spans="1:45" x14ac:dyDescent="0.25">
      <c r="A128" s="19">
        <f>IF($B128="Entry",COUNTIF($B$8:$B128,"Entry"),"")</f>
      </c>
      <c r="B128" s="20"/>
      <c r="C128" s="21"/>
      <c r="D128" s="22"/>
      <c r="E128" s="22"/>
      <c r="F128" s="23"/>
      <c r="G128" s="24"/>
      <c r="H128" s="25"/>
      <c r="I128" s="25"/>
      <c r="J128" s="25"/>
      <c r="K128" s="25"/>
      <c r="L128" s="25"/>
      <c r="M128" s="25"/>
      <c r="N128" s="25"/>
      <c r="O128" s="26">
        <f>IF($B128&lt;&gt;"Challan","",H128+I128+J128+K128+L128+M128)</f>
      </c>
      <c r="P128" s="24"/>
      <c r="Q128" s="24"/>
      <c r="R128" s="24"/>
      <c r="S128" s="24"/>
      <c r="T128" s="24"/>
      <c r="U128" s="27"/>
      <c r="V128" s="27"/>
      <c r="W128" s="27"/>
      <c r="X128" s="27"/>
      <c r="Y128" s="27"/>
      <c r="Z128" s="28">
        <f>IFERROR(IF($B128&lt;&gt;"Entry","",IF(W128="Y",SUMPRODUCT(('Rate Master'!$D$2:$D$50=(Y128&amp;"|"&amp;$B$2))*'Rate Master'!$I$2:$I$50),IF(OR(X128="Individual",X128="HUF"),SUMPRODUCT(('Rate Master'!$D$2:$D$50=(Y128&amp;"|"&amp;$B$2))*'Rate Master'!$G$2:$G$50),SUMPRODUCT(('Rate Master'!$D$2:$D$50=(Y128&amp;"|"&amp;$B$2))*'Rate Master'!$H$2:$H$50)))),"")</f>
      </c>
      <c r="AA128" s="26">
        <f>IFERROR(IF($B128&lt;&gt;"Entry","",IF(OR(X128="Individual",X128="HUF"),SUMPRODUCT(('Rate Master'!$D$2:$D$50=(Y128&amp;"|"&amp;$B$2))*'Rate Master'!$E$2:$E$50),SUMPRODUCT(('Rate Master'!$D$2:$D$50=(Y128&amp;"|"&amp;$B$2))*'Rate Master'!$F$2:$F$50))),"")</f>
      </c>
      <c r="AB128" s="29"/>
      <c r="AC128" s="30"/>
      <c r="AD128" s="31"/>
      <c r="AE128" s="26">
        <f>IF($B128&lt;&gt;"Entry","",ROUND(AD128*AB128/100,0))</f>
      </c>
      <c r="AF128" s="31"/>
      <c r="AG128" s="31"/>
      <c r="AH128" s="26">
        <f>IF($B128&lt;&gt;"Entry","",IF(OR(AE128=0,AC128="",AS128="",AS128&lt;=0),0,IF(AS128&lt;=DATE(YEAR(AC128),MONTH(AC128)+1,7),0,ROUND(AE128*0.015*((YEAR(AS128)-YEAR(AC128))*12+(MONTH(AS128)-MONTH(AC128))+1),0))))</f>
      </c>
      <c r="AI128" s="31"/>
      <c r="AJ128" s="27"/>
      <c r="AK128" s="27"/>
      <c r="AL128" s="29"/>
      <c r="AM128" s="27"/>
      <c r="AN128" s="27"/>
      <c r="AO128" s="26">
        <f>IF($B128&lt;&gt;"Challan","",SUMIF($C$8:$C$207,$C128,$AE$8:$AE$207)+SUMIF($C$8:$C$207,$C128,$AH$8:$AH$207)+SUMIF($C$8:$C$207,$C128,$AF$8:$AF$207))</f>
      </c>
      <c r="AP128" s="26">
        <f>IF($B128&lt;&gt;"Challan","",O128-M128)</f>
      </c>
      <c r="AQ128" s="26">
        <f>IF($B128&lt;&gt;"Challan","",MAX(0,AP128-AO128))</f>
      </c>
      <c r="AR128" s="32">
        <f>IF($B128&lt;&gt;"Challan","",IF(ROUND(AO128-AP128,2)&gt;0,"Over-applied",IF(ROUND(AO128-AP128,2)=0,"Fully Utilised","Unconsumed")))</f>
      </c>
      <c r="AS128" s="33">
        <f>IF($B128&lt;&gt;"Entry","",SUMPRODUCT(($C$8:$C$207=$C128)*($B$8:$B$207="Challan")*$F$8:$F$207))</f>
      </c>
    </row>
    <row r="129" spans="1:45" x14ac:dyDescent="0.25">
      <c r="A129" s="19">
        <f>IF($B129="Entry",COUNTIF($B$8:$B129,"Entry"),"")</f>
      </c>
      <c r="B129" s="20"/>
      <c r="C129" s="21"/>
      <c r="D129" s="22"/>
      <c r="E129" s="22"/>
      <c r="F129" s="23"/>
      <c r="G129" s="24"/>
      <c r="H129" s="25"/>
      <c r="I129" s="25"/>
      <c r="J129" s="25"/>
      <c r="K129" s="25"/>
      <c r="L129" s="25"/>
      <c r="M129" s="25"/>
      <c r="N129" s="25"/>
      <c r="O129" s="26">
        <f>IF($B129&lt;&gt;"Challan","",H129+I129+J129+K129+L129+M129)</f>
      </c>
      <c r="P129" s="24"/>
      <c r="Q129" s="24"/>
      <c r="R129" s="24"/>
      <c r="S129" s="24"/>
      <c r="T129" s="24"/>
      <c r="U129" s="27"/>
      <c r="V129" s="27"/>
      <c r="W129" s="27"/>
      <c r="X129" s="27"/>
      <c r="Y129" s="27"/>
      <c r="Z129" s="28">
        <f>IFERROR(IF($B129&lt;&gt;"Entry","",IF(W129="Y",SUMPRODUCT(('Rate Master'!$D$2:$D$50=(Y129&amp;"|"&amp;$B$2))*'Rate Master'!$I$2:$I$50),IF(OR(X129="Individual",X129="HUF"),SUMPRODUCT(('Rate Master'!$D$2:$D$50=(Y129&amp;"|"&amp;$B$2))*'Rate Master'!$G$2:$G$50),SUMPRODUCT(('Rate Master'!$D$2:$D$50=(Y129&amp;"|"&amp;$B$2))*'Rate Master'!$H$2:$H$50)))),"")</f>
      </c>
      <c r="AA129" s="26">
        <f>IFERROR(IF($B129&lt;&gt;"Entry","",IF(OR(X129="Individual",X129="HUF"),SUMPRODUCT(('Rate Master'!$D$2:$D$50=(Y129&amp;"|"&amp;$B$2))*'Rate Master'!$E$2:$E$50),SUMPRODUCT(('Rate Master'!$D$2:$D$50=(Y129&amp;"|"&amp;$B$2))*'Rate Master'!$F$2:$F$50))),"")</f>
      </c>
      <c r="AB129" s="29"/>
      <c r="AC129" s="30"/>
      <c r="AD129" s="31"/>
      <c r="AE129" s="26">
        <f>IF($B129&lt;&gt;"Entry","",ROUND(AD129*AB129/100,0))</f>
      </c>
      <c r="AF129" s="31"/>
      <c r="AG129" s="31"/>
      <c r="AH129" s="26">
        <f>IF($B129&lt;&gt;"Entry","",IF(OR(AE129=0,AC129="",AS129="",AS129&lt;=0),0,IF(AS129&lt;=DATE(YEAR(AC129),MONTH(AC129)+1,7),0,ROUND(AE129*0.015*((YEAR(AS129)-YEAR(AC129))*12+(MONTH(AS129)-MONTH(AC129))+1),0))))</f>
      </c>
      <c r="AI129" s="31"/>
      <c r="AJ129" s="27"/>
      <c r="AK129" s="27"/>
      <c r="AL129" s="29"/>
      <c r="AM129" s="27"/>
      <c r="AN129" s="27"/>
      <c r="AO129" s="26">
        <f>IF($B129&lt;&gt;"Challan","",SUMIF($C$8:$C$207,$C129,$AE$8:$AE$207)+SUMIF($C$8:$C$207,$C129,$AH$8:$AH$207)+SUMIF($C$8:$C$207,$C129,$AF$8:$AF$207))</f>
      </c>
      <c r="AP129" s="26">
        <f>IF($B129&lt;&gt;"Challan","",O129-M129)</f>
      </c>
      <c r="AQ129" s="26">
        <f>IF($B129&lt;&gt;"Challan","",MAX(0,AP129-AO129))</f>
      </c>
      <c r="AR129" s="32">
        <f>IF($B129&lt;&gt;"Challan","",IF(ROUND(AO129-AP129,2)&gt;0,"Over-applied",IF(ROUND(AO129-AP129,2)=0,"Fully Utilised","Unconsumed")))</f>
      </c>
      <c r="AS129" s="33">
        <f>IF($B129&lt;&gt;"Entry","",SUMPRODUCT(($C$8:$C$207=$C129)*($B$8:$B$207="Challan")*$F$8:$F$207))</f>
      </c>
    </row>
    <row r="130" spans="1:45" x14ac:dyDescent="0.25">
      <c r="A130" s="19">
        <f>IF($B130="Entry",COUNTIF($B$8:$B130,"Entry"),"")</f>
      </c>
      <c r="B130" s="20"/>
      <c r="C130" s="21"/>
      <c r="D130" s="22"/>
      <c r="E130" s="22"/>
      <c r="F130" s="23"/>
      <c r="G130" s="24"/>
      <c r="H130" s="25"/>
      <c r="I130" s="25"/>
      <c r="J130" s="25"/>
      <c r="K130" s="25"/>
      <c r="L130" s="25"/>
      <c r="M130" s="25"/>
      <c r="N130" s="25"/>
      <c r="O130" s="26">
        <f>IF($B130&lt;&gt;"Challan","",H130+I130+J130+K130+L130+M130)</f>
      </c>
      <c r="P130" s="24"/>
      <c r="Q130" s="24"/>
      <c r="R130" s="24"/>
      <c r="S130" s="24"/>
      <c r="T130" s="24"/>
      <c r="U130" s="27"/>
      <c r="V130" s="27"/>
      <c r="W130" s="27"/>
      <c r="X130" s="27"/>
      <c r="Y130" s="27"/>
      <c r="Z130" s="28">
        <f>IFERROR(IF($B130&lt;&gt;"Entry","",IF(W130="Y",SUMPRODUCT(('Rate Master'!$D$2:$D$50=(Y130&amp;"|"&amp;$B$2))*'Rate Master'!$I$2:$I$50),IF(OR(X130="Individual",X130="HUF"),SUMPRODUCT(('Rate Master'!$D$2:$D$50=(Y130&amp;"|"&amp;$B$2))*'Rate Master'!$G$2:$G$50),SUMPRODUCT(('Rate Master'!$D$2:$D$50=(Y130&amp;"|"&amp;$B$2))*'Rate Master'!$H$2:$H$50)))),"")</f>
      </c>
      <c r="AA130" s="26">
        <f>IFERROR(IF($B130&lt;&gt;"Entry","",IF(OR(X130="Individual",X130="HUF"),SUMPRODUCT(('Rate Master'!$D$2:$D$50=(Y130&amp;"|"&amp;$B$2))*'Rate Master'!$E$2:$E$50),SUMPRODUCT(('Rate Master'!$D$2:$D$50=(Y130&amp;"|"&amp;$B$2))*'Rate Master'!$F$2:$F$50))),"")</f>
      </c>
      <c r="AB130" s="29"/>
      <c r="AC130" s="30"/>
      <c r="AD130" s="31"/>
      <c r="AE130" s="26">
        <f>IF($B130&lt;&gt;"Entry","",ROUND(AD130*AB130/100,0))</f>
      </c>
      <c r="AF130" s="31"/>
      <c r="AG130" s="31"/>
      <c r="AH130" s="26">
        <f>IF($B130&lt;&gt;"Entry","",IF(OR(AE130=0,AC130="",AS130="",AS130&lt;=0),0,IF(AS130&lt;=DATE(YEAR(AC130),MONTH(AC130)+1,7),0,ROUND(AE130*0.015*((YEAR(AS130)-YEAR(AC130))*12+(MONTH(AS130)-MONTH(AC130))+1),0))))</f>
      </c>
      <c r="AI130" s="31"/>
      <c r="AJ130" s="27"/>
      <c r="AK130" s="27"/>
      <c r="AL130" s="29"/>
      <c r="AM130" s="27"/>
      <c r="AN130" s="27"/>
      <c r="AO130" s="26">
        <f>IF($B130&lt;&gt;"Challan","",SUMIF($C$8:$C$207,$C130,$AE$8:$AE$207)+SUMIF($C$8:$C$207,$C130,$AH$8:$AH$207)+SUMIF($C$8:$C$207,$C130,$AF$8:$AF$207))</f>
      </c>
      <c r="AP130" s="26">
        <f>IF($B130&lt;&gt;"Challan","",O130-M130)</f>
      </c>
      <c r="AQ130" s="26">
        <f>IF($B130&lt;&gt;"Challan","",MAX(0,AP130-AO130))</f>
      </c>
      <c r="AR130" s="32">
        <f>IF($B130&lt;&gt;"Challan","",IF(ROUND(AO130-AP130,2)&gt;0,"Over-applied",IF(ROUND(AO130-AP130,2)=0,"Fully Utilised","Unconsumed")))</f>
      </c>
      <c r="AS130" s="33">
        <f>IF($B130&lt;&gt;"Entry","",SUMPRODUCT(($C$8:$C$207=$C130)*($B$8:$B$207="Challan")*$F$8:$F$207))</f>
      </c>
    </row>
    <row r="131" spans="1:45" x14ac:dyDescent="0.25">
      <c r="A131" s="19">
        <f>IF($B131="Entry",COUNTIF($B$8:$B131,"Entry"),"")</f>
      </c>
      <c r="B131" s="20"/>
      <c r="C131" s="21"/>
      <c r="D131" s="22"/>
      <c r="E131" s="22"/>
      <c r="F131" s="23"/>
      <c r="G131" s="24"/>
      <c r="H131" s="25"/>
      <c r="I131" s="25"/>
      <c r="J131" s="25"/>
      <c r="K131" s="25"/>
      <c r="L131" s="25"/>
      <c r="M131" s="25"/>
      <c r="N131" s="25"/>
      <c r="O131" s="26">
        <f>IF($B131&lt;&gt;"Challan","",H131+I131+J131+K131+L131+M131)</f>
      </c>
      <c r="P131" s="24"/>
      <c r="Q131" s="24"/>
      <c r="R131" s="24"/>
      <c r="S131" s="24"/>
      <c r="T131" s="24"/>
      <c r="U131" s="27"/>
      <c r="V131" s="27"/>
      <c r="W131" s="27"/>
      <c r="X131" s="27"/>
      <c r="Y131" s="27"/>
      <c r="Z131" s="28">
        <f>IFERROR(IF($B131&lt;&gt;"Entry","",IF(W131="Y",SUMPRODUCT(('Rate Master'!$D$2:$D$50=(Y131&amp;"|"&amp;$B$2))*'Rate Master'!$I$2:$I$50),IF(OR(X131="Individual",X131="HUF"),SUMPRODUCT(('Rate Master'!$D$2:$D$50=(Y131&amp;"|"&amp;$B$2))*'Rate Master'!$G$2:$G$50),SUMPRODUCT(('Rate Master'!$D$2:$D$50=(Y131&amp;"|"&amp;$B$2))*'Rate Master'!$H$2:$H$50)))),"")</f>
      </c>
      <c r="AA131" s="26">
        <f>IFERROR(IF($B131&lt;&gt;"Entry","",IF(OR(X131="Individual",X131="HUF"),SUMPRODUCT(('Rate Master'!$D$2:$D$50=(Y131&amp;"|"&amp;$B$2))*'Rate Master'!$E$2:$E$50),SUMPRODUCT(('Rate Master'!$D$2:$D$50=(Y131&amp;"|"&amp;$B$2))*'Rate Master'!$F$2:$F$50))),"")</f>
      </c>
      <c r="AB131" s="29"/>
      <c r="AC131" s="30"/>
      <c r="AD131" s="31"/>
      <c r="AE131" s="26">
        <f>IF($B131&lt;&gt;"Entry","",ROUND(AD131*AB131/100,0))</f>
      </c>
      <c r="AF131" s="31"/>
      <c r="AG131" s="31"/>
      <c r="AH131" s="26">
        <f>IF($B131&lt;&gt;"Entry","",IF(OR(AE131=0,AC131="",AS131="",AS131&lt;=0),0,IF(AS131&lt;=DATE(YEAR(AC131),MONTH(AC131)+1,7),0,ROUND(AE131*0.015*((YEAR(AS131)-YEAR(AC131))*12+(MONTH(AS131)-MONTH(AC131))+1),0))))</f>
      </c>
      <c r="AI131" s="31"/>
      <c r="AJ131" s="27"/>
      <c r="AK131" s="27"/>
      <c r="AL131" s="29"/>
      <c r="AM131" s="27"/>
      <c r="AN131" s="27"/>
      <c r="AO131" s="26">
        <f>IF($B131&lt;&gt;"Challan","",SUMIF($C$8:$C$207,$C131,$AE$8:$AE$207)+SUMIF($C$8:$C$207,$C131,$AH$8:$AH$207)+SUMIF($C$8:$C$207,$C131,$AF$8:$AF$207))</f>
      </c>
      <c r="AP131" s="26">
        <f>IF($B131&lt;&gt;"Challan","",O131-M131)</f>
      </c>
      <c r="AQ131" s="26">
        <f>IF($B131&lt;&gt;"Challan","",MAX(0,AP131-AO131))</f>
      </c>
      <c r="AR131" s="32">
        <f>IF($B131&lt;&gt;"Challan","",IF(ROUND(AO131-AP131,2)&gt;0,"Over-applied",IF(ROUND(AO131-AP131,2)=0,"Fully Utilised","Unconsumed")))</f>
      </c>
      <c r="AS131" s="33">
        <f>IF($B131&lt;&gt;"Entry","",SUMPRODUCT(($C$8:$C$207=$C131)*($B$8:$B$207="Challan")*$F$8:$F$207))</f>
      </c>
    </row>
    <row r="132" spans="1:45" x14ac:dyDescent="0.25">
      <c r="A132" s="19">
        <f>IF($B132="Entry",COUNTIF($B$8:$B132,"Entry"),"")</f>
      </c>
      <c r="B132" s="20"/>
      <c r="C132" s="21"/>
      <c r="D132" s="22"/>
      <c r="E132" s="22"/>
      <c r="F132" s="23"/>
      <c r="G132" s="24"/>
      <c r="H132" s="25"/>
      <c r="I132" s="25"/>
      <c r="J132" s="25"/>
      <c r="K132" s="25"/>
      <c r="L132" s="25"/>
      <c r="M132" s="25"/>
      <c r="N132" s="25"/>
      <c r="O132" s="26">
        <f>IF($B132&lt;&gt;"Challan","",H132+I132+J132+K132+L132+M132)</f>
      </c>
      <c r="P132" s="24"/>
      <c r="Q132" s="24"/>
      <c r="R132" s="24"/>
      <c r="S132" s="24"/>
      <c r="T132" s="24"/>
      <c r="U132" s="27"/>
      <c r="V132" s="27"/>
      <c r="W132" s="27"/>
      <c r="X132" s="27"/>
      <c r="Y132" s="27"/>
      <c r="Z132" s="28">
        <f>IFERROR(IF($B132&lt;&gt;"Entry","",IF(W132="Y",SUMPRODUCT(('Rate Master'!$D$2:$D$50=(Y132&amp;"|"&amp;$B$2))*'Rate Master'!$I$2:$I$50),IF(OR(X132="Individual",X132="HUF"),SUMPRODUCT(('Rate Master'!$D$2:$D$50=(Y132&amp;"|"&amp;$B$2))*'Rate Master'!$G$2:$G$50),SUMPRODUCT(('Rate Master'!$D$2:$D$50=(Y132&amp;"|"&amp;$B$2))*'Rate Master'!$H$2:$H$50)))),"")</f>
      </c>
      <c r="AA132" s="26">
        <f>IFERROR(IF($B132&lt;&gt;"Entry","",IF(OR(X132="Individual",X132="HUF"),SUMPRODUCT(('Rate Master'!$D$2:$D$50=(Y132&amp;"|"&amp;$B$2))*'Rate Master'!$E$2:$E$50),SUMPRODUCT(('Rate Master'!$D$2:$D$50=(Y132&amp;"|"&amp;$B$2))*'Rate Master'!$F$2:$F$50))),"")</f>
      </c>
      <c r="AB132" s="29"/>
      <c r="AC132" s="30"/>
      <c r="AD132" s="31"/>
      <c r="AE132" s="26">
        <f>IF($B132&lt;&gt;"Entry","",ROUND(AD132*AB132/100,0))</f>
      </c>
      <c r="AF132" s="31"/>
      <c r="AG132" s="31"/>
      <c r="AH132" s="26">
        <f>IF($B132&lt;&gt;"Entry","",IF(OR(AE132=0,AC132="",AS132="",AS132&lt;=0),0,IF(AS132&lt;=DATE(YEAR(AC132),MONTH(AC132)+1,7),0,ROUND(AE132*0.015*((YEAR(AS132)-YEAR(AC132))*12+(MONTH(AS132)-MONTH(AC132))+1),0))))</f>
      </c>
      <c r="AI132" s="31"/>
      <c r="AJ132" s="27"/>
      <c r="AK132" s="27"/>
      <c r="AL132" s="29"/>
      <c r="AM132" s="27"/>
      <c r="AN132" s="27"/>
      <c r="AO132" s="26">
        <f>IF($B132&lt;&gt;"Challan","",SUMIF($C$8:$C$207,$C132,$AE$8:$AE$207)+SUMIF($C$8:$C$207,$C132,$AH$8:$AH$207)+SUMIF($C$8:$C$207,$C132,$AF$8:$AF$207))</f>
      </c>
      <c r="AP132" s="26">
        <f>IF($B132&lt;&gt;"Challan","",O132-M132)</f>
      </c>
      <c r="AQ132" s="26">
        <f>IF($B132&lt;&gt;"Challan","",MAX(0,AP132-AO132))</f>
      </c>
      <c r="AR132" s="32">
        <f>IF($B132&lt;&gt;"Challan","",IF(ROUND(AO132-AP132,2)&gt;0,"Over-applied",IF(ROUND(AO132-AP132,2)=0,"Fully Utilised","Unconsumed")))</f>
      </c>
      <c r="AS132" s="33">
        <f>IF($B132&lt;&gt;"Entry","",SUMPRODUCT(($C$8:$C$207=$C132)*($B$8:$B$207="Challan")*$F$8:$F$207))</f>
      </c>
    </row>
    <row r="133" spans="1:45" x14ac:dyDescent="0.25">
      <c r="A133" s="19">
        <f>IF($B133="Entry",COUNTIF($B$8:$B133,"Entry"),"")</f>
      </c>
      <c r="B133" s="20"/>
      <c r="C133" s="21"/>
      <c r="D133" s="22"/>
      <c r="E133" s="22"/>
      <c r="F133" s="23"/>
      <c r="G133" s="24"/>
      <c r="H133" s="25"/>
      <c r="I133" s="25"/>
      <c r="J133" s="25"/>
      <c r="K133" s="25"/>
      <c r="L133" s="25"/>
      <c r="M133" s="25"/>
      <c r="N133" s="25"/>
      <c r="O133" s="26">
        <f>IF($B133&lt;&gt;"Challan","",H133+I133+J133+K133+L133+M133)</f>
      </c>
      <c r="P133" s="24"/>
      <c r="Q133" s="24"/>
      <c r="R133" s="24"/>
      <c r="S133" s="24"/>
      <c r="T133" s="24"/>
      <c r="U133" s="27"/>
      <c r="V133" s="27"/>
      <c r="W133" s="27"/>
      <c r="X133" s="27"/>
      <c r="Y133" s="27"/>
      <c r="Z133" s="28">
        <f>IFERROR(IF($B133&lt;&gt;"Entry","",IF(W133="Y",SUMPRODUCT(('Rate Master'!$D$2:$D$50=(Y133&amp;"|"&amp;$B$2))*'Rate Master'!$I$2:$I$50),IF(OR(X133="Individual",X133="HUF"),SUMPRODUCT(('Rate Master'!$D$2:$D$50=(Y133&amp;"|"&amp;$B$2))*'Rate Master'!$G$2:$G$50),SUMPRODUCT(('Rate Master'!$D$2:$D$50=(Y133&amp;"|"&amp;$B$2))*'Rate Master'!$H$2:$H$50)))),"")</f>
      </c>
      <c r="AA133" s="26">
        <f>IFERROR(IF($B133&lt;&gt;"Entry","",IF(OR(X133="Individual",X133="HUF"),SUMPRODUCT(('Rate Master'!$D$2:$D$50=(Y133&amp;"|"&amp;$B$2))*'Rate Master'!$E$2:$E$50),SUMPRODUCT(('Rate Master'!$D$2:$D$50=(Y133&amp;"|"&amp;$B$2))*'Rate Master'!$F$2:$F$50))),"")</f>
      </c>
      <c r="AB133" s="29"/>
      <c r="AC133" s="30"/>
      <c r="AD133" s="31"/>
      <c r="AE133" s="26">
        <f>IF($B133&lt;&gt;"Entry","",ROUND(AD133*AB133/100,0))</f>
      </c>
      <c r="AF133" s="31"/>
      <c r="AG133" s="31"/>
      <c r="AH133" s="26">
        <f>IF($B133&lt;&gt;"Entry","",IF(OR(AE133=0,AC133="",AS133="",AS133&lt;=0),0,IF(AS133&lt;=DATE(YEAR(AC133),MONTH(AC133)+1,7),0,ROUND(AE133*0.015*((YEAR(AS133)-YEAR(AC133))*12+(MONTH(AS133)-MONTH(AC133))+1),0))))</f>
      </c>
      <c r="AI133" s="31"/>
      <c r="AJ133" s="27"/>
      <c r="AK133" s="27"/>
      <c r="AL133" s="29"/>
      <c r="AM133" s="27"/>
      <c r="AN133" s="27"/>
      <c r="AO133" s="26">
        <f>IF($B133&lt;&gt;"Challan","",SUMIF($C$8:$C$207,$C133,$AE$8:$AE$207)+SUMIF($C$8:$C$207,$C133,$AH$8:$AH$207)+SUMIF($C$8:$C$207,$C133,$AF$8:$AF$207))</f>
      </c>
      <c r="AP133" s="26">
        <f>IF($B133&lt;&gt;"Challan","",O133-M133)</f>
      </c>
      <c r="AQ133" s="26">
        <f>IF($B133&lt;&gt;"Challan","",MAX(0,AP133-AO133))</f>
      </c>
      <c r="AR133" s="32">
        <f>IF($B133&lt;&gt;"Challan","",IF(ROUND(AO133-AP133,2)&gt;0,"Over-applied",IF(ROUND(AO133-AP133,2)=0,"Fully Utilised","Unconsumed")))</f>
      </c>
      <c r="AS133" s="33">
        <f>IF($B133&lt;&gt;"Entry","",SUMPRODUCT(($C$8:$C$207=$C133)*($B$8:$B$207="Challan")*$F$8:$F$207))</f>
      </c>
    </row>
    <row r="134" spans="1:45" x14ac:dyDescent="0.25">
      <c r="A134" s="19">
        <f>IF($B134="Entry",COUNTIF($B$8:$B134,"Entry"),"")</f>
      </c>
      <c r="B134" s="20"/>
      <c r="C134" s="21"/>
      <c r="D134" s="22"/>
      <c r="E134" s="22"/>
      <c r="F134" s="23"/>
      <c r="G134" s="24"/>
      <c r="H134" s="25"/>
      <c r="I134" s="25"/>
      <c r="J134" s="25"/>
      <c r="K134" s="25"/>
      <c r="L134" s="25"/>
      <c r="M134" s="25"/>
      <c r="N134" s="25"/>
      <c r="O134" s="26">
        <f>IF($B134&lt;&gt;"Challan","",H134+I134+J134+K134+L134+M134)</f>
      </c>
      <c r="P134" s="24"/>
      <c r="Q134" s="24"/>
      <c r="R134" s="24"/>
      <c r="S134" s="24"/>
      <c r="T134" s="24"/>
      <c r="U134" s="27"/>
      <c r="V134" s="27"/>
      <c r="W134" s="27"/>
      <c r="X134" s="27"/>
      <c r="Y134" s="27"/>
      <c r="Z134" s="28">
        <f>IFERROR(IF($B134&lt;&gt;"Entry","",IF(W134="Y",SUMPRODUCT(('Rate Master'!$D$2:$D$50=(Y134&amp;"|"&amp;$B$2))*'Rate Master'!$I$2:$I$50),IF(OR(X134="Individual",X134="HUF"),SUMPRODUCT(('Rate Master'!$D$2:$D$50=(Y134&amp;"|"&amp;$B$2))*'Rate Master'!$G$2:$G$50),SUMPRODUCT(('Rate Master'!$D$2:$D$50=(Y134&amp;"|"&amp;$B$2))*'Rate Master'!$H$2:$H$50)))),"")</f>
      </c>
      <c r="AA134" s="26">
        <f>IFERROR(IF($B134&lt;&gt;"Entry","",IF(OR(X134="Individual",X134="HUF"),SUMPRODUCT(('Rate Master'!$D$2:$D$50=(Y134&amp;"|"&amp;$B$2))*'Rate Master'!$E$2:$E$50),SUMPRODUCT(('Rate Master'!$D$2:$D$50=(Y134&amp;"|"&amp;$B$2))*'Rate Master'!$F$2:$F$50))),"")</f>
      </c>
      <c r="AB134" s="29"/>
      <c r="AC134" s="30"/>
      <c r="AD134" s="31"/>
      <c r="AE134" s="26">
        <f>IF($B134&lt;&gt;"Entry","",ROUND(AD134*AB134/100,0))</f>
      </c>
      <c r="AF134" s="31"/>
      <c r="AG134" s="31"/>
      <c r="AH134" s="26">
        <f>IF($B134&lt;&gt;"Entry","",IF(OR(AE134=0,AC134="",AS134="",AS134&lt;=0),0,IF(AS134&lt;=DATE(YEAR(AC134),MONTH(AC134)+1,7),0,ROUND(AE134*0.015*((YEAR(AS134)-YEAR(AC134))*12+(MONTH(AS134)-MONTH(AC134))+1),0))))</f>
      </c>
      <c r="AI134" s="31"/>
      <c r="AJ134" s="27"/>
      <c r="AK134" s="27"/>
      <c r="AL134" s="29"/>
      <c r="AM134" s="27"/>
      <c r="AN134" s="27"/>
      <c r="AO134" s="26">
        <f>IF($B134&lt;&gt;"Challan","",SUMIF($C$8:$C$207,$C134,$AE$8:$AE$207)+SUMIF($C$8:$C$207,$C134,$AH$8:$AH$207)+SUMIF($C$8:$C$207,$C134,$AF$8:$AF$207))</f>
      </c>
      <c r="AP134" s="26">
        <f>IF($B134&lt;&gt;"Challan","",O134-M134)</f>
      </c>
      <c r="AQ134" s="26">
        <f>IF($B134&lt;&gt;"Challan","",MAX(0,AP134-AO134))</f>
      </c>
      <c r="AR134" s="32">
        <f>IF($B134&lt;&gt;"Challan","",IF(ROUND(AO134-AP134,2)&gt;0,"Over-applied",IF(ROUND(AO134-AP134,2)=0,"Fully Utilised","Unconsumed")))</f>
      </c>
      <c r="AS134" s="33">
        <f>IF($B134&lt;&gt;"Entry","",SUMPRODUCT(($C$8:$C$207=$C134)*($B$8:$B$207="Challan")*$F$8:$F$207))</f>
      </c>
    </row>
    <row r="135" spans="1:45" x14ac:dyDescent="0.25">
      <c r="A135" s="19">
        <f>IF($B135="Entry",COUNTIF($B$8:$B135,"Entry"),"")</f>
      </c>
      <c r="B135" s="20"/>
      <c r="C135" s="21"/>
      <c r="D135" s="22"/>
      <c r="E135" s="22"/>
      <c r="F135" s="23"/>
      <c r="G135" s="24"/>
      <c r="H135" s="25"/>
      <c r="I135" s="25"/>
      <c r="J135" s="25"/>
      <c r="K135" s="25"/>
      <c r="L135" s="25"/>
      <c r="M135" s="25"/>
      <c r="N135" s="25"/>
      <c r="O135" s="26">
        <f>IF($B135&lt;&gt;"Challan","",H135+I135+J135+K135+L135+M135)</f>
      </c>
      <c r="P135" s="24"/>
      <c r="Q135" s="24"/>
      <c r="R135" s="24"/>
      <c r="S135" s="24"/>
      <c r="T135" s="24"/>
      <c r="U135" s="27"/>
      <c r="V135" s="27"/>
      <c r="W135" s="27"/>
      <c r="X135" s="27"/>
      <c r="Y135" s="27"/>
      <c r="Z135" s="28">
        <f>IFERROR(IF($B135&lt;&gt;"Entry","",IF(W135="Y",SUMPRODUCT(('Rate Master'!$D$2:$D$50=(Y135&amp;"|"&amp;$B$2))*'Rate Master'!$I$2:$I$50),IF(OR(X135="Individual",X135="HUF"),SUMPRODUCT(('Rate Master'!$D$2:$D$50=(Y135&amp;"|"&amp;$B$2))*'Rate Master'!$G$2:$G$50),SUMPRODUCT(('Rate Master'!$D$2:$D$50=(Y135&amp;"|"&amp;$B$2))*'Rate Master'!$H$2:$H$50)))),"")</f>
      </c>
      <c r="AA135" s="26">
        <f>IFERROR(IF($B135&lt;&gt;"Entry","",IF(OR(X135="Individual",X135="HUF"),SUMPRODUCT(('Rate Master'!$D$2:$D$50=(Y135&amp;"|"&amp;$B$2))*'Rate Master'!$E$2:$E$50),SUMPRODUCT(('Rate Master'!$D$2:$D$50=(Y135&amp;"|"&amp;$B$2))*'Rate Master'!$F$2:$F$50))),"")</f>
      </c>
      <c r="AB135" s="29"/>
      <c r="AC135" s="30"/>
      <c r="AD135" s="31"/>
      <c r="AE135" s="26">
        <f>IF($B135&lt;&gt;"Entry","",ROUND(AD135*AB135/100,0))</f>
      </c>
      <c r="AF135" s="31"/>
      <c r="AG135" s="31"/>
      <c r="AH135" s="26">
        <f>IF($B135&lt;&gt;"Entry","",IF(OR(AE135=0,AC135="",AS135="",AS135&lt;=0),0,IF(AS135&lt;=DATE(YEAR(AC135),MONTH(AC135)+1,7),0,ROUND(AE135*0.015*((YEAR(AS135)-YEAR(AC135))*12+(MONTH(AS135)-MONTH(AC135))+1),0))))</f>
      </c>
      <c r="AI135" s="31"/>
      <c r="AJ135" s="27"/>
      <c r="AK135" s="27"/>
      <c r="AL135" s="29"/>
      <c r="AM135" s="27"/>
      <c r="AN135" s="27"/>
      <c r="AO135" s="26">
        <f>IF($B135&lt;&gt;"Challan","",SUMIF($C$8:$C$207,$C135,$AE$8:$AE$207)+SUMIF($C$8:$C$207,$C135,$AH$8:$AH$207)+SUMIF($C$8:$C$207,$C135,$AF$8:$AF$207))</f>
      </c>
      <c r="AP135" s="26">
        <f>IF($B135&lt;&gt;"Challan","",O135-M135)</f>
      </c>
      <c r="AQ135" s="26">
        <f>IF($B135&lt;&gt;"Challan","",MAX(0,AP135-AO135))</f>
      </c>
      <c r="AR135" s="32">
        <f>IF($B135&lt;&gt;"Challan","",IF(ROUND(AO135-AP135,2)&gt;0,"Over-applied",IF(ROUND(AO135-AP135,2)=0,"Fully Utilised","Unconsumed")))</f>
      </c>
      <c r="AS135" s="33">
        <f>IF($B135&lt;&gt;"Entry","",SUMPRODUCT(($C$8:$C$207=$C135)*($B$8:$B$207="Challan")*$F$8:$F$207))</f>
      </c>
    </row>
    <row r="136" spans="1:45" x14ac:dyDescent="0.25">
      <c r="A136" s="19">
        <f>IF($B136="Entry",COUNTIF($B$8:$B136,"Entry"),"")</f>
      </c>
      <c r="B136" s="20"/>
      <c r="C136" s="21"/>
      <c r="D136" s="22"/>
      <c r="E136" s="22"/>
      <c r="F136" s="23"/>
      <c r="G136" s="24"/>
      <c r="H136" s="25"/>
      <c r="I136" s="25"/>
      <c r="J136" s="25"/>
      <c r="K136" s="25"/>
      <c r="L136" s="25"/>
      <c r="M136" s="25"/>
      <c r="N136" s="25"/>
      <c r="O136" s="26">
        <f>IF($B136&lt;&gt;"Challan","",H136+I136+J136+K136+L136+M136)</f>
      </c>
      <c r="P136" s="24"/>
      <c r="Q136" s="24"/>
      <c r="R136" s="24"/>
      <c r="S136" s="24"/>
      <c r="T136" s="24"/>
      <c r="U136" s="27"/>
      <c r="V136" s="27"/>
      <c r="W136" s="27"/>
      <c r="X136" s="27"/>
      <c r="Y136" s="27"/>
      <c r="Z136" s="28">
        <f>IFERROR(IF($B136&lt;&gt;"Entry","",IF(W136="Y",SUMPRODUCT(('Rate Master'!$D$2:$D$50=(Y136&amp;"|"&amp;$B$2))*'Rate Master'!$I$2:$I$50),IF(OR(X136="Individual",X136="HUF"),SUMPRODUCT(('Rate Master'!$D$2:$D$50=(Y136&amp;"|"&amp;$B$2))*'Rate Master'!$G$2:$G$50),SUMPRODUCT(('Rate Master'!$D$2:$D$50=(Y136&amp;"|"&amp;$B$2))*'Rate Master'!$H$2:$H$50)))),"")</f>
      </c>
      <c r="AA136" s="26">
        <f>IFERROR(IF($B136&lt;&gt;"Entry","",IF(OR(X136="Individual",X136="HUF"),SUMPRODUCT(('Rate Master'!$D$2:$D$50=(Y136&amp;"|"&amp;$B$2))*'Rate Master'!$E$2:$E$50),SUMPRODUCT(('Rate Master'!$D$2:$D$50=(Y136&amp;"|"&amp;$B$2))*'Rate Master'!$F$2:$F$50))),"")</f>
      </c>
      <c r="AB136" s="29"/>
      <c r="AC136" s="30"/>
      <c r="AD136" s="31"/>
      <c r="AE136" s="26">
        <f>IF($B136&lt;&gt;"Entry","",ROUND(AD136*AB136/100,0))</f>
      </c>
      <c r="AF136" s="31"/>
      <c r="AG136" s="31"/>
      <c r="AH136" s="26">
        <f>IF($B136&lt;&gt;"Entry","",IF(OR(AE136=0,AC136="",AS136="",AS136&lt;=0),0,IF(AS136&lt;=DATE(YEAR(AC136),MONTH(AC136)+1,7),0,ROUND(AE136*0.015*((YEAR(AS136)-YEAR(AC136))*12+(MONTH(AS136)-MONTH(AC136))+1),0))))</f>
      </c>
      <c r="AI136" s="31"/>
      <c r="AJ136" s="27"/>
      <c r="AK136" s="27"/>
      <c r="AL136" s="29"/>
      <c r="AM136" s="27"/>
      <c r="AN136" s="27"/>
      <c r="AO136" s="26">
        <f>IF($B136&lt;&gt;"Challan","",SUMIF($C$8:$C$207,$C136,$AE$8:$AE$207)+SUMIF($C$8:$C$207,$C136,$AH$8:$AH$207)+SUMIF($C$8:$C$207,$C136,$AF$8:$AF$207))</f>
      </c>
      <c r="AP136" s="26">
        <f>IF($B136&lt;&gt;"Challan","",O136-M136)</f>
      </c>
      <c r="AQ136" s="26">
        <f>IF($B136&lt;&gt;"Challan","",MAX(0,AP136-AO136))</f>
      </c>
      <c r="AR136" s="32">
        <f>IF($B136&lt;&gt;"Challan","",IF(ROUND(AO136-AP136,2)&gt;0,"Over-applied",IF(ROUND(AO136-AP136,2)=0,"Fully Utilised","Unconsumed")))</f>
      </c>
      <c r="AS136" s="33">
        <f>IF($B136&lt;&gt;"Entry","",SUMPRODUCT(($C$8:$C$207=$C136)*($B$8:$B$207="Challan")*$F$8:$F$207))</f>
      </c>
    </row>
    <row r="137" spans="1:45" x14ac:dyDescent="0.25">
      <c r="A137" s="19">
        <f>IF($B137="Entry",COUNTIF($B$8:$B137,"Entry"),"")</f>
      </c>
      <c r="B137" s="20"/>
      <c r="C137" s="21"/>
      <c r="D137" s="22"/>
      <c r="E137" s="22"/>
      <c r="F137" s="23"/>
      <c r="G137" s="24"/>
      <c r="H137" s="25"/>
      <c r="I137" s="25"/>
      <c r="J137" s="25"/>
      <c r="K137" s="25"/>
      <c r="L137" s="25"/>
      <c r="M137" s="25"/>
      <c r="N137" s="25"/>
      <c r="O137" s="26">
        <f>IF($B137&lt;&gt;"Challan","",H137+I137+J137+K137+L137+M137)</f>
      </c>
      <c r="P137" s="24"/>
      <c r="Q137" s="24"/>
      <c r="R137" s="24"/>
      <c r="S137" s="24"/>
      <c r="T137" s="24"/>
      <c r="U137" s="27"/>
      <c r="V137" s="27"/>
      <c r="W137" s="27"/>
      <c r="X137" s="27"/>
      <c r="Y137" s="27"/>
      <c r="Z137" s="28">
        <f>IFERROR(IF($B137&lt;&gt;"Entry","",IF(W137="Y",SUMPRODUCT(('Rate Master'!$D$2:$D$50=(Y137&amp;"|"&amp;$B$2))*'Rate Master'!$I$2:$I$50),IF(OR(X137="Individual",X137="HUF"),SUMPRODUCT(('Rate Master'!$D$2:$D$50=(Y137&amp;"|"&amp;$B$2))*'Rate Master'!$G$2:$G$50),SUMPRODUCT(('Rate Master'!$D$2:$D$50=(Y137&amp;"|"&amp;$B$2))*'Rate Master'!$H$2:$H$50)))),"")</f>
      </c>
      <c r="AA137" s="26">
        <f>IFERROR(IF($B137&lt;&gt;"Entry","",IF(OR(X137="Individual",X137="HUF"),SUMPRODUCT(('Rate Master'!$D$2:$D$50=(Y137&amp;"|"&amp;$B$2))*'Rate Master'!$E$2:$E$50),SUMPRODUCT(('Rate Master'!$D$2:$D$50=(Y137&amp;"|"&amp;$B$2))*'Rate Master'!$F$2:$F$50))),"")</f>
      </c>
      <c r="AB137" s="29"/>
      <c r="AC137" s="30"/>
      <c r="AD137" s="31"/>
      <c r="AE137" s="26">
        <f>IF($B137&lt;&gt;"Entry","",ROUND(AD137*AB137/100,0))</f>
      </c>
      <c r="AF137" s="31"/>
      <c r="AG137" s="31"/>
      <c r="AH137" s="26">
        <f>IF($B137&lt;&gt;"Entry","",IF(OR(AE137=0,AC137="",AS137="",AS137&lt;=0),0,IF(AS137&lt;=DATE(YEAR(AC137),MONTH(AC137)+1,7),0,ROUND(AE137*0.015*((YEAR(AS137)-YEAR(AC137))*12+(MONTH(AS137)-MONTH(AC137))+1),0))))</f>
      </c>
      <c r="AI137" s="31"/>
      <c r="AJ137" s="27"/>
      <c r="AK137" s="27"/>
      <c r="AL137" s="29"/>
      <c r="AM137" s="27"/>
      <c r="AN137" s="27"/>
      <c r="AO137" s="26">
        <f>IF($B137&lt;&gt;"Challan","",SUMIF($C$8:$C$207,$C137,$AE$8:$AE$207)+SUMIF($C$8:$C$207,$C137,$AH$8:$AH$207)+SUMIF($C$8:$C$207,$C137,$AF$8:$AF$207))</f>
      </c>
      <c r="AP137" s="26">
        <f>IF($B137&lt;&gt;"Challan","",O137-M137)</f>
      </c>
      <c r="AQ137" s="26">
        <f>IF($B137&lt;&gt;"Challan","",MAX(0,AP137-AO137))</f>
      </c>
      <c r="AR137" s="32">
        <f>IF($B137&lt;&gt;"Challan","",IF(ROUND(AO137-AP137,2)&gt;0,"Over-applied",IF(ROUND(AO137-AP137,2)=0,"Fully Utilised","Unconsumed")))</f>
      </c>
      <c r="AS137" s="33">
        <f>IF($B137&lt;&gt;"Entry","",SUMPRODUCT(($C$8:$C$207=$C137)*($B$8:$B$207="Challan")*$F$8:$F$207))</f>
      </c>
    </row>
    <row r="138" spans="1:45" x14ac:dyDescent="0.25">
      <c r="A138" s="19">
        <f>IF($B138="Entry",COUNTIF($B$8:$B138,"Entry"),"")</f>
      </c>
      <c r="B138" s="20"/>
      <c r="C138" s="21"/>
      <c r="D138" s="22"/>
      <c r="E138" s="22"/>
      <c r="F138" s="23"/>
      <c r="G138" s="24"/>
      <c r="H138" s="25"/>
      <c r="I138" s="25"/>
      <c r="J138" s="25"/>
      <c r="K138" s="25"/>
      <c r="L138" s="25"/>
      <c r="M138" s="25"/>
      <c r="N138" s="25"/>
      <c r="O138" s="26">
        <f>IF($B138&lt;&gt;"Challan","",H138+I138+J138+K138+L138+M138)</f>
      </c>
      <c r="P138" s="24"/>
      <c r="Q138" s="24"/>
      <c r="R138" s="24"/>
      <c r="S138" s="24"/>
      <c r="T138" s="24"/>
      <c r="U138" s="27"/>
      <c r="V138" s="27"/>
      <c r="W138" s="27"/>
      <c r="X138" s="27"/>
      <c r="Y138" s="27"/>
      <c r="Z138" s="28">
        <f>IFERROR(IF($B138&lt;&gt;"Entry","",IF(W138="Y",SUMPRODUCT(('Rate Master'!$D$2:$D$50=(Y138&amp;"|"&amp;$B$2))*'Rate Master'!$I$2:$I$50),IF(OR(X138="Individual",X138="HUF"),SUMPRODUCT(('Rate Master'!$D$2:$D$50=(Y138&amp;"|"&amp;$B$2))*'Rate Master'!$G$2:$G$50),SUMPRODUCT(('Rate Master'!$D$2:$D$50=(Y138&amp;"|"&amp;$B$2))*'Rate Master'!$H$2:$H$50)))),"")</f>
      </c>
      <c r="AA138" s="26">
        <f>IFERROR(IF($B138&lt;&gt;"Entry","",IF(OR(X138="Individual",X138="HUF"),SUMPRODUCT(('Rate Master'!$D$2:$D$50=(Y138&amp;"|"&amp;$B$2))*'Rate Master'!$E$2:$E$50),SUMPRODUCT(('Rate Master'!$D$2:$D$50=(Y138&amp;"|"&amp;$B$2))*'Rate Master'!$F$2:$F$50))),"")</f>
      </c>
      <c r="AB138" s="29"/>
      <c r="AC138" s="30"/>
      <c r="AD138" s="31"/>
      <c r="AE138" s="26">
        <f>IF($B138&lt;&gt;"Entry","",ROUND(AD138*AB138/100,0))</f>
      </c>
      <c r="AF138" s="31"/>
      <c r="AG138" s="31"/>
      <c r="AH138" s="26">
        <f>IF($B138&lt;&gt;"Entry","",IF(OR(AE138=0,AC138="",AS138="",AS138&lt;=0),0,IF(AS138&lt;=DATE(YEAR(AC138),MONTH(AC138)+1,7),0,ROUND(AE138*0.015*((YEAR(AS138)-YEAR(AC138))*12+(MONTH(AS138)-MONTH(AC138))+1),0))))</f>
      </c>
      <c r="AI138" s="31"/>
      <c r="AJ138" s="27"/>
      <c r="AK138" s="27"/>
      <c r="AL138" s="29"/>
      <c r="AM138" s="27"/>
      <c r="AN138" s="27"/>
      <c r="AO138" s="26">
        <f>IF($B138&lt;&gt;"Challan","",SUMIF($C$8:$C$207,$C138,$AE$8:$AE$207)+SUMIF($C$8:$C$207,$C138,$AH$8:$AH$207)+SUMIF($C$8:$C$207,$C138,$AF$8:$AF$207))</f>
      </c>
      <c r="AP138" s="26">
        <f>IF($B138&lt;&gt;"Challan","",O138-M138)</f>
      </c>
      <c r="AQ138" s="26">
        <f>IF($B138&lt;&gt;"Challan","",MAX(0,AP138-AO138))</f>
      </c>
      <c r="AR138" s="32">
        <f>IF($B138&lt;&gt;"Challan","",IF(ROUND(AO138-AP138,2)&gt;0,"Over-applied",IF(ROUND(AO138-AP138,2)=0,"Fully Utilised","Unconsumed")))</f>
      </c>
      <c r="AS138" s="33">
        <f>IF($B138&lt;&gt;"Entry","",SUMPRODUCT(($C$8:$C$207=$C138)*($B$8:$B$207="Challan")*$F$8:$F$207))</f>
      </c>
    </row>
    <row r="139" spans="1:45" x14ac:dyDescent="0.25">
      <c r="A139" s="19">
        <f>IF($B139="Entry",COUNTIF($B$8:$B139,"Entry"),"")</f>
      </c>
      <c r="B139" s="20"/>
      <c r="C139" s="21"/>
      <c r="D139" s="22"/>
      <c r="E139" s="22"/>
      <c r="F139" s="23"/>
      <c r="G139" s="24"/>
      <c r="H139" s="25"/>
      <c r="I139" s="25"/>
      <c r="J139" s="25"/>
      <c r="K139" s="25"/>
      <c r="L139" s="25"/>
      <c r="M139" s="25"/>
      <c r="N139" s="25"/>
      <c r="O139" s="26">
        <f>IF($B139&lt;&gt;"Challan","",H139+I139+J139+K139+L139+M139)</f>
      </c>
      <c r="P139" s="24"/>
      <c r="Q139" s="24"/>
      <c r="R139" s="24"/>
      <c r="S139" s="24"/>
      <c r="T139" s="24"/>
      <c r="U139" s="27"/>
      <c r="V139" s="27"/>
      <c r="W139" s="27"/>
      <c r="X139" s="27"/>
      <c r="Y139" s="27"/>
      <c r="Z139" s="28">
        <f>IFERROR(IF($B139&lt;&gt;"Entry","",IF(W139="Y",SUMPRODUCT(('Rate Master'!$D$2:$D$50=(Y139&amp;"|"&amp;$B$2))*'Rate Master'!$I$2:$I$50),IF(OR(X139="Individual",X139="HUF"),SUMPRODUCT(('Rate Master'!$D$2:$D$50=(Y139&amp;"|"&amp;$B$2))*'Rate Master'!$G$2:$G$50),SUMPRODUCT(('Rate Master'!$D$2:$D$50=(Y139&amp;"|"&amp;$B$2))*'Rate Master'!$H$2:$H$50)))),"")</f>
      </c>
      <c r="AA139" s="26">
        <f>IFERROR(IF($B139&lt;&gt;"Entry","",IF(OR(X139="Individual",X139="HUF"),SUMPRODUCT(('Rate Master'!$D$2:$D$50=(Y139&amp;"|"&amp;$B$2))*'Rate Master'!$E$2:$E$50),SUMPRODUCT(('Rate Master'!$D$2:$D$50=(Y139&amp;"|"&amp;$B$2))*'Rate Master'!$F$2:$F$50))),"")</f>
      </c>
      <c r="AB139" s="29"/>
      <c r="AC139" s="30"/>
      <c r="AD139" s="31"/>
      <c r="AE139" s="26">
        <f>IF($B139&lt;&gt;"Entry","",ROUND(AD139*AB139/100,0))</f>
      </c>
      <c r="AF139" s="31"/>
      <c r="AG139" s="31"/>
      <c r="AH139" s="26">
        <f>IF($B139&lt;&gt;"Entry","",IF(OR(AE139=0,AC139="",AS139="",AS139&lt;=0),0,IF(AS139&lt;=DATE(YEAR(AC139),MONTH(AC139)+1,7),0,ROUND(AE139*0.015*((YEAR(AS139)-YEAR(AC139))*12+(MONTH(AS139)-MONTH(AC139))+1),0))))</f>
      </c>
      <c r="AI139" s="31"/>
      <c r="AJ139" s="27"/>
      <c r="AK139" s="27"/>
      <c r="AL139" s="29"/>
      <c r="AM139" s="27"/>
      <c r="AN139" s="27"/>
      <c r="AO139" s="26">
        <f>IF($B139&lt;&gt;"Challan","",SUMIF($C$8:$C$207,$C139,$AE$8:$AE$207)+SUMIF($C$8:$C$207,$C139,$AH$8:$AH$207)+SUMIF($C$8:$C$207,$C139,$AF$8:$AF$207))</f>
      </c>
      <c r="AP139" s="26">
        <f>IF($B139&lt;&gt;"Challan","",O139-M139)</f>
      </c>
      <c r="AQ139" s="26">
        <f>IF($B139&lt;&gt;"Challan","",MAX(0,AP139-AO139))</f>
      </c>
      <c r="AR139" s="32">
        <f>IF($B139&lt;&gt;"Challan","",IF(ROUND(AO139-AP139,2)&gt;0,"Over-applied",IF(ROUND(AO139-AP139,2)=0,"Fully Utilised","Unconsumed")))</f>
      </c>
      <c r="AS139" s="33">
        <f>IF($B139&lt;&gt;"Entry","",SUMPRODUCT(($C$8:$C$207=$C139)*($B$8:$B$207="Challan")*$F$8:$F$207))</f>
      </c>
    </row>
    <row r="140" spans="1:45" x14ac:dyDescent="0.25">
      <c r="A140" s="19">
        <f>IF($B140="Entry",COUNTIF($B$8:$B140,"Entry"),"")</f>
      </c>
      <c r="B140" s="20"/>
      <c r="C140" s="21"/>
      <c r="D140" s="22"/>
      <c r="E140" s="22"/>
      <c r="F140" s="23"/>
      <c r="G140" s="24"/>
      <c r="H140" s="25"/>
      <c r="I140" s="25"/>
      <c r="J140" s="25"/>
      <c r="K140" s="25"/>
      <c r="L140" s="25"/>
      <c r="M140" s="25"/>
      <c r="N140" s="25"/>
      <c r="O140" s="26">
        <f>IF($B140&lt;&gt;"Challan","",H140+I140+J140+K140+L140+M140)</f>
      </c>
      <c r="P140" s="24"/>
      <c r="Q140" s="24"/>
      <c r="R140" s="24"/>
      <c r="S140" s="24"/>
      <c r="T140" s="24"/>
      <c r="U140" s="27"/>
      <c r="V140" s="27"/>
      <c r="W140" s="27"/>
      <c r="X140" s="27"/>
      <c r="Y140" s="27"/>
      <c r="Z140" s="28">
        <f>IFERROR(IF($B140&lt;&gt;"Entry","",IF(W140="Y",SUMPRODUCT(('Rate Master'!$D$2:$D$50=(Y140&amp;"|"&amp;$B$2))*'Rate Master'!$I$2:$I$50),IF(OR(X140="Individual",X140="HUF"),SUMPRODUCT(('Rate Master'!$D$2:$D$50=(Y140&amp;"|"&amp;$B$2))*'Rate Master'!$G$2:$G$50),SUMPRODUCT(('Rate Master'!$D$2:$D$50=(Y140&amp;"|"&amp;$B$2))*'Rate Master'!$H$2:$H$50)))),"")</f>
      </c>
      <c r="AA140" s="26">
        <f>IFERROR(IF($B140&lt;&gt;"Entry","",IF(OR(X140="Individual",X140="HUF"),SUMPRODUCT(('Rate Master'!$D$2:$D$50=(Y140&amp;"|"&amp;$B$2))*'Rate Master'!$E$2:$E$50),SUMPRODUCT(('Rate Master'!$D$2:$D$50=(Y140&amp;"|"&amp;$B$2))*'Rate Master'!$F$2:$F$50))),"")</f>
      </c>
      <c r="AB140" s="29"/>
      <c r="AC140" s="30"/>
      <c r="AD140" s="31"/>
      <c r="AE140" s="26">
        <f>IF($B140&lt;&gt;"Entry","",ROUND(AD140*AB140/100,0))</f>
      </c>
      <c r="AF140" s="31"/>
      <c r="AG140" s="31"/>
      <c r="AH140" s="26">
        <f>IF($B140&lt;&gt;"Entry","",IF(OR(AE140=0,AC140="",AS140="",AS140&lt;=0),0,IF(AS140&lt;=DATE(YEAR(AC140),MONTH(AC140)+1,7),0,ROUND(AE140*0.015*((YEAR(AS140)-YEAR(AC140))*12+(MONTH(AS140)-MONTH(AC140))+1),0))))</f>
      </c>
      <c r="AI140" s="31"/>
      <c r="AJ140" s="27"/>
      <c r="AK140" s="27"/>
      <c r="AL140" s="29"/>
      <c r="AM140" s="27"/>
      <c r="AN140" s="27"/>
      <c r="AO140" s="26">
        <f>IF($B140&lt;&gt;"Challan","",SUMIF($C$8:$C$207,$C140,$AE$8:$AE$207)+SUMIF($C$8:$C$207,$C140,$AH$8:$AH$207)+SUMIF($C$8:$C$207,$C140,$AF$8:$AF$207))</f>
      </c>
      <c r="AP140" s="26">
        <f>IF($B140&lt;&gt;"Challan","",O140-M140)</f>
      </c>
      <c r="AQ140" s="26">
        <f>IF($B140&lt;&gt;"Challan","",MAX(0,AP140-AO140))</f>
      </c>
      <c r="AR140" s="32">
        <f>IF($B140&lt;&gt;"Challan","",IF(ROUND(AO140-AP140,2)&gt;0,"Over-applied",IF(ROUND(AO140-AP140,2)=0,"Fully Utilised","Unconsumed")))</f>
      </c>
      <c r="AS140" s="33">
        <f>IF($B140&lt;&gt;"Entry","",SUMPRODUCT(($C$8:$C$207=$C140)*($B$8:$B$207="Challan")*$F$8:$F$207))</f>
      </c>
    </row>
    <row r="141" spans="1:45" x14ac:dyDescent="0.25">
      <c r="A141" s="19">
        <f>IF($B141="Entry",COUNTIF($B$8:$B141,"Entry"),"")</f>
      </c>
      <c r="B141" s="20"/>
      <c r="C141" s="21"/>
      <c r="D141" s="22"/>
      <c r="E141" s="22"/>
      <c r="F141" s="23"/>
      <c r="G141" s="24"/>
      <c r="H141" s="25"/>
      <c r="I141" s="25"/>
      <c r="J141" s="25"/>
      <c r="K141" s="25"/>
      <c r="L141" s="25"/>
      <c r="M141" s="25"/>
      <c r="N141" s="25"/>
      <c r="O141" s="26">
        <f>IF($B141&lt;&gt;"Challan","",H141+I141+J141+K141+L141+M141)</f>
      </c>
      <c r="P141" s="24"/>
      <c r="Q141" s="24"/>
      <c r="R141" s="24"/>
      <c r="S141" s="24"/>
      <c r="T141" s="24"/>
      <c r="U141" s="27"/>
      <c r="V141" s="27"/>
      <c r="W141" s="27"/>
      <c r="X141" s="27"/>
      <c r="Y141" s="27"/>
      <c r="Z141" s="28">
        <f>IFERROR(IF($B141&lt;&gt;"Entry","",IF(W141="Y",SUMPRODUCT(('Rate Master'!$D$2:$D$50=(Y141&amp;"|"&amp;$B$2))*'Rate Master'!$I$2:$I$50),IF(OR(X141="Individual",X141="HUF"),SUMPRODUCT(('Rate Master'!$D$2:$D$50=(Y141&amp;"|"&amp;$B$2))*'Rate Master'!$G$2:$G$50),SUMPRODUCT(('Rate Master'!$D$2:$D$50=(Y141&amp;"|"&amp;$B$2))*'Rate Master'!$H$2:$H$50)))),"")</f>
      </c>
      <c r="AA141" s="26">
        <f>IFERROR(IF($B141&lt;&gt;"Entry","",IF(OR(X141="Individual",X141="HUF"),SUMPRODUCT(('Rate Master'!$D$2:$D$50=(Y141&amp;"|"&amp;$B$2))*'Rate Master'!$E$2:$E$50),SUMPRODUCT(('Rate Master'!$D$2:$D$50=(Y141&amp;"|"&amp;$B$2))*'Rate Master'!$F$2:$F$50))),"")</f>
      </c>
      <c r="AB141" s="29"/>
      <c r="AC141" s="30"/>
      <c r="AD141" s="31"/>
      <c r="AE141" s="26">
        <f>IF($B141&lt;&gt;"Entry","",ROUND(AD141*AB141/100,0))</f>
      </c>
      <c r="AF141" s="31"/>
      <c r="AG141" s="31"/>
      <c r="AH141" s="26">
        <f>IF($B141&lt;&gt;"Entry","",IF(OR(AE141=0,AC141="",AS141="",AS141&lt;=0),0,IF(AS141&lt;=DATE(YEAR(AC141),MONTH(AC141)+1,7),0,ROUND(AE141*0.015*((YEAR(AS141)-YEAR(AC141))*12+(MONTH(AS141)-MONTH(AC141))+1),0))))</f>
      </c>
      <c r="AI141" s="31"/>
      <c r="AJ141" s="27"/>
      <c r="AK141" s="27"/>
      <c r="AL141" s="29"/>
      <c r="AM141" s="27"/>
      <c r="AN141" s="27"/>
      <c r="AO141" s="26">
        <f>IF($B141&lt;&gt;"Challan","",SUMIF($C$8:$C$207,$C141,$AE$8:$AE$207)+SUMIF($C$8:$C$207,$C141,$AH$8:$AH$207)+SUMIF($C$8:$C$207,$C141,$AF$8:$AF$207))</f>
      </c>
      <c r="AP141" s="26">
        <f>IF($B141&lt;&gt;"Challan","",O141-M141)</f>
      </c>
      <c r="AQ141" s="26">
        <f>IF($B141&lt;&gt;"Challan","",MAX(0,AP141-AO141))</f>
      </c>
      <c r="AR141" s="32">
        <f>IF($B141&lt;&gt;"Challan","",IF(ROUND(AO141-AP141,2)&gt;0,"Over-applied",IF(ROUND(AO141-AP141,2)=0,"Fully Utilised","Unconsumed")))</f>
      </c>
      <c r="AS141" s="33">
        <f>IF($B141&lt;&gt;"Entry","",SUMPRODUCT(($C$8:$C$207=$C141)*($B$8:$B$207="Challan")*$F$8:$F$207))</f>
      </c>
    </row>
    <row r="142" spans="1:45" x14ac:dyDescent="0.25">
      <c r="A142" s="19">
        <f>IF($B142="Entry",COUNTIF($B$8:$B142,"Entry"),"")</f>
      </c>
      <c r="B142" s="20"/>
      <c r="C142" s="21"/>
      <c r="D142" s="22"/>
      <c r="E142" s="22"/>
      <c r="F142" s="23"/>
      <c r="G142" s="24"/>
      <c r="H142" s="25"/>
      <c r="I142" s="25"/>
      <c r="J142" s="25"/>
      <c r="K142" s="25"/>
      <c r="L142" s="25"/>
      <c r="M142" s="25"/>
      <c r="N142" s="25"/>
      <c r="O142" s="26">
        <f>IF($B142&lt;&gt;"Challan","",H142+I142+J142+K142+L142+M142)</f>
      </c>
      <c r="P142" s="24"/>
      <c r="Q142" s="24"/>
      <c r="R142" s="24"/>
      <c r="S142" s="24"/>
      <c r="T142" s="24"/>
      <c r="U142" s="27"/>
      <c r="V142" s="27"/>
      <c r="W142" s="27"/>
      <c r="X142" s="27"/>
      <c r="Y142" s="27"/>
      <c r="Z142" s="28">
        <f>IFERROR(IF($B142&lt;&gt;"Entry","",IF(W142="Y",SUMPRODUCT(('Rate Master'!$D$2:$D$50=(Y142&amp;"|"&amp;$B$2))*'Rate Master'!$I$2:$I$50),IF(OR(X142="Individual",X142="HUF"),SUMPRODUCT(('Rate Master'!$D$2:$D$50=(Y142&amp;"|"&amp;$B$2))*'Rate Master'!$G$2:$G$50),SUMPRODUCT(('Rate Master'!$D$2:$D$50=(Y142&amp;"|"&amp;$B$2))*'Rate Master'!$H$2:$H$50)))),"")</f>
      </c>
      <c r="AA142" s="26">
        <f>IFERROR(IF($B142&lt;&gt;"Entry","",IF(OR(X142="Individual",X142="HUF"),SUMPRODUCT(('Rate Master'!$D$2:$D$50=(Y142&amp;"|"&amp;$B$2))*'Rate Master'!$E$2:$E$50),SUMPRODUCT(('Rate Master'!$D$2:$D$50=(Y142&amp;"|"&amp;$B$2))*'Rate Master'!$F$2:$F$50))),"")</f>
      </c>
      <c r="AB142" s="29"/>
      <c r="AC142" s="30"/>
      <c r="AD142" s="31"/>
      <c r="AE142" s="26">
        <f>IF($B142&lt;&gt;"Entry","",ROUND(AD142*AB142/100,0))</f>
      </c>
      <c r="AF142" s="31"/>
      <c r="AG142" s="31"/>
      <c r="AH142" s="26">
        <f>IF($B142&lt;&gt;"Entry","",IF(OR(AE142=0,AC142="",AS142="",AS142&lt;=0),0,IF(AS142&lt;=DATE(YEAR(AC142),MONTH(AC142)+1,7),0,ROUND(AE142*0.015*((YEAR(AS142)-YEAR(AC142))*12+(MONTH(AS142)-MONTH(AC142))+1),0))))</f>
      </c>
      <c r="AI142" s="31"/>
      <c r="AJ142" s="27"/>
      <c r="AK142" s="27"/>
      <c r="AL142" s="29"/>
      <c r="AM142" s="27"/>
      <c r="AN142" s="27"/>
      <c r="AO142" s="26">
        <f>IF($B142&lt;&gt;"Challan","",SUMIF($C$8:$C$207,$C142,$AE$8:$AE$207)+SUMIF($C$8:$C$207,$C142,$AH$8:$AH$207)+SUMIF($C$8:$C$207,$C142,$AF$8:$AF$207))</f>
      </c>
      <c r="AP142" s="26">
        <f>IF($B142&lt;&gt;"Challan","",O142-M142)</f>
      </c>
      <c r="AQ142" s="26">
        <f>IF($B142&lt;&gt;"Challan","",MAX(0,AP142-AO142))</f>
      </c>
      <c r="AR142" s="32">
        <f>IF($B142&lt;&gt;"Challan","",IF(ROUND(AO142-AP142,2)&gt;0,"Over-applied",IF(ROUND(AO142-AP142,2)=0,"Fully Utilised","Unconsumed")))</f>
      </c>
      <c r="AS142" s="33">
        <f>IF($B142&lt;&gt;"Entry","",SUMPRODUCT(($C$8:$C$207=$C142)*($B$8:$B$207="Challan")*$F$8:$F$207))</f>
      </c>
    </row>
    <row r="143" spans="1:45" x14ac:dyDescent="0.25">
      <c r="A143" s="19">
        <f>IF($B143="Entry",COUNTIF($B$8:$B143,"Entry"),"")</f>
      </c>
      <c r="B143" s="20"/>
      <c r="C143" s="21"/>
      <c r="D143" s="22"/>
      <c r="E143" s="22"/>
      <c r="F143" s="23"/>
      <c r="G143" s="24"/>
      <c r="H143" s="25"/>
      <c r="I143" s="25"/>
      <c r="J143" s="25"/>
      <c r="K143" s="25"/>
      <c r="L143" s="25"/>
      <c r="M143" s="25"/>
      <c r="N143" s="25"/>
      <c r="O143" s="26">
        <f>IF($B143&lt;&gt;"Challan","",H143+I143+J143+K143+L143+M143)</f>
      </c>
      <c r="P143" s="24"/>
      <c r="Q143" s="24"/>
      <c r="R143" s="24"/>
      <c r="S143" s="24"/>
      <c r="T143" s="24"/>
      <c r="U143" s="27"/>
      <c r="V143" s="27"/>
      <c r="W143" s="27"/>
      <c r="X143" s="27"/>
      <c r="Y143" s="27"/>
      <c r="Z143" s="28">
        <f>IFERROR(IF($B143&lt;&gt;"Entry","",IF(W143="Y",SUMPRODUCT(('Rate Master'!$D$2:$D$50=(Y143&amp;"|"&amp;$B$2))*'Rate Master'!$I$2:$I$50),IF(OR(X143="Individual",X143="HUF"),SUMPRODUCT(('Rate Master'!$D$2:$D$50=(Y143&amp;"|"&amp;$B$2))*'Rate Master'!$G$2:$G$50),SUMPRODUCT(('Rate Master'!$D$2:$D$50=(Y143&amp;"|"&amp;$B$2))*'Rate Master'!$H$2:$H$50)))),"")</f>
      </c>
      <c r="AA143" s="26">
        <f>IFERROR(IF($B143&lt;&gt;"Entry","",IF(OR(X143="Individual",X143="HUF"),SUMPRODUCT(('Rate Master'!$D$2:$D$50=(Y143&amp;"|"&amp;$B$2))*'Rate Master'!$E$2:$E$50),SUMPRODUCT(('Rate Master'!$D$2:$D$50=(Y143&amp;"|"&amp;$B$2))*'Rate Master'!$F$2:$F$50))),"")</f>
      </c>
      <c r="AB143" s="29"/>
      <c r="AC143" s="30"/>
      <c r="AD143" s="31"/>
      <c r="AE143" s="26">
        <f>IF($B143&lt;&gt;"Entry","",ROUND(AD143*AB143/100,0))</f>
      </c>
      <c r="AF143" s="31"/>
      <c r="AG143" s="31"/>
      <c r="AH143" s="26">
        <f>IF($B143&lt;&gt;"Entry","",IF(OR(AE143=0,AC143="",AS143="",AS143&lt;=0),0,IF(AS143&lt;=DATE(YEAR(AC143),MONTH(AC143)+1,7),0,ROUND(AE143*0.015*((YEAR(AS143)-YEAR(AC143))*12+(MONTH(AS143)-MONTH(AC143))+1),0))))</f>
      </c>
      <c r="AI143" s="31"/>
      <c r="AJ143" s="27"/>
      <c r="AK143" s="27"/>
      <c r="AL143" s="29"/>
      <c r="AM143" s="27"/>
      <c r="AN143" s="27"/>
      <c r="AO143" s="26">
        <f>IF($B143&lt;&gt;"Challan","",SUMIF($C$8:$C$207,$C143,$AE$8:$AE$207)+SUMIF($C$8:$C$207,$C143,$AH$8:$AH$207)+SUMIF($C$8:$C$207,$C143,$AF$8:$AF$207))</f>
      </c>
      <c r="AP143" s="26">
        <f>IF($B143&lt;&gt;"Challan","",O143-M143)</f>
      </c>
      <c r="AQ143" s="26">
        <f>IF($B143&lt;&gt;"Challan","",MAX(0,AP143-AO143))</f>
      </c>
      <c r="AR143" s="32">
        <f>IF($B143&lt;&gt;"Challan","",IF(ROUND(AO143-AP143,2)&gt;0,"Over-applied",IF(ROUND(AO143-AP143,2)=0,"Fully Utilised","Unconsumed")))</f>
      </c>
      <c r="AS143" s="33">
        <f>IF($B143&lt;&gt;"Entry","",SUMPRODUCT(($C$8:$C$207=$C143)*($B$8:$B$207="Challan")*$F$8:$F$207))</f>
      </c>
    </row>
    <row r="144" spans="1:45" x14ac:dyDescent="0.25">
      <c r="A144" s="19">
        <f>IF($B144="Entry",COUNTIF($B$8:$B144,"Entry"),"")</f>
      </c>
      <c r="B144" s="20"/>
      <c r="C144" s="21"/>
      <c r="D144" s="22"/>
      <c r="E144" s="22"/>
      <c r="F144" s="23"/>
      <c r="G144" s="24"/>
      <c r="H144" s="25"/>
      <c r="I144" s="25"/>
      <c r="J144" s="25"/>
      <c r="K144" s="25"/>
      <c r="L144" s="25"/>
      <c r="M144" s="25"/>
      <c r="N144" s="25"/>
      <c r="O144" s="26">
        <f>IF($B144&lt;&gt;"Challan","",H144+I144+J144+K144+L144+M144)</f>
      </c>
      <c r="P144" s="24"/>
      <c r="Q144" s="24"/>
      <c r="R144" s="24"/>
      <c r="S144" s="24"/>
      <c r="T144" s="24"/>
      <c r="U144" s="27"/>
      <c r="V144" s="27"/>
      <c r="W144" s="27"/>
      <c r="X144" s="27"/>
      <c r="Y144" s="27"/>
      <c r="Z144" s="28">
        <f>IFERROR(IF($B144&lt;&gt;"Entry","",IF(W144="Y",SUMPRODUCT(('Rate Master'!$D$2:$D$50=(Y144&amp;"|"&amp;$B$2))*'Rate Master'!$I$2:$I$50),IF(OR(X144="Individual",X144="HUF"),SUMPRODUCT(('Rate Master'!$D$2:$D$50=(Y144&amp;"|"&amp;$B$2))*'Rate Master'!$G$2:$G$50),SUMPRODUCT(('Rate Master'!$D$2:$D$50=(Y144&amp;"|"&amp;$B$2))*'Rate Master'!$H$2:$H$50)))),"")</f>
      </c>
      <c r="AA144" s="26">
        <f>IFERROR(IF($B144&lt;&gt;"Entry","",IF(OR(X144="Individual",X144="HUF"),SUMPRODUCT(('Rate Master'!$D$2:$D$50=(Y144&amp;"|"&amp;$B$2))*'Rate Master'!$E$2:$E$50),SUMPRODUCT(('Rate Master'!$D$2:$D$50=(Y144&amp;"|"&amp;$B$2))*'Rate Master'!$F$2:$F$50))),"")</f>
      </c>
      <c r="AB144" s="29"/>
      <c r="AC144" s="30"/>
      <c r="AD144" s="31"/>
      <c r="AE144" s="26">
        <f>IF($B144&lt;&gt;"Entry","",ROUND(AD144*AB144/100,0))</f>
      </c>
      <c r="AF144" s="31"/>
      <c r="AG144" s="31"/>
      <c r="AH144" s="26">
        <f>IF($B144&lt;&gt;"Entry","",IF(OR(AE144=0,AC144="",AS144="",AS144&lt;=0),0,IF(AS144&lt;=DATE(YEAR(AC144),MONTH(AC144)+1,7),0,ROUND(AE144*0.015*((YEAR(AS144)-YEAR(AC144))*12+(MONTH(AS144)-MONTH(AC144))+1),0))))</f>
      </c>
      <c r="AI144" s="31"/>
      <c r="AJ144" s="27"/>
      <c r="AK144" s="27"/>
      <c r="AL144" s="29"/>
      <c r="AM144" s="27"/>
      <c r="AN144" s="27"/>
      <c r="AO144" s="26">
        <f>IF($B144&lt;&gt;"Challan","",SUMIF($C$8:$C$207,$C144,$AE$8:$AE$207)+SUMIF($C$8:$C$207,$C144,$AH$8:$AH$207)+SUMIF($C$8:$C$207,$C144,$AF$8:$AF$207))</f>
      </c>
      <c r="AP144" s="26">
        <f>IF($B144&lt;&gt;"Challan","",O144-M144)</f>
      </c>
      <c r="AQ144" s="26">
        <f>IF($B144&lt;&gt;"Challan","",MAX(0,AP144-AO144))</f>
      </c>
      <c r="AR144" s="32">
        <f>IF($B144&lt;&gt;"Challan","",IF(ROUND(AO144-AP144,2)&gt;0,"Over-applied",IF(ROUND(AO144-AP144,2)=0,"Fully Utilised","Unconsumed")))</f>
      </c>
      <c r="AS144" s="33">
        <f>IF($B144&lt;&gt;"Entry","",SUMPRODUCT(($C$8:$C$207=$C144)*($B$8:$B$207="Challan")*$F$8:$F$207))</f>
      </c>
    </row>
    <row r="145" spans="1:45" x14ac:dyDescent="0.25">
      <c r="A145" s="19">
        <f>IF($B145="Entry",COUNTIF($B$8:$B145,"Entry"),"")</f>
      </c>
      <c r="B145" s="20"/>
      <c r="C145" s="21"/>
      <c r="D145" s="22"/>
      <c r="E145" s="22"/>
      <c r="F145" s="23"/>
      <c r="G145" s="24"/>
      <c r="H145" s="25"/>
      <c r="I145" s="25"/>
      <c r="J145" s="25"/>
      <c r="K145" s="25"/>
      <c r="L145" s="25"/>
      <c r="M145" s="25"/>
      <c r="N145" s="25"/>
      <c r="O145" s="26">
        <f>IF($B145&lt;&gt;"Challan","",H145+I145+J145+K145+L145+M145)</f>
      </c>
      <c r="P145" s="24"/>
      <c r="Q145" s="24"/>
      <c r="R145" s="24"/>
      <c r="S145" s="24"/>
      <c r="T145" s="24"/>
      <c r="U145" s="27"/>
      <c r="V145" s="27"/>
      <c r="W145" s="27"/>
      <c r="X145" s="27"/>
      <c r="Y145" s="27"/>
      <c r="Z145" s="28">
        <f>IFERROR(IF($B145&lt;&gt;"Entry","",IF(W145="Y",SUMPRODUCT(('Rate Master'!$D$2:$D$50=(Y145&amp;"|"&amp;$B$2))*'Rate Master'!$I$2:$I$50),IF(OR(X145="Individual",X145="HUF"),SUMPRODUCT(('Rate Master'!$D$2:$D$50=(Y145&amp;"|"&amp;$B$2))*'Rate Master'!$G$2:$G$50),SUMPRODUCT(('Rate Master'!$D$2:$D$50=(Y145&amp;"|"&amp;$B$2))*'Rate Master'!$H$2:$H$50)))),"")</f>
      </c>
      <c r="AA145" s="26">
        <f>IFERROR(IF($B145&lt;&gt;"Entry","",IF(OR(X145="Individual",X145="HUF"),SUMPRODUCT(('Rate Master'!$D$2:$D$50=(Y145&amp;"|"&amp;$B$2))*'Rate Master'!$E$2:$E$50),SUMPRODUCT(('Rate Master'!$D$2:$D$50=(Y145&amp;"|"&amp;$B$2))*'Rate Master'!$F$2:$F$50))),"")</f>
      </c>
      <c r="AB145" s="29"/>
      <c r="AC145" s="30"/>
      <c r="AD145" s="31"/>
      <c r="AE145" s="26">
        <f>IF($B145&lt;&gt;"Entry","",ROUND(AD145*AB145/100,0))</f>
      </c>
      <c r="AF145" s="31"/>
      <c r="AG145" s="31"/>
      <c r="AH145" s="26">
        <f>IF($B145&lt;&gt;"Entry","",IF(OR(AE145=0,AC145="",AS145="",AS145&lt;=0),0,IF(AS145&lt;=DATE(YEAR(AC145),MONTH(AC145)+1,7),0,ROUND(AE145*0.015*((YEAR(AS145)-YEAR(AC145))*12+(MONTH(AS145)-MONTH(AC145))+1),0))))</f>
      </c>
      <c r="AI145" s="31"/>
      <c r="AJ145" s="27"/>
      <c r="AK145" s="27"/>
      <c r="AL145" s="29"/>
      <c r="AM145" s="27"/>
      <c r="AN145" s="27"/>
      <c r="AO145" s="26">
        <f>IF($B145&lt;&gt;"Challan","",SUMIF($C$8:$C$207,$C145,$AE$8:$AE$207)+SUMIF($C$8:$C$207,$C145,$AH$8:$AH$207)+SUMIF($C$8:$C$207,$C145,$AF$8:$AF$207))</f>
      </c>
      <c r="AP145" s="26">
        <f>IF($B145&lt;&gt;"Challan","",O145-M145)</f>
      </c>
      <c r="AQ145" s="26">
        <f>IF($B145&lt;&gt;"Challan","",MAX(0,AP145-AO145))</f>
      </c>
      <c r="AR145" s="32">
        <f>IF($B145&lt;&gt;"Challan","",IF(ROUND(AO145-AP145,2)&gt;0,"Over-applied",IF(ROUND(AO145-AP145,2)=0,"Fully Utilised","Unconsumed")))</f>
      </c>
      <c r="AS145" s="33">
        <f>IF($B145&lt;&gt;"Entry","",SUMPRODUCT(($C$8:$C$207=$C145)*($B$8:$B$207="Challan")*$F$8:$F$207))</f>
      </c>
    </row>
    <row r="146" spans="1:45" x14ac:dyDescent="0.25">
      <c r="A146" s="19">
        <f>IF($B146="Entry",COUNTIF($B$8:$B146,"Entry"),"")</f>
      </c>
      <c r="B146" s="20"/>
      <c r="C146" s="21"/>
      <c r="D146" s="22"/>
      <c r="E146" s="22"/>
      <c r="F146" s="23"/>
      <c r="G146" s="24"/>
      <c r="H146" s="25"/>
      <c r="I146" s="25"/>
      <c r="J146" s="25"/>
      <c r="K146" s="25"/>
      <c r="L146" s="25"/>
      <c r="M146" s="25"/>
      <c r="N146" s="25"/>
      <c r="O146" s="26">
        <f>IF($B146&lt;&gt;"Challan","",H146+I146+J146+K146+L146+M146)</f>
      </c>
      <c r="P146" s="24"/>
      <c r="Q146" s="24"/>
      <c r="R146" s="24"/>
      <c r="S146" s="24"/>
      <c r="T146" s="24"/>
      <c r="U146" s="27"/>
      <c r="V146" s="27"/>
      <c r="W146" s="27"/>
      <c r="X146" s="27"/>
      <c r="Y146" s="27"/>
      <c r="Z146" s="28">
        <f>IFERROR(IF($B146&lt;&gt;"Entry","",IF(W146="Y",SUMPRODUCT(('Rate Master'!$D$2:$D$50=(Y146&amp;"|"&amp;$B$2))*'Rate Master'!$I$2:$I$50),IF(OR(X146="Individual",X146="HUF"),SUMPRODUCT(('Rate Master'!$D$2:$D$50=(Y146&amp;"|"&amp;$B$2))*'Rate Master'!$G$2:$G$50),SUMPRODUCT(('Rate Master'!$D$2:$D$50=(Y146&amp;"|"&amp;$B$2))*'Rate Master'!$H$2:$H$50)))),"")</f>
      </c>
      <c r="AA146" s="26">
        <f>IFERROR(IF($B146&lt;&gt;"Entry","",IF(OR(X146="Individual",X146="HUF"),SUMPRODUCT(('Rate Master'!$D$2:$D$50=(Y146&amp;"|"&amp;$B$2))*'Rate Master'!$E$2:$E$50),SUMPRODUCT(('Rate Master'!$D$2:$D$50=(Y146&amp;"|"&amp;$B$2))*'Rate Master'!$F$2:$F$50))),"")</f>
      </c>
      <c r="AB146" s="29"/>
      <c r="AC146" s="30"/>
      <c r="AD146" s="31"/>
      <c r="AE146" s="26">
        <f>IF($B146&lt;&gt;"Entry","",ROUND(AD146*AB146/100,0))</f>
      </c>
      <c r="AF146" s="31"/>
      <c r="AG146" s="31"/>
      <c r="AH146" s="26">
        <f>IF($B146&lt;&gt;"Entry","",IF(OR(AE146=0,AC146="",AS146="",AS146&lt;=0),0,IF(AS146&lt;=DATE(YEAR(AC146),MONTH(AC146)+1,7),0,ROUND(AE146*0.015*((YEAR(AS146)-YEAR(AC146))*12+(MONTH(AS146)-MONTH(AC146))+1),0))))</f>
      </c>
      <c r="AI146" s="31"/>
      <c r="AJ146" s="27"/>
      <c r="AK146" s="27"/>
      <c r="AL146" s="29"/>
      <c r="AM146" s="27"/>
      <c r="AN146" s="27"/>
      <c r="AO146" s="26">
        <f>IF($B146&lt;&gt;"Challan","",SUMIF($C$8:$C$207,$C146,$AE$8:$AE$207)+SUMIF($C$8:$C$207,$C146,$AH$8:$AH$207)+SUMIF($C$8:$C$207,$C146,$AF$8:$AF$207))</f>
      </c>
      <c r="AP146" s="26">
        <f>IF($B146&lt;&gt;"Challan","",O146-M146)</f>
      </c>
      <c r="AQ146" s="26">
        <f>IF($B146&lt;&gt;"Challan","",MAX(0,AP146-AO146))</f>
      </c>
      <c r="AR146" s="32">
        <f>IF($B146&lt;&gt;"Challan","",IF(ROUND(AO146-AP146,2)&gt;0,"Over-applied",IF(ROUND(AO146-AP146,2)=0,"Fully Utilised","Unconsumed")))</f>
      </c>
      <c r="AS146" s="33">
        <f>IF($B146&lt;&gt;"Entry","",SUMPRODUCT(($C$8:$C$207=$C146)*($B$8:$B$207="Challan")*$F$8:$F$207))</f>
      </c>
    </row>
    <row r="147" spans="1:45" x14ac:dyDescent="0.25">
      <c r="A147" s="19">
        <f>IF($B147="Entry",COUNTIF($B$8:$B147,"Entry"),"")</f>
      </c>
      <c r="B147" s="20"/>
      <c r="C147" s="21"/>
      <c r="D147" s="22"/>
      <c r="E147" s="22"/>
      <c r="F147" s="23"/>
      <c r="G147" s="24"/>
      <c r="H147" s="25"/>
      <c r="I147" s="25"/>
      <c r="J147" s="25"/>
      <c r="K147" s="25"/>
      <c r="L147" s="25"/>
      <c r="M147" s="25"/>
      <c r="N147" s="25"/>
      <c r="O147" s="26">
        <f>IF($B147&lt;&gt;"Challan","",H147+I147+J147+K147+L147+M147)</f>
      </c>
      <c r="P147" s="24"/>
      <c r="Q147" s="24"/>
      <c r="R147" s="24"/>
      <c r="S147" s="24"/>
      <c r="T147" s="24"/>
      <c r="U147" s="27"/>
      <c r="V147" s="27"/>
      <c r="W147" s="27"/>
      <c r="X147" s="27"/>
      <c r="Y147" s="27"/>
      <c r="Z147" s="28">
        <f>IFERROR(IF($B147&lt;&gt;"Entry","",IF(W147="Y",SUMPRODUCT(('Rate Master'!$D$2:$D$50=(Y147&amp;"|"&amp;$B$2))*'Rate Master'!$I$2:$I$50),IF(OR(X147="Individual",X147="HUF"),SUMPRODUCT(('Rate Master'!$D$2:$D$50=(Y147&amp;"|"&amp;$B$2))*'Rate Master'!$G$2:$G$50),SUMPRODUCT(('Rate Master'!$D$2:$D$50=(Y147&amp;"|"&amp;$B$2))*'Rate Master'!$H$2:$H$50)))),"")</f>
      </c>
      <c r="AA147" s="26">
        <f>IFERROR(IF($B147&lt;&gt;"Entry","",IF(OR(X147="Individual",X147="HUF"),SUMPRODUCT(('Rate Master'!$D$2:$D$50=(Y147&amp;"|"&amp;$B$2))*'Rate Master'!$E$2:$E$50),SUMPRODUCT(('Rate Master'!$D$2:$D$50=(Y147&amp;"|"&amp;$B$2))*'Rate Master'!$F$2:$F$50))),"")</f>
      </c>
      <c r="AB147" s="29"/>
      <c r="AC147" s="30"/>
      <c r="AD147" s="31"/>
      <c r="AE147" s="26">
        <f>IF($B147&lt;&gt;"Entry","",ROUND(AD147*AB147/100,0))</f>
      </c>
      <c r="AF147" s="31"/>
      <c r="AG147" s="31"/>
      <c r="AH147" s="26">
        <f>IF($B147&lt;&gt;"Entry","",IF(OR(AE147=0,AC147="",AS147="",AS147&lt;=0),0,IF(AS147&lt;=DATE(YEAR(AC147),MONTH(AC147)+1,7),0,ROUND(AE147*0.015*((YEAR(AS147)-YEAR(AC147))*12+(MONTH(AS147)-MONTH(AC147))+1),0))))</f>
      </c>
      <c r="AI147" s="31"/>
      <c r="AJ147" s="27"/>
      <c r="AK147" s="27"/>
      <c r="AL147" s="29"/>
      <c r="AM147" s="27"/>
      <c r="AN147" s="27"/>
      <c r="AO147" s="26">
        <f>IF($B147&lt;&gt;"Challan","",SUMIF($C$8:$C$207,$C147,$AE$8:$AE$207)+SUMIF($C$8:$C$207,$C147,$AH$8:$AH$207)+SUMIF($C$8:$C$207,$C147,$AF$8:$AF$207))</f>
      </c>
      <c r="AP147" s="26">
        <f>IF($B147&lt;&gt;"Challan","",O147-M147)</f>
      </c>
      <c r="AQ147" s="26">
        <f>IF($B147&lt;&gt;"Challan","",MAX(0,AP147-AO147))</f>
      </c>
      <c r="AR147" s="32">
        <f>IF($B147&lt;&gt;"Challan","",IF(ROUND(AO147-AP147,2)&gt;0,"Over-applied",IF(ROUND(AO147-AP147,2)=0,"Fully Utilised","Unconsumed")))</f>
      </c>
      <c r="AS147" s="33">
        <f>IF($B147&lt;&gt;"Entry","",SUMPRODUCT(($C$8:$C$207=$C147)*($B$8:$B$207="Challan")*$F$8:$F$207))</f>
      </c>
    </row>
    <row r="148" spans="1:45" x14ac:dyDescent="0.25">
      <c r="A148" s="19">
        <f>IF($B148="Entry",COUNTIF($B$8:$B148,"Entry"),"")</f>
      </c>
      <c r="B148" s="20"/>
      <c r="C148" s="21"/>
      <c r="D148" s="22"/>
      <c r="E148" s="22"/>
      <c r="F148" s="23"/>
      <c r="G148" s="24"/>
      <c r="H148" s="25"/>
      <c r="I148" s="25"/>
      <c r="J148" s="25"/>
      <c r="K148" s="25"/>
      <c r="L148" s="25"/>
      <c r="M148" s="25"/>
      <c r="N148" s="25"/>
      <c r="O148" s="26">
        <f>IF($B148&lt;&gt;"Challan","",H148+I148+J148+K148+L148+M148)</f>
      </c>
      <c r="P148" s="24"/>
      <c r="Q148" s="24"/>
      <c r="R148" s="24"/>
      <c r="S148" s="24"/>
      <c r="T148" s="24"/>
      <c r="U148" s="27"/>
      <c r="V148" s="27"/>
      <c r="W148" s="27"/>
      <c r="X148" s="27"/>
      <c r="Y148" s="27"/>
      <c r="Z148" s="28">
        <f>IFERROR(IF($B148&lt;&gt;"Entry","",IF(W148="Y",SUMPRODUCT(('Rate Master'!$D$2:$D$50=(Y148&amp;"|"&amp;$B$2))*'Rate Master'!$I$2:$I$50),IF(OR(X148="Individual",X148="HUF"),SUMPRODUCT(('Rate Master'!$D$2:$D$50=(Y148&amp;"|"&amp;$B$2))*'Rate Master'!$G$2:$G$50),SUMPRODUCT(('Rate Master'!$D$2:$D$50=(Y148&amp;"|"&amp;$B$2))*'Rate Master'!$H$2:$H$50)))),"")</f>
      </c>
      <c r="AA148" s="26">
        <f>IFERROR(IF($B148&lt;&gt;"Entry","",IF(OR(X148="Individual",X148="HUF"),SUMPRODUCT(('Rate Master'!$D$2:$D$50=(Y148&amp;"|"&amp;$B$2))*'Rate Master'!$E$2:$E$50),SUMPRODUCT(('Rate Master'!$D$2:$D$50=(Y148&amp;"|"&amp;$B$2))*'Rate Master'!$F$2:$F$50))),"")</f>
      </c>
      <c r="AB148" s="29"/>
      <c r="AC148" s="30"/>
      <c r="AD148" s="31"/>
      <c r="AE148" s="26">
        <f>IF($B148&lt;&gt;"Entry","",ROUND(AD148*AB148/100,0))</f>
      </c>
      <c r="AF148" s="31"/>
      <c r="AG148" s="31"/>
      <c r="AH148" s="26">
        <f>IF($B148&lt;&gt;"Entry","",IF(OR(AE148=0,AC148="",AS148="",AS148&lt;=0),0,IF(AS148&lt;=DATE(YEAR(AC148),MONTH(AC148)+1,7),0,ROUND(AE148*0.015*((YEAR(AS148)-YEAR(AC148))*12+(MONTH(AS148)-MONTH(AC148))+1),0))))</f>
      </c>
      <c r="AI148" s="31"/>
      <c r="AJ148" s="27"/>
      <c r="AK148" s="27"/>
      <c r="AL148" s="29"/>
      <c r="AM148" s="27"/>
      <c r="AN148" s="27"/>
      <c r="AO148" s="26">
        <f>IF($B148&lt;&gt;"Challan","",SUMIF($C$8:$C$207,$C148,$AE$8:$AE$207)+SUMIF($C$8:$C$207,$C148,$AH$8:$AH$207)+SUMIF($C$8:$C$207,$C148,$AF$8:$AF$207))</f>
      </c>
      <c r="AP148" s="26">
        <f>IF($B148&lt;&gt;"Challan","",O148-M148)</f>
      </c>
      <c r="AQ148" s="26">
        <f>IF($B148&lt;&gt;"Challan","",MAX(0,AP148-AO148))</f>
      </c>
      <c r="AR148" s="32">
        <f>IF($B148&lt;&gt;"Challan","",IF(ROUND(AO148-AP148,2)&gt;0,"Over-applied",IF(ROUND(AO148-AP148,2)=0,"Fully Utilised","Unconsumed")))</f>
      </c>
      <c r="AS148" s="33">
        <f>IF($B148&lt;&gt;"Entry","",SUMPRODUCT(($C$8:$C$207=$C148)*($B$8:$B$207="Challan")*$F$8:$F$207))</f>
      </c>
    </row>
    <row r="149" spans="1:45" x14ac:dyDescent="0.25">
      <c r="A149" s="19">
        <f>IF($B149="Entry",COUNTIF($B$8:$B149,"Entry"),"")</f>
      </c>
      <c r="B149" s="20"/>
      <c r="C149" s="21"/>
      <c r="D149" s="22"/>
      <c r="E149" s="22"/>
      <c r="F149" s="23"/>
      <c r="G149" s="24"/>
      <c r="H149" s="25"/>
      <c r="I149" s="25"/>
      <c r="J149" s="25"/>
      <c r="K149" s="25"/>
      <c r="L149" s="25"/>
      <c r="M149" s="25"/>
      <c r="N149" s="25"/>
      <c r="O149" s="26">
        <f>IF($B149&lt;&gt;"Challan","",H149+I149+J149+K149+L149+M149)</f>
      </c>
      <c r="P149" s="24"/>
      <c r="Q149" s="24"/>
      <c r="R149" s="24"/>
      <c r="S149" s="24"/>
      <c r="T149" s="24"/>
      <c r="U149" s="27"/>
      <c r="V149" s="27"/>
      <c r="W149" s="27"/>
      <c r="X149" s="27"/>
      <c r="Y149" s="27"/>
      <c r="Z149" s="28">
        <f>IFERROR(IF($B149&lt;&gt;"Entry","",IF(W149="Y",SUMPRODUCT(('Rate Master'!$D$2:$D$50=(Y149&amp;"|"&amp;$B$2))*'Rate Master'!$I$2:$I$50),IF(OR(X149="Individual",X149="HUF"),SUMPRODUCT(('Rate Master'!$D$2:$D$50=(Y149&amp;"|"&amp;$B$2))*'Rate Master'!$G$2:$G$50),SUMPRODUCT(('Rate Master'!$D$2:$D$50=(Y149&amp;"|"&amp;$B$2))*'Rate Master'!$H$2:$H$50)))),"")</f>
      </c>
      <c r="AA149" s="26">
        <f>IFERROR(IF($B149&lt;&gt;"Entry","",IF(OR(X149="Individual",X149="HUF"),SUMPRODUCT(('Rate Master'!$D$2:$D$50=(Y149&amp;"|"&amp;$B$2))*'Rate Master'!$E$2:$E$50),SUMPRODUCT(('Rate Master'!$D$2:$D$50=(Y149&amp;"|"&amp;$B$2))*'Rate Master'!$F$2:$F$50))),"")</f>
      </c>
      <c r="AB149" s="29"/>
      <c r="AC149" s="30"/>
      <c r="AD149" s="31"/>
      <c r="AE149" s="26">
        <f>IF($B149&lt;&gt;"Entry","",ROUND(AD149*AB149/100,0))</f>
      </c>
      <c r="AF149" s="31"/>
      <c r="AG149" s="31"/>
      <c r="AH149" s="26">
        <f>IF($B149&lt;&gt;"Entry","",IF(OR(AE149=0,AC149="",AS149="",AS149&lt;=0),0,IF(AS149&lt;=DATE(YEAR(AC149),MONTH(AC149)+1,7),0,ROUND(AE149*0.015*((YEAR(AS149)-YEAR(AC149))*12+(MONTH(AS149)-MONTH(AC149))+1),0))))</f>
      </c>
      <c r="AI149" s="31"/>
      <c r="AJ149" s="27"/>
      <c r="AK149" s="27"/>
      <c r="AL149" s="29"/>
      <c r="AM149" s="27"/>
      <c r="AN149" s="27"/>
      <c r="AO149" s="26">
        <f>IF($B149&lt;&gt;"Challan","",SUMIF($C$8:$C$207,$C149,$AE$8:$AE$207)+SUMIF($C$8:$C$207,$C149,$AH$8:$AH$207)+SUMIF($C$8:$C$207,$C149,$AF$8:$AF$207))</f>
      </c>
      <c r="AP149" s="26">
        <f>IF($B149&lt;&gt;"Challan","",O149-M149)</f>
      </c>
      <c r="AQ149" s="26">
        <f>IF($B149&lt;&gt;"Challan","",MAX(0,AP149-AO149))</f>
      </c>
      <c r="AR149" s="32">
        <f>IF($B149&lt;&gt;"Challan","",IF(ROUND(AO149-AP149,2)&gt;0,"Over-applied",IF(ROUND(AO149-AP149,2)=0,"Fully Utilised","Unconsumed")))</f>
      </c>
      <c r="AS149" s="33">
        <f>IF($B149&lt;&gt;"Entry","",SUMPRODUCT(($C$8:$C$207=$C149)*($B$8:$B$207="Challan")*$F$8:$F$207))</f>
      </c>
    </row>
    <row r="150" spans="1:45" x14ac:dyDescent="0.25">
      <c r="A150" s="19">
        <f>IF($B150="Entry",COUNTIF($B$8:$B150,"Entry"),"")</f>
      </c>
      <c r="B150" s="20"/>
      <c r="C150" s="21"/>
      <c r="D150" s="22"/>
      <c r="E150" s="22"/>
      <c r="F150" s="23"/>
      <c r="G150" s="24"/>
      <c r="H150" s="25"/>
      <c r="I150" s="25"/>
      <c r="J150" s="25"/>
      <c r="K150" s="25"/>
      <c r="L150" s="25"/>
      <c r="M150" s="25"/>
      <c r="N150" s="25"/>
      <c r="O150" s="26">
        <f>IF($B150&lt;&gt;"Challan","",H150+I150+J150+K150+L150+M150)</f>
      </c>
      <c r="P150" s="24"/>
      <c r="Q150" s="24"/>
      <c r="R150" s="24"/>
      <c r="S150" s="24"/>
      <c r="T150" s="24"/>
      <c r="U150" s="27"/>
      <c r="V150" s="27"/>
      <c r="W150" s="27"/>
      <c r="X150" s="27"/>
      <c r="Y150" s="27"/>
      <c r="Z150" s="28">
        <f>IFERROR(IF($B150&lt;&gt;"Entry","",IF(W150="Y",SUMPRODUCT(('Rate Master'!$D$2:$D$50=(Y150&amp;"|"&amp;$B$2))*'Rate Master'!$I$2:$I$50),IF(OR(X150="Individual",X150="HUF"),SUMPRODUCT(('Rate Master'!$D$2:$D$50=(Y150&amp;"|"&amp;$B$2))*'Rate Master'!$G$2:$G$50),SUMPRODUCT(('Rate Master'!$D$2:$D$50=(Y150&amp;"|"&amp;$B$2))*'Rate Master'!$H$2:$H$50)))),"")</f>
      </c>
      <c r="AA150" s="26">
        <f>IFERROR(IF($B150&lt;&gt;"Entry","",IF(OR(X150="Individual",X150="HUF"),SUMPRODUCT(('Rate Master'!$D$2:$D$50=(Y150&amp;"|"&amp;$B$2))*'Rate Master'!$E$2:$E$50),SUMPRODUCT(('Rate Master'!$D$2:$D$50=(Y150&amp;"|"&amp;$B$2))*'Rate Master'!$F$2:$F$50))),"")</f>
      </c>
      <c r="AB150" s="29"/>
      <c r="AC150" s="30"/>
      <c r="AD150" s="31"/>
      <c r="AE150" s="26">
        <f>IF($B150&lt;&gt;"Entry","",ROUND(AD150*AB150/100,0))</f>
      </c>
      <c r="AF150" s="31"/>
      <c r="AG150" s="31"/>
      <c r="AH150" s="26">
        <f>IF($B150&lt;&gt;"Entry","",IF(OR(AE150=0,AC150="",AS150="",AS150&lt;=0),0,IF(AS150&lt;=DATE(YEAR(AC150),MONTH(AC150)+1,7),0,ROUND(AE150*0.015*((YEAR(AS150)-YEAR(AC150))*12+(MONTH(AS150)-MONTH(AC150))+1),0))))</f>
      </c>
      <c r="AI150" s="31"/>
      <c r="AJ150" s="27"/>
      <c r="AK150" s="27"/>
      <c r="AL150" s="29"/>
      <c r="AM150" s="27"/>
      <c r="AN150" s="27"/>
      <c r="AO150" s="26">
        <f>IF($B150&lt;&gt;"Challan","",SUMIF($C$8:$C$207,$C150,$AE$8:$AE$207)+SUMIF($C$8:$C$207,$C150,$AH$8:$AH$207)+SUMIF($C$8:$C$207,$C150,$AF$8:$AF$207))</f>
      </c>
      <c r="AP150" s="26">
        <f>IF($B150&lt;&gt;"Challan","",O150-M150)</f>
      </c>
      <c r="AQ150" s="26">
        <f>IF($B150&lt;&gt;"Challan","",MAX(0,AP150-AO150))</f>
      </c>
      <c r="AR150" s="32">
        <f>IF($B150&lt;&gt;"Challan","",IF(ROUND(AO150-AP150,2)&gt;0,"Over-applied",IF(ROUND(AO150-AP150,2)=0,"Fully Utilised","Unconsumed")))</f>
      </c>
      <c r="AS150" s="33">
        <f>IF($B150&lt;&gt;"Entry","",SUMPRODUCT(($C$8:$C$207=$C150)*($B$8:$B$207="Challan")*$F$8:$F$207))</f>
      </c>
    </row>
    <row r="151" spans="1:45" x14ac:dyDescent="0.25">
      <c r="A151" s="19">
        <f>IF($B151="Entry",COUNTIF($B$8:$B151,"Entry"),"")</f>
      </c>
      <c r="B151" s="20"/>
      <c r="C151" s="21"/>
      <c r="D151" s="22"/>
      <c r="E151" s="22"/>
      <c r="F151" s="23"/>
      <c r="G151" s="24"/>
      <c r="H151" s="25"/>
      <c r="I151" s="25"/>
      <c r="J151" s="25"/>
      <c r="K151" s="25"/>
      <c r="L151" s="25"/>
      <c r="M151" s="25"/>
      <c r="N151" s="25"/>
      <c r="O151" s="26">
        <f>IF($B151&lt;&gt;"Challan","",H151+I151+J151+K151+L151+M151)</f>
      </c>
      <c r="P151" s="24"/>
      <c r="Q151" s="24"/>
      <c r="R151" s="24"/>
      <c r="S151" s="24"/>
      <c r="T151" s="24"/>
      <c r="U151" s="27"/>
      <c r="V151" s="27"/>
      <c r="W151" s="27"/>
      <c r="X151" s="27"/>
      <c r="Y151" s="27"/>
      <c r="Z151" s="28">
        <f>IFERROR(IF($B151&lt;&gt;"Entry","",IF(W151="Y",SUMPRODUCT(('Rate Master'!$D$2:$D$50=(Y151&amp;"|"&amp;$B$2))*'Rate Master'!$I$2:$I$50),IF(OR(X151="Individual",X151="HUF"),SUMPRODUCT(('Rate Master'!$D$2:$D$50=(Y151&amp;"|"&amp;$B$2))*'Rate Master'!$G$2:$G$50),SUMPRODUCT(('Rate Master'!$D$2:$D$50=(Y151&amp;"|"&amp;$B$2))*'Rate Master'!$H$2:$H$50)))),"")</f>
      </c>
      <c r="AA151" s="26">
        <f>IFERROR(IF($B151&lt;&gt;"Entry","",IF(OR(X151="Individual",X151="HUF"),SUMPRODUCT(('Rate Master'!$D$2:$D$50=(Y151&amp;"|"&amp;$B$2))*'Rate Master'!$E$2:$E$50),SUMPRODUCT(('Rate Master'!$D$2:$D$50=(Y151&amp;"|"&amp;$B$2))*'Rate Master'!$F$2:$F$50))),"")</f>
      </c>
      <c r="AB151" s="29"/>
      <c r="AC151" s="30"/>
      <c r="AD151" s="31"/>
      <c r="AE151" s="26">
        <f>IF($B151&lt;&gt;"Entry","",ROUND(AD151*AB151/100,0))</f>
      </c>
      <c r="AF151" s="31"/>
      <c r="AG151" s="31"/>
      <c r="AH151" s="26">
        <f>IF($B151&lt;&gt;"Entry","",IF(OR(AE151=0,AC151="",AS151="",AS151&lt;=0),0,IF(AS151&lt;=DATE(YEAR(AC151),MONTH(AC151)+1,7),0,ROUND(AE151*0.015*((YEAR(AS151)-YEAR(AC151))*12+(MONTH(AS151)-MONTH(AC151))+1),0))))</f>
      </c>
      <c r="AI151" s="31"/>
      <c r="AJ151" s="27"/>
      <c r="AK151" s="27"/>
      <c r="AL151" s="29"/>
      <c r="AM151" s="27"/>
      <c r="AN151" s="27"/>
      <c r="AO151" s="26">
        <f>IF($B151&lt;&gt;"Challan","",SUMIF($C$8:$C$207,$C151,$AE$8:$AE$207)+SUMIF($C$8:$C$207,$C151,$AH$8:$AH$207)+SUMIF($C$8:$C$207,$C151,$AF$8:$AF$207))</f>
      </c>
      <c r="AP151" s="26">
        <f>IF($B151&lt;&gt;"Challan","",O151-M151)</f>
      </c>
      <c r="AQ151" s="26">
        <f>IF($B151&lt;&gt;"Challan","",MAX(0,AP151-AO151))</f>
      </c>
      <c r="AR151" s="32">
        <f>IF($B151&lt;&gt;"Challan","",IF(ROUND(AO151-AP151,2)&gt;0,"Over-applied",IF(ROUND(AO151-AP151,2)=0,"Fully Utilised","Unconsumed")))</f>
      </c>
      <c r="AS151" s="33">
        <f>IF($B151&lt;&gt;"Entry","",SUMPRODUCT(($C$8:$C$207=$C151)*($B$8:$B$207="Challan")*$F$8:$F$207))</f>
      </c>
    </row>
    <row r="152" spans="1:45" x14ac:dyDescent="0.25">
      <c r="A152" s="19">
        <f>IF($B152="Entry",COUNTIF($B$8:$B152,"Entry"),"")</f>
      </c>
      <c r="B152" s="20"/>
      <c r="C152" s="21"/>
      <c r="D152" s="22"/>
      <c r="E152" s="22"/>
      <c r="F152" s="23"/>
      <c r="G152" s="24"/>
      <c r="H152" s="25"/>
      <c r="I152" s="25"/>
      <c r="J152" s="25"/>
      <c r="K152" s="25"/>
      <c r="L152" s="25"/>
      <c r="M152" s="25"/>
      <c r="N152" s="25"/>
      <c r="O152" s="26">
        <f>IF($B152&lt;&gt;"Challan","",H152+I152+J152+K152+L152+M152)</f>
      </c>
      <c r="P152" s="24"/>
      <c r="Q152" s="24"/>
      <c r="R152" s="24"/>
      <c r="S152" s="24"/>
      <c r="T152" s="24"/>
      <c r="U152" s="27"/>
      <c r="V152" s="27"/>
      <c r="W152" s="27"/>
      <c r="X152" s="27"/>
      <c r="Y152" s="27"/>
      <c r="Z152" s="28">
        <f>IFERROR(IF($B152&lt;&gt;"Entry","",IF(W152="Y",SUMPRODUCT(('Rate Master'!$D$2:$D$50=(Y152&amp;"|"&amp;$B$2))*'Rate Master'!$I$2:$I$50),IF(OR(X152="Individual",X152="HUF"),SUMPRODUCT(('Rate Master'!$D$2:$D$50=(Y152&amp;"|"&amp;$B$2))*'Rate Master'!$G$2:$G$50),SUMPRODUCT(('Rate Master'!$D$2:$D$50=(Y152&amp;"|"&amp;$B$2))*'Rate Master'!$H$2:$H$50)))),"")</f>
      </c>
      <c r="AA152" s="26">
        <f>IFERROR(IF($B152&lt;&gt;"Entry","",IF(OR(X152="Individual",X152="HUF"),SUMPRODUCT(('Rate Master'!$D$2:$D$50=(Y152&amp;"|"&amp;$B$2))*'Rate Master'!$E$2:$E$50),SUMPRODUCT(('Rate Master'!$D$2:$D$50=(Y152&amp;"|"&amp;$B$2))*'Rate Master'!$F$2:$F$50))),"")</f>
      </c>
      <c r="AB152" s="29"/>
      <c r="AC152" s="30"/>
      <c r="AD152" s="31"/>
      <c r="AE152" s="26">
        <f>IF($B152&lt;&gt;"Entry","",ROUND(AD152*AB152/100,0))</f>
      </c>
      <c r="AF152" s="31"/>
      <c r="AG152" s="31"/>
      <c r="AH152" s="26">
        <f>IF($B152&lt;&gt;"Entry","",IF(OR(AE152=0,AC152="",AS152="",AS152&lt;=0),0,IF(AS152&lt;=DATE(YEAR(AC152),MONTH(AC152)+1,7),0,ROUND(AE152*0.015*((YEAR(AS152)-YEAR(AC152))*12+(MONTH(AS152)-MONTH(AC152))+1),0))))</f>
      </c>
      <c r="AI152" s="31"/>
      <c r="AJ152" s="27"/>
      <c r="AK152" s="27"/>
      <c r="AL152" s="29"/>
      <c r="AM152" s="27"/>
      <c r="AN152" s="27"/>
      <c r="AO152" s="26">
        <f>IF($B152&lt;&gt;"Challan","",SUMIF($C$8:$C$207,$C152,$AE$8:$AE$207)+SUMIF($C$8:$C$207,$C152,$AH$8:$AH$207)+SUMIF($C$8:$C$207,$C152,$AF$8:$AF$207))</f>
      </c>
      <c r="AP152" s="26">
        <f>IF($B152&lt;&gt;"Challan","",O152-M152)</f>
      </c>
      <c r="AQ152" s="26">
        <f>IF($B152&lt;&gt;"Challan","",MAX(0,AP152-AO152))</f>
      </c>
      <c r="AR152" s="32">
        <f>IF($B152&lt;&gt;"Challan","",IF(ROUND(AO152-AP152,2)&gt;0,"Over-applied",IF(ROUND(AO152-AP152,2)=0,"Fully Utilised","Unconsumed")))</f>
      </c>
      <c r="AS152" s="33">
        <f>IF($B152&lt;&gt;"Entry","",SUMPRODUCT(($C$8:$C$207=$C152)*($B$8:$B$207="Challan")*$F$8:$F$207))</f>
      </c>
    </row>
    <row r="153" spans="1:45" x14ac:dyDescent="0.25">
      <c r="A153" s="19">
        <f>IF($B153="Entry",COUNTIF($B$8:$B153,"Entry"),"")</f>
      </c>
      <c r="B153" s="20"/>
      <c r="C153" s="21"/>
      <c r="D153" s="22"/>
      <c r="E153" s="22"/>
      <c r="F153" s="23"/>
      <c r="G153" s="24"/>
      <c r="H153" s="25"/>
      <c r="I153" s="25"/>
      <c r="J153" s="25"/>
      <c r="K153" s="25"/>
      <c r="L153" s="25"/>
      <c r="M153" s="25"/>
      <c r="N153" s="25"/>
      <c r="O153" s="26">
        <f>IF($B153&lt;&gt;"Challan","",H153+I153+J153+K153+L153+M153)</f>
      </c>
      <c r="P153" s="24"/>
      <c r="Q153" s="24"/>
      <c r="R153" s="24"/>
      <c r="S153" s="24"/>
      <c r="T153" s="24"/>
      <c r="U153" s="27"/>
      <c r="V153" s="27"/>
      <c r="W153" s="27"/>
      <c r="X153" s="27"/>
      <c r="Y153" s="27"/>
      <c r="Z153" s="28">
        <f>IFERROR(IF($B153&lt;&gt;"Entry","",IF(W153="Y",SUMPRODUCT(('Rate Master'!$D$2:$D$50=(Y153&amp;"|"&amp;$B$2))*'Rate Master'!$I$2:$I$50),IF(OR(X153="Individual",X153="HUF"),SUMPRODUCT(('Rate Master'!$D$2:$D$50=(Y153&amp;"|"&amp;$B$2))*'Rate Master'!$G$2:$G$50),SUMPRODUCT(('Rate Master'!$D$2:$D$50=(Y153&amp;"|"&amp;$B$2))*'Rate Master'!$H$2:$H$50)))),"")</f>
      </c>
      <c r="AA153" s="26">
        <f>IFERROR(IF($B153&lt;&gt;"Entry","",IF(OR(X153="Individual",X153="HUF"),SUMPRODUCT(('Rate Master'!$D$2:$D$50=(Y153&amp;"|"&amp;$B$2))*'Rate Master'!$E$2:$E$50),SUMPRODUCT(('Rate Master'!$D$2:$D$50=(Y153&amp;"|"&amp;$B$2))*'Rate Master'!$F$2:$F$50))),"")</f>
      </c>
      <c r="AB153" s="29"/>
      <c r="AC153" s="30"/>
      <c r="AD153" s="31"/>
      <c r="AE153" s="26">
        <f>IF($B153&lt;&gt;"Entry","",ROUND(AD153*AB153/100,0))</f>
      </c>
      <c r="AF153" s="31"/>
      <c r="AG153" s="31"/>
      <c r="AH153" s="26">
        <f>IF($B153&lt;&gt;"Entry","",IF(OR(AE153=0,AC153="",AS153="",AS153&lt;=0),0,IF(AS153&lt;=DATE(YEAR(AC153),MONTH(AC153)+1,7),0,ROUND(AE153*0.015*((YEAR(AS153)-YEAR(AC153))*12+(MONTH(AS153)-MONTH(AC153))+1),0))))</f>
      </c>
      <c r="AI153" s="31"/>
      <c r="AJ153" s="27"/>
      <c r="AK153" s="27"/>
      <c r="AL153" s="29"/>
      <c r="AM153" s="27"/>
      <c r="AN153" s="27"/>
      <c r="AO153" s="26">
        <f>IF($B153&lt;&gt;"Challan","",SUMIF($C$8:$C$207,$C153,$AE$8:$AE$207)+SUMIF($C$8:$C$207,$C153,$AH$8:$AH$207)+SUMIF($C$8:$C$207,$C153,$AF$8:$AF$207))</f>
      </c>
      <c r="AP153" s="26">
        <f>IF($B153&lt;&gt;"Challan","",O153-M153)</f>
      </c>
      <c r="AQ153" s="26">
        <f>IF($B153&lt;&gt;"Challan","",MAX(0,AP153-AO153))</f>
      </c>
      <c r="AR153" s="32">
        <f>IF($B153&lt;&gt;"Challan","",IF(ROUND(AO153-AP153,2)&gt;0,"Over-applied",IF(ROUND(AO153-AP153,2)=0,"Fully Utilised","Unconsumed")))</f>
      </c>
      <c r="AS153" s="33">
        <f>IF($B153&lt;&gt;"Entry","",SUMPRODUCT(($C$8:$C$207=$C153)*($B$8:$B$207="Challan")*$F$8:$F$207))</f>
      </c>
    </row>
    <row r="154" spans="1:45" x14ac:dyDescent="0.25">
      <c r="A154" s="19">
        <f>IF($B154="Entry",COUNTIF($B$8:$B154,"Entry"),"")</f>
      </c>
      <c r="B154" s="20"/>
      <c r="C154" s="21"/>
      <c r="D154" s="22"/>
      <c r="E154" s="22"/>
      <c r="F154" s="23"/>
      <c r="G154" s="24"/>
      <c r="H154" s="25"/>
      <c r="I154" s="25"/>
      <c r="J154" s="25"/>
      <c r="K154" s="25"/>
      <c r="L154" s="25"/>
      <c r="M154" s="25"/>
      <c r="N154" s="25"/>
      <c r="O154" s="26">
        <f>IF($B154&lt;&gt;"Challan","",H154+I154+J154+K154+L154+M154)</f>
      </c>
      <c r="P154" s="24"/>
      <c r="Q154" s="24"/>
      <c r="R154" s="24"/>
      <c r="S154" s="24"/>
      <c r="T154" s="24"/>
      <c r="U154" s="27"/>
      <c r="V154" s="27"/>
      <c r="W154" s="27"/>
      <c r="X154" s="27"/>
      <c r="Y154" s="27"/>
      <c r="Z154" s="28">
        <f>IFERROR(IF($B154&lt;&gt;"Entry","",IF(W154="Y",SUMPRODUCT(('Rate Master'!$D$2:$D$50=(Y154&amp;"|"&amp;$B$2))*'Rate Master'!$I$2:$I$50),IF(OR(X154="Individual",X154="HUF"),SUMPRODUCT(('Rate Master'!$D$2:$D$50=(Y154&amp;"|"&amp;$B$2))*'Rate Master'!$G$2:$G$50),SUMPRODUCT(('Rate Master'!$D$2:$D$50=(Y154&amp;"|"&amp;$B$2))*'Rate Master'!$H$2:$H$50)))),"")</f>
      </c>
      <c r="AA154" s="26">
        <f>IFERROR(IF($B154&lt;&gt;"Entry","",IF(OR(X154="Individual",X154="HUF"),SUMPRODUCT(('Rate Master'!$D$2:$D$50=(Y154&amp;"|"&amp;$B$2))*'Rate Master'!$E$2:$E$50),SUMPRODUCT(('Rate Master'!$D$2:$D$50=(Y154&amp;"|"&amp;$B$2))*'Rate Master'!$F$2:$F$50))),"")</f>
      </c>
      <c r="AB154" s="29"/>
      <c r="AC154" s="30"/>
      <c r="AD154" s="31"/>
      <c r="AE154" s="26">
        <f>IF($B154&lt;&gt;"Entry","",ROUND(AD154*AB154/100,0))</f>
      </c>
      <c r="AF154" s="31"/>
      <c r="AG154" s="31"/>
      <c r="AH154" s="26">
        <f>IF($B154&lt;&gt;"Entry","",IF(OR(AE154=0,AC154="",AS154="",AS154&lt;=0),0,IF(AS154&lt;=DATE(YEAR(AC154),MONTH(AC154)+1,7),0,ROUND(AE154*0.015*((YEAR(AS154)-YEAR(AC154))*12+(MONTH(AS154)-MONTH(AC154))+1),0))))</f>
      </c>
      <c r="AI154" s="31"/>
      <c r="AJ154" s="27"/>
      <c r="AK154" s="27"/>
      <c r="AL154" s="29"/>
      <c r="AM154" s="27"/>
      <c r="AN154" s="27"/>
      <c r="AO154" s="26">
        <f>IF($B154&lt;&gt;"Challan","",SUMIF($C$8:$C$207,$C154,$AE$8:$AE$207)+SUMIF($C$8:$C$207,$C154,$AH$8:$AH$207)+SUMIF($C$8:$C$207,$C154,$AF$8:$AF$207))</f>
      </c>
      <c r="AP154" s="26">
        <f>IF($B154&lt;&gt;"Challan","",O154-M154)</f>
      </c>
      <c r="AQ154" s="26">
        <f>IF($B154&lt;&gt;"Challan","",MAX(0,AP154-AO154))</f>
      </c>
      <c r="AR154" s="32">
        <f>IF($B154&lt;&gt;"Challan","",IF(ROUND(AO154-AP154,2)&gt;0,"Over-applied",IF(ROUND(AO154-AP154,2)=0,"Fully Utilised","Unconsumed")))</f>
      </c>
      <c r="AS154" s="33">
        <f>IF($B154&lt;&gt;"Entry","",SUMPRODUCT(($C$8:$C$207=$C154)*($B$8:$B$207="Challan")*$F$8:$F$207))</f>
      </c>
    </row>
    <row r="155" spans="1:45" x14ac:dyDescent="0.25">
      <c r="A155" s="19">
        <f>IF($B155="Entry",COUNTIF($B$8:$B155,"Entry"),"")</f>
      </c>
      <c r="B155" s="20"/>
      <c r="C155" s="21"/>
      <c r="D155" s="22"/>
      <c r="E155" s="22"/>
      <c r="F155" s="23"/>
      <c r="G155" s="24"/>
      <c r="H155" s="25"/>
      <c r="I155" s="25"/>
      <c r="J155" s="25"/>
      <c r="K155" s="25"/>
      <c r="L155" s="25"/>
      <c r="M155" s="25"/>
      <c r="N155" s="25"/>
      <c r="O155" s="26">
        <f>IF($B155&lt;&gt;"Challan","",H155+I155+J155+K155+L155+M155)</f>
      </c>
      <c r="P155" s="24"/>
      <c r="Q155" s="24"/>
      <c r="R155" s="24"/>
      <c r="S155" s="24"/>
      <c r="T155" s="24"/>
      <c r="U155" s="27"/>
      <c r="V155" s="27"/>
      <c r="W155" s="27"/>
      <c r="X155" s="27"/>
      <c r="Y155" s="27"/>
      <c r="Z155" s="28">
        <f>IFERROR(IF($B155&lt;&gt;"Entry","",IF(W155="Y",SUMPRODUCT(('Rate Master'!$D$2:$D$50=(Y155&amp;"|"&amp;$B$2))*'Rate Master'!$I$2:$I$50),IF(OR(X155="Individual",X155="HUF"),SUMPRODUCT(('Rate Master'!$D$2:$D$50=(Y155&amp;"|"&amp;$B$2))*'Rate Master'!$G$2:$G$50),SUMPRODUCT(('Rate Master'!$D$2:$D$50=(Y155&amp;"|"&amp;$B$2))*'Rate Master'!$H$2:$H$50)))),"")</f>
      </c>
      <c r="AA155" s="26">
        <f>IFERROR(IF($B155&lt;&gt;"Entry","",IF(OR(X155="Individual",X155="HUF"),SUMPRODUCT(('Rate Master'!$D$2:$D$50=(Y155&amp;"|"&amp;$B$2))*'Rate Master'!$E$2:$E$50),SUMPRODUCT(('Rate Master'!$D$2:$D$50=(Y155&amp;"|"&amp;$B$2))*'Rate Master'!$F$2:$F$50))),"")</f>
      </c>
      <c r="AB155" s="29"/>
      <c r="AC155" s="30"/>
      <c r="AD155" s="31"/>
      <c r="AE155" s="26">
        <f>IF($B155&lt;&gt;"Entry","",ROUND(AD155*AB155/100,0))</f>
      </c>
      <c r="AF155" s="31"/>
      <c r="AG155" s="31"/>
      <c r="AH155" s="26">
        <f>IF($B155&lt;&gt;"Entry","",IF(OR(AE155=0,AC155="",AS155="",AS155&lt;=0),0,IF(AS155&lt;=DATE(YEAR(AC155),MONTH(AC155)+1,7),0,ROUND(AE155*0.015*((YEAR(AS155)-YEAR(AC155))*12+(MONTH(AS155)-MONTH(AC155))+1),0))))</f>
      </c>
      <c r="AI155" s="31"/>
      <c r="AJ155" s="27"/>
      <c r="AK155" s="27"/>
      <c r="AL155" s="29"/>
      <c r="AM155" s="27"/>
      <c r="AN155" s="27"/>
      <c r="AO155" s="26">
        <f>IF($B155&lt;&gt;"Challan","",SUMIF($C$8:$C$207,$C155,$AE$8:$AE$207)+SUMIF($C$8:$C$207,$C155,$AH$8:$AH$207)+SUMIF($C$8:$C$207,$C155,$AF$8:$AF$207))</f>
      </c>
      <c r="AP155" s="26">
        <f>IF($B155&lt;&gt;"Challan","",O155-M155)</f>
      </c>
      <c r="AQ155" s="26">
        <f>IF($B155&lt;&gt;"Challan","",MAX(0,AP155-AO155))</f>
      </c>
      <c r="AR155" s="32">
        <f>IF($B155&lt;&gt;"Challan","",IF(ROUND(AO155-AP155,2)&gt;0,"Over-applied",IF(ROUND(AO155-AP155,2)=0,"Fully Utilised","Unconsumed")))</f>
      </c>
      <c r="AS155" s="33">
        <f>IF($B155&lt;&gt;"Entry","",SUMPRODUCT(($C$8:$C$207=$C155)*($B$8:$B$207="Challan")*$F$8:$F$207))</f>
      </c>
    </row>
    <row r="156" spans="1:45" x14ac:dyDescent="0.25">
      <c r="A156" s="19">
        <f>IF($B156="Entry",COUNTIF($B$8:$B156,"Entry"),"")</f>
      </c>
      <c r="B156" s="20"/>
      <c r="C156" s="21"/>
      <c r="D156" s="22"/>
      <c r="E156" s="22"/>
      <c r="F156" s="23"/>
      <c r="G156" s="24"/>
      <c r="H156" s="25"/>
      <c r="I156" s="25"/>
      <c r="J156" s="25"/>
      <c r="K156" s="25"/>
      <c r="L156" s="25"/>
      <c r="M156" s="25"/>
      <c r="N156" s="25"/>
      <c r="O156" s="26">
        <f>IF($B156&lt;&gt;"Challan","",H156+I156+J156+K156+L156+M156)</f>
      </c>
      <c r="P156" s="24"/>
      <c r="Q156" s="24"/>
      <c r="R156" s="24"/>
      <c r="S156" s="24"/>
      <c r="T156" s="24"/>
      <c r="U156" s="27"/>
      <c r="V156" s="27"/>
      <c r="W156" s="27"/>
      <c r="X156" s="27"/>
      <c r="Y156" s="27"/>
      <c r="Z156" s="28">
        <f>IFERROR(IF($B156&lt;&gt;"Entry","",IF(W156="Y",SUMPRODUCT(('Rate Master'!$D$2:$D$50=(Y156&amp;"|"&amp;$B$2))*'Rate Master'!$I$2:$I$50),IF(OR(X156="Individual",X156="HUF"),SUMPRODUCT(('Rate Master'!$D$2:$D$50=(Y156&amp;"|"&amp;$B$2))*'Rate Master'!$G$2:$G$50),SUMPRODUCT(('Rate Master'!$D$2:$D$50=(Y156&amp;"|"&amp;$B$2))*'Rate Master'!$H$2:$H$50)))),"")</f>
      </c>
      <c r="AA156" s="26">
        <f>IFERROR(IF($B156&lt;&gt;"Entry","",IF(OR(X156="Individual",X156="HUF"),SUMPRODUCT(('Rate Master'!$D$2:$D$50=(Y156&amp;"|"&amp;$B$2))*'Rate Master'!$E$2:$E$50),SUMPRODUCT(('Rate Master'!$D$2:$D$50=(Y156&amp;"|"&amp;$B$2))*'Rate Master'!$F$2:$F$50))),"")</f>
      </c>
      <c r="AB156" s="29"/>
      <c r="AC156" s="30"/>
      <c r="AD156" s="31"/>
      <c r="AE156" s="26">
        <f>IF($B156&lt;&gt;"Entry","",ROUND(AD156*AB156/100,0))</f>
      </c>
      <c r="AF156" s="31"/>
      <c r="AG156" s="31"/>
      <c r="AH156" s="26">
        <f>IF($B156&lt;&gt;"Entry","",IF(OR(AE156=0,AC156="",AS156="",AS156&lt;=0),0,IF(AS156&lt;=DATE(YEAR(AC156),MONTH(AC156)+1,7),0,ROUND(AE156*0.015*((YEAR(AS156)-YEAR(AC156))*12+(MONTH(AS156)-MONTH(AC156))+1),0))))</f>
      </c>
      <c r="AI156" s="31"/>
      <c r="AJ156" s="27"/>
      <c r="AK156" s="27"/>
      <c r="AL156" s="29"/>
      <c r="AM156" s="27"/>
      <c r="AN156" s="27"/>
      <c r="AO156" s="26">
        <f>IF($B156&lt;&gt;"Challan","",SUMIF($C$8:$C$207,$C156,$AE$8:$AE$207)+SUMIF($C$8:$C$207,$C156,$AH$8:$AH$207)+SUMIF($C$8:$C$207,$C156,$AF$8:$AF$207))</f>
      </c>
      <c r="AP156" s="26">
        <f>IF($B156&lt;&gt;"Challan","",O156-M156)</f>
      </c>
      <c r="AQ156" s="26">
        <f>IF($B156&lt;&gt;"Challan","",MAX(0,AP156-AO156))</f>
      </c>
      <c r="AR156" s="32">
        <f>IF($B156&lt;&gt;"Challan","",IF(ROUND(AO156-AP156,2)&gt;0,"Over-applied",IF(ROUND(AO156-AP156,2)=0,"Fully Utilised","Unconsumed")))</f>
      </c>
      <c r="AS156" s="33">
        <f>IF($B156&lt;&gt;"Entry","",SUMPRODUCT(($C$8:$C$207=$C156)*($B$8:$B$207="Challan")*$F$8:$F$207))</f>
      </c>
    </row>
    <row r="157" spans="1:45" x14ac:dyDescent="0.25">
      <c r="A157" s="19">
        <f>IF($B157="Entry",COUNTIF($B$8:$B157,"Entry"),"")</f>
      </c>
      <c r="B157" s="20"/>
      <c r="C157" s="21"/>
      <c r="D157" s="22"/>
      <c r="E157" s="22"/>
      <c r="F157" s="23"/>
      <c r="G157" s="24"/>
      <c r="H157" s="25"/>
      <c r="I157" s="25"/>
      <c r="J157" s="25"/>
      <c r="K157" s="25"/>
      <c r="L157" s="25"/>
      <c r="M157" s="25"/>
      <c r="N157" s="25"/>
      <c r="O157" s="26">
        <f>IF($B157&lt;&gt;"Challan","",H157+I157+J157+K157+L157+M157)</f>
      </c>
      <c r="P157" s="24"/>
      <c r="Q157" s="24"/>
      <c r="R157" s="24"/>
      <c r="S157" s="24"/>
      <c r="T157" s="24"/>
      <c r="U157" s="27"/>
      <c r="V157" s="27"/>
      <c r="W157" s="27"/>
      <c r="X157" s="27"/>
      <c r="Y157" s="27"/>
      <c r="Z157" s="28">
        <f>IFERROR(IF($B157&lt;&gt;"Entry","",IF(W157="Y",SUMPRODUCT(('Rate Master'!$D$2:$D$50=(Y157&amp;"|"&amp;$B$2))*'Rate Master'!$I$2:$I$50),IF(OR(X157="Individual",X157="HUF"),SUMPRODUCT(('Rate Master'!$D$2:$D$50=(Y157&amp;"|"&amp;$B$2))*'Rate Master'!$G$2:$G$50),SUMPRODUCT(('Rate Master'!$D$2:$D$50=(Y157&amp;"|"&amp;$B$2))*'Rate Master'!$H$2:$H$50)))),"")</f>
      </c>
      <c r="AA157" s="26">
        <f>IFERROR(IF($B157&lt;&gt;"Entry","",IF(OR(X157="Individual",X157="HUF"),SUMPRODUCT(('Rate Master'!$D$2:$D$50=(Y157&amp;"|"&amp;$B$2))*'Rate Master'!$E$2:$E$50),SUMPRODUCT(('Rate Master'!$D$2:$D$50=(Y157&amp;"|"&amp;$B$2))*'Rate Master'!$F$2:$F$50))),"")</f>
      </c>
      <c r="AB157" s="29"/>
      <c r="AC157" s="30"/>
      <c r="AD157" s="31"/>
      <c r="AE157" s="26">
        <f>IF($B157&lt;&gt;"Entry","",ROUND(AD157*AB157/100,0))</f>
      </c>
      <c r="AF157" s="31"/>
      <c r="AG157" s="31"/>
      <c r="AH157" s="26">
        <f>IF($B157&lt;&gt;"Entry","",IF(OR(AE157=0,AC157="",AS157="",AS157&lt;=0),0,IF(AS157&lt;=DATE(YEAR(AC157),MONTH(AC157)+1,7),0,ROUND(AE157*0.015*((YEAR(AS157)-YEAR(AC157))*12+(MONTH(AS157)-MONTH(AC157))+1),0))))</f>
      </c>
      <c r="AI157" s="31"/>
      <c r="AJ157" s="27"/>
      <c r="AK157" s="27"/>
      <c r="AL157" s="29"/>
      <c r="AM157" s="27"/>
      <c r="AN157" s="27"/>
      <c r="AO157" s="26">
        <f>IF($B157&lt;&gt;"Challan","",SUMIF($C$8:$C$207,$C157,$AE$8:$AE$207)+SUMIF($C$8:$C$207,$C157,$AH$8:$AH$207)+SUMIF($C$8:$C$207,$C157,$AF$8:$AF$207))</f>
      </c>
      <c r="AP157" s="26">
        <f>IF($B157&lt;&gt;"Challan","",O157-M157)</f>
      </c>
      <c r="AQ157" s="26">
        <f>IF($B157&lt;&gt;"Challan","",MAX(0,AP157-AO157))</f>
      </c>
      <c r="AR157" s="32">
        <f>IF($B157&lt;&gt;"Challan","",IF(ROUND(AO157-AP157,2)&gt;0,"Over-applied",IF(ROUND(AO157-AP157,2)=0,"Fully Utilised","Unconsumed")))</f>
      </c>
      <c r="AS157" s="33">
        <f>IF($B157&lt;&gt;"Entry","",SUMPRODUCT(($C$8:$C$207=$C157)*($B$8:$B$207="Challan")*$F$8:$F$207))</f>
      </c>
    </row>
    <row r="158" spans="1:45" x14ac:dyDescent="0.25">
      <c r="A158" s="19">
        <f>IF($B158="Entry",COUNTIF($B$8:$B158,"Entry"),"")</f>
      </c>
      <c r="B158" s="20"/>
      <c r="C158" s="21"/>
      <c r="D158" s="22"/>
      <c r="E158" s="22"/>
      <c r="F158" s="23"/>
      <c r="G158" s="24"/>
      <c r="H158" s="25"/>
      <c r="I158" s="25"/>
      <c r="J158" s="25"/>
      <c r="K158" s="25"/>
      <c r="L158" s="25"/>
      <c r="M158" s="25"/>
      <c r="N158" s="25"/>
      <c r="O158" s="26">
        <f>IF($B158&lt;&gt;"Challan","",H158+I158+J158+K158+L158+M158)</f>
      </c>
      <c r="P158" s="24"/>
      <c r="Q158" s="24"/>
      <c r="R158" s="24"/>
      <c r="S158" s="24"/>
      <c r="T158" s="24"/>
      <c r="U158" s="27"/>
      <c r="V158" s="27"/>
      <c r="W158" s="27"/>
      <c r="X158" s="27"/>
      <c r="Y158" s="27"/>
      <c r="Z158" s="28">
        <f>IFERROR(IF($B158&lt;&gt;"Entry","",IF(W158="Y",SUMPRODUCT(('Rate Master'!$D$2:$D$50=(Y158&amp;"|"&amp;$B$2))*'Rate Master'!$I$2:$I$50),IF(OR(X158="Individual",X158="HUF"),SUMPRODUCT(('Rate Master'!$D$2:$D$50=(Y158&amp;"|"&amp;$B$2))*'Rate Master'!$G$2:$G$50),SUMPRODUCT(('Rate Master'!$D$2:$D$50=(Y158&amp;"|"&amp;$B$2))*'Rate Master'!$H$2:$H$50)))),"")</f>
      </c>
      <c r="AA158" s="26">
        <f>IFERROR(IF($B158&lt;&gt;"Entry","",IF(OR(X158="Individual",X158="HUF"),SUMPRODUCT(('Rate Master'!$D$2:$D$50=(Y158&amp;"|"&amp;$B$2))*'Rate Master'!$E$2:$E$50),SUMPRODUCT(('Rate Master'!$D$2:$D$50=(Y158&amp;"|"&amp;$B$2))*'Rate Master'!$F$2:$F$50))),"")</f>
      </c>
      <c r="AB158" s="29"/>
      <c r="AC158" s="30"/>
      <c r="AD158" s="31"/>
      <c r="AE158" s="26">
        <f>IF($B158&lt;&gt;"Entry","",ROUND(AD158*AB158/100,0))</f>
      </c>
      <c r="AF158" s="31"/>
      <c r="AG158" s="31"/>
      <c r="AH158" s="26">
        <f>IF($B158&lt;&gt;"Entry","",IF(OR(AE158=0,AC158="",AS158="",AS158&lt;=0),0,IF(AS158&lt;=DATE(YEAR(AC158),MONTH(AC158)+1,7),0,ROUND(AE158*0.015*((YEAR(AS158)-YEAR(AC158))*12+(MONTH(AS158)-MONTH(AC158))+1),0))))</f>
      </c>
      <c r="AI158" s="31"/>
      <c r="AJ158" s="27"/>
      <c r="AK158" s="27"/>
      <c r="AL158" s="29"/>
      <c r="AM158" s="27"/>
      <c r="AN158" s="27"/>
      <c r="AO158" s="26">
        <f>IF($B158&lt;&gt;"Challan","",SUMIF($C$8:$C$207,$C158,$AE$8:$AE$207)+SUMIF($C$8:$C$207,$C158,$AH$8:$AH$207)+SUMIF($C$8:$C$207,$C158,$AF$8:$AF$207))</f>
      </c>
      <c r="AP158" s="26">
        <f>IF($B158&lt;&gt;"Challan","",O158-M158)</f>
      </c>
      <c r="AQ158" s="26">
        <f>IF($B158&lt;&gt;"Challan","",MAX(0,AP158-AO158))</f>
      </c>
      <c r="AR158" s="32">
        <f>IF($B158&lt;&gt;"Challan","",IF(ROUND(AO158-AP158,2)&gt;0,"Over-applied",IF(ROUND(AO158-AP158,2)=0,"Fully Utilised","Unconsumed")))</f>
      </c>
      <c r="AS158" s="33">
        <f>IF($B158&lt;&gt;"Entry","",SUMPRODUCT(($C$8:$C$207=$C158)*($B$8:$B$207="Challan")*$F$8:$F$207))</f>
      </c>
    </row>
    <row r="159" spans="1:45" x14ac:dyDescent="0.25">
      <c r="A159" s="19">
        <f>IF($B159="Entry",COUNTIF($B$8:$B159,"Entry"),"")</f>
      </c>
      <c r="B159" s="20"/>
      <c r="C159" s="21"/>
      <c r="D159" s="22"/>
      <c r="E159" s="22"/>
      <c r="F159" s="23"/>
      <c r="G159" s="24"/>
      <c r="H159" s="25"/>
      <c r="I159" s="25"/>
      <c r="J159" s="25"/>
      <c r="K159" s="25"/>
      <c r="L159" s="25"/>
      <c r="M159" s="25"/>
      <c r="N159" s="25"/>
      <c r="O159" s="26">
        <f>IF($B159&lt;&gt;"Challan","",H159+I159+J159+K159+L159+M159)</f>
      </c>
      <c r="P159" s="24"/>
      <c r="Q159" s="24"/>
      <c r="R159" s="24"/>
      <c r="S159" s="24"/>
      <c r="T159" s="24"/>
      <c r="U159" s="27"/>
      <c r="V159" s="27"/>
      <c r="W159" s="27"/>
      <c r="X159" s="27"/>
      <c r="Y159" s="27"/>
      <c r="Z159" s="28">
        <f>IFERROR(IF($B159&lt;&gt;"Entry","",IF(W159="Y",SUMPRODUCT(('Rate Master'!$D$2:$D$50=(Y159&amp;"|"&amp;$B$2))*'Rate Master'!$I$2:$I$50),IF(OR(X159="Individual",X159="HUF"),SUMPRODUCT(('Rate Master'!$D$2:$D$50=(Y159&amp;"|"&amp;$B$2))*'Rate Master'!$G$2:$G$50),SUMPRODUCT(('Rate Master'!$D$2:$D$50=(Y159&amp;"|"&amp;$B$2))*'Rate Master'!$H$2:$H$50)))),"")</f>
      </c>
      <c r="AA159" s="26">
        <f>IFERROR(IF($B159&lt;&gt;"Entry","",IF(OR(X159="Individual",X159="HUF"),SUMPRODUCT(('Rate Master'!$D$2:$D$50=(Y159&amp;"|"&amp;$B$2))*'Rate Master'!$E$2:$E$50),SUMPRODUCT(('Rate Master'!$D$2:$D$50=(Y159&amp;"|"&amp;$B$2))*'Rate Master'!$F$2:$F$50))),"")</f>
      </c>
      <c r="AB159" s="29"/>
      <c r="AC159" s="30"/>
      <c r="AD159" s="31"/>
      <c r="AE159" s="26">
        <f>IF($B159&lt;&gt;"Entry","",ROUND(AD159*AB159/100,0))</f>
      </c>
      <c r="AF159" s="31"/>
      <c r="AG159" s="31"/>
      <c r="AH159" s="26">
        <f>IF($B159&lt;&gt;"Entry","",IF(OR(AE159=0,AC159="",AS159="",AS159&lt;=0),0,IF(AS159&lt;=DATE(YEAR(AC159),MONTH(AC159)+1,7),0,ROUND(AE159*0.015*((YEAR(AS159)-YEAR(AC159))*12+(MONTH(AS159)-MONTH(AC159))+1),0))))</f>
      </c>
      <c r="AI159" s="31"/>
      <c r="AJ159" s="27"/>
      <c r="AK159" s="27"/>
      <c r="AL159" s="29"/>
      <c r="AM159" s="27"/>
      <c r="AN159" s="27"/>
      <c r="AO159" s="26">
        <f>IF($B159&lt;&gt;"Challan","",SUMIF($C$8:$C$207,$C159,$AE$8:$AE$207)+SUMIF($C$8:$C$207,$C159,$AH$8:$AH$207)+SUMIF($C$8:$C$207,$C159,$AF$8:$AF$207))</f>
      </c>
      <c r="AP159" s="26">
        <f>IF($B159&lt;&gt;"Challan","",O159-M159)</f>
      </c>
      <c r="AQ159" s="26">
        <f>IF($B159&lt;&gt;"Challan","",MAX(0,AP159-AO159))</f>
      </c>
      <c r="AR159" s="32">
        <f>IF($B159&lt;&gt;"Challan","",IF(ROUND(AO159-AP159,2)&gt;0,"Over-applied",IF(ROUND(AO159-AP159,2)=0,"Fully Utilised","Unconsumed")))</f>
      </c>
      <c r="AS159" s="33">
        <f>IF($B159&lt;&gt;"Entry","",SUMPRODUCT(($C$8:$C$207=$C159)*($B$8:$B$207="Challan")*$F$8:$F$207))</f>
      </c>
    </row>
    <row r="160" spans="1:45" x14ac:dyDescent="0.25">
      <c r="A160" s="19">
        <f>IF($B160="Entry",COUNTIF($B$8:$B160,"Entry"),"")</f>
      </c>
      <c r="B160" s="20"/>
      <c r="C160" s="21"/>
      <c r="D160" s="22"/>
      <c r="E160" s="22"/>
      <c r="F160" s="23"/>
      <c r="G160" s="24"/>
      <c r="H160" s="25"/>
      <c r="I160" s="25"/>
      <c r="J160" s="25"/>
      <c r="K160" s="25"/>
      <c r="L160" s="25"/>
      <c r="M160" s="25"/>
      <c r="N160" s="25"/>
      <c r="O160" s="26">
        <f>IF($B160&lt;&gt;"Challan","",H160+I160+J160+K160+L160+M160)</f>
      </c>
      <c r="P160" s="24"/>
      <c r="Q160" s="24"/>
      <c r="R160" s="24"/>
      <c r="S160" s="24"/>
      <c r="T160" s="24"/>
      <c r="U160" s="27"/>
      <c r="V160" s="27"/>
      <c r="W160" s="27"/>
      <c r="X160" s="27"/>
      <c r="Y160" s="27"/>
      <c r="Z160" s="28">
        <f>IFERROR(IF($B160&lt;&gt;"Entry","",IF(W160="Y",SUMPRODUCT(('Rate Master'!$D$2:$D$50=(Y160&amp;"|"&amp;$B$2))*'Rate Master'!$I$2:$I$50),IF(OR(X160="Individual",X160="HUF"),SUMPRODUCT(('Rate Master'!$D$2:$D$50=(Y160&amp;"|"&amp;$B$2))*'Rate Master'!$G$2:$G$50),SUMPRODUCT(('Rate Master'!$D$2:$D$50=(Y160&amp;"|"&amp;$B$2))*'Rate Master'!$H$2:$H$50)))),"")</f>
      </c>
      <c r="AA160" s="26">
        <f>IFERROR(IF($B160&lt;&gt;"Entry","",IF(OR(X160="Individual",X160="HUF"),SUMPRODUCT(('Rate Master'!$D$2:$D$50=(Y160&amp;"|"&amp;$B$2))*'Rate Master'!$E$2:$E$50),SUMPRODUCT(('Rate Master'!$D$2:$D$50=(Y160&amp;"|"&amp;$B$2))*'Rate Master'!$F$2:$F$50))),"")</f>
      </c>
      <c r="AB160" s="29"/>
      <c r="AC160" s="30"/>
      <c r="AD160" s="31"/>
      <c r="AE160" s="26">
        <f>IF($B160&lt;&gt;"Entry","",ROUND(AD160*AB160/100,0))</f>
      </c>
      <c r="AF160" s="31"/>
      <c r="AG160" s="31"/>
      <c r="AH160" s="26">
        <f>IF($B160&lt;&gt;"Entry","",IF(OR(AE160=0,AC160="",AS160="",AS160&lt;=0),0,IF(AS160&lt;=DATE(YEAR(AC160),MONTH(AC160)+1,7),0,ROUND(AE160*0.015*((YEAR(AS160)-YEAR(AC160))*12+(MONTH(AS160)-MONTH(AC160))+1),0))))</f>
      </c>
      <c r="AI160" s="31"/>
      <c r="AJ160" s="27"/>
      <c r="AK160" s="27"/>
      <c r="AL160" s="29"/>
      <c r="AM160" s="27"/>
      <c r="AN160" s="27"/>
      <c r="AO160" s="26">
        <f>IF($B160&lt;&gt;"Challan","",SUMIF($C$8:$C$207,$C160,$AE$8:$AE$207)+SUMIF($C$8:$C$207,$C160,$AH$8:$AH$207)+SUMIF($C$8:$C$207,$C160,$AF$8:$AF$207))</f>
      </c>
      <c r="AP160" s="26">
        <f>IF($B160&lt;&gt;"Challan","",O160-M160)</f>
      </c>
      <c r="AQ160" s="26">
        <f>IF($B160&lt;&gt;"Challan","",MAX(0,AP160-AO160))</f>
      </c>
      <c r="AR160" s="32">
        <f>IF($B160&lt;&gt;"Challan","",IF(ROUND(AO160-AP160,2)&gt;0,"Over-applied",IF(ROUND(AO160-AP160,2)=0,"Fully Utilised","Unconsumed")))</f>
      </c>
      <c r="AS160" s="33">
        <f>IF($B160&lt;&gt;"Entry","",SUMPRODUCT(($C$8:$C$207=$C160)*($B$8:$B$207="Challan")*$F$8:$F$207))</f>
      </c>
    </row>
    <row r="161" spans="1:45" x14ac:dyDescent="0.25">
      <c r="A161" s="19">
        <f>IF($B161="Entry",COUNTIF($B$8:$B161,"Entry"),"")</f>
      </c>
      <c r="B161" s="20"/>
      <c r="C161" s="21"/>
      <c r="D161" s="22"/>
      <c r="E161" s="22"/>
      <c r="F161" s="23"/>
      <c r="G161" s="24"/>
      <c r="H161" s="25"/>
      <c r="I161" s="25"/>
      <c r="J161" s="25"/>
      <c r="K161" s="25"/>
      <c r="L161" s="25"/>
      <c r="M161" s="25"/>
      <c r="N161" s="25"/>
      <c r="O161" s="26">
        <f>IF($B161&lt;&gt;"Challan","",H161+I161+J161+K161+L161+M161)</f>
      </c>
      <c r="P161" s="24"/>
      <c r="Q161" s="24"/>
      <c r="R161" s="24"/>
      <c r="S161" s="24"/>
      <c r="T161" s="24"/>
      <c r="U161" s="27"/>
      <c r="V161" s="27"/>
      <c r="W161" s="27"/>
      <c r="X161" s="27"/>
      <c r="Y161" s="27"/>
      <c r="Z161" s="28">
        <f>IFERROR(IF($B161&lt;&gt;"Entry","",IF(W161="Y",SUMPRODUCT(('Rate Master'!$D$2:$D$50=(Y161&amp;"|"&amp;$B$2))*'Rate Master'!$I$2:$I$50),IF(OR(X161="Individual",X161="HUF"),SUMPRODUCT(('Rate Master'!$D$2:$D$50=(Y161&amp;"|"&amp;$B$2))*'Rate Master'!$G$2:$G$50),SUMPRODUCT(('Rate Master'!$D$2:$D$50=(Y161&amp;"|"&amp;$B$2))*'Rate Master'!$H$2:$H$50)))),"")</f>
      </c>
      <c r="AA161" s="26">
        <f>IFERROR(IF($B161&lt;&gt;"Entry","",IF(OR(X161="Individual",X161="HUF"),SUMPRODUCT(('Rate Master'!$D$2:$D$50=(Y161&amp;"|"&amp;$B$2))*'Rate Master'!$E$2:$E$50),SUMPRODUCT(('Rate Master'!$D$2:$D$50=(Y161&amp;"|"&amp;$B$2))*'Rate Master'!$F$2:$F$50))),"")</f>
      </c>
      <c r="AB161" s="29"/>
      <c r="AC161" s="30"/>
      <c r="AD161" s="31"/>
      <c r="AE161" s="26">
        <f>IF($B161&lt;&gt;"Entry","",ROUND(AD161*AB161/100,0))</f>
      </c>
      <c r="AF161" s="31"/>
      <c r="AG161" s="31"/>
      <c r="AH161" s="26">
        <f>IF($B161&lt;&gt;"Entry","",IF(OR(AE161=0,AC161="",AS161="",AS161&lt;=0),0,IF(AS161&lt;=DATE(YEAR(AC161),MONTH(AC161)+1,7),0,ROUND(AE161*0.015*((YEAR(AS161)-YEAR(AC161))*12+(MONTH(AS161)-MONTH(AC161))+1),0))))</f>
      </c>
      <c r="AI161" s="31"/>
      <c r="AJ161" s="27"/>
      <c r="AK161" s="27"/>
      <c r="AL161" s="29"/>
      <c r="AM161" s="27"/>
      <c r="AN161" s="27"/>
      <c r="AO161" s="26">
        <f>IF($B161&lt;&gt;"Challan","",SUMIF($C$8:$C$207,$C161,$AE$8:$AE$207)+SUMIF($C$8:$C$207,$C161,$AH$8:$AH$207)+SUMIF($C$8:$C$207,$C161,$AF$8:$AF$207))</f>
      </c>
      <c r="AP161" s="26">
        <f>IF($B161&lt;&gt;"Challan","",O161-M161)</f>
      </c>
      <c r="AQ161" s="26">
        <f>IF($B161&lt;&gt;"Challan","",MAX(0,AP161-AO161))</f>
      </c>
      <c r="AR161" s="32">
        <f>IF($B161&lt;&gt;"Challan","",IF(ROUND(AO161-AP161,2)&gt;0,"Over-applied",IF(ROUND(AO161-AP161,2)=0,"Fully Utilised","Unconsumed")))</f>
      </c>
      <c r="AS161" s="33">
        <f>IF($B161&lt;&gt;"Entry","",SUMPRODUCT(($C$8:$C$207=$C161)*($B$8:$B$207="Challan")*$F$8:$F$207))</f>
      </c>
    </row>
    <row r="162" spans="1:45" x14ac:dyDescent="0.25">
      <c r="A162" s="19">
        <f>IF($B162="Entry",COUNTIF($B$8:$B162,"Entry"),"")</f>
      </c>
      <c r="B162" s="20"/>
      <c r="C162" s="21"/>
      <c r="D162" s="22"/>
      <c r="E162" s="22"/>
      <c r="F162" s="23"/>
      <c r="G162" s="24"/>
      <c r="H162" s="25"/>
      <c r="I162" s="25"/>
      <c r="J162" s="25"/>
      <c r="K162" s="25"/>
      <c r="L162" s="25"/>
      <c r="M162" s="25"/>
      <c r="N162" s="25"/>
      <c r="O162" s="26">
        <f>IF($B162&lt;&gt;"Challan","",H162+I162+J162+K162+L162+M162)</f>
      </c>
      <c r="P162" s="24"/>
      <c r="Q162" s="24"/>
      <c r="R162" s="24"/>
      <c r="S162" s="24"/>
      <c r="T162" s="24"/>
      <c r="U162" s="27"/>
      <c r="V162" s="27"/>
      <c r="W162" s="27"/>
      <c r="X162" s="27"/>
      <c r="Y162" s="27"/>
      <c r="Z162" s="28">
        <f>IFERROR(IF($B162&lt;&gt;"Entry","",IF(W162="Y",SUMPRODUCT(('Rate Master'!$D$2:$D$50=(Y162&amp;"|"&amp;$B$2))*'Rate Master'!$I$2:$I$50),IF(OR(X162="Individual",X162="HUF"),SUMPRODUCT(('Rate Master'!$D$2:$D$50=(Y162&amp;"|"&amp;$B$2))*'Rate Master'!$G$2:$G$50),SUMPRODUCT(('Rate Master'!$D$2:$D$50=(Y162&amp;"|"&amp;$B$2))*'Rate Master'!$H$2:$H$50)))),"")</f>
      </c>
      <c r="AA162" s="26">
        <f>IFERROR(IF($B162&lt;&gt;"Entry","",IF(OR(X162="Individual",X162="HUF"),SUMPRODUCT(('Rate Master'!$D$2:$D$50=(Y162&amp;"|"&amp;$B$2))*'Rate Master'!$E$2:$E$50),SUMPRODUCT(('Rate Master'!$D$2:$D$50=(Y162&amp;"|"&amp;$B$2))*'Rate Master'!$F$2:$F$50))),"")</f>
      </c>
      <c r="AB162" s="29"/>
      <c r="AC162" s="30"/>
      <c r="AD162" s="31"/>
      <c r="AE162" s="26">
        <f>IF($B162&lt;&gt;"Entry","",ROUND(AD162*AB162/100,0))</f>
      </c>
      <c r="AF162" s="31"/>
      <c r="AG162" s="31"/>
      <c r="AH162" s="26">
        <f>IF($B162&lt;&gt;"Entry","",IF(OR(AE162=0,AC162="",AS162="",AS162&lt;=0),0,IF(AS162&lt;=DATE(YEAR(AC162),MONTH(AC162)+1,7),0,ROUND(AE162*0.015*((YEAR(AS162)-YEAR(AC162))*12+(MONTH(AS162)-MONTH(AC162))+1),0))))</f>
      </c>
      <c r="AI162" s="31"/>
      <c r="AJ162" s="27"/>
      <c r="AK162" s="27"/>
      <c r="AL162" s="29"/>
      <c r="AM162" s="27"/>
      <c r="AN162" s="27"/>
      <c r="AO162" s="26">
        <f>IF($B162&lt;&gt;"Challan","",SUMIF($C$8:$C$207,$C162,$AE$8:$AE$207)+SUMIF($C$8:$C$207,$C162,$AH$8:$AH$207)+SUMIF($C$8:$C$207,$C162,$AF$8:$AF$207))</f>
      </c>
      <c r="AP162" s="26">
        <f>IF($B162&lt;&gt;"Challan","",O162-M162)</f>
      </c>
      <c r="AQ162" s="26">
        <f>IF($B162&lt;&gt;"Challan","",MAX(0,AP162-AO162))</f>
      </c>
      <c r="AR162" s="32">
        <f>IF($B162&lt;&gt;"Challan","",IF(ROUND(AO162-AP162,2)&gt;0,"Over-applied",IF(ROUND(AO162-AP162,2)=0,"Fully Utilised","Unconsumed")))</f>
      </c>
      <c r="AS162" s="33">
        <f>IF($B162&lt;&gt;"Entry","",SUMPRODUCT(($C$8:$C$207=$C162)*($B$8:$B$207="Challan")*$F$8:$F$207))</f>
      </c>
    </row>
    <row r="163" spans="1:45" x14ac:dyDescent="0.25">
      <c r="A163" s="19">
        <f>IF($B163="Entry",COUNTIF($B$8:$B163,"Entry"),"")</f>
      </c>
      <c r="B163" s="20"/>
      <c r="C163" s="21"/>
      <c r="D163" s="22"/>
      <c r="E163" s="22"/>
      <c r="F163" s="23"/>
      <c r="G163" s="24"/>
      <c r="H163" s="25"/>
      <c r="I163" s="25"/>
      <c r="J163" s="25"/>
      <c r="K163" s="25"/>
      <c r="L163" s="25"/>
      <c r="M163" s="25"/>
      <c r="N163" s="25"/>
      <c r="O163" s="26">
        <f>IF($B163&lt;&gt;"Challan","",H163+I163+J163+K163+L163+M163)</f>
      </c>
      <c r="P163" s="24"/>
      <c r="Q163" s="24"/>
      <c r="R163" s="24"/>
      <c r="S163" s="24"/>
      <c r="T163" s="24"/>
      <c r="U163" s="27"/>
      <c r="V163" s="27"/>
      <c r="W163" s="27"/>
      <c r="X163" s="27"/>
      <c r="Y163" s="27"/>
      <c r="Z163" s="28">
        <f>IFERROR(IF($B163&lt;&gt;"Entry","",IF(W163="Y",SUMPRODUCT(('Rate Master'!$D$2:$D$50=(Y163&amp;"|"&amp;$B$2))*'Rate Master'!$I$2:$I$50),IF(OR(X163="Individual",X163="HUF"),SUMPRODUCT(('Rate Master'!$D$2:$D$50=(Y163&amp;"|"&amp;$B$2))*'Rate Master'!$G$2:$G$50),SUMPRODUCT(('Rate Master'!$D$2:$D$50=(Y163&amp;"|"&amp;$B$2))*'Rate Master'!$H$2:$H$50)))),"")</f>
      </c>
      <c r="AA163" s="26">
        <f>IFERROR(IF($B163&lt;&gt;"Entry","",IF(OR(X163="Individual",X163="HUF"),SUMPRODUCT(('Rate Master'!$D$2:$D$50=(Y163&amp;"|"&amp;$B$2))*'Rate Master'!$E$2:$E$50),SUMPRODUCT(('Rate Master'!$D$2:$D$50=(Y163&amp;"|"&amp;$B$2))*'Rate Master'!$F$2:$F$50))),"")</f>
      </c>
      <c r="AB163" s="29"/>
      <c r="AC163" s="30"/>
      <c r="AD163" s="31"/>
      <c r="AE163" s="26">
        <f>IF($B163&lt;&gt;"Entry","",ROUND(AD163*AB163/100,0))</f>
      </c>
      <c r="AF163" s="31"/>
      <c r="AG163" s="31"/>
      <c r="AH163" s="26">
        <f>IF($B163&lt;&gt;"Entry","",IF(OR(AE163=0,AC163="",AS163="",AS163&lt;=0),0,IF(AS163&lt;=DATE(YEAR(AC163),MONTH(AC163)+1,7),0,ROUND(AE163*0.015*((YEAR(AS163)-YEAR(AC163))*12+(MONTH(AS163)-MONTH(AC163))+1),0))))</f>
      </c>
      <c r="AI163" s="31"/>
      <c r="AJ163" s="27"/>
      <c r="AK163" s="27"/>
      <c r="AL163" s="29"/>
      <c r="AM163" s="27"/>
      <c r="AN163" s="27"/>
      <c r="AO163" s="26">
        <f>IF($B163&lt;&gt;"Challan","",SUMIF($C$8:$C$207,$C163,$AE$8:$AE$207)+SUMIF($C$8:$C$207,$C163,$AH$8:$AH$207)+SUMIF($C$8:$C$207,$C163,$AF$8:$AF$207))</f>
      </c>
      <c r="AP163" s="26">
        <f>IF($B163&lt;&gt;"Challan","",O163-M163)</f>
      </c>
      <c r="AQ163" s="26">
        <f>IF($B163&lt;&gt;"Challan","",MAX(0,AP163-AO163))</f>
      </c>
      <c r="AR163" s="32">
        <f>IF($B163&lt;&gt;"Challan","",IF(ROUND(AO163-AP163,2)&gt;0,"Over-applied",IF(ROUND(AO163-AP163,2)=0,"Fully Utilised","Unconsumed")))</f>
      </c>
      <c r="AS163" s="33">
        <f>IF($B163&lt;&gt;"Entry","",SUMPRODUCT(($C$8:$C$207=$C163)*($B$8:$B$207="Challan")*$F$8:$F$207))</f>
      </c>
    </row>
    <row r="164" spans="1:45" x14ac:dyDescent="0.25">
      <c r="A164" s="19">
        <f>IF($B164="Entry",COUNTIF($B$8:$B164,"Entry"),"")</f>
      </c>
      <c r="B164" s="20"/>
      <c r="C164" s="21"/>
      <c r="D164" s="22"/>
      <c r="E164" s="22"/>
      <c r="F164" s="23"/>
      <c r="G164" s="24"/>
      <c r="H164" s="25"/>
      <c r="I164" s="25"/>
      <c r="J164" s="25"/>
      <c r="K164" s="25"/>
      <c r="L164" s="25"/>
      <c r="M164" s="25"/>
      <c r="N164" s="25"/>
      <c r="O164" s="26">
        <f>IF($B164&lt;&gt;"Challan","",H164+I164+J164+K164+L164+M164)</f>
      </c>
      <c r="P164" s="24"/>
      <c r="Q164" s="24"/>
      <c r="R164" s="24"/>
      <c r="S164" s="24"/>
      <c r="T164" s="24"/>
      <c r="U164" s="27"/>
      <c r="V164" s="27"/>
      <c r="W164" s="27"/>
      <c r="X164" s="27"/>
      <c r="Y164" s="27"/>
      <c r="Z164" s="28">
        <f>IFERROR(IF($B164&lt;&gt;"Entry","",IF(W164="Y",SUMPRODUCT(('Rate Master'!$D$2:$D$50=(Y164&amp;"|"&amp;$B$2))*'Rate Master'!$I$2:$I$50),IF(OR(X164="Individual",X164="HUF"),SUMPRODUCT(('Rate Master'!$D$2:$D$50=(Y164&amp;"|"&amp;$B$2))*'Rate Master'!$G$2:$G$50),SUMPRODUCT(('Rate Master'!$D$2:$D$50=(Y164&amp;"|"&amp;$B$2))*'Rate Master'!$H$2:$H$50)))),"")</f>
      </c>
      <c r="AA164" s="26">
        <f>IFERROR(IF($B164&lt;&gt;"Entry","",IF(OR(X164="Individual",X164="HUF"),SUMPRODUCT(('Rate Master'!$D$2:$D$50=(Y164&amp;"|"&amp;$B$2))*'Rate Master'!$E$2:$E$50),SUMPRODUCT(('Rate Master'!$D$2:$D$50=(Y164&amp;"|"&amp;$B$2))*'Rate Master'!$F$2:$F$50))),"")</f>
      </c>
      <c r="AB164" s="29"/>
      <c r="AC164" s="30"/>
      <c r="AD164" s="31"/>
      <c r="AE164" s="26">
        <f>IF($B164&lt;&gt;"Entry","",ROUND(AD164*AB164/100,0))</f>
      </c>
      <c r="AF164" s="31"/>
      <c r="AG164" s="31"/>
      <c r="AH164" s="26">
        <f>IF($B164&lt;&gt;"Entry","",IF(OR(AE164=0,AC164="",AS164="",AS164&lt;=0),0,IF(AS164&lt;=DATE(YEAR(AC164),MONTH(AC164)+1,7),0,ROUND(AE164*0.015*((YEAR(AS164)-YEAR(AC164))*12+(MONTH(AS164)-MONTH(AC164))+1),0))))</f>
      </c>
      <c r="AI164" s="31"/>
      <c r="AJ164" s="27"/>
      <c r="AK164" s="27"/>
      <c r="AL164" s="29"/>
      <c r="AM164" s="27"/>
      <c r="AN164" s="27"/>
      <c r="AO164" s="26">
        <f>IF($B164&lt;&gt;"Challan","",SUMIF($C$8:$C$207,$C164,$AE$8:$AE$207)+SUMIF($C$8:$C$207,$C164,$AH$8:$AH$207)+SUMIF($C$8:$C$207,$C164,$AF$8:$AF$207))</f>
      </c>
      <c r="AP164" s="26">
        <f>IF($B164&lt;&gt;"Challan","",O164-M164)</f>
      </c>
      <c r="AQ164" s="26">
        <f>IF($B164&lt;&gt;"Challan","",MAX(0,AP164-AO164))</f>
      </c>
      <c r="AR164" s="32">
        <f>IF($B164&lt;&gt;"Challan","",IF(ROUND(AO164-AP164,2)&gt;0,"Over-applied",IF(ROUND(AO164-AP164,2)=0,"Fully Utilised","Unconsumed")))</f>
      </c>
      <c r="AS164" s="33">
        <f>IF($B164&lt;&gt;"Entry","",SUMPRODUCT(($C$8:$C$207=$C164)*($B$8:$B$207="Challan")*$F$8:$F$207))</f>
      </c>
    </row>
    <row r="165" spans="1:45" x14ac:dyDescent="0.25">
      <c r="A165" s="19">
        <f>IF($B165="Entry",COUNTIF($B$8:$B165,"Entry"),"")</f>
      </c>
      <c r="B165" s="20"/>
      <c r="C165" s="21"/>
      <c r="D165" s="22"/>
      <c r="E165" s="22"/>
      <c r="F165" s="23"/>
      <c r="G165" s="24"/>
      <c r="H165" s="25"/>
      <c r="I165" s="25"/>
      <c r="J165" s="25"/>
      <c r="K165" s="25"/>
      <c r="L165" s="25"/>
      <c r="M165" s="25"/>
      <c r="N165" s="25"/>
      <c r="O165" s="26">
        <f>IF($B165&lt;&gt;"Challan","",H165+I165+J165+K165+L165+M165)</f>
      </c>
      <c r="P165" s="24"/>
      <c r="Q165" s="24"/>
      <c r="R165" s="24"/>
      <c r="S165" s="24"/>
      <c r="T165" s="24"/>
      <c r="U165" s="27"/>
      <c r="V165" s="27"/>
      <c r="W165" s="27"/>
      <c r="X165" s="27"/>
      <c r="Y165" s="27"/>
      <c r="Z165" s="28">
        <f>IFERROR(IF($B165&lt;&gt;"Entry","",IF(W165="Y",SUMPRODUCT(('Rate Master'!$D$2:$D$50=(Y165&amp;"|"&amp;$B$2))*'Rate Master'!$I$2:$I$50),IF(OR(X165="Individual",X165="HUF"),SUMPRODUCT(('Rate Master'!$D$2:$D$50=(Y165&amp;"|"&amp;$B$2))*'Rate Master'!$G$2:$G$50),SUMPRODUCT(('Rate Master'!$D$2:$D$50=(Y165&amp;"|"&amp;$B$2))*'Rate Master'!$H$2:$H$50)))),"")</f>
      </c>
      <c r="AA165" s="26">
        <f>IFERROR(IF($B165&lt;&gt;"Entry","",IF(OR(X165="Individual",X165="HUF"),SUMPRODUCT(('Rate Master'!$D$2:$D$50=(Y165&amp;"|"&amp;$B$2))*'Rate Master'!$E$2:$E$50),SUMPRODUCT(('Rate Master'!$D$2:$D$50=(Y165&amp;"|"&amp;$B$2))*'Rate Master'!$F$2:$F$50))),"")</f>
      </c>
      <c r="AB165" s="29"/>
      <c r="AC165" s="30"/>
      <c r="AD165" s="31"/>
      <c r="AE165" s="26">
        <f>IF($B165&lt;&gt;"Entry","",ROUND(AD165*AB165/100,0))</f>
      </c>
      <c r="AF165" s="31"/>
      <c r="AG165" s="31"/>
      <c r="AH165" s="26">
        <f>IF($B165&lt;&gt;"Entry","",IF(OR(AE165=0,AC165="",AS165="",AS165&lt;=0),0,IF(AS165&lt;=DATE(YEAR(AC165),MONTH(AC165)+1,7),0,ROUND(AE165*0.015*((YEAR(AS165)-YEAR(AC165))*12+(MONTH(AS165)-MONTH(AC165))+1),0))))</f>
      </c>
      <c r="AI165" s="31"/>
      <c r="AJ165" s="27"/>
      <c r="AK165" s="27"/>
      <c r="AL165" s="29"/>
      <c r="AM165" s="27"/>
      <c r="AN165" s="27"/>
      <c r="AO165" s="26">
        <f>IF($B165&lt;&gt;"Challan","",SUMIF($C$8:$C$207,$C165,$AE$8:$AE$207)+SUMIF($C$8:$C$207,$C165,$AH$8:$AH$207)+SUMIF($C$8:$C$207,$C165,$AF$8:$AF$207))</f>
      </c>
      <c r="AP165" s="26">
        <f>IF($B165&lt;&gt;"Challan","",O165-M165)</f>
      </c>
      <c r="AQ165" s="26">
        <f>IF($B165&lt;&gt;"Challan","",MAX(0,AP165-AO165))</f>
      </c>
      <c r="AR165" s="32">
        <f>IF($B165&lt;&gt;"Challan","",IF(ROUND(AO165-AP165,2)&gt;0,"Over-applied",IF(ROUND(AO165-AP165,2)=0,"Fully Utilised","Unconsumed")))</f>
      </c>
      <c r="AS165" s="33">
        <f>IF($B165&lt;&gt;"Entry","",SUMPRODUCT(($C$8:$C$207=$C165)*($B$8:$B$207="Challan")*$F$8:$F$207))</f>
      </c>
    </row>
    <row r="166" spans="1:45" x14ac:dyDescent="0.25">
      <c r="A166" s="19">
        <f>IF($B166="Entry",COUNTIF($B$8:$B166,"Entry"),"")</f>
      </c>
      <c r="B166" s="20"/>
      <c r="C166" s="21"/>
      <c r="D166" s="22"/>
      <c r="E166" s="22"/>
      <c r="F166" s="23"/>
      <c r="G166" s="24"/>
      <c r="H166" s="25"/>
      <c r="I166" s="25"/>
      <c r="J166" s="25"/>
      <c r="K166" s="25"/>
      <c r="L166" s="25"/>
      <c r="M166" s="25"/>
      <c r="N166" s="25"/>
      <c r="O166" s="26">
        <f>IF($B166&lt;&gt;"Challan","",H166+I166+J166+K166+L166+M166)</f>
      </c>
      <c r="P166" s="24"/>
      <c r="Q166" s="24"/>
      <c r="R166" s="24"/>
      <c r="S166" s="24"/>
      <c r="T166" s="24"/>
      <c r="U166" s="27"/>
      <c r="V166" s="27"/>
      <c r="W166" s="27"/>
      <c r="X166" s="27"/>
      <c r="Y166" s="27"/>
      <c r="Z166" s="28">
        <f>IFERROR(IF($B166&lt;&gt;"Entry","",IF(W166="Y",SUMPRODUCT(('Rate Master'!$D$2:$D$50=(Y166&amp;"|"&amp;$B$2))*'Rate Master'!$I$2:$I$50),IF(OR(X166="Individual",X166="HUF"),SUMPRODUCT(('Rate Master'!$D$2:$D$50=(Y166&amp;"|"&amp;$B$2))*'Rate Master'!$G$2:$G$50),SUMPRODUCT(('Rate Master'!$D$2:$D$50=(Y166&amp;"|"&amp;$B$2))*'Rate Master'!$H$2:$H$50)))),"")</f>
      </c>
      <c r="AA166" s="26">
        <f>IFERROR(IF($B166&lt;&gt;"Entry","",IF(OR(X166="Individual",X166="HUF"),SUMPRODUCT(('Rate Master'!$D$2:$D$50=(Y166&amp;"|"&amp;$B$2))*'Rate Master'!$E$2:$E$50),SUMPRODUCT(('Rate Master'!$D$2:$D$50=(Y166&amp;"|"&amp;$B$2))*'Rate Master'!$F$2:$F$50))),"")</f>
      </c>
      <c r="AB166" s="29"/>
      <c r="AC166" s="30"/>
      <c r="AD166" s="31"/>
      <c r="AE166" s="26">
        <f>IF($B166&lt;&gt;"Entry","",ROUND(AD166*AB166/100,0))</f>
      </c>
      <c r="AF166" s="31"/>
      <c r="AG166" s="31"/>
      <c r="AH166" s="26">
        <f>IF($B166&lt;&gt;"Entry","",IF(OR(AE166=0,AC166="",AS166="",AS166&lt;=0),0,IF(AS166&lt;=DATE(YEAR(AC166),MONTH(AC166)+1,7),0,ROUND(AE166*0.015*((YEAR(AS166)-YEAR(AC166))*12+(MONTH(AS166)-MONTH(AC166))+1),0))))</f>
      </c>
      <c r="AI166" s="31"/>
      <c r="AJ166" s="27"/>
      <c r="AK166" s="27"/>
      <c r="AL166" s="29"/>
      <c r="AM166" s="27"/>
      <c r="AN166" s="27"/>
      <c r="AO166" s="26">
        <f>IF($B166&lt;&gt;"Challan","",SUMIF($C$8:$C$207,$C166,$AE$8:$AE$207)+SUMIF($C$8:$C$207,$C166,$AH$8:$AH$207)+SUMIF($C$8:$C$207,$C166,$AF$8:$AF$207))</f>
      </c>
      <c r="AP166" s="26">
        <f>IF($B166&lt;&gt;"Challan","",O166-M166)</f>
      </c>
      <c r="AQ166" s="26">
        <f>IF($B166&lt;&gt;"Challan","",MAX(0,AP166-AO166))</f>
      </c>
      <c r="AR166" s="32">
        <f>IF($B166&lt;&gt;"Challan","",IF(ROUND(AO166-AP166,2)&gt;0,"Over-applied",IF(ROUND(AO166-AP166,2)=0,"Fully Utilised","Unconsumed")))</f>
      </c>
      <c r="AS166" s="33">
        <f>IF($B166&lt;&gt;"Entry","",SUMPRODUCT(($C$8:$C$207=$C166)*($B$8:$B$207="Challan")*$F$8:$F$207))</f>
      </c>
    </row>
    <row r="167" spans="1:45" x14ac:dyDescent="0.25">
      <c r="A167" s="19">
        <f>IF($B167="Entry",COUNTIF($B$8:$B167,"Entry"),"")</f>
      </c>
      <c r="B167" s="20"/>
      <c r="C167" s="21"/>
      <c r="D167" s="22"/>
      <c r="E167" s="22"/>
      <c r="F167" s="23"/>
      <c r="G167" s="24"/>
      <c r="H167" s="25"/>
      <c r="I167" s="25"/>
      <c r="J167" s="25"/>
      <c r="K167" s="25"/>
      <c r="L167" s="25"/>
      <c r="M167" s="25"/>
      <c r="N167" s="25"/>
      <c r="O167" s="26">
        <f>IF($B167&lt;&gt;"Challan","",H167+I167+J167+K167+L167+M167)</f>
      </c>
      <c r="P167" s="24"/>
      <c r="Q167" s="24"/>
      <c r="R167" s="24"/>
      <c r="S167" s="24"/>
      <c r="T167" s="24"/>
      <c r="U167" s="27"/>
      <c r="V167" s="27"/>
      <c r="W167" s="27"/>
      <c r="X167" s="27"/>
      <c r="Y167" s="27"/>
      <c r="Z167" s="28">
        <f>IFERROR(IF($B167&lt;&gt;"Entry","",IF(W167="Y",SUMPRODUCT(('Rate Master'!$D$2:$D$50=(Y167&amp;"|"&amp;$B$2))*'Rate Master'!$I$2:$I$50),IF(OR(X167="Individual",X167="HUF"),SUMPRODUCT(('Rate Master'!$D$2:$D$50=(Y167&amp;"|"&amp;$B$2))*'Rate Master'!$G$2:$G$50),SUMPRODUCT(('Rate Master'!$D$2:$D$50=(Y167&amp;"|"&amp;$B$2))*'Rate Master'!$H$2:$H$50)))),"")</f>
      </c>
      <c r="AA167" s="26">
        <f>IFERROR(IF($B167&lt;&gt;"Entry","",IF(OR(X167="Individual",X167="HUF"),SUMPRODUCT(('Rate Master'!$D$2:$D$50=(Y167&amp;"|"&amp;$B$2))*'Rate Master'!$E$2:$E$50),SUMPRODUCT(('Rate Master'!$D$2:$D$50=(Y167&amp;"|"&amp;$B$2))*'Rate Master'!$F$2:$F$50))),"")</f>
      </c>
      <c r="AB167" s="29"/>
      <c r="AC167" s="30"/>
      <c r="AD167" s="31"/>
      <c r="AE167" s="26">
        <f>IF($B167&lt;&gt;"Entry","",ROUND(AD167*AB167/100,0))</f>
      </c>
      <c r="AF167" s="31"/>
      <c r="AG167" s="31"/>
      <c r="AH167" s="26">
        <f>IF($B167&lt;&gt;"Entry","",IF(OR(AE167=0,AC167="",AS167="",AS167&lt;=0),0,IF(AS167&lt;=DATE(YEAR(AC167),MONTH(AC167)+1,7),0,ROUND(AE167*0.015*((YEAR(AS167)-YEAR(AC167))*12+(MONTH(AS167)-MONTH(AC167))+1),0))))</f>
      </c>
      <c r="AI167" s="31"/>
      <c r="AJ167" s="27"/>
      <c r="AK167" s="27"/>
      <c r="AL167" s="29"/>
      <c r="AM167" s="27"/>
      <c r="AN167" s="27"/>
      <c r="AO167" s="26">
        <f>IF($B167&lt;&gt;"Challan","",SUMIF($C$8:$C$207,$C167,$AE$8:$AE$207)+SUMIF($C$8:$C$207,$C167,$AH$8:$AH$207)+SUMIF($C$8:$C$207,$C167,$AF$8:$AF$207))</f>
      </c>
      <c r="AP167" s="26">
        <f>IF($B167&lt;&gt;"Challan","",O167-M167)</f>
      </c>
      <c r="AQ167" s="26">
        <f>IF($B167&lt;&gt;"Challan","",MAX(0,AP167-AO167))</f>
      </c>
      <c r="AR167" s="32">
        <f>IF($B167&lt;&gt;"Challan","",IF(ROUND(AO167-AP167,2)&gt;0,"Over-applied",IF(ROUND(AO167-AP167,2)=0,"Fully Utilised","Unconsumed")))</f>
      </c>
      <c r="AS167" s="33">
        <f>IF($B167&lt;&gt;"Entry","",SUMPRODUCT(($C$8:$C$207=$C167)*($B$8:$B$207="Challan")*$F$8:$F$207))</f>
      </c>
    </row>
    <row r="168" spans="1:45" x14ac:dyDescent="0.25">
      <c r="A168" s="19">
        <f>IF($B168="Entry",COUNTIF($B$8:$B168,"Entry"),"")</f>
      </c>
      <c r="B168" s="20"/>
      <c r="C168" s="21"/>
      <c r="D168" s="22"/>
      <c r="E168" s="22"/>
      <c r="F168" s="23"/>
      <c r="G168" s="24"/>
      <c r="H168" s="25"/>
      <c r="I168" s="25"/>
      <c r="J168" s="25"/>
      <c r="K168" s="25"/>
      <c r="L168" s="25"/>
      <c r="M168" s="25"/>
      <c r="N168" s="25"/>
      <c r="O168" s="26">
        <f>IF($B168&lt;&gt;"Challan","",H168+I168+J168+K168+L168+M168)</f>
      </c>
      <c r="P168" s="24"/>
      <c r="Q168" s="24"/>
      <c r="R168" s="24"/>
      <c r="S168" s="24"/>
      <c r="T168" s="24"/>
      <c r="U168" s="27"/>
      <c r="V168" s="27"/>
      <c r="W168" s="27"/>
      <c r="X168" s="27"/>
      <c r="Y168" s="27"/>
      <c r="Z168" s="28">
        <f>IFERROR(IF($B168&lt;&gt;"Entry","",IF(W168="Y",SUMPRODUCT(('Rate Master'!$D$2:$D$50=(Y168&amp;"|"&amp;$B$2))*'Rate Master'!$I$2:$I$50),IF(OR(X168="Individual",X168="HUF"),SUMPRODUCT(('Rate Master'!$D$2:$D$50=(Y168&amp;"|"&amp;$B$2))*'Rate Master'!$G$2:$G$50),SUMPRODUCT(('Rate Master'!$D$2:$D$50=(Y168&amp;"|"&amp;$B$2))*'Rate Master'!$H$2:$H$50)))),"")</f>
      </c>
      <c r="AA168" s="26">
        <f>IFERROR(IF($B168&lt;&gt;"Entry","",IF(OR(X168="Individual",X168="HUF"),SUMPRODUCT(('Rate Master'!$D$2:$D$50=(Y168&amp;"|"&amp;$B$2))*'Rate Master'!$E$2:$E$50),SUMPRODUCT(('Rate Master'!$D$2:$D$50=(Y168&amp;"|"&amp;$B$2))*'Rate Master'!$F$2:$F$50))),"")</f>
      </c>
      <c r="AB168" s="29"/>
      <c r="AC168" s="30"/>
      <c r="AD168" s="31"/>
      <c r="AE168" s="26">
        <f>IF($B168&lt;&gt;"Entry","",ROUND(AD168*AB168/100,0))</f>
      </c>
      <c r="AF168" s="31"/>
      <c r="AG168" s="31"/>
      <c r="AH168" s="26">
        <f>IF($B168&lt;&gt;"Entry","",IF(OR(AE168=0,AC168="",AS168="",AS168&lt;=0),0,IF(AS168&lt;=DATE(YEAR(AC168),MONTH(AC168)+1,7),0,ROUND(AE168*0.015*((YEAR(AS168)-YEAR(AC168))*12+(MONTH(AS168)-MONTH(AC168))+1),0))))</f>
      </c>
      <c r="AI168" s="31"/>
      <c r="AJ168" s="27"/>
      <c r="AK168" s="27"/>
      <c r="AL168" s="29"/>
      <c r="AM168" s="27"/>
      <c r="AN168" s="27"/>
      <c r="AO168" s="26">
        <f>IF($B168&lt;&gt;"Challan","",SUMIF($C$8:$C$207,$C168,$AE$8:$AE$207)+SUMIF($C$8:$C$207,$C168,$AH$8:$AH$207)+SUMIF($C$8:$C$207,$C168,$AF$8:$AF$207))</f>
      </c>
      <c r="AP168" s="26">
        <f>IF($B168&lt;&gt;"Challan","",O168-M168)</f>
      </c>
      <c r="AQ168" s="26">
        <f>IF($B168&lt;&gt;"Challan","",MAX(0,AP168-AO168))</f>
      </c>
      <c r="AR168" s="32">
        <f>IF($B168&lt;&gt;"Challan","",IF(ROUND(AO168-AP168,2)&gt;0,"Over-applied",IF(ROUND(AO168-AP168,2)=0,"Fully Utilised","Unconsumed")))</f>
      </c>
      <c r="AS168" s="33">
        <f>IF($B168&lt;&gt;"Entry","",SUMPRODUCT(($C$8:$C$207=$C168)*($B$8:$B$207="Challan")*$F$8:$F$207))</f>
      </c>
    </row>
    <row r="169" spans="1:45" x14ac:dyDescent="0.25">
      <c r="A169" s="19">
        <f>IF($B169="Entry",COUNTIF($B$8:$B169,"Entry"),"")</f>
      </c>
      <c r="B169" s="20"/>
      <c r="C169" s="21"/>
      <c r="D169" s="22"/>
      <c r="E169" s="22"/>
      <c r="F169" s="23"/>
      <c r="G169" s="24"/>
      <c r="H169" s="25"/>
      <c r="I169" s="25"/>
      <c r="J169" s="25"/>
      <c r="K169" s="25"/>
      <c r="L169" s="25"/>
      <c r="M169" s="25"/>
      <c r="N169" s="25"/>
      <c r="O169" s="26">
        <f>IF($B169&lt;&gt;"Challan","",H169+I169+J169+K169+L169+M169)</f>
      </c>
      <c r="P169" s="24"/>
      <c r="Q169" s="24"/>
      <c r="R169" s="24"/>
      <c r="S169" s="24"/>
      <c r="T169" s="24"/>
      <c r="U169" s="27"/>
      <c r="V169" s="27"/>
      <c r="W169" s="27"/>
      <c r="X169" s="27"/>
      <c r="Y169" s="27"/>
      <c r="Z169" s="28">
        <f>IFERROR(IF($B169&lt;&gt;"Entry","",IF(W169="Y",SUMPRODUCT(('Rate Master'!$D$2:$D$50=(Y169&amp;"|"&amp;$B$2))*'Rate Master'!$I$2:$I$50),IF(OR(X169="Individual",X169="HUF"),SUMPRODUCT(('Rate Master'!$D$2:$D$50=(Y169&amp;"|"&amp;$B$2))*'Rate Master'!$G$2:$G$50),SUMPRODUCT(('Rate Master'!$D$2:$D$50=(Y169&amp;"|"&amp;$B$2))*'Rate Master'!$H$2:$H$50)))),"")</f>
      </c>
      <c r="AA169" s="26">
        <f>IFERROR(IF($B169&lt;&gt;"Entry","",IF(OR(X169="Individual",X169="HUF"),SUMPRODUCT(('Rate Master'!$D$2:$D$50=(Y169&amp;"|"&amp;$B$2))*'Rate Master'!$E$2:$E$50),SUMPRODUCT(('Rate Master'!$D$2:$D$50=(Y169&amp;"|"&amp;$B$2))*'Rate Master'!$F$2:$F$50))),"")</f>
      </c>
      <c r="AB169" s="29"/>
      <c r="AC169" s="30"/>
      <c r="AD169" s="31"/>
      <c r="AE169" s="26">
        <f>IF($B169&lt;&gt;"Entry","",ROUND(AD169*AB169/100,0))</f>
      </c>
      <c r="AF169" s="31"/>
      <c r="AG169" s="31"/>
      <c r="AH169" s="26">
        <f>IF($B169&lt;&gt;"Entry","",IF(OR(AE169=0,AC169="",AS169="",AS169&lt;=0),0,IF(AS169&lt;=DATE(YEAR(AC169),MONTH(AC169)+1,7),0,ROUND(AE169*0.015*((YEAR(AS169)-YEAR(AC169))*12+(MONTH(AS169)-MONTH(AC169))+1),0))))</f>
      </c>
      <c r="AI169" s="31"/>
      <c r="AJ169" s="27"/>
      <c r="AK169" s="27"/>
      <c r="AL169" s="29"/>
      <c r="AM169" s="27"/>
      <c r="AN169" s="27"/>
      <c r="AO169" s="26">
        <f>IF($B169&lt;&gt;"Challan","",SUMIF($C$8:$C$207,$C169,$AE$8:$AE$207)+SUMIF($C$8:$C$207,$C169,$AH$8:$AH$207)+SUMIF($C$8:$C$207,$C169,$AF$8:$AF$207))</f>
      </c>
      <c r="AP169" s="26">
        <f>IF($B169&lt;&gt;"Challan","",O169-M169)</f>
      </c>
      <c r="AQ169" s="26">
        <f>IF($B169&lt;&gt;"Challan","",MAX(0,AP169-AO169))</f>
      </c>
      <c r="AR169" s="32">
        <f>IF($B169&lt;&gt;"Challan","",IF(ROUND(AO169-AP169,2)&gt;0,"Over-applied",IF(ROUND(AO169-AP169,2)=0,"Fully Utilised","Unconsumed")))</f>
      </c>
      <c r="AS169" s="33">
        <f>IF($B169&lt;&gt;"Entry","",SUMPRODUCT(($C$8:$C$207=$C169)*($B$8:$B$207="Challan")*$F$8:$F$207))</f>
      </c>
    </row>
    <row r="170" spans="1:45" x14ac:dyDescent="0.25">
      <c r="A170" s="19">
        <f>IF($B170="Entry",COUNTIF($B$8:$B170,"Entry"),"")</f>
      </c>
      <c r="B170" s="20"/>
      <c r="C170" s="21"/>
      <c r="D170" s="22"/>
      <c r="E170" s="22"/>
      <c r="F170" s="23"/>
      <c r="G170" s="24"/>
      <c r="H170" s="25"/>
      <c r="I170" s="25"/>
      <c r="J170" s="25"/>
      <c r="K170" s="25"/>
      <c r="L170" s="25"/>
      <c r="M170" s="25"/>
      <c r="N170" s="25"/>
      <c r="O170" s="26">
        <f>IF($B170&lt;&gt;"Challan","",H170+I170+J170+K170+L170+M170)</f>
      </c>
      <c r="P170" s="24"/>
      <c r="Q170" s="24"/>
      <c r="R170" s="24"/>
      <c r="S170" s="24"/>
      <c r="T170" s="24"/>
      <c r="U170" s="27"/>
      <c r="V170" s="27"/>
      <c r="W170" s="27"/>
      <c r="X170" s="27"/>
      <c r="Y170" s="27"/>
      <c r="Z170" s="28">
        <f>IFERROR(IF($B170&lt;&gt;"Entry","",IF(W170="Y",SUMPRODUCT(('Rate Master'!$D$2:$D$50=(Y170&amp;"|"&amp;$B$2))*'Rate Master'!$I$2:$I$50),IF(OR(X170="Individual",X170="HUF"),SUMPRODUCT(('Rate Master'!$D$2:$D$50=(Y170&amp;"|"&amp;$B$2))*'Rate Master'!$G$2:$G$50),SUMPRODUCT(('Rate Master'!$D$2:$D$50=(Y170&amp;"|"&amp;$B$2))*'Rate Master'!$H$2:$H$50)))),"")</f>
      </c>
      <c r="AA170" s="26">
        <f>IFERROR(IF($B170&lt;&gt;"Entry","",IF(OR(X170="Individual",X170="HUF"),SUMPRODUCT(('Rate Master'!$D$2:$D$50=(Y170&amp;"|"&amp;$B$2))*'Rate Master'!$E$2:$E$50),SUMPRODUCT(('Rate Master'!$D$2:$D$50=(Y170&amp;"|"&amp;$B$2))*'Rate Master'!$F$2:$F$50))),"")</f>
      </c>
      <c r="AB170" s="29"/>
      <c r="AC170" s="30"/>
      <c r="AD170" s="31"/>
      <c r="AE170" s="26">
        <f>IF($B170&lt;&gt;"Entry","",ROUND(AD170*AB170/100,0))</f>
      </c>
      <c r="AF170" s="31"/>
      <c r="AG170" s="31"/>
      <c r="AH170" s="26">
        <f>IF($B170&lt;&gt;"Entry","",IF(OR(AE170=0,AC170="",AS170="",AS170&lt;=0),0,IF(AS170&lt;=DATE(YEAR(AC170),MONTH(AC170)+1,7),0,ROUND(AE170*0.015*((YEAR(AS170)-YEAR(AC170))*12+(MONTH(AS170)-MONTH(AC170))+1),0))))</f>
      </c>
      <c r="AI170" s="31"/>
      <c r="AJ170" s="27"/>
      <c r="AK170" s="27"/>
      <c r="AL170" s="29"/>
      <c r="AM170" s="27"/>
      <c r="AN170" s="27"/>
      <c r="AO170" s="26">
        <f>IF($B170&lt;&gt;"Challan","",SUMIF($C$8:$C$207,$C170,$AE$8:$AE$207)+SUMIF($C$8:$C$207,$C170,$AH$8:$AH$207)+SUMIF($C$8:$C$207,$C170,$AF$8:$AF$207))</f>
      </c>
      <c r="AP170" s="26">
        <f>IF($B170&lt;&gt;"Challan","",O170-M170)</f>
      </c>
      <c r="AQ170" s="26">
        <f>IF($B170&lt;&gt;"Challan","",MAX(0,AP170-AO170))</f>
      </c>
      <c r="AR170" s="32">
        <f>IF($B170&lt;&gt;"Challan","",IF(ROUND(AO170-AP170,2)&gt;0,"Over-applied",IF(ROUND(AO170-AP170,2)=0,"Fully Utilised","Unconsumed")))</f>
      </c>
      <c r="AS170" s="33">
        <f>IF($B170&lt;&gt;"Entry","",SUMPRODUCT(($C$8:$C$207=$C170)*($B$8:$B$207="Challan")*$F$8:$F$207))</f>
      </c>
    </row>
    <row r="171" spans="1:45" x14ac:dyDescent="0.25">
      <c r="A171" s="19">
        <f>IF($B171="Entry",COUNTIF($B$8:$B171,"Entry"),"")</f>
      </c>
      <c r="B171" s="20"/>
      <c r="C171" s="21"/>
      <c r="D171" s="22"/>
      <c r="E171" s="22"/>
      <c r="F171" s="23"/>
      <c r="G171" s="24"/>
      <c r="H171" s="25"/>
      <c r="I171" s="25"/>
      <c r="J171" s="25"/>
      <c r="K171" s="25"/>
      <c r="L171" s="25"/>
      <c r="M171" s="25"/>
      <c r="N171" s="25"/>
      <c r="O171" s="26">
        <f>IF($B171&lt;&gt;"Challan","",H171+I171+J171+K171+L171+M171)</f>
      </c>
      <c r="P171" s="24"/>
      <c r="Q171" s="24"/>
      <c r="R171" s="24"/>
      <c r="S171" s="24"/>
      <c r="T171" s="24"/>
      <c r="U171" s="27"/>
      <c r="V171" s="27"/>
      <c r="W171" s="27"/>
      <c r="X171" s="27"/>
      <c r="Y171" s="27"/>
      <c r="Z171" s="28">
        <f>IFERROR(IF($B171&lt;&gt;"Entry","",IF(W171="Y",SUMPRODUCT(('Rate Master'!$D$2:$D$50=(Y171&amp;"|"&amp;$B$2))*'Rate Master'!$I$2:$I$50),IF(OR(X171="Individual",X171="HUF"),SUMPRODUCT(('Rate Master'!$D$2:$D$50=(Y171&amp;"|"&amp;$B$2))*'Rate Master'!$G$2:$G$50),SUMPRODUCT(('Rate Master'!$D$2:$D$50=(Y171&amp;"|"&amp;$B$2))*'Rate Master'!$H$2:$H$50)))),"")</f>
      </c>
      <c r="AA171" s="26">
        <f>IFERROR(IF($B171&lt;&gt;"Entry","",IF(OR(X171="Individual",X171="HUF"),SUMPRODUCT(('Rate Master'!$D$2:$D$50=(Y171&amp;"|"&amp;$B$2))*'Rate Master'!$E$2:$E$50),SUMPRODUCT(('Rate Master'!$D$2:$D$50=(Y171&amp;"|"&amp;$B$2))*'Rate Master'!$F$2:$F$50))),"")</f>
      </c>
      <c r="AB171" s="29"/>
      <c r="AC171" s="30"/>
      <c r="AD171" s="31"/>
      <c r="AE171" s="26">
        <f>IF($B171&lt;&gt;"Entry","",ROUND(AD171*AB171/100,0))</f>
      </c>
      <c r="AF171" s="31"/>
      <c r="AG171" s="31"/>
      <c r="AH171" s="26">
        <f>IF($B171&lt;&gt;"Entry","",IF(OR(AE171=0,AC171="",AS171="",AS171&lt;=0),0,IF(AS171&lt;=DATE(YEAR(AC171),MONTH(AC171)+1,7),0,ROUND(AE171*0.015*((YEAR(AS171)-YEAR(AC171))*12+(MONTH(AS171)-MONTH(AC171))+1),0))))</f>
      </c>
      <c r="AI171" s="31"/>
      <c r="AJ171" s="27"/>
      <c r="AK171" s="27"/>
      <c r="AL171" s="29"/>
      <c r="AM171" s="27"/>
      <c r="AN171" s="27"/>
      <c r="AO171" s="26">
        <f>IF($B171&lt;&gt;"Challan","",SUMIF($C$8:$C$207,$C171,$AE$8:$AE$207)+SUMIF($C$8:$C$207,$C171,$AH$8:$AH$207)+SUMIF($C$8:$C$207,$C171,$AF$8:$AF$207))</f>
      </c>
      <c r="AP171" s="26">
        <f>IF($B171&lt;&gt;"Challan","",O171-M171)</f>
      </c>
      <c r="AQ171" s="26">
        <f>IF($B171&lt;&gt;"Challan","",MAX(0,AP171-AO171))</f>
      </c>
      <c r="AR171" s="32">
        <f>IF($B171&lt;&gt;"Challan","",IF(ROUND(AO171-AP171,2)&gt;0,"Over-applied",IF(ROUND(AO171-AP171,2)=0,"Fully Utilised","Unconsumed")))</f>
      </c>
      <c r="AS171" s="33">
        <f>IF($B171&lt;&gt;"Entry","",SUMPRODUCT(($C$8:$C$207=$C171)*($B$8:$B$207="Challan")*$F$8:$F$207))</f>
      </c>
    </row>
    <row r="172" spans="1:45" x14ac:dyDescent="0.25">
      <c r="A172" s="19">
        <f>IF($B172="Entry",COUNTIF($B$8:$B172,"Entry"),"")</f>
      </c>
      <c r="B172" s="20"/>
      <c r="C172" s="21"/>
      <c r="D172" s="22"/>
      <c r="E172" s="22"/>
      <c r="F172" s="23"/>
      <c r="G172" s="24"/>
      <c r="H172" s="25"/>
      <c r="I172" s="25"/>
      <c r="J172" s="25"/>
      <c r="K172" s="25"/>
      <c r="L172" s="25"/>
      <c r="M172" s="25"/>
      <c r="N172" s="25"/>
      <c r="O172" s="26">
        <f>IF($B172&lt;&gt;"Challan","",H172+I172+J172+K172+L172+M172)</f>
      </c>
      <c r="P172" s="24"/>
      <c r="Q172" s="24"/>
      <c r="R172" s="24"/>
      <c r="S172" s="24"/>
      <c r="T172" s="24"/>
      <c r="U172" s="27"/>
      <c r="V172" s="27"/>
      <c r="W172" s="27"/>
      <c r="X172" s="27"/>
      <c r="Y172" s="27"/>
      <c r="Z172" s="28">
        <f>IFERROR(IF($B172&lt;&gt;"Entry","",IF(W172="Y",SUMPRODUCT(('Rate Master'!$D$2:$D$50=(Y172&amp;"|"&amp;$B$2))*'Rate Master'!$I$2:$I$50),IF(OR(X172="Individual",X172="HUF"),SUMPRODUCT(('Rate Master'!$D$2:$D$50=(Y172&amp;"|"&amp;$B$2))*'Rate Master'!$G$2:$G$50),SUMPRODUCT(('Rate Master'!$D$2:$D$50=(Y172&amp;"|"&amp;$B$2))*'Rate Master'!$H$2:$H$50)))),"")</f>
      </c>
      <c r="AA172" s="26">
        <f>IFERROR(IF($B172&lt;&gt;"Entry","",IF(OR(X172="Individual",X172="HUF"),SUMPRODUCT(('Rate Master'!$D$2:$D$50=(Y172&amp;"|"&amp;$B$2))*'Rate Master'!$E$2:$E$50),SUMPRODUCT(('Rate Master'!$D$2:$D$50=(Y172&amp;"|"&amp;$B$2))*'Rate Master'!$F$2:$F$50))),"")</f>
      </c>
      <c r="AB172" s="29"/>
      <c r="AC172" s="30"/>
      <c r="AD172" s="31"/>
      <c r="AE172" s="26">
        <f>IF($B172&lt;&gt;"Entry","",ROUND(AD172*AB172/100,0))</f>
      </c>
      <c r="AF172" s="31"/>
      <c r="AG172" s="31"/>
      <c r="AH172" s="26">
        <f>IF($B172&lt;&gt;"Entry","",IF(OR(AE172=0,AC172="",AS172="",AS172&lt;=0),0,IF(AS172&lt;=DATE(YEAR(AC172),MONTH(AC172)+1,7),0,ROUND(AE172*0.015*((YEAR(AS172)-YEAR(AC172))*12+(MONTH(AS172)-MONTH(AC172))+1),0))))</f>
      </c>
      <c r="AI172" s="31"/>
      <c r="AJ172" s="27"/>
      <c r="AK172" s="27"/>
      <c r="AL172" s="29"/>
      <c r="AM172" s="27"/>
      <c r="AN172" s="27"/>
      <c r="AO172" s="26">
        <f>IF($B172&lt;&gt;"Challan","",SUMIF($C$8:$C$207,$C172,$AE$8:$AE$207)+SUMIF($C$8:$C$207,$C172,$AH$8:$AH$207)+SUMIF($C$8:$C$207,$C172,$AF$8:$AF$207))</f>
      </c>
      <c r="AP172" s="26">
        <f>IF($B172&lt;&gt;"Challan","",O172-M172)</f>
      </c>
      <c r="AQ172" s="26">
        <f>IF($B172&lt;&gt;"Challan","",MAX(0,AP172-AO172))</f>
      </c>
      <c r="AR172" s="32">
        <f>IF($B172&lt;&gt;"Challan","",IF(ROUND(AO172-AP172,2)&gt;0,"Over-applied",IF(ROUND(AO172-AP172,2)=0,"Fully Utilised","Unconsumed")))</f>
      </c>
      <c r="AS172" s="33">
        <f>IF($B172&lt;&gt;"Entry","",SUMPRODUCT(($C$8:$C$207=$C172)*($B$8:$B$207="Challan")*$F$8:$F$207))</f>
      </c>
    </row>
    <row r="173" spans="1:45" x14ac:dyDescent="0.25">
      <c r="A173" s="19">
        <f>IF($B173="Entry",COUNTIF($B$8:$B173,"Entry"),"")</f>
      </c>
      <c r="B173" s="20"/>
      <c r="C173" s="21"/>
      <c r="D173" s="22"/>
      <c r="E173" s="22"/>
      <c r="F173" s="23"/>
      <c r="G173" s="24"/>
      <c r="H173" s="25"/>
      <c r="I173" s="25"/>
      <c r="J173" s="25"/>
      <c r="K173" s="25"/>
      <c r="L173" s="25"/>
      <c r="M173" s="25"/>
      <c r="N173" s="25"/>
      <c r="O173" s="26">
        <f>IF($B173&lt;&gt;"Challan","",H173+I173+J173+K173+L173+M173)</f>
      </c>
      <c r="P173" s="24"/>
      <c r="Q173" s="24"/>
      <c r="R173" s="24"/>
      <c r="S173" s="24"/>
      <c r="T173" s="24"/>
      <c r="U173" s="27"/>
      <c r="V173" s="27"/>
      <c r="W173" s="27"/>
      <c r="X173" s="27"/>
      <c r="Y173" s="27"/>
      <c r="Z173" s="28">
        <f>IFERROR(IF($B173&lt;&gt;"Entry","",IF(W173="Y",SUMPRODUCT(('Rate Master'!$D$2:$D$50=(Y173&amp;"|"&amp;$B$2))*'Rate Master'!$I$2:$I$50),IF(OR(X173="Individual",X173="HUF"),SUMPRODUCT(('Rate Master'!$D$2:$D$50=(Y173&amp;"|"&amp;$B$2))*'Rate Master'!$G$2:$G$50),SUMPRODUCT(('Rate Master'!$D$2:$D$50=(Y173&amp;"|"&amp;$B$2))*'Rate Master'!$H$2:$H$50)))),"")</f>
      </c>
      <c r="AA173" s="26">
        <f>IFERROR(IF($B173&lt;&gt;"Entry","",IF(OR(X173="Individual",X173="HUF"),SUMPRODUCT(('Rate Master'!$D$2:$D$50=(Y173&amp;"|"&amp;$B$2))*'Rate Master'!$E$2:$E$50),SUMPRODUCT(('Rate Master'!$D$2:$D$50=(Y173&amp;"|"&amp;$B$2))*'Rate Master'!$F$2:$F$50))),"")</f>
      </c>
      <c r="AB173" s="29"/>
      <c r="AC173" s="30"/>
      <c r="AD173" s="31"/>
      <c r="AE173" s="26">
        <f>IF($B173&lt;&gt;"Entry","",ROUND(AD173*AB173/100,0))</f>
      </c>
      <c r="AF173" s="31"/>
      <c r="AG173" s="31"/>
      <c r="AH173" s="26">
        <f>IF($B173&lt;&gt;"Entry","",IF(OR(AE173=0,AC173="",AS173="",AS173&lt;=0),0,IF(AS173&lt;=DATE(YEAR(AC173),MONTH(AC173)+1,7),0,ROUND(AE173*0.015*((YEAR(AS173)-YEAR(AC173))*12+(MONTH(AS173)-MONTH(AC173))+1),0))))</f>
      </c>
      <c r="AI173" s="31"/>
      <c r="AJ173" s="27"/>
      <c r="AK173" s="27"/>
      <c r="AL173" s="29"/>
      <c r="AM173" s="27"/>
      <c r="AN173" s="27"/>
      <c r="AO173" s="26">
        <f>IF($B173&lt;&gt;"Challan","",SUMIF($C$8:$C$207,$C173,$AE$8:$AE$207)+SUMIF($C$8:$C$207,$C173,$AH$8:$AH$207)+SUMIF($C$8:$C$207,$C173,$AF$8:$AF$207))</f>
      </c>
      <c r="AP173" s="26">
        <f>IF($B173&lt;&gt;"Challan","",O173-M173)</f>
      </c>
      <c r="AQ173" s="26">
        <f>IF($B173&lt;&gt;"Challan","",MAX(0,AP173-AO173))</f>
      </c>
      <c r="AR173" s="32">
        <f>IF($B173&lt;&gt;"Challan","",IF(ROUND(AO173-AP173,2)&gt;0,"Over-applied",IF(ROUND(AO173-AP173,2)=0,"Fully Utilised","Unconsumed")))</f>
      </c>
      <c r="AS173" s="33">
        <f>IF($B173&lt;&gt;"Entry","",SUMPRODUCT(($C$8:$C$207=$C173)*($B$8:$B$207="Challan")*$F$8:$F$207))</f>
      </c>
    </row>
    <row r="174" spans="1:45" x14ac:dyDescent="0.25">
      <c r="A174" s="19">
        <f>IF($B174="Entry",COUNTIF($B$8:$B174,"Entry"),"")</f>
      </c>
      <c r="B174" s="20"/>
      <c r="C174" s="21"/>
      <c r="D174" s="22"/>
      <c r="E174" s="22"/>
      <c r="F174" s="23"/>
      <c r="G174" s="24"/>
      <c r="H174" s="25"/>
      <c r="I174" s="25"/>
      <c r="J174" s="25"/>
      <c r="K174" s="25"/>
      <c r="L174" s="25"/>
      <c r="M174" s="25"/>
      <c r="N174" s="25"/>
      <c r="O174" s="26">
        <f>IF($B174&lt;&gt;"Challan","",H174+I174+J174+K174+L174+M174)</f>
      </c>
      <c r="P174" s="24"/>
      <c r="Q174" s="24"/>
      <c r="R174" s="24"/>
      <c r="S174" s="24"/>
      <c r="T174" s="24"/>
      <c r="U174" s="27"/>
      <c r="V174" s="27"/>
      <c r="W174" s="27"/>
      <c r="X174" s="27"/>
      <c r="Y174" s="27"/>
      <c r="Z174" s="28">
        <f>IFERROR(IF($B174&lt;&gt;"Entry","",IF(W174="Y",SUMPRODUCT(('Rate Master'!$D$2:$D$50=(Y174&amp;"|"&amp;$B$2))*'Rate Master'!$I$2:$I$50),IF(OR(X174="Individual",X174="HUF"),SUMPRODUCT(('Rate Master'!$D$2:$D$50=(Y174&amp;"|"&amp;$B$2))*'Rate Master'!$G$2:$G$50),SUMPRODUCT(('Rate Master'!$D$2:$D$50=(Y174&amp;"|"&amp;$B$2))*'Rate Master'!$H$2:$H$50)))),"")</f>
      </c>
      <c r="AA174" s="26">
        <f>IFERROR(IF($B174&lt;&gt;"Entry","",IF(OR(X174="Individual",X174="HUF"),SUMPRODUCT(('Rate Master'!$D$2:$D$50=(Y174&amp;"|"&amp;$B$2))*'Rate Master'!$E$2:$E$50),SUMPRODUCT(('Rate Master'!$D$2:$D$50=(Y174&amp;"|"&amp;$B$2))*'Rate Master'!$F$2:$F$50))),"")</f>
      </c>
      <c r="AB174" s="29"/>
      <c r="AC174" s="30"/>
      <c r="AD174" s="31"/>
      <c r="AE174" s="26">
        <f>IF($B174&lt;&gt;"Entry","",ROUND(AD174*AB174/100,0))</f>
      </c>
      <c r="AF174" s="31"/>
      <c r="AG174" s="31"/>
      <c r="AH174" s="26">
        <f>IF($B174&lt;&gt;"Entry","",IF(OR(AE174=0,AC174="",AS174="",AS174&lt;=0),0,IF(AS174&lt;=DATE(YEAR(AC174),MONTH(AC174)+1,7),0,ROUND(AE174*0.015*((YEAR(AS174)-YEAR(AC174))*12+(MONTH(AS174)-MONTH(AC174))+1),0))))</f>
      </c>
      <c r="AI174" s="31"/>
      <c r="AJ174" s="27"/>
      <c r="AK174" s="27"/>
      <c r="AL174" s="29"/>
      <c r="AM174" s="27"/>
      <c r="AN174" s="27"/>
      <c r="AO174" s="26">
        <f>IF($B174&lt;&gt;"Challan","",SUMIF($C$8:$C$207,$C174,$AE$8:$AE$207)+SUMIF($C$8:$C$207,$C174,$AH$8:$AH$207)+SUMIF($C$8:$C$207,$C174,$AF$8:$AF$207))</f>
      </c>
      <c r="AP174" s="26">
        <f>IF($B174&lt;&gt;"Challan","",O174-M174)</f>
      </c>
      <c r="AQ174" s="26">
        <f>IF($B174&lt;&gt;"Challan","",MAX(0,AP174-AO174))</f>
      </c>
      <c r="AR174" s="32">
        <f>IF($B174&lt;&gt;"Challan","",IF(ROUND(AO174-AP174,2)&gt;0,"Over-applied",IF(ROUND(AO174-AP174,2)=0,"Fully Utilised","Unconsumed")))</f>
      </c>
      <c r="AS174" s="33">
        <f>IF($B174&lt;&gt;"Entry","",SUMPRODUCT(($C$8:$C$207=$C174)*($B$8:$B$207="Challan")*$F$8:$F$207))</f>
      </c>
    </row>
    <row r="175" spans="1:45" x14ac:dyDescent="0.25">
      <c r="A175" s="19">
        <f>IF($B175="Entry",COUNTIF($B$8:$B175,"Entry"),"")</f>
      </c>
      <c r="B175" s="20"/>
      <c r="C175" s="21"/>
      <c r="D175" s="22"/>
      <c r="E175" s="22"/>
      <c r="F175" s="23"/>
      <c r="G175" s="24"/>
      <c r="H175" s="25"/>
      <c r="I175" s="25"/>
      <c r="J175" s="25"/>
      <c r="K175" s="25"/>
      <c r="L175" s="25"/>
      <c r="M175" s="25"/>
      <c r="N175" s="25"/>
      <c r="O175" s="26">
        <f>IF($B175&lt;&gt;"Challan","",H175+I175+J175+K175+L175+M175)</f>
      </c>
      <c r="P175" s="24"/>
      <c r="Q175" s="24"/>
      <c r="R175" s="24"/>
      <c r="S175" s="24"/>
      <c r="T175" s="24"/>
      <c r="U175" s="27"/>
      <c r="V175" s="27"/>
      <c r="W175" s="27"/>
      <c r="X175" s="27"/>
      <c r="Y175" s="27"/>
      <c r="Z175" s="28">
        <f>IFERROR(IF($B175&lt;&gt;"Entry","",IF(W175="Y",SUMPRODUCT(('Rate Master'!$D$2:$D$50=(Y175&amp;"|"&amp;$B$2))*'Rate Master'!$I$2:$I$50),IF(OR(X175="Individual",X175="HUF"),SUMPRODUCT(('Rate Master'!$D$2:$D$50=(Y175&amp;"|"&amp;$B$2))*'Rate Master'!$G$2:$G$50),SUMPRODUCT(('Rate Master'!$D$2:$D$50=(Y175&amp;"|"&amp;$B$2))*'Rate Master'!$H$2:$H$50)))),"")</f>
      </c>
      <c r="AA175" s="26">
        <f>IFERROR(IF($B175&lt;&gt;"Entry","",IF(OR(X175="Individual",X175="HUF"),SUMPRODUCT(('Rate Master'!$D$2:$D$50=(Y175&amp;"|"&amp;$B$2))*'Rate Master'!$E$2:$E$50),SUMPRODUCT(('Rate Master'!$D$2:$D$50=(Y175&amp;"|"&amp;$B$2))*'Rate Master'!$F$2:$F$50))),"")</f>
      </c>
      <c r="AB175" s="29"/>
      <c r="AC175" s="30"/>
      <c r="AD175" s="31"/>
      <c r="AE175" s="26">
        <f>IF($B175&lt;&gt;"Entry","",ROUND(AD175*AB175/100,0))</f>
      </c>
      <c r="AF175" s="31"/>
      <c r="AG175" s="31"/>
      <c r="AH175" s="26">
        <f>IF($B175&lt;&gt;"Entry","",IF(OR(AE175=0,AC175="",AS175="",AS175&lt;=0),0,IF(AS175&lt;=DATE(YEAR(AC175),MONTH(AC175)+1,7),0,ROUND(AE175*0.015*((YEAR(AS175)-YEAR(AC175))*12+(MONTH(AS175)-MONTH(AC175))+1),0))))</f>
      </c>
      <c r="AI175" s="31"/>
      <c r="AJ175" s="27"/>
      <c r="AK175" s="27"/>
      <c r="AL175" s="29"/>
      <c r="AM175" s="27"/>
      <c r="AN175" s="27"/>
      <c r="AO175" s="26">
        <f>IF($B175&lt;&gt;"Challan","",SUMIF($C$8:$C$207,$C175,$AE$8:$AE$207)+SUMIF($C$8:$C$207,$C175,$AH$8:$AH$207)+SUMIF($C$8:$C$207,$C175,$AF$8:$AF$207))</f>
      </c>
      <c r="AP175" s="26">
        <f>IF($B175&lt;&gt;"Challan","",O175-M175)</f>
      </c>
      <c r="AQ175" s="26">
        <f>IF($B175&lt;&gt;"Challan","",MAX(0,AP175-AO175))</f>
      </c>
      <c r="AR175" s="32">
        <f>IF($B175&lt;&gt;"Challan","",IF(ROUND(AO175-AP175,2)&gt;0,"Over-applied",IF(ROUND(AO175-AP175,2)=0,"Fully Utilised","Unconsumed")))</f>
      </c>
      <c r="AS175" s="33">
        <f>IF($B175&lt;&gt;"Entry","",SUMPRODUCT(($C$8:$C$207=$C175)*($B$8:$B$207="Challan")*$F$8:$F$207))</f>
      </c>
    </row>
    <row r="176" spans="1:45" x14ac:dyDescent="0.25">
      <c r="A176" s="19">
        <f>IF($B176="Entry",COUNTIF($B$8:$B176,"Entry"),"")</f>
      </c>
      <c r="B176" s="20"/>
      <c r="C176" s="21"/>
      <c r="D176" s="22"/>
      <c r="E176" s="22"/>
      <c r="F176" s="23"/>
      <c r="G176" s="24"/>
      <c r="H176" s="25"/>
      <c r="I176" s="25"/>
      <c r="J176" s="25"/>
      <c r="K176" s="25"/>
      <c r="L176" s="25"/>
      <c r="M176" s="25"/>
      <c r="N176" s="25"/>
      <c r="O176" s="26">
        <f>IF($B176&lt;&gt;"Challan","",H176+I176+J176+K176+L176+M176)</f>
      </c>
      <c r="P176" s="24"/>
      <c r="Q176" s="24"/>
      <c r="R176" s="24"/>
      <c r="S176" s="24"/>
      <c r="T176" s="24"/>
      <c r="U176" s="27"/>
      <c r="V176" s="27"/>
      <c r="W176" s="27"/>
      <c r="X176" s="27"/>
      <c r="Y176" s="27"/>
      <c r="Z176" s="28">
        <f>IFERROR(IF($B176&lt;&gt;"Entry","",IF(W176="Y",SUMPRODUCT(('Rate Master'!$D$2:$D$50=(Y176&amp;"|"&amp;$B$2))*'Rate Master'!$I$2:$I$50),IF(OR(X176="Individual",X176="HUF"),SUMPRODUCT(('Rate Master'!$D$2:$D$50=(Y176&amp;"|"&amp;$B$2))*'Rate Master'!$G$2:$G$50),SUMPRODUCT(('Rate Master'!$D$2:$D$50=(Y176&amp;"|"&amp;$B$2))*'Rate Master'!$H$2:$H$50)))),"")</f>
      </c>
      <c r="AA176" s="26">
        <f>IFERROR(IF($B176&lt;&gt;"Entry","",IF(OR(X176="Individual",X176="HUF"),SUMPRODUCT(('Rate Master'!$D$2:$D$50=(Y176&amp;"|"&amp;$B$2))*'Rate Master'!$E$2:$E$50),SUMPRODUCT(('Rate Master'!$D$2:$D$50=(Y176&amp;"|"&amp;$B$2))*'Rate Master'!$F$2:$F$50))),"")</f>
      </c>
      <c r="AB176" s="29"/>
      <c r="AC176" s="30"/>
      <c r="AD176" s="31"/>
      <c r="AE176" s="26">
        <f>IF($B176&lt;&gt;"Entry","",ROUND(AD176*AB176/100,0))</f>
      </c>
      <c r="AF176" s="31"/>
      <c r="AG176" s="31"/>
      <c r="AH176" s="26">
        <f>IF($B176&lt;&gt;"Entry","",IF(OR(AE176=0,AC176="",AS176="",AS176&lt;=0),0,IF(AS176&lt;=DATE(YEAR(AC176),MONTH(AC176)+1,7),0,ROUND(AE176*0.015*((YEAR(AS176)-YEAR(AC176))*12+(MONTH(AS176)-MONTH(AC176))+1),0))))</f>
      </c>
      <c r="AI176" s="31"/>
      <c r="AJ176" s="27"/>
      <c r="AK176" s="27"/>
      <c r="AL176" s="29"/>
      <c r="AM176" s="27"/>
      <c r="AN176" s="27"/>
      <c r="AO176" s="26">
        <f>IF($B176&lt;&gt;"Challan","",SUMIF($C$8:$C$207,$C176,$AE$8:$AE$207)+SUMIF($C$8:$C$207,$C176,$AH$8:$AH$207)+SUMIF($C$8:$C$207,$C176,$AF$8:$AF$207))</f>
      </c>
      <c r="AP176" s="26">
        <f>IF($B176&lt;&gt;"Challan","",O176-M176)</f>
      </c>
      <c r="AQ176" s="26">
        <f>IF($B176&lt;&gt;"Challan","",MAX(0,AP176-AO176))</f>
      </c>
      <c r="AR176" s="32">
        <f>IF($B176&lt;&gt;"Challan","",IF(ROUND(AO176-AP176,2)&gt;0,"Over-applied",IF(ROUND(AO176-AP176,2)=0,"Fully Utilised","Unconsumed")))</f>
      </c>
      <c r="AS176" s="33">
        <f>IF($B176&lt;&gt;"Entry","",SUMPRODUCT(($C$8:$C$207=$C176)*($B$8:$B$207="Challan")*$F$8:$F$207))</f>
      </c>
    </row>
    <row r="177" spans="1:45" x14ac:dyDescent="0.25">
      <c r="A177" s="19">
        <f>IF($B177="Entry",COUNTIF($B$8:$B177,"Entry"),"")</f>
      </c>
      <c r="B177" s="20"/>
      <c r="C177" s="21"/>
      <c r="D177" s="22"/>
      <c r="E177" s="22"/>
      <c r="F177" s="23"/>
      <c r="G177" s="24"/>
      <c r="H177" s="25"/>
      <c r="I177" s="25"/>
      <c r="J177" s="25"/>
      <c r="K177" s="25"/>
      <c r="L177" s="25"/>
      <c r="M177" s="25"/>
      <c r="N177" s="25"/>
      <c r="O177" s="26">
        <f>IF($B177&lt;&gt;"Challan","",H177+I177+J177+K177+L177+M177)</f>
      </c>
      <c r="P177" s="24"/>
      <c r="Q177" s="24"/>
      <c r="R177" s="24"/>
      <c r="S177" s="24"/>
      <c r="T177" s="24"/>
      <c r="U177" s="27"/>
      <c r="V177" s="27"/>
      <c r="W177" s="27"/>
      <c r="X177" s="27"/>
      <c r="Y177" s="27"/>
      <c r="Z177" s="28">
        <f>IFERROR(IF($B177&lt;&gt;"Entry","",IF(W177="Y",SUMPRODUCT(('Rate Master'!$D$2:$D$50=(Y177&amp;"|"&amp;$B$2))*'Rate Master'!$I$2:$I$50),IF(OR(X177="Individual",X177="HUF"),SUMPRODUCT(('Rate Master'!$D$2:$D$50=(Y177&amp;"|"&amp;$B$2))*'Rate Master'!$G$2:$G$50),SUMPRODUCT(('Rate Master'!$D$2:$D$50=(Y177&amp;"|"&amp;$B$2))*'Rate Master'!$H$2:$H$50)))),"")</f>
      </c>
      <c r="AA177" s="26">
        <f>IFERROR(IF($B177&lt;&gt;"Entry","",IF(OR(X177="Individual",X177="HUF"),SUMPRODUCT(('Rate Master'!$D$2:$D$50=(Y177&amp;"|"&amp;$B$2))*'Rate Master'!$E$2:$E$50),SUMPRODUCT(('Rate Master'!$D$2:$D$50=(Y177&amp;"|"&amp;$B$2))*'Rate Master'!$F$2:$F$50))),"")</f>
      </c>
      <c r="AB177" s="29"/>
      <c r="AC177" s="30"/>
      <c r="AD177" s="31"/>
      <c r="AE177" s="26">
        <f>IF($B177&lt;&gt;"Entry","",ROUND(AD177*AB177/100,0))</f>
      </c>
      <c r="AF177" s="31"/>
      <c r="AG177" s="31"/>
      <c r="AH177" s="26">
        <f>IF($B177&lt;&gt;"Entry","",IF(OR(AE177=0,AC177="",AS177="",AS177&lt;=0),0,IF(AS177&lt;=DATE(YEAR(AC177),MONTH(AC177)+1,7),0,ROUND(AE177*0.015*((YEAR(AS177)-YEAR(AC177))*12+(MONTH(AS177)-MONTH(AC177))+1),0))))</f>
      </c>
      <c r="AI177" s="31"/>
      <c r="AJ177" s="27"/>
      <c r="AK177" s="27"/>
      <c r="AL177" s="29"/>
      <c r="AM177" s="27"/>
      <c r="AN177" s="27"/>
      <c r="AO177" s="26">
        <f>IF($B177&lt;&gt;"Challan","",SUMIF($C$8:$C$207,$C177,$AE$8:$AE$207)+SUMIF($C$8:$C$207,$C177,$AH$8:$AH$207)+SUMIF($C$8:$C$207,$C177,$AF$8:$AF$207))</f>
      </c>
      <c r="AP177" s="26">
        <f>IF($B177&lt;&gt;"Challan","",O177-M177)</f>
      </c>
      <c r="AQ177" s="26">
        <f>IF($B177&lt;&gt;"Challan","",MAX(0,AP177-AO177))</f>
      </c>
      <c r="AR177" s="32">
        <f>IF($B177&lt;&gt;"Challan","",IF(ROUND(AO177-AP177,2)&gt;0,"Over-applied",IF(ROUND(AO177-AP177,2)=0,"Fully Utilised","Unconsumed")))</f>
      </c>
      <c r="AS177" s="33">
        <f>IF($B177&lt;&gt;"Entry","",SUMPRODUCT(($C$8:$C$207=$C177)*($B$8:$B$207="Challan")*$F$8:$F$207))</f>
      </c>
    </row>
    <row r="178" spans="1:45" x14ac:dyDescent="0.25">
      <c r="A178" s="19">
        <f>IF($B178="Entry",COUNTIF($B$8:$B178,"Entry"),"")</f>
      </c>
      <c r="B178" s="20"/>
      <c r="C178" s="21"/>
      <c r="D178" s="22"/>
      <c r="E178" s="22"/>
      <c r="F178" s="23"/>
      <c r="G178" s="24"/>
      <c r="H178" s="25"/>
      <c r="I178" s="25"/>
      <c r="J178" s="25"/>
      <c r="K178" s="25"/>
      <c r="L178" s="25"/>
      <c r="M178" s="25"/>
      <c r="N178" s="25"/>
      <c r="O178" s="26">
        <f>IF($B178&lt;&gt;"Challan","",H178+I178+J178+K178+L178+M178)</f>
      </c>
      <c r="P178" s="24"/>
      <c r="Q178" s="24"/>
      <c r="R178" s="24"/>
      <c r="S178" s="24"/>
      <c r="T178" s="24"/>
      <c r="U178" s="27"/>
      <c r="V178" s="27"/>
      <c r="W178" s="27"/>
      <c r="X178" s="27"/>
      <c r="Y178" s="27"/>
      <c r="Z178" s="28">
        <f>IFERROR(IF($B178&lt;&gt;"Entry","",IF(W178="Y",SUMPRODUCT(('Rate Master'!$D$2:$D$50=(Y178&amp;"|"&amp;$B$2))*'Rate Master'!$I$2:$I$50),IF(OR(X178="Individual",X178="HUF"),SUMPRODUCT(('Rate Master'!$D$2:$D$50=(Y178&amp;"|"&amp;$B$2))*'Rate Master'!$G$2:$G$50),SUMPRODUCT(('Rate Master'!$D$2:$D$50=(Y178&amp;"|"&amp;$B$2))*'Rate Master'!$H$2:$H$50)))),"")</f>
      </c>
      <c r="AA178" s="26">
        <f>IFERROR(IF($B178&lt;&gt;"Entry","",IF(OR(X178="Individual",X178="HUF"),SUMPRODUCT(('Rate Master'!$D$2:$D$50=(Y178&amp;"|"&amp;$B$2))*'Rate Master'!$E$2:$E$50),SUMPRODUCT(('Rate Master'!$D$2:$D$50=(Y178&amp;"|"&amp;$B$2))*'Rate Master'!$F$2:$F$50))),"")</f>
      </c>
      <c r="AB178" s="29"/>
      <c r="AC178" s="30"/>
      <c r="AD178" s="31"/>
      <c r="AE178" s="26">
        <f>IF($B178&lt;&gt;"Entry","",ROUND(AD178*AB178/100,0))</f>
      </c>
      <c r="AF178" s="31"/>
      <c r="AG178" s="31"/>
      <c r="AH178" s="26">
        <f>IF($B178&lt;&gt;"Entry","",IF(OR(AE178=0,AC178="",AS178="",AS178&lt;=0),0,IF(AS178&lt;=DATE(YEAR(AC178),MONTH(AC178)+1,7),0,ROUND(AE178*0.015*((YEAR(AS178)-YEAR(AC178))*12+(MONTH(AS178)-MONTH(AC178))+1),0))))</f>
      </c>
      <c r="AI178" s="31"/>
      <c r="AJ178" s="27"/>
      <c r="AK178" s="27"/>
      <c r="AL178" s="29"/>
      <c r="AM178" s="27"/>
      <c r="AN178" s="27"/>
      <c r="AO178" s="26">
        <f>IF($B178&lt;&gt;"Challan","",SUMIF($C$8:$C$207,$C178,$AE$8:$AE$207)+SUMIF($C$8:$C$207,$C178,$AH$8:$AH$207)+SUMIF($C$8:$C$207,$C178,$AF$8:$AF$207))</f>
      </c>
      <c r="AP178" s="26">
        <f>IF($B178&lt;&gt;"Challan","",O178-M178)</f>
      </c>
      <c r="AQ178" s="26">
        <f>IF($B178&lt;&gt;"Challan","",MAX(0,AP178-AO178))</f>
      </c>
      <c r="AR178" s="32">
        <f>IF($B178&lt;&gt;"Challan","",IF(ROUND(AO178-AP178,2)&gt;0,"Over-applied",IF(ROUND(AO178-AP178,2)=0,"Fully Utilised","Unconsumed")))</f>
      </c>
      <c r="AS178" s="33">
        <f>IF($B178&lt;&gt;"Entry","",SUMPRODUCT(($C$8:$C$207=$C178)*($B$8:$B$207="Challan")*$F$8:$F$207))</f>
      </c>
    </row>
    <row r="179" spans="1:45" x14ac:dyDescent="0.25">
      <c r="A179" s="19">
        <f>IF($B179="Entry",COUNTIF($B$8:$B179,"Entry"),"")</f>
      </c>
      <c r="B179" s="20"/>
      <c r="C179" s="21"/>
      <c r="D179" s="22"/>
      <c r="E179" s="22"/>
      <c r="F179" s="23"/>
      <c r="G179" s="24"/>
      <c r="H179" s="25"/>
      <c r="I179" s="25"/>
      <c r="J179" s="25"/>
      <c r="K179" s="25"/>
      <c r="L179" s="25"/>
      <c r="M179" s="25"/>
      <c r="N179" s="25"/>
      <c r="O179" s="26">
        <f>IF($B179&lt;&gt;"Challan","",H179+I179+J179+K179+L179+M179)</f>
      </c>
      <c r="P179" s="24"/>
      <c r="Q179" s="24"/>
      <c r="R179" s="24"/>
      <c r="S179" s="24"/>
      <c r="T179" s="24"/>
      <c r="U179" s="27"/>
      <c r="V179" s="27"/>
      <c r="W179" s="27"/>
      <c r="X179" s="27"/>
      <c r="Y179" s="27"/>
      <c r="Z179" s="28">
        <f>IFERROR(IF($B179&lt;&gt;"Entry","",IF(W179="Y",SUMPRODUCT(('Rate Master'!$D$2:$D$50=(Y179&amp;"|"&amp;$B$2))*'Rate Master'!$I$2:$I$50),IF(OR(X179="Individual",X179="HUF"),SUMPRODUCT(('Rate Master'!$D$2:$D$50=(Y179&amp;"|"&amp;$B$2))*'Rate Master'!$G$2:$G$50),SUMPRODUCT(('Rate Master'!$D$2:$D$50=(Y179&amp;"|"&amp;$B$2))*'Rate Master'!$H$2:$H$50)))),"")</f>
      </c>
      <c r="AA179" s="26">
        <f>IFERROR(IF($B179&lt;&gt;"Entry","",IF(OR(X179="Individual",X179="HUF"),SUMPRODUCT(('Rate Master'!$D$2:$D$50=(Y179&amp;"|"&amp;$B$2))*'Rate Master'!$E$2:$E$50),SUMPRODUCT(('Rate Master'!$D$2:$D$50=(Y179&amp;"|"&amp;$B$2))*'Rate Master'!$F$2:$F$50))),"")</f>
      </c>
      <c r="AB179" s="29"/>
      <c r="AC179" s="30"/>
      <c r="AD179" s="31"/>
      <c r="AE179" s="26">
        <f>IF($B179&lt;&gt;"Entry","",ROUND(AD179*AB179/100,0))</f>
      </c>
      <c r="AF179" s="31"/>
      <c r="AG179" s="31"/>
      <c r="AH179" s="26">
        <f>IF($B179&lt;&gt;"Entry","",IF(OR(AE179=0,AC179="",AS179="",AS179&lt;=0),0,IF(AS179&lt;=DATE(YEAR(AC179),MONTH(AC179)+1,7),0,ROUND(AE179*0.015*((YEAR(AS179)-YEAR(AC179))*12+(MONTH(AS179)-MONTH(AC179))+1),0))))</f>
      </c>
      <c r="AI179" s="31"/>
      <c r="AJ179" s="27"/>
      <c r="AK179" s="27"/>
      <c r="AL179" s="29"/>
      <c r="AM179" s="27"/>
      <c r="AN179" s="27"/>
      <c r="AO179" s="26">
        <f>IF($B179&lt;&gt;"Challan","",SUMIF($C$8:$C$207,$C179,$AE$8:$AE$207)+SUMIF($C$8:$C$207,$C179,$AH$8:$AH$207)+SUMIF($C$8:$C$207,$C179,$AF$8:$AF$207))</f>
      </c>
      <c r="AP179" s="26">
        <f>IF($B179&lt;&gt;"Challan","",O179-M179)</f>
      </c>
      <c r="AQ179" s="26">
        <f>IF($B179&lt;&gt;"Challan","",MAX(0,AP179-AO179))</f>
      </c>
      <c r="AR179" s="32">
        <f>IF($B179&lt;&gt;"Challan","",IF(ROUND(AO179-AP179,2)&gt;0,"Over-applied",IF(ROUND(AO179-AP179,2)=0,"Fully Utilised","Unconsumed")))</f>
      </c>
      <c r="AS179" s="33">
        <f>IF($B179&lt;&gt;"Entry","",SUMPRODUCT(($C$8:$C$207=$C179)*($B$8:$B$207="Challan")*$F$8:$F$207))</f>
      </c>
    </row>
    <row r="180" spans="1:45" x14ac:dyDescent="0.25">
      <c r="A180" s="19">
        <f>IF($B180="Entry",COUNTIF($B$8:$B180,"Entry"),"")</f>
      </c>
      <c r="B180" s="20"/>
      <c r="C180" s="21"/>
      <c r="D180" s="22"/>
      <c r="E180" s="22"/>
      <c r="F180" s="23"/>
      <c r="G180" s="24"/>
      <c r="H180" s="25"/>
      <c r="I180" s="25"/>
      <c r="J180" s="25"/>
      <c r="K180" s="25"/>
      <c r="L180" s="25"/>
      <c r="M180" s="25"/>
      <c r="N180" s="25"/>
      <c r="O180" s="26">
        <f>IF($B180&lt;&gt;"Challan","",H180+I180+J180+K180+L180+M180)</f>
      </c>
      <c r="P180" s="24"/>
      <c r="Q180" s="24"/>
      <c r="R180" s="24"/>
      <c r="S180" s="24"/>
      <c r="T180" s="24"/>
      <c r="U180" s="27"/>
      <c r="V180" s="27"/>
      <c r="W180" s="27"/>
      <c r="X180" s="27"/>
      <c r="Y180" s="27"/>
      <c r="Z180" s="28">
        <f>IFERROR(IF($B180&lt;&gt;"Entry","",IF(W180="Y",SUMPRODUCT(('Rate Master'!$D$2:$D$50=(Y180&amp;"|"&amp;$B$2))*'Rate Master'!$I$2:$I$50),IF(OR(X180="Individual",X180="HUF"),SUMPRODUCT(('Rate Master'!$D$2:$D$50=(Y180&amp;"|"&amp;$B$2))*'Rate Master'!$G$2:$G$50),SUMPRODUCT(('Rate Master'!$D$2:$D$50=(Y180&amp;"|"&amp;$B$2))*'Rate Master'!$H$2:$H$50)))),"")</f>
      </c>
      <c r="AA180" s="26">
        <f>IFERROR(IF($B180&lt;&gt;"Entry","",IF(OR(X180="Individual",X180="HUF"),SUMPRODUCT(('Rate Master'!$D$2:$D$50=(Y180&amp;"|"&amp;$B$2))*'Rate Master'!$E$2:$E$50),SUMPRODUCT(('Rate Master'!$D$2:$D$50=(Y180&amp;"|"&amp;$B$2))*'Rate Master'!$F$2:$F$50))),"")</f>
      </c>
      <c r="AB180" s="29"/>
      <c r="AC180" s="30"/>
      <c r="AD180" s="31"/>
      <c r="AE180" s="26">
        <f>IF($B180&lt;&gt;"Entry","",ROUND(AD180*AB180/100,0))</f>
      </c>
      <c r="AF180" s="31"/>
      <c r="AG180" s="31"/>
      <c r="AH180" s="26">
        <f>IF($B180&lt;&gt;"Entry","",IF(OR(AE180=0,AC180="",AS180="",AS180&lt;=0),0,IF(AS180&lt;=DATE(YEAR(AC180),MONTH(AC180)+1,7),0,ROUND(AE180*0.015*((YEAR(AS180)-YEAR(AC180))*12+(MONTH(AS180)-MONTH(AC180))+1),0))))</f>
      </c>
      <c r="AI180" s="31"/>
      <c r="AJ180" s="27"/>
      <c r="AK180" s="27"/>
      <c r="AL180" s="29"/>
      <c r="AM180" s="27"/>
      <c r="AN180" s="27"/>
      <c r="AO180" s="26">
        <f>IF($B180&lt;&gt;"Challan","",SUMIF($C$8:$C$207,$C180,$AE$8:$AE$207)+SUMIF($C$8:$C$207,$C180,$AH$8:$AH$207)+SUMIF($C$8:$C$207,$C180,$AF$8:$AF$207))</f>
      </c>
      <c r="AP180" s="26">
        <f>IF($B180&lt;&gt;"Challan","",O180-M180)</f>
      </c>
      <c r="AQ180" s="26">
        <f>IF($B180&lt;&gt;"Challan","",MAX(0,AP180-AO180))</f>
      </c>
      <c r="AR180" s="32">
        <f>IF($B180&lt;&gt;"Challan","",IF(ROUND(AO180-AP180,2)&gt;0,"Over-applied",IF(ROUND(AO180-AP180,2)=0,"Fully Utilised","Unconsumed")))</f>
      </c>
      <c r="AS180" s="33">
        <f>IF($B180&lt;&gt;"Entry","",SUMPRODUCT(($C$8:$C$207=$C180)*($B$8:$B$207="Challan")*$F$8:$F$207))</f>
      </c>
    </row>
    <row r="181" spans="1:45" x14ac:dyDescent="0.25">
      <c r="A181" s="19">
        <f>IF($B181="Entry",COUNTIF($B$8:$B181,"Entry"),"")</f>
      </c>
      <c r="B181" s="20"/>
      <c r="C181" s="21"/>
      <c r="D181" s="22"/>
      <c r="E181" s="22"/>
      <c r="F181" s="23"/>
      <c r="G181" s="24"/>
      <c r="H181" s="25"/>
      <c r="I181" s="25"/>
      <c r="J181" s="25"/>
      <c r="K181" s="25"/>
      <c r="L181" s="25"/>
      <c r="M181" s="25"/>
      <c r="N181" s="25"/>
      <c r="O181" s="26">
        <f>IF($B181&lt;&gt;"Challan","",H181+I181+J181+K181+L181+M181)</f>
      </c>
      <c r="P181" s="24"/>
      <c r="Q181" s="24"/>
      <c r="R181" s="24"/>
      <c r="S181" s="24"/>
      <c r="T181" s="24"/>
      <c r="U181" s="27"/>
      <c r="V181" s="27"/>
      <c r="W181" s="27"/>
      <c r="X181" s="27"/>
      <c r="Y181" s="27"/>
      <c r="Z181" s="28">
        <f>IFERROR(IF($B181&lt;&gt;"Entry","",IF(W181="Y",SUMPRODUCT(('Rate Master'!$D$2:$D$50=(Y181&amp;"|"&amp;$B$2))*'Rate Master'!$I$2:$I$50),IF(OR(X181="Individual",X181="HUF"),SUMPRODUCT(('Rate Master'!$D$2:$D$50=(Y181&amp;"|"&amp;$B$2))*'Rate Master'!$G$2:$G$50),SUMPRODUCT(('Rate Master'!$D$2:$D$50=(Y181&amp;"|"&amp;$B$2))*'Rate Master'!$H$2:$H$50)))),"")</f>
      </c>
      <c r="AA181" s="26">
        <f>IFERROR(IF($B181&lt;&gt;"Entry","",IF(OR(X181="Individual",X181="HUF"),SUMPRODUCT(('Rate Master'!$D$2:$D$50=(Y181&amp;"|"&amp;$B$2))*'Rate Master'!$E$2:$E$50),SUMPRODUCT(('Rate Master'!$D$2:$D$50=(Y181&amp;"|"&amp;$B$2))*'Rate Master'!$F$2:$F$50))),"")</f>
      </c>
      <c r="AB181" s="29"/>
      <c r="AC181" s="30"/>
      <c r="AD181" s="31"/>
      <c r="AE181" s="26">
        <f>IF($B181&lt;&gt;"Entry","",ROUND(AD181*AB181/100,0))</f>
      </c>
      <c r="AF181" s="31"/>
      <c r="AG181" s="31"/>
      <c r="AH181" s="26">
        <f>IF($B181&lt;&gt;"Entry","",IF(OR(AE181=0,AC181="",AS181="",AS181&lt;=0),0,IF(AS181&lt;=DATE(YEAR(AC181),MONTH(AC181)+1,7),0,ROUND(AE181*0.015*((YEAR(AS181)-YEAR(AC181))*12+(MONTH(AS181)-MONTH(AC181))+1),0))))</f>
      </c>
      <c r="AI181" s="31"/>
      <c r="AJ181" s="27"/>
      <c r="AK181" s="27"/>
      <c r="AL181" s="29"/>
      <c r="AM181" s="27"/>
      <c r="AN181" s="27"/>
      <c r="AO181" s="26">
        <f>IF($B181&lt;&gt;"Challan","",SUMIF($C$8:$C$207,$C181,$AE$8:$AE$207)+SUMIF($C$8:$C$207,$C181,$AH$8:$AH$207)+SUMIF($C$8:$C$207,$C181,$AF$8:$AF$207))</f>
      </c>
      <c r="AP181" s="26">
        <f>IF($B181&lt;&gt;"Challan","",O181-M181)</f>
      </c>
      <c r="AQ181" s="26">
        <f>IF($B181&lt;&gt;"Challan","",MAX(0,AP181-AO181))</f>
      </c>
      <c r="AR181" s="32">
        <f>IF($B181&lt;&gt;"Challan","",IF(ROUND(AO181-AP181,2)&gt;0,"Over-applied",IF(ROUND(AO181-AP181,2)=0,"Fully Utilised","Unconsumed")))</f>
      </c>
      <c r="AS181" s="33">
        <f>IF($B181&lt;&gt;"Entry","",SUMPRODUCT(($C$8:$C$207=$C181)*($B$8:$B$207="Challan")*$F$8:$F$207))</f>
      </c>
    </row>
    <row r="182" spans="1:45" x14ac:dyDescent="0.25">
      <c r="A182" s="19">
        <f>IF($B182="Entry",COUNTIF($B$8:$B182,"Entry"),"")</f>
      </c>
      <c r="B182" s="20"/>
      <c r="C182" s="21"/>
      <c r="D182" s="22"/>
      <c r="E182" s="22"/>
      <c r="F182" s="23"/>
      <c r="G182" s="24"/>
      <c r="H182" s="25"/>
      <c r="I182" s="25"/>
      <c r="J182" s="25"/>
      <c r="K182" s="25"/>
      <c r="L182" s="25"/>
      <c r="M182" s="25"/>
      <c r="N182" s="25"/>
      <c r="O182" s="26">
        <f>IF($B182&lt;&gt;"Challan","",H182+I182+J182+K182+L182+M182)</f>
      </c>
      <c r="P182" s="24"/>
      <c r="Q182" s="24"/>
      <c r="R182" s="24"/>
      <c r="S182" s="24"/>
      <c r="T182" s="24"/>
      <c r="U182" s="27"/>
      <c r="V182" s="27"/>
      <c r="W182" s="27"/>
      <c r="X182" s="27"/>
      <c r="Y182" s="27"/>
      <c r="Z182" s="28">
        <f>IFERROR(IF($B182&lt;&gt;"Entry","",IF(W182="Y",SUMPRODUCT(('Rate Master'!$D$2:$D$50=(Y182&amp;"|"&amp;$B$2))*'Rate Master'!$I$2:$I$50),IF(OR(X182="Individual",X182="HUF"),SUMPRODUCT(('Rate Master'!$D$2:$D$50=(Y182&amp;"|"&amp;$B$2))*'Rate Master'!$G$2:$G$50),SUMPRODUCT(('Rate Master'!$D$2:$D$50=(Y182&amp;"|"&amp;$B$2))*'Rate Master'!$H$2:$H$50)))),"")</f>
      </c>
      <c r="AA182" s="26">
        <f>IFERROR(IF($B182&lt;&gt;"Entry","",IF(OR(X182="Individual",X182="HUF"),SUMPRODUCT(('Rate Master'!$D$2:$D$50=(Y182&amp;"|"&amp;$B$2))*'Rate Master'!$E$2:$E$50),SUMPRODUCT(('Rate Master'!$D$2:$D$50=(Y182&amp;"|"&amp;$B$2))*'Rate Master'!$F$2:$F$50))),"")</f>
      </c>
      <c r="AB182" s="29"/>
      <c r="AC182" s="30"/>
      <c r="AD182" s="31"/>
      <c r="AE182" s="26">
        <f>IF($B182&lt;&gt;"Entry","",ROUND(AD182*AB182/100,0))</f>
      </c>
      <c r="AF182" s="31"/>
      <c r="AG182" s="31"/>
      <c r="AH182" s="26">
        <f>IF($B182&lt;&gt;"Entry","",IF(OR(AE182=0,AC182="",AS182="",AS182&lt;=0),0,IF(AS182&lt;=DATE(YEAR(AC182),MONTH(AC182)+1,7),0,ROUND(AE182*0.015*((YEAR(AS182)-YEAR(AC182))*12+(MONTH(AS182)-MONTH(AC182))+1),0))))</f>
      </c>
      <c r="AI182" s="31"/>
      <c r="AJ182" s="27"/>
      <c r="AK182" s="27"/>
      <c r="AL182" s="29"/>
      <c r="AM182" s="27"/>
      <c r="AN182" s="27"/>
      <c r="AO182" s="26">
        <f>IF($B182&lt;&gt;"Challan","",SUMIF($C$8:$C$207,$C182,$AE$8:$AE$207)+SUMIF($C$8:$C$207,$C182,$AH$8:$AH$207)+SUMIF($C$8:$C$207,$C182,$AF$8:$AF$207))</f>
      </c>
      <c r="AP182" s="26">
        <f>IF($B182&lt;&gt;"Challan","",O182-M182)</f>
      </c>
      <c r="AQ182" s="26">
        <f>IF($B182&lt;&gt;"Challan","",MAX(0,AP182-AO182))</f>
      </c>
      <c r="AR182" s="32">
        <f>IF($B182&lt;&gt;"Challan","",IF(ROUND(AO182-AP182,2)&gt;0,"Over-applied",IF(ROUND(AO182-AP182,2)=0,"Fully Utilised","Unconsumed")))</f>
      </c>
      <c r="AS182" s="33">
        <f>IF($B182&lt;&gt;"Entry","",SUMPRODUCT(($C$8:$C$207=$C182)*($B$8:$B$207="Challan")*$F$8:$F$207))</f>
      </c>
    </row>
    <row r="183" spans="1:45" x14ac:dyDescent="0.25">
      <c r="A183" s="19">
        <f>IF($B183="Entry",COUNTIF($B$8:$B183,"Entry"),"")</f>
      </c>
      <c r="B183" s="20"/>
      <c r="C183" s="21"/>
      <c r="D183" s="22"/>
      <c r="E183" s="22"/>
      <c r="F183" s="23"/>
      <c r="G183" s="24"/>
      <c r="H183" s="25"/>
      <c r="I183" s="25"/>
      <c r="J183" s="25"/>
      <c r="K183" s="25"/>
      <c r="L183" s="25"/>
      <c r="M183" s="25"/>
      <c r="N183" s="25"/>
      <c r="O183" s="26">
        <f>IF($B183&lt;&gt;"Challan","",H183+I183+J183+K183+L183+M183)</f>
      </c>
      <c r="P183" s="24"/>
      <c r="Q183" s="24"/>
      <c r="R183" s="24"/>
      <c r="S183" s="24"/>
      <c r="T183" s="24"/>
      <c r="U183" s="27"/>
      <c r="V183" s="27"/>
      <c r="W183" s="27"/>
      <c r="X183" s="27"/>
      <c r="Y183" s="27"/>
      <c r="Z183" s="28">
        <f>IFERROR(IF($B183&lt;&gt;"Entry","",IF(W183="Y",SUMPRODUCT(('Rate Master'!$D$2:$D$50=(Y183&amp;"|"&amp;$B$2))*'Rate Master'!$I$2:$I$50),IF(OR(X183="Individual",X183="HUF"),SUMPRODUCT(('Rate Master'!$D$2:$D$50=(Y183&amp;"|"&amp;$B$2))*'Rate Master'!$G$2:$G$50),SUMPRODUCT(('Rate Master'!$D$2:$D$50=(Y183&amp;"|"&amp;$B$2))*'Rate Master'!$H$2:$H$50)))),"")</f>
      </c>
      <c r="AA183" s="26">
        <f>IFERROR(IF($B183&lt;&gt;"Entry","",IF(OR(X183="Individual",X183="HUF"),SUMPRODUCT(('Rate Master'!$D$2:$D$50=(Y183&amp;"|"&amp;$B$2))*'Rate Master'!$E$2:$E$50),SUMPRODUCT(('Rate Master'!$D$2:$D$50=(Y183&amp;"|"&amp;$B$2))*'Rate Master'!$F$2:$F$50))),"")</f>
      </c>
      <c r="AB183" s="29"/>
      <c r="AC183" s="30"/>
      <c r="AD183" s="31"/>
      <c r="AE183" s="26">
        <f>IF($B183&lt;&gt;"Entry","",ROUND(AD183*AB183/100,0))</f>
      </c>
      <c r="AF183" s="31"/>
      <c r="AG183" s="31"/>
      <c r="AH183" s="26">
        <f>IF($B183&lt;&gt;"Entry","",IF(OR(AE183=0,AC183="",AS183="",AS183&lt;=0),0,IF(AS183&lt;=DATE(YEAR(AC183),MONTH(AC183)+1,7),0,ROUND(AE183*0.015*((YEAR(AS183)-YEAR(AC183))*12+(MONTH(AS183)-MONTH(AC183))+1),0))))</f>
      </c>
      <c r="AI183" s="31"/>
      <c r="AJ183" s="27"/>
      <c r="AK183" s="27"/>
      <c r="AL183" s="29"/>
      <c r="AM183" s="27"/>
      <c r="AN183" s="27"/>
      <c r="AO183" s="26">
        <f>IF($B183&lt;&gt;"Challan","",SUMIF($C$8:$C$207,$C183,$AE$8:$AE$207)+SUMIF($C$8:$C$207,$C183,$AH$8:$AH$207)+SUMIF($C$8:$C$207,$C183,$AF$8:$AF$207))</f>
      </c>
      <c r="AP183" s="26">
        <f>IF($B183&lt;&gt;"Challan","",O183-M183)</f>
      </c>
      <c r="AQ183" s="26">
        <f>IF($B183&lt;&gt;"Challan","",MAX(0,AP183-AO183))</f>
      </c>
      <c r="AR183" s="32">
        <f>IF($B183&lt;&gt;"Challan","",IF(ROUND(AO183-AP183,2)&gt;0,"Over-applied",IF(ROUND(AO183-AP183,2)=0,"Fully Utilised","Unconsumed")))</f>
      </c>
      <c r="AS183" s="33">
        <f>IF($B183&lt;&gt;"Entry","",SUMPRODUCT(($C$8:$C$207=$C183)*($B$8:$B$207="Challan")*$F$8:$F$207))</f>
      </c>
    </row>
    <row r="184" spans="1:45" x14ac:dyDescent="0.25">
      <c r="A184" s="19">
        <f>IF($B184="Entry",COUNTIF($B$8:$B184,"Entry"),"")</f>
      </c>
      <c r="B184" s="20"/>
      <c r="C184" s="21"/>
      <c r="D184" s="22"/>
      <c r="E184" s="22"/>
      <c r="F184" s="23"/>
      <c r="G184" s="24"/>
      <c r="H184" s="25"/>
      <c r="I184" s="25"/>
      <c r="J184" s="25"/>
      <c r="K184" s="25"/>
      <c r="L184" s="25"/>
      <c r="M184" s="25"/>
      <c r="N184" s="25"/>
      <c r="O184" s="26">
        <f>IF($B184&lt;&gt;"Challan","",H184+I184+J184+K184+L184+M184)</f>
      </c>
      <c r="P184" s="24"/>
      <c r="Q184" s="24"/>
      <c r="R184" s="24"/>
      <c r="S184" s="24"/>
      <c r="T184" s="24"/>
      <c r="U184" s="27"/>
      <c r="V184" s="27"/>
      <c r="W184" s="27"/>
      <c r="X184" s="27"/>
      <c r="Y184" s="27"/>
      <c r="Z184" s="28">
        <f>IFERROR(IF($B184&lt;&gt;"Entry","",IF(W184="Y",SUMPRODUCT(('Rate Master'!$D$2:$D$50=(Y184&amp;"|"&amp;$B$2))*'Rate Master'!$I$2:$I$50),IF(OR(X184="Individual",X184="HUF"),SUMPRODUCT(('Rate Master'!$D$2:$D$50=(Y184&amp;"|"&amp;$B$2))*'Rate Master'!$G$2:$G$50),SUMPRODUCT(('Rate Master'!$D$2:$D$50=(Y184&amp;"|"&amp;$B$2))*'Rate Master'!$H$2:$H$50)))),"")</f>
      </c>
      <c r="AA184" s="26">
        <f>IFERROR(IF($B184&lt;&gt;"Entry","",IF(OR(X184="Individual",X184="HUF"),SUMPRODUCT(('Rate Master'!$D$2:$D$50=(Y184&amp;"|"&amp;$B$2))*'Rate Master'!$E$2:$E$50),SUMPRODUCT(('Rate Master'!$D$2:$D$50=(Y184&amp;"|"&amp;$B$2))*'Rate Master'!$F$2:$F$50))),"")</f>
      </c>
      <c r="AB184" s="29"/>
      <c r="AC184" s="30"/>
      <c r="AD184" s="31"/>
      <c r="AE184" s="26">
        <f>IF($B184&lt;&gt;"Entry","",ROUND(AD184*AB184/100,0))</f>
      </c>
      <c r="AF184" s="31"/>
      <c r="AG184" s="31"/>
      <c r="AH184" s="26">
        <f>IF($B184&lt;&gt;"Entry","",IF(OR(AE184=0,AC184="",AS184="",AS184&lt;=0),0,IF(AS184&lt;=DATE(YEAR(AC184),MONTH(AC184)+1,7),0,ROUND(AE184*0.015*((YEAR(AS184)-YEAR(AC184))*12+(MONTH(AS184)-MONTH(AC184))+1),0))))</f>
      </c>
      <c r="AI184" s="31"/>
      <c r="AJ184" s="27"/>
      <c r="AK184" s="27"/>
      <c r="AL184" s="29"/>
      <c r="AM184" s="27"/>
      <c r="AN184" s="27"/>
      <c r="AO184" s="26">
        <f>IF($B184&lt;&gt;"Challan","",SUMIF($C$8:$C$207,$C184,$AE$8:$AE$207)+SUMIF($C$8:$C$207,$C184,$AH$8:$AH$207)+SUMIF($C$8:$C$207,$C184,$AF$8:$AF$207))</f>
      </c>
      <c r="AP184" s="26">
        <f>IF($B184&lt;&gt;"Challan","",O184-M184)</f>
      </c>
      <c r="AQ184" s="26">
        <f>IF($B184&lt;&gt;"Challan","",MAX(0,AP184-AO184))</f>
      </c>
      <c r="AR184" s="32">
        <f>IF($B184&lt;&gt;"Challan","",IF(ROUND(AO184-AP184,2)&gt;0,"Over-applied",IF(ROUND(AO184-AP184,2)=0,"Fully Utilised","Unconsumed")))</f>
      </c>
      <c r="AS184" s="33">
        <f>IF($B184&lt;&gt;"Entry","",SUMPRODUCT(($C$8:$C$207=$C184)*($B$8:$B$207="Challan")*$F$8:$F$207))</f>
      </c>
    </row>
    <row r="185" spans="1:45" x14ac:dyDescent="0.25">
      <c r="A185" s="19">
        <f>IF($B185="Entry",COUNTIF($B$8:$B185,"Entry"),"")</f>
      </c>
      <c r="B185" s="20"/>
      <c r="C185" s="21"/>
      <c r="D185" s="22"/>
      <c r="E185" s="22"/>
      <c r="F185" s="23"/>
      <c r="G185" s="24"/>
      <c r="H185" s="25"/>
      <c r="I185" s="25"/>
      <c r="J185" s="25"/>
      <c r="K185" s="25"/>
      <c r="L185" s="25"/>
      <c r="M185" s="25"/>
      <c r="N185" s="25"/>
      <c r="O185" s="26">
        <f>IF($B185&lt;&gt;"Challan","",H185+I185+J185+K185+L185+M185)</f>
      </c>
      <c r="P185" s="24"/>
      <c r="Q185" s="24"/>
      <c r="R185" s="24"/>
      <c r="S185" s="24"/>
      <c r="T185" s="24"/>
      <c r="U185" s="27"/>
      <c r="V185" s="27"/>
      <c r="W185" s="27"/>
      <c r="X185" s="27"/>
      <c r="Y185" s="27"/>
      <c r="Z185" s="28">
        <f>IFERROR(IF($B185&lt;&gt;"Entry","",IF(W185="Y",SUMPRODUCT(('Rate Master'!$D$2:$D$50=(Y185&amp;"|"&amp;$B$2))*'Rate Master'!$I$2:$I$50),IF(OR(X185="Individual",X185="HUF"),SUMPRODUCT(('Rate Master'!$D$2:$D$50=(Y185&amp;"|"&amp;$B$2))*'Rate Master'!$G$2:$G$50),SUMPRODUCT(('Rate Master'!$D$2:$D$50=(Y185&amp;"|"&amp;$B$2))*'Rate Master'!$H$2:$H$50)))),"")</f>
      </c>
      <c r="AA185" s="26">
        <f>IFERROR(IF($B185&lt;&gt;"Entry","",IF(OR(X185="Individual",X185="HUF"),SUMPRODUCT(('Rate Master'!$D$2:$D$50=(Y185&amp;"|"&amp;$B$2))*'Rate Master'!$E$2:$E$50),SUMPRODUCT(('Rate Master'!$D$2:$D$50=(Y185&amp;"|"&amp;$B$2))*'Rate Master'!$F$2:$F$50))),"")</f>
      </c>
      <c r="AB185" s="29"/>
      <c r="AC185" s="30"/>
      <c r="AD185" s="31"/>
      <c r="AE185" s="26">
        <f>IF($B185&lt;&gt;"Entry","",ROUND(AD185*AB185/100,0))</f>
      </c>
      <c r="AF185" s="31"/>
      <c r="AG185" s="31"/>
      <c r="AH185" s="26">
        <f>IF($B185&lt;&gt;"Entry","",IF(OR(AE185=0,AC185="",AS185="",AS185&lt;=0),0,IF(AS185&lt;=DATE(YEAR(AC185),MONTH(AC185)+1,7),0,ROUND(AE185*0.015*((YEAR(AS185)-YEAR(AC185))*12+(MONTH(AS185)-MONTH(AC185))+1),0))))</f>
      </c>
      <c r="AI185" s="31"/>
      <c r="AJ185" s="27"/>
      <c r="AK185" s="27"/>
      <c r="AL185" s="29"/>
      <c r="AM185" s="27"/>
      <c r="AN185" s="27"/>
      <c r="AO185" s="26">
        <f>IF($B185&lt;&gt;"Challan","",SUMIF($C$8:$C$207,$C185,$AE$8:$AE$207)+SUMIF($C$8:$C$207,$C185,$AH$8:$AH$207)+SUMIF($C$8:$C$207,$C185,$AF$8:$AF$207))</f>
      </c>
      <c r="AP185" s="26">
        <f>IF($B185&lt;&gt;"Challan","",O185-M185)</f>
      </c>
      <c r="AQ185" s="26">
        <f>IF($B185&lt;&gt;"Challan","",MAX(0,AP185-AO185))</f>
      </c>
      <c r="AR185" s="32">
        <f>IF($B185&lt;&gt;"Challan","",IF(ROUND(AO185-AP185,2)&gt;0,"Over-applied",IF(ROUND(AO185-AP185,2)=0,"Fully Utilised","Unconsumed")))</f>
      </c>
      <c r="AS185" s="33">
        <f>IF($B185&lt;&gt;"Entry","",SUMPRODUCT(($C$8:$C$207=$C185)*($B$8:$B$207="Challan")*$F$8:$F$207))</f>
      </c>
    </row>
    <row r="186" spans="1:45" x14ac:dyDescent="0.25">
      <c r="A186" s="19">
        <f>IF($B186="Entry",COUNTIF($B$8:$B186,"Entry"),"")</f>
      </c>
      <c r="B186" s="20"/>
      <c r="C186" s="21"/>
      <c r="D186" s="22"/>
      <c r="E186" s="22"/>
      <c r="F186" s="23"/>
      <c r="G186" s="24"/>
      <c r="H186" s="25"/>
      <c r="I186" s="25"/>
      <c r="J186" s="25"/>
      <c r="K186" s="25"/>
      <c r="L186" s="25"/>
      <c r="M186" s="25"/>
      <c r="N186" s="25"/>
      <c r="O186" s="26">
        <f>IF($B186&lt;&gt;"Challan","",H186+I186+J186+K186+L186+M186)</f>
      </c>
      <c r="P186" s="24"/>
      <c r="Q186" s="24"/>
      <c r="R186" s="24"/>
      <c r="S186" s="24"/>
      <c r="T186" s="24"/>
      <c r="U186" s="27"/>
      <c r="V186" s="27"/>
      <c r="W186" s="27"/>
      <c r="X186" s="27"/>
      <c r="Y186" s="27"/>
      <c r="Z186" s="28">
        <f>IFERROR(IF($B186&lt;&gt;"Entry","",IF(W186="Y",SUMPRODUCT(('Rate Master'!$D$2:$D$50=(Y186&amp;"|"&amp;$B$2))*'Rate Master'!$I$2:$I$50),IF(OR(X186="Individual",X186="HUF"),SUMPRODUCT(('Rate Master'!$D$2:$D$50=(Y186&amp;"|"&amp;$B$2))*'Rate Master'!$G$2:$G$50),SUMPRODUCT(('Rate Master'!$D$2:$D$50=(Y186&amp;"|"&amp;$B$2))*'Rate Master'!$H$2:$H$50)))),"")</f>
      </c>
      <c r="AA186" s="26">
        <f>IFERROR(IF($B186&lt;&gt;"Entry","",IF(OR(X186="Individual",X186="HUF"),SUMPRODUCT(('Rate Master'!$D$2:$D$50=(Y186&amp;"|"&amp;$B$2))*'Rate Master'!$E$2:$E$50),SUMPRODUCT(('Rate Master'!$D$2:$D$50=(Y186&amp;"|"&amp;$B$2))*'Rate Master'!$F$2:$F$50))),"")</f>
      </c>
      <c r="AB186" s="29"/>
      <c r="AC186" s="30"/>
      <c r="AD186" s="31"/>
      <c r="AE186" s="26">
        <f>IF($B186&lt;&gt;"Entry","",ROUND(AD186*AB186/100,0))</f>
      </c>
      <c r="AF186" s="31"/>
      <c r="AG186" s="31"/>
      <c r="AH186" s="26">
        <f>IF($B186&lt;&gt;"Entry","",IF(OR(AE186=0,AC186="",AS186="",AS186&lt;=0),0,IF(AS186&lt;=DATE(YEAR(AC186),MONTH(AC186)+1,7),0,ROUND(AE186*0.015*((YEAR(AS186)-YEAR(AC186))*12+(MONTH(AS186)-MONTH(AC186))+1),0))))</f>
      </c>
      <c r="AI186" s="31"/>
      <c r="AJ186" s="27"/>
      <c r="AK186" s="27"/>
      <c r="AL186" s="29"/>
      <c r="AM186" s="27"/>
      <c r="AN186" s="27"/>
      <c r="AO186" s="26">
        <f>IF($B186&lt;&gt;"Challan","",SUMIF($C$8:$C$207,$C186,$AE$8:$AE$207)+SUMIF($C$8:$C$207,$C186,$AH$8:$AH$207)+SUMIF($C$8:$C$207,$C186,$AF$8:$AF$207))</f>
      </c>
      <c r="AP186" s="26">
        <f>IF($B186&lt;&gt;"Challan","",O186-M186)</f>
      </c>
      <c r="AQ186" s="26">
        <f>IF($B186&lt;&gt;"Challan","",MAX(0,AP186-AO186))</f>
      </c>
      <c r="AR186" s="32">
        <f>IF($B186&lt;&gt;"Challan","",IF(ROUND(AO186-AP186,2)&gt;0,"Over-applied",IF(ROUND(AO186-AP186,2)=0,"Fully Utilised","Unconsumed")))</f>
      </c>
      <c r="AS186" s="33">
        <f>IF($B186&lt;&gt;"Entry","",SUMPRODUCT(($C$8:$C$207=$C186)*($B$8:$B$207="Challan")*$F$8:$F$207))</f>
      </c>
    </row>
    <row r="187" spans="1:45" x14ac:dyDescent="0.25">
      <c r="A187" s="19">
        <f>IF($B187="Entry",COUNTIF($B$8:$B187,"Entry"),"")</f>
      </c>
      <c r="B187" s="20"/>
      <c r="C187" s="21"/>
      <c r="D187" s="22"/>
      <c r="E187" s="22"/>
      <c r="F187" s="23"/>
      <c r="G187" s="24"/>
      <c r="H187" s="25"/>
      <c r="I187" s="25"/>
      <c r="J187" s="25"/>
      <c r="K187" s="25"/>
      <c r="L187" s="25"/>
      <c r="M187" s="25"/>
      <c r="N187" s="25"/>
      <c r="O187" s="26">
        <f>IF($B187&lt;&gt;"Challan","",H187+I187+J187+K187+L187+M187)</f>
      </c>
      <c r="P187" s="24"/>
      <c r="Q187" s="24"/>
      <c r="R187" s="24"/>
      <c r="S187" s="24"/>
      <c r="T187" s="24"/>
      <c r="U187" s="27"/>
      <c r="V187" s="27"/>
      <c r="W187" s="27"/>
      <c r="X187" s="27"/>
      <c r="Y187" s="27"/>
      <c r="Z187" s="28">
        <f>IFERROR(IF($B187&lt;&gt;"Entry","",IF(W187="Y",SUMPRODUCT(('Rate Master'!$D$2:$D$50=(Y187&amp;"|"&amp;$B$2))*'Rate Master'!$I$2:$I$50),IF(OR(X187="Individual",X187="HUF"),SUMPRODUCT(('Rate Master'!$D$2:$D$50=(Y187&amp;"|"&amp;$B$2))*'Rate Master'!$G$2:$G$50),SUMPRODUCT(('Rate Master'!$D$2:$D$50=(Y187&amp;"|"&amp;$B$2))*'Rate Master'!$H$2:$H$50)))),"")</f>
      </c>
      <c r="AA187" s="26">
        <f>IFERROR(IF($B187&lt;&gt;"Entry","",IF(OR(X187="Individual",X187="HUF"),SUMPRODUCT(('Rate Master'!$D$2:$D$50=(Y187&amp;"|"&amp;$B$2))*'Rate Master'!$E$2:$E$50),SUMPRODUCT(('Rate Master'!$D$2:$D$50=(Y187&amp;"|"&amp;$B$2))*'Rate Master'!$F$2:$F$50))),"")</f>
      </c>
      <c r="AB187" s="29"/>
      <c r="AC187" s="30"/>
      <c r="AD187" s="31"/>
      <c r="AE187" s="26">
        <f>IF($B187&lt;&gt;"Entry","",ROUND(AD187*AB187/100,0))</f>
      </c>
      <c r="AF187" s="31"/>
      <c r="AG187" s="31"/>
      <c r="AH187" s="26">
        <f>IF($B187&lt;&gt;"Entry","",IF(OR(AE187=0,AC187="",AS187="",AS187&lt;=0),0,IF(AS187&lt;=DATE(YEAR(AC187),MONTH(AC187)+1,7),0,ROUND(AE187*0.015*((YEAR(AS187)-YEAR(AC187))*12+(MONTH(AS187)-MONTH(AC187))+1),0))))</f>
      </c>
      <c r="AI187" s="31"/>
      <c r="AJ187" s="27"/>
      <c r="AK187" s="27"/>
      <c r="AL187" s="29"/>
      <c r="AM187" s="27"/>
      <c r="AN187" s="27"/>
      <c r="AO187" s="26">
        <f>IF($B187&lt;&gt;"Challan","",SUMIF($C$8:$C$207,$C187,$AE$8:$AE$207)+SUMIF($C$8:$C$207,$C187,$AH$8:$AH$207)+SUMIF($C$8:$C$207,$C187,$AF$8:$AF$207))</f>
      </c>
      <c r="AP187" s="26">
        <f>IF($B187&lt;&gt;"Challan","",O187-M187)</f>
      </c>
      <c r="AQ187" s="26">
        <f>IF($B187&lt;&gt;"Challan","",MAX(0,AP187-AO187))</f>
      </c>
      <c r="AR187" s="32">
        <f>IF($B187&lt;&gt;"Challan","",IF(ROUND(AO187-AP187,2)&gt;0,"Over-applied",IF(ROUND(AO187-AP187,2)=0,"Fully Utilised","Unconsumed")))</f>
      </c>
      <c r="AS187" s="33">
        <f>IF($B187&lt;&gt;"Entry","",SUMPRODUCT(($C$8:$C$207=$C187)*($B$8:$B$207="Challan")*$F$8:$F$207))</f>
      </c>
    </row>
    <row r="188" spans="1:45" x14ac:dyDescent="0.25">
      <c r="A188" s="19">
        <f>IF($B188="Entry",COUNTIF($B$8:$B188,"Entry"),"")</f>
      </c>
      <c r="B188" s="20"/>
      <c r="C188" s="21"/>
      <c r="D188" s="22"/>
      <c r="E188" s="22"/>
      <c r="F188" s="23"/>
      <c r="G188" s="24"/>
      <c r="H188" s="25"/>
      <c r="I188" s="25"/>
      <c r="J188" s="25"/>
      <c r="K188" s="25"/>
      <c r="L188" s="25"/>
      <c r="M188" s="25"/>
      <c r="N188" s="25"/>
      <c r="O188" s="26">
        <f>IF($B188&lt;&gt;"Challan","",H188+I188+J188+K188+L188+M188)</f>
      </c>
      <c r="P188" s="24"/>
      <c r="Q188" s="24"/>
      <c r="R188" s="24"/>
      <c r="S188" s="24"/>
      <c r="T188" s="24"/>
      <c r="U188" s="27"/>
      <c r="V188" s="27"/>
      <c r="W188" s="27"/>
      <c r="X188" s="27"/>
      <c r="Y188" s="27"/>
      <c r="Z188" s="28">
        <f>IFERROR(IF($B188&lt;&gt;"Entry","",IF(W188="Y",SUMPRODUCT(('Rate Master'!$D$2:$D$50=(Y188&amp;"|"&amp;$B$2))*'Rate Master'!$I$2:$I$50),IF(OR(X188="Individual",X188="HUF"),SUMPRODUCT(('Rate Master'!$D$2:$D$50=(Y188&amp;"|"&amp;$B$2))*'Rate Master'!$G$2:$G$50),SUMPRODUCT(('Rate Master'!$D$2:$D$50=(Y188&amp;"|"&amp;$B$2))*'Rate Master'!$H$2:$H$50)))),"")</f>
      </c>
      <c r="AA188" s="26">
        <f>IFERROR(IF($B188&lt;&gt;"Entry","",IF(OR(X188="Individual",X188="HUF"),SUMPRODUCT(('Rate Master'!$D$2:$D$50=(Y188&amp;"|"&amp;$B$2))*'Rate Master'!$E$2:$E$50),SUMPRODUCT(('Rate Master'!$D$2:$D$50=(Y188&amp;"|"&amp;$B$2))*'Rate Master'!$F$2:$F$50))),"")</f>
      </c>
      <c r="AB188" s="29"/>
      <c r="AC188" s="30"/>
      <c r="AD188" s="31"/>
      <c r="AE188" s="26">
        <f>IF($B188&lt;&gt;"Entry","",ROUND(AD188*AB188/100,0))</f>
      </c>
      <c r="AF188" s="31"/>
      <c r="AG188" s="31"/>
      <c r="AH188" s="26">
        <f>IF($B188&lt;&gt;"Entry","",IF(OR(AE188=0,AC188="",AS188="",AS188&lt;=0),0,IF(AS188&lt;=DATE(YEAR(AC188),MONTH(AC188)+1,7),0,ROUND(AE188*0.015*((YEAR(AS188)-YEAR(AC188))*12+(MONTH(AS188)-MONTH(AC188))+1),0))))</f>
      </c>
      <c r="AI188" s="31"/>
      <c r="AJ188" s="27"/>
      <c r="AK188" s="27"/>
      <c r="AL188" s="29"/>
      <c r="AM188" s="27"/>
      <c r="AN188" s="27"/>
      <c r="AO188" s="26">
        <f>IF($B188&lt;&gt;"Challan","",SUMIF($C$8:$C$207,$C188,$AE$8:$AE$207)+SUMIF($C$8:$C$207,$C188,$AH$8:$AH$207)+SUMIF($C$8:$C$207,$C188,$AF$8:$AF$207))</f>
      </c>
      <c r="AP188" s="26">
        <f>IF($B188&lt;&gt;"Challan","",O188-M188)</f>
      </c>
      <c r="AQ188" s="26">
        <f>IF($B188&lt;&gt;"Challan","",MAX(0,AP188-AO188))</f>
      </c>
      <c r="AR188" s="32">
        <f>IF($B188&lt;&gt;"Challan","",IF(ROUND(AO188-AP188,2)&gt;0,"Over-applied",IF(ROUND(AO188-AP188,2)=0,"Fully Utilised","Unconsumed")))</f>
      </c>
      <c r="AS188" s="33">
        <f>IF($B188&lt;&gt;"Entry","",SUMPRODUCT(($C$8:$C$207=$C188)*($B$8:$B$207="Challan")*$F$8:$F$207))</f>
      </c>
    </row>
    <row r="189" spans="1:45" x14ac:dyDescent="0.25">
      <c r="A189" s="19">
        <f>IF($B189="Entry",COUNTIF($B$8:$B189,"Entry"),"")</f>
      </c>
      <c r="B189" s="20"/>
      <c r="C189" s="21"/>
      <c r="D189" s="22"/>
      <c r="E189" s="22"/>
      <c r="F189" s="23"/>
      <c r="G189" s="24"/>
      <c r="H189" s="25"/>
      <c r="I189" s="25"/>
      <c r="J189" s="25"/>
      <c r="K189" s="25"/>
      <c r="L189" s="25"/>
      <c r="M189" s="25"/>
      <c r="N189" s="25"/>
      <c r="O189" s="26">
        <f>IF($B189&lt;&gt;"Challan","",H189+I189+J189+K189+L189+M189)</f>
      </c>
      <c r="P189" s="24"/>
      <c r="Q189" s="24"/>
      <c r="R189" s="24"/>
      <c r="S189" s="24"/>
      <c r="T189" s="24"/>
      <c r="U189" s="27"/>
      <c r="V189" s="27"/>
      <c r="W189" s="27"/>
      <c r="X189" s="27"/>
      <c r="Y189" s="27"/>
      <c r="Z189" s="28">
        <f>IFERROR(IF($B189&lt;&gt;"Entry","",IF(W189="Y",SUMPRODUCT(('Rate Master'!$D$2:$D$50=(Y189&amp;"|"&amp;$B$2))*'Rate Master'!$I$2:$I$50),IF(OR(X189="Individual",X189="HUF"),SUMPRODUCT(('Rate Master'!$D$2:$D$50=(Y189&amp;"|"&amp;$B$2))*'Rate Master'!$G$2:$G$50),SUMPRODUCT(('Rate Master'!$D$2:$D$50=(Y189&amp;"|"&amp;$B$2))*'Rate Master'!$H$2:$H$50)))),"")</f>
      </c>
      <c r="AA189" s="26">
        <f>IFERROR(IF($B189&lt;&gt;"Entry","",IF(OR(X189="Individual",X189="HUF"),SUMPRODUCT(('Rate Master'!$D$2:$D$50=(Y189&amp;"|"&amp;$B$2))*'Rate Master'!$E$2:$E$50),SUMPRODUCT(('Rate Master'!$D$2:$D$50=(Y189&amp;"|"&amp;$B$2))*'Rate Master'!$F$2:$F$50))),"")</f>
      </c>
      <c r="AB189" s="29"/>
      <c r="AC189" s="30"/>
      <c r="AD189" s="31"/>
      <c r="AE189" s="26">
        <f>IF($B189&lt;&gt;"Entry","",ROUND(AD189*AB189/100,0))</f>
      </c>
      <c r="AF189" s="31"/>
      <c r="AG189" s="31"/>
      <c r="AH189" s="26">
        <f>IF($B189&lt;&gt;"Entry","",IF(OR(AE189=0,AC189="",AS189="",AS189&lt;=0),0,IF(AS189&lt;=DATE(YEAR(AC189),MONTH(AC189)+1,7),0,ROUND(AE189*0.015*((YEAR(AS189)-YEAR(AC189))*12+(MONTH(AS189)-MONTH(AC189))+1),0))))</f>
      </c>
      <c r="AI189" s="31"/>
      <c r="AJ189" s="27"/>
      <c r="AK189" s="27"/>
      <c r="AL189" s="29"/>
      <c r="AM189" s="27"/>
      <c r="AN189" s="27"/>
      <c r="AO189" s="26">
        <f>IF($B189&lt;&gt;"Challan","",SUMIF($C$8:$C$207,$C189,$AE$8:$AE$207)+SUMIF($C$8:$C$207,$C189,$AH$8:$AH$207)+SUMIF($C$8:$C$207,$C189,$AF$8:$AF$207))</f>
      </c>
      <c r="AP189" s="26">
        <f>IF($B189&lt;&gt;"Challan","",O189-M189)</f>
      </c>
      <c r="AQ189" s="26">
        <f>IF($B189&lt;&gt;"Challan","",MAX(0,AP189-AO189))</f>
      </c>
      <c r="AR189" s="32">
        <f>IF($B189&lt;&gt;"Challan","",IF(ROUND(AO189-AP189,2)&gt;0,"Over-applied",IF(ROUND(AO189-AP189,2)=0,"Fully Utilised","Unconsumed")))</f>
      </c>
      <c r="AS189" s="33">
        <f>IF($B189&lt;&gt;"Entry","",SUMPRODUCT(($C$8:$C$207=$C189)*($B$8:$B$207="Challan")*$F$8:$F$207))</f>
      </c>
    </row>
    <row r="190" spans="1:45" x14ac:dyDescent="0.25">
      <c r="A190" s="19">
        <f>IF($B190="Entry",COUNTIF($B$8:$B190,"Entry"),"")</f>
      </c>
      <c r="B190" s="20"/>
      <c r="C190" s="21"/>
      <c r="D190" s="22"/>
      <c r="E190" s="22"/>
      <c r="F190" s="23"/>
      <c r="G190" s="24"/>
      <c r="H190" s="25"/>
      <c r="I190" s="25"/>
      <c r="J190" s="25"/>
      <c r="K190" s="25"/>
      <c r="L190" s="25"/>
      <c r="M190" s="25"/>
      <c r="N190" s="25"/>
      <c r="O190" s="26">
        <f>IF($B190&lt;&gt;"Challan","",H190+I190+J190+K190+L190+M190)</f>
      </c>
      <c r="P190" s="24"/>
      <c r="Q190" s="24"/>
      <c r="R190" s="24"/>
      <c r="S190" s="24"/>
      <c r="T190" s="24"/>
      <c r="U190" s="27"/>
      <c r="V190" s="27"/>
      <c r="W190" s="27"/>
      <c r="X190" s="27"/>
      <c r="Y190" s="27"/>
      <c r="Z190" s="28">
        <f>IFERROR(IF($B190&lt;&gt;"Entry","",IF(W190="Y",SUMPRODUCT(('Rate Master'!$D$2:$D$50=(Y190&amp;"|"&amp;$B$2))*'Rate Master'!$I$2:$I$50),IF(OR(X190="Individual",X190="HUF"),SUMPRODUCT(('Rate Master'!$D$2:$D$50=(Y190&amp;"|"&amp;$B$2))*'Rate Master'!$G$2:$G$50),SUMPRODUCT(('Rate Master'!$D$2:$D$50=(Y190&amp;"|"&amp;$B$2))*'Rate Master'!$H$2:$H$50)))),"")</f>
      </c>
      <c r="AA190" s="26">
        <f>IFERROR(IF($B190&lt;&gt;"Entry","",IF(OR(X190="Individual",X190="HUF"),SUMPRODUCT(('Rate Master'!$D$2:$D$50=(Y190&amp;"|"&amp;$B$2))*'Rate Master'!$E$2:$E$50),SUMPRODUCT(('Rate Master'!$D$2:$D$50=(Y190&amp;"|"&amp;$B$2))*'Rate Master'!$F$2:$F$50))),"")</f>
      </c>
      <c r="AB190" s="29"/>
      <c r="AC190" s="30"/>
      <c r="AD190" s="31"/>
      <c r="AE190" s="26">
        <f>IF($B190&lt;&gt;"Entry","",ROUND(AD190*AB190/100,0))</f>
      </c>
      <c r="AF190" s="31"/>
      <c r="AG190" s="31"/>
      <c r="AH190" s="26">
        <f>IF($B190&lt;&gt;"Entry","",IF(OR(AE190=0,AC190="",AS190="",AS190&lt;=0),0,IF(AS190&lt;=DATE(YEAR(AC190),MONTH(AC190)+1,7),0,ROUND(AE190*0.015*((YEAR(AS190)-YEAR(AC190))*12+(MONTH(AS190)-MONTH(AC190))+1),0))))</f>
      </c>
      <c r="AI190" s="31"/>
      <c r="AJ190" s="27"/>
      <c r="AK190" s="27"/>
      <c r="AL190" s="29"/>
      <c r="AM190" s="27"/>
      <c r="AN190" s="27"/>
      <c r="AO190" s="26">
        <f>IF($B190&lt;&gt;"Challan","",SUMIF($C$8:$C$207,$C190,$AE$8:$AE$207)+SUMIF($C$8:$C$207,$C190,$AH$8:$AH$207)+SUMIF($C$8:$C$207,$C190,$AF$8:$AF$207))</f>
      </c>
      <c r="AP190" s="26">
        <f>IF($B190&lt;&gt;"Challan","",O190-M190)</f>
      </c>
      <c r="AQ190" s="26">
        <f>IF($B190&lt;&gt;"Challan","",MAX(0,AP190-AO190))</f>
      </c>
      <c r="AR190" s="32">
        <f>IF($B190&lt;&gt;"Challan","",IF(ROUND(AO190-AP190,2)&gt;0,"Over-applied",IF(ROUND(AO190-AP190,2)=0,"Fully Utilised","Unconsumed")))</f>
      </c>
      <c r="AS190" s="33">
        <f>IF($B190&lt;&gt;"Entry","",SUMPRODUCT(($C$8:$C$207=$C190)*($B$8:$B$207="Challan")*$F$8:$F$207))</f>
      </c>
    </row>
    <row r="191" spans="1:45" x14ac:dyDescent="0.25">
      <c r="A191" s="19">
        <f>IF($B191="Entry",COUNTIF($B$8:$B191,"Entry"),"")</f>
      </c>
      <c r="B191" s="20"/>
      <c r="C191" s="21"/>
      <c r="D191" s="22"/>
      <c r="E191" s="22"/>
      <c r="F191" s="23"/>
      <c r="G191" s="24"/>
      <c r="H191" s="25"/>
      <c r="I191" s="25"/>
      <c r="J191" s="25"/>
      <c r="K191" s="25"/>
      <c r="L191" s="25"/>
      <c r="M191" s="25"/>
      <c r="N191" s="25"/>
      <c r="O191" s="26">
        <f>IF($B191&lt;&gt;"Challan","",H191+I191+J191+K191+L191+M191)</f>
      </c>
      <c r="P191" s="24"/>
      <c r="Q191" s="24"/>
      <c r="R191" s="24"/>
      <c r="S191" s="24"/>
      <c r="T191" s="24"/>
      <c r="U191" s="27"/>
      <c r="V191" s="27"/>
      <c r="W191" s="27"/>
      <c r="X191" s="27"/>
      <c r="Y191" s="27"/>
      <c r="Z191" s="28">
        <f>IFERROR(IF($B191&lt;&gt;"Entry","",IF(W191="Y",SUMPRODUCT(('Rate Master'!$D$2:$D$50=(Y191&amp;"|"&amp;$B$2))*'Rate Master'!$I$2:$I$50),IF(OR(X191="Individual",X191="HUF"),SUMPRODUCT(('Rate Master'!$D$2:$D$50=(Y191&amp;"|"&amp;$B$2))*'Rate Master'!$G$2:$G$50),SUMPRODUCT(('Rate Master'!$D$2:$D$50=(Y191&amp;"|"&amp;$B$2))*'Rate Master'!$H$2:$H$50)))),"")</f>
      </c>
      <c r="AA191" s="26">
        <f>IFERROR(IF($B191&lt;&gt;"Entry","",IF(OR(X191="Individual",X191="HUF"),SUMPRODUCT(('Rate Master'!$D$2:$D$50=(Y191&amp;"|"&amp;$B$2))*'Rate Master'!$E$2:$E$50),SUMPRODUCT(('Rate Master'!$D$2:$D$50=(Y191&amp;"|"&amp;$B$2))*'Rate Master'!$F$2:$F$50))),"")</f>
      </c>
      <c r="AB191" s="29"/>
      <c r="AC191" s="30"/>
      <c r="AD191" s="31"/>
      <c r="AE191" s="26">
        <f>IF($B191&lt;&gt;"Entry","",ROUND(AD191*AB191/100,0))</f>
      </c>
      <c r="AF191" s="31"/>
      <c r="AG191" s="31"/>
      <c r="AH191" s="26">
        <f>IF($B191&lt;&gt;"Entry","",IF(OR(AE191=0,AC191="",AS191="",AS191&lt;=0),0,IF(AS191&lt;=DATE(YEAR(AC191),MONTH(AC191)+1,7),0,ROUND(AE191*0.015*((YEAR(AS191)-YEAR(AC191))*12+(MONTH(AS191)-MONTH(AC191))+1),0))))</f>
      </c>
      <c r="AI191" s="31"/>
      <c r="AJ191" s="27"/>
      <c r="AK191" s="27"/>
      <c r="AL191" s="29"/>
      <c r="AM191" s="27"/>
      <c r="AN191" s="27"/>
      <c r="AO191" s="26">
        <f>IF($B191&lt;&gt;"Challan","",SUMIF($C$8:$C$207,$C191,$AE$8:$AE$207)+SUMIF($C$8:$C$207,$C191,$AH$8:$AH$207)+SUMIF($C$8:$C$207,$C191,$AF$8:$AF$207))</f>
      </c>
      <c r="AP191" s="26">
        <f>IF($B191&lt;&gt;"Challan","",O191-M191)</f>
      </c>
      <c r="AQ191" s="26">
        <f>IF($B191&lt;&gt;"Challan","",MAX(0,AP191-AO191))</f>
      </c>
      <c r="AR191" s="32">
        <f>IF($B191&lt;&gt;"Challan","",IF(ROUND(AO191-AP191,2)&gt;0,"Over-applied",IF(ROUND(AO191-AP191,2)=0,"Fully Utilised","Unconsumed")))</f>
      </c>
      <c r="AS191" s="33">
        <f>IF($B191&lt;&gt;"Entry","",SUMPRODUCT(($C$8:$C$207=$C191)*($B$8:$B$207="Challan")*$F$8:$F$207))</f>
      </c>
    </row>
    <row r="192" spans="1:45" x14ac:dyDescent="0.25">
      <c r="A192" s="19">
        <f>IF($B192="Entry",COUNTIF($B$8:$B192,"Entry"),"")</f>
      </c>
      <c r="B192" s="20"/>
      <c r="C192" s="21"/>
      <c r="D192" s="22"/>
      <c r="E192" s="22"/>
      <c r="F192" s="23"/>
      <c r="G192" s="24"/>
      <c r="H192" s="25"/>
      <c r="I192" s="25"/>
      <c r="J192" s="25"/>
      <c r="K192" s="25"/>
      <c r="L192" s="25"/>
      <c r="M192" s="25"/>
      <c r="N192" s="25"/>
      <c r="O192" s="26">
        <f>IF($B192&lt;&gt;"Challan","",H192+I192+J192+K192+L192+M192)</f>
      </c>
      <c r="P192" s="24"/>
      <c r="Q192" s="24"/>
      <c r="R192" s="24"/>
      <c r="S192" s="24"/>
      <c r="T192" s="24"/>
      <c r="U192" s="27"/>
      <c r="V192" s="27"/>
      <c r="W192" s="27"/>
      <c r="X192" s="27"/>
      <c r="Y192" s="27"/>
      <c r="Z192" s="28">
        <f>IFERROR(IF($B192&lt;&gt;"Entry","",IF(W192="Y",SUMPRODUCT(('Rate Master'!$D$2:$D$50=(Y192&amp;"|"&amp;$B$2))*'Rate Master'!$I$2:$I$50),IF(OR(X192="Individual",X192="HUF"),SUMPRODUCT(('Rate Master'!$D$2:$D$50=(Y192&amp;"|"&amp;$B$2))*'Rate Master'!$G$2:$G$50),SUMPRODUCT(('Rate Master'!$D$2:$D$50=(Y192&amp;"|"&amp;$B$2))*'Rate Master'!$H$2:$H$50)))),"")</f>
      </c>
      <c r="AA192" s="26">
        <f>IFERROR(IF($B192&lt;&gt;"Entry","",IF(OR(X192="Individual",X192="HUF"),SUMPRODUCT(('Rate Master'!$D$2:$D$50=(Y192&amp;"|"&amp;$B$2))*'Rate Master'!$E$2:$E$50),SUMPRODUCT(('Rate Master'!$D$2:$D$50=(Y192&amp;"|"&amp;$B$2))*'Rate Master'!$F$2:$F$50))),"")</f>
      </c>
      <c r="AB192" s="29"/>
      <c r="AC192" s="30"/>
      <c r="AD192" s="31"/>
      <c r="AE192" s="26">
        <f>IF($B192&lt;&gt;"Entry","",ROUND(AD192*AB192/100,0))</f>
      </c>
      <c r="AF192" s="31"/>
      <c r="AG192" s="31"/>
      <c r="AH192" s="26">
        <f>IF($B192&lt;&gt;"Entry","",IF(OR(AE192=0,AC192="",AS192="",AS192&lt;=0),0,IF(AS192&lt;=DATE(YEAR(AC192),MONTH(AC192)+1,7),0,ROUND(AE192*0.015*((YEAR(AS192)-YEAR(AC192))*12+(MONTH(AS192)-MONTH(AC192))+1),0))))</f>
      </c>
      <c r="AI192" s="31"/>
      <c r="AJ192" s="27"/>
      <c r="AK192" s="27"/>
      <c r="AL192" s="29"/>
      <c r="AM192" s="27"/>
      <c r="AN192" s="27"/>
      <c r="AO192" s="26">
        <f>IF($B192&lt;&gt;"Challan","",SUMIF($C$8:$C$207,$C192,$AE$8:$AE$207)+SUMIF($C$8:$C$207,$C192,$AH$8:$AH$207)+SUMIF($C$8:$C$207,$C192,$AF$8:$AF$207))</f>
      </c>
      <c r="AP192" s="26">
        <f>IF($B192&lt;&gt;"Challan","",O192-M192)</f>
      </c>
      <c r="AQ192" s="26">
        <f>IF($B192&lt;&gt;"Challan","",MAX(0,AP192-AO192))</f>
      </c>
      <c r="AR192" s="32">
        <f>IF($B192&lt;&gt;"Challan","",IF(ROUND(AO192-AP192,2)&gt;0,"Over-applied",IF(ROUND(AO192-AP192,2)=0,"Fully Utilised","Unconsumed")))</f>
      </c>
      <c r="AS192" s="33">
        <f>IF($B192&lt;&gt;"Entry","",SUMPRODUCT(($C$8:$C$207=$C192)*($B$8:$B$207="Challan")*$F$8:$F$207))</f>
      </c>
    </row>
    <row r="193" spans="1:45" x14ac:dyDescent="0.25">
      <c r="A193" s="19">
        <f>IF($B193="Entry",COUNTIF($B$8:$B193,"Entry"),"")</f>
      </c>
      <c r="B193" s="20"/>
      <c r="C193" s="21"/>
      <c r="D193" s="22"/>
      <c r="E193" s="22"/>
      <c r="F193" s="23"/>
      <c r="G193" s="24"/>
      <c r="H193" s="25"/>
      <c r="I193" s="25"/>
      <c r="J193" s="25"/>
      <c r="K193" s="25"/>
      <c r="L193" s="25"/>
      <c r="M193" s="25"/>
      <c r="N193" s="25"/>
      <c r="O193" s="26">
        <f>IF($B193&lt;&gt;"Challan","",H193+I193+J193+K193+L193+M193)</f>
      </c>
      <c r="P193" s="24"/>
      <c r="Q193" s="24"/>
      <c r="R193" s="24"/>
      <c r="S193" s="24"/>
      <c r="T193" s="24"/>
      <c r="U193" s="27"/>
      <c r="V193" s="27"/>
      <c r="W193" s="27"/>
      <c r="X193" s="27"/>
      <c r="Y193" s="27"/>
      <c r="Z193" s="28">
        <f>IFERROR(IF($B193&lt;&gt;"Entry","",IF(W193="Y",SUMPRODUCT(('Rate Master'!$D$2:$D$50=(Y193&amp;"|"&amp;$B$2))*'Rate Master'!$I$2:$I$50),IF(OR(X193="Individual",X193="HUF"),SUMPRODUCT(('Rate Master'!$D$2:$D$50=(Y193&amp;"|"&amp;$B$2))*'Rate Master'!$G$2:$G$50),SUMPRODUCT(('Rate Master'!$D$2:$D$50=(Y193&amp;"|"&amp;$B$2))*'Rate Master'!$H$2:$H$50)))),"")</f>
      </c>
      <c r="AA193" s="26">
        <f>IFERROR(IF($B193&lt;&gt;"Entry","",IF(OR(X193="Individual",X193="HUF"),SUMPRODUCT(('Rate Master'!$D$2:$D$50=(Y193&amp;"|"&amp;$B$2))*'Rate Master'!$E$2:$E$50),SUMPRODUCT(('Rate Master'!$D$2:$D$50=(Y193&amp;"|"&amp;$B$2))*'Rate Master'!$F$2:$F$50))),"")</f>
      </c>
      <c r="AB193" s="29"/>
      <c r="AC193" s="30"/>
      <c r="AD193" s="31"/>
      <c r="AE193" s="26">
        <f>IF($B193&lt;&gt;"Entry","",ROUND(AD193*AB193/100,0))</f>
      </c>
      <c r="AF193" s="31"/>
      <c r="AG193" s="31"/>
      <c r="AH193" s="26">
        <f>IF($B193&lt;&gt;"Entry","",IF(OR(AE193=0,AC193="",AS193="",AS193&lt;=0),0,IF(AS193&lt;=DATE(YEAR(AC193),MONTH(AC193)+1,7),0,ROUND(AE193*0.015*((YEAR(AS193)-YEAR(AC193))*12+(MONTH(AS193)-MONTH(AC193))+1),0))))</f>
      </c>
      <c r="AI193" s="31"/>
      <c r="AJ193" s="27"/>
      <c r="AK193" s="27"/>
      <c r="AL193" s="29"/>
      <c r="AM193" s="27"/>
      <c r="AN193" s="27"/>
      <c r="AO193" s="26">
        <f>IF($B193&lt;&gt;"Challan","",SUMIF($C$8:$C$207,$C193,$AE$8:$AE$207)+SUMIF($C$8:$C$207,$C193,$AH$8:$AH$207)+SUMIF($C$8:$C$207,$C193,$AF$8:$AF$207))</f>
      </c>
      <c r="AP193" s="26">
        <f>IF($B193&lt;&gt;"Challan","",O193-M193)</f>
      </c>
      <c r="AQ193" s="26">
        <f>IF($B193&lt;&gt;"Challan","",MAX(0,AP193-AO193))</f>
      </c>
      <c r="AR193" s="32">
        <f>IF($B193&lt;&gt;"Challan","",IF(ROUND(AO193-AP193,2)&gt;0,"Over-applied",IF(ROUND(AO193-AP193,2)=0,"Fully Utilised","Unconsumed")))</f>
      </c>
      <c r="AS193" s="33">
        <f>IF($B193&lt;&gt;"Entry","",SUMPRODUCT(($C$8:$C$207=$C193)*($B$8:$B$207="Challan")*$F$8:$F$207))</f>
      </c>
    </row>
    <row r="194" spans="1:45" x14ac:dyDescent="0.25">
      <c r="A194" s="19">
        <f>IF($B194="Entry",COUNTIF($B$8:$B194,"Entry"),"")</f>
      </c>
      <c r="B194" s="20"/>
      <c r="C194" s="21"/>
      <c r="D194" s="22"/>
      <c r="E194" s="22"/>
      <c r="F194" s="23"/>
      <c r="G194" s="24"/>
      <c r="H194" s="25"/>
      <c r="I194" s="25"/>
      <c r="J194" s="25"/>
      <c r="K194" s="25"/>
      <c r="L194" s="25"/>
      <c r="M194" s="25"/>
      <c r="N194" s="25"/>
      <c r="O194" s="26">
        <f>IF($B194&lt;&gt;"Challan","",H194+I194+J194+K194+L194+M194)</f>
      </c>
      <c r="P194" s="24"/>
      <c r="Q194" s="24"/>
      <c r="R194" s="24"/>
      <c r="S194" s="24"/>
      <c r="T194" s="24"/>
      <c r="U194" s="27"/>
      <c r="V194" s="27"/>
      <c r="W194" s="27"/>
      <c r="X194" s="27"/>
      <c r="Y194" s="27"/>
      <c r="Z194" s="28">
        <f>IFERROR(IF($B194&lt;&gt;"Entry","",IF(W194="Y",SUMPRODUCT(('Rate Master'!$D$2:$D$50=(Y194&amp;"|"&amp;$B$2))*'Rate Master'!$I$2:$I$50),IF(OR(X194="Individual",X194="HUF"),SUMPRODUCT(('Rate Master'!$D$2:$D$50=(Y194&amp;"|"&amp;$B$2))*'Rate Master'!$G$2:$G$50),SUMPRODUCT(('Rate Master'!$D$2:$D$50=(Y194&amp;"|"&amp;$B$2))*'Rate Master'!$H$2:$H$50)))),"")</f>
      </c>
      <c r="AA194" s="26">
        <f>IFERROR(IF($B194&lt;&gt;"Entry","",IF(OR(X194="Individual",X194="HUF"),SUMPRODUCT(('Rate Master'!$D$2:$D$50=(Y194&amp;"|"&amp;$B$2))*'Rate Master'!$E$2:$E$50),SUMPRODUCT(('Rate Master'!$D$2:$D$50=(Y194&amp;"|"&amp;$B$2))*'Rate Master'!$F$2:$F$50))),"")</f>
      </c>
      <c r="AB194" s="29"/>
      <c r="AC194" s="30"/>
      <c r="AD194" s="31"/>
      <c r="AE194" s="26">
        <f>IF($B194&lt;&gt;"Entry","",ROUND(AD194*AB194/100,0))</f>
      </c>
      <c r="AF194" s="31"/>
      <c r="AG194" s="31"/>
      <c r="AH194" s="26">
        <f>IF($B194&lt;&gt;"Entry","",IF(OR(AE194=0,AC194="",AS194="",AS194&lt;=0),0,IF(AS194&lt;=DATE(YEAR(AC194),MONTH(AC194)+1,7),0,ROUND(AE194*0.015*((YEAR(AS194)-YEAR(AC194))*12+(MONTH(AS194)-MONTH(AC194))+1),0))))</f>
      </c>
      <c r="AI194" s="31"/>
      <c r="AJ194" s="27"/>
      <c r="AK194" s="27"/>
      <c r="AL194" s="29"/>
      <c r="AM194" s="27"/>
      <c r="AN194" s="27"/>
      <c r="AO194" s="26">
        <f>IF($B194&lt;&gt;"Challan","",SUMIF($C$8:$C$207,$C194,$AE$8:$AE$207)+SUMIF($C$8:$C$207,$C194,$AH$8:$AH$207)+SUMIF($C$8:$C$207,$C194,$AF$8:$AF$207))</f>
      </c>
      <c r="AP194" s="26">
        <f>IF($B194&lt;&gt;"Challan","",O194-M194)</f>
      </c>
      <c r="AQ194" s="26">
        <f>IF($B194&lt;&gt;"Challan","",MAX(0,AP194-AO194))</f>
      </c>
      <c r="AR194" s="32">
        <f>IF($B194&lt;&gt;"Challan","",IF(ROUND(AO194-AP194,2)&gt;0,"Over-applied",IF(ROUND(AO194-AP194,2)=0,"Fully Utilised","Unconsumed")))</f>
      </c>
      <c r="AS194" s="33">
        <f>IF($B194&lt;&gt;"Entry","",SUMPRODUCT(($C$8:$C$207=$C194)*($B$8:$B$207="Challan")*$F$8:$F$207))</f>
      </c>
    </row>
    <row r="195" spans="1:45" x14ac:dyDescent="0.25">
      <c r="A195" s="19">
        <f>IF($B195="Entry",COUNTIF($B$8:$B195,"Entry"),"")</f>
      </c>
      <c r="B195" s="20"/>
      <c r="C195" s="21"/>
      <c r="D195" s="22"/>
      <c r="E195" s="22"/>
      <c r="F195" s="23"/>
      <c r="G195" s="24"/>
      <c r="H195" s="25"/>
      <c r="I195" s="25"/>
      <c r="J195" s="25"/>
      <c r="K195" s="25"/>
      <c r="L195" s="25"/>
      <c r="M195" s="25"/>
      <c r="N195" s="25"/>
      <c r="O195" s="26">
        <f>IF($B195&lt;&gt;"Challan","",H195+I195+J195+K195+L195+M195)</f>
      </c>
      <c r="P195" s="24"/>
      <c r="Q195" s="24"/>
      <c r="R195" s="24"/>
      <c r="S195" s="24"/>
      <c r="T195" s="24"/>
      <c r="U195" s="27"/>
      <c r="V195" s="27"/>
      <c r="W195" s="27"/>
      <c r="X195" s="27"/>
      <c r="Y195" s="27"/>
      <c r="Z195" s="28">
        <f>IFERROR(IF($B195&lt;&gt;"Entry","",IF(W195="Y",SUMPRODUCT(('Rate Master'!$D$2:$D$50=(Y195&amp;"|"&amp;$B$2))*'Rate Master'!$I$2:$I$50),IF(OR(X195="Individual",X195="HUF"),SUMPRODUCT(('Rate Master'!$D$2:$D$50=(Y195&amp;"|"&amp;$B$2))*'Rate Master'!$G$2:$G$50),SUMPRODUCT(('Rate Master'!$D$2:$D$50=(Y195&amp;"|"&amp;$B$2))*'Rate Master'!$H$2:$H$50)))),"")</f>
      </c>
      <c r="AA195" s="26">
        <f>IFERROR(IF($B195&lt;&gt;"Entry","",IF(OR(X195="Individual",X195="HUF"),SUMPRODUCT(('Rate Master'!$D$2:$D$50=(Y195&amp;"|"&amp;$B$2))*'Rate Master'!$E$2:$E$50),SUMPRODUCT(('Rate Master'!$D$2:$D$50=(Y195&amp;"|"&amp;$B$2))*'Rate Master'!$F$2:$F$50))),"")</f>
      </c>
      <c r="AB195" s="29"/>
      <c r="AC195" s="30"/>
      <c r="AD195" s="31"/>
      <c r="AE195" s="26">
        <f>IF($B195&lt;&gt;"Entry","",ROUND(AD195*AB195/100,0))</f>
      </c>
      <c r="AF195" s="31"/>
      <c r="AG195" s="31"/>
      <c r="AH195" s="26">
        <f>IF($B195&lt;&gt;"Entry","",IF(OR(AE195=0,AC195="",AS195="",AS195&lt;=0),0,IF(AS195&lt;=DATE(YEAR(AC195),MONTH(AC195)+1,7),0,ROUND(AE195*0.015*((YEAR(AS195)-YEAR(AC195))*12+(MONTH(AS195)-MONTH(AC195))+1),0))))</f>
      </c>
      <c r="AI195" s="31"/>
      <c r="AJ195" s="27"/>
      <c r="AK195" s="27"/>
      <c r="AL195" s="29"/>
      <c r="AM195" s="27"/>
      <c r="AN195" s="27"/>
      <c r="AO195" s="26">
        <f>IF($B195&lt;&gt;"Challan","",SUMIF($C$8:$C$207,$C195,$AE$8:$AE$207)+SUMIF($C$8:$C$207,$C195,$AH$8:$AH$207)+SUMIF($C$8:$C$207,$C195,$AF$8:$AF$207))</f>
      </c>
      <c r="AP195" s="26">
        <f>IF($B195&lt;&gt;"Challan","",O195-M195)</f>
      </c>
      <c r="AQ195" s="26">
        <f>IF($B195&lt;&gt;"Challan","",MAX(0,AP195-AO195))</f>
      </c>
      <c r="AR195" s="32">
        <f>IF($B195&lt;&gt;"Challan","",IF(ROUND(AO195-AP195,2)&gt;0,"Over-applied",IF(ROUND(AO195-AP195,2)=0,"Fully Utilised","Unconsumed")))</f>
      </c>
      <c r="AS195" s="33">
        <f>IF($B195&lt;&gt;"Entry","",SUMPRODUCT(($C$8:$C$207=$C195)*($B$8:$B$207="Challan")*$F$8:$F$207))</f>
      </c>
    </row>
    <row r="196" spans="1:45" x14ac:dyDescent="0.25">
      <c r="A196" s="19">
        <f>IF($B196="Entry",COUNTIF($B$8:$B196,"Entry"),"")</f>
      </c>
      <c r="B196" s="20"/>
      <c r="C196" s="21"/>
      <c r="D196" s="22"/>
      <c r="E196" s="22"/>
      <c r="F196" s="23"/>
      <c r="G196" s="24"/>
      <c r="H196" s="25"/>
      <c r="I196" s="25"/>
      <c r="J196" s="25"/>
      <c r="K196" s="25"/>
      <c r="L196" s="25"/>
      <c r="M196" s="25"/>
      <c r="N196" s="25"/>
      <c r="O196" s="26">
        <f>IF($B196&lt;&gt;"Challan","",H196+I196+J196+K196+L196+M196)</f>
      </c>
      <c r="P196" s="24"/>
      <c r="Q196" s="24"/>
      <c r="R196" s="24"/>
      <c r="S196" s="24"/>
      <c r="T196" s="24"/>
      <c r="U196" s="27"/>
      <c r="V196" s="27"/>
      <c r="W196" s="27"/>
      <c r="X196" s="27"/>
      <c r="Y196" s="27"/>
      <c r="Z196" s="28">
        <f>IFERROR(IF($B196&lt;&gt;"Entry","",IF(W196="Y",SUMPRODUCT(('Rate Master'!$D$2:$D$50=(Y196&amp;"|"&amp;$B$2))*'Rate Master'!$I$2:$I$50),IF(OR(X196="Individual",X196="HUF"),SUMPRODUCT(('Rate Master'!$D$2:$D$50=(Y196&amp;"|"&amp;$B$2))*'Rate Master'!$G$2:$G$50),SUMPRODUCT(('Rate Master'!$D$2:$D$50=(Y196&amp;"|"&amp;$B$2))*'Rate Master'!$H$2:$H$50)))),"")</f>
      </c>
      <c r="AA196" s="26">
        <f>IFERROR(IF($B196&lt;&gt;"Entry","",IF(OR(X196="Individual",X196="HUF"),SUMPRODUCT(('Rate Master'!$D$2:$D$50=(Y196&amp;"|"&amp;$B$2))*'Rate Master'!$E$2:$E$50),SUMPRODUCT(('Rate Master'!$D$2:$D$50=(Y196&amp;"|"&amp;$B$2))*'Rate Master'!$F$2:$F$50))),"")</f>
      </c>
      <c r="AB196" s="29"/>
      <c r="AC196" s="30"/>
      <c r="AD196" s="31"/>
      <c r="AE196" s="26">
        <f>IF($B196&lt;&gt;"Entry","",ROUND(AD196*AB196/100,0))</f>
      </c>
      <c r="AF196" s="31"/>
      <c r="AG196" s="31"/>
      <c r="AH196" s="26">
        <f>IF($B196&lt;&gt;"Entry","",IF(OR(AE196=0,AC196="",AS196="",AS196&lt;=0),0,IF(AS196&lt;=DATE(YEAR(AC196),MONTH(AC196)+1,7),0,ROUND(AE196*0.015*((YEAR(AS196)-YEAR(AC196))*12+(MONTH(AS196)-MONTH(AC196))+1),0))))</f>
      </c>
      <c r="AI196" s="31"/>
      <c r="AJ196" s="27"/>
      <c r="AK196" s="27"/>
      <c r="AL196" s="29"/>
      <c r="AM196" s="27"/>
      <c r="AN196" s="27"/>
      <c r="AO196" s="26">
        <f>IF($B196&lt;&gt;"Challan","",SUMIF($C$8:$C$207,$C196,$AE$8:$AE$207)+SUMIF($C$8:$C$207,$C196,$AH$8:$AH$207)+SUMIF($C$8:$C$207,$C196,$AF$8:$AF$207))</f>
      </c>
      <c r="AP196" s="26">
        <f>IF($B196&lt;&gt;"Challan","",O196-M196)</f>
      </c>
      <c r="AQ196" s="26">
        <f>IF($B196&lt;&gt;"Challan","",MAX(0,AP196-AO196))</f>
      </c>
      <c r="AR196" s="32">
        <f>IF($B196&lt;&gt;"Challan","",IF(ROUND(AO196-AP196,2)&gt;0,"Over-applied",IF(ROUND(AO196-AP196,2)=0,"Fully Utilised","Unconsumed")))</f>
      </c>
      <c r="AS196" s="33">
        <f>IF($B196&lt;&gt;"Entry","",SUMPRODUCT(($C$8:$C$207=$C196)*($B$8:$B$207="Challan")*$F$8:$F$207))</f>
      </c>
    </row>
    <row r="197" spans="1:45" x14ac:dyDescent="0.25">
      <c r="A197" s="19">
        <f>IF($B197="Entry",COUNTIF($B$8:$B197,"Entry"),"")</f>
      </c>
      <c r="B197" s="20"/>
      <c r="C197" s="21"/>
      <c r="D197" s="22"/>
      <c r="E197" s="22"/>
      <c r="F197" s="23"/>
      <c r="G197" s="24"/>
      <c r="H197" s="25"/>
      <c r="I197" s="25"/>
      <c r="J197" s="25"/>
      <c r="K197" s="25"/>
      <c r="L197" s="25"/>
      <c r="M197" s="25"/>
      <c r="N197" s="25"/>
      <c r="O197" s="26">
        <f>IF($B197&lt;&gt;"Challan","",H197+I197+J197+K197+L197+M197)</f>
      </c>
      <c r="P197" s="24"/>
      <c r="Q197" s="24"/>
      <c r="R197" s="24"/>
      <c r="S197" s="24"/>
      <c r="T197" s="24"/>
      <c r="U197" s="27"/>
      <c r="V197" s="27"/>
      <c r="W197" s="27"/>
      <c r="X197" s="27"/>
      <c r="Y197" s="27"/>
      <c r="Z197" s="28">
        <f>IFERROR(IF($B197&lt;&gt;"Entry","",IF(W197="Y",SUMPRODUCT(('Rate Master'!$D$2:$D$50=(Y197&amp;"|"&amp;$B$2))*'Rate Master'!$I$2:$I$50),IF(OR(X197="Individual",X197="HUF"),SUMPRODUCT(('Rate Master'!$D$2:$D$50=(Y197&amp;"|"&amp;$B$2))*'Rate Master'!$G$2:$G$50),SUMPRODUCT(('Rate Master'!$D$2:$D$50=(Y197&amp;"|"&amp;$B$2))*'Rate Master'!$H$2:$H$50)))),"")</f>
      </c>
      <c r="AA197" s="26">
        <f>IFERROR(IF($B197&lt;&gt;"Entry","",IF(OR(X197="Individual",X197="HUF"),SUMPRODUCT(('Rate Master'!$D$2:$D$50=(Y197&amp;"|"&amp;$B$2))*'Rate Master'!$E$2:$E$50),SUMPRODUCT(('Rate Master'!$D$2:$D$50=(Y197&amp;"|"&amp;$B$2))*'Rate Master'!$F$2:$F$50))),"")</f>
      </c>
      <c r="AB197" s="29"/>
      <c r="AC197" s="30"/>
      <c r="AD197" s="31"/>
      <c r="AE197" s="26">
        <f>IF($B197&lt;&gt;"Entry","",ROUND(AD197*AB197/100,0))</f>
      </c>
      <c r="AF197" s="31"/>
      <c r="AG197" s="31"/>
      <c r="AH197" s="26">
        <f>IF($B197&lt;&gt;"Entry","",IF(OR(AE197=0,AC197="",AS197="",AS197&lt;=0),0,IF(AS197&lt;=DATE(YEAR(AC197),MONTH(AC197)+1,7),0,ROUND(AE197*0.015*((YEAR(AS197)-YEAR(AC197))*12+(MONTH(AS197)-MONTH(AC197))+1),0))))</f>
      </c>
      <c r="AI197" s="31"/>
      <c r="AJ197" s="27"/>
      <c r="AK197" s="27"/>
      <c r="AL197" s="29"/>
      <c r="AM197" s="27"/>
      <c r="AN197" s="27"/>
      <c r="AO197" s="26">
        <f>IF($B197&lt;&gt;"Challan","",SUMIF($C$8:$C$207,$C197,$AE$8:$AE$207)+SUMIF($C$8:$C$207,$C197,$AH$8:$AH$207)+SUMIF($C$8:$C$207,$C197,$AF$8:$AF$207))</f>
      </c>
      <c r="AP197" s="26">
        <f>IF($B197&lt;&gt;"Challan","",O197-M197)</f>
      </c>
      <c r="AQ197" s="26">
        <f>IF($B197&lt;&gt;"Challan","",MAX(0,AP197-AO197))</f>
      </c>
      <c r="AR197" s="32">
        <f>IF($B197&lt;&gt;"Challan","",IF(ROUND(AO197-AP197,2)&gt;0,"Over-applied",IF(ROUND(AO197-AP197,2)=0,"Fully Utilised","Unconsumed")))</f>
      </c>
      <c r="AS197" s="33">
        <f>IF($B197&lt;&gt;"Entry","",SUMPRODUCT(($C$8:$C$207=$C197)*($B$8:$B$207="Challan")*$F$8:$F$207))</f>
      </c>
    </row>
    <row r="198" spans="1:45" x14ac:dyDescent="0.25">
      <c r="A198" s="19">
        <f>IF($B198="Entry",COUNTIF($B$8:$B198,"Entry"),"")</f>
      </c>
      <c r="B198" s="20"/>
      <c r="C198" s="21"/>
      <c r="D198" s="22"/>
      <c r="E198" s="22"/>
      <c r="F198" s="23"/>
      <c r="G198" s="24"/>
      <c r="H198" s="25"/>
      <c r="I198" s="25"/>
      <c r="J198" s="25"/>
      <c r="K198" s="25"/>
      <c r="L198" s="25"/>
      <c r="M198" s="25"/>
      <c r="N198" s="25"/>
      <c r="O198" s="26">
        <f>IF($B198&lt;&gt;"Challan","",H198+I198+J198+K198+L198+M198)</f>
      </c>
      <c r="P198" s="24"/>
      <c r="Q198" s="24"/>
      <c r="R198" s="24"/>
      <c r="S198" s="24"/>
      <c r="T198" s="24"/>
      <c r="U198" s="27"/>
      <c r="V198" s="27"/>
      <c r="W198" s="27"/>
      <c r="X198" s="27"/>
      <c r="Y198" s="27"/>
      <c r="Z198" s="28">
        <f>IFERROR(IF($B198&lt;&gt;"Entry","",IF(W198="Y",SUMPRODUCT(('Rate Master'!$D$2:$D$50=(Y198&amp;"|"&amp;$B$2))*'Rate Master'!$I$2:$I$50),IF(OR(X198="Individual",X198="HUF"),SUMPRODUCT(('Rate Master'!$D$2:$D$50=(Y198&amp;"|"&amp;$B$2))*'Rate Master'!$G$2:$G$50),SUMPRODUCT(('Rate Master'!$D$2:$D$50=(Y198&amp;"|"&amp;$B$2))*'Rate Master'!$H$2:$H$50)))),"")</f>
      </c>
      <c r="AA198" s="26">
        <f>IFERROR(IF($B198&lt;&gt;"Entry","",IF(OR(X198="Individual",X198="HUF"),SUMPRODUCT(('Rate Master'!$D$2:$D$50=(Y198&amp;"|"&amp;$B$2))*'Rate Master'!$E$2:$E$50),SUMPRODUCT(('Rate Master'!$D$2:$D$50=(Y198&amp;"|"&amp;$B$2))*'Rate Master'!$F$2:$F$50))),"")</f>
      </c>
      <c r="AB198" s="29"/>
      <c r="AC198" s="30"/>
      <c r="AD198" s="31"/>
      <c r="AE198" s="26">
        <f>IF($B198&lt;&gt;"Entry","",ROUND(AD198*AB198/100,0))</f>
      </c>
      <c r="AF198" s="31"/>
      <c r="AG198" s="31"/>
      <c r="AH198" s="26">
        <f>IF($B198&lt;&gt;"Entry","",IF(OR(AE198=0,AC198="",AS198="",AS198&lt;=0),0,IF(AS198&lt;=DATE(YEAR(AC198),MONTH(AC198)+1,7),0,ROUND(AE198*0.015*((YEAR(AS198)-YEAR(AC198))*12+(MONTH(AS198)-MONTH(AC198))+1),0))))</f>
      </c>
      <c r="AI198" s="31"/>
      <c r="AJ198" s="27"/>
      <c r="AK198" s="27"/>
      <c r="AL198" s="29"/>
      <c r="AM198" s="27"/>
      <c r="AN198" s="27"/>
      <c r="AO198" s="26">
        <f>IF($B198&lt;&gt;"Challan","",SUMIF($C$8:$C$207,$C198,$AE$8:$AE$207)+SUMIF($C$8:$C$207,$C198,$AH$8:$AH$207)+SUMIF($C$8:$C$207,$C198,$AF$8:$AF$207))</f>
      </c>
      <c r="AP198" s="26">
        <f>IF($B198&lt;&gt;"Challan","",O198-M198)</f>
      </c>
      <c r="AQ198" s="26">
        <f>IF($B198&lt;&gt;"Challan","",MAX(0,AP198-AO198))</f>
      </c>
      <c r="AR198" s="32">
        <f>IF($B198&lt;&gt;"Challan","",IF(ROUND(AO198-AP198,2)&gt;0,"Over-applied",IF(ROUND(AO198-AP198,2)=0,"Fully Utilised","Unconsumed")))</f>
      </c>
      <c r="AS198" s="33">
        <f>IF($B198&lt;&gt;"Entry","",SUMPRODUCT(($C$8:$C$207=$C198)*($B$8:$B$207="Challan")*$F$8:$F$207))</f>
      </c>
    </row>
    <row r="199" spans="1:45" x14ac:dyDescent="0.25">
      <c r="A199" s="19">
        <f>IF($B199="Entry",COUNTIF($B$8:$B199,"Entry"),"")</f>
      </c>
      <c r="B199" s="20"/>
      <c r="C199" s="21"/>
      <c r="D199" s="22"/>
      <c r="E199" s="22"/>
      <c r="F199" s="23"/>
      <c r="G199" s="24"/>
      <c r="H199" s="25"/>
      <c r="I199" s="25"/>
      <c r="J199" s="25"/>
      <c r="K199" s="25"/>
      <c r="L199" s="25"/>
      <c r="M199" s="25"/>
      <c r="N199" s="25"/>
      <c r="O199" s="26">
        <f>IF($B199&lt;&gt;"Challan","",H199+I199+J199+K199+L199+M199)</f>
      </c>
      <c r="P199" s="24"/>
      <c r="Q199" s="24"/>
      <c r="R199" s="24"/>
      <c r="S199" s="24"/>
      <c r="T199" s="24"/>
      <c r="U199" s="27"/>
      <c r="V199" s="27"/>
      <c r="W199" s="27"/>
      <c r="X199" s="27"/>
      <c r="Y199" s="27"/>
      <c r="Z199" s="28">
        <f>IFERROR(IF($B199&lt;&gt;"Entry","",IF(W199="Y",SUMPRODUCT(('Rate Master'!$D$2:$D$50=(Y199&amp;"|"&amp;$B$2))*'Rate Master'!$I$2:$I$50),IF(OR(X199="Individual",X199="HUF"),SUMPRODUCT(('Rate Master'!$D$2:$D$50=(Y199&amp;"|"&amp;$B$2))*'Rate Master'!$G$2:$G$50),SUMPRODUCT(('Rate Master'!$D$2:$D$50=(Y199&amp;"|"&amp;$B$2))*'Rate Master'!$H$2:$H$50)))),"")</f>
      </c>
      <c r="AA199" s="26">
        <f>IFERROR(IF($B199&lt;&gt;"Entry","",IF(OR(X199="Individual",X199="HUF"),SUMPRODUCT(('Rate Master'!$D$2:$D$50=(Y199&amp;"|"&amp;$B$2))*'Rate Master'!$E$2:$E$50),SUMPRODUCT(('Rate Master'!$D$2:$D$50=(Y199&amp;"|"&amp;$B$2))*'Rate Master'!$F$2:$F$50))),"")</f>
      </c>
      <c r="AB199" s="29"/>
      <c r="AC199" s="30"/>
      <c r="AD199" s="31"/>
      <c r="AE199" s="26">
        <f>IF($B199&lt;&gt;"Entry","",ROUND(AD199*AB199/100,0))</f>
      </c>
      <c r="AF199" s="31"/>
      <c r="AG199" s="31"/>
      <c r="AH199" s="26">
        <f>IF($B199&lt;&gt;"Entry","",IF(OR(AE199=0,AC199="",AS199="",AS199&lt;=0),0,IF(AS199&lt;=DATE(YEAR(AC199),MONTH(AC199)+1,7),0,ROUND(AE199*0.015*((YEAR(AS199)-YEAR(AC199))*12+(MONTH(AS199)-MONTH(AC199))+1),0))))</f>
      </c>
      <c r="AI199" s="31"/>
      <c r="AJ199" s="27"/>
      <c r="AK199" s="27"/>
      <c r="AL199" s="29"/>
      <c r="AM199" s="27"/>
      <c r="AN199" s="27"/>
      <c r="AO199" s="26">
        <f>IF($B199&lt;&gt;"Challan","",SUMIF($C$8:$C$207,$C199,$AE$8:$AE$207)+SUMIF($C$8:$C$207,$C199,$AH$8:$AH$207)+SUMIF($C$8:$C$207,$C199,$AF$8:$AF$207))</f>
      </c>
      <c r="AP199" s="26">
        <f>IF($B199&lt;&gt;"Challan","",O199-M199)</f>
      </c>
      <c r="AQ199" s="26">
        <f>IF($B199&lt;&gt;"Challan","",MAX(0,AP199-AO199))</f>
      </c>
      <c r="AR199" s="32">
        <f>IF($B199&lt;&gt;"Challan","",IF(ROUND(AO199-AP199,2)&gt;0,"Over-applied",IF(ROUND(AO199-AP199,2)=0,"Fully Utilised","Unconsumed")))</f>
      </c>
      <c r="AS199" s="33">
        <f>IF($B199&lt;&gt;"Entry","",SUMPRODUCT(($C$8:$C$207=$C199)*($B$8:$B$207="Challan")*$F$8:$F$207))</f>
      </c>
    </row>
    <row r="200" spans="1:45" x14ac:dyDescent="0.25">
      <c r="A200" s="19">
        <f>IF($B200="Entry",COUNTIF($B$8:$B200,"Entry"),"")</f>
      </c>
      <c r="B200" s="20"/>
      <c r="C200" s="21"/>
      <c r="D200" s="22"/>
      <c r="E200" s="22"/>
      <c r="F200" s="23"/>
      <c r="G200" s="24"/>
      <c r="H200" s="25"/>
      <c r="I200" s="25"/>
      <c r="J200" s="25"/>
      <c r="K200" s="25"/>
      <c r="L200" s="25"/>
      <c r="M200" s="25"/>
      <c r="N200" s="25"/>
      <c r="O200" s="26">
        <f>IF($B200&lt;&gt;"Challan","",H200+I200+J200+K200+L200+M200)</f>
      </c>
      <c r="P200" s="24"/>
      <c r="Q200" s="24"/>
      <c r="R200" s="24"/>
      <c r="S200" s="24"/>
      <c r="T200" s="24"/>
      <c r="U200" s="27"/>
      <c r="V200" s="27"/>
      <c r="W200" s="27"/>
      <c r="X200" s="27"/>
      <c r="Y200" s="27"/>
      <c r="Z200" s="28">
        <f>IFERROR(IF($B200&lt;&gt;"Entry","",IF(W200="Y",SUMPRODUCT(('Rate Master'!$D$2:$D$50=(Y200&amp;"|"&amp;$B$2))*'Rate Master'!$I$2:$I$50),IF(OR(X200="Individual",X200="HUF"),SUMPRODUCT(('Rate Master'!$D$2:$D$50=(Y200&amp;"|"&amp;$B$2))*'Rate Master'!$G$2:$G$50),SUMPRODUCT(('Rate Master'!$D$2:$D$50=(Y200&amp;"|"&amp;$B$2))*'Rate Master'!$H$2:$H$50)))),"")</f>
      </c>
      <c r="AA200" s="26">
        <f>IFERROR(IF($B200&lt;&gt;"Entry","",IF(OR(X200="Individual",X200="HUF"),SUMPRODUCT(('Rate Master'!$D$2:$D$50=(Y200&amp;"|"&amp;$B$2))*'Rate Master'!$E$2:$E$50),SUMPRODUCT(('Rate Master'!$D$2:$D$50=(Y200&amp;"|"&amp;$B$2))*'Rate Master'!$F$2:$F$50))),"")</f>
      </c>
      <c r="AB200" s="29"/>
      <c r="AC200" s="30"/>
      <c r="AD200" s="31"/>
      <c r="AE200" s="26">
        <f>IF($B200&lt;&gt;"Entry","",ROUND(AD200*AB200/100,0))</f>
      </c>
      <c r="AF200" s="31"/>
      <c r="AG200" s="31"/>
      <c r="AH200" s="26">
        <f>IF($B200&lt;&gt;"Entry","",IF(OR(AE200=0,AC200="",AS200="",AS200&lt;=0),0,IF(AS200&lt;=DATE(YEAR(AC200),MONTH(AC200)+1,7),0,ROUND(AE200*0.015*((YEAR(AS200)-YEAR(AC200))*12+(MONTH(AS200)-MONTH(AC200))+1),0))))</f>
      </c>
      <c r="AI200" s="31"/>
      <c r="AJ200" s="27"/>
      <c r="AK200" s="27"/>
      <c r="AL200" s="29"/>
      <c r="AM200" s="27"/>
      <c r="AN200" s="27"/>
      <c r="AO200" s="26">
        <f>IF($B200&lt;&gt;"Challan","",SUMIF($C$8:$C$207,$C200,$AE$8:$AE$207)+SUMIF($C$8:$C$207,$C200,$AH$8:$AH$207)+SUMIF($C$8:$C$207,$C200,$AF$8:$AF$207))</f>
      </c>
      <c r="AP200" s="26">
        <f>IF($B200&lt;&gt;"Challan","",O200-M200)</f>
      </c>
      <c r="AQ200" s="26">
        <f>IF($B200&lt;&gt;"Challan","",MAX(0,AP200-AO200))</f>
      </c>
      <c r="AR200" s="32">
        <f>IF($B200&lt;&gt;"Challan","",IF(ROUND(AO200-AP200,2)&gt;0,"Over-applied",IF(ROUND(AO200-AP200,2)=0,"Fully Utilised","Unconsumed")))</f>
      </c>
      <c r="AS200" s="33">
        <f>IF($B200&lt;&gt;"Entry","",SUMPRODUCT(($C$8:$C$207=$C200)*($B$8:$B$207="Challan")*$F$8:$F$207))</f>
      </c>
    </row>
    <row r="201" spans="1:45" x14ac:dyDescent="0.25">
      <c r="A201" s="19">
        <f>IF($B201="Entry",COUNTIF($B$8:$B201,"Entry"),"")</f>
      </c>
      <c r="B201" s="20"/>
      <c r="C201" s="21"/>
      <c r="D201" s="22"/>
      <c r="E201" s="22"/>
      <c r="F201" s="23"/>
      <c r="G201" s="24"/>
      <c r="H201" s="25"/>
      <c r="I201" s="25"/>
      <c r="J201" s="25"/>
      <c r="K201" s="25"/>
      <c r="L201" s="25"/>
      <c r="M201" s="25"/>
      <c r="N201" s="25"/>
      <c r="O201" s="26">
        <f>IF($B201&lt;&gt;"Challan","",H201+I201+J201+K201+L201+M201)</f>
      </c>
      <c r="P201" s="24"/>
      <c r="Q201" s="24"/>
      <c r="R201" s="24"/>
      <c r="S201" s="24"/>
      <c r="T201" s="24"/>
      <c r="U201" s="27"/>
      <c r="V201" s="27"/>
      <c r="W201" s="27"/>
      <c r="X201" s="27"/>
      <c r="Y201" s="27"/>
      <c r="Z201" s="28">
        <f>IFERROR(IF($B201&lt;&gt;"Entry","",IF(W201="Y",SUMPRODUCT(('Rate Master'!$D$2:$D$50=(Y201&amp;"|"&amp;$B$2))*'Rate Master'!$I$2:$I$50),IF(OR(X201="Individual",X201="HUF"),SUMPRODUCT(('Rate Master'!$D$2:$D$50=(Y201&amp;"|"&amp;$B$2))*'Rate Master'!$G$2:$G$50),SUMPRODUCT(('Rate Master'!$D$2:$D$50=(Y201&amp;"|"&amp;$B$2))*'Rate Master'!$H$2:$H$50)))),"")</f>
      </c>
      <c r="AA201" s="26">
        <f>IFERROR(IF($B201&lt;&gt;"Entry","",IF(OR(X201="Individual",X201="HUF"),SUMPRODUCT(('Rate Master'!$D$2:$D$50=(Y201&amp;"|"&amp;$B$2))*'Rate Master'!$E$2:$E$50),SUMPRODUCT(('Rate Master'!$D$2:$D$50=(Y201&amp;"|"&amp;$B$2))*'Rate Master'!$F$2:$F$50))),"")</f>
      </c>
      <c r="AB201" s="29"/>
      <c r="AC201" s="30"/>
      <c r="AD201" s="31"/>
      <c r="AE201" s="26">
        <f>IF($B201&lt;&gt;"Entry","",ROUND(AD201*AB201/100,0))</f>
      </c>
      <c r="AF201" s="31"/>
      <c r="AG201" s="31"/>
      <c r="AH201" s="26">
        <f>IF($B201&lt;&gt;"Entry","",IF(OR(AE201=0,AC201="",AS201="",AS201&lt;=0),0,IF(AS201&lt;=DATE(YEAR(AC201),MONTH(AC201)+1,7),0,ROUND(AE201*0.015*((YEAR(AS201)-YEAR(AC201))*12+(MONTH(AS201)-MONTH(AC201))+1),0))))</f>
      </c>
      <c r="AI201" s="31"/>
      <c r="AJ201" s="27"/>
      <c r="AK201" s="27"/>
      <c r="AL201" s="29"/>
      <c r="AM201" s="27"/>
      <c r="AN201" s="27"/>
      <c r="AO201" s="26">
        <f>IF($B201&lt;&gt;"Challan","",SUMIF($C$8:$C$207,$C201,$AE$8:$AE$207)+SUMIF($C$8:$C$207,$C201,$AH$8:$AH$207)+SUMIF($C$8:$C$207,$C201,$AF$8:$AF$207))</f>
      </c>
      <c r="AP201" s="26">
        <f>IF($B201&lt;&gt;"Challan","",O201-M201)</f>
      </c>
      <c r="AQ201" s="26">
        <f>IF($B201&lt;&gt;"Challan","",MAX(0,AP201-AO201))</f>
      </c>
      <c r="AR201" s="32">
        <f>IF($B201&lt;&gt;"Challan","",IF(ROUND(AO201-AP201,2)&gt;0,"Over-applied",IF(ROUND(AO201-AP201,2)=0,"Fully Utilised","Unconsumed")))</f>
      </c>
      <c r="AS201" s="33">
        <f>IF($B201&lt;&gt;"Entry","",SUMPRODUCT(($C$8:$C$207=$C201)*($B$8:$B$207="Challan")*$F$8:$F$207))</f>
      </c>
    </row>
    <row r="202" spans="1:45" x14ac:dyDescent="0.25">
      <c r="A202" s="19">
        <f>IF($B202="Entry",COUNTIF($B$8:$B202,"Entry"),"")</f>
      </c>
      <c r="B202" s="20"/>
      <c r="C202" s="21"/>
      <c r="D202" s="22"/>
      <c r="E202" s="22"/>
      <c r="F202" s="23"/>
      <c r="G202" s="24"/>
      <c r="H202" s="25"/>
      <c r="I202" s="25"/>
      <c r="J202" s="25"/>
      <c r="K202" s="25"/>
      <c r="L202" s="25"/>
      <c r="M202" s="25"/>
      <c r="N202" s="25"/>
      <c r="O202" s="26">
        <f>IF($B202&lt;&gt;"Challan","",H202+I202+J202+K202+L202+M202)</f>
      </c>
      <c r="P202" s="24"/>
      <c r="Q202" s="24"/>
      <c r="R202" s="24"/>
      <c r="S202" s="24"/>
      <c r="T202" s="24"/>
      <c r="U202" s="27"/>
      <c r="V202" s="27"/>
      <c r="W202" s="27"/>
      <c r="X202" s="27"/>
      <c r="Y202" s="27"/>
      <c r="Z202" s="28">
        <f>IFERROR(IF($B202&lt;&gt;"Entry","",IF(W202="Y",SUMPRODUCT(('Rate Master'!$D$2:$D$50=(Y202&amp;"|"&amp;$B$2))*'Rate Master'!$I$2:$I$50),IF(OR(X202="Individual",X202="HUF"),SUMPRODUCT(('Rate Master'!$D$2:$D$50=(Y202&amp;"|"&amp;$B$2))*'Rate Master'!$G$2:$G$50),SUMPRODUCT(('Rate Master'!$D$2:$D$50=(Y202&amp;"|"&amp;$B$2))*'Rate Master'!$H$2:$H$50)))),"")</f>
      </c>
      <c r="AA202" s="26">
        <f>IFERROR(IF($B202&lt;&gt;"Entry","",IF(OR(X202="Individual",X202="HUF"),SUMPRODUCT(('Rate Master'!$D$2:$D$50=(Y202&amp;"|"&amp;$B$2))*'Rate Master'!$E$2:$E$50),SUMPRODUCT(('Rate Master'!$D$2:$D$50=(Y202&amp;"|"&amp;$B$2))*'Rate Master'!$F$2:$F$50))),"")</f>
      </c>
      <c r="AB202" s="29"/>
      <c r="AC202" s="30"/>
      <c r="AD202" s="31"/>
      <c r="AE202" s="26">
        <f>IF($B202&lt;&gt;"Entry","",ROUND(AD202*AB202/100,0))</f>
      </c>
      <c r="AF202" s="31"/>
      <c r="AG202" s="31"/>
      <c r="AH202" s="26">
        <f>IF($B202&lt;&gt;"Entry","",IF(OR(AE202=0,AC202="",AS202="",AS202&lt;=0),0,IF(AS202&lt;=DATE(YEAR(AC202),MONTH(AC202)+1,7),0,ROUND(AE202*0.015*((YEAR(AS202)-YEAR(AC202))*12+(MONTH(AS202)-MONTH(AC202))+1),0))))</f>
      </c>
      <c r="AI202" s="31"/>
      <c r="AJ202" s="27"/>
      <c r="AK202" s="27"/>
      <c r="AL202" s="29"/>
      <c r="AM202" s="27"/>
      <c r="AN202" s="27"/>
      <c r="AO202" s="26">
        <f>IF($B202&lt;&gt;"Challan","",SUMIF($C$8:$C$207,$C202,$AE$8:$AE$207)+SUMIF($C$8:$C$207,$C202,$AH$8:$AH$207)+SUMIF($C$8:$C$207,$C202,$AF$8:$AF$207))</f>
      </c>
      <c r="AP202" s="26">
        <f>IF($B202&lt;&gt;"Challan","",O202-M202)</f>
      </c>
      <c r="AQ202" s="26">
        <f>IF($B202&lt;&gt;"Challan","",MAX(0,AP202-AO202))</f>
      </c>
      <c r="AR202" s="32">
        <f>IF($B202&lt;&gt;"Challan","",IF(ROUND(AO202-AP202,2)&gt;0,"Over-applied",IF(ROUND(AO202-AP202,2)=0,"Fully Utilised","Unconsumed")))</f>
      </c>
      <c r="AS202" s="33">
        <f>IF($B202&lt;&gt;"Entry","",SUMPRODUCT(($C$8:$C$207=$C202)*($B$8:$B$207="Challan")*$F$8:$F$207))</f>
      </c>
    </row>
    <row r="203" spans="1:45" x14ac:dyDescent="0.25">
      <c r="A203" s="19">
        <f>IF($B203="Entry",COUNTIF($B$8:$B203,"Entry"),"")</f>
      </c>
      <c r="B203" s="20"/>
      <c r="C203" s="21"/>
      <c r="D203" s="22"/>
      <c r="E203" s="22"/>
      <c r="F203" s="23"/>
      <c r="G203" s="24"/>
      <c r="H203" s="25"/>
      <c r="I203" s="25"/>
      <c r="J203" s="25"/>
      <c r="K203" s="25"/>
      <c r="L203" s="25"/>
      <c r="M203" s="25"/>
      <c r="N203" s="25"/>
      <c r="O203" s="26">
        <f>IF($B203&lt;&gt;"Challan","",H203+I203+J203+K203+L203+M203)</f>
      </c>
      <c r="P203" s="24"/>
      <c r="Q203" s="24"/>
      <c r="R203" s="24"/>
      <c r="S203" s="24"/>
      <c r="T203" s="24"/>
      <c r="U203" s="27"/>
      <c r="V203" s="27"/>
      <c r="W203" s="27"/>
      <c r="X203" s="27"/>
      <c r="Y203" s="27"/>
      <c r="Z203" s="28">
        <f>IFERROR(IF($B203&lt;&gt;"Entry","",IF(W203="Y",SUMPRODUCT(('Rate Master'!$D$2:$D$50=(Y203&amp;"|"&amp;$B$2))*'Rate Master'!$I$2:$I$50),IF(OR(X203="Individual",X203="HUF"),SUMPRODUCT(('Rate Master'!$D$2:$D$50=(Y203&amp;"|"&amp;$B$2))*'Rate Master'!$G$2:$G$50),SUMPRODUCT(('Rate Master'!$D$2:$D$50=(Y203&amp;"|"&amp;$B$2))*'Rate Master'!$H$2:$H$50)))),"")</f>
      </c>
      <c r="AA203" s="26">
        <f>IFERROR(IF($B203&lt;&gt;"Entry","",IF(OR(X203="Individual",X203="HUF"),SUMPRODUCT(('Rate Master'!$D$2:$D$50=(Y203&amp;"|"&amp;$B$2))*'Rate Master'!$E$2:$E$50),SUMPRODUCT(('Rate Master'!$D$2:$D$50=(Y203&amp;"|"&amp;$B$2))*'Rate Master'!$F$2:$F$50))),"")</f>
      </c>
      <c r="AB203" s="29"/>
      <c r="AC203" s="30"/>
      <c r="AD203" s="31"/>
      <c r="AE203" s="26">
        <f>IF($B203&lt;&gt;"Entry","",ROUND(AD203*AB203/100,0))</f>
      </c>
      <c r="AF203" s="31"/>
      <c r="AG203" s="31"/>
      <c r="AH203" s="26">
        <f>IF($B203&lt;&gt;"Entry","",IF(OR(AE203=0,AC203="",AS203="",AS203&lt;=0),0,IF(AS203&lt;=DATE(YEAR(AC203),MONTH(AC203)+1,7),0,ROUND(AE203*0.015*((YEAR(AS203)-YEAR(AC203))*12+(MONTH(AS203)-MONTH(AC203))+1),0))))</f>
      </c>
      <c r="AI203" s="31"/>
      <c r="AJ203" s="27"/>
      <c r="AK203" s="27"/>
      <c r="AL203" s="29"/>
      <c r="AM203" s="27"/>
      <c r="AN203" s="27"/>
      <c r="AO203" s="26">
        <f>IF($B203&lt;&gt;"Challan","",SUMIF($C$8:$C$207,$C203,$AE$8:$AE$207)+SUMIF($C$8:$C$207,$C203,$AH$8:$AH$207)+SUMIF($C$8:$C$207,$C203,$AF$8:$AF$207))</f>
      </c>
      <c r="AP203" s="26">
        <f>IF($B203&lt;&gt;"Challan","",O203-M203)</f>
      </c>
      <c r="AQ203" s="26">
        <f>IF($B203&lt;&gt;"Challan","",MAX(0,AP203-AO203))</f>
      </c>
      <c r="AR203" s="32">
        <f>IF($B203&lt;&gt;"Challan","",IF(ROUND(AO203-AP203,2)&gt;0,"Over-applied",IF(ROUND(AO203-AP203,2)=0,"Fully Utilised","Unconsumed")))</f>
      </c>
      <c r="AS203" s="33">
        <f>IF($B203&lt;&gt;"Entry","",SUMPRODUCT(($C$8:$C$207=$C203)*($B$8:$B$207="Challan")*$F$8:$F$207))</f>
      </c>
    </row>
    <row r="204" spans="1:45" x14ac:dyDescent="0.25">
      <c r="A204" s="19">
        <f>IF($B204="Entry",COUNTIF($B$8:$B204,"Entry"),"")</f>
      </c>
      <c r="B204" s="20"/>
      <c r="C204" s="21"/>
      <c r="D204" s="22"/>
      <c r="E204" s="22"/>
      <c r="F204" s="23"/>
      <c r="G204" s="24"/>
      <c r="H204" s="25"/>
      <c r="I204" s="25"/>
      <c r="J204" s="25"/>
      <c r="K204" s="25"/>
      <c r="L204" s="25"/>
      <c r="M204" s="25"/>
      <c r="N204" s="25"/>
      <c r="O204" s="26">
        <f>IF($B204&lt;&gt;"Challan","",H204+I204+J204+K204+L204+M204)</f>
      </c>
      <c r="P204" s="24"/>
      <c r="Q204" s="24"/>
      <c r="R204" s="24"/>
      <c r="S204" s="24"/>
      <c r="T204" s="24"/>
      <c r="U204" s="27"/>
      <c r="V204" s="27"/>
      <c r="W204" s="27"/>
      <c r="X204" s="27"/>
      <c r="Y204" s="27"/>
      <c r="Z204" s="28">
        <f>IFERROR(IF($B204&lt;&gt;"Entry","",IF(W204="Y",SUMPRODUCT(('Rate Master'!$D$2:$D$50=(Y204&amp;"|"&amp;$B$2))*'Rate Master'!$I$2:$I$50),IF(OR(X204="Individual",X204="HUF"),SUMPRODUCT(('Rate Master'!$D$2:$D$50=(Y204&amp;"|"&amp;$B$2))*'Rate Master'!$G$2:$G$50),SUMPRODUCT(('Rate Master'!$D$2:$D$50=(Y204&amp;"|"&amp;$B$2))*'Rate Master'!$H$2:$H$50)))),"")</f>
      </c>
      <c r="AA204" s="26">
        <f>IFERROR(IF($B204&lt;&gt;"Entry","",IF(OR(X204="Individual",X204="HUF"),SUMPRODUCT(('Rate Master'!$D$2:$D$50=(Y204&amp;"|"&amp;$B$2))*'Rate Master'!$E$2:$E$50),SUMPRODUCT(('Rate Master'!$D$2:$D$50=(Y204&amp;"|"&amp;$B$2))*'Rate Master'!$F$2:$F$50))),"")</f>
      </c>
      <c r="AB204" s="29"/>
      <c r="AC204" s="30"/>
      <c r="AD204" s="31"/>
      <c r="AE204" s="26">
        <f>IF($B204&lt;&gt;"Entry","",ROUND(AD204*AB204/100,0))</f>
      </c>
      <c r="AF204" s="31"/>
      <c r="AG204" s="31"/>
      <c r="AH204" s="26">
        <f>IF($B204&lt;&gt;"Entry","",IF(OR(AE204=0,AC204="",AS204="",AS204&lt;=0),0,IF(AS204&lt;=DATE(YEAR(AC204),MONTH(AC204)+1,7),0,ROUND(AE204*0.015*((YEAR(AS204)-YEAR(AC204))*12+(MONTH(AS204)-MONTH(AC204))+1),0))))</f>
      </c>
      <c r="AI204" s="31"/>
      <c r="AJ204" s="27"/>
      <c r="AK204" s="27"/>
      <c r="AL204" s="29"/>
      <c r="AM204" s="27"/>
      <c r="AN204" s="27"/>
      <c r="AO204" s="26">
        <f>IF($B204&lt;&gt;"Challan","",SUMIF($C$8:$C$207,$C204,$AE$8:$AE$207)+SUMIF($C$8:$C$207,$C204,$AH$8:$AH$207)+SUMIF($C$8:$C$207,$C204,$AF$8:$AF$207))</f>
      </c>
      <c r="AP204" s="26">
        <f>IF($B204&lt;&gt;"Challan","",O204-M204)</f>
      </c>
      <c r="AQ204" s="26">
        <f>IF($B204&lt;&gt;"Challan","",MAX(0,AP204-AO204))</f>
      </c>
      <c r="AR204" s="32">
        <f>IF($B204&lt;&gt;"Challan","",IF(ROUND(AO204-AP204,2)&gt;0,"Over-applied",IF(ROUND(AO204-AP204,2)=0,"Fully Utilised","Unconsumed")))</f>
      </c>
      <c r="AS204" s="33">
        <f>IF($B204&lt;&gt;"Entry","",SUMPRODUCT(($C$8:$C$207=$C204)*($B$8:$B$207="Challan")*$F$8:$F$207))</f>
      </c>
    </row>
    <row r="205" spans="1:45" x14ac:dyDescent="0.25">
      <c r="A205" s="19">
        <f>IF($B205="Entry",COUNTIF($B$8:$B205,"Entry"),"")</f>
      </c>
      <c r="B205" s="20"/>
      <c r="C205" s="21"/>
      <c r="D205" s="22"/>
      <c r="E205" s="22"/>
      <c r="F205" s="23"/>
      <c r="G205" s="24"/>
      <c r="H205" s="25"/>
      <c r="I205" s="25"/>
      <c r="J205" s="25"/>
      <c r="K205" s="25"/>
      <c r="L205" s="25"/>
      <c r="M205" s="25"/>
      <c r="N205" s="25"/>
      <c r="O205" s="26">
        <f>IF($B205&lt;&gt;"Challan","",H205+I205+J205+K205+L205+M205)</f>
      </c>
      <c r="P205" s="24"/>
      <c r="Q205" s="24"/>
      <c r="R205" s="24"/>
      <c r="S205" s="24"/>
      <c r="T205" s="24"/>
      <c r="U205" s="27"/>
      <c r="V205" s="27"/>
      <c r="W205" s="27"/>
      <c r="X205" s="27"/>
      <c r="Y205" s="27"/>
      <c r="Z205" s="28">
        <f>IFERROR(IF($B205&lt;&gt;"Entry","",IF(W205="Y",SUMPRODUCT(('Rate Master'!$D$2:$D$50=(Y205&amp;"|"&amp;$B$2))*'Rate Master'!$I$2:$I$50),IF(OR(X205="Individual",X205="HUF"),SUMPRODUCT(('Rate Master'!$D$2:$D$50=(Y205&amp;"|"&amp;$B$2))*'Rate Master'!$G$2:$G$50),SUMPRODUCT(('Rate Master'!$D$2:$D$50=(Y205&amp;"|"&amp;$B$2))*'Rate Master'!$H$2:$H$50)))),"")</f>
      </c>
      <c r="AA205" s="26">
        <f>IFERROR(IF($B205&lt;&gt;"Entry","",IF(OR(X205="Individual",X205="HUF"),SUMPRODUCT(('Rate Master'!$D$2:$D$50=(Y205&amp;"|"&amp;$B$2))*'Rate Master'!$E$2:$E$50),SUMPRODUCT(('Rate Master'!$D$2:$D$50=(Y205&amp;"|"&amp;$B$2))*'Rate Master'!$F$2:$F$50))),"")</f>
      </c>
      <c r="AB205" s="29"/>
      <c r="AC205" s="30"/>
      <c r="AD205" s="31"/>
      <c r="AE205" s="26">
        <f>IF($B205&lt;&gt;"Entry","",ROUND(AD205*AB205/100,0))</f>
      </c>
      <c r="AF205" s="31"/>
      <c r="AG205" s="31"/>
      <c r="AH205" s="26">
        <f>IF($B205&lt;&gt;"Entry","",IF(OR(AE205=0,AC205="",AS205="",AS205&lt;=0),0,IF(AS205&lt;=DATE(YEAR(AC205),MONTH(AC205)+1,7),0,ROUND(AE205*0.015*((YEAR(AS205)-YEAR(AC205))*12+(MONTH(AS205)-MONTH(AC205))+1),0))))</f>
      </c>
      <c r="AI205" s="31"/>
      <c r="AJ205" s="27"/>
      <c r="AK205" s="27"/>
      <c r="AL205" s="29"/>
      <c r="AM205" s="27"/>
      <c r="AN205" s="27"/>
      <c r="AO205" s="26">
        <f>IF($B205&lt;&gt;"Challan","",SUMIF($C$8:$C$207,$C205,$AE$8:$AE$207)+SUMIF($C$8:$C$207,$C205,$AH$8:$AH$207)+SUMIF($C$8:$C$207,$C205,$AF$8:$AF$207))</f>
      </c>
      <c r="AP205" s="26">
        <f>IF($B205&lt;&gt;"Challan","",O205-M205)</f>
      </c>
      <c r="AQ205" s="26">
        <f>IF($B205&lt;&gt;"Challan","",MAX(0,AP205-AO205))</f>
      </c>
      <c r="AR205" s="32">
        <f>IF($B205&lt;&gt;"Challan","",IF(ROUND(AO205-AP205,2)&gt;0,"Over-applied",IF(ROUND(AO205-AP205,2)=0,"Fully Utilised","Unconsumed")))</f>
      </c>
      <c r="AS205" s="33">
        <f>IF($B205&lt;&gt;"Entry","",SUMPRODUCT(($C$8:$C$207=$C205)*($B$8:$B$207="Challan")*$F$8:$F$207))</f>
      </c>
    </row>
    <row r="206" spans="1:45" x14ac:dyDescent="0.25">
      <c r="A206" s="19">
        <f>IF($B206="Entry",COUNTIF($B$8:$B206,"Entry"),"")</f>
      </c>
      <c r="B206" s="20"/>
      <c r="C206" s="21"/>
      <c r="D206" s="22"/>
      <c r="E206" s="22"/>
      <c r="F206" s="23"/>
      <c r="G206" s="24"/>
      <c r="H206" s="25"/>
      <c r="I206" s="25"/>
      <c r="J206" s="25"/>
      <c r="K206" s="25"/>
      <c r="L206" s="25"/>
      <c r="M206" s="25"/>
      <c r="N206" s="25"/>
      <c r="O206" s="26">
        <f>IF($B206&lt;&gt;"Challan","",H206+I206+J206+K206+L206+M206)</f>
      </c>
      <c r="P206" s="24"/>
      <c r="Q206" s="24"/>
      <c r="R206" s="24"/>
      <c r="S206" s="24"/>
      <c r="T206" s="24"/>
      <c r="U206" s="27"/>
      <c r="V206" s="27"/>
      <c r="W206" s="27"/>
      <c r="X206" s="27"/>
      <c r="Y206" s="27"/>
      <c r="Z206" s="28">
        <f>IFERROR(IF($B206&lt;&gt;"Entry","",IF(W206="Y",SUMPRODUCT(('Rate Master'!$D$2:$D$50=(Y206&amp;"|"&amp;$B$2))*'Rate Master'!$I$2:$I$50),IF(OR(X206="Individual",X206="HUF"),SUMPRODUCT(('Rate Master'!$D$2:$D$50=(Y206&amp;"|"&amp;$B$2))*'Rate Master'!$G$2:$G$50),SUMPRODUCT(('Rate Master'!$D$2:$D$50=(Y206&amp;"|"&amp;$B$2))*'Rate Master'!$H$2:$H$50)))),"")</f>
      </c>
      <c r="AA206" s="26">
        <f>IFERROR(IF($B206&lt;&gt;"Entry","",IF(OR(X206="Individual",X206="HUF"),SUMPRODUCT(('Rate Master'!$D$2:$D$50=(Y206&amp;"|"&amp;$B$2))*'Rate Master'!$E$2:$E$50),SUMPRODUCT(('Rate Master'!$D$2:$D$50=(Y206&amp;"|"&amp;$B$2))*'Rate Master'!$F$2:$F$50))),"")</f>
      </c>
      <c r="AB206" s="29"/>
      <c r="AC206" s="30"/>
      <c r="AD206" s="31"/>
      <c r="AE206" s="26">
        <f>IF($B206&lt;&gt;"Entry","",ROUND(AD206*AB206/100,0))</f>
      </c>
      <c r="AF206" s="31"/>
      <c r="AG206" s="31"/>
      <c r="AH206" s="26">
        <f>IF($B206&lt;&gt;"Entry","",IF(OR(AE206=0,AC206="",AS206="",AS206&lt;=0),0,IF(AS206&lt;=DATE(YEAR(AC206),MONTH(AC206)+1,7),0,ROUND(AE206*0.015*((YEAR(AS206)-YEAR(AC206))*12+(MONTH(AS206)-MONTH(AC206))+1),0))))</f>
      </c>
      <c r="AI206" s="31"/>
      <c r="AJ206" s="27"/>
      <c r="AK206" s="27"/>
      <c r="AL206" s="29"/>
      <c r="AM206" s="27"/>
      <c r="AN206" s="27"/>
      <c r="AO206" s="26">
        <f>IF($B206&lt;&gt;"Challan","",SUMIF($C$8:$C$207,$C206,$AE$8:$AE$207)+SUMIF($C$8:$C$207,$C206,$AH$8:$AH$207)+SUMIF($C$8:$C$207,$C206,$AF$8:$AF$207))</f>
      </c>
      <c r="AP206" s="26">
        <f>IF($B206&lt;&gt;"Challan","",O206-M206)</f>
      </c>
      <c r="AQ206" s="26">
        <f>IF($B206&lt;&gt;"Challan","",MAX(0,AP206-AO206))</f>
      </c>
      <c r="AR206" s="32">
        <f>IF($B206&lt;&gt;"Challan","",IF(ROUND(AO206-AP206,2)&gt;0,"Over-applied",IF(ROUND(AO206-AP206,2)=0,"Fully Utilised","Unconsumed")))</f>
      </c>
      <c r="AS206" s="33">
        <f>IF($B206&lt;&gt;"Entry","",SUMPRODUCT(($C$8:$C$207=$C206)*($B$8:$B$207="Challan")*$F$8:$F$207))</f>
      </c>
    </row>
    <row r="207" spans="1:45" x14ac:dyDescent="0.25">
      <c r="A207" s="19">
        <f>IF($B207="Entry",COUNTIF($B$8:$B207,"Entry"),"")</f>
      </c>
      <c r="B207" s="20"/>
      <c r="C207" s="21"/>
      <c r="D207" s="22"/>
      <c r="E207" s="22"/>
      <c r="F207" s="23"/>
      <c r="G207" s="24"/>
      <c r="H207" s="25"/>
      <c r="I207" s="25"/>
      <c r="J207" s="25"/>
      <c r="K207" s="25"/>
      <c r="L207" s="25"/>
      <c r="M207" s="25"/>
      <c r="N207" s="25"/>
      <c r="O207" s="26">
        <f>IF($B207&lt;&gt;"Challan","",H207+I207+J207+K207+L207+M207)</f>
      </c>
      <c r="P207" s="24"/>
      <c r="Q207" s="24"/>
      <c r="R207" s="24"/>
      <c r="S207" s="24"/>
      <c r="T207" s="24"/>
      <c r="U207" s="27"/>
      <c r="V207" s="27"/>
      <c r="W207" s="27"/>
      <c r="X207" s="27"/>
      <c r="Y207" s="27"/>
      <c r="Z207" s="28">
        <f>IFERROR(IF($B207&lt;&gt;"Entry","",IF(W207="Y",SUMPRODUCT(('Rate Master'!$D$2:$D$50=(Y207&amp;"|"&amp;$B$2))*'Rate Master'!$I$2:$I$50),IF(OR(X207="Individual",X207="HUF"),SUMPRODUCT(('Rate Master'!$D$2:$D$50=(Y207&amp;"|"&amp;$B$2))*'Rate Master'!$G$2:$G$50),SUMPRODUCT(('Rate Master'!$D$2:$D$50=(Y207&amp;"|"&amp;$B$2))*'Rate Master'!$H$2:$H$50)))),"")</f>
      </c>
      <c r="AA207" s="26">
        <f>IFERROR(IF($B207&lt;&gt;"Entry","",IF(OR(X207="Individual",X207="HUF"),SUMPRODUCT(('Rate Master'!$D$2:$D$50=(Y207&amp;"|"&amp;$B$2))*'Rate Master'!$E$2:$E$50),SUMPRODUCT(('Rate Master'!$D$2:$D$50=(Y207&amp;"|"&amp;$B$2))*'Rate Master'!$F$2:$F$50))),"")</f>
      </c>
      <c r="AB207" s="29"/>
      <c r="AC207" s="30"/>
      <c r="AD207" s="31"/>
      <c r="AE207" s="26">
        <f>IF($B207&lt;&gt;"Entry","",ROUND(AD207*AB207/100,0))</f>
      </c>
      <c r="AF207" s="31"/>
      <c r="AG207" s="31"/>
      <c r="AH207" s="26">
        <f>IF($B207&lt;&gt;"Entry","",IF(OR(AE207=0,AC207="",AS207="",AS207&lt;=0),0,IF(AS207&lt;=DATE(YEAR(AC207),MONTH(AC207)+1,7),0,ROUND(AE207*0.015*((YEAR(AS207)-YEAR(AC207))*12+(MONTH(AS207)-MONTH(AC207))+1),0))))</f>
      </c>
      <c r="AI207" s="31"/>
      <c r="AJ207" s="27"/>
      <c r="AK207" s="27"/>
      <c r="AL207" s="29"/>
      <c r="AM207" s="27"/>
      <c r="AN207" s="27"/>
      <c r="AO207" s="26">
        <f>IF($B207&lt;&gt;"Challan","",SUMIF($C$8:$C$207,$C207,$AE$8:$AE$207)+SUMIF($C$8:$C$207,$C207,$AH$8:$AH$207)+SUMIF($C$8:$C$207,$C207,$AF$8:$AF$207))</f>
      </c>
      <c r="AP207" s="26">
        <f>IF($B207&lt;&gt;"Challan","",O207-M207)</f>
      </c>
      <c r="AQ207" s="26">
        <f>IF($B207&lt;&gt;"Challan","",MAX(0,AP207-AO207))</f>
      </c>
      <c r="AR207" s="32">
        <f>IF($B207&lt;&gt;"Challan","",IF(ROUND(AO207-AP207,2)&gt;0,"Over-applied",IF(ROUND(AO207-AP207,2)=0,"Fully Utilised","Unconsumed")))</f>
      </c>
      <c r="AS207" s="33">
        <f>IF($B207&lt;&gt;"Entry","",SUMPRODUCT(($C$8:$C$207=$C207)*($B$8:$B$207="Challan")*$F$8:$F$207))</f>
      </c>
    </row>
  </sheetData>
  <mergeCells count="2">
    <mergeCell ref="D1:AR1"/>
    <mergeCell ref="D2:AR2"/>
  </mergeCells>
  <conditionalFormatting sqref="A8:AR207">
    <cfRule type="expression" dxfId="0" priority="3">
      <formula>$B8="Challan"</formula>
    </cfRule>
  </conditionalFormatting>
  <conditionalFormatting sqref="AR8:AR207">
    <cfRule type="expression" dxfId="1" priority="1">
      <formula>AR8="Over-applied"</formula>
    </cfRule>
    <cfRule type="expression" dxfId="2" priority="2">
      <formula>AR8="Fully Utilised"</formula>
    </cfRule>
    <cfRule type="expression" dxfId="3" priority="2.5">
      <formula>AR8="Unconsumed"</formula>
    </cfRule>
  </conditionalFormatting>
  <dataValidations count="27">
    <dataValidation type="decimal" allowBlank="1" showErrorMessage="1" errorTitle="Invalid Rate" error="Rate must be a number between 0 and 100 (e.g. enter 10 for 10%, not 0.10)." sqref="AB8:AB207">
      <formula1>0</formula1>
      <formula2>100</formula2>
    </dataValidation>
    <dataValidation type="date" allowBlank="1" showErrorMessage="1" errorTitle="Invalid Date" error="Enter a real date (use the date picker), between 01-Apr-2020 and 31-Mar-2030." sqref="AC8:AC207">
      <formula1>43922</formula1>
      <formula2>47573</formula2>
    </dataValidation>
    <dataValidation type="decimal" operator="greaterThanOrEqual" allowBlank="1" showErrorMessage="1" errorTitle="Invalid Amount" error="Must be a number of 0 or more." sqref="AD8:AD207">
      <formula1>0</formula1>
    </dataValidation>
    <dataValidation type="decimal" operator="greaterThanOrEqual" allowBlank="1" showErrorMessage="1" errorTitle="Invalid Amount" error="Must be a number of 0 or more." sqref="AF8:AF207">
      <formula1>0</formula1>
    </dataValidation>
    <dataValidation type="decimal" operator="greaterThanOrEqual" allowBlank="1" showErrorMessage="1" errorTitle="Invalid Amount" error="Must be a number of 0 or more." sqref="AG8:AG207">
      <formula1>0</formula1>
    </dataValidation>
    <dataValidation type="decimal" operator="greaterThanOrEqual" allowBlank="1" showErrorMessage="1" errorTitle="Invalid Amount" error="Must be a number of 0 or more." sqref="AI8:AI207">
      <formula1>0</formula1>
    </dataValidation>
    <dataValidation type="list" allowBlank="1" showErrorMessage="1" errorTitle="Invalid Reason Code" error="Pick a Reason Code from the dropdown (A/B/C/D/E/Y/Z)." sqref="AJ8:AJ207">
      <formula1>"A,B,C,D,E,Y,Z"</formula1>
    </dataValidation>
    <dataValidation type="decimal" allowBlank="1" showErrorMessage="1" errorTitle="Invalid Rate" error="Rate must be a number between 0 and 100." sqref="AL8:AL207">
      <formula1>0</formula1>
      <formula2>100</formula2>
    </dataValidation>
    <dataValidation type="list" showErrorMessage="1" errorTitle="Invalid Form Type" error="Pick 24Q, 26Q, 27Q or 27EQ." sqref="B2">
      <formula1>"24Q,26Q,27Q,27EQ"</formula1>
    </dataValidation>
    <dataValidation type="list" showErrorMessage="1" errorTitle="Invalid Row Type" error="Pick either Challan or Entry from the dropdown." sqref="B8:B207">
      <formula1>"Challan,Entry"</formula1>
    </dataValidation>
    <dataValidation type="custom" allowBlank="1" showErrorMessage="1" errorTitle="Duplicate Challan ID" error="Each Challan ID (on a Challan row) must be unique within this workbook." sqref="C8:C207">
      <formula1>OR($B8&lt;&gt;"Challan",COUNTIFS($B$8:$B$207,"Challan",$C$8:$C$207,C8)=1)</formula1>
    </dataValidation>
    <dataValidation type="textLength" operator="equal" allowBlank="1" showErrorMessage="1" errorTitle="Invalid BSR Code" error="BSR Code must be exactly 7 characters." sqref="D8:D207">
      <formula1>7</formula1>
    </dataValidation>
    <dataValidation type="textLength" operator="equal" allowBlank="1" showErrorMessage="1" errorTitle="Invalid Challan Serial No." error="Challan Serial No. (Challan Number) must be exactly 5 digits." sqref="E8:E207">
      <formula1>5</formula1>
    </dataValidation>
    <dataValidation type="date" allowBlank="1" showErrorMessage="1" errorTitle="Invalid Date" error="Enter a real date (use the date picker), between 01-Apr-2020 and 31-Mar-2030." sqref="F8:F207">
      <formula1>43922</formula1>
      <formula2>47573</formula2>
    </dataValidation>
    <dataValidation type="list" allowBlank="1" showErrorMessage="1" errorTitle="Invalid Minor Head" error="Pick 200 (TDS Payable) or 400 (Demand) from the dropdown." sqref="G8:G207">
      <formula1>"200,400"</formula1>
    </dataValidation>
    <dataValidation type="decimal" operator="greaterThanOrEqual" allowBlank="1" showErrorMessage="1" errorTitle="Invalid Amount" error="Must be a number of 0 or more." sqref="H8:H207">
      <formula1>0</formula1>
    </dataValidation>
    <dataValidation type="decimal" operator="greaterThanOrEqual" allowBlank="1" showErrorMessage="1" errorTitle="Invalid Amount" error="Must be a number of 0 or more." sqref="I8:I207">
      <formula1>0</formula1>
    </dataValidation>
    <dataValidation type="decimal" operator="greaterThanOrEqual" allowBlank="1" showErrorMessage="1" errorTitle="Invalid Amount" error="Must be a number of 0 or more." sqref="J8:J207">
      <formula1>0</formula1>
    </dataValidation>
    <dataValidation type="decimal" operator="greaterThanOrEqual" allowBlank="1" showErrorMessage="1" errorTitle="Invalid Amount" error="Must be a number of 0 or more." sqref="K8:K207">
      <formula1>0</formula1>
    </dataValidation>
    <dataValidation type="decimal" operator="greaterThanOrEqual" allowBlank="1" showErrorMessage="1" errorTitle="Invalid Amount" error="Must be a number of 0 or more." sqref="L8:L207">
      <formula1>0</formula1>
    </dataValidation>
    <dataValidation type="decimal" operator="greaterThanOrEqual" allowBlank="1" showErrorMessage="1" errorTitle="Invalid Amount" error="Must be a number of 0 or more." sqref="M8:M207">
      <formula1>0</formula1>
    </dataValidation>
    <dataValidation type="custom" allowBlank="1" showErrorMessage="1" errorTitle="Invalid Late Fees Used" error="Late Fees Used cannot be negative or exceed Late Fees u/s 234E." sqref="N8:N207">
      <formula1>AND(N8&gt;=0,N8&lt;=M8)</formula1>
    </dataValidation>
    <dataValidation type="list" allowBlank="1" showErrorMessage="1" errorTitle="Invalid value" error="Pick Y or N from the dropdown." sqref="Q8:Q207">
      <formula1>"Y,N"</formula1>
    </dataValidation>
    <dataValidation type="custom" allowBlank="1" showErrorMessage="1" errorTitle="Invalid PAN" error="PAN must be 5 letters + 4 digits + 1 letter, uppercase (e.g. AACCP6899F) — unless PAN Not Available is Y." sqref="V8:V207">
      <formula1>OR(W8="Y",AND(LEN(V8)=10,CODE(MID(V8,1,1))&gt;=65,CODE(MID(V8,1,1))&lt;=90,CODE(MID(V8,2,1))&gt;=65,CODE(MID(V8,2,1))&lt;=90,CODE(MID(V8,3,1))&gt;=65,CODE(MID(V8,3,1))&lt;=90,CODE(MID(V8,4,1))&gt;=65,CODE(MID(V8,4,1))&lt;=90,CODE(MID(V8,5,1))&gt;=65,CODE(MID(V8,5,1))&lt;=90,CODE(MID(V8,6,1))&gt;=48,CODE(MID(V8,6,1))&lt;=57,CODE(MID(V8,7,1))&gt;=48,CODE(MID(V8,7,1))&lt;=57,CODE(MID(V8,8,1))&gt;=48,CODE(MID(V8,8,1))&lt;=57,CODE(MID(V8,9,1))&gt;=48,CODE(MID(V8,9,1))&lt;=57,CODE(MID(V8,10,1))&gt;=65,CODE(MID(V8,10,1))&lt;=90))</formula1>
    </dataValidation>
    <dataValidation type="list" allowBlank="1" showErrorMessage="1" errorTitle="Invalid value" error="Pick Y or N from the dropdown." sqref="W8:W207">
      <formula1>"Y,N"</formula1>
    </dataValidation>
    <dataValidation type="list" allowBlank="1" showErrorMessage="1" errorTitle="Invalid Deductee Type" error="Pick a Deductee Type from the dropdown." sqref="X8:X207">
      <formula1>"Individual,HUF,Company,Firm,LLP,Trust,AOP"</formula1>
    </dataValidation>
    <dataValidation type="list" allowBlank="1" showErrorMessage="1" errorTitle="Invalid Section" error="Pick a section from the dropdown list (sourced from the Rate Master sheet)." sqref="Y8:Y207">
      <formula1>'Rate Master'!$B$2:$B$50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Rate Master</vt:lpstr>
      <vt:lpstr>TDS Data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CAFlow</dc:creator>
  <dc:title/>
  <dc:subject/>
  <dc:description/>
  <cp:keywords/>
  <cp:category/>
  <cp:lastModifiedBy>Unknown</cp:lastModifiedBy>
  <dcterms:created xsi:type="dcterms:W3CDTF">2026-07-29T00:00:00Z</dcterms:created>
  <dcterms:modified xsi:type="dcterms:W3CDTF">2026-07-29T07:29:32Z</dcterms:modified>
</cp:coreProperties>
</file>