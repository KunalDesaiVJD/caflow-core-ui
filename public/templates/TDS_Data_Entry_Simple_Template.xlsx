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Q1 Data" state="visible" r:id="rId6"/>
    <sheet sheetId="4" name="Q2 Data" state="visible" r:id="rId7"/>
    <sheet sheetId="5" name="Q3 Data" state="visible" r:id="rId8"/>
    <sheet sheetId="6" name="Q4 Data" state="visible" r:id="rId9"/>
  </sheets>
  <calcPr calcMode="auto" calcId="171027" fullCalcOnLoad="1"/>
</workbook>
</file>

<file path=xl/sharedStrings.xml><?xml version="1.0" encoding="utf-8"?>
<sst xmlns="http://schemas.openxmlformats.org/spreadsheetml/2006/main" count="324" uniqueCount="176">
  <si>
    <t>TDS Data Entry — Client Template</t>
  </si>
  <si>
    <t>Four cross-linked quarter tabs mirroring the software's own Data Entry screen as closely as a static workbook can.</t>
  </si>
  <si>
    <t>How This Template Works</t>
  </si>
  <si>
    <t>•  This workbook has SIX sheets: this Instructions sheet, and four data-entry tabs — Q1 Data, Q2 Data, Q3 Data, Q4 Data — one per quarter. All four are IDENTICAL in structure (same columns, same dropdowns, same formulas); the only difference is which quarter's challans and entries you record on each one.</t>
  </si>
  <si>
    <t>•  A challan is identified the SAME way the software identifies it — by BSR Code + Challan Serial No. There is no separate "Challan ID" to invent. Enter a challan on the tab for the QUARTER it was actually deposited, exactly once — its Serial No. must be unique across ALL FOUR tabs combined, not just within one tab.</t>
  </si>
  <si>
    <t>•  Every row on each quarter tab is tagged Challan or Entry via the Row Type dropdown. Add a Challan row with its full deposit breakdown, then add one Entry row directly below it for every deductee paid under that challan — repeating that SAME Challan Serial No. in the Entry row to link back to it.</t>
  </si>
  <si>
    <t>•  CHALLAN CARRY-FORWARD: a challan's "Applied" and "Balance" figures are NOT limited to entries on the same tab as the challan — they sum EVERY entry linked to that Challan Serial No. across ALL FOUR quarter tabs. Deposit a challan in Q1 with room to spare, then add an entry against that SAME Serial No. on the Q2 (or Q3, or Q4) tab, and Q1's own Balance updates to show the reduced remaining amount — this is exactly how the software's own live-database lookup works, reproduced here with cross-sheet formulas instead of a database query.</t>
  </si>
  <si>
    <t>•  "Applied", "Allocatable", "Balance" and "Status" (green columns, Challan rows only) update live as you add entries anywhere in the workbook. Status sits right after Challan Serial No. so you can see at a glance whether a challan is Over-applied, Fully Utilised, or still has room — and an Over-applied challan's ENTIRE row is highlighted red, not just the Status cell, on whichever tab that challan itself lives on.</t>
  </si>
  <si>
    <t>•  Row 2 on each tab is a live Validation Summary banner scoped to THAT tab's own challans — it recalculates automatically on every keystroke and shows "✅ Validation Successful" (green) when none of this tab's challans are over-applied, or "❌ VALIDATION FAILED" (red) with a count otherwise. Because Applied/Balance already account for all four tabs, a challan that only becomes over-applied once a LATER quarter's entry pushes it over correctly turns red on the tab where the CHALLAN itself was entered. A plain Excel file (no macros) can't have a clickable "Validate" button with a pop-up message — this is the equivalent that can never go stale, needs no "Enable Macros" security prompt, and works the same in Google Sheets/LibreOffice too.</t>
  </si>
  <si>
    <t>•  "Rate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(found via a cross-tab lookup, wherever that challan itself lives). This matches the software exactly: there, Rate of TDS is locked read-only for any section you can actually pick from the dropdown, since the dropdown itself only ever offers sections with a known rate.</t>
  </si>
  <si>
    <t>•  "Deductee Type" (green) calculates automatically from the 4th character of the PAN you enter — P=Individual, H=HUF, C=Company, F=Firm/LLP, A=AOP, T=Trust, B=BOI, L=Local Authority, J=AJP, G=Government — exactly how the software itself detects it (there, this is never even an editable field — always a fixed label).</t>
  </si>
  <si>
    <t>•  "PAN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</si>
  <si>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  "Surcharge Amount", "Education Cess Amount", and "Late Fees Amount" (per entry, green) are always 0 — the software itself has no way to enter these on a deductee through this screen either, so there's nothing to fill in.</t>
  </si>
  <si>
    <t>•  Q1's 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 Q2/Q3/Q4 start with no worked example, since a second, third and fourth copy of the same demo would only add clutter.</t>
  </si>
  <si>
    <t>•  A Challan row's own "Section" (blue) is optional — it's the challan's predominant/default section, for your reference. If an Entry's Section differs from its linked Challan's Section (found across all four tabs), that Entry's Section cell is highlighted amber as a heads-up, same as the software's own mismatch note — it does not block anything.</t>
  </si>
  <si>
    <t>•  The green auto-calculated cells (Sr. No., Status, Total Challan Amount, PAN Not Available, Deductee Type, Rate of TDS, TDS Amount, Surcharge/Cess/Late Fees Amount, Interest Amount, Applied, Allocatable, Balance) are LOCKED on every tab — the sheets are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on any tab if you ever need to.</t>
  </si>
  <si>
    <t>•  Do not rename a tab away from its own "Qx Data" name (except as described below for upload), insert/delete columns, or change the header row (row 3) on any tab — the software matches columns by these exact header names.</t>
  </si>
  <si>
    <t>•  If a formula cell ever looks blank or stale while you're actively editing, press F9 (or Formulas → Calculate Now) to force a refresh — this workbook is set to calculate automatically, but some Excel installs can get stuck in Manual mode from a different file and take a moment to catch up.</t>
  </si>
  <si>
    <t>Uploading to Validate &amp; Finalise (please read)</t>
  </si>
  <si>
    <t>•  This workbook is a reference/planning document for all four quarters at once — the software's own Validate &amp; Finalise import still works ONE quarter at a time, matched by the exact tab name "TDS Data". To upload a specific quarter: make a COPY of this file (so the other three quarters' data isn't lost), rename that copy's relevant "Qx Data" tab to exactly "TDS Data", delete the other three quarter tabs from the copy, then upload that copy for that quarter's filing.</t>
  </si>
  <si>
    <t>•  This does not change or extend the software's import in any way — it consumes exactly what it always has (a single sheet literally named "TDS Data"). The four-tab structure above is purely so you can plan and track carry-forward across the whole year in one place before uploading each quarter separately.</t>
  </si>
  <si>
    <t>What This Template CANNOT Do (please read)</t>
  </si>
  <si>
    <t>•  Global Challan Number uniqueness: the software checks a new Challan Number against every challan for every client and firm, live. This workbook can only check for duplicates within its own four tabs.</t>
  </si>
  <si>
    <t>•  The 192B Salary tax calculator (24Q salary deductees) is a separate, more involved computation in the software (tax slabs, regime, rebate) and is not reproduced here — enter the Salary deductee's TDS Amount directly.</t>
  </si>
  <si>
    <t>•  "Country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</si>
  <si>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Section Codes — Income Tax Act 2025 (Section 393 reorganisation)</t>
  </si>
  <si>
    <t>•  From 1-Apr-2026 (FY2026-27 onward), the old 194-series section numbers are being replaced by a numeric Payment Code and a new Section 392/393/394 citation. Wherever a verified mapping exists, the Section dropdown shows: PaymentCode : [OldSection] : NewSectionCode – Description — e.g. 1023 : [194C] : 393(1) [Table: S.N. 6(i).D(a)] – Payments to contractors and sub-contractors (Individual/HUF). This matches the software's own Section dropdown exactly, and is the SAME list on all four quarter tabs.</t>
  </si>
  <si>
    <t>•  194A, 194C and 194R are split into separate lettered options (194A(a)/(b)/(c), 194C(a)/(b), 194R(a)/(b)) because the new Act's Payment Code — not just the Deductee Type — now determines which citation and rate applies. Pick the option matching the actual payee/payment type; the Rate of TDS still fills in automatically.</t>
  </si>
  <si>
    <t>•  Only the sections above have a verified Payment Code and new citation — sourced from a CBDT-derived reference table, cross-checked line by line. Every OTHER section (194B, 194BB, 194D, 194DA, 194G, 194IA, 194IB, 194IC, 194K, 194LA, 194LB, 194M, 194O, 194S, 195, 196A, 196D, 206C(1H)) still shows a plain description instead (e.g. 194IA — Immovable Property Purchase) — the SAME description text the software's own Section dropdown already shows for these — rather than a Payment Code: two independent secondary sources checked for these gave conflicting payment codes for sections this template DOES have verified data for, so an unverified numeric code is never shown, only a description that carries no compliance risk. Full Payment Codes will be added once a verified source confirms them.</t>
  </si>
  <si>
    <t>Field Guide — Challan Rows (blue columns)</t>
  </si>
  <si>
    <r>
      <rPr>
        <b/>
        <sz val="10"/>
        <rFont val="Arial"/>
      </rPr>
      <t xml:space="preserve">BSR Code*: </t>
    </r>
    <r>
      <rPr>
        <sz val="10"/>
        <rFont val="Arial"/>
      </rPr>
      <t>Exactly 7 digits, printed on the challan receipt.</t>
    </r>
  </si>
  <si>
    <r>
      <rPr>
        <b/>
        <sz val="10"/>
        <rFont val="Arial"/>
      </rPr>
      <t xml:space="preserve">Challan Serial No.*: </t>
    </r>
    <r>
      <rPr>
        <sz val="10"/>
        <rFont val="Arial"/>
      </rPr>
      <t>Exactly 5 digits, printed on the challan receipt. Together with BSR Code, this IS the challan's identity — repeat it on every linked Entry row, on ANY of the four tabs. Must be unique across all four tabs combined.</t>
    </r>
  </si>
  <si>
    <r>
      <rPr>
        <b/>
        <sz val="10"/>
        <rFont val="Arial"/>
      </rPr>
      <t xml:space="preserve">Status (auto): </t>
    </r>
    <r>
      <rPr>
        <sz val="10"/>
        <rFont val="Arial"/>
      </rPr>
      <t>Calculates automatically — Over-applied, Fully Utilised, or Unconsumed, based on Applied (all four tabs) vs Allocatable. Do not edit. An Over-applied challan's entire row is shaded red as a heads-up, on the tab where the challan itself was entered.</t>
    </r>
  </si>
  <si>
    <r>
      <rPr>
        <b/>
        <sz val="10"/>
        <rFont val="Arial"/>
      </rPr>
      <t xml:space="preserve">Date of Deposit*: </t>
    </r>
    <r>
      <rPr>
        <sz val="10"/>
        <rFont val="Arial"/>
      </rPr>
      <t>Date this challan was deposited with the bank (use the date picker).</t>
    </r>
  </si>
  <si>
    <r>
      <rPr>
        <b/>
        <sz val="10"/>
        <rFont val="Arial"/>
      </rPr>
      <t xml:space="preserve">Minor Head*: </t>
    </r>
    <r>
      <rPr>
        <sz val="10"/>
        <rFont val="Arial"/>
      </rPr>
      <t>200 = TDS Payable (regular), 400 = TDS on Regular Assessment (demand payment).</t>
    </r>
  </si>
  <si>
    <r>
      <rPr>
        <b/>
        <sz val="10"/>
        <rFont val="Arial"/>
      </rPr>
      <t xml:space="preserve">Section: </t>
    </r>
    <r>
      <rPr>
        <sz val="10"/>
        <rFont val="Arial"/>
      </rPr>
      <t>Optional — this challan's predominant/default TDS section, for your reference. If a linked Entry's own Section differs (checked across all four tabs), that Entry's Section cell is highlighted amber. See "Section Codes" above for the PaymentCode : [OldSection] : NewSectionCode format.</t>
    </r>
  </si>
  <si>
    <r>
      <rPr>
        <b/>
        <sz val="10"/>
        <rFont val="Arial"/>
      </rPr>
      <t xml:space="preserve">Tax Deposited (₹)*: </t>
    </r>
    <r>
      <rPr>
        <sz val="10"/>
        <rFont val="Arial"/>
      </rPr>
      <t>The basic TDS/TCS amount actually deposited via this challan.</t>
    </r>
  </si>
  <si>
    <r>
      <rPr>
        <b/>
        <sz val="10"/>
        <rFont val="Arial"/>
      </rPr>
      <t xml:space="preserve">Surcharge Deposited (₹): </t>
    </r>
    <r>
      <rPr>
        <sz val="10"/>
        <rFont val="Arial"/>
      </rPr>
      <t>Surcharge component of this challan's deposit, if any.</t>
    </r>
  </si>
  <si>
    <r>
      <rPr>
        <b/>
        <sz val="10"/>
        <rFont val="Arial"/>
      </rPr>
      <t xml:space="preserve">Education Cess Deposited (₹): </t>
    </r>
    <r>
      <rPr>
        <sz val="10"/>
        <rFont val="Arial"/>
      </rPr>
      <t>Cess component of this challan's deposit, if any.</t>
    </r>
  </si>
  <si>
    <r>
      <rPr>
        <b/>
        <sz val="10"/>
        <rFont val="Arial"/>
      </rPr>
      <t xml:space="preserve">Interest Deposited (₹): </t>
    </r>
    <r>
      <rPr>
        <sz val="10"/>
        <rFont val="Arial"/>
      </rPr>
      <t>Interest (201(1A)) component of this challan's deposit, if any.</t>
    </r>
  </si>
  <si>
    <r>
      <rPr>
        <b/>
        <sz val="10"/>
        <rFont val="Arial"/>
      </rPr>
      <t xml:space="preserve">Others Deposited (₹): </t>
    </r>
    <r>
      <rPr>
        <sz val="10"/>
        <rFont val="Arial"/>
      </rPr>
      <t>Any other component (e.g. penalty) of this challan's deposit.</t>
    </r>
  </si>
  <si>
    <r>
      <rPr>
        <b/>
        <sz val="10"/>
        <rFont val="Arial"/>
      </rPr>
      <t xml:space="preserve">Late Fees u/s 234E (₹): </t>
    </r>
    <r>
      <rPr>
        <sz val="10"/>
        <rFont val="Arial"/>
      </rPr>
      <t>Late-filing fee levied under Section 234E, if any — kept separate from the TDS-allocatable amount, same as the software.</t>
    </r>
  </si>
  <si>
    <r>
      <rPr>
        <b/>
        <sz val="10"/>
        <rFont val="Arial"/>
      </rPr>
      <t xml:space="preserve">Late Fees Used (₹): </t>
    </r>
    <r>
      <rPr>
        <sz val="10"/>
        <rFont val="Arial"/>
      </rPr>
      <t>How much of the 234E late fee above has been accounted for/paid. Cannot exceed Late Fees u/s 234E.</t>
    </r>
  </si>
  <si>
    <r>
      <rPr>
        <b/>
        <sz val="10"/>
        <rFont val="Arial"/>
      </rPr>
      <t xml:space="preserve">Total Challan Amount (₹): </t>
    </r>
    <r>
      <rPr>
        <sz val="10"/>
        <rFont val="Arial"/>
      </rPr>
      <t>Calculates automatically — sum of Tax + Surcharge + Cess + Interest + Others + Late Fees 234E. Do not edit.</t>
    </r>
  </si>
  <si>
    <r>
      <rPr>
        <b/>
        <sz val="10"/>
        <rFont val="Arial"/>
      </rPr>
      <t xml:space="preserve">Bank Name: </t>
    </r>
    <r>
      <rPr>
        <sz val="10"/>
        <rFont val="Arial"/>
      </rPr>
      <t>Optional — the bank where the challan was deposited.</t>
    </r>
  </si>
  <si>
    <r>
      <rPr>
        <b/>
        <sz val="10"/>
        <rFont val="Arial"/>
      </rPr>
      <t xml:space="preserve">Book Entry?: </t>
    </r>
    <r>
      <rPr>
        <sz val="10"/>
        <rFont val="Arial"/>
      </rPr>
      <t>Y if this was a government book-entry payment (no cheque/DD), N otherwise.</t>
    </r>
  </si>
  <si>
    <r>
      <rPr>
        <b/>
        <sz val="10"/>
        <rFont val="Arial"/>
      </rPr>
      <t xml:space="preserve">Transfer Voucher No.: </t>
    </r>
    <r>
      <rPr>
        <sz val="10"/>
        <rFont val="Arial"/>
      </rPr>
      <t>Only if Book Entry = Y.</t>
    </r>
  </si>
  <si>
    <r>
      <rPr>
        <b/>
        <sz val="10"/>
        <rFont val="Arial"/>
      </rPr>
      <t xml:space="preserve">Cheque/DD No.: </t>
    </r>
    <r>
      <rPr>
        <sz val="10"/>
        <rFont val="Arial"/>
      </rPr>
      <t>For your own records. A direct code check of the software found this field has no UI there at all — it exists in the data model but there's no way to view or enter it on that screen. Kept here since it's a useful, low-risk reference field.</t>
    </r>
  </si>
  <si>
    <r>
      <rPr>
        <b/>
        <sz val="10"/>
        <rFont val="Arial"/>
      </rPr>
      <t xml:space="preserve">Challan Remarks: </t>
    </r>
    <r>
      <rPr>
        <sz val="10"/>
        <rFont val="Arial"/>
      </rPr>
      <t>Optional — any note against this challan.</t>
    </r>
  </si>
  <si>
    <t>Field Guide — Entry Rows (yellow columns)</t>
  </si>
  <si>
    <r>
      <rPr>
        <b/>
        <sz val="10"/>
        <rFont val="Arial"/>
      </rPr>
      <t xml:space="preserve">Challan Serial No.*: </t>
    </r>
    <r>
      <rPr>
        <sz val="10"/>
        <rFont val="Arial"/>
      </rPr>
      <t>Must match a Challan Serial No. already entered on a Challan row — on THIS tab or any of the other three — this is how the entry links to its challan, wherever it lives.</t>
    </r>
  </si>
  <si>
    <r>
      <rPr>
        <b/>
        <sz val="10"/>
        <rFont val="Arial"/>
      </rPr>
      <t xml:space="preserve">Deductee Name*: </t>
    </r>
    <r>
      <rPr>
        <sz val="10"/>
        <rFont val="Arial"/>
      </rPr>
      <t>Full legal name of the person/entity paid.</t>
    </r>
  </si>
  <si>
    <r>
      <rPr>
        <b/>
        <sz val="10"/>
        <rFont val="Arial"/>
      </rPr>
      <t xml:space="preserve">PAN*: </t>
    </r>
    <r>
      <rPr>
        <sz val="10"/>
        <rFont val="Arial"/>
      </rPr>
      <t>10-character PAN, 5 letters + 4 digits + 1 letter (any case — auto-normalised, same as the software). Leaving it blank or entering something invalid is allowed, exactly like the software: it just sets PAN Not Available to Y automatically and applies the flat no-PAN rate.</t>
    </r>
  </si>
  <si>
    <r>
      <rPr>
        <b/>
        <sz val="10"/>
        <rFont val="Arial"/>
      </rPr>
      <t xml:space="preserve">PAN Not Available (auto): </t>
    </r>
    <r>
      <rPr>
        <sz val="10"/>
        <rFont val="Arial"/>
      </rPr>
      <t>Calculates automatically — Y whenever PAN is blank or not in valid PAN format, N otherwise. There is no checkbox for this in the software either; it's entirely inferred from the PAN you type, never a field you set yourself. Do not edit.</t>
    </r>
  </si>
  <si>
    <r>
      <rPr>
        <b/>
        <sz val="10"/>
        <rFont val="Arial"/>
      </rPr>
      <t xml:space="preserve">Deductee Type: </t>
    </r>
    <r>
      <rPr>
        <sz val="10"/>
        <rFont val="Arial"/>
      </rPr>
      <t>Calculates automatically from the PAN's 4th character (Individual/HUF/Company/Firm/LLP/Trust/AOP) — same as the software, where this is never an editable field either. Do not edit.</t>
    </r>
  </si>
  <si>
    <r>
      <rPr>
        <b/>
        <sz val="10"/>
        <rFont val="Arial"/>
      </rPr>
      <t xml:space="preserve">Section*: </t>
    </r>
    <r>
      <rPr>
        <sz val="10"/>
        <rFont val="Arial"/>
      </rPr>
      <t>Pick from the dropdown — the TDS section under which this deduction was made. Highlighted amber if it differs from this entry's linked Challan's own Section. See "Section Codes" above for the PaymentCode : [OldSection] : NewSectionCode format, and which sections have a verified new code.</t>
    </r>
  </si>
  <si>
    <r>
      <rPr>
        <b/>
        <sz val="10"/>
        <rFont val="Arial"/>
      </rPr>
      <t xml:space="preserve">Rate of TDS (%): </t>
    </r>
    <r>
      <rPr>
        <sz val="10"/>
        <rFont val="Arial"/>
      </rPr>
      <t>Calculates automatically from Section + Deductee Type (and the flat no-PAN rate if PAN Not Available = Y) — same as the software, where this field is locked read-only for any section you can pick from the dropdown. Do not edit.</t>
    </r>
  </si>
  <si>
    <r>
      <rPr>
        <b/>
        <sz val="10"/>
        <rFont val="Arial"/>
      </rPr>
      <t xml:space="preserve">Date of Payment/Credit*: </t>
    </r>
    <r>
      <rPr>
        <sz val="10"/>
        <rFont val="Arial"/>
      </rPr>
      <t>Date the deductee was paid or credited, whichever is earlier.</t>
    </r>
  </si>
  <si>
    <r>
      <rPr>
        <b/>
        <sz val="10"/>
        <rFont val="Arial"/>
      </rPr>
      <t xml:space="preserve">Amount Paid/Credited (₹)*: </t>
    </r>
    <r>
      <rPr>
        <sz val="10"/>
        <rFont val="Arial"/>
      </rPr>
      <t>Gross amount paid/credited, before TDS.</t>
    </r>
  </si>
  <si>
    <r>
      <rPr>
        <b/>
        <sz val="10"/>
        <rFont val="Arial"/>
      </rPr>
      <t xml:space="preserve">TDS Amount (₹): </t>
    </r>
    <r>
      <rPr>
        <sz val="10"/>
        <rFont val="Arial"/>
      </rPr>
      <t>Calculates automatically as ROUND(Amount Paid × Rate of TDS / 100). Do not edit.</t>
    </r>
  </si>
  <si>
    <r>
      <rPr>
        <b/>
        <sz val="10"/>
        <rFont val="Arial"/>
      </rPr>
      <t xml:space="preserve">Surcharge Amount (₹): </t>
    </r>
    <r>
      <rPr>
        <sz val="10"/>
        <rFont val="Arial"/>
      </rPr>
      <t>Always 0 — the software itself has no way to enter this on a deductee. Do not edit.</t>
    </r>
  </si>
  <si>
    <r>
      <rPr>
        <b/>
        <sz val="10"/>
        <rFont val="Arial"/>
      </rPr>
      <t xml:space="preserve">Education Cess Amount (₹): </t>
    </r>
    <r>
      <rPr>
        <sz val="10"/>
        <rFont val="Arial"/>
      </rPr>
      <t>Always 0 — same reason as Surcharge Amount. Do not edit.</t>
    </r>
  </si>
  <si>
    <r>
      <rPr>
        <b/>
        <sz val="10"/>
        <rFont val="Arial"/>
      </rPr>
      <t xml:space="preserve">Interest Amount (₹): </t>
    </r>
    <r>
      <rPr>
        <sz val="10"/>
        <rFont val="Arial"/>
      </rPr>
      <t>Calculates automatically under Section 201(1A) from TDS Amount, Date of Payment, and the linked Challan's Date of Deposit (found wherever that challan itself lives). Do not edit.</t>
    </r>
  </si>
  <si>
    <r>
      <rPr>
        <b/>
        <sz val="10"/>
        <rFont val="Arial"/>
      </rPr>
      <t xml:space="preserve">Late Fees Amount (₹): </t>
    </r>
    <r>
      <rPr>
        <sz val="10"/>
        <rFont val="Arial"/>
      </rPr>
      <t>Always 0 — same reason as Surcharge Amount. Do not edit.</t>
    </r>
  </si>
  <si>
    <r>
      <rPr>
        <b/>
        <sz val="10"/>
        <rFont val="Arial"/>
      </rPr>
      <t xml:space="preserve">Reason Code: </t>
    </r>
    <r>
      <rPr>
        <sz val="10"/>
        <rFont val="Arial"/>
      </rPr>
      <t>Pick from the dropdown (A–E, Y, Z) if applicable — e.g. Z for a higher rate under Section 206AA (no PAN).</t>
    </r>
  </si>
  <si>
    <r>
      <rPr>
        <b/>
        <sz val="10"/>
        <rFont val="Arial"/>
      </rPr>
      <t xml:space="preserve">Lower Deduction Certificate No.: </t>
    </r>
    <r>
      <rPr>
        <sz val="10"/>
        <rFont val="Arial"/>
      </rPr>
      <t>If a lower/nil deduction certificate under Section 197 applies.</t>
    </r>
  </si>
  <si>
    <r>
      <rPr>
        <b/>
        <sz val="10"/>
        <rFont val="Arial"/>
      </rPr>
      <t xml:space="preserve">Lower Deduction Rate (%): </t>
    </r>
    <r>
      <rPr>
        <sz val="10"/>
        <rFont val="Arial"/>
      </rPr>
      <t>The certificate's own rate, if applicable.</t>
    </r>
  </si>
  <si>
    <r>
      <rPr>
        <b/>
        <sz val="10"/>
        <rFont val="Arial"/>
      </rPr>
      <t xml:space="preserve">Country of Residence: </t>
    </r>
    <r>
      <rPr>
        <sz val="10"/>
        <rFont val="Arial"/>
      </rPr>
      <t>For your own records — see "What This Template CANNOT Do" above.</t>
    </r>
  </si>
  <si>
    <r>
      <rPr>
        <b/>
        <sz val="10"/>
        <rFont val="Arial"/>
      </rPr>
      <t xml:space="preserve">Remarks: </t>
    </r>
    <r>
      <rPr>
        <sz val="10"/>
        <rFont val="Arial"/>
      </rPr>
      <t>For your own records — see "What This Template CANNOT Do" above.</t>
    </r>
  </si>
  <si>
    <t>Field Guide — Auto-Tracked Columns (green, Challan rows only)</t>
  </si>
  <si>
    <r>
      <rPr>
        <b/>
        <sz val="10"/>
        <rFont val="Arial"/>
      </rPr>
      <t xml:space="preserve">Applied (₹) [all quarters]: </t>
    </r>
    <r>
      <rPr>
        <sz val="10"/>
        <rFont val="Arial"/>
      </rPr>
      <t>Sum of TDS + Interest + Surcharge across every Entry row linked to this challan, on ANY of the four quarter tabs — this is the carry-forward figure. Do not edit.</t>
    </r>
  </si>
  <si>
    <r>
      <rPr>
        <b/>
        <sz val="10"/>
        <rFont val="Arial"/>
      </rPr>
      <t xml:space="preserve">Allocatable (₹): </t>
    </r>
    <r>
      <rPr>
        <sz val="10"/>
        <rFont val="Arial"/>
      </rPr>
      <t>Total Challan Amount minus Late Fees u/s 234E — late fees are a separate govt levy, excluded from what TDS entries can consume. Do not edit.</t>
    </r>
  </si>
  <si>
    <r>
      <rPr>
        <b/>
        <sz val="10"/>
        <rFont val="Arial"/>
      </rPr>
      <t xml:space="preserve">Balance (₹) [all quarters]: </t>
    </r>
    <r>
      <rPr>
        <sz val="10"/>
        <rFont val="Arial"/>
      </rPr>
      <t>MAX(0, Allocatable − Applied) — how much of this challan is still unconsumed across the whole year. Do not edit.</t>
    </r>
  </si>
  <si>
    <t>192 — Salary</t>
  </si>
  <si>
    <t>1004 : [192A] : 393(7) – Premature withdrawal from Employees' Provident Fund</t>
  </si>
  <si>
    <t>1019 : [193] : 393(1) [Table: S.N. 5(i)] – Interest on securities</t>
  </si>
  <si>
    <t>1029 : [194] : 393(1) [Table: S.N. 7] – Dividend</t>
  </si>
  <si>
    <t>1020 : [194A] : 393(1) [Table: S.N. 5(ii).D(a)] – Interest other than securities (Senior Citizens)</t>
  </si>
  <si>
    <t>1021 : [194A] : 393(1) [Table: S.N. 5(ii).D(b)] – Interest other than securities (Other Individuals)</t>
  </si>
  <si>
    <t>1022 : [194A] : 393(1) [Table: S.N. 5(iii)] – Interest other than securities (Others)</t>
  </si>
  <si>
    <t>1058 : [194B] : 393(3) [Table: Sl. No. 1] – Winnings from lottery, crossword puzzles, card games and other games</t>
  </si>
  <si>
    <t>1062 : [194BB] : 393(3) [Table: S.No. 3] – Winnings from horse races</t>
  </si>
  <si>
    <t>1023 : [194C] : 393(1) [Table: S.N. 6(i).D(a)] – Payments to contractors and sub-contractors (Individual/HUF)</t>
  </si>
  <si>
    <t>1024 : [194C]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</si>
  <si>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</si>
  <si>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</si>
  <si>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</si>
  <si>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</si>
  <si>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</si>
  <si>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</si>
  <si>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</si>
  <si>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</si>
  <si>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</si>
  <si>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</si>
  <si>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</si>
  <si>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</si>
  <si>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</si>
  <si>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</si>
  <si>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194M — Contractor/Professional by Ind</t>
  </si>
  <si>
    <t>194O — E-Commerce</t>
  </si>
  <si>
    <t>1031 : [194Q] : 393(1) [Table: S.N. 8(ii)] – Purchase of goods (buyer TDS)</t>
  </si>
  <si>
    <t>1034 : [194R] : 393(1) [Table: S.N. 8(iv)] – Perquisite/benefit in business or profession (Cash)</t>
  </si>
  <si>
    <t>1035 : [194R]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</si>
  <si>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</si>
  <si>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</si>
  <si>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1057 : [195] : 393(2) [Table: Sl. No. 17] – Payment to a non-resident (other than salary)</t>
  </si>
  <si>
    <t>1050 : [196A] : 393(2) – Income from units of a specified mutual fund/UTI paid to a non-resident</t>
  </si>
  <si>
    <t>1055 : [196D] : 393(2) [Table: Sl. No. 15] – Income of Foreign Institutional Investors from securities</t>
  </si>
  <si>
    <t>1073 : [206C(1)] : 394(1) [Table: S.N. 4] – Sale of scrap (TCS)</t>
  </si>
  <si>
    <t>206C(1H) — Sale of Goods (TCS) — NOTE: this TCS provision was abolished by the Finance Act 2025, effective 1-Apr-2025, a full year before the Section 393 reform even took effect. It no longer applies to any transaction from FY2025-26 onward.</t>
  </si>
  <si>
    <t>Q1 — each Challan row's full details, followed by its Entry rows</t>
  </si>
  <si>
    <t>Sr. No.</t>
  </si>
  <si>
    <t>Row Type*</t>
  </si>
  <si>
    <t>BSR Code*</t>
  </si>
  <si>
    <t>Challan Serial No.*</t>
  </si>
  <si>
    <t>Status</t>
  </si>
  <si>
    <t>Date of Deposit*</t>
  </si>
  <si>
    <t>Minor Head*</t>
  </si>
  <si>
    <t>Section</t>
  </si>
  <si>
    <t>Tax Deposited (₹)*</t>
  </si>
  <si>
    <t>Surcharge Deposited (₹)</t>
  </si>
  <si>
    <t>Education Cess Deposited (₹)</t>
  </si>
  <si>
    <t>Interest Deposited (₹)</t>
  </si>
  <si>
    <t>Others Deposited (₹)</t>
  </si>
  <si>
    <t>Late Fees u/s 234E (₹)</t>
  </si>
  <si>
    <t>Late Fees Used (₹)</t>
  </si>
  <si>
    <t>Total Challan Amount (₹)</t>
  </si>
  <si>
    <t>Bank Name</t>
  </si>
  <si>
    <t>Book Entry?</t>
  </si>
  <si>
    <t>Transfer Voucher No.</t>
  </si>
  <si>
    <t>Cheque/DD No.</t>
  </si>
  <si>
    <t>Challan Remarks</t>
  </si>
  <si>
    <t>Deductee Name*</t>
  </si>
  <si>
    <t>PAN*</t>
  </si>
  <si>
    <t>PAN Not Available (auto)</t>
  </si>
  <si>
    <t>Deductee Type</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</si>
  <si>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</si>
  <si>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</si>
  <si>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</si>
  <si>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</si>
  <si>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</si>
  <si>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</si>
  <si>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</si>
  <si>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</si>
  <si>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</si>
  <si>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</si>
  <si>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</si>
  <si>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</si>
  <si>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</si>
  <si>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Remarks</t>
  </si>
  <si>
    <t>Applied (₹) [all quarters]</t>
  </si>
  <si>
    <t>Allocatable (₹)</t>
  </si>
  <si>
    <t>Balance (₹) [all quarters]</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</si>
  <si>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</si>
  <si>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</si>
  <si>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</si>
  <si>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</si>
  <si>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</si>
  <si>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</si>
  <si>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</si>
  <si>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</si>
  <si>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</si>
  <si>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</si>
  <si>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</si>
  <si>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</si>
  <si>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</si>
  <si>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</si>
  <si>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</si>
  <si>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</si>
  <si>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</si>
  <si>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</si>
  <si>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</si>
  <si>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</si>
  <si>
    <t>Q2 — each Challan row's full details, followed by its Entry rows</t>
  </si>
  <si>
    <t>Q3 — each Challan row's full details, followed by its Entry rows</t>
  </si>
  <si>
    <t>Q4 — each Challan row's full details, followed by its Entry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</si>
</sst>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1"/>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center"/>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1" xfId="0" applyFont="1" applyFill="1" applyBorder="1" applyAlignment="1" applyProtection="1">
      <alignment horizontal="center" vertical="center"/>
    </xf>
    <xf numFmtId="0" fontId="7" fillId="3" borderId="1" xfId="0" applyFont="1" applyFill="1" applyBorder="1" applyAlignment="1" applyProtection="1">
      <alignment horizontal="left" vertical="center"/>
      <protection locked="0"/>
    </xf>
    <xf numFmtId="49" fontId="7" fillId="3" borderId="1" xfId="0" applyNumberFormat="1" applyFont="1" applyFill="1" applyBorder="1" applyAlignment="1" applyProtection="1">
      <alignment horizontal="left" vertical="center"/>
      <protection locked="0"/>
    </xf>
    <xf numFmtId="0" fontId="7" fillId="3" borderId="1" xfId="0" applyFont="1" applyFill="1" applyBorder="1" applyAlignment="1" applyProtection="1">
      <alignment horizontal="left" vertical="center"/>
    </xf>
    <xf numFmtId="164"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protection locked="0"/>
    </xf>
    <xf numFmtId="164" fontId="7" fillId="3" borderId="1" xfId="0" applyNumberFormat="1" applyFont="1" applyFill="1" applyBorder="1" applyProtection="1"/>
    <xf numFmtId="0" fontId="7" fillId="3" borderId="1" xfId="0" applyFont="1" applyFill="1" applyBorder="1" applyProtection="1"/>
    <xf numFmtId="0" fontId="4" fillId="4" borderId="1" xfId="0" applyFont="1" applyFill="1" applyBorder="1" applyAlignment="1" applyProtection="1">
      <alignment horizontal="center" vertical="center"/>
    </xf>
    <xf numFmtId="0" fontId="4" fillId="5" borderId="1" xfId="0" applyFont="1" applyFill="1" applyBorder="1" applyAlignment="1" applyProtection="1">
      <alignment horizontal="left" vertical="center"/>
      <protection locked="0"/>
    </xf>
    <xf numFmtId="49" fontId="4" fillId="6" borderId="1" xfId="0" applyNumberFormat="1" applyFont="1" applyFill="1" applyBorder="1" applyAlignment="1" applyProtection="1">
      <alignment horizontal="left" vertical="center"/>
      <protection locked="0"/>
    </xf>
    <xf numFmtId="0" fontId="4" fillId="4" borderId="1" xfId="0" applyFont="1" applyFill="1" applyBorder="1" applyAlignment="1" applyProtection="1">
      <alignment horizontal="left" vertical="center"/>
    </xf>
    <xf numFmtId="164" fontId="4" fillId="6" borderId="1" xfId="0" applyNumberFormat="1" applyFont="1" applyFill="1" applyBorder="1" applyAlignment="1" applyProtection="1">
      <alignment horizontal="left" vertical="center"/>
      <protection locked="0"/>
    </xf>
    <xf numFmtId="0" fontId="4" fillId="6" borderId="1" xfId="0" applyFont="1" applyFill="1" applyBorder="1" applyAlignment="1" applyProtection="1">
      <alignment horizontal="left" vertical="center"/>
      <protection locked="0"/>
    </xf>
    <xf numFmtId="3" fontId="4" fillId="6" borderId="1" xfId="0" applyNumberFormat="1" applyFont="1" applyFill="1" applyBorder="1" applyAlignment="1" applyProtection="1">
      <alignment horizontal="left" vertical="center"/>
      <protection locked="0"/>
    </xf>
    <xf numFmtId="3" fontId="4" fillId="4" borderId="1" xfId="0" applyNumberFormat="1" applyFont="1" applyFill="1" applyBorder="1" applyAlignment="1" applyProtection="1">
      <alignment horizontal="left" vertical="center"/>
    </xf>
    <xf numFmtId="0" fontId="4" fillId="7" borderId="1" xfId="0" applyFont="1" applyFill="1" applyBorder="1" applyAlignment="1" applyProtection="1">
      <alignment horizontal="left" vertical="center"/>
      <protection locked="0"/>
    </xf>
    <xf numFmtId="2" fontId="4" fillId="4" borderId="1" xfId="0" applyNumberFormat="1" applyFont="1" applyFill="1" applyBorder="1" applyAlignment="1" applyProtection="1">
      <alignment horizontal="left" vertical="center"/>
    </xf>
    <xf numFmtId="164" fontId="4" fillId="7" borderId="1" xfId="0" applyNumberFormat="1" applyFont="1" applyFill="1" applyBorder="1" applyAlignment="1" applyProtection="1">
      <alignment horizontal="left" vertical="center"/>
      <protection locked="0"/>
    </xf>
    <xf numFmtId="3" fontId="4" fillId="7" borderId="1" xfId="0" applyNumberFormat="1" applyFont="1" applyFill="1" applyBorder="1" applyAlignment="1" applyProtection="1">
      <alignment horizontal="left" vertical="center"/>
      <protection locked="0"/>
    </xf>
    <xf numFmtId="2" fontId="4" fillId="7" borderId="1"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36">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1"/>
  <sheetViews>
    <sheetView workbookViewId="0" showGridLines="0"/>
  </sheetViews>
  <sheetFormatPr defaultRowHeight="15" outlineLevelRow="0" outlineLevelCol="0" x14ac:dyDescent="55"/>
  <cols>
    <col min="1" max="1" width="100" customWidth="1"/>
  </cols>
  <sheetData>
    <row r="1" spans="1:1" x14ac:dyDescent="0.25">
      <c r="A1" s="1" t="s">
        <v>0</v>
      </c>
    </row>
    <row r="3" spans="1:1" x14ac:dyDescent="0.25">
      <c r="A3" s="2" t="s">
        <v>1</v>
      </c>
    </row>
    <row r="5" spans="1:1" x14ac:dyDescent="0.25">
      <c r="A5" s="3" t="s">
        <v>2</v>
      </c>
    </row>
    <row r="6" ht="65" customHeight="1" spans="1:1" x14ac:dyDescent="0.25">
      <c r="A6" s="4" t="s">
        <v>3</v>
      </c>
    </row>
    <row r="7" ht="65" customHeight="1" spans="1:1" x14ac:dyDescent="0.25">
      <c r="A7" s="4" t="s">
        <v>4</v>
      </c>
    </row>
    <row r="8" ht="65" customHeight="1" spans="1:1" x14ac:dyDescent="0.25">
      <c r="A8" s="4" t="s">
        <v>5</v>
      </c>
    </row>
    <row r="9" ht="95" customHeight="1" spans="1:1" x14ac:dyDescent="0.25">
      <c r="A9" s="4" t="s">
        <v>6</v>
      </c>
    </row>
    <row r="10" ht="80" customHeight="1" spans="1:1" x14ac:dyDescent="0.25">
      <c r="A10" s="4" t="s">
        <v>7</v>
      </c>
    </row>
    <row r="11" ht="125" customHeight="1" spans="1:1" x14ac:dyDescent="0.25">
      <c r="A11" s="4" t="s">
        <v>8</v>
      </c>
    </row>
    <row r="12" ht="110" customHeight="1" spans="1:1" x14ac:dyDescent="0.25">
      <c r="A12" s="4" t="s">
        <v>9</v>
      </c>
    </row>
    <row r="13" ht="50" customHeight="1" spans="1:1" x14ac:dyDescent="0.25">
      <c r="A13" s="4" t="s">
        <v>10</v>
      </c>
    </row>
    <row r="14" ht="80" customHeight="1" spans="1:1" x14ac:dyDescent="0.25">
      <c r="A14" s="4" t="s">
        <v>11</v>
      </c>
    </row>
    <row r="15" ht="50" customHeight="1" spans="1:1" x14ac:dyDescent="0.25">
      <c r="A15" s="4" t="s">
        <v>12</v>
      </c>
    </row>
    <row r="16" ht="95" customHeight="1" spans="1:1" x14ac:dyDescent="0.25">
      <c r="A16" s="4" t="s">
        <v>13</v>
      </c>
    </row>
    <row r="17" ht="65" customHeight="1" spans="1:1" x14ac:dyDescent="0.25">
      <c r="A17" s="4" t="s">
        <v>14</v>
      </c>
    </row>
    <row r="18" ht="110" customHeight="1" spans="1:1" x14ac:dyDescent="0.25">
      <c r="A18" s="4" t="s">
        <v>15</v>
      </c>
    </row>
    <row r="19" ht="50" customHeight="1" spans="1:1" x14ac:dyDescent="0.25">
      <c r="A19" s="4" t="s">
        <v>16</v>
      </c>
    </row>
    <row r="20" ht="65" customHeight="1" spans="1:1" x14ac:dyDescent="0.25">
      <c r="A20" s="4" t="s">
        <v>17</v>
      </c>
    </row>
    <row r="22" spans="1:1" x14ac:dyDescent="0.25">
      <c r="A22" s="3" t="s">
        <v>18</v>
      </c>
    </row>
    <row r="23" ht="80" customHeight="1" spans="1:1" x14ac:dyDescent="0.25">
      <c r="A23" s="4" t="s">
        <v>19</v>
      </c>
    </row>
    <row r="24" ht="65" customHeight="1" spans="1:1" x14ac:dyDescent="0.25">
      <c r="A24" s="4" t="s">
        <v>20</v>
      </c>
    </row>
    <row r="26" spans="1:1" x14ac:dyDescent="0.25">
      <c r="A26" s="3" t="s">
        <v>21</v>
      </c>
    </row>
    <row r="27" ht="50" customHeight="1" spans="1:1" x14ac:dyDescent="0.25">
      <c r="A27" s="4" t="s">
        <v>22</v>
      </c>
    </row>
    <row r="28" ht="50" customHeight="1" spans="1:1" x14ac:dyDescent="0.25">
      <c r="A28" s="4" t="s">
        <v>23</v>
      </c>
    </row>
    <row r="29" ht="65" customHeight="1" spans="1:1" x14ac:dyDescent="0.25">
      <c r="A29" s="4" t="s">
        <v>24</v>
      </c>
    </row>
    <row r="31" spans="1:1" x14ac:dyDescent="0.25">
      <c r="A31" s="3" t="s">
        <v>25</v>
      </c>
    </row>
    <row r="32" ht="95" customHeight="1" spans="1:1" x14ac:dyDescent="0.25">
      <c r="A32" s="4" t="s">
        <v>26</v>
      </c>
    </row>
    <row r="33" ht="65" customHeight="1" spans="1:1" x14ac:dyDescent="0.25">
      <c r="A33" s="4" t="s">
        <v>27</v>
      </c>
    </row>
    <row r="34" ht="140" customHeight="1" spans="1:1" x14ac:dyDescent="0.25">
      <c r="A34" s="4" t="s">
        <v>28</v>
      </c>
    </row>
    <row r="36" spans="1:1" x14ac:dyDescent="0.25">
      <c r="A36" s="3" t="s">
        <v>29</v>
      </c>
    </row>
    <row r="37" ht="20" customHeight="1" spans="1:1" x14ac:dyDescent="0.25">
      <c r="A37" s="5" t="s">
        <v>30</v>
      </c>
    </row>
    <row r="38" ht="50" customHeight="1" spans="1:1" x14ac:dyDescent="0.25">
      <c r="A38" s="5" t="s">
        <v>31</v>
      </c>
    </row>
    <row r="39" ht="50" customHeight="1" spans="1:1" x14ac:dyDescent="0.25">
      <c r="A39" s="5" t="s">
        <v>32</v>
      </c>
    </row>
    <row r="40" ht="20" customHeight="1" spans="1:1" x14ac:dyDescent="0.25">
      <c r="A40" s="5" t="s">
        <v>33</v>
      </c>
    </row>
    <row r="41" ht="20" customHeight="1" spans="1:1" x14ac:dyDescent="0.25">
      <c r="A41" s="5" t="s">
        <v>34</v>
      </c>
    </row>
    <row r="42" ht="65" customHeight="1" spans="1:1" x14ac:dyDescent="0.25">
      <c r="A42" s="5" t="s">
        <v>35</v>
      </c>
    </row>
    <row r="43" ht="20" customHeight="1" spans="1:1" x14ac:dyDescent="0.25">
      <c r="A43" s="5" t="s">
        <v>36</v>
      </c>
    </row>
    <row r="44" ht="20" customHeight="1" spans="1:1" x14ac:dyDescent="0.25">
      <c r="A44" s="5" t="s">
        <v>37</v>
      </c>
    </row>
    <row r="45" ht="20" customHeight="1" spans="1:1" x14ac:dyDescent="0.25">
      <c r="A45" s="5" t="s">
        <v>38</v>
      </c>
    </row>
    <row r="46" ht="20" customHeight="1" spans="1:1" x14ac:dyDescent="0.25">
      <c r="A46" s="5" t="s">
        <v>39</v>
      </c>
    </row>
    <row r="47" ht="20" customHeight="1" spans="1:1" x14ac:dyDescent="0.25">
      <c r="A47" s="5" t="s">
        <v>40</v>
      </c>
    </row>
    <row r="48" ht="35" customHeight="1" spans="1:1" x14ac:dyDescent="0.25">
      <c r="A48" s="5" t="s">
        <v>41</v>
      </c>
    </row>
    <row r="49" ht="35" customHeight="1" spans="1:1" x14ac:dyDescent="0.25">
      <c r="A49" s="5" t="s">
        <v>42</v>
      </c>
    </row>
    <row r="50" ht="35" customHeight="1" spans="1:1" x14ac:dyDescent="0.25">
      <c r="A50" s="5" t="s">
        <v>43</v>
      </c>
    </row>
    <row r="51" ht="20" customHeight="1" spans="1:1" x14ac:dyDescent="0.25">
      <c r="A51" s="5" t="s">
        <v>44</v>
      </c>
    </row>
    <row r="52" ht="20" customHeight="1" spans="1:1" x14ac:dyDescent="0.25">
      <c r="A52" s="5" t="s">
        <v>45</v>
      </c>
    </row>
    <row r="53" ht="20" customHeight="1" spans="1:1" x14ac:dyDescent="0.25">
      <c r="A53" s="5" t="s">
        <v>46</v>
      </c>
    </row>
    <row r="54" ht="50" customHeight="1" spans="1:1" x14ac:dyDescent="0.25">
      <c r="A54" s="5" t="s">
        <v>47</v>
      </c>
    </row>
    <row r="55" ht="20" customHeight="1" spans="1:1" x14ac:dyDescent="0.25">
      <c r="A55" s="5" t="s">
        <v>48</v>
      </c>
    </row>
    <row r="57" spans="1:1" x14ac:dyDescent="0.25">
      <c r="A57" s="3" t="s">
        <v>49</v>
      </c>
    </row>
    <row r="58" ht="35" customHeight="1" spans="1:1" x14ac:dyDescent="0.25">
      <c r="A58" s="5" t="s">
        <v>50</v>
      </c>
    </row>
    <row r="59" ht="20" customHeight="1" spans="1:1" x14ac:dyDescent="0.25">
      <c r="A59" s="5" t="s">
        <v>51</v>
      </c>
    </row>
    <row r="60" ht="65" customHeight="1" spans="1:1" x14ac:dyDescent="0.25">
      <c r="A60" s="5" t="s">
        <v>52</v>
      </c>
    </row>
    <row r="61" ht="50" customHeight="1" spans="1:1" x14ac:dyDescent="0.25">
      <c r="A61" s="5" t="s">
        <v>53</v>
      </c>
    </row>
    <row r="62" ht="35" customHeight="1" spans="1:1" x14ac:dyDescent="0.25">
      <c r="A62" s="5" t="s">
        <v>54</v>
      </c>
    </row>
    <row r="63" ht="65" customHeight="1" spans="1:1" x14ac:dyDescent="0.25">
      <c r="A63" s="5" t="s">
        <v>55</v>
      </c>
    </row>
    <row r="64" ht="50" customHeight="1" spans="1:1" x14ac:dyDescent="0.25">
      <c r="A64" s="5" t="s">
        <v>56</v>
      </c>
    </row>
    <row r="65" ht="20" customHeight="1" spans="1:1" x14ac:dyDescent="0.25">
      <c r="A65" s="5" t="s">
        <v>57</v>
      </c>
    </row>
    <row r="66" ht="20" customHeight="1" spans="1:1" x14ac:dyDescent="0.25">
      <c r="A66" s="5" t="s">
        <v>58</v>
      </c>
    </row>
    <row r="67" ht="20" customHeight="1" spans="1:1" x14ac:dyDescent="0.25">
      <c r="A67" s="5" t="s">
        <v>59</v>
      </c>
    </row>
    <row r="68" ht="20" customHeight="1" spans="1:1" x14ac:dyDescent="0.25">
      <c r="A68" s="5" t="s">
        <v>60</v>
      </c>
    </row>
    <row r="69" ht="20" customHeight="1" spans="1:1" x14ac:dyDescent="0.25">
      <c r="A69" s="5" t="s">
        <v>61</v>
      </c>
    </row>
    <row r="70" ht="35" customHeight="1" spans="1:1" x14ac:dyDescent="0.25">
      <c r="A70" s="5" t="s">
        <v>62</v>
      </c>
    </row>
    <row r="71" ht="20" customHeight="1" spans="1:1" x14ac:dyDescent="0.25">
      <c r="A71" s="5" t="s">
        <v>63</v>
      </c>
    </row>
    <row r="72" ht="35" customHeight="1" spans="1:1" x14ac:dyDescent="0.25">
      <c r="A72" s="5" t="s">
        <v>64</v>
      </c>
    </row>
    <row r="73" ht="20" customHeight="1" spans="1:1" x14ac:dyDescent="0.25">
      <c r="A73" s="5" t="s">
        <v>65</v>
      </c>
    </row>
    <row r="74" ht="20" customHeight="1" spans="1:1" x14ac:dyDescent="0.25">
      <c r="A74" s="5" t="s">
        <v>66</v>
      </c>
    </row>
    <row r="75" ht="20" customHeight="1" spans="1:1" x14ac:dyDescent="0.25">
      <c r="A75" s="5" t="s">
        <v>67</v>
      </c>
    </row>
    <row r="76" ht="20" customHeight="1" spans="1:1" x14ac:dyDescent="0.25">
      <c r="A76" s="5" t="s">
        <v>68</v>
      </c>
    </row>
    <row r="78" spans="1:1" x14ac:dyDescent="0.25">
      <c r="A78" s="3" t="s">
        <v>69</v>
      </c>
    </row>
    <row r="79" ht="35" customHeight="1" spans="1:1" x14ac:dyDescent="0.25">
      <c r="A79" s="5" t="s">
        <v>70</v>
      </c>
    </row>
    <row r="80" ht="35" customHeight="1" spans="1:1" x14ac:dyDescent="0.25">
      <c r="A80" s="5" t="s">
        <v>71</v>
      </c>
    </row>
    <row r="81" ht="35" customHeight="1" spans="1:1" x14ac:dyDescent="0.25">
      <c r="A81" s="5" t="s">
        <v>72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7"/>
  <sheetFormatPr defaultRowHeight="15" outlineLevelRow="0" outlineLevelCol="0" x14ac:dyDescent="55"/>
  <sheetData>
    <row r="1" spans="1:7" x14ac:dyDescent="0.25">
      <c r="A1" t="s">
        <v>73</v>
      </c>
      <c r="B1">
        <v>0</v>
      </c>
      <c r="C1">
        <v>0</v>
      </c>
      <c r="D1">
        <v>20</v>
      </c>
      <c r="F1" t="s">
        <v>73</v>
      </c>
      <c r="G1" t="s">
        <v>73</v>
      </c>
    </row>
    <row r="2" spans="1:7" x14ac:dyDescent="0.25">
      <c r="A2" t="s">
        <v>74</v>
      </c>
      <c r="B2">
        <v>10</v>
      </c>
      <c r="C2">
        <v>10</v>
      </c>
      <c r="D2">
        <v>20</v>
      </c>
      <c r="F2" t="s">
        <v>74</v>
      </c>
      <c r="G2" t="s">
        <v>74</v>
      </c>
    </row>
    <row r="3" spans="1:7" x14ac:dyDescent="0.25">
      <c r="A3" t="s">
        <v>75</v>
      </c>
      <c r="B3">
        <v>10</v>
      </c>
      <c r="C3">
        <v>10</v>
      </c>
      <c r="D3">
        <v>20</v>
      </c>
      <c r="F3" t="s">
        <v>75</v>
      </c>
      <c r="G3" t="s">
        <v>75</v>
      </c>
    </row>
    <row r="4" spans="1:7" x14ac:dyDescent="0.25">
      <c r="A4" t="s">
        <v>76</v>
      </c>
      <c r="B4">
        <v>10</v>
      </c>
      <c r="C4">
        <v>10</v>
      </c>
      <c r="D4">
        <v>20</v>
      </c>
      <c r="F4" t="s">
        <v>76</v>
      </c>
      <c r="G4" t="s">
        <v>76</v>
      </c>
    </row>
    <row r="5" spans="1:7" x14ac:dyDescent="0.25">
      <c r="A5" t="s">
        <v>77</v>
      </c>
      <c r="B5">
        <v>10</v>
      </c>
      <c r="C5">
        <v>10</v>
      </c>
      <c r="D5">
        <v>20</v>
      </c>
      <c r="F5" t="s">
        <v>77</v>
      </c>
      <c r="G5" t="s">
        <v>77</v>
      </c>
    </row>
    <row r="6" spans="1:7" x14ac:dyDescent="0.25">
      <c r="A6" t="s">
        <v>78</v>
      </c>
      <c r="B6">
        <v>10</v>
      </c>
      <c r="C6">
        <v>10</v>
      </c>
      <c r="D6">
        <v>20</v>
      </c>
      <c r="F6" t="s">
        <v>78</v>
      </c>
      <c r="G6" t="s">
        <v>78</v>
      </c>
    </row>
    <row r="7" spans="1:7" x14ac:dyDescent="0.25">
      <c r="A7" t="s">
        <v>79</v>
      </c>
      <c r="B7">
        <v>10</v>
      </c>
      <c r="C7">
        <v>10</v>
      </c>
      <c r="D7">
        <v>20</v>
      </c>
      <c r="F7" t="s">
        <v>79</v>
      </c>
      <c r="G7" t="s">
        <v>79</v>
      </c>
    </row>
    <row r="8" spans="1:7" x14ac:dyDescent="0.25">
      <c r="A8" t="s">
        <v>80</v>
      </c>
      <c r="B8">
        <v>30</v>
      </c>
      <c r="C8">
        <v>30</v>
      </c>
      <c r="D8">
        <v>30</v>
      </c>
      <c r="F8" t="s">
        <v>80</v>
      </c>
      <c r="G8" t="s">
        <v>80</v>
      </c>
    </row>
    <row r="9" spans="1:7" x14ac:dyDescent="0.25">
      <c r="A9" t="s">
        <v>81</v>
      </c>
      <c r="B9">
        <v>30</v>
      </c>
      <c r="C9">
        <v>30</v>
      </c>
      <c r="D9">
        <v>30</v>
      </c>
      <c r="F9" t="s">
        <v>81</v>
      </c>
      <c r="G9" t="s">
        <v>81</v>
      </c>
    </row>
    <row r="10" spans="1:7" x14ac:dyDescent="0.25">
      <c r="A10" t="s">
        <v>82</v>
      </c>
      <c r="B10">
        <v>1</v>
      </c>
      <c r="C10">
        <v>1</v>
      </c>
      <c r="D10">
        <v>20</v>
      </c>
      <c r="F10" t="s">
        <v>82</v>
      </c>
      <c r="G10" t="s">
        <v>83</v>
      </c>
    </row>
    <row r="11" spans="1:7" x14ac:dyDescent="0.25">
      <c r="A11" t="s">
        <v>83</v>
      </c>
      <c r="B11">
        <v>2</v>
      </c>
      <c r="C11">
        <v>2</v>
      </c>
      <c r="D11">
        <v>20</v>
      </c>
      <c r="F11" t="s">
        <v>84</v>
      </c>
      <c r="G11" t="s">
        <v>84</v>
      </c>
    </row>
    <row r="12" spans="1:7" x14ac:dyDescent="0.25">
      <c r="A12" t="s">
        <v>84</v>
      </c>
      <c r="B12">
        <v>2</v>
      </c>
      <c r="C12">
        <v>10</v>
      </c>
      <c r="D12">
        <v>20</v>
      </c>
      <c r="F12" t="s">
        <v>85</v>
      </c>
      <c r="G12" t="s">
        <v>85</v>
      </c>
    </row>
    <row r="13" spans="1:7" x14ac:dyDescent="0.25">
      <c r="A13" t="s">
        <v>85</v>
      </c>
      <c r="B13">
        <v>2</v>
      </c>
      <c r="C13">
        <v>2</v>
      </c>
      <c r="D13">
        <v>20</v>
      </c>
      <c r="F13" t="s">
        <v>86</v>
      </c>
      <c r="G13" t="s">
        <v>86</v>
      </c>
    </row>
    <row r="14" spans="1:7" x14ac:dyDescent="0.25">
      <c r="A14" t="s">
        <v>86</v>
      </c>
      <c r="B14">
        <v>2</v>
      </c>
      <c r="C14">
        <v>2</v>
      </c>
      <c r="D14">
        <v>20</v>
      </c>
      <c r="F14" t="s">
        <v>87</v>
      </c>
      <c r="G14" t="s">
        <v>87</v>
      </c>
    </row>
    <row r="15" spans="1:7" x14ac:dyDescent="0.25">
      <c r="A15" t="s">
        <v>87</v>
      </c>
      <c r="B15">
        <v>2</v>
      </c>
      <c r="C15">
        <v>2</v>
      </c>
      <c r="D15">
        <v>20</v>
      </c>
      <c r="F15" t="s">
        <v>88</v>
      </c>
      <c r="G15" t="s">
        <v>88</v>
      </c>
    </row>
    <row r="16" spans="1:7" x14ac:dyDescent="0.25">
      <c r="A16" t="s">
        <v>88</v>
      </c>
      <c r="B16">
        <v>2</v>
      </c>
      <c r="C16">
        <v>2</v>
      </c>
      <c r="D16">
        <v>20</v>
      </c>
      <c r="F16" t="s">
        <v>89</v>
      </c>
      <c r="G16" t="s">
        <v>89</v>
      </c>
    </row>
    <row r="17" spans="1:7" x14ac:dyDescent="0.25">
      <c r="A17" t="s">
        <v>89</v>
      </c>
      <c r="B17">
        <v>10</v>
      </c>
      <c r="C17">
        <v>10</v>
      </c>
      <c r="D17">
        <v>20</v>
      </c>
      <c r="F17" t="s">
        <v>90</v>
      </c>
      <c r="G17" t="s">
        <v>90</v>
      </c>
    </row>
    <row r="18" spans="1:7" x14ac:dyDescent="0.25">
      <c r="A18" t="s">
        <v>90</v>
      </c>
      <c r="B18">
        <v>1</v>
      </c>
      <c r="C18">
        <v>1</v>
      </c>
      <c r="D18">
        <v>20</v>
      </c>
      <c r="F18" t="s">
        <v>91</v>
      </c>
      <c r="G18" t="s">
        <v>91</v>
      </c>
    </row>
    <row r="19" spans="1:7" x14ac:dyDescent="0.25">
      <c r="A19" t="s">
        <v>91</v>
      </c>
      <c r="B19">
        <v>2</v>
      </c>
      <c r="C19">
        <v>0</v>
      </c>
      <c r="D19">
        <v>20</v>
      </c>
      <c r="F19" t="s">
        <v>92</v>
      </c>
      <c r="G19" t="s">
        <v>92</v>
      </c>
    </row>
    <row r="20" spans="1:7" x14ac:dyDescent="0.25">
      <c r="A20" t="s">
        <v>92</v>
      </c>
      <c r="B20">
        <v>10</v>
      </c>
      <c r="C20">
        <v>10</v>
      </c>
      <c r="D20">
        <v>20</v>
      </c>
      <c r="F20" t="s">
        <v>93</v>
      </c>
      <c r="G20" t="s">
        <v>93</v>
      </c>
    </row>
    <row r="21" spans="1:7" x14ac:dyDescent="0.25">
      <c r="A21" t="s">
        <v>93</v>
      </c>
      <c r="B21">
        <v>10</v>
      </c>
      <c r="C21">
        <v>10</v>
      </c>
      <c r="D21">
        <v>20</v>
      </c>
      <c r="F21" t="s">
        <v>94</v>
      </c>
      <c r="G21" t="s">
        <v>94</v>
      </c>
    </row>
    <row r="22" spans="1:7" x14ac:dyDescent="0.25">
      <c r="A22" t="s">
        <v>94</v>
      </c>
      <c r="B22">
        <v>2</v>
      </c>
      <c r="C22">
        <v>2</v>
      </c>
      <c r="D22">
        <v>20</v>
      </c>
      <c r="F22" t="s">
        <v>95</v>
      </c>
      <c r="G22" t="s">
        <v>95</v>
      </c>
    </row>
    <row r="23" spans="1:7" x14ac:dyDescent="0.25">
      <c r="A23" t="s">
        <v>95</v>
      </c>
      <c r="B23">
        <v>10</v>
      </c>
      <c r="C23">
        <v>10</v>
      </c>
      <c r="D23">
        <v>20</v>
      </c>
      <c r="F23" t="s">
        <v>96</v>
      </c>
      <c r="G23" t="s">
        <v>96</v>
      </c>
    </row>
    <row r="24" spans="1:7" x14ac:dyDescent="0.25">
      <c r="A24" t="s">
        <v>96</v>
      </c>
      <c r="B24">
        <v>10</v>
      </c>
      <c r="C24">
        <v>10</v>
      </c>
      <c r="D24">
        <v>20</v>
      </c>
      <c r="F24" t="s">
        <v>97</v>
      </c>
      <c r="G24" t="s">
        <v>97</v>
      </c>
    </row>
    <row r="25" spans="1:7" x14ac:dyDescent="0.25">
      <c r="A25" t="s">
        <v>97</v>
      </c>
      <c r="B25">
        <v>5</v>
      </c>
      <c r="C25">
        <v>5</v>
      </c>
      <c r="D25">
        <v>20</v>
      </c>
      <c r="F25" t="s">
        <v>98</v>
      </c>
      <c r="G25" t="s">
        <v>98</v>
      </c>
    </row>
    <row r="26" spans="1:7" x14ac:dyDescent="0.25">
      <c r="A26" t="s">
        <v>98</v>
      </c>
      <c r="B26">
        <v>2</v>
      </c>
      <c r="C26">
        <v>0</v>
      </c>
      <c r="D26">
        <v>20</v>
      </c>
      <c r="F26" t="s">
        <v>99</v>
      </c>
      <c r="G26" t="s">
        <v>99</v>
      </c>
    </row>
    <row r="27" spans="1:7" x14ac:dyDescent="0.25">
      <c r="A27" t="s">
        <v>99</v>
      </c>
      <c r="B27">
        <v>1</v>
      </c>
      <c r="C27">
        <v>1</v>
      </c>
      <c r="D27">
        <v>20</v>
      </c>
      <c r="F27" t="s">
        <v>100</v>
      </c>
      <c r="G27" t="s">
        <v>100</v>
      </c>
    </row>
    <row r="28" spans="1:7" x14ac:dyDescent="0.25">
      <c r="A28" t="s">
        <v>100</v>
      </c>
      <c r="B28">
        <v>0.1</v>
      </c>
      <c r="C28">
        <v>0.1</v>
      </c>
      <c r="D28">
        <v>5</v>
      </c>
      <c r="F28" t="s">
        <v>101</v>
      </c>
      <c r="G28" t="s">
        <v>101</v>
      </c>
    </row>
    <row r="29" spans="1:7" x14ac:dyDescent="0.25">
      <c r="A29" t="s">
        <v>101</v>
      </c>
      <c r="B29">
        <v>10</v>
      </c>
      <c r="C29">
        <v>10</v>
      </c>
      <c r="D29">
        <v>20</v>
      </c>
      <c r="F29" t="s">
        <v>102</v>
      </c>
      <c r="G29" t="s">
        <v>102</v>
      </c>
    </row>
    <row r="30" spans="1:7" x14ac:dyDescent="0.25">
      <c r="A30" t="s">
        <v>102</v>
      </c>
      <c r="B30">
        <v>10</v>
      </c>
      <c r="C30">
        <v>10</v>
      </c>
      <c r="D30">
        <v>20</v>
      </c>
      <c r="F30" t="s">
        <v>103</v>
      </c>
      <c r="G30" t="s">
        <v>103</v>
      </c>
    </row>
    <row r="31" spans="1:7" x14ac:dyDescent="0.25">
      <c r="A31" t="s">
        <v>103</v>
      </c>
      <c r="B31">
        <v>1</v>
      </c>
      <c r="C31">
        <v>1</v>
      </c>
      <c r="D31">
        <v>20</v>
      </c>
      <c r="F31" t="s">
        <v>104</v>
      </c>
      <c r="G31" t="s">
        <v>104</v>
      </c>
    </row>
    <row r="32" spans="1:7" x14ac:dyDescent="0.25">
      <c r="A32" t="s">
        <v>104</v>
      </c>
      <c r="B32">
        <v>10</v>
      </c>
      <c r="C32">
        <v>0</v>
      </c>
      <c r="D32">
        <v>20</v>
      </c>
      <c r="F32" t="s">
        <v>105</v>
      </c>
      <c r="G32" t="s">
        <v>105</v>
      </c>
    </row>
    <row r="33" spans="1:7" x14ac:dyDescent="0.25">
      <c r="A33" t="s">
        <v>105</v>
      </c>
      <c r="B33">
        <v>0</v>
      </c>
      <c r="C33">
        <v>0</v>
      </c>
      <c r="D33">
        <v>20</v>
      </c>
      <c r="F33" t="s">
        <v>106</v>
      </c>
      <c r="G33" t="s">
        <v>106</v>
      </c>
    </row>
    <row r="34" spans="1:7" x14ac:dyDescent="0.25">
      <c r="A34" t="s">
        <v>106</v>
      </c>
      <c r="B34">
        <v>10</v>
      </c>
      <c r="C34">
        <v>10</v>
      </c>
      <c r="D34">
        <v>20</v>
      </c>
      <c r="F34" t="s">
        <v>107</v>
      </c>
      <c r="G34" t="s">
        <v>107</v>
      </c>
    </row>
    <row r="35" spans="1:7" x14ac:dyDescent="0.25">
      <c r="A35" t="s">
        <v>107</v>
      </c>
      <c r="B35">
        <v>20</v>
      </c>
      <c r="C35">
        <v>20</v>
      </c>
      <c r="D35">
        <v>20</v>
      </c>
      <c r="F35" t="s">
        <v>108</v>
      </c>
      <c r="G35" t="s">
        <v>108</v>
      </c>
    </row>
    <row r="36" spans="1:7" x14ac:dyDescent="0.25">
      <c r="A36" t="s">
        <v>108</v>
      </c>
      <c r="B36">
        <v>1</v>
      </c>
      <c r="C36">
        <v>1</v>
      </c>
      <c r="D36">
        <v>5</v>
      </c>
      <c r="F36" t="s">
        <v>109</v>
      </c>
      <c r="G36" t="s">
        <v>109</v>
      </c>
    </row>
    <row r="37" spans="1:7" x14ac:dyDescent="0.25">
      <c r="A37" t="s">
        <v>109</v>
      </c>
      <c r="B37">
        <v>0.1</v>
      </c>
      <c r="C37">
        <v>0.1</v>
      </c>
      <c r="D37">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9">
        <f>IF($B4="Entry",COUNTIF($B$4:$B4,"Entry"),"")</f>
      </c>
      <c r="B4" s="10" t="s">
        <v>155</v>
      </c>
      <c r="C4" s="11" t="s">
        <v>156</v>
      </c>
      <c r="D4" s="11" t="s">
        <v>157</v>
      </c>
      <c r="E4" s="12">
        <f>IF($B4&lt;&gt;"Challan","",IF(ROUND(AN4-AO4,2)&gt;0,"Over-applied",IF(ROUND(AN4-AO4,2)=0,"Fully Utilised","Unconsumed")))</f>
      </c>
      <c r="F4" s="13">
        <v>46177</v>
      </c>
      <c r="G4" s="10" t="s">
        <v>158</v>
      </c>
      <c r="H4" s="10" t="s">
        <v>83</v>
      </c>
      <c r="I4" s="14">
        <v>6558</v>
      </c>
      <c r="J4" s="14">
        <v>0</v>
      </c>
      <c r="K4" s="14">
        <v>0</v>
      </c>
      <c r="L4" s="14">
        <v>0</v>
      </c>
      <c r="M4" s="14">
        <v>0</v>
      </c>
      <c r="N4" s="14">
        <v>0</v>
      </c>
      <c r="O4" s="14">
        <v>0</v>
      </c>
      <c r="P4" s="15">
        <f>IF($B4&lt;&gt;"Challan","",I4+J4+K4+L4+M4+N4)</f>
      </c>
      <c r="Q4" s="10" t="s">
        <v>159</v>
      </c>
      <c r="R4" s="10" t="s">
        <v>160</v>
      </c>
      <c r="S4" s="10"/>
      <c r="T4" s="10"/>
      <c r="U4" s="10" t="s">
        <v>161</v>
      </c>
      <c r="V4" s="10"/>
      <c r="W4" s="10"/>
      <c r="X4" s="12">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12">
        <f>IF($B4="Entry",IF(LEN(W4)&lt;4,"",IF(UPPER(MID(W4,4,1))="P","Individual",IF(UPPER(MID(W4,4,1))="H","HUF",IF(UPPER(MID(W4,4,1))="C","Company",IF(UPPER(MID(W4,4,1))="F","Firm/LLP",IF(UPPER(MID(W4,4,1))="L","Local Authority",IF(UPPER(MID(W4,4,1))="T","Trust",IF(UPPER(MID(W4,4,1))="A","AOP",IF(UPPER(MID(W4,4,1))="B","BOI",IF(UPPER(MID(W4,4,1))="J","AJP",IF(UPPER(MID(W4,4,1))="G","Government",""))))))))))),IF($B4="Challan","",IF(W4&lt;&gt;"","◄ Set Row Type","")))</f>
      </c>
      <c r="Z4" s="10"/>
      <c r="AA4" s="16">
        <f>IF($B4&lt;&gt;"Entry","",IF(Z4="","",IF(X4="Y",SUMPRODUCT(('Rate Lookup'!$A$1:$A$37=Z4)*'Rate Lookup'!$D$1:$D$37),IF(OR(Y4="Individual",Y4="HUF"),SUMPRODUCT(('Rate Lookup'!$A$1:$A$37=Z4)*'Rate Lookup'!$B$1:$B$37),SUMPRODUCT(('Rate Lookup'!$A$1:$A$37=Z4)*'Rate Lookup'!$C$1:$C$37)))))</f>
      </c>
      <c r="AB4" s="13"/>
      <c r="AC4" s="14"/>
      <c r="AD4" s="15">
        <f>IF($B4&lt;&gt;"Entry","",ROUND(AC4*AA4/100,0))</f>
      </c>
      <c r="AE4" s="15">
        <f>IF($B4&lt;&gt;"Entry","",0)</f>
      </c>
      <c r="AF4" s="15">
        <f>IF($B4&lt;&gt;"Entry","",0)</f>
      </c>
      <c r="AG4" s="15">
        <f>IF($B4&lt;&gt;"Entry","",IF(OR(AD4=0,AB4="",AQ4="",AQ4&lt;=0),0,IF(AQ4&lt;=DATE(YEAR(AB4),MONTH(AB4)+1,7),0,ROUND(AD4*0.015*((YEAR(AQ4)-YEAR(AB4))*12+(MONTH(AQ4)-MONTH(AB4))+1),0))))</f>
      </c>
      <c r="AH4" s="15">
        <f>IF($B4&lt;&gt;"Entry","",0)</f>
      </c>
      <c r="AI4" s="10"/>
      <c r="AJ4" s="10"/>
      <c r="AK4" s="17"/>
      <c r="AL4" s="10"/>
      <c r="AM4" s="10"/>
      <c r="AN4" s="15">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15">
        <f>IF($B4&lt;&gt;"Challan","",P4-N4)</f>
      </c>
      <c r="AP4" s="15">
        <f>IF($B4&lt;&gt;"Challan","",MAX(0,AO4-AN4))</f>
      </c>
      <c r="AQ4" s="18">
        <f>IF($B4&lt;&gt;"Entry","",SUMPRODUCT(('Q1 Data'!$D$4:$D$207=D4)*('Q1 Data'!$B$4:$B$207="Challan")*'Q1 Data'!$F$4:$F$207)+SUMPRODUCT(('Q2 Data'!$D$4:$D$207=D4)*('Q2 Data'!$B$4:$B$207="Challan")*'Q2 Data'!$F$4:$F$207)+SUMPRODUCT(('Q3 Data'!$D$4:$D$207=D4)*('Q3 Data'!$B$4:$B$207="Challan")*'Q3 Data'!$F$4:$F$207)+SUMPRODUCT(('Q4 Data'!$D$4:$D$207=D4)*('Q4 Data'!$B$4:$B$207="Challan")*'Q4 Data'!$F$4:$F$207))</f>
      </c>
      <c r="AR4" s="19">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9">
        <f>IF($B5="Entry",COUNTIF($B$4:$B5,"Entry"),"")</f>
      </c>
      <c r="B5" s="10" t="s">
        <v>162</v>
      </c>
      <c r="C5" s="11"/>
      <c r="D5" s="11" t="s">
        <v>157</v>
      </c>
      <c r="E5" s="12">
        <f>IF($B5&lt;&gt;"Challan","",IF(ROUND(AN5-AO5,2)&gt;0,"Over-applied",IF(ROUND(AN5-AO5,2)=0,"Fully Utilised","Unconsumed")))</f>
      </c>
      <c r="F5" s="13"/>
      <c r="G5" s="10"/>
      <c r="H5" s="10"/>
      <c r="I5" s="14"/>
      <c r="J5" s="14"/>
      <c r="K5" s="14"/>
      <c r="L5" s="14"/>
      <c r="M5" s="14"/>
      <c r="N5" s="14"/>
      <c r="O5" s="14"/>
      <c r="P5" s="15">
        <f>IF($B5&lt;&gt;"Challan","",I5+J5+K5+L5+M5+N5)</f>
      </c>
      <c r="Q5" s="10"/>
      <c r="R5" s="10"/>
      <c r="S5" s="10"/>
      <c r="T5" s="10"/>
      <c r="U5" s="10"/>
      <c r="V5" s="10" t="s">
        <v>163</v>
      </c>
      <c r="W5" s="10" t="s">
        <v>164</v>
      </c>
      <c r="X5" s="12">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12">
        <f>IF($B5="Entry",IF(LEN(W5)&lt;4,"",IF(UPPER(MID(W5,4,1))="P","Individual",IF(UPPER(MID(W5,4,1))="H","HUF",IF(UPPER(MID(W5,4,1))="C","Company",IF(UPPER(MID(W5,4,1))="F","Firm/LLP",IF(UPPER(MID(W5,4,1))="L","Local Authority",IF(UPPER(MID(W5,4,1))="T","Trust",IF(UPPER(MID(W5,4,1))="A","AOP",IF(UPPER(MID(W5,4,1))="B","BOI",IF(UPPER(MID(W5,4,1))="J","AJP",IF(UPPER(MID(W5,4,1))="G","Government",""))))))))))),IF($B5="Challan","",IF(W5&lt;&gt;"","◄ Set Row Type","")))</f>
      </c>
      <c r="Z5" s="10" t="s">
        <v>83</v>
      </c>
      <c r="AA5" s="16">
        <f>IF($B5&lt;&gt;"Entry","",IF(Z5="","",IF(X5="Y",SUMPRODUCT(('Rate Lookup'!$A$1:$A$37=Z5)*'Rate Lookup'!$D$1:$D$37),IF(OR(Y5="Individual",Y5="HUF"),SUMPRODUCT(('Rate Lookup'!$A$1:$A$37=Z5)*'Rate Lookup'!$B$1:$B$37),SUMPRODUCT(('Rate Lookup'!$A$1:$A$37=Z5)*'Rate Lookup'!$C$1:$C$37)))))</f>
      </c>
      <c r="AB5" s="13">
        <v>46173</v>
      </c>
      <c r="AC5" s="14">
        <v>5558172</v>
      </c>
      <c r="AD5" s="15">
        <f>IF($B5&lt;&gt;"Entry","",ROUND(AC5*AA5/100,0))</f>
      </c>
      <c r="AE5" s="15">
        <f>IF($B5&lt;&gt;"Entry","",0)</f>
      </c>
      <c r="AF5" s="15">
        <f>IF($B5&lt;&gt;"Entry","",0)</f>
      </c>
      <c r="AG5" s="15">
        <f>IF($B5&lt;&gt;"Entry","",IF(OR(AD5=0,AB5="",AQ5="",AQ5&lt;=0),0,IF(AQ5&lt;=DATE(YEAR(AB5),MONTH(AB5)+1,7),0,ROUND(AD5*0.015*((YEAR(AQ5)-YEAR(AB5))*12+(MONTH(AQ5)-MONTH(AB5))+1),0))))</f>
      </c>
      <c r="AH5" s="15">
        <f>IF($B5&lt;&gt;"Entry","",0)</f>
      </c>
      <c r="AI5" s="10" t="s">
        <v>165</v>
      </c>
      <c r="AJ5" s="10" t="s">
        <v>165</v>
      </c>
      <c r="AK5" s="17" t="s">
        <v>165</v>
      </c>
      <c r="AL5" s="10"/>
      <c r="AM5" s="10" t="s">
        <v>165</v>
      </c>
      <c r="AN5" s="15">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15">
        <f>IF($B5&lt;&gt;"Challan","",P5-N5)</f>
      </c>
      <c r="AP5" s="15">
        <f>IF($B5&lt;&gt;"Challan","",MAX(0,AO5-AN5))</f>
      </c>
      <c r="AQ5" s="18">
        <f>IF($B5&lt;&gt;"Entry","",SUMPRODUCT(('Q1 Data'!$D$4:$D$207=D5)*('Q1 Data'!$B$4:$B$207="Challan")*'Q1 Data'!$F$4:$F$207)+SUMPRODUCT(('Q2 Data'!$D$4:$D$207=D5)*('Q2 Data'!$B$4:$B$207="Challan")*'Q2 Data'!$F$4:$F$207)+SUMPRODUCT(('Q3 Data'!$D$4:$D$207=D5)*('Q3 Data'!$B$4:$B$207="Challan")*'Q3 Data'!$F$4:$F$207)+SUMPRODUCT(('Q4 Data'!$D$4:$D$207=D5)*('Q4 Data'!$B$4:$B$207="Challan")*'Q4 Data'!$F$4:$F$207))</f>
      </c>
      <c r="AR5" s="19">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9">
        <f>IF($B6="Entry",COUNTIF($B$4:$B6,"Entry"),"")</f>
      </c>
      <c r="B6" s="10" t="s">
        <v>162</v>
      </c>
      <c r="C6" s="11"/>
      <c r="D6" s="11" t="s">
        <v>157</v>
      </c>
      <c r="E6" s="12">
        <f>IF($B6&lt;&gt;"Challan","",IF(ROUND(AN6-AO6,2)&gt;0,"Over-applied",IF(ROUND(AN6-AO6,2)=0,"Fully Utilised","Unconsumed")))</f>
      </c>
      <c r="F6" s="13"/>
      <c r="G6" s="10"/>
      <c r="H6" s="10"/>
      <c r="I6" s="14"/>
      <c r="J6" s="14"/>
      <c r="K6" s="14"/>
      <c r="L6" s="14"/>
      <c r="M6" s="14"/>
      <c r="N6" s="14"/>
      <c r="O6" s="14"/>
      <c r="P6" s="15">
        <f>IF($B6&lt;&gt;"Challan","",I6+J6+K6+L6+M6+N6)</f>
      </c>
      <c r="Q6" s="10"/>
      <c r="R6" s="10"/>
      <c r="S6" s="10"/>
      <c r="T6" s="10"/>
      <c r="U6" s="10"/>
      <c r="V6" s="10" t="s">
        <v>166</v>
      </c>
      <c r="W6" s="10" t="s">
        <v>167</v>
      </c>
      <c r="X6" s="12">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12">
        <f>IF($B6="Entry",IF(LEN(W6)&lt;4,"",IF(UPPER(MID(W6,4,1))="P","Individual",IF(UPPER(MID(W6,4,1))="H","HUF",IF(UPPER(MID(W6,4,1))="C","Company",IF(UPPER(MID(W6,4,1))="F","Firm/LLP",IF(UPPER(MID(W6,4,1))="L","Local Authority",IF(UPPER(MID(W6,4,1))="T","Trust",IF(UPPER(MID(W6,4,1))="A","AOP",IF(UPPER(MID(W6,4,1))="B","BOI",IF(UPPER(MID(W6,4,1))="J","AJP",IF(UPPER(MID(W6,4,1))="G","Government",""))))))))))),IF($B6="Challan","",IF(W6&lt;&gt;"","◄ Set Row Type","")))</f>
      </c>
      <c r="Z6" s="10" t="s">
        <v>83</v>
      </c>
      <c r="AA6" s="16">
        <f>IF($B6&lt;&gt;"Entry","",IF(Z6="","",IF(X6="Y",SUMPRODUCT(('Rate Lookup'!$A$1:$A$37=Z6)*'Rate Lookup'!$D$1:$D$37),IF(OR(Y6="Individual",Y6="HUF"),SUMPRODUCT(('Rate Lookup'!$A$1:$A$37=Z6)*'Rate Lookup'!$B$1:$B$37),SUMPRODUCT(('Rate Lookup'!$A$1:$A$37=Z6)*'Rate Lookup'!$C$1:$C$37)))))</f>
      </c>
      <c r="AB6" s="13">
        <v>46173</v>
      </c>
      <c r="AC6" s="14">
        <v>500000</v>
      </c>
      <c r="AD6" s="15">
        <f>IF($B6&lt;&gt;"Entry","",ROUND(AC6*AA6/100,0))</f>
      </c>
      <c r="AE6" s="15">
        <f>IF($B6&lt;&gt;"Entry","",0)</f>
      </c>
      <c r="AF6" s="15">
        <f>IF($B6&lt;&gt;"Entry","",0)</f>
      </c>
      <c r="AG6" s="15">
        <f>IF($B6&lt;&gt;"Entry","",IF(OR(AD6=0,AB6="",AQ6="",AQ6&lt;=0),0,IF(AQ6&lt;=DATE(YEAR(AB6),MONTH(AB6)+1,7),0,ROUND(AD6*0.015*((YEAR(AQ6)-YEAR(AB6))*12+(MONTH(AQ6)-MONTH(AB6))+1),0))))</f>
      </c>
      <c r="AH6" s="15">
        <f>IF($B6&lt;&gt;"Entry","",0)</f>
      </c>
      <c r="AI6" s="10" t="s">
        <v>165</v>
      </c>
      <c r="AJ6" s="10" t="s">
        <v>165</v>
      </c>
      <c r="AK6" s="17" t="s">
        <v>165</v>
      </c>
      <c r="AL6" s="10"/>
      <c r="AM6" s="10" t="s">
        <v>165</v>
      </c>
      <c r="AN6" s="15">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15">
        <f>IF($B6&lt;&gt;"Challan","",P6-N6)</f>
      </c>
      <c r="AP6" s="15">
        <f>IF($B6&lt;&gt;"Challan","",MAX(0,AO6-AN6))</f>
      </c>
      <c r="AQ6" s="18">
        <f>IF($B6&lt;&gt;"Entry","",SUMPRODUCT(('Q1 Data'!$D$4:$D$207=D6)*('Q1 Data'!$B$4:$B$207="Challan")*'Q1 Data'!$F$4:$F$207)+SUMPRODUCT(('Q2 Data'!$D$4:$D$207=D6)*('Q2 Data'!$B$4:$B$207="Challan")*'Q2 Data'!$F$4:$F$207)+SUMPRODUCT(('Q3 Data'!$D$4:$D$207=D6)*('Q3 Data'!$B$4:$B$207="Challan")*'Q3 Data'!$F$4:$F$207)+SUMPRODUCT(('Q4 Data'!$D$4:$D$207=D6)*('Q4 Data'!$B$4:$B$207="Challan")*'Q4 Data'!$F$4:$F$207))</f>
      </c>
      <c r="AR6" s="19">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9">
        <f>IF($B7="Entry",COUNTIF($B$4:$B7,"Entry"),"")</f>
      </c>
      <c r="B7" s="10" t="s">
        <v>162</v>
      </c>
      <c r="C7" s="11"/>
      <c r="D7" s="11" t="s">
        <v>157</v>
      </c>
      <c r="E7" s="12">
        <f>IF($B7&lt;&gt;"Challan","",IF(ROUND(AN7-AO7,2)&gt;0,"Over-applied",IF(ROUND(AN7-AO7,2)=0,"Fully Utilised","Unconsumed")))</f>
      </c>
      <c r="F7" s="13"/>
      <c r="G7" s="10"/>
      <c r="H7" s="10"/>
      <c r="I7" s="14"/>
      <c r="J7" s="14"/>
      <c r="K7" s="14"/>
      <c r="L7" s="14"/>
      <c r="M7" s="14"/>
      <c r="N7" s="14"/>
      <c r="O7" s="14"/>
      <c r="P7" s="15">
        <f>IF($B7&lt;&gt;"Challan","",I7+J7+K7+L7+M7+N7)</f>
      </c>
      <c r="Q7" s="10"/>
      <c r="R7" s="10"/>
      <c r="S7" s="10"/>
      <c r="T7" s="10"/>
      <c r="U7" s="10"/>
      <c r="V7" s="10" t="s">
        <v>168</v>
      </c>
      <c r="W7" s="10" t="s">
        <v>169</v>
      </c>
      <c r="X7" s="12">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12">
        <f>IF($B7="Entry",IF(LEN(W7)&lt;4,"",IF(UPPER(MID(W7,4,1))="P","Individual",IF(UPPER(MID(W7,4,1))="H","HUF",IF(UPPER(MID(W7,4,1))="C","Company",IF(UPPER(MID(W7,4,1))="F","Firm/LLP",IF(UPPER(MID(W7,4,1))="L","Local Authority",IF(UPPER(MID(W7,4,1))="T","Trust",IF(UPPER(MID(W7,4,1))="A","AOP",IF(UPPER(MID(W7,4,1))="B","BOI",IF(UPPER(MID(W7,4,1))="J","AJP",IF(UPPER(MID(W7,4,1))="G","Government",""))))))))))),IF($B7="Challan","",IF(W7&lt;&gt;"","◄ Set Row Type","")))</f>
      </c>
      <c r="Z7" s="10" t="s">
        <v>93</v>
      </c>
      <c r="AA7" s="16">
        <f>IF($B7&lt;&gt;"Entry","",IF(Z7="","",IF(X7="Y",SUMPRODUCT(('Rate Lookup'!$A$1:$A$37=Z7)*'Rate Lookup'!$D$1:$D$37),IF(OR(Y7="Individual",Y7="HUF"),SUMPRODUCT(('Rate Lookup'!$A$1:$A$37=Z7)*'Rate Lookup'!$B$1:$B$37),SUMPRODUCT(('Rate Lookup'!$A$1:$A$37=Z7)*'Rate Lookup'!$C$1:$C$37)))))</f>
      </c>
      <c r="AB7" s="13">
        <v>46173</v>
      </c>
      <c r="AC7" s="14">
        <v>100000</v>
      </c>
      <c r="AD7" s="15">
        <f>IF($B7&lt;&gt;"Entry","",ROUND(AC7*AA7/100,0))</f>
      </c>
      <c r="AE7" s="15">
        <f>IF($B7&lt;&gt;"Entry","",0)</f>
      </c>
      <c r="AF7" s="15">
        <f>IF($B7&lt;&gt;"Entry","",0)</f>
      </c>
      <c r="AG7" s="15">
        <f>IF($B7&lt;&gt;"Entry","",IF(OR(AD7=0,AB7="",AQ7="",AQ7&lt;=0),0,IF(AQ7&lt;=DATE(YEAR(AB7),MONTH(AB7)+1,7),0,ROUND(AD7*0.015*((YEAR(AQ7)-YEAR(AB7))*12+(MONTH(AQ7)-MONTH(AB7))+1),0))))</f>
      </c>
      <c r="AH7" s="15">
        <f>IF($B7&lt;&gt;"Entry","",0)</f>
      </c>
      <c r="AI7" s="10" t="s">
        <v>170</v>
      </c>
      <c r="AJ7" s="10" t="s">
        <v>171</v>
      </c>
      <c r="AK7" s="17">
        <v>0</v>
      </c>
      <c r="AL7" s="10"/>
      <c r="AM7" s="10" t="s">
        <v>172</v>
      </c>
      <c r="AN7" s="15">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15">
        <f>IF($B7&lt;&gt;"Challan","",P7-N7)</f>
      </c>
      <c r="AP7" s="15">
        <f>IF($B7&lt;&gt;"Challan","",MAX(0,AO7-AN7))</f>
      </c>
      <c r="AQ7" s="18">
        <f>IF($B7&lt;&gt;"Entry","",SUMPRODUCT(('Q1 Data'!$D$4:$D$207=D7)*('Q1 Data'!$B$4:$B$207="Challan")*'Q1 Data'!$F$4:$F$207)+SUMPRODUCT(('Q2 Data'!$D$4:$D$207=D7)*('Q2 Data'!$B$4:$B$207="Challan")*'Q2 Data'!$F$4:$F$207)+SUMPRODUCT(('Q3 Data'!$D$4:$D$207=D7)*('Q3 Data'!$B$4:$B$207="Challan")*'Q3 Data'!$F$4:$F$207)+SUMPRODUCT(('Q4 Data'!$D$4:$D$207=D7)*('Q4 Data'!$B$4:$B$207="Challan")*'Q4 Data'!$F$4:$F$207))</f>
      </c>
      <c r="AR7" s="19">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IF($B8="Entry",IF(LEN(W8)&lt;4,"",IF(UPPER(MID(W8,4,1))="P","Individual",IF(UPPER(MID(W8,4,1))="H","HUF",IF(UPPER(MID(W8,4,1))="C","Company",IF(UPPER(MID(W8,4,1))="F","Firm/LLP",IF(UPPER(MID(W8,4,1))="L","Local Authority",IF(UPPER(MID(W8,4,1))="T","Trust",IF(UPPER(MID(W8,4,1))="A","AOP",IF(UPPER(MID(W8,4,1))="B","BOI",IF(UPPER(MID(W8,4,1))="J","AJP",IF(UPPER(MID(W8,4,1))="G","Government",""))))))))))),IF($B8="Challan","",IF(W8&lt;&gt;"","◄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IF($B9="Entry",IF(LEN(W9)&lt;4,"",IF(UPPER(MID(W9,4,1))="P","Individual",IF(UPPER(MID(W9,4,1))="H","HUF",IF(UPPER(MID(W9,4,1))="C","Company",IF(UPPER(MID(W9,4,1))="F","Firm/LLP",IF(UPPER(MID(W9,4,1))="L","Local Authority",IF(UPPER(MID(W9,4,1))="T","Trust",IF(UPPER(MID(W9,4,1))="A","AOP",IF(UPPER(MID(W9,4,1))="B","BOI",IF(UPPER(MID(W9,4,1))="J","AJP",IF(UPPER(MID(W9,4,1))="G","Government",""))))))))))),IF($B9="Challan","",IF(W9&lt;&gt;"","◄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IF($B10="Entry",IF(LEN(W10)&lt;4,"",IF(UPPER(MID(W10,4,1))="P","Individual",IF(UPPER(MID(W10,4,1))="H","HUF",IF(UPPER(MID(W10,4,1))="C","Company",IF(UPPER(MID(W10,4,1))="F","Firm/LLP",IF(UPPER(MID(W10,4,1))="L","Local Authority",IF(UPPER(MID(W10,4,1))="T","Trust",IF(UPPER(MID(W10,4,1))="A","AOP",IF(UPPER(MID(W10,4,1))="B","BOI",IF(UPPER(MID(W10,4,1))="J","AJP",IF(UPPER(MID(W10,4,1))="G","Government",""))))))))))),IF($B10="Challan","",IF(W10&lt;&gt;"","◄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IF($B11="Entry",IF(LEN(W11)&lt;4,"",IF(UPPER(MID(W11,4,1))="P","Individual",IF(UPPER(MID(W11,4,1))="H","HUF",IF(UPPER(MID(W11,4,1))="C","Company",IF(UPPER(MID(W11,4,1))="F","Firm/LLP",IF(UPPER(MID(W11,4,1))="L","Local Authority",IF(UPPER(MID(W11,4,1))="T","Trust",IF(UPPER(MID(W11,4,1))="A","AOP",IF(UPPER(MID(W11,4,1))="B","BOI",IF(UPPER(MID(W11,4,1))="J","AJP",IF(UPPER(MID(W11,4,1))="G","Government",""))))))))))),IF($B11="Challan","",IF(W11&lt;&gt;"","◄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IF($B12="Entry",IF(LEN(W12)&lt;4,"",IF(UPPER(MID(W12,4,1))="P","Individual",IF(UPPER(MID(W12,4,1))="H","HUF",IF(UPPER(MID(W12,4,1))="C","Company",IF(UPPER(MID(W12,4,1))="F","Firm/LLP",IF(UPPER(MID(W12,4,1))="L","Local Authority",IF(UPPER(MID(W12,4,1))="T","Trust",IF(UPPER(MID(W12,4,1))="A","AOP",IF(UPPER(MID(W12,4,1))="B","BOI",IF(UPPER(MID(W12,4,1))="J","AJP",IF(UPPER(MID(W12,4,1))="G","Government",""))))))))))),IF($B12="Challan","",IF(W12&lt;&gt;"","◄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IF($B13="Entry",IF(LEN(W13)&lt;4,"",IF(UPPER(MID(W13,4,1))="P","Individual",IF(UPPER(MID(W13,4,1))="H","HUF",IF(UPPER(MID(W13,4,1))="C","Company",IF(UPPER(MID(W13,4,1))="F","Firm/LLP",IF(UPPER(MID(W13,4,1))="L","Local Authority",IF(UPPER(MID(W13,4,1))="T","Trust",IF(UPPER(MID(W13,4,1))="A","AOP",IF(UPPER(MID(W13,4,1))="B","BOI",IF(UPPER(MID(W13,4,1))="J","AJP",IF(UPPER(MID(W13,4,1))="G","Government",""))))))))))),IF($B13="Challan","",IF(W13&lt;&gt;"","◄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IF($B14="Entry",IF(LEN(W14)&lt;4,"",IF(UPPER(MID(W14,4,1))="P","Individual",IF(UPPER(MID(W14,4,1))="H","HUF",IF(UPPER(MID(W14,4,1))="C","Company",IF(UPPER(MID(W14,4,1))="F","Firm/LLP",IF(UPPER(MID(W14,4,1))="L","Local Authority",IF(UPPER(MID(W14,4,1))="T","Trust",IF(UPPER(MID(W14,4,1))="A","AOP",IF(UPPER(MID(W14,4,1))="B","BOI",IF(UPPER(MID(W14,4,1))="J","AJP",IF(UPPER(MID(W14,4,1))="G","Government",""))))))))))),IF($B14="Challan","",IF(W14&lt;&gt;"","◄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IF($B15="Entry",IF(LEN(W15)&lt;4,"",IF(UPPER(MID(W15,4,1))="P","Individual",IF(UPPER(MID(W15,4,1))="H","HUF",IF(UPPER(MID(W15,4,1))="C","Company",IF(UPPER(MID(W15,4,1))="F","Firm/LLP",IF(UPPER(MID(W15,4,1))="L","Local Authority",IF(UPPER(MID(W15,4,1))="T","Trust",IF(UPPER(MID(W15,4,1))="A","AOP",IF(UPPER(MID(W15,4,1))="B","BOI",IF(UPPER(MID(W15,4,1))="J","AJP",IF(UPPER(MID(W15,4,1))="G","Government",""))))))))))),IF($B15="Challan","",IF(W15&lt;&gt;"","◄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IF($B16="Entry",IF(LEN(W16)&lt;4,"",IF(UPPER(MID(W16,4,1))="P","Individual",IF(UPPER(MID(W16,4,1))="H","HUF",IF(UPPER(MID(W16,4,1))="C","Company",IF(UPPER(MID(W16,4,1))="F","Firm/LLP",IF(UPPER(MID(W16,4,1))="L","Local Authority",IF(UPPER(MID(W16,4,1))="T","Trust",IF(UPPER(MID(W16,4,1))="A","AOP",IF(UPPER(MID(W16,4,1))="B","BOI",IF(UPPER(MID(W16,4,1))="J","AJP",IF(UPPER(MID(W16,4,1))="G","Government",""))))))))))),IF($B16="Challan","",IF(W16&lt;&gt;"","◄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IF($B17="Entry",IF(LEN(W17)&lt;4,"",IF(UPPER(MID(W17,4,1))="P","Individual",IF(UPPER(MID(W17,4,1))="H","HUF",IF(UPPER(MID(W17,4,1))="C","Company",IF(UPPER(MID(W17,4,1))="F","Firm/LLP",IF(UPPER(MID(W17,4,1))="L","Local Authority",IF(UPPER(MID(W17,4,1))="T","Trust",IF(UPPER(MID(W17,4,1))="A","AOP",IF(UPPER(MID(W17,4,1))="B","BOI",IF(UPPER(MID(W17,4,1))="J","AJP",IF(UPPER(MID(W17,4,1))="G","Government",""))))))))))),IF($B17="Challan","",IF(W17&lt;&gt;"","◄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IF($B18="Entry",IF(LEN(W18)&lt;4,"",IF(UPPER(MID(W18,4,1))="P","Individual",IF(UPPER(MID(W18,4,1))="H","HUF",IF(UPPER(MID(W18,4,1))="C","Company",IF(UPPER(MID(W18,4,1))="F","Firm/LLP",IF(UPPER(MID(W18,4,1))="L","Local Authority",IF(UPPER(MID(W18,4,1))="T","Trust",IF(UPPER(MID(W18,4,1))="A","AOP",IF(UPPER(MID(W18,4,1))="B","BOI",IF(UPPER(MID(W18,4,1))="J","AJP",IF(UPPER(MID(W18,4,1))="G","Government",""))))))))))),IF($B18="Challan","",IF(W18&lt;&gt;"","◄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IF($B19="Entry",IF(LEN(W19)&lt;4,"",IF(UPPER(MID(W19,4,1))="P","Individual",IF(UPPER(MID(W19,4,1))="H","HUF",IF(UPPER(MID(W19,4,1))="C","Company",IF(UPPER(MID(W19,4,1))="F","Firm/LLP",IF(UPPER(MID(W19,4,1))="L","Local Authority",IF(UPPER(MID(W19,4,1))="T","Trust",IF(UPPER(MID(W19,4,1))="A","AOP",IF(UPPER(MID(W19,4,1))="B","BOI",IF(UPPER(MID(W19,4,1))="J","AJP",IF(UPPER(MID(W19,4,1))="G","Government",""))))))))))),IF($B19="Challan","",IF(W19&lt;&gt;"","◄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IF($B20="Entry",IF(LEN(W20)&lt;4,"",IF(UPPER(MID(W20,4,1))="P","Individual",IF(UPPER(MID(W20,4,1))="H","HUF",IF(UPPER(MID(W20,4,1))="C","Company",IF(UPPER(MID(W20,4,1))="F","Firm/LLP",IF(UPPER(MID(W20,4,1))="L","Local Authority",IF(UPPER(MID(W20,4,1))="T","Trust",IF(UPPER(MID(W20,4,1))="A","AOP",IF(UPPER(MID(W20,4,1))="B","BOI",IF(UPPER(MID(W20,4,1))="J","AJP",IF(UPPER(MID(W20,4,1))="G","Government",""))))))))))),IF($B20="Challan","",IF(W20&lt;&gt;"","◄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IF($B21="Entry",IF(LEN(W21)&lt;4,"",IF(UPPER(MID(W21,4,1))="P","Individual",IF(UPPER(MID(W21,4,1))="H","HUF",IF(UPPER(MID(W21,4,1))="C","Company",IF(UPPER(MID(W21,4,1))="F","Firm/LLP",IF(UPPER(MID(W21,4,1))="L","Local Authority",IF(UPPER(MID(W21,4,1))="T","Trust",IF(UPPER(MID(W21,4,1))="A","AOP",IF(UPPER(MID(W21,4,1))="B","BOI",IF(UPPER(MID(W21,4,1))="J","AJP",IF(UPPER(MID(W21,4,1))="G","Government",""))))))))))),IF($B21="Challan","",IF(W21&lt;&gt;"","◄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IF($B22="Entry",IF(LEN(W22)&lt;4,"",IF(UPPER(MID(W22,4,1))="P","Individual",IF(UPPER(MID(W22,4,1))="H","HUF",IF(UPPER(MID(W22,4,1))="C","Company",IF(UPPER(MID(W22,4,1))="F","Firm/LLP",IF(UPPER(MID(W22,4,1))="L","Local Authority",IF(UPPER(MID(W22,4,1))="T","Trust",IF(UPPER(MID(W22,4,1))="A","AOP",IF(UPPER(MID(W22,4,1))="B","BOI",IF(UPPER(MID(W22,4,1))="J","AJP",IF(UPPER(MID(W22,4,1))="G","Government",""))))))))))),IF($B22="Challan","",IF(W22&lt;&gt;"","◄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IF($B23="Entry",IF(LEN(W23)&lt;4,"",IF(UPPER(MID(W23,4,1))="P","Individual",IF(UPPER(MID(W23,4,1))="H","HUF",IF(UPPER(MID(W23,4,1))="C","Company",IF(UPPER(MID(W23,4,1))="F","Firm/LLP",IF(UPPER(MID(W23,4,1))="L","Local Authority",IF(UPPER(MID(W23,4,1))="T","Trust",IF(UPPER(MID(W23,4,1))="A","AOP",IF(UPPER(MID(W23,4,1))="B","BOI",IF(UPPER(MID(W23,4,1))="J","AJP",IF(UPPER(MID(W23,4,1))="G","Government",""))))))))))),IF($B23="Challan","",IF(W23&lt;&gt;"","◄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IF($B24="Entry",IF(LEN(W24)&lt;4,"",IF(UPPER(MID(W24,4,1))="P","Individual",IF(UPPER(MID(W24,4,1))="H","HUF",IF(UPPER(MID(W24,4,1))="C","Company",IF(UPPER(MID(W24,4,1))="F","Firm/LLP",IF(UPPER(MID(W24,4,1))="L","Local Authority",IF(UPPER(MID(W24,4,1))="T","Trust",IF(UPPER(MID(W24,4,1))="A","AOP",IF(UPPER(MID(W24,4,1))="B","BOI",IF(UPPER(MID(W24,4,1))="J","AJP",IF(UPPER(MID(W24,4,1))="G","Government",""))))))))))),IF($B24="Challan","",IF(W24&lt;&gt;"","◄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IF($B25="Entry",IF(LEN(W25)&lt;4,"",IF(UPPER(MID(W25,4,1))="P","Individual",IF(UPPER(MID(W25,4,1))="H","HUF",IF(UPPER(MID(W25,4,1))="C","Company",IF(UPPER(MID(W25,4,1))="F","Firm/LLP",IF(UPPER(MID(W25,4,1))="L","Local Authority",IF(UPPER(MID(W25,4,1))="T","Trust",IF(UPPER(MID(W25,4,1))="A","AOP",IF(UPPER(MID(W25,4,1))="B","BOI",IF(UPPER(MID(W25,4,1))="J","AJP",IF(UPPER(MID(W25,4,1))="G","Government",""))))))))))),IF($B25="Challan","",IF(W25&lt;&gt;"","◄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IF($B26="Entry",IF(LEN(W26)&lt;4,"",IF(UPPER(MID(W26,4,1))="P","Individual",IF(UPPER(MID(W26,4,1))="H","HUF",IF(UPPER(MID(W26,4,1))="C","Company",IF(UPPER(MID(W26,4,1))="F","Firm/LLP",IF(UPPER(MID(W26,4,1))="L","Local Authority",IF(UPPER(MID(W26,4,1))="T","Trust",IF(UPPER(MID(W26,4,1))="A","AOP",IF(UPPER(MID(W26,4,1))="B","BOI",IF(UPPER(MID(W26,4,1))="J","AJP",IF(UPPER(MID(W26,4,1))="G","Government",""))))))))))),IF($B26="Challan","",IF(W26&lt;&gt;"","◄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IF($B27="Entry",IF(LEN(W27)&lt;4,"",IF(UPPER(MID(W27,4,1))="P","Individual",IF(UPPER(MID(W27,4,1))="H","HUF",IF(UPPER(MID(W27,4,1))="C","Company",IF(UPPER(MID(W27,4,1))="F","Firm/LLP",IF(UPPER(MID(W27,4,1))="L","Local Authority",IF(UPPER(MID(W27,4,1))="T","Trust",IF(UPPER(MID(W27,4,1))="A","AOP",IF(UPPER(MID(W27,4,1))="B","BOI",IF(UPPER(MID(W27,4,1))="J","AJP",IF(UPPER(MID(W27,4,1))="G","Government",""))))))))))),IF($B27="Challan","",IF(W27&lt;&gt;"","◄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IF($B28="Entry",IF(LEN(W28)&lt;4,"",IF(UPPER(MID(W28,4,1))="P","Individual",IF(UPPER(MID(W28,4,1))="H","HUF",IF(UPPER(MID(W28,4,1))="C","Company",IF(UPPER(MID(W28,4,1))="F","Firm/LLP",IF(UPPER(MID(W28,4,1))="L","Local Authority",IF(UPPER(MID(W28,4,1))="T","Trust",IF(UPPER(MID(W28,4,1))="A","AOP",IF(UPPER(MID(W28,4,1))="B","BOI",IF(UPPER(MID(W28,4,1))="J","AJP",IF(UPPER(MID(W28,4,1))="G","Government",""))))))))))),IF($B28="Challan","",IF(W28&lt;&gt;"","◄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IF($B29="Entry",IF(LEN(W29)&lt;4,"",IF(UPPER(MID(W29,4,1))="P","Individual",IF(UPPER(MID(W29,4,1))="H","HUF",IF(UPPER(MID(W29,4,1))="C","Company",IF(UPPER(MID(W29,4,1))="F","Firm/LLP",IF(UPPER(MID(W29,4,1))="L","Local Authority",IF(UPPER(MID(W29,4,1))="T","Trust",IF(UPPER(MID(W29,4,1))="A","AOP",IF(UPPER(MID(W29,4,1))="B","BOI",IF(UPPER(MID(W29,4,1))="J","AJP",IF(UPPER(MID(W29,4,1))="G","Government",""))))))))))),IF($B29="Challan","",IF(W29&lt;&gt;"","◄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IF($B30="Entry",IF(LEN(W30)&lt;4,"",IF(UPPER(MID(W30,4,1))="P","Individual",IF(UPPER(MID(W30,4,1))="H","HUF",IF(UPPER(MID(W30,4,1))="C","Company",IF(UPPER(MID(W30,4,1))="F","Firm/LLP",IF(UPPER(MID(W30,4,1))="L","Local Authority",IF(UPPER(MID(W30,4,1))="T","Trust",IF(UPPER(MID(W30,4,1))="A","AOP",IF(UPPER(MID(W30,4,1))="B","BOI",IF(UPPER(MID(W30,4,1))="J","AJP",IF(UPPER(MID(W30,4,1))="G","Government",""))))))))))),IF($B30="Challan","",IF(W30&lt;&gt;"","◄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IF($B31="Entry",IF(LEN(W31)&lt;4,"",IF(UPPER(MID(W31,4,1))="P","Individual",IF(UPPER(MID(W31,4,1))="H","HUF",IF(UPPER(MID(W31,4,1))="C","Company",IF(UPPER(MID(W31,4,1))="F","Firm/LLP",IF(UPPER(MID(W31,4,1))="L","Local Authority",IF(UPPER(MID(W31,4,1))="T","Trust",IF(UPPER(MID(W31,4,1))="A","AOP",IF(UPPER(MID(W31,4,1))="B","BOI",IF(UPPER(MID(W31,4,1))="J","AJP",IF(UPPER(MID(W31,4,1))="G","Government",""))))))))))),IF($B31="Challan","",IF(W31&lt;&gt;"","◄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IF($B32="Entry",IF(LEN(W32)&lt;4,"",IF(UPPER(MID(W32,4,1))="P","Individual",IF(UPPER(MID(W32,4,1))="H","HUF",IF(UPPER(MID(W32,4,1))="C","Company",IF(UPPER(MID(W32,4,1))="F","Firm/LLP",IF(UPPER(MID(W32,4,1))="L","Local Authority",IF(UPPER(MID(W32,4,1))="T","Trust",IF(UPPER(MID(W32,4,1))="A","AOP",IF(UPPER(MID(W32,4,1))="B","BOI",IF(UPPER(MID(W32,4,1))="J","AJP",IF(UPPER(MID(W32,4,1))="G","Government",""))))))))))),IF($B32="Challan","",IF(W32&lt;&gt;"","◄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IF($B33="Entry",IF(LEN(W33)&lt;4,"",IF(UPPER(MID(W33,4,1))="P","Individual",IF(UPPER(MID(W33,4,1))="H","HUF",IF(UPPER(MID(W33,4,1))="C","Company",IF(UPPER(MID(W33,4,1))="F","Firm/LLP",IF(UPPER(MID(W33,4,1))="L","Local Authority",IF(UPPER(MID(W33,4,1))="T","Trust",IF(UPPER(MID(W33,4,1))="A","AOP",IF(UPPER(MID(W33,4,1))="B","BOI",IF(UPPER(MID(W33,4,1))="J","AJP",IF(UPPER(MID(W33,4,1))="G","Government",""))))))))))),IF($B33="Challan","",IF(W33&lt;&gt;"","◄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IF($B34="Entry",IF(LEN(W34)&lt;4,"",IF(UPPER(MID(W34,4,1))="P","Individual",IF(UPPER(MID(W34,4,1))="H","HUF",IF(UPPER(MID(W34,4,1))="C","Company",IF(UPPER(MID(W34,4,1))="F","Firm/LLP",IF(UPPER(MID(W34,4,1))="L","Local Authority",IF(UPPER(MID(W34,4,1))="T","Trust",IF(UPPER(MID(W34,4,1))="A","AOP",IF(UPPER(MID(W34,4,1))="B","BOI",IF(UPPER(MID(W34,4,1))="J","AJP",IF(UPPER(MID(W34,4,1))="G","Government",""))))))))))),IF($B34="Challan","",IF(W34&lt;&gt;"","◄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IF($B35="Entry",IF(LEN(W35)&lt;4,"",IF(UPPER(MID(W35,4,1))="P","Individual",IF(UPPER(MID(W35,4,1))="H","HUF",IF(UPPER(MID(W35,4,1))="C","Company",IF(UPPER(MID(W35,4,1))="F","Firm/LLP",IF(UPPER(MID(W35,4,1))="L","Local Authority",IF(UPPER(MID(W35,4,1))="T","Trust",IF(UPPER(MID(W35,4,1))="A","AOP",IF(UPPER(MID(W35,4,1))="B","BOI",IF(UPPER(MID(W35,4,1))="J","AJP",IF(UPPER(MID(W35,4,1))="G","Government",""))))))))))),IF($B35="Challan","",IF(W35&lt;&gt;"","◄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IF($B36="Entry",IF(LEN(W36)&lt;4,"",IF(UPPER(MID(W36,4,1))="P","Individual",IF(UPPER(MID(W36,4,1))="H","HUF",IF(UPPER(MID(W36,4,1))="C","Company",IF(UPPER(MID(W36,4,1))="F","Firm/LLP",IF(UPPER(MID(W36,4,1))="L","Local Authority",IF(UPPER(MID(W36,4,1))="T","Trust",IF(UPPER(MID(W36,4,1))="A","AOP",IF(UPPER(MID(W36,4,1))="B","BOI",IF(UPPER(MID(W36,4,1))="J","AJP",IF(UPPER(MID(W36,4,1))="G","Government",""))))))))))),IF($B36="Challan","",IF(W36&lt;&gt;"","◄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IF($B37="Entry",IF(LEN(W37)&lt;4,"",IF(UPPER(MID(W37,4,1))="P","Individual",IF(UPPER(MID(W37,4,1))="H","HUF",IF(UPPER(MID(W37,4,1))="C","Company",IF(UPPER(MID(W37,4,1))="F","Firm/LLP",IF(UPPER(MID(W37,4,1))="L","Local Authority",IF(UPPER(MID(W37,4,1))="T","Trust",IF(UPPER(MID(W37,4,1))="A","AOP",IF(UPPER(MID(W37,4,1))="B","BOI",IF(UPPER(MID(W37,4,1))="J","AJP",IF(UPPER(MID(W37,4,1))="G","Government",""))))))))))),IF($B37="Challan","",IF(W37&lt;&gt;"","◄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IF($B38="Entry",IF(LEN(W38)&lt;4,"",IF(UPPER(MID(W38,4,1))="P","Individual",IF(UPPER(MID(W38,4,1))="H","HUF",IF(UPPER(MID(W38,4,1))="C","Company",IF(UPPER(MID(W38,4,1))="F","Firm/LLP",IF(UPPER(MID(W38,4,1))="L","Local Authority",IF(UPPER(MID(W38,4,1))="T","Trust",IF(UPPER(MID(W38,4,1))="A","AOP",IF(UPPER(MID(W38,4,1))="B","BOI",IF(UPPER(MID(W38,4,1))="J","AJP",IF(UPPER(MID(W38,4,1))="G","Government",""))))))))))),IF($B38="Challan","",IF(W38&lt;&gt;"","◄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IF($B39="Entry",IF(LEN(W39)&lt;4,"",IF(UPPER(MID(W39,4,1))="P","Individual",IF(UPPER(MID(W39,4,1))="H","HUF",IF(UPPER(MID(W39,4,1))="C","Company",IF(UPPER(MID(W39,4,1))="F","Firm/LLP",IF(UPPER(MID(W39,4,1))="L","Local Authority",IF(UPPER(MID(W39,4,1))="T","Trust",IF(UPPER(MID(W39,4,1))="A","AOP",IF(UPPER(MID(W39,4,1))="B","BOI",IF(UPPER(MID(W39,4,1))="J","AJP",IF(UPPER(MID(W39,4,1))="G","Government",""))))))))))),IF($B39="Challan","",IF(W39&lt;&gt;"","◄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IF($B40="Entry",IF(LEN(W40)&lt;4,"",IF(UPPER(MID(W40,4,1))="P","Individual",IF(UPPER(MID(W40,4,1))="H","HUF",IF(UPPER(MID(W40,4,1))="C","Company",IF(UPPER(MID(W40,4,1))="F","Firm/LLP",IF(UPPER(MID(W40,4,1))="L","Local Authority",IF(UPPER(MID(W40,4,1))="T","Trust",IF(UPPER(MID(W40,4,1))="A","AOP",IF(UPPER(MID(W40,4,1))="B","BOI",IF(UPPER(MID(W40,4,1))="J","AJP",IF(UPPER(MID(W40,4,1))="G","Government",""))))))))))),IF($B40="Challan","",IF(W40&lt;&gt;"","◄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IF($B41="Entry",IF(LEN(W41)&lt;4,"",IF(UPPER(MID(W41,4,1))="P","Individual",IF(UPPER(MID(W41,4,1))="H","HUF",IF(UPPER(MID(W41,4,1))="C","Company",IF(UPPER(MID(W41,4,1))="F","Firm/LLP",IF(UPPER(MID(W41,4,1))="L","Local Authority",IF(UPPER(MID(W41,4,1))="T","Trust",IF(UPPER(MID(W41,4,1))="A","AOP",IF(UPPER(MID(W41,4,1))="B","BOI",IF(UPPER(MID(W41,4,1))="J","AJP",IF(UPPER(MID(W41,4,1))="G","Government",""))))))))))),IF($B41="Challan","",IF(W41&lt;&gt;"","◄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IF($B42="Entry",IF(LEN(W42)&lt;4,"",IF(UPPER(MID(W42,4,1))="P","Individual",IF(UPPER(MID(W42,4,1))="H","HUF",IF(UPPER(MID(W42,4,1))="C","Company",IF(UPPER(MID(W42,4,1))="F","Firm/LLP",IF(UPPER(MID(W42,4,1))="L","Local Authority",IF(UPPER(MID(W42,4,1))="T","Trust",IF(UPPER(MID(W42,4,1))="A","AOP",IF(UPPER(MID(W42,4,1))="B","BOI",IF(UPPER(MID(W42,4,1))="J","AJP",IF(UPPER(MID(W42,4,1))="G","Government",""))))))))))),IF($B42="Challan","",IF(W42&lt;&gt;"","◄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IF($B43="Entry",IF(LEN(W43)&lt;4,"",IF(UPPER(MID(W43,4,1))="P","Individual",IF(UPPER(MID(W43,4,1))="H","HUF",IF(UPPER(MID(W43,4,1))="C","Company",IF(UPPER(MID(W43,4,1))="F","Firm/LLP",IF(UPPER(MID(W43,4,1))="L","Local Authority",IF(UPPER(MID(W43,4,1))="T","Trust",IF(UPPER(MID(W43,4,1))="A","AOP",IF(UPPER(MID(W43,4,1))="B","BOI",IF(UPPER(MID(W43,4,1))="J","AJP",IF(UPPER(MID(W43,4,1))="G","Government",""))))))))))),IF($B43="Challan","",IF(W43&lt;&gt;"","◄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IF($B44="Entry",IF(LEN(W44)&lt;4,"",IF(UPPER(MID(W44,4,1))="P","Individual",IF(UPPER(MID(W44,4,1))="H","HUF",IF(UPPER(MID(W44,4,1))="C","Company",IF(UPPER(MID(W44,4,1))="F","Firm/LLP",IF(UPPER(MID(W44,4,1))="L","Local Authority",IF(UPPER(MID(W44,4,1))="T","Trust",IF(UPPER(MID(W44,4,1))="A","AOP",IF(UPPER(MID(W44,4,1))="B","BOI",IF(UPPER(MID(W44,4,1))="J","AJP",IF(UPPER(MID(W44,4,1))="G","Government",""))))))))))),IF($B44="Challan","",IF(W44&lt;&gt;"","◄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IF($B45="Entry",IF(LEN(W45)&lt;4,"",IF(UPPER(MID(W45,4,1))="P","Individual",IF(UPPER(MID(W45,4,1))="H","HUF",IF(UPPER(MID(W45,4,1))="C","Company",IF(UPPER(MID(W45,4,1))="F","Firm/LLP",IF(UPPER(MID(W45,4,1))="L","Local Authority",IF(UPPER(MID(W45,4,1))="T","Trust",IF(UPPER(MID(W45,4,1))="A","AOP",IF(UPPER(MID(W45,4,1))="B","BOI",IF(UPPER(MID(W45,4,1))="J","AJP",IF(UPPER(MID(W45,4,1))="G","Government",""))))))))))),IF($B45="Challan","",IF(W45&lt;&gt;"","◄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IF($B46="Entry",IF(LEN(W46)&lt;4,"",IF(UPPER(MID(W46,4,1))="P","Individual",IF(UPPER(MID(W46,4,1))="H","HUF",IF(UPPER(MID(W46,4,1))="C","Company",IF(UPPER(MID(W46,4,1))="F","Firm/LLP",IF(UPPER(MID(W46,4,1))="L","Local Authority",IF(UPPER(MID(W46,4,1))="T","Trust",IF(UPPER(MID(W46,4,1))="A","AOP",IF(UPPER(MID(W46,4,1))="B","BOI",IF(UPPER(MID(W46,4,1))="J","AJP",IF(UPPER(MID(W46,4,1))="G","Government",""))))))))))),IF($B46="Challan","",IF(W46&lt;&gt;"","◄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IF($B47="Entry",IF(LEN(W47)&lt;4,"",IF(UPPER(MID(W47,4,1))="P","Individual",IF(UPPER(MID(W47,4,1))="H","HUF",IF(UPPER(MID(W47,4,1))="C","Company",IF(UPPER(MID(W47,4,1))="F","Firm/LLP",IF(UPPER(MID(W47,4,1))="L","Local Authority",IF(UPPER(MID(W47,4,1))="T","Trust",IF(UPPER(MID(W47,4,1))="A","AOP",IF(UPPER(MID(W47,4,1))="B","BOI",IF(UPPER(MID(W47,4,1))="J","AJP",IF(UPPER(MID(W47,4,1))="G","Government",""))))))))))),IF($B47="Challan","",IF(W47&lt;&gt;"","◄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IF($B48="Entry",IF(LEN(W48)&lt;4,"",IF(UPPER(MID(W48,4,1))="P","Individual",IF(UPPER(MID(W48,4,1))="H","HUF",IF(UPPER(MID(W48,4,1))="C","Company",IF(UPPER(MID(W48,4,1))="F","Firm/LLP",IF(UPPER(MID(W48,4,1))="L","Local Authority",IF(UPPER(MID(W48,4,1))="T","Trust",IF(UPPER(MID(W48,4,1))="A","AOP",IF(UPPER(MID(W48,4,1))="B","BOI",IF(UPPER(MID(W48,4,1))="J","AJP",IF(UPPER(MID(W48,4,1))="G","Government",""))))))))))),IF($B48="Challan","",IF(W48&lt;&gt;"","◄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IF($B49="Entry",IF(LEN(W49)&lt;4,"",IF(UPPER(MID(W49,4,1))="P","Individual",IF(UPPER(MID(W49,4,1))="H","HUF",IF(UPPER(MID(W49,4,1))="C","Company",IF(UPPER(MID(W49,4,1))="F","Firm/LLP",IF(UPPER(MID(W49,4,1))="L","Local Authority",IF(UPPER(MID(W49,4,1))="T","Trust",IF(UPPER(MID(W49,4,1))="A","AOP",IF(UPPER(MID(W49,4,1))="B","BOI",IF(UPPER(MID(W49,4,1))="J","AJP",IF(UPPER(MID(W49,4,1))="G","Government",""))))))))))),IF($B49="Challan","",IF(W49&lt;&gt;"","◄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IF($B50="Entry",IF(LEN(W50)&lt;4,"",IF(UPPER(MID(W50,4,1))="P","Individual",IF(UPPER(MID(W50,4,1))="H","HUF",IF(UPPER(MID(W50,4,1))="C","Company",IF(UPPER(MID(W50,4,1))="F","Firm/LLP",IF(UPPER(MID(W50,4,1))="L","Local Authority",IF(UPPER(MID(W50,4,1))="T","Trust",IF(UPPER(MID(W50,4,1))="A","AOP",IF(UPPER(MID(W50,4,1))="B","BOI",IF(UPPER(MID(W50,4,1))="J","AJP",IF(UPPER(MID(W50,4,1))="G","Government",""))))))))))),IF($B50="Challan","",IF(W50&lt;&gt;"","◄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IF($B51="Entry",IF(LEN(W51)&lt;4,"",IF(UPPER(MID(W51,4,1))="P","Individual",IF(UPPER(MID(W51,4,1))="H","HUF",IF(UPPER(MID(W51,4,1))="C","Company",IF(UPPER(MID(W51,4,1))="F","Firm/LLP",IF(UPPER(MID(W51,4,1))="L","Local Authority",IF(UPPER(MID(W51,4,1))="T","Trust",IF(UPPER(MID(W51,4,1))="A","AOP",IF(UPPER(MID(W51,4,1))="B","BOI",IF(UPPER(MID(W51,4,1))="J","AJP",IF(UPPER(MID(W51,4,1))="G","Government",""))))))))))),IF($B51="Challan","",IF(W51&lt;&gt;"","◄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IF($B52="Entry",IF(LEN(W52)&lt;4,"",IF(UPPER(MID(W52,4,1))="P","Individual",IF(UPPER(MID(W52,4,1))="H","HUF",IF(UPPER(MID(W52,4,1))="C","Company",IF(UPPER(MID(W52,4,1))="F","Firm/LLP",IF(UPPER(MID(W52,4,1))="L","Local Authority",IF(UPPER(MID(W52,4,1))="T","Trust",IF(UPPER(MID(W52,4,1))="A","AOP",IF(UPPER(MID(W52,4,1))="B","BOI",IF(UPPER(MID(W52,4,1))="J","AJP",IF(UPPER(MID(W52,4,1))="G","Government",""))))))))))),IF($B52="Challan","",IF(W52&lt;&gt;"","◄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IF($B53="Entry",IF(LEN(W53)&lt;4,"",IF(UPPER(MID(W53,4,1))="P","Individual",IF(UPPER(MID(W53,4,1))="H","HUF",IF(UPPER(MID(W53,4,1))="C","Company",IF(UPPER(MID(W53,4,1))="F","Firm/LLP",IF(UPPER(MID(W53,4,1))="L","Local Authority",IF(UPPER(MID(W53,4,1))="T","Trust",IF(UPPER(MID(W53,4,1))="A","AOP",IF(UPPER(MID(W53,4,1))="B","BOI",IF(UPPER(MID(W53,4,1))="J","AJP",IF(UPPER(MID(W53,4,1))="G","Government",""))))))))))),IF($B53="Challan","",IF(W53&lt;&gt;"","◄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IF($B54="Entry",IF(LEN(W54)&lt;4,"",IF(UPPER(MID(W54,4,1))="P","Individual",IF(UPPER(MID(W54,4,1))="H","HUF",IF(UPPER(MID(W54,4,1))="C","Company",IF(UPPER(MID(W54,4,1))="F","Firm/LLP",IF(UPPER(MID(W54,4,1))="L","Local Authority",IF(UPPER(MID(W54,4,1))="T","Trust",IF(UPPER(MID(W54,4,1))="A","AOP",IF(UPPER(MID(W54,4,1))="B","BOI",IF(UPPER(MID(W54,4,1))="J","AJP",IF(UPPER(MID(W54,4,1))="G","Government",""))))))))))),IF($B54="Challan","",IF(W54&lt;&gt;"","◄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IF($B55="Entry",IF(LEN(W55)&lt;4,"",IF(UPPER(MID(W55,4,1))="P","Individual",IF(UPPER(MID(W55,4,1))="H","HUF",IF(UPPER(MID(W55,4,1))="C","Company",IF(UPPER(MID(W55,4,1))="F","Firm/LLP",IF(UPPER(MID(W55,4,1))="L","Local Authority",IF(UPPER(MID(W55,4,1))="T","Trust",IF(UPPER(MID(W55,4,1))="A","AOP",IF(UPPER(MID(W55,4,1))="B","BOI",IF(UPPER(MID(W55,4,1))="J","AJP",IF(UPPER(MID(W55,4,1))="G","Government",""))))))))))),IF($B55="Challan","",IF(W55&lt;&gt;"","◄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IF($B56="Entry",IF(LEN(W56)&lt;4,"",IF(UPPER(MID(W56,4,1))="P","Individual",IF(UPPER(MID(W56,4,1))="H","HUF",IF(UPPER(MID(W56,4,1))="C","Company",IF(UPPER(MID(W56,4,1))="F","Firm/LLP",IF(UPPER(MID(W56,4,1))="L","Local Authority",IF(UPPER(MID(W56,4,1))="T","Trust",IF(UPPER(MID(W56,4,1))="A","AOP",IF(UPPER(MID(W56,4,1))="B","BOI",IF(UPPER(MID(W56,4,1))="J","AJP",IF(UPPER(MID(W56,4,1))="G","Government",""))))))))))),IF($B56="Challan","",IF(W56&lt;&gt;"","◄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IF($B57="Entry",IF(LEN(W57)&lt;4,"",IF(UPPER(MID(W57,4,1))="P","Individual",IF(UPPER(MID(W57,4,1))="H","HUF",IF(UPPER(MID(W57,4,1))="C","Company",IF(UPPER(MID(W57,4,1))="F","Firm/LLP",IF(UPPER(MID(W57,4,1))="L","Local Authority",IF(UPPER(MID(W57,4,1))="T","Trust",IF(UPPER(MID(W57,4,1))="A","AOP",IF(UPPER(MID(W57,4,1))="B","BOI",IF(UPPER(MID(W57,4,1))="J","AJP",IF(UPPER(MID(W57,4,1))="G","Government",""))))))))))),IF($B57="Challan","",IF(W57&lt;&gt;"","◄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IF($B58="Entry",IF(LEN(W58)&lt;4,"",IF(UPPER(MID(W58,4,1))="P","Individual",IF(UPPER(MID(W58,4,1))="H","HUF",IF(UPPER(MID(W58,4,1))="C","Company",IF(UPPER(MID(W58,4,1))="F","Firm/LLP",IF(UPPER(MID(W58,4,1))="L","Local Authority",IF(UPPER(MID(W58,4,1))="T","Trust",IF(UPPER(MID(W58,4,1))="A","AOP",IF(UPPER(MID(W58,4,1))="B","BOI",IF(UPPER(MID(W58,4,1))="J","AJP",IF(UPPER(MID(W58,4,1))="G","Government",""))))))))))),IF($B58="Challan","",IF(W58&lt;&gt;"","◄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IF($B59="Entry",IF(LEN(W59)&lt;4,"",IF(UPPER(MID(W59,4,1))="P","Individual",IF(UPPER(MID(W59,4,1))="H","HUF",IF(UPPER(MID(W59,4,1))="C","Company",IF(UPPER(MID(W59,4,1))="F","Firm/LLP",IF(UPPER(MID(W59,4,1))="L","Local Authority",IF(UPPER(MID(W59,4,1))="T","Trust",IF(UPPER(MID(W59,4,1))="A","AOP",IF(UPPER(MID(W59,4,1))="B","BOI",IF(UPPER(MID(W59,4,1))="J","AJP",IF(UPPER(MID(W59,4,1))="G","Government",""))))))))))),IF($B59="Challan","",IF(W59&lt;&gt;"","◄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IF($B60="Entry",IF(LEN(W60)&lt;4,"",IF(UPPER(MID(W60,4,1))="P","Individual",IF(UPPER(MID(W60,4,1))="H","HUF",IF(UPPER(MID(W60,4,1))="C","Company",IF(UPPER(MID(W60,4,1))="F","Firm/LLP",IF(UPPER(MID(W60,4,1))="L","Local Authority",IF(UPPER(MID(W60,4,1))="T","Trust",IF(UPPER(MID(W60,4,1))="A","AOP",IF(UPPER(MID(W60,4,1))="B","BOI",IF(UPPER(MID(W60,4,1))="J","AJP",IF(UPPER(MID(W60,4,1))="G","Government",""))))))))))),IF($B60="Challan","",IF(W60&lt;&gt;"","◄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IF($B61="Entry",IF(LEN(W61)&lt;4,"",IF(UPPER(MID(W61,4,1))="P","Individual",IF(UPPER(MID(W61,4,1))="H","HUF",IF(UPPER(MID(W61,4,1))="C","Company",IF(UPPER(MID(W61,4,1))="F","Firm/LLP",IF(UPPER(MID(W61,4,1))="L","Local Authority",IF(UPPER(MID(W61,4,1))="T","Trust",IF(UPPER(MID(W61,4,1))="A","AOP",IF(UPPER(MID(W61,4,1))="B","BOI",IF(UPPER(MID(W61,4,1))="J","AJP",IF(UPPER(MID(W61,4,1))="G","Government",""))))))))))),IF($B61="Challan","",IF(W61&lt;&gt;"","◄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IF($B62="Entry",IF(LEN(W62)&lt;4,"",IF(UPPER(MID(W62,4,1))="P","Individual",IF(UPPER(MID(W62,4,1))="H","HUF",IF(UPPER(MID(W62,4,1))="C","Company",IF(UPPER(MID(W62,4,1))="F","Firm/LLP",IF(UPPER(MID(W62,4,1))="L","Local Authority",IF(UPPER(MID(W62,4,1))="T","Trust",IF(UPPER(MID(W62,4,1))="A","AOP",IF(UPPER(MID(W62,4,1))="B","BOI",IF(UPPER(MID(W62,4,1))="J","AJP",IF(UPPER(MID(W62,4,1))="G","Government",""))))))))))),IF($B62="Challan","",IF(W62&lt;&gt;"","◄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IF($B63="Entry",IF(LEN(W63)&lt;4,"",IF(UPPER(MID(W63,4,1))="P","Individual",IF(UPPER(MID(W63,4,1))="H","HUF",IF(UPPER(MID(W63,4,1))="C","Company",IF(UPPER(MID(W63,4,1))="F","Firm/LLP",IF(UPPER(MID(W63,4,1))="L","Local Authority",IF(UPPER(MID(W63,4,1))="T","Trust",IF(UPPER(MID(W63,4,1))="A","AOP",IF(UPPER(MID(W63,4,1))="B","BOI",IF(UPPER(MID(W63,4,1))="J","AJP",IF(UPPER(MID(W63,4,1))="G","Government",""))))))))))),IF($B63="Challan","",IF(W63&lt;&gt;"","◄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IF($B64="Entry",IF(LEN(W64)&lt;4,"",IF(UPPER(MID(W64,4,1))="P","Individual",IF(UPPER(MID(W64,4,1))="H","HUF",IF(UPPER(MID(W64,4,1))="C","Company",IF(UPPER(MID(W64,4,1))="F","Firm/LLP",IF(UPPER(MID(W64,4,1))="L","Local Authority",IF(UPPER(MID(W64,4,1))="T","Trust",IF(UPPER(MID(W64,4,1))="A","AOP",IF(UPPER(MID(W64,4,1))="B","BOI",IF(UPPER(MID(W64,4,1))="J","AJP",IF(UPPER(MID(W64,4,1))="G","Government",""))))))))))),IF($B64="Challan","",IF(W64&lt;&gt;"","◄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IF($B65="Entry",IF(LEN(W65)&lt;4,"",IF(UPPER(MID(W65,4,1))="P","Individual",IF(UPPER(MID(W65,4,1))="H","HUF",IF(UPPER(MID(W65,4,1))="C","Company",IF(UPPER(MID(W65,4,1))="F","Firm/LLP",IF(UPPER(MID(W65,4,1))="L","Local Authority",IF(UPPER(MID(W65,4,1))="T","Trust",IF(UPPER(MID(W65,4,1))="A","AOP",IF(UPPER(MID(W65,4,1))="B","BOI",IF(UPPER(MID(W65,4,1))="J","AJP",IF(UPPER(MID(W65,4,1))="G","Government",""))))))))))),IF($B65="Challan","",IF(W65&lt;&gt;"","◄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IF($B66="Entry",IF(LEN(W66)&lt;4,"",IF(UPPER(MID(W66,4,1))="P","Individual",IF(UPPER(MID(W66,4,1))="H","HUF",IF(UPPER(MID(W66,4,1))="C","Company",IF(UPPER(MID(W66,4,1))="F","Firm/LLP",IF(UPPER(MID(W66,4,1))="L","Local Authority",IF(UPPER(MID(W66,4,1))="T","Trust",IF(UPPER(MID(W66,4,1))="A","AOP",IF(UPPER(MID(W66,4,1))="B","BOI",IF(UPPER(MID(W66,4,1))="J","AJP",IF(UPPER(MID(W66,4,1))="G","Government",""))))))))))),IF($B66="Challan","",IF(W66&lt;&gt;"","◄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IF($B67="Entry",IF(LEN(W67)&lt;4,"",IF(UPPER(MID(W67,4,1))="P","Individual",IF(UPPER(MID(W67,4,1))="H","HUF",IF(UPPER(MID(W67,4,1))="C","Company",IF(UPPER(MID(W67,4,1))="F","Firm/LLP",IF(UPPER(MID(W67,4,1))="L","Local Authority",IF(UPPER(MID(W67,4,1))="T","Trust",IF(UPPER(MID(W67,4,1))="A","AOP",IF(UPPER(MID(W67,4,1))="B","BOI",IF(UPPER(MID(W67,4,1))="J","AJP",IF(UPPER(MID(W67,4,1))="G","Government",""))))))))))),IF($B67="Challan","",IF(W67&lt;&gt;"","◄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IF($B68="Entry",IF(LEN(W68)&lt;4,"",IF(UPPER(MID(W68,4,1))="P","Individual",IF(UPPER(MID(W68,4,1))="H","HUF",IF(UPPER(MID(W68,4,1))="C","Company",IF(UPPER(MID(W68,4,1))="F","Firm/LLP",IF(UPPER(MID(W68,4,1))="L","Local Authority",IF(UPPER(MID(W68,4,1))="T","Trust",IF(UPPER(MID(W68,4,1))="A","AOP",IF(UPPER(MID(W68,4,1))="B","BOI",IF(UPPER(MID(W68,4,1))="J","AJP",IF(UPPER(MID(W68,4,1))="G","Government",""))))))))))),IF($B68="Challan","",IF(W68&lt;&gt;"","◄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IF($B69="Entry",IF(LEN(W69)&lt;4,"",IF(UPPER(MID(W69,4,1))="P","Individual",IF(UPPER(MID(W69,4,1))="H","HUF",IF(UPPER(MID(W69,4,1))="C","Company",IF(UPPER(MID(W69,4,1))="F","Firm/LLP",IF(UPPER(MID(W69,4,1))="L","Local Authority",IF(UPPER(MID(W69,4,1))="T","Trust",IF(UPPER(MID(W69,4,1))="A","AOP",IF(UPPER(MID(W69,4,1))="B","BOI",IF(UPPER(MID(W69,4,1))="J","AJP",IF(UPPER(MID(W69,4,1))="G","Government",""))))))))))),IF($B69="Challan","",IF(W69&lt;&gt;"","◄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IF($B70="Entry",IF(LEN(W70)&lt;4,"",IF(UPPER(MID(W70,4,1))="P","Individual",IF(UPPER(MID(W70,4,1))="H","HUF",IF(UPPER(MID(W70,4,1))="C","Company",IF(UPPER(MID(W70,4,1))="F","Firm/LLP",IF(UPPER(MID(W70,4,1))="L","Local Authority",IF(UPPER(MID(W70,4,1))="T","Trust",IF(UPPER(MID(W70,4,1))="A","AOP",IF(UPPER(MID(W70,4,1))="B","BOI",IF(UPPER(MID(W70,4,1))="J","AJP",IF(UPPER(MID(W70,4,1))="G","Government",""))))))))))),IF($B70="Challan","",IF(W70&lt;&gt;"","◄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IF($B71="Entry",IF(LEN(W71)&lt;4,"",IF(UPPER(MID(W71,4,1))="P","Individual",IF(UPPER(MID(W71,4,1))="H","HUF",IF(UPPER(MID(W71,4,1))="C","Company",IF(UPPER(MID(W71,4,1))="F","Firm/LLP",IF(UPPER(MID(W71,4,1))="L","Local Authority",IF(UPPER(MID(W71,4,1))="T","Trust",IF(UPPER(MID(W71,4,1))="A","AOP",IF(UPPER(MID(W71,4,1))="B","BOI",IF(UPPER(MID(W71,4,1))="J","AJP",IF(UPPER(MID(W71,4,1))="G","Government",""))))))))))),IF($B71="Challan","",IF(W71&lt;&gt;"","◄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IF($B72="Entry",IF(LEN(W72)&lt;4,"",IF(UPPER(MID(W72,4,1))="P","Individual",IF(UPPER(MID(W72,4,1))="H","HUF",IF(UPPER(MID(W72,4,1))="C","Company",IF(UPPER(MID(W72,4,1))="F","Firm/LLP",IF(UPPER(MID(W72,4,1))="L","Local Authority",IF(UPPER(MID(W72,4,1))="T","Trust",IF(UPPER(MID(W72,4,1))="A","AOP",IF(UPPER(MID(W72,4,1))="B","BOI",IF(UPPER(MID(W72,4,1))="J","AJP",IF(UPPER(MID(W72,4,1))="G","Government",""))))))))))),IF($B72="Challan","",IF(W72&lt;&gt;"","◄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IF($B73="Entry",IF(LEN(W73)&lt;4,"",IF(UPPER(MID(W73,4,1))="P","Individual",IF(UPPER(MID(W73,4,1))="H","HUF",IF(UPPER(MID(W73,4,1))="C","Company",IF(UPPER(MID(W73,4,1))="F","Firm/LLP",IF(UPPER(MID(W73,4,1))="L","Local Authority",IF(UPPER(MID(W73,4,1))="T","Trust",IF(UPPER(MID(W73,4,1))="A","AOP",IF(UPPER(MID(W73,4,1))="B","BOI",IF(UPPER(MID(W73,4,1))="J","AJP",IF(UPPER(MID(W73,4,1))="G","Government",""))))))))))),IF($B73="Challan","",IF(W73&lt;&gt;"","◄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IF($B74="Entry",IF(LEN(W74)&lt;4,"",IF(UPPER(MID(W74,4,1))="P","Individual",IF(UPPER(MID(W74,4,1))="H","HUF",IF(UPPER(MID(W74,4,1))="C","Company",IF(UPPER(MID(W74,4,1))="F","Firm/LLP",IF(UPPER(MID(W74,4,1))="L","Local Authority",IF(UPPER(MID(W74,4,1))="T","Trust",IF(UPPER(MID(W74,4,1))="A","AOP",IF(UPPER(MID(W74,4,1))="B","BOI",IF(UPPER(MID(W74,4,1))="J","AJP",IF(UPPER(MID(W74,4,1))="G","Government",""))))))))))),IF($B74="Challan","",IF(W74&lt;&gt;"","◄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IF($B75="Entry",IF(LEN(W75)&lt;4,"",IF(UPPER(MID(W75,4,1))="P","Individual",IF(UPPER(MID(W75,4,1))="H","HUF",IF(UPPER(MID(W75,4,1))="C","Company",IF(UPPER(MID(W75,4,1))="F","Firm/LLP",IF(UPPER(MID(W75,4,1))="L","Local Authority",IF(UPPER(MID(W75,4,1))="T","Trust",IF(UPPER(MID(W75,4,1))="A","AOP",IF(UPPER(MID(W75,4,1))="B","BOI",IF(UPPER(MID(W75,4,1))="J","AJP",IF(UPPER(MID(W75,4,1))="G","Government",""))))))))))),IF($B75="Challan","",IF(W75&lt;&gt;"","◄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IF($B76="Entry",IF(LEN(W76)&lt;4,"",IF(UPPER(MID(W76,4,1))="P","Individual",IF(UPPER(MID(W76,4,1))="H","HUF",IF(UPPER(MID(W76,4,1))="C","Company",IF(UPPER(MID(W76,4,1))="F","Firm/LLP",IF(UPPER(MID(W76,4,1))="L","Local Authority",IF(UPPER(MID(W76,4,1))="T","Trust",IF(UPPER(MID(W76,4,1))="A","AOP",IF(UPPER(MID(W76,4,1))="B","BOI",IF(UPPER(MID(W76,4,1))="J","AJP",IF(UPPER(MID(W76,4,1))="G","Government",""))))))))))),IF($B76="Challan","",IF(W76&lt;&gt;"","◄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IF($B77="Entry",IF(LEN(W77)&lt;4,"",IF(UPPER(MID(W77,4,1))="P","Individual",IF(UPPER(MID(W77,4,1))="H","HUF",IF(UPPER(MID(W77,4,1))="C","Company",IF(UPPER(MID(W77,4,1))="F","Firm/LLP",IF(UPPER(MID(W77,4,1))="L","Local Authority",IF(UPPER(MID(W77,4,1))="T","Trust",IF(UPPER(MID(W77,4,1))="A","AOP",IF(UPPER(MID(W77,4,1))="B","BOI",IF(UPPER(MID(W77,4,1))="J","AJP",IF(UPPER(MID(W77,4,1))="G","Government",""))))))))))),IF($B77="Challan","",IF(W77&lt;&gt;"","◄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IF($B78="Entry",IF(LEN(W78)&lt;4,"",IF(UPPER(MID(W78,4,1))="P","Individual",IF(UPPER(MID(W78,4,1))="H","HUF",IF(UPPER(MID(W78,4,1))="C","Company",IF(UPPER(MID(W78,4,1))="F","Firm/LLP",IF(UPPER(MID(W78,4,1))="L","Local Authority",IF(UPPER(MID(W78,4,1))="T","Trust",IF(UPPER(MID(W78,4,1))="A","AOP",IF(UPPER(MID(W78,4,1))="B","BOI",IF(UPPER(MID(W78,4,1))="J","AJP",IF(UPPER(MID(W78,4,1))="G","Government",""))))))))))),IF($B78="Challan","",IF(W78&lt;&gt;"","◄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IF($B79="Entry",IF(LEN(W79)&lt;4,"",IF(UPPER(MID(W79,4,1))="P","Individual",IF(UPPER(MID(W79,4,1))="H","HUF",IF(UPPER(MID(W79,4,1))="C","Company",IF(UPPER(MID(W79,4,1))="F","Firm/LLP",IF(UPPER(MID(W79,4,1))="L","Local Authority",IF(UPPER(MID(W79,4,1))="T","Trust",IF(UPPER(MID(W79,4,1))="A","AOP",IF(UPPER(MID(W79,4,1))="B","BOI",IF(UPPER(MID(W79,4,1))="J","AJP",IF(UPPER(MID(W79,4,1))="G","Government",""))))))))))),IF($B79="Challan","",IF(W79&lt;&gt;"","◄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IF($B80="Entry",IF(LEN(W80)&lt;4,"",IF(UPPER(MID(W80,4,1))="P","Individual",IF(UPPER(MID(W80,4,1))="H","HUF",IF(UPPER(MID(W80,4,1))="C","Company",IF(UPPER(MID(W80,4,1))="F","Firm/LLP",IF(UPPER(MID(W80,4,1))="L","Local Authority",IF(UPPER(MID(W80,4,1))="T","Trust",IF(UPPER(MID(W80,4,1))="A","AOP",IF(UPPER(MID(W80,4,1))="B","BOI",IF(UPPER(MID(W80,4,1))="J","AJP",IF(UPPER(MID(W80,4,1))="G","Government",""))))))))))),IF($B80="Challan","",IF(W80&lt;&gt;"","◄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IF($B81="Entry",IF(LEN(W81)&lt;4,"",IF(UPPER(MID(W81,4,1))="P","Individual",IF(UPPER(MID(W81,4,1))="H","HUF",IF(UPPER(MID(W81,4,1))="C","Company",IF(UPPER(MID(W81,4,1))="F","Firm/LLP",IF(UPPER(MID(W81,4,1))="L","Local Authority",IF(UPPER(MID(W81,4,1))="T","Trust",IF(UPPER(MID(W81,4,1))="A","AOP",IF(UPPER(MID(W81,4,1))="B","BOI",IF(UPPER(MID(W81,4,1))="J","AJP",IF(UPPER(MID(W81,4,1))="G","Government",""))))))))))),IF($B81="Challan","",IF(W81&lt;&gt;"","◄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IF($B82="Entry",IF(LEN(W82)&lt;4,"",IF(UPPER(MID(W82,4,1))="P","Individual",IF(UPPER(MID(W82,4,1))="H","HUF",IF(UPPER(MID(W82,4,1))="C","Company",IF(UPPER(MID(W82,4,1))="F","Firm/LLP",IF(UPPER(MID(W82,4,1))="L","Local Authority",IF(UPPER(MID(W82,4,1))="T","Trust",IF(UPPER(MID(W82,4,1))="A","AOP",IF(UPPER(MID(W82,4,1))="B","BOI",IF(UPPER(MID(W82,4,1))="J","AJP",IF(UPPER(MID(W82,4,1))="G","Government",""))))))))))),IF($B82="Challan","",IF(W82&lt;&gt;"","◄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IF($B83="Entry",IF(LEN(W83)&lt;4,"",IF(UPPER(MID(W83,4,1))="P","Individual",IF(UPPER(MID(W83,4,1))="H","HUF",IF(UPPER(MID(W83,4,1))="C","Company",IF(UPPER(MID(W83,4,1))="F","Firm/LLP",IF(UPPER(MID(W83,4,1))="L","Local Authority",IF(UPPER(MID(W83,4,1))="T","Trust",IF(UPPER(MID(W83,4,1))="A","AOP",IF(UPPER(MID(W83,4,1))="B","BOI",IF(UPPER(MID(W83,4,1))="J","AJP",IF(UPPER(MID(W83,4,1))="G","Government",""))))))))))),IF($B83="Challan","",IF(W83&lt;&gt;"","◄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IF($B84="Entry",IF(LEN(W84)&lt;4,"",IF(UPPER(MID(W84,4,1))="P","Individual",IF(UPPER(MID(W84,4,1))="H","HUF",IF(UPPER(MID(W84,4,1))="C","Company",IF(UPPER(MID(W84,4,1))="F","Firm/LLP",IF(UPPER(MID(W84,4,1))="L","Local Authority",IF(UPPER(MID(W84,4,1))="T","Trust",IF(UPPER(MID(W84,4,1))="A","AOP",IF(UPPER(MID(W84,4,1))="B","BOI",IF(UPPER(MID(W84,4,1))="J","AJP",IF(UPPER(MID(W84,4,1))="G","Government",""))))))))))),IF($B84="Challan","",IF(W84&lt;&gt;"","◄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IF($B85="Entry",IF(LEN(W85)&lt;4,"",IF(UPPER(MID(W85,4,1))="P","Individual",IF(UPPER(MID(W85,4,1))="H","HUF",IF(UPPER(MID(W85,4,1))="C","Company",IF(UPPER(MID(W85,4,1))="F","Firm/LLP",IF(UPPER(MID(W85,4,1))="L","Local Authority",IF(UPPER(MID(W85,4,1))="T","Trust",IF(UPPER(MID(W85,4,1))="A","AOP",IF(UPPER(MID(W85,4,1))="B","BOI",IF(UPPER(MID(W85,4,1))="J","AJP",IF(UPPER(MID(W85,4,1))="G","Government",""))))))))))),IF($B85="Challan","",IF(W85&lt;&gt;"","◄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IF($B86="Entry",IF(LEN(W86)&lt;4,"",IF(UPPER(MID(W86,4,1))="P","Individual",IF(UPPER(MID(W86,4,1))="H","HUF",IF(UPPER(MID(W86,4,1))="C","Company",IF(UPPER(MID(W86,4,1))="F","Firm/LLP",IF(UPPER(MID(W86,4,1))="L","Local Authority",IF(UPPER(MID(W86,4,1))="T","Trust",IF(UPPER(MID(W86,4,1))="A","AOP",IF(UPPER(MID(W86,4,1))="B","BOI",IF(UPPER(MID(W86,4,1))="J","AJP",IF(UPPER(MID(W86,4,1))="G","Government",""))))))))))),IF($B86="Challan","",IF(W86&lt;&gt;"","◄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IF($B87="Entry",IF(LEN(W87)&lt;4,"",IF(UPPER(MID(W87,4,1))="P","Individual",IF(UPPER(MID(W87,4,1))="H","HUF",IF(UPPER(MID(W87,4,1))="C","Company",IF(UPPER(MID(W87,4,1))="F","Firm/LLP",IF(UPPER(MID(W87,4,1))="L","Local Authority",IF(UPPER(MID(W87,4,1))="T","Trust",IF(UPPER(MID(W87,4,1))="A","AOP",IF(UPPER(MID(W87,4,1))="B","BOI",IF(UPPER(MID(W87,4,1))="J","AJP",IF(UPPER(MID(W87,4,1))="G","Government",""))))))))))),IF($B87="Challan","",IF(W87&lt;&gt;"","◄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IF($B88="Entry",IF(LEN(W88)&lt;4,"",IF(UPPER(MID(W88,4,1))="P","Individual",IF(UPPER(MID(W88,4,1))="H","HUF",IF(UPPER(MID(W88,4,1))="C","Company",IF(UPPER(MID(W88,4,1))="F","Firm/LLP",IF(UPPER(MID(W88,4,1))="L","Local Authority",IF(UPPER(MID(W88,4,1))="T","Trust",IF(UPPER(MID(W88,4,1))="A","AOP",IF(UPPER(MID(W88,4,1))="B","BOI",IF(UPPER(MID(W88,4,1))="J","AJP",IF(UPPER(MID(W88,4,1))="G","Government",""))))))))))),IF($B88="Challan","",IF(W88&lt;&gt;"","◄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IF($B89="Entry",IF(LEN(W89)&lt;4,"",IF(UPPER(MID(W89,4,1))="P","Individual",IF(UPPER(MID(W89,4,1))="H","HUF",IF(UPPER(MID(W89,4,1))="C","Company",IF(UPPER(MID(W89,4,1))="F","Firm/LLP",IF(UPPER(MID(W89,4,1))="L","Local Authority",IF(UPPER(MID(W89,4,1))="T","Trust",IF(UPPER(MID(W89,4,1))="A","AOP",IF(UPPER(MID(W89,4,1))="B","BOI",IF(UPPER(MID(W89,4,1))="J","AJP",IF(UPPER(MID(W89,4,1))="G","Government",""))))))))))),IF($B89="Challan","",IF(W89&lt;&gt;"","◄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IF($B90="Entry",IF(LEN(W90)&lt;4,"",IF(UPPER(MID(W90,4,1))="P","Individual",IF(UPPER(MID(W90,4,1))="H","HUF",IF(UPPER(MID(W90,4,1))="C","Company",IF(UPPER(MID(W90,4,1))="F","Firm/LLP",IF(UPPER(MID(W90,4,1))="L","Local Authority",IF(UPPER(MID(W90,4,1))="T","Trust",IF(UPPER(MID(W90,4,1))="A","AOP",IF(UPPER(MID(W90,4,1))="B","BOI",IF(UPPER(MID(W90,4,1))="J","AJP",IF(UPPER(MID(W90,4,1))="G","Government",""))))))))))),IF($B90="Challan","",IF(W90&lt;&gt;"","◄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IF($B91="Entry",IF(LEN(W91)&lt;4,"",IF(UPPER(MID(W91,4,1))="P","Individual",IF(UPPER(MID(W91,4,1))="H","HUF",IF(UPPER(MID(W91,4,1))="C","Company",IF(UPPER(MID(W91,4,1))="F","Firm/LLP",IF(UPPER(MID(W91,4,1))="L","Local Authority",IF(UPPER(MID(W91,4,1))="T","Trust",IF(UPPER(MID(W91,4,1))="A","AOP",IF(UPPER(MID(W91,4,1))="B","BOI",IF(UPPER(MID(W91,4,1))="J","AJP",IF(UPPER(MID(W91,4,1))="G","Government",""))))))))))),IF($B91="Challan","",IF(W91&lt;&gt;"","◄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IF($B92="Entry",IF(LEN(W92)&lt;4,"",IF(UPPER(MID(W92,4,1))="P","Individual",IF(UPPER(MID(W92,4,1))="H","HUF",IF(UPPER(MID(W92,4,1))="C","Company",IF(UPPER(MID(W92,4,1))="F","Firm/LLP",IF(UPPER(MID(W92,4,1))="L","Local Authority",IF(UPPER(MID(W92,4,1))="T","Trust",IF(UPPER(MID(W92,4,1))="A","AOP",IF(UPPER(MID(W92,4,1))="B","BOI",IF(UPPER(MID(W92,4,1))="J","AJP",IF(UPPER(MID(W92,4,1))="G","Government",""))))))))))),IF($B92="Challan","",IF(W92&lt;&gt;"","◄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IF($B93="Entry",IF(LEN(W93)&lt;4,"",IF(UPPER(MID(W93,4,1))="P","Individual",IF(UPPER(MID(W93,4,1))="H","HUF",IF(UPPER(MID(W93,4,1))="C","Company",IF(UPPER(MID(W93,4,1))="F","Firm/LLP",IF(UPPER(MID(W93,4,1))="L","Local Authority",IF(UPPER(MID(W93,4,1))="T","Trust",IF(UPPER(MID(W93,4,1))="A","AOP",IF(UPPER(MID(W93,4,1))="B","BOI",IF(UPPER(MID(W93,4,1))="J","AJP",IF(UPPER(MID(W93,4,1))="G","Government",""))))))))))),IF($B93="Challan","",IF(W93&lt;&gt;"","◄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IF($B94="Entry",IF(LEN(W94)&lt;4,"",IF(UPPER(MID(W94,4,1))="P","Individual",IF(UPPER(MID(W94,4,1))="H","HUF",IF(UPPER(MID(W94,4,1))="C","Company",IF(UPPER(MID(W94,4,1))="F","Firm/LLP",IF(UPPER(MID(W94,4,1))="L","Local Authority",IF(UPPER(MID(W94,4,1))="T","Trust",IF(UPPER(MID(W94,4,1))="A","AOP",IF(UPPER(MID(W94,4,1))="B","BOI",IF(UPPER(MID(W94,4,1))="J","AJP",IF(UPPER(MID(W94,4,1))="G","Government",""))))))))))),IF($B94="Challan","",IF(W94&lt;&gt;"","◄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IF($B95="Entry",IF(LEN(W95)&lt;4,"",IF(UPPER(MID(W95,4,1))="P","Individual",IF(UPPER(MID(W95,4,1))="H","HUF",IF(UPPER(MID(W95,4,1))="C","Company",IF(UPPER(MID(W95,4,1))="F","Firm/LLP",IF(UPPER(MID(W95,4,1))="L","Local Authority",IF(UPPER(MID(W95,4,1))="T","Trust",IF(UPPER(MID(W95,4,1))="A","AOP",IF(UPPER(MID(W95,4,1))="B","BOI",IF(UPPER(MID(W95,4,1))="J","AJP",IF(UPPER(MID(W95,4,1))="G","Government",""))))))))))),IF($B95="Challan","",IF(W95&lt;&gt;"","◄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IF($B96="Entry",IF(LEN(W96)&lt;4,"",IF(UPPER(MID(W96,4,1))="P","Individual",IF(UPPER(MID(W96,4,1))="H","HUF",IF(UPPER(MID(W96,4,1))="C","Company",IF(UPPER(MID(W96,4,1))="F","Firm/LLP",IF(UPPER(MID(W96,4,1))="L","Local Authority",IF(UPPER(MID(W96,4,1))="T","Trust",IF(UPPER(MID(W96,4,1))="A","AOP",IF(UPPER(MID(W96,4,1))="B","BOI",IF(UPPER(MID(W96,4,1))="J","AJP",IF(UPPER(MID(W96,4,1))="G","Government",""))))))))))),IF($B96="Challan","",IF(W96&lt;&gt;"","◄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IF($B97="Entry",IF(LEN(W97)&lt;4,"",IF(UPPER(MID(W97,4,1))="P","Individual",IF(UPPER(MID(W97,4,1))="H","HUF",IF(UPPER(MID(W97,4,1))="C","Company",IF(UPPER(MID(W97,4,1))="F","Firm/LLP",IF(UPPER(MID(W97,4,1))="L","Local Authority",IF(UPPER(MID(W97,4,1))="T","Trust",IF(UPPER(MID(W97,4,1))="A","AOP",IF(UPPER(MID(W97,4,1))="B","BOI",IF(UPPER(MID(W97,4,1))="J","AJP",IF(UPPER(MID(W97,4,1))="G","Government",""))))))))))),IF($B97="Challan","",IF(W97&lt;&gt;"","◄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IF($B98="Entry",IF(LEN(W98)&lt;4,"",IF(UPPER(MID(W98,4,1))="P","Individual",IF(UPPER(MID(W98,4,1))="H","HUF",IF(UPPER(MID(W98,4,1))="C","Company",IF(UPPER(MID(W98,4,1))="F","Firm/LLP",IF(UPPER(MID(W98,4,1))="L","Local Authority",IF(UPPER(MID(W98,4,1))="T","Trust",IF(UPPER(MID(W98,4,1))="A","AOP",IF(UPPER(MID(W98,4,1))="B","BOI",IF(UPPER(MID(W98,4,1))="J","AJP",IF(UPPER(MID(W98,4,1))="G","Government",""))))))))))),IF($B98="Challan","",IF(W98&lt;&gt;"","◄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IF($B99="Entry",IF(LEN(W99)&lt;4,"",IF(UPPER(MID(W99,4,1))="P","Individual",IF(UPPER(MID(W99,4,1))="H","HUF",IF(UPPER(MID(W99,4,1))="C","Company",IF(UPPER(MID(W99,4,1))="F","Firm/LLP",IF(UPPER(MID(W99,4,1))="L","Local Authority",IF(UPPER(MID(W99,4,1))="T","Trust",IF(UPPER(MID(W99,4,1))="A","AOP",IF(UPPER(MID(W99,4,1))="B","BOI",IF(UPPER(MID(W99,4,1))="J","AJP",IF(UPPER(MID(W99,4,1))="G","Government",""))))))))))),IF($B99="Challan","",IF(W99&lt;&gt;"","◄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IF($B100="Entry",IF(LEN(W100)&lt;4,"",IF(UPPER(MID(W100,4,1))="P","Individual",IF(UPPER(MID(W100,4,1))="H","HUF",IF(UPPER(MID(W100,4,1))="C","Company",IF(UPPER(MID(W100,4,1))="F","Firm/LLP",IF(UPPER(MID(W100,4,1))="L","Local Authority",IF(UPPER(MID(W100,4,1))="T","Trust",IF(UPPER(MID(W100,4,1))="A","AOP",IF(UPPER(MID(W100,4,1))="B","BOI",IF(UPPER(MID(W100,4,1))="J","AJP",IF(UPPER(MID(W100,4,1))="G","Government",""))))))))))),IF($B100="Challan","",IF(W100&lt;&gt;"","◄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IF($B101="Entry",IF(LEN(W101)&lt;4,"",IF(UPPER(MID(W101,4,1))="P","Individual",IF(UPPER(MID(W101,4,1))="H","HUF",IF(UPPER(MID(W101,4,1))="C","Company",IF(UPPER(MID(W101,4,1))="F","Firm/LLP",IF(UPPER(MID(W101,4,1))="L","Local Authority",IF(UPPER(MID(W101,4,1))="T","Trust",IF(UPPER(MID(W101,4,1))="A","AOP",IF(UPPER(MID(W101,4,1))="B","BOI",IF(UPPER(MID(W101,4,1))="J","AJP",IF(UPPER(MID(W101,4,1))="G","Government",""))))))))))),IF($B101="Challan","",IF(W101&lt;&gt;"","◄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IF($B102="Entry",IF(LEN(W102)&lt;4,"",IF(UPPER(MID(W102,4,1))="P","Individual",IF(UPPER(MID(W102,4,1))="H","HUF",IF(UPPER(MID(W102,4,1))="C","Company",IF(UPPER(MID(W102,4,1))="F","Firm/LLP",IF(UPPER(MID(W102,4,1))="L","Local Authority",IF(UPPER(MID(W102,4,1))="T","Trust",IF(UPPER(MID(W102,4,1))="A","AOP",IF(UPPER(MID(W102,4,1))="B","BOI",IF(UPPER(MID(W102,4,1))="J","AJP",IF(UPPER(MID(W102,4,1))="G","Government",""))))))))))),IF($B102="Challan","",IF(W102&lt;&gt;"","◄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IF($B103="Entry",IF(LEN(W103)&lt;4,"",IF(UPPER(MID(W103,4,1))="P","Individual",IF(UPPER(MID(W103,4,1))="H","HUF",IF(UPPER(MID(W103,4,1))="C","Company",IF(UPPER(MID(W103,4,1))="F","Firm/LLP",IF(UPPER(MID(W103,4,1))="L","Local Authority",IF(UPPER(MID(W103,4,1))="T","Trust",IF(UPPER(MID(W103,4,1))="A","AOP",IF(UPPER(MID(W103,4,1))="B","BOI",IF(UPPER(MID(W103,4,1))="J","AJP",IF(UPPER(MID(W103,4,1))="G","Government",""))))))))))),IF($B103="Challan","",IF(W103&lt;&gt;"","◄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IF($B104="Entry",IF(LEN(W104)&lt;4,"",IF(UPPER(MID(W104,4,1))="P","Individual",IF(UPPER(MID(W104,4,1))="H","HUF",IF(UPPER(MID(W104,4,1))="C","Company",IF(UPPER(MID(W104,4,1))="F","Firm/LLP",IF(UPPER(MID(W104,4,1))="L","Local Authority",IF(UPPER(MID(W104,4,1))="T","Trust",IF(UPPER(MID(W104,4,1))="A","AOP",IF(UPPER(MID(W104,4,1))="B","BOI",IF(UPPER(MID(W104,4,1))="J","AJP",IF(UPPER(MID(W104,4,1))="G","Government",""))))))))))),IF($B104="Challan","",IF(W104&lt;&gt;"","◄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IF($B105="Entry",IF(LEN(W105)&lt;4,"",IF(UPPER(MID(W105,4,1))="P","Individual",IF(UPPER(MID(W105,4,1))="H","HUF",IF(UPPER(MID(W105,4,1))="C","Company",IF(UPPER(MID(W105,4,1))="F","Firm/LLP",IF(UPPER(MID(W105,4,1))="L","Local Authority",IF(UPPER(MID(W105,4,1))="T","Trust",IF(UPPER(MID(W105,4,1))="A","AOP",IF(UPPER(MID(W105,4,1))="B","BOI",IF(UPPER(MID(W105,4,1))="J","AJP",IF(UPPER(MID(W105,4,1))="G","Government",""))))))))))),IF($B105="Challan","",IF(W105&lt;&gt;"","◄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IF($B106="Entry",IF(LEN(W106)&lt;4,"",IF(UPPER(MID(W106,4,1))="P","Individual",IF(UPPER(MID(W106,4,1))="H","HUF",IF(UPPER(MID(W106,4,1))="C","Company",IF(UPPER(MID(W106,4,1))="F","Firm/LLP",IF(UPPER(MID(W106,4,1))="L","Local Authority",IF(UPPER(MID(W106,4,1))="T","Trust",IF(UPPER(MID(W106,4,1))="A","AOP",IF(UPPER(MID(W106,4,1))="B","BOI",IF(UPPER(MID(W106,4,1))="J","AJP",IF(UPPER(MID(W106,4,1))="G","Government",""))))))))))),IF($B106="Challan","",IF(W106&lt;&gt;"","◄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IF($B107="Entry",IF(LEN(W107)&lt;4,"",IF(UPPER(MID(W107,4,1))="P","Individual",IF(UPPER(MID(W107,4,1))="H","HUF",IF(UPPER(MID(W107,4,1))="C","Company",IF(UPPER(MID(W107,4,1))="F","Firm/LLP",IF(UPPER(MID(W107,4,1))="L","Local Authority",IF(UPPER(MID(W107,4,1))="T","Trust",IF(UPPER(MID(W107,4,1))="A","AOP",IF(UPPER(MID(W107,4,1))="B","BOI",IF(UPPER(MID(W107,4,1))="J","AJP",IF(UPPER(MID(W107,4,1))="G","Government",""))))))))))),IF($B107="Challan","",IF(W107&lt;&gt;"","◄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IF($B108="Entry",IF(LEN(W108)&lt;4,"",IF(UPPER(MID(W108,4,1))="P","Individual",IF(UPPER(MID(W108,4,1))="H","HUF",IF(UPPER(MID(W108,4,1))="C","Company",IF(UPPER(MID(W108,4,1))="F","Firm/LLP",IF(UPPER(MID(W108,4,1))="L","Local Authority",IF(UPPER(MID(W108,4,1))="T","Trust",IF(UPPER(MID(W108,4,1))="A","AOP",IF(UPPER(MID(W108,4,1))="B","BOI",IF(UPPER(MID(W108,4,1))="J","AJP",IF(UPPER(MID(W108,4,1))="G","Government",""))))))))))),IF($B108="Challan","",IF(W108&lt;&gt;"","◄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IF($B109="Entry",IF(LEN(W109)&lt;4,"",IF(UPPER(MID(W109,4,1))="P","Individual",IF(UPPER(MID(W109,4,1))="H","HUF",IF(UPPER(MID(W109,4,1))="C","Company",IF(UPPER(MID(W109,4,1))="F","Firm/LLP",IF(UPPER(MID(W109,4,1))="L","Local Authority",IF(UPPER(MID(W109,4,1))="T","Trust",IF(UPPER(MID(W109,4,1))="A","AOP",IF(UPPER(MID(W109,4,1))="B","BOI",IF(UPPER(MID(W109,4,1))="J","AJP",IF(UPPER(MID(W109,4,1))="G","Government",""))))))))))),IF($B109="Challan","",IF(W109&lt;&gt;"","◄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IF($B110="Entry",IF(LEN(W110)&lt;4,"",IF(UPPER(MID(W110,4,1))="P","Individual",IF(UPPER(MID(W110,4,1))="H","HUF",IF(UPPER(MID(W110,4,1))="C","Company",IF(UPPER(MID(W110,4,1))="F","Firm/LLP",IF(UPPER(MID(W110,4,1))="L","Local Authority",IF(UPPER(MID(W110,4,1))="T","Trust",IF(UPPER(MID(W110,4,1))="A","AOP",IF(UPPER(MID(W110,4,1))="B","BOI",IF(UPPER(MID(W110,4,1))="J","AJP",IF(UPPER(MID(W110,4,1))="G","Government",""))))))))))),IF($B110="Challan","",IF(W110&lt;&gt;"","◄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IF($B111="Entry",IF(LEN(W111)&lt;4,"",IF(UPPER(MID(W111,4,1))="P","Individual",IF(UPPER(MID(W111,4,1))="H","HUF",IF(UPPER(MID(W111,4,1))="C","Company",IF(UPPER(MID(W111,4,1))="F","Firm/LLP",IF(UPPER(MID(W111,4,1))="L","Local Authority",IF(UPPER(MID(W111,4,1))="T","Trust",IF(UPPER(MID(W111,4,1))="A","AOP",IF(UPPER(MID(W111,4,1))="B","BOI",IF(UPPER(MID(W111,4,1))="J","AJP",IF(UPPER(MID(W111,4,1))="G","Government",""))))))))))),IF($B111="Challan","",IF(W111&lt;&gt;"","◄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IF($B112="Entry",IF(LEN(W112)&lt;4,"",IF(UPPER(MID(W112,4,1))="P","Individual",IF(UPPER(MID(W112,4,1))="H","HUF",IF(UPPER(MID(W112,4,1))="C","Company",IF(UPPER(MID(W112,4,1))="F","Firm/LLP",IF(UPPER(MID(W112,4,1))="L","Local Authority",IF(UPPER(MID(W112,4,1))="T","Trust",IF(UPPER(MID(W112,4,1))="A","AOP",IF(UPPER(MID(W112,4,1))="B","BOI",IF(UPPER(MID(W112,4,1))="J","AJP",IF(UPPER(MID(W112,4,1))="G","Government",""))))))))))),IF($B112="Challan","",IF(W112&lt;&gt;"","◄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IF($B113="Entry",IF(LEN(W113)&lt;4,"",IF(UPPER(MID(W113,4,1))="P","Individual",IF(UPPER(MID(W113,4,1))="H","HUF",IF(UPPER(MID(W113,4,1))="C","Company",IF(UPPER(MID(W113,4,1))="F","Firm/LLP",IF(UPPER(MID(W113,4,1))="L","Local Authority",IF(UPPER(MID(W113,4,1))="T","Trust",IF(UPPER(MID(W113,4,1))="A","AOP",IF(UPPER(MID(W113,4,1))="B","BOI",IF(UPPER(MID(W113,4,1))="J","AJP",IF(UPPER(MID(W113,4,1))="G","Government",""))))))))))),IF($B113="Challan","",IF(W113&lt;&gt;"","◄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IF($B114="Entry",IF(LEN(W114)&lt;4,"",IF(UPPER(MID(W114,4,1))="P","Individual",IF(UPPER(MID(W114,4,1))="H","HUF",IF(UPPER(MID(W114,4,1))="C","Company",IF(UPPER(MID(W114,4,1))="F","Firm/LLP",IF(UPPER(MID(W114,4,1))="L","Local Authority",IF(UPPER(MID(W114,4,1))="T","Trust",IF(UPPER(MID(W114,4,1))="A","AOP",IF(UPPER(MID(W114,4,1))="B","BOI",IF(UPPER(MID(W114,4,1))="J","AJP",IF(UPPER(MID(W114,4,1))="G","Government",""))))))))))),IF($B114="Challan","",IF(W114&lt;&gt;"","◄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IF($B115="Entry",IF(LEN(W115)&lt;4,"",IF(UPPER(MID(W115,4,1))="P","Individual",IF(UPPER(MID(W115,4,1))="H","HUF",IF(UPPER(MID(W115,4,1))="C","Company",IF(UPPER(MID(W115,4,1))="F","Firm/LLP",IF(UPPER(MID(W115,4,1))="L","Local Authority",IF(UPPER(MID(W115,4,1))="T","Trust",IF(UPPER(MID(W115,4,1))="A","AOP",IF(UPPER(MID(W115,4,1))="B","BOI",IF(UPPER(MID(W115,4,1))="J","AJP",IF(UPPER(MID(W115,4,1))="G","Government",""))))))))))),IF($B115="Challan","",IF(W115&lt;&gt;"","◄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IF($B116="Entry",IF(LEN(W116)&lt;4,"",IF(UPPER(MID(W116,4,1))="P","Individual",IF(UPPER(MID(W116,4,1))="H","HUF",IF(UPPER(MID(W116,4,1))="C","Company",IF(UPPER(MID(W116,4,1))="F","Firm/LLP",IF(UPPER(MID(W116,4,1))="L","Local Authority",IF(UPPER(MID(W116,4,1))="T","Trust",IF(UPPER(MID(W116,4,1))="A","AOP",IF(UPPER(MID(W116,4,1))="B","BOI",IF(UPPER(MID(W116,4,1))="J","AJP",IF(UPPER(MID(W116,4,1))="G","Government",""))))))))))),IF($B116="Challan","",IF(W116&lt;&gt;"","◄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IF($B117="Entry",IF(LEN(W117)&lt;4,"",IF(UPPER(MID(W117,4,1))="P","Individual",IF(UPPER(MID(W117,4,1))="H","HUF",IF(UPPER(MID(W117,4,1))="C","Company",IF(UPPER(MID(W117,4,1))="F","Firm/LLP",IF(UPPER(MID(W117,4,1))="L","Local Authority",IF(UPPER(MID(W117,4,1))="T","Trust",IF(UPPER(MID(W117,4,1))="A","AOP",IF(UPPER(MID(W117,4,1))="B","BOI",IF(UPPER(MID(W117,4,1))="J","AJP",IF(UPPER(MID(W117,4,1))="G","Government",""))))))))))),IF($B117="Challan","",IF(W117&lt;&gt;"","◄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IF($B118="Entry",IF(LEN(W118)&lt;4,"",IF(UPPER(MID(W118,4,1))="P","Individual",IF(UPPER(MID(W118,4,1))="H","HUF",IF(UPPER(MID(W118,4,1))="C","Company",IF(UPPER(MID(W118,4,1))="F","Firm/LLP",IF(UPPER(MID(W118,4,1))="L","Local Authority",IF(UPPER(MID(W118,4,1))="T","Trust",IF(UPPER(MID(W118,4,1))="A","AOP",IF(UPPER(MID(W118,4,1))="B","BOI",IF(UPPER(MID(W118,4,1))="J","AJP",IF(UPPER(MID(W118,4,1))="G","Government",""))))))))))),IF($B118="Challan","",IF(W118&lt;&gt;"","◄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IF($B119="Entry",IF(LEN(W119)&lt;4,"",IF(UPPER(MID(W119,4,1))="P","Individual",IF(UPPER(MID(W119,4,1))="H","HUF",IF(UPPER(MID(W119,4,1))="C","Company",IF(UPPER(MID(W119,4,1))="F","Firm/LLP",IF(UPPER(MID(W119,4,1))="L","Local Authority",IF(UPPER(MID(W119,4,1))="T","Trust",IF(UPPER(MID(W119,4,1))="A","AOP",IF(UPPER(MID(W119,4,1))="B","BOI",IF(UPPER(MID(W119,4,1))="J","AJP",IF(UPPER(MID(W119,4,1))="G","Government",""))))))))))),IF($B119="Challan","",IF(W119&lt;&gt;"","◄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IF($B120="Entry",IF(LEN(W120)&lt;4,"",IF(UPPER(MID(W120,4,1))="P","Individual",IF(UPPER(MID(W120,4,1))="H","HUF",IF(UPPER(MID(W120,4,1))="C","Company",IF(UPPER(MID(W120,4,1))="F","Firm/LLP",IF(UPPER(MID(W120,4,1))="L","Local Authority",IF(UPPER(MID(W120,4,1))="T","Trust",IF(UPPER(MID(W120,4,1))="A","AOP",IF(UPPER(MID(W120,4,1))="B","BOI",IF(UPPER(MID(W120,4,1))="J","AJP",IF(UPPER(MID(W120,4,1))="G","Government",""))))))))))),IF($B120="Challan","",IF(W120&lt;&gt;"","◄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IF($B121="Entry",IF(LEN(W121)&lt;4,"",IF(UPPER(MID(W121,4,1))="P","Individual",IF(UPPER(MID(W121,4,1))="H","HUF",IF(UPPER(MID(W121,4,1))="C","Company",IF(UPPER(MID(W121,4,1))="F","Firm/LLP",IF(UPPER(MID(W121,4,1))="L","Local Authority",IF(UPPER(MID(W121,4,1))="T","Trust",IF(UPPER(MID(W121,4,1))="A","AOP",IF(UPPER(MID(W121,4,1))="B","BOI",IF(UPPER(MID(W121,4,1))="J","AJP",IF(UPPER(MID(W121,4,1))="G","Government",""))))))))))),IF($B121="Challan","",IF(W121&lt;&gt;"","◄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IF($B122="Entry",IF(LEN(W122)&lt;4,"",IF(UPPER(MID(W122,4,1))="P","Individual",IF(UPPER(MID(W122,4,1))="H","HUF",IF(UPPER(MID(W122,4,1))="C","Company",IF(UPPER(MID(W122,4,1))="F","Firm/LLP",IF(UPPER(MID(W122,4,1))="L","Local Authority",IF(UPPER(MID(W122,4,1))="T","Trust",IF(UPPER(MID(W122,4,1))="A","AOP",IF(UPPER(MID(W122,4,1))="B","BOI",IF(UPPER(MID(W122,4,1))="J","AJP",IF(UPPER(MID(W122,4,1))="G","Government",""))))))))))),IF($B122="Challan","",IF(W122&lt;&gt;"","◄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IF($B123="Entry",IF(LEN(W123)&lt;4,"",IF(UPPER(MID(W123,4,1))="P","Individual",IF(UPPER(MID(W123,4,1))="H","HUF",IF(UPPER(MID(W123,4,1))="C","Company",IF(UPPER(MID(W123,4,1))="F","Firm/LLP",IF(UPPER(MID(W123,4,1))="L","Local Authority",IF(UPPER(MID(W123,4,1))="T","Trust",IF(UPPER(MID(W123,4,1))="A","AOP",IF(UPPER(MID(W123,4,1))="B","BOI",IF(UPPER(MID(W123,4,1))="J","AJP",IF(UPPER(MID(W123,4,1))="G","Government",""))))))))))),IF($B123="Challan","",IF(W123&lt;&gt;"","◄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IF($B124="Entry",IF(LEN(W124)&lt;4,"",IF(UPPER(MID(W124,4,1))="P","Individual",IF(UPPER(MID(W124,4,1))="H","HUF",IF(UPPER(MID(W124,4,1))="C","Company",IF(UPPER(MID(W124,4,1))="F","Firm/LLP",IF(UPPER(MID(W124,4,1))="L","Local Authority",IF(UPPER(MID(W124,4,1))="T","Trust",IF(UPPER(MID(W124,4,1))="A","AOP",IF(UPPER(MID(W124,4,1))="B","BOI",IF(UPPER(MID(W124,4,1))="J","AJP",IF(UPPER(MID(W124,4,1))="G","Government",""))))))))))),IF($B124="Challan","",IF(W124&lt;&gt;"","◄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IF($B125="Entry",IF(LEN(W125)&lt;4,"",IF(UPPER(MID(W125,4,1))="P","Individual",IF(UPPER(MID(W125,4,1))="H","HUF",IF(UPPER(MID(W125,4,1))="C","Company",IF(UPPER(MID(W125,4,1))="F","Firm/LLP",IF(UPPER(MID(W125,4,1))="L","Local Authority",IF(UPPER(MID(W125,4,1))="T","Trust",IF(UPPER(MID(W125,4,1))="A","AOP",IF(UPPER(MID(W125,4,1))="B","BOI",IF(UPPER(MID(W125,4,1))="J","AJP",IF(UPPER(MID(W125,4,1))="G","Government",""))))))))))),IF($B125="Challan","",IF(W125&lt;&gt;"","◄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IF($B126="Entry",IF(LEN(W126)&lt;4,"",IF(UPPER(MID(W126,4,1))="P","Individual",IF(UPPER(MID(W126,4,1))="H","HUF",IF(UPPER(MID(W126,4,1))="C","Company",IF(UPPER(MID(W126,4,1))="F","Firm/LLP",IF(UPPER(MID(W126,4,1))="L","Local Authority",IF(UPPER(MID(W126,4,1))="T","Trust",IF(UPPER(MID(W126,4,1))="A","AOP",IF(UPPER(MID(W126,4,1))="B","BOI",IF(UPPER(MID(W126,4,1))="J","AJP",IF(UPPER(MID(W126,4,1))="G","Government",""))))))))))),IF($B126="Challan","",IF(W126&lt;&gt;"","◄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IF($B127="Entry",IF(LEN(W127)&lt;4,"",IF(UPPER(MID(W127,4,1))="P","Individual",IF(UPPER(MID(W127,4,1))="H","HUF",IF(UPPER(MID(W127,4,1))="C","Company",IF(UPPER(MID(W127,4,1))="F","Firm/LLP",IF(UPPER(MID(W127,4,1))="L","Local Authority",IF(UPPER(MID(W127,4,1))="T","Trust",IF(UPPER(MID(W127,4,1))="A","AOP",IF(UPPER(MID(W127,4,1))="B","BOI",IF(UPPER(MID(W127,4,1))="J","AJP",IF(UPPER(MID(W127,4,1))="G","Government",""))))))))))),IF($B127="Challan","",IF(W127&lt;&gt;"","◄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IF($B128="Entry",IF(LEN(W128)&lt;4,"",IF(UPPER(MID(W128,4,1))="P","Individual",IF(UPPER(MID(W128,4,1))="H","HUF",IF(UPPER(MID(W128,4,1))="C","Company",IF(UPPER(MID(W128,4,1))="F","Firm/LLP",IF(UPPER(MID(W128,4,1))="L","Local Authority",IF(UPPER(MID(W128,4,1))="T","Trust",IF(UPPER(MID(W128,4,1))="A","AOP",IF(UPPER(MID(W128,4,1))="B","BOI",IF(UPPER(MID(W128,4,1))="J","AJP",IF(UPPER(MID(W128,4,1))="G","Government",""))))))))))),IF($B128="Challan","",IF(W128&lt;&gt;"","◄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IF($B129="Entry",IF(LEN(W129)&lt;4,"",IF(UPPER(MID(W129,4,1))="P","Individual",IF(UPPER(MID(W129,4,1))="H","HUF",IF(UPPER(MID(W129,4,1))="C","Company",IF(UPPER(MID(W129,4,1))="F","Firm/LLP",IF(UPPER(MID(W129,4,1))="L","Local Authority",IF(UPPER(MID(W129,4,1))="T","Trust",IF(UPPER(MID(W129,4,1))="A","AOP",IF(UPPER(MID(W129,4,1))="B","BOI",IF(UPPER(MID(W129,4,1))="J","AJP",IF(UPPER(MID(W129,4,1))="G","Government",""))))))))))),IF($B129="Challan","",IF(W129&lt;&gt;"","◄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IF($B130="Entry",IF(LEN(W130)&lt;4,"",IF(UPPER(MID(W130,4,1))="P","Individual",IF(UPPER(MID(W130,4,1))="H","HUF",IF(UPPER(MID(W130,4,1))="C","Company",IF(UPPER(MID(W130,4,1))="F","Firm/LLP",IF(UPPER(MID(W130,4,1))="L","Local Authority",IF(UPPER(MID(W130,4,1))="T","Trust",IF(UPPER(MID(W130,4,1))="A","AOP",IF(UPPER(MID(W130,4,1))="B","BOI",IF(UPPER(MID(W130,4,1))="J","AJP",IF(UPPER(MID(W130,4,1))="G","Government",""))))))))))),IF($B130="Challan","",IF(W130&lt;&gt;"","◄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IF($B131="Entry",IF(LEN(W131)&lt;4,"",IF(UPPER(MID(W131,4,1))="P","Individual",IF(UPPER(MID(W131,4,1))="H","HUF",IF(UPPER(MID(W131,4,1))="C","Company",IF(UPPER(MID(W131,4,1))="F","Firm/LLP",IF(UPPER(MID(W131,4,1))="L","Local Authority",IF(UPPER(MID(W131,4,1))="T","Trust",IF(UPPER(MID(W131,4,1))="A","AOP",IF(UPPER(MID(W131,4,1))="B","BOI",IF(UPPER(MID(W131,4,1))="J","AJP",IF(UPPER(MID(W131,4,1))="G","Government",""))))))))))),IF($B131="Challan","",IF(W131&lt;&gt;"","◄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IF($B132="Entry",IF(LEN(W132)&lt;4,"",IF(UPPER(MID(W132,4,1))="P","Individual",IF(UPPER(MID(W132,4,1))="H","HUF",IF(UPPER(MID(W132,4,1))="C","Company",IF(UPPER(MID(W132,4,1))="F","Firm/LLP",IF(UPPER(MID(W132,4,1))="L","Local Authority",IF(UPPER(MID(W132,4,1))="T","Trust",IF(UPPER(MID(W132,4,1))="A","AOP",IF(UPPER(MID(W132,4,1))="B","BOI",IF(UPPER(MID(W132,4,1))="J","AJP",IF(UPPER(MID(W132,4,1))="G","Government",""))))))))))),IF($B132="Challan","",IF(W132&lt;&gt;"","◄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IF($B133="Entry",IF(LEN(W133)&lt;4,"",IF(UPPER(MID(W133,4,1))="P","Individual",IF(UPPER(MID(W133,4,1))="H","HUF",IF(UPPER(MID(W133,4,1))="C","Company",IF(UPPER(MID(W133,4,1))="F","Firm/LLP",IF(UPPER(MID(W133,4,1))="L","Local Authority",IF(UPPER(MID(W133,4,1))="T","Trust",IF(UPPER(MID(W133,4,1))="A","AOP",IF(UPPER(MID(W133,4,1))="B","BOI",IF(UPPER(MID(W133,4,1))="J","AJP",IF(UPPER(MID(W133,4,1))="G","Government",""))))))))))),IF($B133="Challan","",IF(W133&lt;&gt;"","◄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IF($B134="Entry",IF(LEN(W134)&lt;4,"",IF(UPPER(MID(W134,4,1))="P","Individual",IF(UPPER(MID(W134,4,1))="H","HUF",IF(UPPER(MID(W134,4,1))="C","Company",IF(UPPER(MID(W134,4,1))="F","Firm/LLP",IF(UPPER(MID(W134,4,1))="L","Local Authority",IF(UPPER(MID(W134,4,1))="T","Trust",IF(UPPER(MID(W134,4,1))="A","AOP",IF(UPPER(MID(W134,4,1))="B","BOI",IF(UPPER(MID(W134,4,1))="J","AJP",IF(UPPER(MID(W134,4,1))="G","Government",""))))))))))),IF($B134="Challan","",IF(W134&lt;&gt;"","◄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IF($B135="Entry",IF(LEN(W135)&lt;4,"",IF(UPPER(MID(W135,4,1))="P","Individual",IF(UPPER(MID(W135,4,1))="H","HUF",IF(UPPER(MID(W135,4,1))="C","Company",IF(UPPER(MID(W135,4,1))="F","Firm/LLP",IF(UPPER(MID(W135,4,1))="L","Local Authority",IF(UPPER(MID(W135,4,1))="T","Trust",IF(UPPER(MID(W135,4,1))="A","AOP",IF(UPPER(MID(W135,4,1))="B","BOI",IF(UPPER(MID(W135,4,1))="J","AJP",IF(UPPER(MID(W135,4,1))="G","Government",""))))))))))),IF($B135="Challan","",IF(W135&lt;&gt;"","◄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IF($B136="Entry",IF(LEN(W136)&lt;4,"",IF(UPPER(MID(W136,4,1))="P","Individual",IF(UPPER(MID(W136,4,1))="H","HUF",IF(UPPER(MID(W136,4,1))="C","Company",IF(UPPER(MID(W136,4,1))="F","Firm/LLP",IF(UPPER(MID(W136,4,1))="L","Local Authority",IF(UPPER(MID(W136,4,1))="T","Trust",IF(UPPER(MID(W136,4,1))="A","AOP",IF(UPPER(MID(W136,4,1))="B","BOI",IF(UPPER(MID(W136,4,1))="J","AJP",IF(UPPER(MID(W136,4,1))="G","Government",""))))))))))),IF($B136="Challan","",IF(W136&lt;&gt;"","◄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IF($B137="Entry",IF(LEN(W137)&lt;4,"",IF(UPPER(MID(W137,4,1))="P","Individual",IF(UPPER(MID(W137,4,1))="H","HUF",IF(UPPER(MID(W137,4,1))="C","Company",IF(UPPER(MID(W137,4,1))="F","Firm/LLP",IF(UPPER(MID(W137,4,1))="L","Local Authority",IF(UPPER(MID(W137,4,1))="T","Trust",IF(UPPER(MID(W137,4,1))="A","AOP",IF(UPPER(MID(W137,4,1))="B","BOI",IF(UPPER(MID(W137,4,1))="J","AJP",IF(UPPER(MID(W137,4,1))="G","Government",""))))))))))),IF($B137="Challan","",IF(W137&lt;&gt;"","◄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IF($B138="Entry",IF(LEN(W138)&lt;4,"",IF(UPPER(MID(W138,4,1))="P","Individual",IF(UPPER(MID(W138,4,1))="H","HUF",IF(UPPER(MID(W138,4,1))="C","Company",IF(UPPER(MID(W138,4,1))="F","Firm/LLP",IF(UPPER(MID(W138,4,1))="L","Local Authority",IF(UPPER(MID(W138,4,1))="T","Trust",IF(UPPER(MID(W138,4,1))="A","AOP",IF(UPPER(MID(W138,4,1))="B","BOI",IF(UPPER(MID(W138,4,1))="J","AJP",IF(UPPER(MID(W138,4,1))="G","Government",""))))))))))),IF($B138="Challan","",IF(W138&lt;&gt;"","◄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IF($B139="Entry",IF(LEN(W139)&lt;4,"",IF(UPPER(MID(W139,4,1))="P","Individual",IF(UPPER(MID(W139,4,1))="H","HUF",IF(UPPER(MID(W139,4,1))="C","Company",IF(UPPER(MID(W139,4,1))="F","Firm/LLP",IF(UPPER(MID(W139,4,1))="L","Local Authority",IF(UPPER(MID(W139,4,1))="T","Trust",IF(UPPER(MID(W139,4,1))="A","AOP",IF(UPPER(MID(W139,4,1))="B","BOI",IF(UPPER(MID(W139,4,1))="J","AJP",IF(UPPER(MID(W139,4,1))="G","Government",""))))))))))),IF($B139="Challan","",IF(W139&lt;&gt;"","◄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IF($B140="Entry",IF(LEN(W140)&lt;4,"",IF(UPPER(MID(W140,4,1))="P","Individual",IF(UPPER(MID(W140,4,1))="H","HUF",IF(UPPER(MID(W140,4,1))="C","Company",IF(UPPER(MID(W140,4,1))="F","Firm/LLP",IF(UPPER(MID(W140,4,1))="L","Local Authority",IF(UPPER(MID(W140,4,1))="T","Trust",IF(UPPER(MID(W140,4,1))="A","AOP",IF(UPPER(MID(W140,4,1))="B","BOI",IF(UPPER(MID(W140,4,1))="J","AJP",IF(UPPER(MID(W140,4,1))="G","Government",""))))))))))),IF($B140="Challan","",IF(W140&lt;&gt;"","◄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IF($B141="Entry",IF(LEN(W141)&lt;4,"",IF(UPPER(MID(W141,4,1))="P","Individual",IF(UPPER(MID(W141,4,1))="H","HUF",IF(UPPER(MID(W141,4,1))="C","Company",IF(UPPER(MID(W141,4,1))="F","Firm/LLP",IF(UPPER(MID(W141,4,1))="L","Local Authority",IF(UPPER(MID(W141,4,1))="T","Trust",IF(UPPER(MID(W141,4,1))="A","AOP",IF(UPPER(MID(W141,4,1))="B","BOI",IF(UPPER(MID(W141,4,1))="J","AJP",IF(UPPER(MID(W141,4,1))="G","Government",""))))))))))),IF($B141="Challan","",IF(W141&lt;&gt;"","◄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IF($B142="Entry",IF(LEN(W142)&lt;4,"",IF(UPPER(MID(W142,4,1))="P","Individual",IF(UPPER(MID(W142,4,1))="H","HUF",IF(UPPER(MID(W142,4,1))="C","Company",IF(UPPER(MID(W142,4,1))="F","Firm/LLP",IF(UPPER(MID(W142,4,1))="L","Local Authority",IF(UPPER(MID(W142,4,1))="T","Trust",IF(UPPER(MID(W142,4,1))="A","AOP",IF(UPPER(MID(W142,4,1))="B","BOI",IF(UPPER(MID(W142,4,1))="J","AJP",IF(UPPER(MID(W142,4,1))="G","Government",""))))))))))),IF($B142="Challan","",IF(W142&lt;&gt;"","◄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IF($B143="Entry",IF(LEN(W143)&lt;4,"",IF(UPPER(MID(W143,4,1))="P","Individual",IF(UPPER(MID(W143,4,1))="H","HUF",IF(UPPER(MID(W143,4,1))="C","Company",IF(UPPER(MID(W143,4,1))="F","Firm/LLP",IF(UPPER(MID(W143,4,1))="L","Local Authority",IF(UPPER(MID(W143,4,1))="T","Trust",IF(UPPER(MID(W143,4,1))="A","AOP",IF(UPPER(MID(W143,4,1))="B","BOI",IF(UPPER(MID(W143,4,1))="J","AJP",IF(UPPER(MID(W143,4,1))="G","Government",""))))))))))),IF($B143="Challan","",IF(W143&lt;&gt;"","◄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IF($B144="Entry",IF(LEN(W144)&lt;4,"",IF(UPPER(MID(W144,4,1))="P","Individual",IF(UPPER(MID(W144,4,1))="H","HUF",IF(UPPER(MID(W144,4,1))="C","Company",IF(UPPER(MID(W144,4,1))="F","Firm/LLP",IF(UPPER(MID(W144,4,1))="L","Local Authority",IF(UPPER(MID(W144,4,1))="T","Trust",IF(UPPER(MID(W144,4,1))="A","AOP",IF(UPPER(MID(W144,4,1))="B","BOI",IF(UPPER(MID(W144,4,1))="J","AJP",IF(UPPER(MID(W144,4,1))="G","Government",""))))))))))),IF($B144="Challan","",IF(W144&lt;&gt;"","◄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IF($B145="Entry",IF(LEN(W145)&lt;4,"",IF(UPPER(MID(W145,4,1))="P","Individual",IF(UPPER(MID(W145,4,1))="H","HUF",IF(UPPER(MID(W145,4,1))="C","Company",IF(UPPER(MID(W145,4,1))="F","Firm/LLP",IF(UPPER(MID(W145,4,1))="L","Local Authority",IF(UPPER(MID(W145,4,1))="T","Trust",IF(UPPER(MID(W145,4,1))="A","AOP",IF(UPPER(MID(W145,4,1))="B","BOI",IF(UPPER(MID(W145,4,1))="J","AJP",IF(UPPER(MID(W145,4,1))="G","Government",""))))))))))),IF($B145="Challan","",IF(W145&lt;&gt;"","◄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IF($B146="Entry",IF(LEN(W146)&lt;4,"",IF(UPPER(MID(W146,4,1))="P","Individual",IF(UPPER(MID(W146,4,1))="H","HUF",IF(UPPER(MID(W146,4,1))="C","Company",IF(UPPER(MID(W146,4,1))="F","Firm/LLP",IF(UPPER(MID(W146,4,1))="L","Local Authority",IF(UPPER(MID(W146,4,1))="T","Trust",IF(UPPER(MID(W146,4,1))="A","AOP",IF(UPPER(MID(W146,4,1))="B","BOI",IF(UPPER(MID(W146,4,1))="J","AJP",IF(UPPER(MID(W146,4,1))="G","Government",""))))))))))),IF($B146="Challan","",IF(W146&lt;&gt;"","◄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IF($B147="Entry",IF(LEN(W147)&lt;4,"",IF(UPPER(MID(W147,4,1))="P","Individual",IF(UPPER(MID(W147,4,1))="H","HUF",IF(UPPER(MID(W147,4,1))="C","Company",IF(UPPER(MID(W147,4,1))="F","Firm/LLP",IF(UPPER(MID(W147,4,1))="L","Local Authority",IF(UPPER(MID(W147,4,1))="T","Trust",IF(UPPER(MID(W147,4,1))="A","AOP",IF(UPPER(MID(W147,4,1))="B","BOI",IF(UPPER(MID(W147,4,1))="J","AJP",IF(UPPER(MID(W147,4,1))="G","Government",""))))))))))),IF($B147="Challan","",IF(W147&lt;&gt;"","◄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IF($B148="Entry",IF(LEN(W148)&lt;4,"",IF(UPPER(MID(W148,4,1))="P","Individual",IF(UPPER(MID(W148,4,1))="H","HUF",IF(UPPER(MID(W148,4,1))="C","Company",IF(UPPER(MID(W148,4,1))="F","Firm/LLP",IF(UPPER(MID(W148,4,1))="L","Local Authority",IF(UPPER(MID(W148,4,1))="T","Trust",IF(UPPER(MID(W148,4,1))="A","AOP",IF(UPPER(MID(W148,4,1))="B","BOI",IF(UPPER(MID(W148,4,1))="J","AJP",IF(UPPER(MID(W148,4,1))="G","Government",""))))))))))),IF($B148="Challan","",IF(W148&lt;&gt;"","◄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IF($B149="Entry",IF(LEN(W149)&lt;4,"",IF(UPPER(MID(W149,4,1))="P","Individual",IF(UPPER(MID(W149,4,1))="H","HUF",IF(UPPER(MID(W149,4,1))="C","Company",IF(UPPER(MID(W149,4,1))="F","Firm/LLP",IF(UPPER(MID(W149,4,1))="L","Local Authority",IF(UPPER(MID(W149,4,1))="T","Trust",IF(UPPER(MID(W149,4,1))="A","AOP",IF(UPPER(MID(W149,4,1))="B","BOI",IF(UPPER(MID(W149,4,1))="J","AJP",IF(UPPER(MID(W149,4,1))="G","Government",""))))))))))),IF($B149="Challan","",IF(W149&lt;&gt;"","◄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IF($B150="Entry",IF(LEN(W150)&lt;4,"",IF(UPPER(MID(W150,4,1))="P","Individual",IF(UPPER(MID(W150,4,1))="H","HUF",IF(UPPER(MID(W150,4,1))="C","Company",IF(UPPER(MID(W150,4,1))="F","Firm/LLP",IF(UPPER(MID(W150,4,1))="L","Local Authority",IF(UPPER(MID(W150,4,1))="T","Trust",IF(UPPER(MID(W150,4,1))="A","AOP",IF(UPPER(MID(W150,4,1))="B","BOI",IF(UPPER(MID(W150,4,1))="J","AJP",IF(UPPER(MID(W150,4,1))="G","Government",""))))))))))),IF($B150="Challan","",IF(W150&lt;&gt;"","◄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IF($B151="Entry",IF(LEN(W151)&lt;4,"",IF(UPPER(MID(W151,4,1))="P","Individual",IF(UPPER(MID(W151,4,1))="H","HUF",IF(UPPER(MID(W151,4,1))="C","Company",IF(UPPER(MID(W151,4,1))="F","Firm/LLP",IF(UPPER(MID(W151,4,1))="L","Local Authority",IF(UPPER(MID(W151,4,1))="T","Trust",IF(UPPER(MID(W151,4,1))="A","AOP",IF(UPPER(MID(W151,4,1))="B","BOI",IF(UPPER(MID(W151,4,1))="J","AJP",IF(UPPER(MID(W151,4,1))="G","Government",""))))))))))),IF($B151="Challan","",IF(W151&lt;&gt;"","◄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IF($B152="Entry",IF(LEN(W152)&lt;4,"",IF(UPPER(MID(W152,4,1))="P","Individual",IF(UPPER(MID(W152,4,1))="H","HUF",IF(UPPER(MID(W152,4,1))="C","Company",IF(UPPER(MID(W152,4,1))="F","Firm/LLP",IF(UPPER(MID(W152,4,1))="L","Local Authority",IF(UPPER(MID(W152,4,1))="T","Trust",IF(UPPER(MID(W152,4,1))="A","AOP",IF(UPPER(MID(W152,4,1))="B","BOI",IF(UPPER(MID(W152,4,1))="J","AJP",IF(UPPER(MID(W152,4,1))="G","Government",""))))))))))),IF($B152="Challan","",IF(W152&lt;&gt;"","◄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IF($B153="Entry",IF(LEN(W153)&lt;4,"",IF(UPPER(MID(W153,4,1))="P","Individual",IF(UPPER(MID(W153,4,1))="H","HUF",IF(UPPER(MID(W153,4,1))="C","Company",IF(UPPER(MID(W153,4,1))="F","Firm/LLP",IF(UPPER(MID(W153,4,1))="L","Local Authority",IF(UPPER(MID(W153,4,1))="T","Trust",IF(UPPER(MID(W153,4,1))="A","AOP",IF(UPPER(MID(W153,4,1))="B","BOI",IF(UPPER(MID(W153,4,1))="J","AJP",IF(UPPER(MID(W153,4,1))="G","Government",""))))))))))),IF($B153="Challan","",IF(W153&lt;&gt;"","◄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IF($B154="Entry",IF(LEN(W154)&lt;4,"",IF(UPPER(MID(W154,4,1))="P","Individual",IF(UPPER(MID(W154,4,1))="H","HUF",IF(UPPER(MID(W154,4,1))="C","Company",IF(UPPER(MID(W154,4,1))="F","Firm/LLP",IF(UPPER(MID(W154,4,1))="L","Local Authority",IF(UPPER(MID(W154,4,1))="T","Trust",IF(UPPER(MID(W154,4,1))="A","AOP",IF(UPPER(MID(W154,4,1))="B","BOI",IF(UPPER(MID(W154,4,1))="J","AJP",IF(UPPER(MID(W154,4,1))="G","Government",""))))))))))),IF($B154="Challan","",IF(W154&lt;&gt;"","◄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IF($B155="Entry",IF(LEN(W155)&lt;4,"",IF(UPPER(MID(W155,4,1))="P","Individual",IF(UPPER(MID(W155,4,1))="H","HUF",IF(UPPER(MID(W155,4,1))="C","Company",IF(UPPER(MID(W155,4,1))="F","Firm/LLP",IF(UPPER(MID(W155,4,1))="L","Local Authority",IF(UPPER(MID(W155,4,1))="T","Trust",IF(UPPER(MID(W155,4,1))="A","AOP",IF(UPPER(MID(W155,4,1))="B","BOI",IF(UPPER(MID(W155,4,1))="J","AJP",IF(UPPER(MID(W155,4,1))="G","Government",""))))))))))),IF($B155="Challan","",IF(W155&lt;&gt;"","◄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IF($B156="Entry",IF(LEN(W156)&lt;4,"",IF(UPPER(MID(W156,4,1))="P","Individual",IF(UPPER(MID(W156,4,1))="H","HUF",IF(UPPER(MID(W156,4,1))="C","Company",IF(UPPER(MID(W156,4,1))="F","Firm/LLP",IF(UPPER(MID(W156,4,1))="L","Local Authority",IF(UPPER(MID(W156,4,1))="T","Trust",IF(UPPER(MID(W156,4,1))="A","AOP",IF(UPPER(MID(W156,4,1))="B","BOI",IF(UPPER(MID(W156,4,1))="J","AJP",IF(UPPER(MID(W156,4,1))="G","Government",""))))))))))),IF($B156="Challan","",IF(W156&lt;&gt;"","◄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IF($B157="Entry",IF(LEN(W157)&lt;4,"",IF(UPPER(MID(W157,4,1))="P","Individual",IF(UPPER(MID(W157,4,1))="H","HUF",IF(UPPER(MID(W157,4,1))="C","Company",IF(UPPER(MID(W157,4,1))="F","Firm/LLP",IF(UPPER(MID(W157,4,1))="L","Local Authority",IF(UPPER(MID(W157,4,1))="T","Trust",IF(UPPER(MID(W157,4,1))="A","AOP",IF(UPPER(MID(W157,4,1))="B","BOI",IF(UPPER(MID(W157,4,1))="J","AJP",IF(UPPER(MID(W157,4,1))="G","Government",""))))))))))),IF($B157="Challan","",IF(W157&lt;&gt;"","◄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IF($B158="Entry",IF(LEN(W158)&lt;4,"",IF(UPPER(MID(W158,4,1))="P","Individual",IF(UPPER(MID(W158,4,1))="H","HUF",IF(UPPER(MID(W158,4,1))="C","Company",IF(UPPER(MID(W158,4,1))="F","Firm/LLP",IF(UPPER(MID(W158,4,1))="L","Local Authority",IF(UPPER(MID(W158,4,1))="T","Trust",IF(UPPER(MID(W158,4,1))="A","AOP",IF(UPPER(MID(W158,4,1))="B","BOI",IF(UPPER(MID(W158,4,1))="J","AJP",IF(UPPER(MID(W158,4,1))="G","Government",""))))))))))),IF($B158="Challan","",IF(W158&lt;&gt;"","◄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IF($B159="Entry",IF(LEN(W159)&lt;4,"",IF(UPPER(MID(W159,4,1))="P","Individual",IF(UPPER(MID(W159,4,1))="H","HUF",IF(UPPER(MID(W159,4,1))="C","Company",IF(UPPER(MID(W159,4,1))="F","Firm/LLP",IF(UPPER(MID(W159,4,1))="L","Local Authority",IF(UPPER(MID(W159,4,1))="T","Trust",IF(UPPER(MID(W159,4,1))="A","AOP",IF(UPPER(MID(W159,4,1))="B","BOI",IF(UPPER(MID(W159,4,1))="J","AJP",IF(UPPER(MID(W159,4,1))="G","Government",""))))))))))),IF($B159="Challan","",IF(W159&lt;&gt;"","◄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IF($B160="Entry",IF(LEN(W160)&lt;4,"",IF(UPPER(MID(W160,4,1))="P","Individual",IF(UPPER(MID(W160,4,1))="H","HUF",IF(UPPER(MID(W160,4,1))="C","Company",IF(UPPER(MID(W160,4,1))="F","Firm/LLP",IF(UPPER(MID(W160,4,1))="L","Local Authority",IF(UPPER(MID(W160,4,1))="T","Trust",IF(UPPER(MID(W160,4,1))="A","AOP",IF(UPPER(MID(W160,4,1))="B","BOI",IF(UPPER(MID(W160,4,1))="J","AJP",IF(UPPER(MID(W160,4,1))="G","Government",""))))))))))),IF($B160="Challan","",IF(W160&lt;&gt;"","◄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IF($B161="Entry",IF(LEN(W161)&lt;4,"",IF(UPPER(MID(W161,4,1))="P","Individual",IF(UPPER(MID(W161,4,1))="H","HUF",IF(UPPER(MID(W161,4,1))="C","Company",IF(UPPER(MID(W161,4,1))="F","Firm/LLP",IF(UPPER(MID(W161,4,1))="L","Local Authority",IF(UPPER(MID(W161,4,1))="T","Trust",IF(UPPER(MID(W161,4,1))="A","AOP",IF(UPPER(MID(W161,4,1))="B","BOI",IF(UPPER(MID(W161,4,1))="J","AJP",IF(UPPER(MID(W161,4,1))="G","Government",""))))))))))),IF($B161="Challan","",IF(W161&lt;&gt;"","◄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IF($B162="Entry",IF(LEN(W162)&lt;4,"",IF(UPPER(MID(W162,4,1))="P","Individual",IF(UPPER(MID(W162,4,1))="H","HUF",IF(UPPER(MID(W162,4,1))="C","Company",IF(UPPER(MID(W162,4,1))="F","Firm/LLP",IF(UPPER(MID(W162,4,1))="L","Local Authority",IF(UPPER(MID(W162,4,1))="T","Trust",IF(UPPER(MID(W162,4,1))="A","AOP",IF(UPPER(MID(W162,4,1))="B","BOI",IF(UPPER(MID(W162,4,1))="J","AJP",IF(UPPER(MID(W162,4,1))="G","Government",""))))))))))),IF($B162="Challan","",IF(W162&lt;&gt;"","◄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IF($B163="Entry",IF(LEN(W163)&lt;4,"",IF(UPPER(MID(W163,4,1))="P","Individual",IF(UPPER(MID(W163,4,1))="H","HUF",IF(UPPER(MID(W163,4,1))="C","Company",IF(UPPER(MID(W163,4,1))="F","Firm/LLP",IF(UPPER(MID(W163,4,1))="L","Local Authority",IF(UPPER(MID(W163,4,1))="T","Trust",IF(UPPER(MID(W163,4,1))="A","AOP",IF(UPPER(MID(W163,4,1))="B","BOI",IF(UPPER(MID(W163,4,1))="J","AJP",IF(UPPER(MID(W163,4,1))="G","Government",""))))))))))),IF($B163="Challan","",IF(W163&lt;&gt;"","◄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IF($B164="Entry",IF(LEN(W164)&lt;4,"",IF(UPPER(MID(W164,4,1))="P","Individual",IF(UPPER(MID(W164,4,1))="H","HUF",IF(UPPER(MID(W164,4,1))="C","Company",IF(UPPER(MID(W164,4,1))="F","Firm/LLP",IF(UPPER(MID(W164,4,1))="L","Local Authority",IF(UPPER(MID(W164,4,1))="T","Trust",IF(UPPER(MID(W164,4,1))="A","AOP",IF(UPPER(MID(W164,4,1))="B","BOI",IF(UPPER(MID(W164,4,1))="J","AJP",IF(UPPER(MID(W164,4,1))="G","Government",""))))))))))),IF($B164="Challan","",IF(W164&lt;&gt;"","◄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IF($B165="Entry",IF(LEN(W165)&lt;4,"",IF(UPPER(MID(W165,4,1))="P","Individual",IF(UPPER(MID(W165,4,1))="H","HUF",IF(UPPER(MID(W165,4,1))="C","Company",IF(UPPER(MID(W165,4,1))="F","Firm/LLP",IF(UPPER(MID(W165,4,1))="L","Local Authority",IF(UPPER(MID(W165,4,1))="T","Trust",IF(UPPER(MID(W165,4,1))="A","AOP",IF(UPPER(MID(W165,4,1))="B","BOI",IF(UPPER(MID(W165,4,1))="J","AJP",IF(UPPER(MID(W165,4,1))="G","Government",""))))))))))),IF($B165="Challan","",IF(W165&lt;&gt;"","◄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IF($B166="Entry",IF(LEN(W166)&lt;4,"",IF(UPPER(MID(W166,4,1))="P","Individual",IF(UPPER(MID(W166,4,1))="H","HUF",IF(UPPER(MID(W166,4,1))="C","Company",IF(UPPER(MID(W166,4,1))="F","Firm/LLP",IF(UPPER(MID(W166,4,1))="L","Local Authority",IF(UPPER(MID(W166,4,1))="T","Trust",IF(UPPER(MID(W166,4,1))="A","AOP",IF(UPPER(MID(W166,4,1))="B","BOI",IF(UPPER(MID(W166,4,1))="J","AJP",IF(UPPER(MID(W166,4,1))="G","Government",""))))))))))),IF($B166="Challan","",IF(W166&lt;&gt;"","◄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IF($B167="Entry",IF(LEN(W167)&lt;4,"",IF(UPPER(MID(W167,4,1))="P","Individual",IF(UPPER(MID(W167,4,1))="H","HUF",IF(UPPER(MID(W167,4,1))="C","Company",IF(UPPER(MID(W167,4,1))="F","Firm/LLP",IF(UPPER(MID(W167,4,1))="L","Local Authority",IF(UPPER(MID(W167,4,1))="T","Trust",IF(UPPER(MID(W167,4,1))="A","AOP",IF(UPPER(MID(W167,4,1))="B","BOI",IF(UPPER(MID(W167,4,1))="J","AJP",IF(UPPER(MID(W167,4,1))="G","Government",""))))))))))),IF($B167="Challan","",IF(W167&lt;&gt;"","◄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IF($B168="Entry",IF(LEN(W168)&lt;4,"",IF(UPPER(MID(W168,4,1))="P","Individual",IF(UPPER(MID(W168,4,1))="H","HUF",IF(UPPER(MID(W168,4,1))="C","Company",IF(UPPER(MID(W168,4,1))="F","Firm/LLP",IF(UPPER(MID(W168,4,1))="L","Local Authority",IF(UPPER(MID(W168,4,1))="T","Trust",IF(UPPER(MID(W168,4,1))="A","AOP",IF(UPPER(MID(W168,4,1))="B","BOI",IF(UPPER(MID(W168,4,1))="J","AJP",IF(UPPER(MID(W168,4,1))="G","Government",""))))))))))),IF($B168="Challan","",IF(W168&lt;&gt;"","◄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IF($B169="Entry",IF(LEN(W169)&lt;4,"",IF(UPPER(MID(W169,4,1))="P","Individual",IF(UPPER(MID(W169,4,1))="H","HUF",IF(UPPER(MID(W169,4,1))="C","Company",IF(UPPER(MID(W169,4,1))="F","Firm/LLP",IF(UPPER(MID(W169,4,1))="L","Local Authority",IF(UPPER(MID(W169,4,1))="T","Trust",IF(UPPER(MID(W169,4,1))="A","AOP",IF(UPPER(MID(W169,4,1))="B","BOI",IF(UPPER(MID(W169,4,1))="J","AJP",IF(UPPER(MID(W169,4,1))="G","Government",""))))))))))),IF($B169="Challan","",IF(W169&lt;&gt;"","◄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IF($B170="Entry",IF(LEN(W170)&lt;4,"",IF(UPPER(MID(W170,4,1))="P","Individual",IF(UPPER(MID(W170,4,1))="H","HUF",IF(UPPER(MID(W170,4,1))="C","Company",IF(UPPER(MID(W170,4,1))="F","Firm/LLP",IF(UPPER(MID(W170,4,1))="L","Local Authority",IF(UPPER(MID(W170,4,1))="T","Trust",IF(UPPER(MID(W170,4,1))="A","AOP",IF(UPPER(MID(W170,4,1))="B","BOI",IF(UPPER(MID(W170,4,1))="J","AJP",IF(UPPER(MID(W170,4,1))="G","Government",""))))))))))),IF($B170="Challan","",IF(W170&lt;&gt;"","◄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IF($B171="Entry",IF(LEN(W171)&lt;4,"",IF(UPPER(MID(W171,4,1))="P","Individual",IF(UPPER(MID(W171,4,1))="H","HUF",IF(UPPER(MID(W171,4,1))="C","Company",IF(UPPER(MID(W171,4,1))="F","Firm/LLP",IF(UPPER(MID(W171,4,1))="L","Local Authority",IF(UPPER(MID(W171,4,1))="T","Trust",IF(UPPER(MID(W171,4,1))="A","AOP",IF(UPPER(MID(W171,4,1))="B","BOI",IF(UPPER(MID(W171,4,1))="J","AJP",IF(UPPER(MID(W171,4,1))="G","Government",""))))))))))),IF($B171="Challan","",IF(W171&lt;&gt;"","◄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IF($B172="Entry",IF(LEN(W172)&lt;4,"",IF(UPPER(MID(W172,4,1))="P","Individual",IF(UPPER(MID(W172,4,1))="H","HUF",IF(UPPER(MID(W172,4,1))="C","Company",IF(UPPER(MID(W172,4,1))="F","Firm/LLP",IF(UPPER(MID(W172,4,1))="L","Local Authority",IF(UPPER(MID(W172,4,1))="T","Trust",IF(UPPER(MID(W172,4,1))="A","AOP",IF(UPPER(MID(W172,4,1))="B","BOI",IF(UPPER(MID(W172,4,1))="J","AJP",IF(UPPER(MID(W172,4,1))="G","Government",""))))))))))),IF($B172="Challan","",IF(W172&lt;&gt;"","◄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IF($B173="Entry",IF(LEN(W173)&lt;4,"",IF(UPPER(MID(W173,4,1))="P","Individual",IF(UPPER(MID(W173,4,1))="H","HUF",IF(UPPER(MID(W173,4,1))="C","Company",IF(UPPER(MID(W173,4,1))="F","Firm/LLP",IF(UPPER(MID(W173,4,1))="L","Local Authority",IF(UPPER(MID(W173,4,1))="T","Trust",IF(UPPER(MID(W173,4,1))="A","AOP",IF(UPPER(MID(W173,4,1))="B","BOI",IF(UPPER(MID(W173,4,1))="J","AJP",IF(UPPER(MID(W173,4,1))="G","Government",""))))))))))),IF($B173="Challan","",IF(W173&lt;&gt;"","◄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IF($B174="Entry",IF(LEN(W174)&lt;4,"",IF(UPPER(MID(W174,4,1))="P","Individual",IF(UPPER(MID(W174,4,1))="H","HUF",IF(UPPER(MID(W174,4,1))="C","Company",IF(UPPER(MID(W174,4,1))="F","Firm/LLP",IF(UPPER(MID(W174,4,1))="L","Local Authority",IF(UPPER(MID(W174,4,1))="T","Trust",IF(UPPER(MID(W174,4,1))="A","AOP",IF(UPPER(MID(W174,4,1))="B","BOI",IF(UPPER(MID(W174,4,1))="J","AJP",IF(UPPER(MID(W174,4,1))="G","Government",""))))))))))),IF($B174="Challan","",IF(W174&lt;&gt;"","◄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IF($B175="Entry",IF(LEN(W175)&lt;4,"",IF(UPPER(MID(W175,4,1))="P","Individual",IF(UPPER(MID(W175,4,1))="H","HUF",IF(UPPER(MID(W175,4,1))="C","Company",IF(UPPER(MID(W175,4,1))="F","Firm/LLP",IF(UPPER(MID(W175,4,1))="L","Local Authority",IF(UPPER(MID(W175,4,1))="T","Trust",IF(UPPER(MID(W175,4,1))="A","AOP",IF(UPPER(MID(W175,4,1))="B","BOI",IF(UPPER(MID(W175,4,1))="J","AJP",IF(UPPER(MID(W175,4,1))="G","Government",""))))))))))),IF($B175="Challan","",IF(W175&lt;&gt;"","◄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IF($B176="Entry",IF(LEN(W176)&lt;4,"",IF(UPPER(MID(W176,4,1))="P","Individual",IF(UPPER(MID(W176,4,1))="H","HUF",IF(UPPER(MID(W176,4,1))="C","Company",IF(UPPER(MID(W176,4,1))="F","Firm/LLP",IF(UPPER(MID(W176,4,1))="L","Local Authority",IF(UPPER(MID(W176,4,1))="T","Trust",IF(UPPER(MID(W176,4,1))="A","AOP",IF(UPPER(MID(W176,4,1))="B","BOI",IF(UPPER(MID(W176,4,1))="J","AJP",IF(UPPER(MID(W176,4,1))="G","Government",""))))))))))),IF($B176="Challan","",IF(W176&lt;&gt;"","◄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IF($B177="Entry",IF(LEN(W177)&lt;4,"",IF(UPPER(MID(W177,4,1))="P","Individual",IF(UPPER(MID(W177,4,1))="H","HUF",IF(UPPER(MID(W177,4,1))="C","Company",IF(UPPER(MID(W177,4,1))="F","Firm/LLP",IF(UPPER(MID(W177,4,1))="L","Local Authority",IF(UPPER(MID(W177,4,1))="T","Trust",IF(UPPER(MID(W177,4,1))="A","AOP",IF(UPPER(MID(W177,4,1))="B","BOI",IF(UPPER(MID(W177,4,1))="J","AJP",IF(UPPER(MID(W177,4,1))="G","Government",""))))))))))),IF($B177="Challan","",IF(W177&lt;&gt;"","◄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IF($B178="Entry",IF(LEN(W178)&lt;4,"",IF(UPPER(MID(W178,4,1))="P","Individual",IF(UPPER(MID(W178,4,1))="H","HUF",IF(UPPER(MID(W178,4,1))="C","Company",IF(UPPER(MID(W178,4,1))="F","Firm/LLP",IF(UPPER(MID(W178,4,1))="L","Local Authority",IF(UPPER(MID(W178,4,1))="T","Trust",IF(UPPER(MID(W178,4,1))="A","AOP",IF(UPPER(MID(W178,4,1))="B","BOI",IF(UPPER(MID(W178,4,1))="J","AJP",IF(UPPER(MID(W178,4,1))="G","Government",""))))))))))),IF($B178="Challan","",IF(W178&lt;&gt;"","◄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IF($B179="Entry",IF(LEN(W179)&lt;4,"",IF(UPPER(MID(W179,4,1))="P","Individual",IF(UPPER(MID(W179,4,1))="H","HUF",IF(UPPER(MID(W179,4,1))="C","Company",IF(UPPER(MID(W179,4,1))="F","Firm/LLP",IF(UPPER(MID(W179,4,1))="L","Local Authority",IF(UPPER(MID(W179,4,1))="T","Trust",IF(UPPER(MID(W179,4,1))="A","AOP",IF(UPPER(MID(W179,4,1))="B","BOI",IF(UPPER(MID(W179,4,1))="J","AJP",IF(UPPER(MID(W179,4,1))="G","Government",""))))))))))),IF($B179="Challan","",IF(W179&lt;&gt;"","◄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IF($B180="Entry",IF(LEN(W180)&lt;4,"",IF(UPPER(MID(W180,4,1))="P","Individual",IF(UPPER(MID(W180,4,1))="H","HUF",IF(UPPER(MID(W180,4,1))="C","Company",IF(UPPER(MID(W180,4,1))="F","Firm/LLP",IF(UPPER(MID(W180,4,1))="L","Local Authority",IF(UPPER(MID(W180,4,1))="T","Trust",IF(UPPER(MID(W180,4,1))="A","AOP",IF(UPPER(MID(W180,4,1))="B","BOI",IF(UPPER(MID(W180,4,1))="J","AJP",IF(UPPER(MID(W180,4,1))="G","Government",""))))))))))),IF($B180="Challan","",IF(W180&lt;&gt;"","◄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IF($B181="Entry",IF(LEN(W181)&lt;4,"",IF(UPPER(MID(W181,4,1))="P","Individual",IF(UPPER(MID(W181,4,1))="H","HUF",IF(UPPER(MID(W181,4,1))="C","Company",IF(UPPER(MID(W181,4,1))="F","Firm/LLP",IF(UPPER(MID(W181,4,1))="L","Local Authority",IF(UPPER(MID(W181,4,1))="T","Trust",IF(UPPER(MID(W181,4,1))="A","AOP",IF(UPPER(MID(W181,4,1))="B","BOI",IF(UPPER(MID(W181,4,1))="J","AJP",IF(UPPER(MID(W181,4,1))="G","Government",""))))))))))),IF($B181="Challan","",IF(W181&lt;&gt;"","◄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IF($B182="Entry",IF(LEN(W182)&lt;4,"",IF(UPPER(MID(W182,4,1))="P","Individual",IF(UPPER(MID(W182,4,1))="H","HUF",IF(UPPER(MID(W182,4,1))="C","Company",IF(UPPER(MID(W182,4,1))="F","Firm/LLP",IF(UPPER(MID(W182,4,1))="L","Local Authority",IF(UPPER(MID(W182,4,1))="T","Trust",IF(UPPER(MID(W182,4,1))="A","AOP",IF(UPPER(MID(W182,4,1))="B","BOI",IF(UPPER(MID(W182,4,1))="J","AJP",IF(UPPER(MID(W182,4,1))="G","Government",""))))))))))),IF($B182="Challan","",IF(W182&lt;&gt;"","◄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IF($B183="Entry",IF(LEN(W183)&lt;4,"",IF(UPPER(MID(W183,4,1))="P","Individual",IF(UPPER(MID(W183,4,1))="H","HUF",IF(UPPER(MID(W183,4,1))="C","Company",IF(UPPER(MID(W183,4,1))="F","Firm/LLP",IF(UPPER(MID(W183,4,1))="L","Local Authority",IF(UPPER(MID(W183,4,1))="T","Trust",IF(UPPER(MID(W183,4,1))="A","AOP",IF(UPPER(MID(W183,4,1))="B","BOI",IF(UPPER(MID(W183,4,1))="J","AJP",IF(UPPER(MID(W183,4,1))="G","Government",""))))))))))),IF($B183="Challan","",IF(W183&lt;&gt;"","◄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IF($B184="Entry",IF(LEN(W184)&lt;4,"",IF(UPPER(MID(W184,4,1))="P","Individual",IF(UPPER(MID(W184,4,1))="H","HUF",IF(UPPER(MID(W184,4,1))="C","Company",IF(UPPER(MID(W184,4,1))="F","Firm/LLP",IF(UPPER(MID(W184,4,1))="L","Local Authority",IF(UPPER(MID(W184,4,1))="T","Trust",IF(UPPER(MID(W184,4,1))="A","AOP",IF(UPPER(MID(W184,4,1))="B","BOI",IF(UPPER(MID(W184,4,1))="J","AJP",IF(UPPER(MID(W184,4,1))="G","Government",""))))))))))),IF($B184="Challan","",IF(W184&lt;&gt;"","◄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IF($B185="Entry",IF(LEN(W185)&lt;4,"",IF(UPPER(MID(W185,4,1))="P","Individual",IF(UPPER(MID(W185,4,1))="H","HUF",IF(UPPER(MID(W185,4,1))="C","Company",IF(UPPER(MID(W185,4,1))="F","Firm/LLP",IF(UPPER(MID(W185,4,1))="L","Local Authority",IF(UPPER(MID(W185,4,1))="T","Trust",IF(UPPER(MID(W185,4,1))="A","AOP",IF(UPPER(MID(W185,4,1))="B","BOI",IF(UPPER(MID(W185,4,1))="J","AJP",IF(UPPER(MID(W185,4,1))="G","Government",""))))))))))),IF($B185="Challan","",IF(W185&lt;&gt;"","◄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IF($B186="Entry",IF(LEN(W186)&lt;4,"",IF(UPPER(MID(W186,4,1))="P","Individual",IF(UPPER(MID(W186,4,1))="H","HUF",IF(UPPER(MID(W186,4,1))="C","Company",IF(UPPER(MID(W186,4,1))="F","Firm/LLP",IF(UPPER(MID(W186,4,1))="L","Local Authority",IF(UPPER(MID(W186,4,1))="T","Trust",IF(UPPER(MID(W186,4,1))="A","AOP",IF(UPPER(MID(W186,4,1))="B","BOI",IF(UPPER(MID(W186,4,1))="J","AJP",IF(UPPER(MID(W186,4,1))="G","Government",""))))))))))),IF($B186="Challan","",IF(W186&lt;&gt;"","◄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IF($B187="Entry",IF(LEN(W187)&lt;4,"",IF(UPPER(MID(W187,4,1))="P","Individual",IF(UPPER(MID(W187,4,1))="H","HUF",IF(UPPER(MID(W187,4,1))="C","Company",IF(UPPER(MID(W187,4,1))="F","Firm/LLP",IF(UPPER(MID(W187,4,1))="L","Local Authority",IF(UPPER(MID(W187,4,1))="T","Trust",IF(UPPER(MID(W187,4,1))="A","AOP",IF(UPPER(MID(W187,4,1))="B","BOI",IF(UPPER(MID(W187,4,1))="J","AJP",IF(UPPER(MID(W187,4,1))="G","Government",""))))))))))),IF($B187="Challan","",IF(W187&lt;&gt;"","◄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IF($B188="Entry",IF(LEN(W188)&lt;4,"",IF(UPPER(MID(W188,4,1))="P","Individual",IF(UPPER(MID(W188,4,1))="H","HUF",IF(UPPER(MID(W188,4,1))="C","Company",IF(UPPER(MID(W188,4,1))="F","Firm/LLP",IF(UPPER(MID(W188,4,1))="L","Local Authority",IF(UPPER(MID(W188,4,1))="T","Trust",IF(UPPER(MID(W188,4,1))="A","AOP",IF(UPPER(MID(W188,4,1))="B","BOI",IF(UPPER(MID(W188,4,1))="J","AJP",IF(UPPER(MID(W188,4,1))="G","Government",""))))))))))),IF($B188="Challan","",IF(W188&lt;&gt;"","◄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IF($B189="Entry",IF(LEN(W189)&lt;4,"",IF(UPPER(MID(W189,4,1))="P","Individual",IF(UPPER(MID(W189,4,1))="H","HUF",IF(UPPER(MID(W189,4,1))="C","Company",IF(UPPER(MID(W189,4,1))="F","Firm/LLP",IF(UPPER(MID(W189,4,1))="L","Local Authority",IF(UPPER(MID(W189,4,1))="T","Trust",IF(UPPER(MID(W189,4,1))="A","AOP",IF(UPPER(MID(W189,4,1))="B","BOI",IF(UPPER(MID(W189,4,1))="J","AJP",IF(UPPER(MID(W189,4,1))="G","Government",""))))))))))),IF($B189="Challan","",IF(W189&lt;&gt;"","◄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IF($B190="Entry",IF(LEN(W190)&lt;4,"",IF(UPPER(MID(W190,4,1))="P","Individual",IF(UPPER(MID(W190,4,1))="H","HUF",IF(UPPER(MID(W190,4,1))="C","Company",IF(UPPER(MID(W190,4,1))="F","Firm/LLP",IF(UPPER(MID(W190,4,1))="L","Local Authority",IF(UPPER(MID(W190,4,1))="T","Trust",IF(UPPER(MID(W190,4,1))="A","AOP",IF(UPPER(MID(W190,4,1))="B","BOI",IF(UPPER(MID(W190,4,1))="J","AJP",IF(UPPER(MID(W190,4,1))="G","Government",""))))))))))),IF($B190="Challan","",IF(W190&lt;&gt;"","◄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IF($B191="Entry",IF(LEN(W191)&lt;4,"",IF(UPPER(MID(W191,4,1))="P","Individual",IF(UPPER(MID(W191,4,1))="H","HUF",IF(UPPER(MID(W191,4,1))="C","Company",IF(UPPER(MID(W191,4,1))="F","Firm/LLP",IF(UPPER(MID(W191,4,1))="L","Local Authority",IF(UPPER(MID(W191,4,1))="T","Trust",IF(UPPER(MID(W191,4,1))="A","AOP",IF(UPPER(MID(W191,4,1))="B","BOI",IF(UPPER(MID(W191,4,1))="J","AJP",IF(UPPER(MID(W191,4,1))="G","Government",""))))))))))),IF($B191="Challan","",IF(W191&lt;&gt;"","◄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IF($B192="Entry",IF(LEN(W192)&lt;4,"",IF(UPPER(MID(W192,4,1))="P","Individual",IF(UPPER(MID(W192,4,1))="H","HUF",IF(UPPER(MID(W192,4,1))="C","Company",IF(UPPER(MID(W192,4,1))="F","Firm/LLP",IF(UPPER(MID(W192,4,1))="L","Local Authority",IF(UPPER(MID(W192,4,1))="T","Trust",IF(UPPER(MID(W192,4,1))="A","AOP",IF(UPPER(MID(W192,4,1))="B","BOI",IF(UPPER(MID(W192,4,1))="J","AJP",IF(UPPER(MID(W192,4,1))="G","Government",""))))))))))),IF($B192="Challan","",IF(W192&lt;&gt;"","◄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IF($B193="Entry",IF(LEN(W193)&lt;4,"",IF(UPPER(MID(W193,4,1))="P","Individual",IF(UPPER(MID(W193,4,1))="H","HUF",IF(UPPER(MID(W193,4,1))="C","Company",IF(UPPER(MID(W193,4,1))="F","Firm/LLP",IF(UPPER(MID(W193,4,1))="L","Local Authority",IF(UPPER(MID(W193,4,1))="T","Trust",IF(UPPER(MID(W193,4,1))="A","AOP",IF(UPPER(MID(W193,4,1))="B","BOI",IF(UPPER(MID(W193,4,1))="J","AJP",IF(UPPER(MID(W193,4,1))="G","Government",""))))))))))),IF($B193="Challan","",IF(W193&lt;&gt;"","◄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IF($B194="Entry",IF(LEN(W194)&lt;4,"",IF(UPPER(MID(W194,4,1))="P","Individual",IF(UPPER(MID(W194,4,1))="H","HUF",IF(UPPER(MID(W194,4,1))="C","Company",IF(UPPER(MID(W194,4,1))="F","Firm/LLP",IF(UPPER(MID(W194,4,1))="L","Local Authority",IF(UPPER(MID(W194,4,1))="T","Trust",IF(UPPER(MID(W194,4,1))="A","AOP",IF(UPPER(MID(W194,4,1))="B","BOI",IF(UPPER(MID(W194,4,1))="J","AJP",IF(UPPER(MID(W194,4,1))="G","Government",""))))))))))),IF($B194="Challan","",IF(W194&lt;&gt;"","◄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IF($B195="Entry",IF(LEN(W195)&lt;4,"",IF(UPPER(MID(W195,4,1))="P","Individual",IF(UPPER(MID(W195,4,1))="H","HUF",IF(UPPER(MID(W195,4,1))="C","Company",IF(UPPER(MID(W195,4,1))="F","Firm/LLP",IF(UPPER(MID(W195,4,1))="L","Local Authority",IF(UPPER(MID(W195,4,1))="T","Trust",IF(UPPER(MID(W195,4,1))="A","AOP",IF(UPPER(MID(W195,4,1))="B","BOI",IF(UPPER(MID(W195,4,1))="J","AJP",IF(UPPER(MID(W195,4,1))="G","Government",""))))))))))),IF($B195="Challan","",IF(W195&lt;&gt;"","◄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IF($B196="Entry",IF(LEN(W196)&lt;4,"",IF(UPPER(MID(W196,4,1))="P","Individual",IF(UPPER(MID(W196,4,1))="H","HUF",IF(UPPER(MID(W196,4,1))="C","Company",IF(UPPER(MID(W196,4,1))="F","Firm/LLP",IF(UPPER(MID(W196,4,1))="L","Local Authority",IF(UPPER(MID(W196,4,1))="T","Trust",IF(UPPER(MID(W196,4,1))="A","AOP",IF(UPPER(MID(W196,4,1))="B","BOI",IF(UPPER(MID(W196,4,1))="J","AJP",IF(UPPER(MID(W196,4,1))="G","Government",""))))))))))),IF($B196="Challan","",IF(W196&lt;&gt;"","◄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IF($B197="Entry",IF(LEN(W197)&lt;4,"",IF(UPPER(MID(W197,4,1))="P","Individual",IF(UPPER(MID(W197,4,1))="H","HUF",IF(UPPER(MID(W197,4,1))="C","Company",IF(UPPER(MID(W197,4,1))="F","Firm/LLP",IF(UPPER(MID(W197,4,1))="L","Local Authority",IF(UPPER(MID(W197,4,1))="T","Trust",IF(UPPER(MID(W197,4,1))="A","AOP",IF(UPPER(MID(W197,4,1))="B","BOI",IF(UPPER(MID(W197,4,1))="J","AJP",IF(UPPER(MID(W197,4,1))="G","Government",""))))))))))),IF($B197="Challan","",IF(W197&lt;&gt;"","◄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IF($B198="Entry",IF(LEN(W198)&lt;4,"",IF(UPPER(MID(W198,4,1))="P","Individual",IF(UPPER(MID(W198,4,1))="H","HUF",IF(UPPER(MID(W198,4,1))="C","Company",IF(UPPER(MID(W198,4,1))="F","Firm/LLP",IF(UPPER(MID(W198,4,1))="L","Local Authority",IF(UPPER(MID(W198,4,1))="T","Trust",IF(UPPER(MID(W198,4,1))="A","AOP",IF(UPPER(MID(W198,4,1))="B","BOI",IF(UPPER(MID(W198,4,1))="J","AJP",IF(UPPER(MID(W198,4,1))="G","Government",""))))))))))),IF($B198="Challan","",IF(W198&lt;&gt;"","◄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IF($B199="Entry",IF(LEN(W199)&lt;4,"",IF(UPPER(MID(W199,4,1))="P","Individual",IF(UPPER(MID(W199,4,1))="H","HUF",IF(UPPER(MID(W199,4,1))="C","Company",IF(UPPER(MID(W199,4,1))="F","Firm/LLP",IF(UPPER(MID(W199,4,1))="L","Local Authority",IF(UPPER(MID(W199,4,1))="T","Trust",IF(UPPER(MID(W199,4,1))="A","AOP",IF(UPPER(MID(W199,4,1))="B","BOI",IF(UPPER(MID(W199,4,1))="J","AJP",IF(UPPER(MID(W199,4,1))="G","Government",""))))))))))),IF($B199="Challan","",IF(W199&lt;&gt;"","◄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IF($B200="Entry",IF(LEN(W200)&lt;4,"",IF(UPPER(MID(W200,4,1))="P","Individual",IF(UPPER(MID(W200,4,1))="H","HUF",IF(UPPER(MID(W200,4,1))="C","Company",IF(UPPER(MID(W200,4,1))="F","Firm/LLP",IF(UPPER(MID(W200,4,1))="L","Local Authority",IF(UPPER(MID(W200,4,1))="T","Trust",IF(UPPER(MID(W200,4,1))="A","AOP",IF(UPPER(MID(W200,4,1))="B","BOI",IF(UPPER(MID(W200,4,1))="J","AJP",IF(UPPER(MID(W200,4,1))="G","Government",""))))))))))),IF($B200="Challan","",IF(W200&lt;&gt;"","◄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IF($B201="Entry",IF(LEN(W201)&lt;4,"",IF(UPPER(MID(W201,4,1))="P","Individual",IF(UPPER(MID(W201,4,1))="H","HUF",IF(UPPER(MID(W201,4,1))="C","Company",IF(UPPER(MID(W201,4,1))="F","Firm/LLP",IF(UPPER(MID(W201,4,1))="L","Local Authority",IF(UPPER(MID(W201,4,1))="T","Trust",IF(UPPER(MID(W201,4,1))="A","AOP",IF(UPPER(MID(W201,4,1))="B","BOI",IF(UPPER(MID(W201,4,1))="J","AJP",IF(UPPER(MID(W201,4,1))="G","Government",""))))))))))),IF($B201="Challan","",IF(W201&lt;&gt;"","◄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IF($B202="Entry",IF(LEN(W202)&lt;4,"",IF(UPPER(MID(W202,4,1))="P","Individual",IF(UPPER(MID(W202,4,1))="H","HUF",IF(UPPER(MID(W202,4,1))="C","Company",IF(UPPER(MID(W202,4,1))="F","Firm/LLP",IF(UPPER(MID(W202,4,1))="L","Local Authority",IF(UPPER(MID(W202,4,1))="T","Trust",IF(UPPER(MID(W202,4,1))="A","AOP",IF(UPPER(MID(W202,4,1))="B","BOI",IF(UPPER(MID(W202,4,1))="J","AJP",IF(UPPER(MID(W202,4,1))="G","Government",""))))))))))),IF($B202="Challan","",IF(W202&lt;&gt;"","◄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IF($B203="Entry",IF(LEN(W203)&lt;4,"",IF(UPPER(MID(W203,4,1))="P","Individual",IF(UPPER(MID(W203,4,1))="H","HUF",IF(UPPER(MID(W203,4,1))="C","Company",IF(UPPER(MID(W203,4,1))="F","Firm/LLP",IF(UPPER(MID(W203,4,1))="L","Local Authority",IF(UPPER(MID(W203,4,1))="T","Trust",IF(UPPER(MID(W203,4,1))="A","AOP",IF(UPPER(MID(W203,4,1))="B","BOI",IF(UPPER(MID(W203,4,1))="J","AJP",IF(UPPER(MID(W203,4,1))="G","Government",""))))))))))),IF($B203="Challan","",IF(W203&lt;&gt;"","◄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IF($B204="Entry",IF(LEN(W204)&lt;4,"",IF(UPPER(MID(W204,4,1))="P","Individual",IF(UPPER(MID(W204,4,1))="H","HUF",IF(UPPER(MID(W204,4,1))="C","Company",IF(UPPER(MID(W204,4,1))="F","Firm/LLP",IF(UPPER(MID(W204,4,1))="L","Local Authority",IF(UPPER(MID(W204,4,1))="T","Trust",IF(UPPER(MID(W204,4,1))="A","AOP",IF(UPPER(MID(W204,4,1))="B","BOI",IF(UPPER(MID(W204,4,1))="J","AJP",IF(UPPER(MID(W204,4,1))="G","Government",""))))))))))),IF($B204="Challan","",IF(W204&lt;&gt;"","◄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IF($B205="Entry",IF(LEN(W205)&lt;4,"",IF(UPPER(MID(W205,4,1))="P","Individual",IF(UPPER(MID(W205,4,1))="H","HUF",IF(UPPER(MID(W205,4,1))="C","Company",IF(UPPER(MID(W205,4,1))="F","Firm/LLP",IF(UPPER(MID(W205,4,1))="L","Local Authority",IF(UPPER(MID(W205,4,1))="T","Trust",IF(UPPER(MID(W205,4,1))="A","AOP",IF(UPPER(MID(W205,4,1))="B","BOI",IF(UPPER(MID(W205,4,1))="J","AJP",IF(UPPER(MID(W205,4,1))="G","Government",""))))))))))),IF($B205="Challan","",IF(W205&lt;&gt;"","◄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IF($B206="Entry",IF(LEN(W206)&lt;4,"",IF(UPPER(MID(W206,4,1))="P","Individual",IF(UPPER(MID(W206,4,1))="H","HUF",IF(UPPER(MID(W206,4,1))="C","Company",IF(UPPER(MID(W206,4,1))="F","Firm/LLP",IF(UPPER(MID(W206,4,1))="L","Local Authority",IF(UPPER(MID(W206,4,1))="T","Trust",IF(UPPER(MID(W206,4,1))="A","AOP",IF(UPPER(MID(W206,4,1))="B","BOI",IF(UPPER(MID(W206,4,1))="J","AJP",IF(UPPER(MID(W206,4,1))="G","Government",""))))))))))),IF($B206="Challan","",IF(W206&lt;&gt;"","◄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IF($B207="Entry",IF(LEN(W207)&lt;4,"",IF(UPPER(MID(W207,4,1))="P","Individual",IF(UPPER(MID(W207,4,1))="H","HUF",IF(UPPER(MID(W207,4,1))="C","Company",IF(UPPER(MID(W207,4,1))="F","Firm/LLP",IF(UPPER(MID(W207,4,1))="L","Local Authority",IF(UPPER(MID(W207,4,1))="T","Trust",IF(UPPER(MID(W207,4,1))="A","AOP",IF(UPPER(MID(W207,4,1))="B","BOI",IF(UPPER(MID(W207,4,1))="J","AJP",IF(UPPER(MID(W207,4,1))="G","Government",""))))))))))),IF($B207="Challan","",IF(W207&lt;&gt;"","◄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0" priority="4">
      <formula>$B4="Challan"</formula>
    </cfRule>
  </conditionalFormatting>
  <conditionalFormatting sqref="A4:AP207">
    <cfRule type="expression" dxfId="1" priority="1">
      <formula>E4="Over-applied"</formula>
    </cfRule>
    <cfRule type="expression" dxfId="2" priority="2">
      <formula>E4="Fully Utilised"</formula>
    </cfRule>
    <cfRule type="expression" dxfId="3" priority="3">
      <formula>E4="Unconsumed"</formula>
    </cfRule>
  </conditionalFormatting>
  <conditionalFormatting sqref="Z4:Z207">
    <cfRule type="expression" dxfId="4" priority="5">
      <formula>AR4=TRUE</formula>
    </cfRule>
  </conditionalFormatting>
  <conditionalFormatting sqref="W4:W207">
    <cfRule type="expression" dxfId="5" priority="6">
      <formula>X4="Y"</formula>
    </cfRule>
  </conditionalFormatting>
  <conditionalFormatting sqref="X4:X207">
    <cfRule type="expression" dxfId="6" priority="7">
      <formula>X4="Y"</formula>
    </cfRule>
  </conditionalFormatting>
  <conditionalFormatting sqref="A2:AP2">
    <cfRule type="expression" dxfId="7" priority="8">
      <formula>ISNUMBER(SEARCH("VALIDATION FAILED",A2))</formula>
    </cfRule>
    <cfRule type="expression" dxfId="8"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for this Deductee Type" error="194C(a) is Individual/HUF only; 194C(b) is for every other deductee type. Pick the option matching this row's own Deductee Type (column Y)." sqref="Z4:Z207">
      <formula1>IF(OR($Y4="Individual",$Y4="HUF"),'Rate Lookup'!$F$1:$F$36,'Rate Lookup'!$G$1:$G$36)</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173</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IF($B4="Entry",IF(LEN(W4)&lt;4,"",IF(UPPER(MID(W4,4,1))="P","Individual",IF(UPPER(MID(W4,4,1))="H","HUF",IF(UPPER(MID(W4,4,1))="C","Company",IF(UPPER(MID(W4,4,1))="F","Firm/LLP",IF(UPPER(MID(W4,4,1))="L","Local Authority",IF(UPPER(MID(W4,4,1))="T","Trust",IF(UPPER(MID(W4,4,1))="A","AOP",IF(UPPER(MID(W4,4,1))="B","BOI",IF(UPPER(MID(W4,4,1))="J","AJP",IF(UPPER(MID(W4,4,1))="G","Government",""))))))))))),IF($B4="Challan","",IF(W4&lt;&gt;"","◄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IF($B5="Entry",IF(LEN(W5)&lt;4,"",IF(UPPER(MID(W5,4,1))="P","Individual",IF(UPPER(MID(W5,4,1))="H","HUF",IF(UPPER(MID(W5,4,1))="C","Company",IF(UPPER(MID(W5,4,1))="F","Firm/LLP",IF(UPPER(MID(W5,4,1))="L","Local Authority",IF(UPPER(MID(W5,4,1))="T","Trust",IF(UPPER(MID(W5,4,1))="A","AOP",IF(UPPER(MID(W5,4,1))="B","BOI",IF(UPPER(MID(W5,4,1))="J","AJP",IF(UPPER(MID(W5,4,1))="G","Government",""))))))))))),IF($B5="Challan","",IF(W5&lt;&gt;"","◄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IF($B6="Entry",IF(LEN(W6)&lt;4,"",IF(UPPER(MID(W6,4,1))="P","Individual",IF(UPPER(MID(W6,4,1))="H","HUF",IF(UPPER(MID(W6,4,1))="C","Company",IF(UPPER(MID(W6,4,1))="F","Firm/LLP",IF(UPPER(MID(W6,4,1))="L","Local Authority",IF(UPPER(MID(W6,4,1))="T","Trust",IF(UPPER(MID(W6,4,1))="A","AOP",IF(UPPER(MID(W6,4,1))="B","BOI",IF(UPPER(MID(W6,4,1))="J","AJP",IF(UPPER(MID(W6,4,1))="G","Government",""))))))))))),IF($B6="Challan","",IF(W6&lt;&gt;"","◄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IF($B7="Entry",IF(LEN(W7)&lt;4,"",IF(UPPER(MID(W7,4,1))="P","Individual",IF(UPPER(MID(W7,4,1))="H","HUF",IF(UPPER(MID(W7,4,1))="C","Company",IF(UPPER(MID(W7,4,1))="F","Firm/LLP",IF(UPPER(MID(W7,4,1))="L","Local Authority",IF(UPPER(MID(W7,4,1))="T","Trust",IF(UPPER(MID(W7,4,1))="A","AOP",IF(UPPER(MID(W7,4,1))="B","BOI",IF(UPPER(MID(W7,4,1))="J","AJP",IF(UPPER(MID(W7,4,1))="G","Government",""))))))))))),IF($B7="Challan","",IF(W7&lt;&gt;"","◄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IF($B8="Entry",IF(LEN(W8)&lt;4,"",IF(UPPER(MID(W8,4,1))="P","Individual",IF(UPPER(MID(W8,4,1))="H","HUF",IF(UPPER(MID(W8,4,1))="C","Company",IF(UPPER(MID(W8,4,1))="F","Firm/LLP",IF(UPPER(MID(W8,4,1))="L","Local Authority",IF(UPPER(MID(W8,4,1))="T","Trust",IF(UPPER(MID(W8,4,1))="A","AOP",IF(UPPER(MID(W8,4,1))="B","BOI",IF(UPPER(MID(W8,4,1))="J","AJP",IF(UPPER(MID(W8,4,1))="G","Government",""))))))))))),IF($B8="Challan","",IF(W8&lt;&gt;"","◄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IF($B9="Entry",IF(LEN(W9)&lt;4,"",IF(UPPER(MID(W9,4,1))="P","Individual",IF(UPPER(MID(W9,4,1))="H","HUF",IF(UPPER(MID(W9,4,1))="C","Company",IF(UPPER(MID(W9,4,1))="F","Firm/LLP",IF(UPPER(MID(W9,4,1))="L","Local Authority",IF(UPPER(MID(W9,4,1))="T","Trust",IF(UPPER(MID(W9,4,1))="A","AOP",IF(UPPER(MID(W9,4,1))="B","BOI",IF(UPPER(MID(W9,4,1))="J","AJP",IF(UPPER(MID(W9,4,1))="G","Government",""))))))))))),IF($B9="Challan","",IF(W9&lt;&gt;"","◄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IF($B10="Entry",IF(LEN(W10)&lt;4,"",IF(UPPER(MID(W10,4,1))="P","Individual",IF(UPPER(MID(W10,4,1))="H","HUF",IF(UPPER(MID(W10,4,1))="C","Company",IF(UPPER(MID(W10,4,1))="F","Firm/LLP",IF(UPPER(MID(W10,4,1))="L","Local Authority",IF(UPPER(MID(W10,4,1))="T","Trust",IF(UPPER(MID(W10,4,1))="A","AOP",IF(UPPER(MID(W10,4,1))="B","BOI",IF(UPPER(MID(W10,4,1))="J","AJP",IF(UPPER(MID(W10,4,1))="G","Government",""))))))))))),IF($B10="Challan","",IF(W10&lt;&gt;"","◄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IF($B11="Entry",IF(LEN(W11)&lt;4,"",IF(UPPER(MID(W11,4,1))="P","Individual",IF(UPPER(MID(W11,4,1))="H","HUF",IF(UPPER(MID(W11,4,1))="C","Company",IF(UPPER(MID(W11,4,1))="F","Firm/LLP",IF(UPPER(MID(W11,4,1))="L","Local Authority",IF(UPPER(MID(W11,4,1))="T","Trust",IF(UPPER(MID(W11,4,1))="A","AOP",IF(UPPER(MID(W11,4,1))="B","BOI",IF(UPPER(MID(W11,4,1))="J","AJP",IF(UPPER(MID(W11,4,1))="G","Government",""))))))))))),IF($B11="Challan","",IF(W11&lt;&gt;"","◄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IF($B12="Entry",IF(LEN(W12)&lt;4,"",IF(UPPER(MID(W12,4,1))="P","Individual",IF(UPPER(MID(W12,4,1))="H","HUF",IF(UPPER(MID(W12,4,1))="C","Company",IF(UPPER(MID(W12,4,1))="F","Firm/LLP",IF(UPPER(MID(W12,4,1))="L","Local Authority",IF(UPPER(MID(W12,4,1))="T","Trust",IF(UPPER(MID(W12,4,1))="A","AOP",IF(UPPER(MID(W12,4,1))="B","BOI",IF(UPPER(MID(W12,4,1))="J","AJP",IF(UPPER(MID(W12,4,1))="G","Government",""))))))))))),IF($B12="Challan","",IF(W12&lt;&gt;"","◄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IF($B13="Entry",IF(LEN(W13)&lt;4,"",IF(UPPER(MID(W13,4,1))="P","Individual",IF(UPPER(MID(W13,4,1))="H","HUF",IF(UPPER(MID(W13,4,1))="C","Company",IF(UPPER(MID(W13,4,1))="F","Firm/LLP",IF(UPPER(MID(W13,4,1))="L","Local Authority",IF(UPPER(MID(W13,4,1))="T","Trust",IF(UPPER(MID(W13,4,1))="A","AOP",IF(UPPER(MID(W13,4,1))="B","BOI",IF(UPPER(MID(W13,4,1))="J","AJP",IF(UPPER(MID(W13,4,1))="G","Government",""))))))))))),IF($B13="Challan","",IF(W13&lt;&gt;"","◄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IF($B14="Entry",IF(LEN(W14)&lt;4,"",IF(UPPER(MID(W14,4,1))="P","Individual",IF(UPPER(MID(W14,4,1))="H","HUF",IF(UPPER(MID(W14,4,1))="C","Company",IF(UPPER(MID(W14,4,1))="F","Firm/LLP",IF(UPPER(MID(W14,4,1))="L","Local Authority",IF(UPPER(MID(W14,4,1))="T","Trust",IF(UPPER(MID(W14,4,1))="A","AOP",IF(UPPER(MID(W14,4,1))="B","BOI",IF(UPPER(MID(W14,4,1))="J","AJP",IF(UPPER(MID(W14,4,1))="G","Government",""))))))))))),IF($B14="Challan","",IF(W14&lt;&gt;"","◄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IF($B15="Entry",IF(LEN(W15)&lt;4,"",IF(UPPER(MID(W15,4,1))="P","Individual",IF(UPPER(MID(W15,4,1))="H","HUF",IF(UPPER(MID(W15,4,1))="C","Company",IF(UPPER(MID(W15,4,1))="F","Firm/LLP",IF(UPPER(MID(W15,4,1))="L","Local Authority",IF(UPPER(MID(W15,4,1))="T","Trust",IF(UPPER(MID(W15,4,1))="A","AOP",IF(UPPER(MID(W15,4,1))="B","BOI",IF(UPPER(MID(W15,4,1))="J","AJP",IF(UPPER(MID(W15,4,1))="G","Government",""))))))))))),IF($B15="Challan","",IF(W15&lt;&gt;"","◄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IF($B16="Entry",IF(LEN(W16)&lt;4,"",IF(UPPER(MID(W16,4,1))="P","Individual",IF(UPPER(MID(W16,4,1))="H","HUF",IF(UPPER(MID(W16,4,1))="C","Company",IF(UPPER(MID(W16,4,1))="F","Firm/LLP",IF(UPPER(MID(W16,4,1))="L","Local Authority",IF(UPPER(MID(W16,4,1))="T","Trust",IF(UPPER(MID(W16,4,1))="A","AOP",IF(UPPER(MID(W16,4,1))="B","BOI",IF(UPPER(MID(W16,4,1))="J","AJP",IF(UPPER(MID(W16,4,1))="G","Government",""))))))))))),IF($B16="Challan","",IF(W16&lt;&gt;"","◄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IF($B17="Entry",IF(LEN(W17)&lt;4,"",IF(UPPER(MID(W17,4,1))="P","Individual",IF(UPPER(MID(W17,4,1))="H","HUF",IF(UPPER(MID(W17,4,1))="C","Company",IF(UPPER(MID(W17,4,1))="F","Firm/LLP",IF(UPPER(MID(W17,4,1))="L","Local Authority",IF(UPPER(MID(W17,4,1))="T","Trust",IF(UPPER(MID(W17,4,1))="A","AOP",IF(UPPER(MID(W17,4,1))="B","BOI",IF(UPPER(MID(W17,4,1))="J","AJP",IF(UPPER(MID(W17,4,1))="G","Government",""))))))))))),IF($B17="Challan","",IF(W17&lt;&gt;"","◄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IF($B18="Entry",IF(LEN(W18)&lt;4,"",IF(UPPER(MID(W18,4,1))="P","Individual",IF(UPPER(MID(W18,4,1))="H","HUF",IF(UPPER(MID(W18,4,1))="C","Company",IF(UPPER(MID(W18,4,1))="F","Firm/LLP",IF(UPPER(MID(W18,4,1))="L","Local Authority",IF(UPPER(MID(W18,4,1))="T","Trust",IF(UPPER(MID(W18,4,1))="A","AOP",IF(UPPER(MID(W18,4,1))="B","BOI",IF(UPPER(MID(W18,4,1))="J","AJP",IF(UPPER(MID(W18,4,1))="G","Government",""))))))))))),IF($B18="Challan","",IF(W18&lt;&gt;"","◄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IF($B19="Entry",IF(LEN(W19)&lt;4,"",IF(UPPER(MID(W19,4,1))="P","Individual",IF(UPPER(MID(W19,4,1))="H","HUF",IF(UPPER(MID(W19,4,1))="C","Company",IF(UPPER(MID(W19,4,1))="F","Firm/LLP",IF(UPPER(MID(W19,4,1))="L","Local Authority",IF(UPPER(MID(W19,4,1))="T","Trust",IF(UPPER(MID(W19,4,1))="A","AOP",IF(UPPER(MID(W19,4,1))="B","BOI",IF(UPPER(MID(W19,4,1))="J","AJP",IF(UPPER(MID(W19,4,1))="G","Government",""))))))))))),IF($B19="Challan","",IF(W19&lt;&gt;"","◄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IF($B20="Entry",IF(LEN(W20)&lt;4,"",IF(UPPER(MID(W20,4,1))="P","Individual",IF(UPPER(MID(W20,4,1))="H","HUF",IF(UPPER(MID(W20,4,1))="C","Company",IF(UPPER(MID(W20,4,1))="F","Firm/LLP",IF(UPPER(MID(W20,4,1))="L","Local Authority",IF(UPPER(MID(W20,4,1))="T","Trust",IF(UPPER(MID(W20,4,1))="A","AOP",IF(UPPER(MID(W20,4,1))="B","BOI",IF(UPPER(MID(W20,4,1))="J","AJP",IF(UPPER(MID(W20,4,1))="G","Government",""))))))))))),IF($B20="Challan","",IF(W20&lt;&gt;"","◄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IF($B21="Entry",IF(LEN(W21)&lt;4,"",IF(UPPER(MID(W21,4,1))="P","Individual",IF(UPPER(MID(W21,4,1))="H","HUF",IF(UPPER(MID(W21,4,1))="C","Company",IF(UPPER(MID(W21,4,1))="F","Firm/LLP",IF(UPPER(MID(W21,4,1))="L","Local Authority",IF(UPPER(MID(W21,4,1))="T","Trust",IF(UPPER(MID(W21,4,1))="A","AOP",IF(UPPER(MID(W21,4,1))="B","BOI",IF(UPPER(MID(W21,4,1))="J","AJP",IF(UPPER(MID(W21,4,1))="G","Government",""))))))))))),IF($B21="Challan","",IF(W21&lt;&gt;"","◄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IF($B22="Entry",IF(LEN(W22)&lt;4,"",IF(UPPER(MID(W22,4,1))="P","Individual",IF(UPPER(MID(W22,4,1))="H","HUF",IF(UPPER(MID(W22,4,1))="C","Company",IF(UPPER(MID(W22,4,1))="F","Firm/LLP",IF(UPPER(MID(W22,4,1))="L","Local Authority",IF(UPPER(MID(W22,4,1))="T","Trust",IF(UPPER(MID(W22,4,1))="A","AOP",IF(UPPER(MID(W22,4,1))="B","BOI",IF(UPPER(MID(W22,4,1))="J","AJP",IF(UPPER(MID(W22,4,1))="G","Government",""))))))))))),IF($B22="Challan","",IF(W22&lt;&gt;"","◄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IF($B23="Entry",IF(LEN(W23)&lt;4,"",IF(UPPER(MID(W23,4,1))="P","Individual",IF(UPPER(MID(W23,4,1))="H","HUF",IF(UPPER(MID(W23,4,1))="C","Company",IF(UPPER(MID(W23,4,1))="F","Firm/LLP",IF(UPPER(MID(W23,4,1))="L","Local Authority",IF(UPPER(MID(W23,4,1))="T","Trust",IF(UPPER(MID(W23,4,1))="A","AOP",IF(UPPER(MID(W23,4,1))="B","BOI",IF(UPPER(MID(W23,4,1))="J","AJP",IF(UPPER(MID(W23,4,1))="G","Government",""))))))))))),IF($B23="Challan","",IF(W23&lt;&gt;"","◄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IF($B24="Entry",IF(LEN(W24)&lt;4,"",IF(UPPER(MID(W24,4,1))="P","Individual",IF(UPPER(MID(W24,4,1))="H","HUF",IF(UPPER(MID(W24,4,1))="C","Company",IF(UPPER(MID(W24,4,1))="F","Firm/LLP",IF(UPPER(MID(W24,4,1))="L","Local Authority",IF(UPPER(MID(W24,4,1))="T","Trust",IF(UPPER(MID(W24,4,1))="A","AOP",IF(UPPER(MID(W24,4,1))="B","BOI",IF(UPPER(MID(W24,4,1))="J","AJP",IF(UPPER(MID(W24,4,1))="G","Government",""))))))))))),IF($B24="Challan","",IF(W24&lt;&gt;"","◄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IF($B25="Entry",IF(LEN(W25)&lt;4,"",IF(UPPER(MID(W25,4,1))="P","Individual",IF(UPPER(MID(W25,4,1))="H","HUF",IF(UPPER(MID(W25,4,1))="C","Company",IF(UPPER(MID(W25,4,1))="F","Firm/LLP",IF(UPPER(MID(W25,4,1))="L","Local Authority",IF(UPPER(MID(W25,4,1))="T","Trust",IF(UPPER(MID(W25,4,1))="A","AOP",IF(UPPER(MID(W25,4,1))="B","BOI",IF(UPPER(MID(W25,4,1))="J","AJP",IF(UPPER(MID(W25,4,1))="G","Government",""))))))))))),IF($B25="Challan","",IF(W25&lt;&gt;"","◄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IF($B26="Entry",IF(LEN(W26)&lt;4,"",IF(UPPER(MID(W26,4,1))="P","Individual",IF(UPPER(MID(W26,4,1))="H","HUF",IF(UPPER(MID(W26,4,1))="C","Company",IF(UPPER(MID(W26,4,1))="F","Firm/LLP",IF(UPPER(MID(W26,4,1))="L","Local Authority",IF(UPPER(MID(W26,4,1))="T","Trust",IF(UPPER(MID(W26,4,1))="A","AOP",IF(UPPER(MID(W26,4,1))="B","BOI",IF(UPPER(MID(W26,4,1))="J","AJP",IF(UPPER(MID(W26,4,1))="G","Government",""))))))))))),IF($B26="Challan","",IF(W26&lt;&gt;"","◄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IF($B27="Entry",IF(LEN(W27)&lt;4,"",IF(UPPER(MID(W27,4,1))="P","Individual",IF(UPPER(MID(W27,4,1))="H","HUF",IF(UPPER(MID(W27,4,1))="C","Company",IF(UPPER(MID(W27,4,1))="F","Firm/LLP",IF(UPPER(MID(W27,4,1))="L","Local Authority",IF(UPPER(MID(W27,4,1))="T","Trust",IF(UPPER(MID(W27,4,1))="A","AOP",IF(UPPER(MID(W27,4,1))="B","BOI",IF(UPPER(MID(W27,4,1))="J","AJP",IF(UPPER(MID(W27,4,1))="G","Government",""))))))))))),IF($B27="Challan","",IF(W27&lt;&gt;"","◄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IF($B28="Entry",IF(LEN(W28)&lt;4,"",IF(UPPER(MID(W28,4,1))="P","Individual",IF(UPPER(MID(W28,4,1))="H","HUF",IF(UPPER(MID(W28,4,1))="C","Company",IF(UPPER(MID(W28,4,1))="F","Firm/LLP",IF(UPPER(MID(W28,4,1))="L","Local Authority",IF(UPPER(MID(W28,4,1))="T","Trust",IF(UPPER(MID(W28,4,1))="A","AOP",IF(UPPER(MID(W28,4,1))="B","BOI",IF(UPPER(MID(W28,4,1))="J","AJP",IF(UPPER(MID(W28,4,1))="G","Government",""))))))))))),IF($B28="Challan","",IF(W28&lt;&gt;"","◄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IF($B29="Entry",IF(LEN(W29)&lt;4,"",IF(UPPER(MID(W29,4,1))="P","Individual",IF(UPPER(MID(W29,4,1))="H","HUF",IF(UPPER(MID(W29,4,1))="C","Company",IF(UPPER(MID(W29,4,1))="F","Firm/LLP",IF(UPPER(MID(W29,4,1))="L","Local Authority",IF(UPPER(MID(W29,4,1))="T","Trust",IF(UPPER(MID(W29,4,1))="A","AOP",IF(UPPER(MID(W29,4,1))="B","BOI",IF(UPPER(MID(W29,4,1))="J","AJP",IF(UPPER(MID(W29,4,1))="G","Government",""))))))))))),IF($B29="Challan","",IF(W29&lt;&gt;"","◄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IF($B30="Entry",IF(LEN(W30)&lt;4,"",IF(UPPER(MID(W30,4,1))="P","Individual",IF(UPPER(MID(W30,4,1))="H","HUF",IF(UPPER(MID(W30,4,1))="C","Company",IF(UPPER(MID(W30,4,1))="F","Firm/LLP",IF(UPPER(MID(W30,4,1))="L","Local Authority",IF(UPPER(MID(W30,4,1))="T","Trust",IF(UPPER(MID(W30,4,1))="A","AOP",IF(UPPER(MID(W30,4,1))="B","BOI",IF(UPPER(MID(W30,4,1))="J","AJP",IF(UPPER(MID(W30,4,1))="G","Government",""))))))))))),IF($B30="Challan","",IF(W30&lt;&gt;"","◄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IF($B31="Entry",IF(LEN(W31)&lt;4,"",IF(UPPER(MID(W31,4,1))="P","Individual",IF(UPPER(MID(W31,4,1))="H","HUF",IF(UPPER(MID(W31,4,1))="C","Company",IF(UPPER(MID(W31,4,1))="F","Firm/LLP",IF(UPPER(MID(W31,4,1))="L","Local Authority",IF(UPPER(MID(W31,4,1))="T","Trust",IF(UPPER(MID(W31,4,1))="A","AOP",IF(UPPER(MID(W31,4,1))="B","BOI",IF(UPPER(MID(W31,4,1))="J","AJP",IF(UPPER(MID(W31,4,1))="G","Government",""))))))))))),IF($B31="Challan","",IF(W31&lt;&gt;"","◄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IF($B32="Entry",IF(LEN(W32)&lt;4,"",IF(UPPER(MID(W32,4,1))="P","Individual",IF(UPPER(MID(W32,4,1))="H","HUF",IF(UPPER(MID(W32,4,1))="C","Company",IF(UPPER(MID(W32,4,1))="F","Firm/LLP",IF(UPPER(MID(W32,4,1))="L","Local Authority",IF(UPPER(MID(W32,4,1))="T","Trust",IF(UPPER(MID(W32,4,1))="A","AOP",IF(UPPER(MID(W32,4,1))="B","BOI",IF(UPPER(MID(W32,4,1))="J","AJP",IF(UPPER(MID(W32,4,1))="G","Government",""))))))))))),IF($B32="Challan","",IF(W32&lt;&gt;"","◄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IF($B33="Entry",IF(LEN(W33)&lt;4,"",IF(UPPER(MID(W33,4,1))="P","Individual",IF(UPPER(MID(W33,4,1))="H","HUF",IF(UPPER(MID(W33,4,1))="C","Company",IF(UPPER(MID(W33,4,1))="F","Firm/LLP",IF(UPPER(MID(W33,4,1))="L","Local Authority",IF(UPPER(MID(W33,4,1))="T","Trust",IF(UPPER(MID(W33,4,1))="A","AOP",IF(UPPER(MID(W33,4,1))="B","BOI",IF(UPPER(MID(W33,4,1))="J","AJP",IF(UPPER(MID(W33,4,1))="G","Government",""))))))))))),IF($B33="Challan","",IF(W33&lt;&gt;"","◄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IF($B34="Entry",IF(LEN(W34)&lt;4,"",IF(UPPER(MID(W34,4,1))="P","Individual",IF(UPPER(MID(W34,4,1))="H","HUF",IF(UPPER(MID(W34,4,1))="C","Company",IF(UPPER(MID(W34,4,1))="F","Firm/LLP",IF(UPPER(MID(W34,4,1))="L","Local Authority",IF(UPPER(MID(W34,4,1))="T","Trust",IF(UPPER(MID(W34,4,1))="A","AOP",IF(UPPER(MID(W34,4,1))="B","BOI",IF(UPPER(MID(W34,4,1))="J","AJP",IF(UPPER(MID(W34,4,1))="G","Government",""))))))))))),IF($B34="Challan","",IF(W34&lt;&gt;"","◄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IF($B35="Entry",IF(LEN(W35)&lt;4,"",IF(UPPER(MID(W35,4,1))="P","Individual",IF(UPPER(MID(W35,4,1))="H","HUF",IF(UPPER(MID(W35,4,1))="C","Company",IF(UPPER(MID(W35,4,1))="F","Firm/LLP",IF(UPPER(MID(W35,4,1))="L","Local Authority",IF(UPPER(MID(W35,4,1))="T","Trust",IF(UPPER(MID(W35,4,1))="A","AOP",IF(UPPER(MID(W35,4,1))="B","BOI",IF(UPPER(MID(W35,4,1))="J","AJP",IF(UPPER(MID(W35,4,1))="G","Government",""))))))))))),IF($B35="Challan","",IF(W35&lt;&gt;"","◄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IF($B36="Entry",IF(LEN(W36)&lt;4,"",IF(UPPER(MID(W36,4,1))="P","Individual",IF(UPPER(MID(W36,4,1))="H","HUF",IF(UPPER(MID(W36,4,1))="C","Company",IF(UPPER(MID(W36,4,1))="F","Firm/LLP",IF(UPPER(MID(W36,4,1))="L","Local Authority",IF(UPPER(MID(W36,4,1))="T","Trust",IF(UPPER(MID(W36,4,1))="A","AOP",IF(UPPER(MID(W36,4,1))="B","BOI",IF(UPPER(MID(W36,4,1))="J","AJP",IF(UPPER(MID(W36,4,1))="G","Government",""))))))))))),IF($B36="Challan","",IF(W36&lt;&gt;"","◄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IF($B37="Entry",IF(LEN(W37)&lt;4,"",IF(UPPER(MID(W37,4,1))="P","Individual",IF(UPPER(MID(W37,4,1))="H","HUF",IF(UPPER(MID(W37,4,1))="C","Company",IF(UPPER(MID(W37,4,1))="F","Firm/LLP",IF(UPPER(MID(W37,4,1))="L","Local Authority",IF(UPPER(MID(W37,4,1))="T","Trust",IF(UPPER(MID(W37,4,1))="A","AOP",IF(UPPER(MID(W37,4,1))="B","BOI",IF(UPPER(MID(W37,4,1))="J","AJP",IF(UPPER(MID(W37,4,1))="G","Government",""))))))))))),IF($B37="Challan","",IF(W37&lt;&gt;"","◄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IF($B38="Entry",IF(LEN(W38)&lt;4,"",IF(UPPER(MID(W38,4,1))="P","Individual",IF(UPPER(MID(W38,4,1))="H","HUF",IF(UPPER(MID(W38,4,1))="C","Company",IF(UPPER(MID(W38,4,1))="F","Firm/LLP",IF(UPPER(MID(W38,4,1))="L","Local Authority",IF(UPPER(MID(W38,4,1))="T","Trust",IF(UPPER(MID(W38,4,1))="A","AOP",IF(UPPER(MID(W38,4,1))="B","BOI",IF(UPPER(MID(W38,4,1))="J","AJP",IF(UPPER(MID(W38,4,1))="G","Government",""))))))))))),IF($B38="Challan","",IF(W38&lt;&gt;"","◄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IF($B39="Entry",IF(LEN(W39)&lt;4,"",IF(UPPER(MID(W39,4,1))="P","Individual",IF(UPPER(MID(W39,4,1))="H","HUF",IF(UPPER(MID(W39,4,1))="C","Company",IF(UPPER(MID(W39,4,1))="F","Firm/LLP",IF(UPPER(MID(W39,4,1))="L","Local Authority",IF(UPPER(MID(W39,4,1))="T","Trust",IF(UPPER(MID(W39,4,1))="A","AOP",IF(UPPER(MID(W39,4,1))="B","BOI",IF(UPPER(MID(W39,4,1))="J","AJP",IF(UPPER(MID(W39,4,1))="G","Government",""))))))))))),IF($B39="Challan","",IF(W39&lt;&gt;"","◄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IF($B40="Entry",IF(LEN(W40)&lt;4,"",IF(UPPER(MID(W40,4,1))="P","Individual",IF(UPPER(MID(W40,4,1))="H","HUF",IF(UPPER(MID(W40,4,1))="C","Company",IF(UPPER(MID(W40,4,1))="F","Firm/LLP",IF(UPPER(MID(W40,4,1))="L","Local Authority",IF(UPPER(MID(W40,4,1))="T","Trust",IF(UPPER(MID(W40,4,1))="A","AOP",IF(UPPER(MID(W40,4,1))="B","BOI",IF(UPPER(MID(W40,4,1))="J","AJP",IF(UPPER(MID(W40,4,1))="G","Government",""))))))))))),IF($B40="Challan","",IF(W40&lt;&gt;"","◄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IF($B41="Entry",IF(LEN(W41)&lt;4,"",IF(UPPER(MID(W41,4,1))="P","Individual",IF(UPPER(MID(W41,4,1))="H","HUF",IF(UPPER(MID(W41,4,1))="C","Company",IF(UPPER(MID(W41,4,1))="F","Firm/LLP",IF(UPPER(MID(W41,4,1))="L","Local Authority",IF(UPPER(MID(W41,4,1))="T","Trust",IF(UPPER(MID(W41,4,1))="A","AOP",IF(UPPER(MID(W41,4,1))="B","BOI",IF(UPPER(MID(W41,4,1))="J","AJP",IF(UPPER(MID(W41,4,1))="G","Government",""))))))))))),IF($B41="Challan","",IF(W41&lt;&gt;"","◄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IF($B42="Entry",IF(LEN(W42)&lt;4,"",IF(UPPER(MID(W42,4,1))="P","Individual",IF(UPPER(MID(W42,4,1))="H","HUF",IF(UPPER(MID(W42,4,1))="C","Company",IF(UPPER(MID(W42,4,1))="F","Firm/LLP",IF(UPPER(MID(W42,4,1))="L","Local Authority",IF(UPPER(MID(W42,4,1))="T","Trust",IF(UPPER(MID(W42,4,1))="A","AOP",IF(UPPER(MID(W42,4,1))="B","BOI",IF(UPPER(MID(W42,4,1))="J","AJP",IF(UPPER(MID(W42,4,1))="G","Government",""))))))))))),IF($B42="Challan","",IF(W42&lt;&gt;"","◄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IF($B43="Entry",IF(LEN(W43)&lt;4,"",IF(UPPER(MID(W43,4,1))="P","Individual",IF(UPPER(MID(W43,4,1))="H","HUF",IF(UPPER(MID(W43,4,1))="C","Company",IF(UPPER(MID(W43,4,1))="F","Firm/LLP",IF(UPPER(MID(W43,4,1))="L","Local Authority",IF(UPPER(MID(W43,4,1))="T","Trust",IF(UPPER(MID(W43,4,1))="A","AOP",IF(UPPER(MID(W43,4,1))="B","BOI",IF(UPPER(MID(W43,4,1))="J","AJP",IF(UPPER(MID(W43,4,1))="G","Government",""))))))))))),IF($B43="Challan","",IF(W43&lt;&gt;"","◄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IF($B44="Entry",IF(LEN(W44)&lt;4,"",IF(UPPER(MID(W44,4,1))="P","Individual",IF(UPPER(MID(W44,4,1))="H","HUF",IF(UPPER(MID(W44,4,1))="C","Company",IF(UPPER(MID(W44,4,1))="F","Firm/LLP",IF(UPPER(MID(W44,4,1))="L","Local Authority",IF(UPPER(MID(W44,4,1))="T","Trust",IF(UPPER(MID(W44,4,1))="A","AOP",IF(UPPER(MID(W44,4,1))="B","BOI",IF(UPPER(MID(W44,4,1))="J","AJP",IF(UPPER(MID(W44,4,1))="G","Government",""))))))))))),IF($B44="Challan","",IF(W44&lt;&gt;"","◄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IF($B45="Entry",IF(LEN(W45)&lt;4,"",IF(UPPER(MID(W45,4,1))="P","Individual",IF(UPPER(MID(W45,4,1))="H","HUF",IF(UPPER(MID(W45,4,1))="C","Company",IF(UPPER(MID(W45,4,1))="F","Firm/LLP",IF(UPPER(MID(W45,4,1))="L","Local Authority",IF(UPPER(MID(W45,4,1))="T","Trust",IF(UPPER(MID(W45,4,1))="A","AOP",IF(UPPER(MID(W45,4,1))="B","BOI",IF(UPPER(MID(W45,4,1))="J","AJP",IF(UPPER(MID(W45,4,1))="G","Government",""))))))))))),IF($B45="Challan","",IF(W45&lt;&gt;"","◄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IF($B46="Entry",IF(LEN(W46)&lt;4,"",IF(UPPER(MID(W46,4,1))="P","Individual",IF(UPPER(MID(W46,4,1))="H","HUF",IF(UPPER(MID(W46,4,1))="C","Company",IF(UPPER(MID(W46,4,1))="F","Firm/LLP",IF(UPPER(MID(W46,4,1))="L","Local Authority",IF(UPPER(MID(W46,4,1))="T","Trust",IF(UPPER(MID(W46,4,1))="A","AOP",IF(UPPER(MID(W46,4,1))="B","BOI",IF(UPPER(MID(W46,4,1))="J","AJP",IF(UPPER(MID(W46,4,1))="G","Government",""))))))))))),IF($B46="Challan","",IF(W46&lt;&gt;"","◄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IF($B47="Entry",IF(LEN(W47)&lt;4,"",IF(UPPER(MID(W47,4,1))="P","Individual",IF(UPPER(MID(W47,4,1))="H","HUF",IF(UPPER(MID(W47,4,1))="C","Company",IF(UPPER(MID(W47,4,1))="F","Firm/LLP",IF(UPPER(MID(W47,4,1))="L","Local Authority",IF(UPPER(MID(W47,4,1))="T","Trust",IF(UPPER(MID(W47,4,1))="A","AOP",IF(UPPER(MID(W47,4,1))="B","BOI",IF(UPPER(MID(W47,4,1))="J","AJP",IF(UPPER(MID(W47,4,1))="G","Government",""))))))))))),IF($B47="Challan","",IF(W47&lt;&gt;"","◄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IF($B48="Entry",IF(LEN(W48)&lt;4,"",IF(UPPER(MID(W48,4,1))="P","Individual",IF(UPPER(MID(W48,4,1))="H","HUF",IF(UPPER(MID(W48,4,1))="C","Company",IF(UPPER(MID(W48,4,1))="F","Firm/LLP",IF(UPPER(MID(W48,4,1))="L","Local Authority",IF(UPPER(MID(W48,4,1))="T","Trust",IF(UPPER(MID(W48,4,1))="A","AOP",IF(UPPER(MID(W48,4,1))="B","BOI",IF(UPPER(MID(W48,4,1))="J","AJP",IF(UPPER(MID(W48,4,1))="G","Government",""))))))))))),IF($B48="Challan","",IF(W48&lt;&gt;"","◄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IF($B49="Entry",IF(LEN(W49)&lt;4,"",IF(UPPER(MID(W49,4,1))="P","Individual",IF(UPPER(MID(W49,4,1))="H","HUF",IF(UPPER(MID(W49,4,1))="C","Company",IF(UPPER(MID(W49,4,1))="F","Firm/LLP",IF(UPPER(MID(W49,4,1))="L","Local Authority",IF(UPPER(MID(W49,4,1))="T","Trust",IF(UPPER(MID(W49,4,1))="A","AOP",IF(UPPER(MID(W49,4,1))="B","BOI",IF(UPPER(MID(W49,4,1))="J","AJP",IF(UPPER(MID(W49,4,1))="G","Government",""))))))))))),IF($B49="Challan","",IF(W49&lt;&gt;"","◄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IF($B50="Entry",IF(LEN(W50)&lt;4,"",IF(UPPER(MID(W50,4,1))="P","Individual",IF(UPPER(MID(W50,4,1))="H","HUF",IF(UPPER(MID(W50,4,1))="C","Company",IF(UPPER(MID(W50,4,1))="F","Firm/LLP",IF(UPPER(MID(W50,4,1))="L","Local Authority",IF(UPPER(MID(W50,4,1))="T","Trust",IF(UPPER(MID(W50,4,1))="A","AOP",IF(UPPER(MID(W50,4,1))="B","BOI",IF(UPPER(MID(W50,4,1))="J","AJP",IF(UPPER(MID(W50,4,1))="G","Government",""))))))))))),IF($B50="Challan","",IF(W50&lt;&gt;"","◄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IF($B51="Entry",IF(LEN(W51)&lt;4,"",IF(UPPER(MID(W51,4,1))="P","Individual",IF(UPPER(MID(W51,4,1))="H","HUF",IF(UPPER(MID(W51,4,1))="C","Company",IF(UPPER(MID(W51,4,1))="F","Firm/LLP",IF(UPPER(MID(W51,4,1))="L","Local Authority",IF(UPPER(MID(W51,4,1))="T","Trust",IF(UPPER(MID(W51,4,1))="A","AOP",IF(UPPER(MID(W51,4,1))="B","BOI",IF(UPPER(MID(W51,4,1))="J","AJP",IF(UPPER(MID(W51,4,1))="G","Government",""))))))))))),IF($B51="Challan","",IF(W51&lt;&gt;"","◄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IF($B52="Entry",IF(LEN(W52)&lt;4,"",IF(UPPER(MID(W52,4,1))="P","Individual",IF(UPPER(MID(W52,4,1))="H","HUF",IF(UPPER(MID(W52,4,1))="C","Company",IF(UPPER(MID(W52,4,1))="F","Firm/LLP",IF(UPPER(MID(W52,4,1))="L","Local Authority",IF(UPPER(MID(W52,4,1))="T","Trust",IF(UPPER(MID(W52,4,1))="A","AOP",IF(UPPER(MID(W52,4,1))="B","BOI",IF(UPPER(MID(W52,4,1))="J","AJP",IF(UPPER(MID(W52,4,1))="G","Government",""))))))))))),IF($B52="Challan","",IF(W52&lt;&gt;"","◄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IF($B53="Entry",IF(LEN(W53)&lt;4,"",IF(UPPER(MID(W53,4,1))="P","Individual",IF(UPPER(MID(W53,4,1))="H","HUF",IF(UPPER(MID(W53,4,1))="C","Company",IF(UPPER(MID(W53,4,1))="F","Firm/LLP",IF(UPPER(MID(W53,4,1))="L","Local Authority",IF(UPPER(MID(W53,4,1))="T","Trust",IF(UPPER(MID(W53,4,1))="A","AOP",IF(UPPER(MID(W53,4,1))="B","BOI",IF(UPPER(MID(W53,4,1))="J","AJP",IF(UPPER(MID(W53,4,1))="G","Government",""))))))))))),IF($B53="Challan","",IF(W53&lt;&gt;"","◄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IF($B54="Entry",IF(LEN(W54)&lt;4,"",IF(UPPER(MID(W54,4,1))="P","Individual",IF(UPPER(MID(W54,4,1))="H","HUF",IF(UPPER(MID(W54,4,1))="C","Company",IF(UPPER(MID(W54,4,1))="F","Firm/LLP",IF(UPPER(MID(W54,4,1))="L","Local Authority",IF(UPPER(MID(W54,4,1))="T","Trust",IF(UPPER(MID(W54,4,1))="A","AOP",IF(UPPER(MID(W54,4,1))="B","BOI",IF(UPPER(MID(W54,4,1))="J","AJP",IF(UPPER(MID(W54,4,1))="G","Government",""))))))))))),IF($B54="Challan","",IF(W54&lt;&gt;"","◄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IF($B55="Entry",IF(LEN(W55)&lt;4,"",IF(UPPER(MID(W55,4,1))="P","Individual",IF(UPPER(MID(W55,4,1))="H","HUF",IF(UPPER(MID(W55,4,1))="C","Company",IF(UPPER(MID(W55,4,1))="F","Firm/LLP",IF(UPPER(MID(W55,4,1))="L","Local Authority",IF(UPPER(MID(W55,4,1))="T","Trust",IF(UPPER(MID(W55,4,1))="A","AOP",IF(UPPER(MID(W55,4,1))="B","BOI",IF(UPPER(MID(W55,4,1))="J","AJP",IF(UPPER(MID(W55,4,1))="G","Government",""))))))))))),IF($B55="Challan","",IF(W55&lt;&gt;"","◄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IF($B56="Entry",IF(LEN(W56)&lt;4,"",IF(UPPER(MID(W56,4,1))="P","Individual",IF(UPPER(MID(W56,4,1))="H","HUF",IF(UPPER(MID(W56,4,1))="C","Company",IF(UPPER(MID(W56,4,1))="F","Firm/LLP",IF(UPPER(MID(W56,4,1))="L","Local Authority",IF(UPPER(MID(W56,4,1))="T","Trust",IF(UPPER(MID(W56,4,1))="A","AOP",IF(UPPER(MID(W56,4,1))="B","BOI",IF(UPPER(MID(W56,4,1))="J","AJP",IF(UPPER(MID(W56,4,1))="G","Government",""))))))))))),IF($B56="Challan","",IF(W56&lt;&gt;"","◄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IF($B57="Entry",IF(LEN(W57)&lt;4,"",IF(UPPER(MID(W57,4,1))="P","Individual",IF(UPPER(MID(W57,4,1))="H","HUF",IF(UPPER(MID(W57,4,1))="C","Company",IF(UPPER(MID(W57,4,1))="F","Firm/LLP",IF(UPPER(MID(W57,4,1))="L","Local Authority",IF(UPPER(MID(W57,4,1))="T","Trust",IF(UPPER(MID(W57,4,1))="A","AOP",IF(UPPER(MID(W57,4,1))="B","BOI",IF(UPPER(MID(W57,4,1))="J","AJP",IF(UPPER(MID(W57,4,1))="G","Government",""))))))))))),IF($B57="Challan","",IF(W57&lt;&gt;"","◄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IF($B58="Entry",IF(LEN(W58)&lt;4,"",IF(UPPER(MID(W58,4,1))="P","Individual",IF(UPPER(MID(W58,4,1))="H","HUF",IF(UPPER(MID(W58,4,1))="C","Company",IF(UPPER(MID(W58,4,1))="F","Firm/LLP",IF(UPPER(MID(W58,4,1))="L","Local Authority",IF(UPPER(MID(W58,4,1))="T","Trust",IF(UPPER(MID(W58,4,1))="A","AOP",IF(UPPER(MID(W58,4,1))="B","BOI",IF(UPPER(MID(W58,4,1))="J","AJP",IF(UPPER(MID(W58,4,1))="G","Government",""))))))))))),IF($B58="Challan","",IF(W58&lt;&gt;"","◄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IF($B59="Entry",IF(LEN(W59)&lt;4,"",IF(UPPER(MID(W59,4,1))="P","Individual",IF(UPPER(MID(W59,4,1))="H","HUF",IF(UPPER(MID(W59,4,1))="C","Company",IF(UPPER(MID(W59,4,1))="F","Firm/LLP",IF(UPPER(MID(W59,4,1))="L","Local Authority",IF(UPPER(MID(W59,4,1))="T","Trust",IF(UPPER(MID(W59,4,1))="A","AOP",IF(UPPER(MID(W59,4,1))="B","BOI",IF(UPPER(MID(W59,4,1))="J","AJP",IF(UPPER(MID(W59,4,1))="G","Government",""))))))))))),IF($B59="Challan","",IF(W59&lt;&gt;"","◄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IF($B60="Entry",IF(LEN(W60)&lt;4,"",IF(UPPER(MID(W60,4,1))="P","Individual",IF(UPPER(MID(W60,4,1))="H","HUF",IF(UPPER(MID(W60,4,1))="C","Company",IF(UPPER(MID(W60,4,1))="F","Firm/LLP",IF(UPPER(MID(W60,4,1))="L","Local Authority",IF(UPPER(MID(W60,4,1))="T","Trust",IF(UPPER(MID(W60,4,1))="A","AOP",IF(UPPER(MID(W60,4,1))="B","BOI",IF(UPPER(MID(W60,4,1))="J","AJP",IF(UPPER(MID(W60,4,1))="G","Government",""))))))))))),IF($B60="Challan","",IF(W60&lt;&gt;"","◄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IF($B61="Entry",IF(LEN(W61)&lt;4,"",IF(UPPER(MID(W61,4,1))="P","Individual",IF(UPPER(MID(W61,4,1))="H","HUF",IF(UPPER(MID(W61,4,1))="C","Company",IF(UPPER(MID(W61,4,1))="F","Firm/LLP",IF(UPPER(MID(W61,4,1))="L","Local Authority",IF(UPPER(MID(W61,4,1))="T","Trust",IF(UPPER(MID(W61,4,1))="A","AOP",IF(UPPER(MID(W61,4,1))="B","BOI",IF(UPPER(MID(W61,4,1))="J","AJP",IF(UPPER(MID(W61,4,1))="G","Government",""))))))))))),IF($B61="Challan","",IF(W61&lt;&gt;"","◄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IF($B62="Entry",IF(LEN(W62)&lt;4,"",IF(UPPER(MID(W62,4,1))="P","Individual",IF(UPPER(MID(W62,4,1))="H","HUF",IF(UPPER(MID(W62,4,1))="C","Company",IF(UPPER(MID(W62,4,1))="F","Firm/LLP",IF(UPPER(MID(W62,4,1))="L","Local Authority",IF(UPPER(MID(W62,4,1))="T","Trust",IF(UPPER(MID(W62,4,1))="A","AOP",IF(UPPER(MID(W62,4,1))="B","BOI",IF(UPPER(MID(W62,4,1))="J","AJP",IF(UPPER(MID(W62,4,1))="G","Government",""))))))))))),IF($B62="Challan","",IF(W62&lt;&gt;"","◄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IF($B63="Entry",IF(LEN(W63)&lt;4,"",IF(UPPER(MID(W63,4,1))="P","Individual",IF(UPPER(MID(W63,4,1))="H","HUF",IF(UPPER(MID(W63,4,1))="C","Company",IF(UPPER(MID(W63,4,1))="F","Firm/LLP",IF(UPPER(MID(W63,4,1))="L","Local Authority",IF(UPPER(MID(W63,4,1))="T","Trust",IF(UPPER(MID(W63,4,1))="A","AOP",IF(UPPER(MID(W63,4,1))="B","BOI",IF(UPPER(MID(W63,4,1))="J","AJP",IF(UPPER(MID(W63,4,1))="G","Government",""))))))))))),IF($B63="Challan","",IF(W63&lt;&gt;"","◄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IF($B64="Entry",IF(LEN(W64)&lt;4,"",IF(UPPER(MID(W64,4,1))="P","Individual",IF(UPPER(MID(W64,4,1))="H","HUF",IF(UPPER(MID(W64,4,1))="C","Company",IF(UPPER(MID(W64,4,1))="F","Firm/LLP",IF(UPPER(MID(W64,4,1))="L","Local Authority",IF(UPPER(MID(W64,4,1))="T","Trust",IF(UPPER(MID(W64,4,1))="A","AOP",IF(UPPER(MID(W64,4,1))="B","BOI",IF(UPPER(MID(W64,4,1))="J","AJP",IF(UPPER(MID(W64,4,1))="G","Government",""))))))))))),IF($B64="Challan","",IF(W64&lt;&gt;"","◄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IF($B65="Entry",IF(LEN(W65)&lt;4,"",IF(UPPER(MID(W65,4,1))="P","Individual",IF(UPPER(MID(W65,4,1))="H","HUF",IF(UPPER(MID(W65,4,1))="C","Company",IF(UPPER(MID(W65,4,1))="F","Firm/LLP",IF(UPPER(MID(W65,4,1))="L","Local Authority",IF(UPPER(MID(W65,4,1))="T","Trust",IF(UPPER(MID(W65,4,1))="A","AOP",IF(UPPER(MID(W65,4,1))="B","BOI",IF(UPPER(MID(W65,4,1))="J","AJP",IF(UPPER(MID(W65,4,1))="G","Government",""))))))))))),IF($B65="Challan","",IF(W65&lt;&gt;"","◄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IF($B66="Entry",IF(LEN(W66)&lt;4,"",IF(UPPER(MID(W66,4,1))="P","Individual",IF(UPPER(MID(W66,4,1))="H","HUF",IF(UPPER(MID(W66,4,1))="C","Company",IF(UPPER(MID(W66,4,1))="F","Firm/LLP",IF(UPPER(MID(W66,4,1))="L","Local Authority",IF(UPPER(MID(W66,4,1))="T","Trust",IF(UPPER(MID(W66,4,1))="A","AOP",IF(UPPER(MID(W66,4,1))="B","BOI",IF(UPPER(MID(W66,4,1))="J","AJP",IF(UPPER(MID(W66,4,1))="G","Government",""))))))))))),IF($B66="Challan","",IF(W66&lt;&gt;"","◄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IF($B67="Entry",IF(LEN(W67)&lt;4,"",IF(UPPER(MID(W67,4,1))="P","Individual",IF(UPPER(MID(W67,4,1))="H","HUF",IF(UPPER(MID(W67,4,1))="C","Company",IF(UPPER(MID(W67,4,1))="F","Firm/LLP",IF(UPPER(MID(W67,4,1))="L","Local Authority",IF(UPPER(MID(W67,4,1))="T","Trust",IF(UPPER(MID(W67,4,1))="A","AOP",IF(UPPER(MID(W67,4,1))="B","BOI",IF(UPPER(MID(W67,4,1))="J","AJP",IF(UPPER(MID(W67,4,1))="G","Government",""))))))))))),IF($B67="Challan","",IF(W67&lt;&gt;"","◄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IF($B68="Entry",IF(LEN(W68)&lt;4,"",IF(UPPER(MID(W68,4,1))="P","Individual",IF(UPPER(MID(W68,4,1))="H","HUF",IF(UPPER(MID(W68,4,1))="C","Company",IF(UPPER(MID(W68,4,1))="F","Firm/LLP",IF(UPPER(MID(W68,4,1))="L","Local Authority",IF(UPPER(MID(W68,4,1))="T","Trust",IF(UPPER(MID(W68,4,1))="A","AOP",IF(UPPER(MID(W68,4,1))="B","BOI",IF(UPPER(MID(W68,4,1))="J","AJP",IF(UPPER(MID(W68,4,1))="G","Government",""))))))))))),IF($B68="Challan","",IF(W68&lt;&gt;"","◄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IF($B69="Entry",IF(LEN(W69)&lt;4,"",IF(UPPER(MID(W69,4,1))="P","Individual",IF(UPPER(MID(W69,4,1))="H","HUF",IF(UPPER(MID(W69,4,1))="C","Company",IF(UPPER(MID(W69,4,1))="F","Firm/LLP",IF(UPPER(MID(W69,4,1))="L","Local Authority",IF(UPPER(MID(W69,4,1))="T","Trust",IF(UPPER(MID(W69,4,1))="A","AOP",IF(UPPER(MID(W69,4,1))="B","BOI",IF(UPPER(MID(W69,4,1))="J","AJP",IF(UPPER(MID(W69,4,1))="G","Government",""))))))))))),IF($B69="Challan","",IF(W69&lt;&gt;"","◄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IF($B70="Entry",IF(LEN(W70)&lt;4,"",IF(UPPER(MID(W70,4,1))="P","Individual",IF(UPPER(MID(W70,4,1))="H","HUF",IF(UPPER(MID(W70,4,1))="C","Company",IF(UPPER(MID(W70,4,1))="F","Firm/LLP",IF(UPPER(MID(W70,4,1))="L","Local Authority",IF(UPPER(MID(W70,4,1))="T","Trust",IF(UPPER(MID(W70,4,1))="A","AOP",IF(UPPER(MID(W70,4,1))="B","BOI",IF(UPPER(MID(W70,4,1))="J","AJP",IF(UPPER(MID(W70,4,1))="G","Government",""))))))))))),IF($B70="Challan","",IF(W70&lt;&gt;"","◄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IF($B71="Entry",IF(LEN(W71)&lt;4,"",IF(UPPER(MID(W71,4,1))="P","Individual",IF(UPPER(MID(W71,4,1))="H","HUF",IF(UPPER(MID(W71,4,1))="C","Company",IF(UPPER(MID(W71,4,1))="F","Firm/LLP",IF(UPPER(MID(W71,4,1))="L","Local Authority",IF(UPPER(MID(W71,4,1))="T","Trust",IF(UPPER(MID(W71,4,1))="A","AOP",IF(UPPER(MID(W71,4,1))="B","BOI",IF(UPPER(MID(W71,4,1))="J","AJP",IF(UPPER(MID(W71,4,1))="G","Government",""))))))))))),IF($B71="Challan","",IF(W71&lt;&gt;"","◄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IF($B72="Entry",IF(LEN(W72)&lt;4,"",IF(UPPER(MID(W72,4,1))="P","Individual",IF(UPPER(MID(W72,4,1))="H","HUF",IF(UPPER(MID(W72,4,1))="C","Company",IF(UPPER(MID(W72,4,1))="F","Firm/LLP",IF(UPPER(MID(W72,4,1))="L","Local Authority",IF(UPPER(MID(W72,4,1))="T","Trust",IF(UPPER(MID(W72,4,1))="A","AOP",IF(UPPER(MID(W72,4,1))="B","BOI",IF(UPPER(MID(W72,4,1))="J","AJP",IF(UPPER(MID(W72,4,1))="G","Government",""))))))))))),IF($B72="Challan","",IF(W72&lt;&gt;"","◄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IF($B73="Entry",IF(LEN(W73)&lt;4,"",IF(UPPER(MID(W73,4,1))="P","Individual",IF(UPPER(MID(W73,4,1))="H","HUF",IF(UPPER(MID(W73,4,1))="C","Company",IF(UPPER(MID(W73,4,1))="F","Firm/LLP",IF(UPPER(MID(W73,4,1))="L","Local Authority",IF(UPPER(MID(W73,4,1))="T","Trust",IF(UPPER(MID(W73,4,1))="A","AOP",IF(UPPER(MID(W73,4,1))="B","BOI",IF(UPPER(MID(W73,4,1))="J","AJP",IF(UPPER(MID(W73,4,1))="G","Government",""))))))))))),IF($B73="Challan","",IF(W73&lt;&gt;"","◄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IF($B74="Entry",IF(LEN(W74)&lt;4,"",IF(UPPER(MID(W74,4,1))="P","Individual",IF(UPPER(MID(W74,4,1))="H","HUF",IF(UPPER(MID(W74,4,1))="C","Company",IF(UPPER(MID(W74,4,1))="F","Firm/LLP",IF(UPPER(MID(W74,4,1))="L","Local Authority",IF(UPPER(MID(W74,4,1))="T","Trust",IF(UPPER(MID(W74,4,1))="A","AOP",IF(UPPER(MID(W74,4,1))="B","BOI",IF(UPPER(MID(W74,4,1))="J","AJP",IF(UPPER(MID(W74,4,1))="G","Government",""))))))))))),IF($B74="Challan","",IF(W74&lt;&gt;"","◄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IF($B75="Entry",IF(LEN(W75)&lt;4,"",IF(UPPER(MID(W75,4,1))="P","Individual",IF(UPPER(MID(W75,4,1))="H","HUF",IF(UPPER(MID(W75,4,1))="C","Company",IF(UPPER(MID(W75,4,1))="F","Firm/LLP",IF(UPPER(MID(W75,4,1))="L","Local Authority",IF(UPPER(MID(W75,4,1))="T","Trust",IF(UPPER(MID(W75,4,1))="A","AOP",IF(UPPER(MID(W75,4,1))="B","BOI",IF(UPPER(MID(W75,4,1))="J","AJP",IF(UPPER(MID(W75,4,1))="G","Government",""))))))))))),IF($B75="Challan","",IF(W75&lt;&gt;"","◄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IF($B76="Entry",IF(LEN(W76)&lt;4,"",IF(UPPER(MID(W76,4,1))="P","Individual",IF(UPPER(MID(W76,4,1))="H","HUF",IF(UPPER(MID(W76,4,1))="C","Company",IF(UPPER(MID(W76,4,1))="F","Firm/LLP",IF(UPPER(MID(W76,4,1))="L","Local Authority",IF(UPPER(MID(W76,4,1))="T","Trust",IF(UPPER(MID(W76,4,1))="A","AOP",IF(UPPER(MID(W76,4,1))="B","BOI",IF(UPPER(MID(W76,4,1))="J","AJP",IF(UPPER(MID(W76,4,1))="G","Government",""))))))))))),IF($B76="Challan","",IF(W76&lt;&gt;"","◄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IF($B77="Entry",IF(LEN(W77)&lt;4,"",IF(UPPER(MID(W77,4,1))="P","Individual",IF(UPPER(MID(W77,4,1))="H","HUF",IF(UPPER(MID(W77,4,1))="C","Company",IF(UPPER(MID(W77,4,1))="F","Firm/LLP",IF(UPPER(MID(W77,4,1))="L","Local Authority",IF(UPPER(MID(W77,4,1))="T","Trust",IF(UPPER(MID(W77,4,1))="A","AOP",IF(UPPER(MID(W77,4,1))="B","BOI",IF(UPPER(MID(W77,4,1))="J","AJP",IF(UPPER(MID(W77,4,1))="G","Government",""))))))))))),IF($B77="Challan","",IF(W77&lt;&gt;"","◄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IF($B78="Entry",IF(LEN(W78)&lt;4,"",IF(UPPER(MID(W78,4,1))="P","Individual",IF(UPPER(MID(W78,4,1))="H","HUF",IF(UPPER(MID(W78,4,1))="C","Company",IF(UPPER(MID(W78,4,1))="F","Firm/LLP",IF(UPPER(MID(W78,4,1))="L","Local Authority",IF(UPPER(MID(W78,4,1))="T","Trust",IF(UPPER(MID(W78,4,1))="A","AOP",IF(UPPER(MID(W78,4,1))="B","BOI",IF(UPPER(MID(W78,4,1))="J","AJP",IF(UPPER(MID(W78,4,1))="G","Government",""))))))))))),IF($B78="Challan","",IF(W78&lt;&gt;"","◄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IF($B79="Entry",IF(LEN(W79)&lt;4,"",IF(UPPER(MID(W79,4,1))="P","Individual",IF(UPPER(MID(W79,4,1))="H","HUF",IF(UPPER(MID(W79,4,1))="C","Company",IF(UPPER(MID(W79,4,1))="F","Firm/LLP",IF(UPPER(MID(W79,4,1))="L","Local Authority",IF(UPPER(MID(W79,4,1))="T","Trust",IF(UPPER(MID(W79,4,1))="A","AOP",IF(UPPER(MID(W79,4,1))="B","BOI",IF(UPPER(MID(W79,4,1))="J","AJP",IF(UPPER(MID(W79,4,1))="G","Government",""))))))))))),IF($B79="Challan","",IF(W79&lt;&gt;"","◄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IF($B80="Entry",IF(LEN(W80)&lt;4,"",IF(UPPER(MID(W80,4,1))="P","Individual",IF(UPPER(MID(W80,4,1))="H","HUF",IF(UPPER(MID(W80,4,1))="C","Company",IF(UPPER(MID(W80,4,1))="F","Firm/LLP",IF(UPPER(MID(W80,4,1))="L","Local Authority",IF(UPPER(MID(W80,4,1))="T","Trust",IF(UPPER(MID(W80,4,1))="A","AOP",IF(UPPER(MID(W80,4,1))="B","BOI",IF(UPPER(MID(W80,4,1))="J","AJP",IF(UPPER(MID(W80,4,1))="G","Government",""))))))))))),IF($B80="Challan","",IF(W80&lt;&gt;"","◄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IF($B81="Entry",IF(LEN(W81)&lt;4,"",IF(UPPER(MID(W81,4,1))="P","Individual",IF(UPPER(MID(W81,4,1))="H","HUF",IF(UPPER(MID(W81,4,1))="C","Company",IF(UPPER(MID(W81,4,1))="F","Firm/LLP",IF(UPPER(MID(W81,4,1))="L","Local Authority",IF(UPPER(MID(W81,4,1))="T","Trust",IF(UPPER(MID(W81,4,1))="A","AOP",IF(UPPER(MID(W81,4,1))="B","BOI",IF(UPPER(MID(W81,4,1))="J","AJP",IF(UPPER(MID(W81,4,1))="G","Government",""))))))))))),IF($B81="Challan","",IF(W81&lt;&gt;"","◄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IF($B82="Entry",IF(LEN(W82)&lt;4,"",IF(UPPER(MID(W82,4,1))="P","Individual",IF(UPPER(MID(W82,4,1))="H","HUF",IF(UPPER(MID(W82,4,1))="C","Company",IF(UPPER(MID(W82,4,1))="F","Firm/LLP",IF(UPPER(MID(W82,4,1))="L","Local Authority",IF(UPPER(MID(W82,4,1))="T","Trust",IF(UPPER(MID(W82,4,1))="A","AOP",IF(UPPER(MID(W82,4,1))="B","BOI",IF(UPPER(MID(W82,4,1))="J","AJP",IF(UPPER(MID(W82,4,1))="G","Government",""))))))))))),IF($B82="Challan","",IF(W82&lt;&gt;"","◄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IF($B83="Entry",IF(LEN(W83)&lt;4,"",IF(UPPER(MID(W83,4,1))="P","Individual",IF(UPPER(MID(W83,4,1))="H","HUF",IF(UPPER(MID(W83,4,1))="C","Company",IF(UPPER(MID(W83,4,1))="F","Firm/LLP",IF(UPPER(MID(W83,4,1))="L","Local Authority",IF(UPPER(MID(W83,4,1))="T","Trust",IF(UPPER(MID(W83,4,1))="A","AOP",IF(UPPER(MID(W83,4,1))="B","BOI",IF(UPPER(MID(W83,4,1))="J","AJP",IF(UPPER(MID(W83,4,1))="G","Government",""))))))))))),IF($B83="Challan","",IF(W83&lt;&gt;"","◄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IF($B84="Entry",IF(LEN(W84)&lt;4,"",IF(UPPER(MID(W84,4,1))="P","Individual",IF(UPPER(MID(W84,4,1))="H","HUF",IF(UPPER(MID(W84,4,1))="C","Company",IF(UPPER(MID(W84,4,1))="F","Firm/LLP",IF(UPPER(MID(W84,4,1))="L","Local Authority",IF(UPPER(MID(W84,4,1))="T","Trust",IF(UPPER(MID(W84,4,1))="A","AOP",IF(UPPER(MID(W84,4,1))="B","BOI",IF(UPPER(MID(W84,4,1))="J","AJP",IF(UPPER(MID(W84,4,1))="G","Government",""))))))))))),IF($B84="Challan","",IF(W84&lt;&gt;"","◄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IF($B85="Entry",IF(LEN(W85)&lt;4,"",IF(UPPER(MID(W85,4,1))="P","Individual",IF(UPPER(MID(W85,4,1))="H","HUF",IF(UPPER(MID(W85,4,1))="C","Company",IF(UPPER(MID(W85,4,1))="F","Firm/LLP",IF(UPPER(MID(W85,4,1))="L","Local Authority",IF(UPPER(MID(W85,4,1))="T","Trust",IF(UPPER(MID(W85,4,1))="A","AOP",IF(UPPER(MID(W85,4,1))="B","BOI",IF(UPPER(MID(W85,4,1))="J","AJP",IF(UPPER(MID(W85,4,1))="G","Government",""))))))))))),IF($B85="Challan","",IF(W85&lt;&gt;"","◄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IF($B86="Entry",IF(LEN(W86)&lt;4,"",IF(UPPER(MID(W86,4,1))="P","Individual",IF(UPPER(MID(W86,4,1))="H","HUF",IF(UPPER(MID(W86,4,1))="C","Company",IF(UPPER(MID(W86,4,1))="F","Firm/LLP",IF(UPPER(MID(W86,4,1))="L","Local Authority",IF(UPPER(MID(W86,4,1))="T","Trust",IF(UPPER(MID(W86,4,1))="A","AOP",IF(UPPER(MID(W86,4,1))="B","BOI",IF(UPPER(MID(W86,4,1))="J","AJP",IF(UPPER(MID(W86,4,1))="G","Government",""))))))))))),IF($B86="Challan","",IF(W86&lt;&gt;"","◄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IF($B87="Entry",IF(LEN(W87)&lt;4,"",IF(UPPER(MID(W87,4,1))="P","Individual",IF(UPPER(MID(W87,4,1))="H","HUF",IF(UPPER(MID(W87,4,1))="C","Company",IF(UPPER(MID(W87,4,1))="F","Firm/LLP",IF(UPPER(MID(W87,4,1))="L","Local Authority",IF(UPPER(MID(W87,4,1))="T","Trust",IF(UPPER(MID(W87,4,1))="A","AOP",IF(UPPER(MID(W87,4,1))="B","BOI",IF(UPPER(MID(W87,4,1))="J","AJP",IF(UPPER(MID(W87,4,1))="G","Government",""))))))))))),IF($B87="Challan","",IF(W87&lt;&gt;"","◄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IF($B88="Entry",IF(LEN(W88)&lt;4,"",IF(UPPER(MID(W88,4,1))="P","Individual",IF(UPPER(MID(W88,4,1))="H","HUF",IF(UPPER(MID(W88,4,1))="C","Company",IF(UPPER(MID(W88,4,1))="F","Firm/LLP",IF(UPPER(MID(W88,4,1))="L","Local Authority",IF(UPPER(MID(W88,4,1))="T","Trust",IF(UPPER(MID(W88,4,1))="A","AOP",IF(UPPER(MID(W88,4,1))="B","BOI",IF(UPPER(MID(W88,4,1))="J","AJP",IF(UPPER(MID(W88,4,1))="G","Government",""))))))))))),IF($B88="Challan","",IF(W88&lt;&gt;"","◄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IF($B89="Entry",IF(LEN(W89)&lt;4,"",IF(UPPER(MID(W89,4,1))="P","Individual",IF(UPPER(MID(W89,4,1))="H","HUF",IF(UPPER(MID(W89,4,1))="C","Company",IF(UPPER(MID(W89,4,1))="F","Firm/LLP",IF(UPPER(MID(W89,4,1))="L","Local Authority",IF(UPPER(MID(W89,4,1))="T","Trust",IF(UPPER(MID(W89,4,1))="A","AOP",IF(UPPER(MID(W89,4,1))="B","BOI",IF(UPPER(MID(W89,4,1))="J","AJP",IF(UPPER(MID(W89,4,1))="G","Government",""))))))))))),IF($B89="Challan","",IF(W89&lt;&gt;"","◄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IF($B90="Entry",IF(LEN(W90)&lt;4,"",IF(UPPER(MID(W90,4,1))="P","Individual",IF(UPPER(MID(W90,4,1))="H","HUF",IF(UPPER(MID(W90,4,1))="C","Company",IF(UPPER(MID(W90,4,1))="F","Firm/LLP",IF(UPPER(MID(W90,4,1))="L","Local Authority",IF(UPPER(MID(W90,4,1))="T","Trust",IF(UPPER(MID(W90,4,1))="A","AOP",IF(UPPER(MID(W90,4,1))="B","BOI",IF(UPPER(MID(W90,4,1))="J","AJP",IF(UPPER(MID(W90,4,1))="G","Government",""))))))))))),IF($B90="Challan","",IF(W90&lt;&gt;"","◄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IF($B91="Entry",IF(LEN(W91)&lt;4,"",IF(UPPER(MID(W91,4,1))="P","Individual",IF(UPPER(MID(W91,4,1))="H","HUF",IF(UPPER(MID(W91,4,1))="C","Company",IF(UPPER(MID(W91,4,1))="F","Firm/LLP",IF(UPPER(MID(W91,4,1))="L","Local Authority",IF(UPPER(MID(W91,4,1))="T","Trust",IF(UPPER(MID(W91,4,1))="A","AOP",IF(UPPER(MID(W91,4,1))="B","BOI",IF(UPPER(MID(W91,4,1))="J","AJP",IF(UPPER(MID(W91,4,1))="G","Government",""))))))))))),IF($B91="Challan","",IF(W91&lt;&gt;"","◄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IF($B92="Entry",IF(LEN(W92)&lt;4,"",IF(UPPER(MID(W92,4,1))="P","Individual",IF(UPPER(MID(W92,4,1))="H","HUF",IF(UPPER(MID(W92,4,1))="C","Company",IF(UPPER(MID(W92,4,1))="F","Firm/LLP",IF(UPPER(MID(W92,4,1))="L","Local Authority",IF(UPPER(MID(W92,4,1))="T","Trust",IF(UPPER(MID(W92,4,1))="A","AOP",IF(UPPER(MID(W92,4,1))="B","BOI",IF(UPPER(MID(W92,4,1))="J","AJP",IF(UPPER(MID(W92,4,1))="G","Government",""))))))))))),IF($B92="Challan","",IF(W92&lt;&gt;"","◄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IF($B93="Entry",IF(LEN(W93)&lt;4,"",IF(UPPER(MID(W93,4,1))="P","Individual",IF(UPPER(MID(W93,4,1))="H","HUF",IF(UPPER(MID(W93,4,1))="C","Company",IF(UPPER(MID(W93,4,1))="F","Firm/LLP",IF(UPPER(MID(W93,4,1))="L","Local Authority",IF(UPPER(MID(W93,4,1))="T","Trust",IF(UPPER(MID(W93,4,1))="A","AOP",IF(UPPER(MID(W93,4,1))="B","BOI",IF(UPPER(MID(W93,4,1))="J","AJP",IF(UPPER(MID(W93,4,1))="G","Government",""))))))))))),IF($B93="Challan","",IF(W93&lt;&gt;"","◄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IF($B94="Entry",IF(LEN(W94)&lt;4,"",IF(UPPER(MID(W94,4,1))="P","Individual",IF(UPPER(MID(W94,4,1))="H","HUF",IF(UPPER(MID(W94,4,1))="C","Company",IF(UPPER(MID(W94,4,1))="F","Firm/LLP",IF(UPPER(MID(W94,4,1))="L","Local Authority",IF(UPPER(MID(W94,4,1))="T","Trust",IF(UPPER(MID(W94,4,1))="A","AOP",IF(UPPER(MID(W94,4,1))="B","BOI",IF(UPPER(MID(W94,4,1))="J","AJP",IF(UPPER(MID(W94,4,1))="G","Government",""))))))))))),IF($B94="Challan","",IF(W94&lt;&gt;"","◄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IF($B95="Entry",IF(LEN(W95)&lt;4,"",IF(UPPER(MID(W95,4,1))="P","Individual",IF(UPPER(MID(W95,4,1))="H","HUF",IF(UPPER(MID(W95,4,1))="C","Company",IF(UPPER(MID(W95,4,1))="F","Firm/LLP",IF(UPPER(MID(W95,4,1))="L","Local Authority",IF(UPPER(MID(W95,4,1))="T","Trust",IF(UPPER(MID(W95,4,1))="A","AOP",IF(UPPER(MID(W95,4,1))="B","BOI",IF(UPPER(MID(W95,4,1))="J","AJP",IF(UPPER(MID(W95,4,1))="G","Government",""))))))))))),IF($B95="Challan","",IF(W95&lt;&gt;"","◄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IF($B96="Entry",IF(LEN(W96)&lt;4,"",IF(UPPER(MID(W96,4,1))="P","Individual",IF(UPPER(MID(W96,4,1))="H","HUF",IF(UPPER(MID(W96,4,1))="C","Company",IF(UPPER(MID(W96,4,1))="F","Firm/LLP",IF(UPPER(MID(W96,4,1))="L","Local Authority",IF(UPPER(MID(W96,4,1))="T","Trust",IF(UPPER(MID(W96,4,1))="A","AOP",IF(UPPER(MID(W96,4,1))="B","BOI",IF(UPPER(MID(W96,4,1))="J","AJP",IF(UPPER(MID(W96,4,1))="G","Government",""))))))))))),IF($B96="Challan","",IF(W96&lt;&gt;"","◄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IF($B97="Entry",IF(LEN(W97)&lt;4,"",IF(UPPER(MID(W97,4,1))="P","Individual",IF(UPPER(MID(W97,4,1))="H","HUF",IF(UPPER(MID(W97,4,1))="C","Company",IF(UPPER(MID(W97,4,1))="F","Firm/LLP",IF(UPPER(MID(W97,4,1))="L","Local Authority",IF(UPPER(MID(W97,4,1))="T","Trust",IF(UPPER(MID(W97,4,1))="A","AOP",IF(UPPER(MID(W97,4,1))="B","BOI",IF(UPPER(MID(W97,4,1))="J","AJP",IF(UPPER(MID(W97,4,1))="G","Government",""))))))))))),IF($B97="Challan","",IF(W97&lt;&gt;"","◄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IF($B98="Entry",IF(LEN(W98)&lt;4,"",IF(UPPER(MID(W98,4,1))="P","Individual",IF(UPPER(MID(W98,4,1))="H","HUF",IF(UPPER(MID(W98,4,1))="C","Company",IF(UPPER(MID(W98,4,1))="F","Firm/LLP",IF(UPPER(MID(W98,4,1))="L","Local Authority",IF(UPPER(MID(W98,4,1))="T","Trust",IF(UPPER(MID(W98,4,1))="A","AOP",IF(UPPER(MID(W98,4,1))="B","BOI",IF(UPPER(MID(W98,4,1))="J","AJP",IF(UPPER(MID(W98,4,1))="G","Government",""))))))))))),IF($B98="Challan","",IF(W98&lt;&gt;"","◄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IF($B99="Entry",IF(LEN(W99)&lt;4,"",IF(UPPER(MID(W99,4,1))="P","Individual",IF(UPPER(MID(W99,4,1))="H","HUF",IF(UPPER(MID(W99,4,1))="C","Company",IF(UPPER(MID(W99,4,1))="F","Firm/LLP",IF(UPPER(MID(W99,4,1))="L","Local Authority",IF(UPPER(MID(W99,4,1))="T","Trust",IF(UPPER(MID(W99,4,1))="A","AOP",IF(UPPER(MID(W99,4,1))="B","BOI",IF(UPPER(MID(W99,4,1))="J","AJP",IF(UPPER(MID(W99,4,1))="G","Government",""))))))))))),IF($B99="Challan","",IF(W99&lt;&gt;"","◄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IF($B100="Entry",IF(LEN(W100)&lt;4,"",IF(UPPER(MID(W100,4,1))="P","Individual",IF(UPPER(MID(W100,4,1))="H","HUF",IF(UPPER(MID(W100,4,1))="C","Company",IF(UPPER(MID(W100,4,1))="F","Firm/LLP",IF(UPPER(MID(W100,4,1))="L","Local Authority",IF(UPPER(MID(W100,4,1))="T","Trust",IF(UPPER(MID(W100,4,1))="A","AOP",IF(UPPER(MID(W100,4,1))="B","BOI",IF(UPPER(MID(W100,4,1))="J","AJP",IF(UPPER(MID(W100,4,1))="G","Government",""))))))))))),IF($B100="Challan","",IF(W100&lt;&gt;"","◄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IF($B101="Entry",IF(LEN(W101)&lt;4,"",IF(UPPER(MID(W101,4,1))="P","Individual",IF(UPPER(MID(W101,4,1))="H","HUF",IF(UPPER(MID(W101,4,1))="C","Company",IF(UPPER(MID(W101,4,1))="F","Firm/LLP",IF(UPPER(MID(W101,4,1))="L","Local Authority",IF(UPPER(MID(W101,4,1))="T","Trust",IF(UPPER(MID(W101,4,1))="A","AOP",IF(UPPER(MID(W101,4,1))="B","BOI",IF(UPPER(MID(W101,4,1))="J","AJP",IF(UPPER(MID(W101,4,1))="G","Government",""))))))))))),IF($B101="Challan","",IF(W101&lt;&gt;"","◄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IF($B102="Entry",IF(LEN(W102)&lt;4,"",IF(UPPER(MID(W102,4,1))="P","Individual",IF(UPPER(MID(W102,4,1))="H","HUF",IF(UPPER(MID(W102,4,1))="C","Company",IF(UPPER(MID(W102,4,1))="F","Firm/LLP",IF(UPPER(MID(W102,4,1))="L","Local Authority",IF(UPPER(MID(W102,4,1))="T","Trust",IF(UPPER(MID(W102,4,1))="A","AOP",IF(UPPER(MID(W102,4,1))="B","BOI",IF(UPPER(MID(W102,4,1))="J","AJP",IF(UPPER(MID(W102,4,1))="G","Government",""))))))))))),IF($B102="Challan","",IF(W102&lt;&gt;"","◄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IF($B103="Entry",IF(LEN(W103)&lt;4,"",IF(UPPER(MID(W103,4,1))="P","Individual",IF(UPPER(MID(W103,4,1))="H","HUF",IF(UPPER(MID(W103,4,1))="C","Company",IF(UPPER(MID(W103,4,1))="F","Firm/LLP",IF(UPPER(MID(W103,4,1))="L","Local Authority",IF(UPPER(MID(W103,4,1))="T","Trust",IF(UPPER(MID(W103,4,1))="A","AOP",IF(UPPER(MID(W103,4,1))="B","BOI",IF(UPPER(MID(W103,4,1))="J","AJP",IF(UPPER(MID(W103,4,1))="G","Government",""))))))))))),IF($B103="Challan","",IF(W103&lt;&gt;"","◄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IF($B104="Entry",IF(LEN(W104)&lt;4,"",IF(UPPER(MID(W104,4,1))="P","Individual",IF(UPPER(MID(W104,4,1))="H","HUF",IF(UPPER(MID(W104,4,1))="C","Company",IF(UPPER(MID(W104,4,1))="F","Firm/LLP",IF(UPPER(MID(W104,4,1))="L","Local Authority",IF(UPPER(MID(W104,4,1))="T","Trust",IF(UPPER(MID(W104,4,1))="A","AOP",IF(UPPER(MID(W104,4,1))="B","BOI",IF(UPPER(MID(W104,4,1))="J","AJP",IF(UPPER(MID(W104,4,1))="G","Government",""))))))))))),IF($B104="Challan","",IF(W104&lt;&gt;"","◄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IF($B105="Entry",IF(LEN(W105)&lt;4,"",IF(UPPER(MID(W105,4,1))="P","Individual",IF(UPPER(MID(W105,4,1))="H","HUF",IF(UPPER(MID(W105,4,1))="C","Company",IF(UPPER(MID(W105,4,1))="F","Firm/LLP",IF(UPPER(MID(W105,4,1))="L","Local Authority",IF(UPPER(MID(W105,4,1))="T","Trust",IF(UPPER(MID(W105,4,1))="A","AOP",IF(UPPER(MID(W105,4,1))="B","BOI",IF(UPPER(MID(W105,4,1))="J","AJP",IF(UPPER(MID(W105,4,1))="G","Government",""))))))))))),IF($B105="Challan","",IF(W105&lt;&gt;"","◄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IF($B106="Entry",IF(LEN(W106)&lt;4,"",IF(UPPER(MID(W106,4,1))="P","Individual",IF(UPPER(MID(W106,4,1))="H","HUF",IF(UPPER(MID(W106,4,1))="C","Company",IF(UPPER(MID(W106,4,1))="F","Firm/LLP",IF(UPPER(MID(W106,4,1))="L","Local Authority",IF(UPPER(MID(W106,4,1))="T","Trust",IF(UPPER(MID(W106,4,1))="A","AOP",IF(UPPER(MID(W106,4,1))="B","BOI",IF(UPPER(MID(W106,4,1))="J","AJP",IF(UPPER(MID(W106,4,1))="G","Government",""))))))))))),IF($B106="Challan","",IF(W106&lt;&gt;"","◄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IF($B107="Entry",IF(LEN(W107)&lt;4,"",IF(UPPER(MID(W107,4,1))="P","Individual",IF(UPPER(MID(W107,4,1))="H","HUF",IF(UPPER(MID(W107,4,1))="C","Company",IF(UPPER(MID(W107,4,1))="F","Firm/LLP",IF(UPPER(MID(W107,4,1))="L","Local Authority",IF(UPPER(MID(W107,4,1))="T","Trust",IF(UPPER(MID(W107,4,1))="A","AOP",IF(UPPER(MID(W107,4,1))="B","BOI",IF(UPPER(MID(W107,4,1))="J","AJP",IF(UPPER(MID(W107,4,1))="G","Government",""))))))))))),IF($B107="Challan","",IF(W107&lt;&gt;"","◄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IF($B108="Entry",IF(LEN(W108)&lt;4,"",IF(UPPER(MID(W108,4,1))="P","Individual",IF(UPPER(MID(W108,4,1))="H","HUF",IF(UPPER(MID(W108,4,1))="C","Company",IF(UPPER(MID(W108,4,1))="F","Firm/LLP",IF(UPPER(MID(W108,4,1))="L","Local Authority",IF(UPPER(MID(W108,4,1))="T","Trust",IF(UPPER(MID(W108,4,1))="A","AOP",IF(UPPER(MID(W108,4,1))="B","BOI",IF(UPPER(MID(W108,4,1))="J","AJP",IF(UPPER(MID(W108,4,1))="G","Government",""))))))))))),IF($B108="Challan","",IF(W108&lt;&gt;"","◄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IF($B109="Entry",IF(LEN(W109)&lt;4,"",IF(UPPER(MID(W109,4,1))="P","Individual",IF(UPPER(MID(W109,4,1))="H","HUF",IF(UPPER(MID(W109,4,1))="C","Company",IF(UPPER(MID(W109,4,1))="F","Firm/LLP",IF(UPPER(MID(W109,4,1))="L","Local Authority",IF(UPPER(MID(W109,4,1))="T","Trust",IF(UPPER(MID(W109,4,1))="A","AOP",IF(UPPER(MID(W109,4,1))="B","BOI",IF(UPPER(MID(W109,4,1))="J","AJP",IF(UPPER(MID(W109,4,1))="G","Government",""))))))))))),IF($B109="Challan","",IF(W109&lt;&gt;"","◄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IF($B110="Entry",IF(LEN(W110)&lt;4,"",IF(UPPER(MID(W110,4,1))="P","Individual",IF(UPPER(MID(W110,4,1))="H","HUF",IF(UPPER(MID(W110,4,1))="C","Company",IF(UPPER(MID(W110,4,1))="F","Firm/LLP",IF(UPPER(MID(W110,4,1))="L","Local Authority",IF(UPPER(MID(W110,4,1))="T","Trust",IF(UPPER(MID(W110,4,1))="A","AOP",IF(UPPER(MID(W110,4,1))="B","BOI",IF(UPPER(MID(W110,4,1))="J","AJP",IF(UPPER(MID(W110,4,1))="G","Government",""))))))))))),IF($B110="Challan","",IF(W110&lt;&gt;"","◄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IF($B111="Entry",IF(LEN(W111)&lt;4,"",IF(UPPER(MID(W111,4,1))="P","Individual",IF(UPPER(MID(W111,4,1))="H","HUF",IF(UPPER(MID(W111,4,1))="C","Company",IF(UPPER(MID(W111,4,1))="F","Firm/LLP",IF(UPPER(MID(W111,4,1))="L","Local Authority",IF(UPPER(MID(W111,4,1))="T","Trust",IF(UPPER(MID(W111,4,1))="A","AOP",IF(UPPER(MID(W111,4,1))="B","BOI",IF(UPPER(MID(W111,4,1))="J","AJP",IF(UPPER(MID(W111,4,1))="G","Government",""))))))))))),IF($B111="Challan","",IF(W111&lt;&gt;"","◄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IF($B112="Entry",IF(LEN(W112)&lt;4,"",IF(UPPER(MID(W112,4,1))="P","Individual",IF(UPPER(MID(W112,4,1))="H","HUF",IF(UPPER(MID(W112,4,1))="C","Company",IF(UPPER(MID(W112,4,1))="F","Firm/LLP",IF(UPPER(MID(W112,4,1))="L","Local Authority",IF(UPPER(MID(W112,4,1))="T","Trust",IF(UPPER(MID(W112,4,1))="A","AOP",IF(UPPER(MID(W112,4,1))="B","BOI",IF(UPPER(MID(W112,4,1))="J","AJP",IF(UPPER(MID(W112,4,1))="G","Government",""))))))))))),IF($B112="Challan","",IF(W112&lt;&gt;"","◄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IF($B113="Entry",IF(LEN(W113)&lt;4,"",IF(UPPER(MID(W113,4,1))="P","Individual",IF(UPPER(MID(W113,4,1))="H","HUF",IF(UPPER(MID(W113,4,1))="C","Company",IF(UPPER(MID(W113,4,1))="F","Firm/LLP",IF(UPPER(MID(W113,4,1))="L","Local Authority",IF(UPPER(MID(W113,4,1))="T","Trust",IF(UPPER(MID(W113,4,1))="A","AOP",IF(UPPER(MID(W113,4,1))="B","BOI",IF(UPPER(MID(W113,4,1))="J","AJP",IF(UPPER(MID(W113,4,1))="G","Government",""))))))))))),IF($B113="Challan","",IF(W113&lt;&gt;"","◄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IF($B114="Entry",IF(LEN(W114)&lt;4,"",IF(UPPER(MID(W114,4,1))="P","Individual",IF(UPPER(MID(W114,4,1))="H","HUF",IF(UPPER(MID(W114,4,1))="C","Company",IF(UPPER(MID(W114,4,1))="F","Firm/LLP",IF(UPPER(MID(W114,4,1))="L","Local Authority",IF(UPPER(MID(W114,4,1))="T","Trust",IF(UPPER(MID(W114,4,1))="A","AOP",IF(UPPER(MID(W114,4,1))="B","BOI",IF(UPPER(MID(W114,4,1))="J","AJP",IF(UPPER(MID(W114,4,1))="G","Government",""))))))))))),IF($B114="Challan","",IF(W114&lt;&gt;"","◄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IF($B115="Entry",IF(LEN(W115)&lt;4,"",IF(UPPER(MID(W115,4,1))="P","Individual",IF(UPPER(MID(W115,4,1))="H","HUF",IF(UPPER(MID(W115,4,1))="C","Company",IF(UPPER(MID(W115,4,1))="F","Firm/LLP",IF(UPPER(MID(W115,4,1))="L","Local Authority",IF(UPPER(MID(W115,4,1))="T","Trust",IF(UPPER(MID(W115,4,1))="A","AOP",IF(UPPER(MID(W115,4,1))="B","BOI",IF(UPPER(MID(W115,4,1))="J","AJP",IF(UPPER(MID(W115,4,1))="G","Government",""))))))))))),IF($B115="Challan","",IF(W115&lt;&gt;"","◄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IF($B116="Entry",IF(LEN(W116)&lt;4,"",IF(UPPER(MID(W116,4,1))="P","Individual",IF(UPPER(MID(W116,4,1))="H","HUF",IF(UPPER(MID(W116,4,1))="C","Company",IF(UPPER(MID(W116,4,1))="F","Firm/LLP",IF(UPPER(MID(W116,4,1))="L","Local Authority",IF(UPPER(MID(W116,4,1))="T","Trust",IF(UPPER(MID(W116,4,1))="A","AOP",IF(UPPER(MID(W116,4,1))="B","BOI",IF(UPPER(MID(W116,4,1))="J","AJP",IF(UPPER(MID(W116,4,1))="G","Government",""))))))))))),IF($B116="Challan","",IF(W116&lt;&gt;"","◄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IF($B117="Entry",IF(LEN(W117)&lt;4,"",IF(UPPER(MID(W117,4,1))="P","Individual",IF(UPPER(MID(W117,4,1))="H","HUF",IF(UPPER(MID(W117,4,1))="C","Company",IF(UPPER(MID(W117,4,1))="F","Firm/LLP",IF(UPPER(MID(W117,4,1))="L","Local Authority",IF(UPPER(MID(W117,4,1))="T","Trust",IF(UPPER(MID(W117,4,1))="A","AOP",IF(UPPER(MID(W117,4,1))="B","BOI",IF(UPPER(MID(W117,4,1))="J","AJP",IF(UPPER(MID(W117,4,1))="G","Government",""))))))))))),IF($B117="Challan","",IF(W117&lt;&gt;"","◄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IF($B118="Entry",IF(LEN(W118)&lt;4,"",IF(UPPER(MID(W118,4,1))="P","Individual",IF(UPPER(MID(W118,4,1))="H","HUF",IF(UPPER(MID(W118,4,1))="C","Company",IF(UPPER(MID(W118,4,1))="F","Firm/LLP",IF(UPPER(MID(W118,4,1))="L","Local Authority",IF(UPPER(MID(W118,4,1))="T","Trust",IF(UPPER(MID(W118,4,1))="A","AOP",IF(UPPER(MID(W118,4,1))="B","BOI",IF(UPPER(MID(W118,4,1))="J","AJP",IF(UPPER(MID(W118,4,1))="G","Government",""))))))))))),IF($B118="Challan","",IF(W118&lt;&gt;"","◄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IF($B119="Entry",IF(LEN(W119)&lt;4,"",IF(UPPER(MID(W119,4,1))="P","Individual",IF(UPPER(MID(W119,4,1))="H","HUF",IF(UPPER(MID(W119,4,1))="C","Company",IF(UPPER(MID(W119,4,1))="F","Firm/LLP",IF(UPPER(MID(W119,4,1))="L","Local Authority",IF(UPPER(MID(W119,4,1))="T","Trust",IF(UPPER(MID(W119,4,1))="A","AOP",IF(UPPER(MID(W119,4,1))="B","BOI",IF(UPPER(MID(W119,4,1))="J","AJP",IF(UPPER(MID(W119,4,1))="G","Government",""))))))))))),IF($B119="Challan","",IF(W119&lt;&gt;"","◄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IF($B120="Entry",IF(LEN(W120)&lt;4,"",IF(UPPER(MID(W120,4,1))="P","Individual",IF(UPPER(MID(W120,4,1))="H","HUF",IF(UPPER(MID(W120,4,1))="C","Company",IF(UPPER(MID(W120,4,1))="F","Firm/LLP",IF(UPPER(MID(W120,4,1))="L","Local Authority",IF(UPPER(MID(W120,4,1))="T","Trust",IF(UPPER(MID(W120,4,1))="A","AOP",IF(UPPER(MID(W120,4,1))="B","BOI",IF(UPPER(MID(W120,4,1))="J","AJP",IF(UPPER(MID(W120,4,1))="G","Government",""))))))))))),IF($B120="Challan","",IF(W120&lt;&gt;"","◄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IF($B121="Entry",IF(LEN(W121)&lt;4,"",IF(UPPER(MID(W121,4,1))="P","Individual",IF(UPPER(MID(W121,4,1))="H","HUF",IF(UPPER(MID(W121,4,1))="C","Company",IF(UPPER(MID(W121,4,1))="F","Firm/LLP",IF(UPPER(MID(W121,4,1))="L","Local Authority",IF(UPPER(MID(W121,4,1))="T","Trust",IF(UPPER(MID(W121,4,1))="A","AOP",IF(UPPER(MID(W121,4,1))="B","BOI",IF(UPPER(MID(W121,4,1))="J","AJP",IF(UPPER(MID(W121,4,1))="G","Government",""))))))))))),IF($B121="Challan","",IF(W121&lt;&gt;"","◄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IF($B122="Entry",IF(LEN(W122)&lt;4,"",IF(UPPER(MID(W122,4,1))="P","Individual",IF(UPPER(MID(W122,4,1))="H","HUF",IF(UPPER(MID(W122,4,1))="C","Company",IF(UPPER(MID(W122,4,1))="F","Firm/LLP",IF(UPPER(MID(W122,4,1))="L","Local Authority",IF(UPPER(MID(W122,4,1))="T","Trust",IF(UPPER(MID(W122,4,1))="A","AOP",IF(UPPER(MID(W122,4,1))="B","BOI",IF(UPPER(MID(W122,4,1))="J","AJP",IF(UPPER(MID(W122,4,1))="G","Government",""))))))))))),IF($B122="Challan","",IF(W122&lt;&gt;"","◄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IF($B123="Entry",IF(LEN(W123)&lt;4,"",IF(UPPER(MID(W123,4,1))="P","Individual",IF(UPPER(MID(W123,4,1))="H","HUF",IF(UPPER(MID(W123,4,1))="C","Company",IF(UPPER(MID(W123,4,1))="F","Firm/LLP",IF(UPPER(MID(W123,4,1))="L","Local Authority",IF(UPPER(MID(W123,4,1))="T","Trust",IF(UPPER(MID(W123,4,1))="A","AOP",IF(UPPER(MID(W123,4,1))="B","BOI",IF(UPPER(MID(W123,4,1))="J","AJP",IF(UPPER(MID(W123,4,1))="G","Government",""))))))))))),IF($B123="Challan","",IF(W123&lt;&gt;"","◄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IF($B124="Entry",IF(LEN(W124)&lt;4,"",IF(UPPER(MID(W124,4,1))="P","Individual",IF(UPPER(MID(W124,4,1))="H","HUF",IF(UPPER(MID(W124,4,1))="C","Company",IF(UPPER(MID(W124,4,1))="F","Firm/LLP",IF(UPPER(MID(W124,4,1))="L","Local Authority",IF(UPPER(MID(W124,4,1))="T","Trust",IF(UPPER(MID(W124,4,1))="A","AOP",IF(UPPER(MID(W124,4,1))="B","BOI",IF(UPPER(MID(W124,4,1))="J","AJP",IF(UPPER(MID(W124,4,1))="G","Government",""))))))))))),IF($B124="Challan","",IF(W124&lt;&gt;"","◄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IF($B125="Entry",IF(LEN(W125)&lt;4,"",IF(UPPER(MID(W125,4,1))="P","Individual",IF(UPPER(MID(W125,4,1))="H","HUF",IF(UPPER(MID(W125,4,1))="C","Company",IF(UPPER(MID(W125,4,1))="F","Firm/LLP",IF(UPPER(MID(W125,4,1))="L","Local Authority",IF(UPPER(MID(W125,4,1))="T","Trust",IF(UPPER(MID(W125,4,1))="A","AOP",IF(UPPER(MID(W125,4,1))="B","BOI",IF(UPPER(MID(W125,4,1))="J","AJP",IF(UPPER(MID(W125,4,1))="G","Government",""))))))))))),IF($B125="Challan","",IF(W125&lt;&gt;"","◄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IF($B126="Entry",IF(LEN(W126)&lt;4,"",IF(UPPER(MID(W126,4,1))="P","Individual",IF(UPPER(MID(W126,4,1))="H","HUF",IF(UPPER(MID(W126,4,1))="C","Company",IF(UPPER(MID(W126,4,1))="F","Firm/LLP",IF(UPPER(MID(W126,4,1))="L","Local Authority",IF(UPPER(MID(W126,4,1))="T","Trust",IF(UPPER(MID(W126,4,1))="A","AOP",IF(UPPER(MID(W126,4,1))="B","BOI",IF(UPPER(MID(W126,4,1))="J","AJP",IF(UPPER(MID(W126,4,1))="G","Government",""))))))))))),IF($B126="Challan","",IF(W126&lt;&gt;"","◄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IF($B127="Entry",IF(LEN(W127)&lt;4,"",IF(UPPER(MID(W127,4,1))="P","Individual",IF(UPPER(MID(W127,4,1))="H","HUF",IF(UPPER(MID(W127,4,1))="C","Company",IF(UPPER(MID(W127,4,1))="F","Firm/LLP",IF(UPPER(MID(W127,4,1))="L","Local Authority",IF(UPPER(MID(W127,4,1))="T","Trust",IF(UPPER(MID(W127,4,1))="A","AOP",IF(UPPER(MID(W127,4,1))="B","BOI",IF(UPPER(MID(W127,4,1))="J","AJP",IF(UPPER(MID(W127,4,1))="G","Government",""))))))))))),IF($B127="Challan","",IF(W127&lt;&gt;"","◄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IF($B128="Entry",IF(LEN(W128)&lt;4,"",IF(UPPER(MID(W128,4,1))="P","Individual",IF(UPPER(MID(W128,4,1))="H","HUF",IF(UPPER(MID(W128,4,1))="C","Company",IF(UPPER(MID(W128,4,1))="F","Firm/LLP",IF(UPPER(MID(W128,4,1))="L","Local Authority",IF(UPPER(MID(W128,4,1))="T","Trust",IF(UPPER(MID(W128,4,1))="A","AOP",IF(UPPER(MID(W128,4,1))="B","BOI",IF(UPPER(MID(W128,4,1))="J","AJP",IF(UPPER(MID(W128,4,1))="G","Government",""))))))))))),IF($B128="Challan","",IF(W128&lt;&gt;"","◄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IF($B129="Entry",IF(LEN(W129)&lt;4,"",IF(UPPER(MID(W129,4,1))="P","Individual",IF(UPPER(MID(W129,4,1))="H","HUF",IF(UPPER(MID(W129,4,1))="C","Company",IF(UPPER(MID(W129,4,1))="F","Firm/LLP",IF(UPPER(MID(W129,4,1))="L","Local Authority",IF(UPPER(MID(W129,4,1))="T","Trust",IF(UPPER(MID(W129,4,1))="A","AOP",IF(UPPER(MID(W129,4,1))="B","BOI",IF(UPPER(MID(W129,4,1))="J","AJP",IF(UPPER(MID(W129,4,1))="G","Government",""))))))))))),IF($B129="Challan","",IF(W129&lt;&gt;"","◄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IF($B130="Entry",IF(LEN(W130)&lt;4,"",IF(UPPER(MID(W130,4,1))="P","Individual",IF(UPPER(MID(W130,4,1))="H","HUF",IF(UPPER(MID(W130,4,1))="C","Company",IF(UPPER(MID(W130,4,1))="F","Firm/LLP",IF(UPPER(MID(W130,4,1))="L","Local Authority",IF(UPPER(MID(W130,4,1))="T","Trust",IF(UPPER(MID(W130,4,1))="A","AOP",IF(UPPER(MID(W130,4,1))="B","BOI",IF(UPPER(MID(W130,4,1))="J","AJP",IF(UPPER(MID(W130,4,1))="G","Government",""))))))))))),IF($B130="Challan","",IF(W130&lt;&gt;"","◄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IF($B131="Entry",IF(LEN(W131)&lt;4,"",IF(UPPER(MID(W131,4,1))="P","Individual",IF(UPPER(MID(W131,4,1))="H","HUF",IF(UPPER(MID(W131,4,1))="C","Company",IF(UPPER(MID(W131,4,1))="F","Firm/LLP",IF(UPPER(MID(W131,4,1))="L","Local Authority",IF(UPPER(MID(W131,4,1))="T","Trust",IF(UPPER(MID(W131,4,1))="A","AOP",IF(UPPER(MID(W131,4,1))="B","BOI",IF(UPPER(MID(W131,4,1))="J","AJP",IF(UPPER(MID(W131,4,1))="G","Government",""))))))))))),IF($B131="Challan","",IF(W131&lt;&gt;"","◄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IF($B132="Entry",IF(LEN(W132)&lt;4,"",IF(UPPER(MID(W132,4,1))="P","Individual",IF(UPPER(MID(W132,4,1))="H","HUF",IF(UPPER(MID(W132,4,1))="C","Company",IF(UPPER(MID(W132,4,1))="F","Firm/LLP",IF(UPPER(MID(W132,4,1))="L","Local Authority",IF(UPPER(MID(W132,4,1))="T","Trust",IF(UPPER(MID(W132,4,1))="A","AOP",IF(UPPER(MID(W132,4,1))="B","BOI",IF(UPPER(MID(W132,4,1))="J","AJP",IF(UPPER(MID(W132,4,1))="G","Government",""))))))))))),IF($B132="Challan","",IF(W132&lt;&gt;"","◄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IF($B133="Entry",IF(LEN(W133)&lt;4,"",IF(UPPER(MID(W133,4,1))="P","Individual",IF(UPPER(MID(W133,4,1))="H","HUF",IF(UPPER(MID(W133,4,1))="C","Company",IF(UPPER(MID(W133,4,1))="F","Firm/LLP",IF(UPPER(MID(W133,4,1))="L","Local Authority",IF(UPPER(MID(W133,4,1))="T","Trust",IF(UPPER(MID(W133,4,1))="A","AOP",IF(UPPER(MID(W133,4,1))="B","BOI",IF(UPPER(MID(W133,4,1))="J","AJP",IF(UPPER(MID(W133,4,1))="G","Government",""))))))))))),IF($B133="Challan","",IF(W133&lt;&gt;"","◄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IF($B134="Entry",IF(LEN(W134)&lt;4,"",IF(UPPER(MID(W134,4,1))="P","Individual",IF(UPPER(MID(W134,4,1))="H","HUF",IF(UPPER(MID(W134,4,1))="C","Company",IF(UPPER(MID(W134,4,1))="F","Firm/LLP",IF(UPPER(MID(W134,4,1))="L","Local Authority",IF(UPPER(MID(W134,4,1))="T","Trust",IF(UPPER(MID(W134,4,1))="A","AOP",IF(UPPER(MID(W134,4,1))="B","BOI",IF(UPPER(MID(W134,4,1))="J","AJP",IF(UPPER(MID(W134,4,1))="G","Government",""))))))))))),IF($B134="Challan","",IF(W134&lt;&gt;"","◄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IF($B135="Entry",IF(LEN(W135)&lt;4,"",IF(UPPER(MID(W135,4,1))="P","Individual",IF(UPPER(MID(W135,4,1))="H","HUF",IF(UPPER(MID(W135,4,1))="C","Company",IF(UPPER(MID(W135,4,1))="F","Firm/LLP",IF(UPPER(MID(W135,4,1))="L","Local Authority",IF(UPPER(MID(W135,4,1))="T","Trust",IF(UPPER(MID(W135,4,1))="A","AOP",IF(UPPER(MID(W135,4,1))="B","BOI",IF(UPPER(MID(W135,4,1))="J","AJP",IF(UPPER(MID(W135,4,1))="G","Government",""))))))))))),IF($B135="Challan","",IF(W135&lt;&gt;"","◄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IF($B136="Entry",IF(LEN(W136)&lt;4,"",IF(UPPER(MID(W136,4,1))="P","Individual",IF(UPPER(MID(W136,4,1))="H","HUF",IF(UPPER(MID(W136,4,1))="C","Company",IF(UPPER(MID(W136,4,1))="F","Firm/LLP",IF(UPPER(MID(W136,4,1))="L","Local Authority",IF(UPPER(MID(W136,4,1))="T","Trust",IF(UPPER(MID(W136,4,1))="A","AOP",IF(UPPER(MID(W136,4,1))="B","BOI",IF(UPPER(MID(W136,4,1))="J","AJP",IF(UPPER(MID(W136,4,1))="G","Government",""))))))))))),IF($B136="Challan","",IF(W136&lt;&gt;"","◄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IF($B137="Entry",IF(LEN(W137)&lt;4,"",IF(UPPER(MID(W137,4,1))="P","Individual",IF(UPPER(MID(W137,4,1))="H","HUF",IF(UPPER(MID(W137,4,1))="C","Company",IF(UPPER(MID(W137,4,1))="F","Firm/LLP",IF(UPPER(MID(W137,4,1))="L","Local Authority",IF(UPPER(MID(W137,4,1))="T","Trust",IF(UPPER(MID(W137,4,1))="A","AOP",IF(UPPER(MID(W137,4,1))="B","BOI",IF(UPPER(MID(W137,4,1))="J","AJP",IF(UPPER(MID(W137,4,1))="G","Government",""))))))))))),IF($B137="Challan","",IF(W137&lt;&gt;"","◄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IF($B138="Entry",IF(LEN(W138)&lt;4,"",IF(UPPER(MID(W138,4,1))="P","Individual",IF(UPPER(MID(W138,4,1))="H","HUF",IF(UPPER(MID(W138,4,1))="C","Company",IF(UPPER(MID(W138,4,1))="F","Firm/LLP",IF(UPPER(MID(W138,4,1))="L","Local Authority",IF(UPPER(MID(W138,4,1))="T","Trust",IF(UPPER(MID(W138,4,1))="A","AOP",IF(UPPER(MID(W138,4,1))="B","BOI",IF(UPPER(MID(W138,4,1))="J","AJP",IF(UPPER(MID(W138,4,1))="G","Government",""))))))))))),IF($B138="Challan","",IF(W138&lt;&gt;"","◄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IF($B139="Entry",IF(LEN(W139)&lt;4,"",IF(UPPER(MID(W139,4,1))="P","Individual",IF(UPPER(MID(W139,4,1))="H","HUF",IF(UPPER(MID(W139,4,1))="C","Company",IF(UPPER(MID(W139,4,1))="F","Firm/LLP",IF(UPPER(MID(W139,4,1))="L","Local Authority",IF(UPPER(MID(W139,4,1))="T","Trust",IF(UPPER(MID(W139,4,1))="A","AOP",IF(UPPER(MID(W139,4,1))="B","BOI",IF(UPPER(MID(W139,4,1))="J","AJP",IF(UPPER(MID(W139,4,1))="G","Government",""))))))))))),IF($B139="Challan","",IF(W139&lt;&gt;"","◄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IF($B140="Entry",IF(LEN(W140)&lt;4,"",IF(UPPER(MID(W140,4,1))="P","Individual",IF(UPPER(MID(W140,4,1))="H","HUF",IF(UPPER(MID(W140,4,1))="C","Company",IF(UPPER(MID(W140,4,1))="F","Firm/LLP",IF(UPPER(MID(W140,4,1))="L","Local Authority",IF(UPPER(MID(W140,4,1))="T","Trust",IF(UPPER(MID(W140,4,1))="A","AOP",IF(UPPER(MID(W140,4,1))="B","BOI",IF(UPPER(MID(W140,4,1))="J","AJP",IF(UPPER(MID(W140,4,1))="G","Government",""))))))))))),IF($B140="Challan","",IF(W140&lt;&gt;"","◄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IF($B141="Entry",IF(LEN(W141)&lt;4,"",IF(UPPER(MID(W141,4,1))="P","Individual",IF(UPPER(MID(W141,4,1))="H","HUF",IF(UPPER(MID(W141,4,1))="C","Company",IF(UPPER(MID(W141,4,1))="F","Firm/LLP",IF(UPPER(MID(W141,4,1))="L","Local Authority",IF(UPPER(MID(W141,4,1))="T","Trust",IF(UPPER(MID(W141,4,1))="A","AOP",IF(UPPER(MID(W141,4,1))="B","BOI",IF(UPPER(MID(W141,4,1))="J","AJP",IF(UPPER(MID(W141,4,1))="G","Government",""))))))))))),IF($B141="Challan","",IF(W141&lt;&gt;"","◄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IF($B142="Entry",IF(LEN(W142)&lt;4,"",IF(UPPER(MID(W142,4,1))="P","Individual",IF(UPPER(MID(W142,4,1))="H","HUF",IF(UPPER(MID(W142,4,1))="C","Company",IF(UPPER(MID(W142,4,1))="F","Firm/LLP",IF(UPPER(MID(W142,4,1))="L","Local Authority",IF(UPPER(MID(W142,4,1))="T","Trust",IF(UPPER(MID(W142,4,1))="A","AOP",IF(UPPER(MID(W142,4,1))="B","BOI",IF(UPPER(MID(W142,4,1))="J","AJP",IF(UPPER(MID(W142,4,1))="G","Government",""))))))))))),IF($B142="Challan","",IF(W142&lt;&gt;"","◄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IF($B143="Entry",IF(LEN(W143)&lt;4,"",IF(UPPER(MID(W143,4,1))="P","Individual",IF(UPPER(MID(W143,4,1))="H","HUF",IF(UPPER(MID(W143,4,1))="C","Company",IF(UPPER(MID(W143,4,1))="F","Firm/LLP",IF(UPPER(MID(W143,4,1))="L","Local Authority",IF(UPPER(MID(W143,4,1))="T","Trust",IF(UPPER(MID(W143,4,1))="A","AOP",IF(UPPER(MID(W143,4,1))="B","BOI",IF(UPPER(MID(W143,4,1))="J","AJP",IF(UPPER(MID(W143,4,1))="G","Government",""))))))))))),IF($B143="Challan","",IF(W143&lt;&gt;"","◄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IF($B144="Entry",IF(LEN(W144)&lt;4,"",IF(UPPER(MID(W144,4,1))="P","Individual",IF(UPPER(MID(W144,4,1))="H","HUF",IF(UPPER(MID(W144,4,1))="C","Company",IF(UPPER(MID(W144,4,1))="F","Firm/LLP",IF(UPPER(MID(W144,4,1))="L","Local Authority",IF(UPPER(MID(W144,4,1))="T","Trust",IF(UPPER(MID(W144,4,1))="A","AOP",IF(UPPER(MID(W144,4,1))="B","BOI",IF(UPPER(MID(W144,4,1))="J","AJP",IF(UPPER(MID(W144,4,1))="G","Government",""))))))))))),IF($B144="Challan","",IF(W144&lt;&gt;"","◄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IF($B145="Entry",IF(LEN(W145)&lt;4,"",IF(UPPER(MID(W145,4,1))="P","Individual",IF(UPPER(MID(W145,4,1))="H","HUF",IF(UPPER(MID(W145,4,1))="C","Company",IF(UPPER(MID(W145,4,1))="F","Firm/LLP",IF(UPPER(MID(W145,4,1))="L","Local Authority",IF(UPPER(MID(W145,4,1))="T","Trust",IF(UPPER(MID(W145,4,1))="A","AOP",IF(UPPER(MID(W145,4,1))="B","BOI",IF(UPPER(MID(W145,4,1))="J","AJP",IF(UPPER(MID(W145,4,1))="G","Government",""))))))))))),IF($B145="Challan","",IF(W145&lt;&gt;"","◄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IF($B146="Entry",IF(LEN(W146)&lt;4,"",IF(UPPER(MID(W146,4,1))="P","Individual",IF(UPPER(MID(W146,4,1))="H","HUF",IF(UPPER(MID(W146,4,1))="C","Company",IF(UPPER(MID(W146,4,1))="F","Firm/LLP",IF(UPPER(MID(W146,4,1))="L","Local Authority",IF(UPPER(MID(W146,4,1))="T","Trust",IF(UPPER(MID(W146,4,1))="A","AOP",IF(UPPER(MID(W146,4,1))="B","BOI",IF(UPPER(MID(W146,4,1))="J","AJP",IF(UPPER(MID(W146,4,1))="G","Government",""))))))))))),IF($B146="Challan","",IF(W146&lt;&gt;"","◄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IF($B147="Entry",IF(LEN(W147)&lt;4,"",IF(UPPER(MID(W147,4,1))="P","Individual",IF(UPPER(MID(W147,4,1))="H","HUF",IF(UPPER(MID(W147,4,1))="C","Company",IF(UPPER(MID(W147,4,1))="F","Firm/LLP",IF(UPPER(MID(W147,4,1))="L","Local Authority",IF(UPPER(MID(W147,4,1))="T","Trust",IF(UPPER(MID(W147,4,1))="A","AOP",IF(UPPER(MID(W147,4,1))="B","BOI",IF(UPPER(MID(W147,4,1))="J","AJP",IF(UPPER(MID(W147,4,1))="G","Government",""))))))))))),IF($B147="Challan","",IF(W147&lt;&gt;"","◄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IF($B148="Entry",IF(LEN(W148)&lt;4,"",IF(UPPER(MID(W148,4,1))="P","Individual",IF(UPPER(MID(W148,4,1))="H","HUF",IF(UPPER(MID(W148,4,1))="C","Company",IF(UPPER(MID(W148,4,1))="F","Firm/LLP",IF(UPPER(MID(W148,4,1))="L","Local Authority",IF(UPPER(MID(W148,4,1))="T","Trust",IF(UPPER(MID(W148,4,1))="A","AOP",IF(UPPER(MID(W148,4,1))="B","BOI",IF(UPPER(MID(W148,4,1))="J","AJP",IF(UPPER(MID(W148,4,1))="G","Government",""))))))))))),IF($B148="Challan","",IF(W148&lt;&gt;"","◄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IF($B149="Entry",IF(LEN(W149)&lt;4,"",IF(UPPER(MID(W149,4,1))="P","Individual",IF(UPPER(MID(W149,4,1))="H","HUF",IF(UPPER(MID(W149,4,1))="C","Company",IF(UPPER(MID(W149,4,1))="F","Firm/LLP",IF(UPPER(MID(W149,4,1))="L","Local Authority",IF(UPPER(MID(W149,4,1))="T","Trust",IF(UPPER(MID(W149,4,1))="A","AOP",IF(UPPER(MID(W149,4,1))="B","BOI",IF(UPPER(MID(W149,4,1))="J","AJP",IF(UPPER(MID(W149,4,1))="G","Government",""))))))))))),IF($B149="Challan","",IF(W149&lt;&gt;"","◄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IF($B150="Entry",IF(LEN(W150)&lt;4,"",IF(UPPER(MID(W150,4,1))="P","Individual",IF(UPPER(MID(W150,4,1))="H","HUF",IF(UPPER(MID(W150,4,1))="C","Company",IF(UPPER(MID(W150,4,1))="F","Firm/LLP",IF(UPPER(MID(W150,4,1))="L","Local Authority",IF(UPPER(MID(W150,4,1))="T","Trust",IF(UPPER(MID(W150,4,1))="A","AOP",IF(UPPER(MID(W150,4,1))="B","BOI",IF(UPPER(MID(W150,4,1))="J","AJP",IF(UPPER(MID(W150,4,1))="G","Government",""))))))))))),IF($B150="Challan","",IF(W150&lt;&gt;"","◄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IF($B151="Entry",IF(LEN(W151)&lt;4,"",IF(UPPER(MID(W151,4,1))="P","Individual",IF(UPPER(MID(W151,4,1))="H","HUF",IF(UPPER(MID(W151,4,1))="C","Company",IF(UPPER(MID(W151,4,1))="F","Firm/LLP",IF(UPPER(MID(W151,4,1))="L","Local Authority",IF(UPPER(MID(W151,4,1))="T","Trust",IF(UPPER(MID(W151,4,1))="A","AOP",IF(UPPER(MID(W151,4,1))="B","BOI",IF(UPPER(MID(W151,4,1))="J","AJP",IF(UPPER(MID(W151,4,1))="G","Government",""))))))))))),IF($B151="Challan","",IF(W151&lt;&gt;"","◄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IF($B152="Entry",IF(LEN(W152)&lt;4,"",IF(UPPER(MID(W152,4,1))="P","Individual",IF(UPPER(MID(W152,4,1))="H","HUF",IF(UPPER(MID(W152,4,1))="C","Company",IF(UPPER(MID(W152,4,1))="F","Firm/LLP",IF(UPPER(MID(W152,4,1))="L","Local Authority",IF(UPPER(MID(W152,4,1))="T","Trust",IF(UPPER(MID(W152,4,1))="A","AOP",IF(UPPER(MID(W152,4,1))="B","BOI",IF(UPPER(MID(W152,4,1))="J","AJP",IF(UPPER(MID(W152,4,1))="G","Government",""))))))))))),IF($B152="Challan","",IF(W152&lt;&gt;"","◄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IF($B153="Entry",IF(LEN(W153)&lt;4,"",IF(UPPER(MID(W153,4,1))="P","Individual",IF(UPPER(MID(W153,4,1))="H","HUF",IF(UPPER(MID(W153,4,1))="C","Company",IF(UPPER(MID(W153,4,1))="F","Firm/LLP",IF(UPPER(MID(W153,4,1))="L","Local Authority",IF(UPPER(MID(W153,4,1))="T","Trust",IF(UPPER(MID(W153,4,1))="A","AOP",IF(UPPER(MID(W153,4,1))="B","BOI",IF(UPPER(MID(W153,4,1))="J","AJP",IF(UPPER(MID(W153,4,1))="G","Government",""))))))))))),IF($B153="Challan","",IF(W153&lt;&gt;"","◄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IF($B154="Entry",IF(LEN(W154)&lt;4,"",IF(UPPER(MID(W154,4,1))="P","Individual",IF(UPPER(MID(W154,4,1))="H","HUF",IF(UPPER(MID(W154,4,1))="C","Company",IF(UPPER(MID(W154,4,1))="F","Firm/LLP",IF(UPPER(MID(W154,4,1))="L","Local Authority",IF(UPPER(MID(W154,4,1))="T","Trust",IF(UPPER(MID(W154,4,1))="A","AOP",IF(UPPER(MID(W154,4,1))="B","BOI",IF(UPPER(MID(W154,4,1))="J","AJP",IF(UPPER(MID(W154,4,1))="G","Government",""))))))))))),IF($B154="Challan","",IF(W154&lt;&gt;"","◄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IF($B155="Entry",IF(LEN(W155)&lt;4,"",IF(UPPER(MID(W155,4,1))="P","Individual",IF(UPPER(MID(W155,4,1))="H","HUF",IF(UPPER(MID(W155,4,1))="C","Company",IF(UPPER(MID(W155,4,1))="F","Firm/LLP",IF(UPPER(MID(W155,4,1))="L","Local Authority",IF(UPPER(MID(W155,4,1))="T","Trust",IF(UPPER(MID(W155,4,1))="A","AOP",IF(UPPER(MID(W155,4,1))="B","BOI",IF(UPPER(MID(W155,4,1))="J","AJP",IF(UPPER(MID(W155,4,1))="G","Government",""))))))))))),IF($B155="Challan","",IF(W155&lt;&gt;"","◄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IF($B156="Entry",IF(LEN(W156)&lt;4,"",IF(UPPER(MID(W156,4,1))="P","Individual",IF(UPPER(MID(W156,4,1))="H","HUF",IF(UPPER(MID(W156,4,1))="C","Company",IF(UPPER(MID(W156,4,1))="F","Firm/LLP",IF(UPPER(MID(W156,4,1))="L","Local Authority",IF(UPPER(MID(W156,4,1))="T","Trust",IF(UPPER(MID(W156,4,1))="A","AOP",IF(UPPER(MID(W156,4,1))="B","BOI",IF(UPPER(MID(W156,4,1))="J","AJP",IF(UPPER(MID(W156,4,1))="G","Government",""))))))))))),IF($B156="Challan","",IF(W156&lt;&gt;"","◄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IF($B157="Entry",IF(LEN(W157)&lt;4,"",IF(UPPER(MID(W157,4,1))="P","Individual",IF(UPPER(MID(W157,4,1))="H","HUF",IF(UPPER(MID(W157,4,1))="C","Company",IF(UPPER(MID(W157,4,1))="F","Firm/LLP",IF(UPPER(MID(W157,4,1))="L","Local Authority",IF(UPPER(MID(W157,4,1))="T","Trust",IF(UPPER(MID(W157,4,1))="A","AOP",IF(UPPER(MID(W157,4,1))="B","BOI",IF(UPPER(MID(W157,4,1))="J","AJP",IF(UPPER(MID(W157,4,1))="G","Government",""))))))))))),IF($B157="Challan","",IF(W157&lt;&gt;"","◄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IF($B158="Entry",IF(LEN(W158)&lt;4,"",IF(UPPER(MID(W158,4,1))="P","Individual",IF(UPPER(MID(W158,4,1))="H","HUF",IF(UPPER(MID(W158,4,1))="C","Company",IF(UPPER(MID(W158,4,1))="F","Firm/LLP",IF(UPPER(MID(W158,4,1))="L","Local Authority",IF(UPPER(MID(W158,4,1))="T","Trust",IF(UPPER(MID(W158,4,1))="A","AOP",IF(UPPER(MID(W158,4,1))="B","BOI",IF(UPPER(MID(W158,4,1))="J","AJP",IF(UPPER(MID(W158,4,1))="G","Government",""))))))))))),IF($B158="Challan","",IF(W158&lt;&gt;"","◄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IF($B159="Entry",IF(LEN(W159)&lt;4,"",IF(UPPER(MID(W159,4,1))="P","Individual",IF(UPPER(MID(W159,4,1))="H","HUF",IF(UPPER(MID(W159,4,1))="C","Company",IF(UPPER(MID(W159,4,1))="F","Firm/LLP",IF(UPPER(MID(W159,4,1))="L","Local Authority",IF(UPPER(MID(W159,4,1))="T","Trust",IF(UPPER(MID(W159,4,1))="A","AOP",IF(UPPER(MID(W159,4,1))="B","BOI",IF(UPPER(MID(W159,4,1))="J","AJP",IF(UPPER(MID(W159,4,1))="G","Government",""))))))))))),IF($B159="Challan","",IF(W159&lt;&gt;"","◄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IF($B160="Entry",IF(LEN(W160)&lt;4,"",IF(UPPER(MID(W160,4,1))="P","Individual",IF(UPPER(MID(W160,4,1))="H","HUF",IF(UPPER(MID(W160,4,1))="C","Company",IF(UPPER(MID(W160,4,1))="F","Firm/LLP",IF(UPPER(MID(W160,4,1))="L","Local Authority",IF(UPPER(MID(W160,4,1))="T","Trust",IF(UPPER(MID(W160,4,1))="A","AOP",IF(UPPER(MID(W160,4,1))="B","BOI",IF(UPPER(MID(W160,4,1))="J","AJP",IF(UPPER(MID(W160,4,1))="G","Government",""))))))))))),IF($B160="Challan","",IF(W160&lt;&gt;"","◄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IF($B161="Entry",IF(LEN(W161)&lt;4,"",IF(UPPER(MID(W161,4,1))="P","Individual",IF(UPPER(MID(W161,4,1))="H","HUF",IF(UPPER(MID(W161,4,1))="C","Company",IF(UPPER(MID(W161,4,1))="F","Firm/LLP",IF(UPPER(MID(W161,4,1))="L","Local Authority",IF(UPPER(MID(W161,4,1))="T","Trust",IF(UPPER(MID(W161,4,1))="A","AOP",IF(UPPER(MID(W161,4,1))="B","BOI",IF(UPPER(MID(W161,4,1))="J","AJP",IF(UPPER(MID(W161,4,1))="G","Government",""))))))))))),IF($B161="Challan","",IF(W161&lt;&gt;"","◄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IF($B162="Entry",IF(LEN(W162)&lt;4,"",IF(UPPER(MID(W162,4,1))="P","Individual",IF(UPPER(MID(W162,4,1))="H","HUF",IF(UPPER(MID(W162,4,1))="C","Company",IF(UPPER(MID(W162,4,1))="F","Firm/LLP",IF(UPPER(MID(W162,4,1))="L","Local Authority",IF(UPPER(MID(W162,4,1))="T","Trust",IF(UPPER(MID(W162,4,1))="A","AOP",IF(UPPER(MID(W162,4,1))="B","BOI",IF(UPPER(MID(W162,4,1))="J","AJP",IF(UPPER(MID(W162,4,1))="G","Government",""))))))))))),IF($B162="Challan","",IF(W162&lt;&gt;"","◄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IF($B163="Entry",IF(LEN(W163)&lt;4,"",IF(UPPER(MID(W163,4,1))="P","Individual",IF(UPPER(MID(W163,4,1))="H","HUF",IF(UPPER(MID(W163,4,1))="C","Company",IF(UPPER(MID(W163,4,1))="F","Firm/LLP",IF(UPPER(MID(W163,4,1))="L","Local Authority",IF(UPPER(MID(W163,4,1))="T","Trust",IF(UPPER(MID(W163,4,1))="A","AOP",IF(UPPER(MID(W163,4,1))="B","BOI",IF(UPPER(MID(W163,4,1))="J","AJP",IF(UPPER(MID(W163,4,1))="G","Government",""))))))))))),IF($B163="Challan","",IF(W163&lt;&gt;"","◄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IF($B164="Entry",IF(LEN(W164)&lt;4,"",IF(UPPER(MID(W164,4,1))="P","Individual",IF(UPPER(MID(W164,4,1))="H","HUF",IF(UPPER(MID(W164,4,1))="C","Company",IF(UPPER(MID(W164,4,1))="F","Firm/LLP",IF(UPPER(MID(W164,4,1))="L","Local Authority",IF(UPPER(MID(W164,4,1))="T","Trust",IF(UPPER(MID(W164,4,1))="A","AOP",IF(UPPER(MID(W164,4,1))="B","BOI",IF(UPPER(MID(W164,4,1))="J","AJP",IF(UPPER(MID(W164,4,1))="G","Government",""))))))))))),IF($B164="Challan","",IF(W164&lt;&gt;"","◄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IF($B165="Entry",IF(LEN(W165)&lt;4,"",IF(UPPER(MID(W165,4,1))="P","Individual",IF(UPPER(MID(W165,4,1))="H","HUF",IF(UPPER(MID(W165,4,1))="C","Company",IF(UPPER(MID(W165,4,1))="F","Firm/LLP",IF(UPPER(MID(W165,4,1))="L","Local Authority",IF(UPPER(MID(W165,4,1))="T","Trust",IF(UPPER(MID(W165,4,1))="A","AOP",IF(UPPER(MID(W165,4,1))="B","BOI",IF(UPPER(MID(W165,4,1))="J","AJP",IF(UPPER(MID(W165,4,1))="G","Government",""))))))))))),IF($B165="Challan","",IF(W165&lt;&gt;"","◄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IF($B166="Entry",IF(LEN(W166)&lt;4,"",IF(UPPER(MID(W166,4,1))="P","Individual",IF(UPPER(MID(W166,4,1))="H","HUF",IF(UPPER(MID(W166,4,1))="C","Company",IF(UPPER(MID(W166,4,1))="F","Firm/LLP",IF(UPPER(MID(W166,4,1))="L","Local Authority",IF(UPPER(MID(W166,4,1))="T","Trust",IF(UPPER(MID(W166,4,1))="A","AOP",IF(UPPER(MID(W166,4,1))="B","BOI",IF(UPPER(MID(W166,4,1))="J","AJP",IF(UPPER(MID(W166,4,1))="G","Government",""))))))))))),IF($B166="Challan","",IF(W166&lt;&gt;"","◄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IF($B167="Entry",IF(LEN(W167)&lt;4,"",IF(UPPER(MID(W167,4,1))="P","Individual",IF(UPPER(MID(W167,4,1))="H","HUF",IF(UPPER(MID(W167,4,1))="C","Company",IF(UPPER(MID(W167,4,1))="F","Firm/LLP",IF(UPPER(MID(W167,4,1))="L","Local Authority",IF(UPPER(MID(W167,4,1))="T","Trust",IF(UPPER(MID(W167,4,1))="A","AOP",IF(UPPER(MID(W167,4,1))="B","BOI",IF(UPPER(MID(W167,4,1))="J","AJP",IF(UPPER(MID(W167,4,1))="G","Government",""))))))))))),IF($B167="Challan","",IF(W167&lt;&gt;"","◄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IF($B168="Entry",IF(LEN(W168)&lt;4,"",IF(UPPER(MID(W168,4,1))="P","Individual",IF(UPPER(MID(W168,4,1))="H","HUF",IF(UPPER(MID(W168,4,1))="C","Company",IF(UPPER(MID(W168,4,1))="F","Firm/LLP",IF(UPPER(MID(W168,4,1))="L","Local Authority",IF(UPPER(MID(W168,4,1))="T","Trust",IF(UPPER(MID(W168,4,1))="A","AOP",IF(UPPER(MID(W168,4,1))="B","BOI",IF(UPPER(MID(W168,4,1))="J","AJP",IF(UPPER(MID(W168,4,1))="G","Government",""))))))))))),IF($B168="Challan","",IF(W168&lt;&gt;"","◄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IF($B169="Entry",IF(LEN(W169)&lt;4,"",IF(UPPER(MID(W169,4,1))="P","Individual",IF(UPPER(MID(W169,4,1))="H","HUF",IF(UPPER(MID(W169,4,1))="C","Company",IF(UPPER(MID(W169,4,1))="F","Firm/LLP",IF(UPPER(MID(W169,4,1))="L","Local Authority",IF(UPPER(MID(W169,4,1))="T","Trust",IF(UPPER(MID(W169,4,1))="A","AOP",IF(UPPER(MID(W169,4,1))="B","BOI",IF(UPPER(MID(W169,4,1))="J","AJP",IF(UPPER(MID(W169,4,1))="G","Government",""))))))))))),IF($B169="Challan","",IF(W169&lt;&gt;"","◄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IF($B170="Entry",IF(LEN(W170)&lt;4,"",IF(UPPER(MID(W170,4,1))="P","Individual",IF(UPPER(MID(W170,4,1))="H","HUF",IF(UPPER(MID(W170,4,1))="C","Company",IF(UPPER(MID(W170,4,1))="F","Firm/LLP",IF(UPPER(MID(W170,4,1))="L","Local Authority",IF(UPPER(MID(W170,4,1))="T","Trust",IF(UPPER(MID(W170,4,1))="A","AOP",IF(UPPER(MID(W170,4,1))="B","BOI",IF(UPPER(MID(W170,4,1))="J","AJP",IF(UPPER(MID(W170,4,1))="G","Government",""))))))))))),IF($B170="Challan","",IF(W170&lt;&gt;"","◄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IF($B171="Entry",IF(LEN(W171)&lt;4,"",IF(UPPER(MID(W171,4,1))="P","Individual",IF(UPPER(MID(W171,4,1))="H","HUF",IF(UPPER(MID(W171,4,1))="C","Company",IF(UPPER(MID(W171,4,1))="F","Firm/LLP",IF(UPPER(MID(W171,4,1))="L","Local Authority",IF(UPPER(MID(W171,4,1))="T","Trust",IF(UPPER(MID(W171,4,1))="A","AOP",IF(UPPER(MID(W171,4,1))="B","BOI",IF(UPPER(MID(W171,4,1))="J","AJP",IF(UPPER(MID(W171,4,1))="G","Government",""))))))))))),IF($B171="Challan","",IF(W171&lt;&gt;"","◄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IF($B172="Entry",IF(LEN(W172)&lt;4,"",IF(UPPER(MID(W172,4,1))="P","Individual",IF(UPPER(MID(W172,4,1))="H","HUF",IF(UPPER(MID(W172,4,1))="C","Company",IF(UPPER(MID(W172,4,1))="F","Firm/LLP",IF(UPPER(MID(W172,4,1))="L","Local Authority",IF(UPPER(MID(W172,4,1))="T","Trust",IF(UPPER(MID(W172,4,1))="A","AOP",IF(UPPER(MID(W172,4,1))="B","BOI",IF(UPPER(MID(W172,4,1))="J","AJP",IF(UPPER(MID(W172,4,1))="G","Government",""))))))))))),IF($B172="Challan","",IF(W172&lt;&gt;"","◄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IF($B173="Entry",IF(LEN(W173)&lt;4,"",IF(UPPER(MID(W173,4,1))="P","Individual",IF(UPPER(MID(W173,4,1))="H","HUF",IF(UPPER(MID(W173,4,1))="C","Company",IF(UPPER(MID(W173,4,1))="F","Firm/LLP",IF(UPPER(MID(W173,4,1))="L","Local Authority",IF(UPPER(MID(W173,4,1))="T","Trust",IF(UPPER(MID(W173,4,1))="A","AOP",IF(UPPER(MID(W173,4,1))="B","BOI",IF(UPPER(MID(W173,4,1))="J","AJP",IF(UPPER(MID(W173,4,1))="G","Government",""))))))))))),IF($B173="Challan","",IF(W173&lt;&gt;"","◄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IF($B174="Entry",IF(LEN(W174)&lt;4,"",IF(UPPER(MID(W174,4,1))="P","Individual",IF(UPPER(MID(W174,4,1))="H","HUF",IF(UPPER(MID(W174,4,1))="C","Company",IF(UPPER(MID(W174,4,1))="F","Firm/LLP",IF(UPPER(MID(W174,4,1))="L","Local Authority",IF(UPPER(MID(W174,4,1))="T","Trust",IF(UPPER(MID(W174,4,1))="A","AOP",IF(UPPER(MID(W174,4,1))="B","BOI",IF(UPPER(MID(W174,4,1))="J","AJP",IF(UPPER(MID(W174,4,1))="G","Government",""))))))))))),IF($B174="Challan","",IF(W174&lt;&gt;"","◄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IF($B175="Entry",IF(LEN(W175)&lt;4,"",IF(UPPER(MID(W175,4,1))="P","Individual",IF(UPPER(MID(W175,4,1))="H","HUF",IF(UPPER(MID(W175,4,1))="C","Company",IF(UPPER(MID(W175,4,1))="F","Firm/LLP",IF(UPPER(MID(W175,4,1))="L","Local Authority",IF(UPPER(MID(W175,4,1))="T","Trust",IF(UPPER(MID(W175,4,1))="A","AOP",IF(UPPER(MID(W175,4,1))="B","BOI",IF(UPPER(MID(W175,4,1))="J","AJP",IF(UPPER(MID(W175,4,1))="G","Government",""))))))))))),IF($B175="Challan","",IF(W175&lt;&gt;"","◄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IF($B176="Entry",IF(LEN(W176)&lt;4,"",IF(UPPER(MID(W176,4,1))="P","Individual",IF(UPPER(MID(W176,4,1))="H","HUF",IF(UPPER(MID(W176,4,1))="C","Company",IF(UPPER(MID(W176,4,1))="F","Firm/LLP",IF(UPPER(MID(W176,4,1))="L","Local Authority",IF(UPPER(MID(W176,4,1))="T","Trust",IF(UPPER(MID(W176,4,1))="A","AOP",IF(UPPER(MID(W176,4,1))="B","BOI",IF(UPPER(MID(W176,4,1))="J","AJP",IF(UPPER(MID(W176,4,1))="G","Government",""))))))))))),IF($B176="Challan","",IF(W176&lt;&gt;"","◄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IF($B177="Entry",IF(LEN(W177)&lt;4,"",IF(UPPER(MID(W177,4,1))="P","Individual",IF(UPPER(MID(W177,4,1))="H","HUF",IF(UPPER(MID(W177,4,1))="C","Company",IF(UPPER(MID(W177,4,1))="F","Firm/LLP",IF(UPPER(MID(W177,4,1))="L","Local Authority",IF(UPPER(MID(W177,4,1))="T","Trust",IF(UPPER(MID(W177,4,1))="A","AOP",IF(UPPER(MID(W177,4,1))="B","BOI",IF(UPPER(MID(W177,4,1))="J","AJP",IF(UPPER(MID(W177,4,1))="G","Government",""))))))))))),IF($B177="Challan","",IF(W177&lt;&gt;"","◄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IF($B178="Entry",IF(LEN(W178)&lt;4,"",IF(UPPER(MID(W178,4,1))="P","Individual",IF(UPPER(MID(W178,4,1))="H","HUF",IF(UPPER(MID(W178,4,1))="C","Company",IF(UPPER(MID(W178,4,1))="F","Firm/LLP",IF(UPPER(MID(W178,4,1))="L","Local Authority",IF(UPPER(MID(W178,4,1))="T","Trust",IF(UPPER(MID(W178,4,1))="A","AOP",IF(UPPER(MID(W178,4,1))="B","BOI",IF(UPPER(MID(W178,4,1))="J","AJP",IF(UPPER(MID(W178,4,1))="G","Government",""))))))))))),IF($B178="Challan","",IF(W178&lt;&gt;"","◄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IF($B179="Entry",IF(LEN(W179)&lt;4,"",IF(UPPER(MID(W179,4,1))="P","Individual",IF(UPPER(MID(W179,4,1))="H","HUF",IF(UPPER(MID(W179,4,1))="C","Company",IF(UPPER(MID(W179,4,1))="F","Firm/LLP",IF(UPPER(MID(W179,4,1))="L","Local Authority",IF(UPPER(MID(W179,4,1))="T","Trust",IF(UPPER(MID(W179,4,1))="A","AOP",IF(UPPER(MID(W179,4,1))="B","BOI",IF(UPPER(MID(W179,4,1))="J","AJP",IF(UPPER(MID(W179,4,1))="G","Government",""))))))))))),IF($B179="Challan","",IF(W179&lt;&gt;"","◄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IF($B180="Entry",IF(LEN(W180)&lt;4,"",IF(UPPER(MID(W180,4,1))="P","Individual",IF(UPPER(MID(W180,4,1))="H","HUF",IF(UPPER(MID(W180,4,1))="C","Company",IF(UPPER(MID(W180,4,1))="F","Firm/LLP",IF(UPPER(MID(W180,4,1))="L","Local Authority",IF(UPPER(MID(W180,4,1))="T","Trust",IF(UPPER(MID(W180,4,1))="A","AOP",IF(UPPER(MID(W180,4,1))="B","BOI",IF(UPPER(MID(W180,4,1))="J","AJP",IF(UPPER(MID(W180,4,1))="G","Government",""))))))))))),IF($B180="Challan","",IF(W180&lt;&gt;"","◄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IF($B181="Entry",IF(LEN(W181)&lt;4,"",IF(UPPER(MID(W181,4,1))="P","Individual",IF(UPPER(MID(W181,4,1))="H","HUF",IF(UPPER(MID(W181,4,1))="C","Company",IF(UPPER(MID(W181,4,1))="F","Firm/LLP",IF(UPPER(MID(W181,4,1))="L","Local Authority",IF(UPPER(MID(W181,4,1))="T","Trust",IF(UPPER(MID(W181,4,1))="A","AOP",IF(UPPER(MID(W181,4,1))="B","BOI",IF(UPPER(MID(W181,4,1))="J","AJP",IF(UPPER(MID(W181,4,1))="G","Government",""))))))))))),IF($B181="Challan","",IF(W181&lt;&gt;"","◄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IF($B182="Entry",IF(LEN(W182)&lt;4,"",IF(UPPER(MID(W182,4,1))="P","Individual",IF(UPPER(MID(W182,4,1))="H","HUF",IF(UPPER(MID(W182,4,1))="C","Company",IF(UPPER(MID(W182,4,1))="F","Firm/LLP",IF(UPPER(MID(W182,4,1))="L","Local Authority",IF(UPPER(MID(W182,4,1))="T","Trust",IF(UPPER(MID(W182,4,1))="A","AOP",IF(UPPER(MID(W182,4,1))="B","BOI",IF(UPPER(MID(W182,4,1))="J","AJP",IF(UPPER(MID(W182,4,1))="G","Government",""))))))))))),IF($B182="Challan","",IF(W182&lt;&gt;"","◄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IF($B183="Entry",IF(LEN(W183)&lt;4,"",IF(UPPER(MID(W183,4,1))="P","Individual",IF(UPPER(MID(W183,4,1))="H","HUF",IF(UPPER(MID(W183,4,1))="C","Company",IF(UPPER(MID(W183,4,1))="F","Firm/LLP",IF(UPPER(MID(W183,4,1))="L","Local Authority",IF(UPPER(MID(W183,4,1))="T","Trust",IF(UPPER(MID(W183,4,1))="A","AOP",IF(UPPER(MID(W183,4,1))="B","BOI",IF(UPPER(MID(W183,4,1))="J","AJP",IF(UPPER(MID(W183,4,1))="G","Government",""))))))))))),IF($B183="Challan","",IF(W183&lt;&gt;"","◄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IF($B184="Entry",IF(LEN(W184)&lt;4,"",IF(UPPER(MID(W184,4,1))="P","Individual",IF(UPPER(MID(W184,4,1))="H","HUF",IF(UPPER(MID(W184,4,1))="C","Company",IF(UPPER(MID(W184,4,1))="F","Firm/LLP",IF(UPPER(MID(W184,4,1))="L","Local Authority",IF(UPPER(MID(W184,4,1))="T","Trust",IF(UPPER(MID(W184,4,1))="A","AOP",IF(UPPER(MID(W184,4,1))="B","BOI",IF(UPPER(MID(W184,4,1))="J","AJP",IF(UPPER(MID(W184,4,1))="G","Government",""))))))))))),IF($B184="Challan","",IF(W184&lt;&gt;"","◄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IF($B185="Entry",IF(LEN(W185)&lt;4,"",IF(UPPER(MID(W185,4,1))="P","Individual",IF(UPPER(MID(W185,4,1))="H","HUF",IF(UPPER(MID(W185,4,1))="C","Company",IF(UPPER(MID(W185,4,1))="F","Firm/LLP",IF(UPPER(MID(W185,4,1))="L","Local Authority",IF(UPPER(MID(W185,4,1))="T","Trust",IF(UPPER(MID(W185,4,1))="A","AOP",IF(UPPER(MID(W185,4,1))="B","BOI",IF(UPPER(MID(W185,4,1))="J","AJP",IF(UPPER(MID(W185,4,1))="G","Government",""))))))))))),IF($B185="Challan","",IF(W185&lt;&gt;"","◄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IF($B186="Entry",IF(LEN(W186)&lt;4,"",IF(UPPER(MID(W186,4,1))="P","Individual",IF(UPPER(MID(W186,4,1))="H","HUF",IF(UPPER(MID(W186,4,1))="C","Company",IF(UPPER(MID(W186,4,1))="F","Firm/LLP",IF(UPPER(MID(W186,4,1))="L","Local Authority",IF(UPPER(MID(W186,4,1))="T","Trust",IF(UPPER(MID(W186,4,1))="A","AOP",IF(UPPER(MID(W186,4,1))="B","BOI",IF(UPPER(MID(W186,4,1))="J","AJP",IF(UPPER(MID(W186,4,1))="G","Government",""))))))))))),IF($B186="Challan","",IF(W186&lt;&gt;"","◄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IF($B187="Entry",IF(LEN(W187)&lt;4,"",IF(UPPER(MID(W187,4,1))="P","Individual",IF(UPPER(MID(W187,4,1))="H","HUF",IF(UPPER(MID(W187,4,1))="C","Company",IF(UPPER(MID(W187,4,1))="F","Firm/LLP",IF(UPPER(MID(W187,4,1))="L","Local Authority",IF(UPPER(MID(W187,4,1))="T","Trust",IF(UPPER(MID(W187,4,1))="A","AOP",IF(UPPER(MID(W187,4,1))="B","BOI",IF(UPPER(MID(W187,4,1))="J","AJP",IF(UPPER(MID(W187,4,1))="G","Government",""))))))))))),IF($B187="Challan","",IF(W187&lt;&gt;"","◄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IF($B188="Entry",IF(LEN(W188)&lt;4,"",IF(UPPER(MID(W188,4,1))="P","Individual",IF(UPPER(MID(W188,4,1))="H","HUF",IF(UPPER(MID(W188,4,1))="C","Company",IF(UPPER(MID(W188,4,1))="F","Firm/LLP",IF(UPPER(MID(W188,4,1))="L","Local Authority",IF(UPPER(MID(W188,4,1))="T","Trust",IF(UPPER(MID(W188,4,1))="A","AOP",IF(UPPER(MID(W188,4,1))="B","BOI",IF(UPPER(MID(W188,4,1))="J","AJP",IF(UPPER(MID(W188,4,1))="G","Government",""))))))))))),IF($B188="Challan","",IF(W188&lt;&gt;"","◄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IF($B189="Entry",IF(LEN(W189)&lt;4,"",IF(UPPER(MID(W189,4,1))="P","Individual",IF(UPPER(MID(W189,4,1))="H","HUF",IF(UPPER(MID(W189,4,1))="C","Company",IF(UPPER(MID(W189,4,1))="F","Firm/LLP",IF(UPPER(MID(W189,4,1))="L","Local Authority",IF(UPPER(MID(W189,4,1))="T","Trust",IF(UPPER(MID(W189,4,1))="A","AOP",IF(UPPER(MID(W189,4,1))="B","BOI",IF(UPPER(MID(W189,4,1))="J","AJP",IF(UPPER(MID(W189,4,1))="G","Government",""))))))))))),IF($B189="Challan","",IF(W189&lt;&gt;"","◄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IF($B190="Entry",IF(LEN(W190)&lt;4,"",IF(UPPER(MID(W190,4,1))="P","Individual",IF(UPPER(MID(W190,4,1))="H","HUF",IF(UPPER(MID(W190,4,1))="C","Company",IF(UPPER(MID(W190,4,1))="F","Firm/LLP",IF(UPPER(MID(W190,4,1))="L","Local Authority",IF(UPPER(MID(W190,4,1))="T","Trust",IF(UPPER(MID(W190,4,1))="A","AOP",IF(UPPER(MID(W190,4,1))="B","BOI",IF(UPPER(MID(W190,4,1))="J","AJP",IF(UPPER(MID(W190,4,1))="G","Government",""))))))))))),IF($B190="Challan","",IF(W190&lt;&gt;"","◄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IF($B191="Entry",IF(LEN(W191)&lt;4,"",IF(UPPER(MID(W191,4,1))="P","Individual",IF(UPPER(MID(W191,4,1))="H","HUF",IF(UPPER(MID(W191,4,1))="C","Company",IF(UPPER(MID(W191,4,1))="F","Firm/LLP",IF(UPPER(MID(W191,4,1))="L","Local Authority",IF(UPPER(MID(W191,4,1))="T","Trust",IF(UPPER(MID(W191,4,1))="A","AOP",IF(UPPER(MID(W191,4,1))="B","BOI",IF(UPPER(MID(W191,4,1))="J","AJP",IF(UPPER(MID(W191,4,1))="G","Government",""))))))))))),IF($B191="Challan","",IF(W191&lt;&gt;"","◄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IF($B192="Entry",IF(LEN(W192)&lt;4,"",IF(UPPER(MID(W192,4,1))="P","Individual",IF(UPPER(MID(W192,4,1))="H","HUF",IF(UPPER(MID(W192,4,1))="C","Company",IF(UPPER(MID(W192,4,1))="F","Firm/LLP",IF(UPPER(MID(W192,4,1))="L","Local Authority",IF(UPPER(MID(W192,4,1))="T","Trust",IF(UPPER(MID(W192,4,1))="A","AOP",IF(UPPER(MID(W192,4,1))="B","BOI",IF(UPPER(MID(W192,4,1))="J","AJP",IF(UPPER(MID(W192,4,1))="G","Government",""))))))))))),IF($B192="Challan","",IF(W192&lt;&gt;"","◄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IF($B193="Entry",IF(LEN(W193)&lt;4,"",IF(UPPER(MID(W193,4,1))="P","Individual",IF(UPPER(MID(W193,4,1))="H","HUF",IF(UPPER(MID(W193,4,1))="C","Company",IF(UPPER(MID(W193,4,1))="F","Firm/LLP",IF(UPPER(MID(W193,4,1))="L","Local Authority",IF(UPPER(MID(W193,4,1))="T","Trust",IF(UPPER(MID(W193,4,1))="A","AOP",IF(UPPER(MID(W193,4,1))="B","BOI",IF(UPPER(MID(W193,4,1))="J","AJP",IF(UPPER(MID(W193,4,1))="G","Government",""))))))))))),IF($B193="Challan","",IF(W193&lt;&gt;"","◄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IF($B194="Entry",IF(LEN(W194)&lt;4,"",IF(UPPER(MID(W194,4,1))="P","Individual",IF(UPPER(MID(W194,4,1))="H","HUF",IF(UPPER(MID(W194,4,1))="C","Company",IF(UPPER(MID(W194,4,1))="F","Firm/LLP",IF(UPPER(MID(W194,4,1))="L","Local Authority",IF(UPPER(MID(W194,4,1))="T","Trust",IF(UPPER(MID(W194,4,1))="A","AOP",IF(UPPER(MID(W194,4,1))="B","BOI",IF(UPPER(MID(W194,4,1))="J","AJP",IF(UPPER(MID(W194,4,1))="G","Government",""))))))))))),IF($B194="Challan","",IF(W194&lt;&gt;"","◄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IF($B195="Entry",IF(LEN(W195)&lt;4,"",IF(UPPER(MID(W195,4,1))="P","Individual",IF(UPPER(MID(W195,4,1))="H","HUF",IF(UPPER(MID(W195,4,1))="C","Company",IF(UPPER(MID(W195,4,1))="F","Firm/LLP",IF(UPPER(MID(W195,4,1))="L","Local Authority",IF(UPPER(MID(W195,4,1))="T","Trust",IF(UPPER(MID(W195,4,1))="A","AOP",IF(UPPER(MID(W195,4,1))="B","BOI",IF(UPPER(MID(W195,4,1))="J","AJP",IF(UPPER(MID(W195,4,1))="G","Government",""))))))))))),IF($B195="Challan","",IF(W195&lt;&gt;"","◄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IF($B196="Entry",IF(LEN(W196)&lt;4,"",IF(UPPER(MID(W196,4,1))="P","Individual",IF(UPPER(MID(W196,4,1))="H","HUF",IF(UPPER(MID(W196,4,1))="C","Company",IF(UPPER(MID(W196,4,1))="F","Firm/LLP",IF(UPPER(MID(W196,4,1))="L","Local Authority",IF(UPPER(MID(W196,4,1))="T","Trust",IF(UPPER(MID(W196,4,1))="A","AOP",IF(UPPER(MID(W196,4,1))="B","BOI",IF(UPPER(MID(W196,4,1))="J","AJP",IF(UPPER(MID(W196,4,1))="G","Government",""))))))))))),IF($B196="Challan","",IF(W196&lt;&gt;"","◄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IF($B197="Entry",IF(LEN(W197)&lt;4,"",IF(UPPER(MID(W197,4,1))="P","Individual",IF(UPPER(MID(W197,4,1))="H","HUF",IF(UPPER(MID(W197,4,1))="C","Company",IF(UPPER(MID(W197,4,1))="F","Firm/LLP",IF(UPPER(MID(W197,4,1))="L","Local Authority",IF(UPPER(MID(W197,4,1))="T","Trust",IF(UPPER(MID(W197,4,1))="A","AOP",IF(UPPER(MID(W197,4,1))="B","BOI",IF(UPPER(MID(W197,4,1))="J","AJP",IF(UPPER(MID(W197,4,1))="G","Government",""))))))))))),IF($B197="Challan","",IF(W197&lt;&gt;"","◄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IF($B198="Entry",IF(LEN(W198)&lt;4,"",IF(UPPER(MID(W198,4,1))="P","Individual",IF(UPPER(MID(W198,4,1))="H","HUF",IF(UPPER(MID(W198,4,1))="C","Company",IF(UPPER(MID(W198,4,1))="F","Firm/LLP",IF(UPPER(MID(W198,4,1))="L","Local Authority",IF(UPPER(MID(W198,4,1))="T","Trust",IF(UPPER(MID(W198,4,1))="A","AOP",IF(UPPER(MID(W198,4,1))="B","BOI",IF(UPPER(MID(W198,4,1))="J","AJP",IF(UPPER(MID(W198,4,1))="G","Government",""))))))))))),IF($B198="Challan","",IF(W198&lt;&gt;"","◄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IF($B199="Entry",IF(LEN(W199)&lt;4,"",IF(UPPER(MID(W199,4,1))="P","Individual",IF(UPPER(MID(W199,4,1))="H","HUF",IF(UPPER(MID(W199,4,1))="C","Company",IF(UPPER(MID(W199,4,1))="F","Firm/LLP",IF(UPPER(MID(W199,4,1))="L","Local Authority",IF(UPPER(MID(W199,4,1))="T","Trust",IF(UPPER(MID(W199,4,1))="A","AOP",IF(UPPER(MID(W199,4,1))="B","BOI",IF(UPPER(MID(W199,4,1))="J","AJP",IF(UPPER(MID(W199,4,1))="G","Government",""))))))))))),IF($B199="Challan","",IF(W199&lt;&gt;"","◄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IF($B200="Entry",IF(LEN(W200)&lt;4,"",IF(UPPER(MID(W200,4,1))="P","Individual",IF(UPPER(MID(W200,4,1))="H","HUF",IF(UPPER(MID(W200,4,1))="C","Company",IF(UPPER(MID(W200,4,1))="F","Firm/LLP",IF(UPPER(MID(W200,4,1))="L","Local Authority",IF(UPPER(MID(W200,4,1))="T","Trust",IF(UPPER(MID(W200,4,1))="A","AOP",IF(UPPER(MID(W200,4,1))="B","BOI",IF(UPPER(MID(W200,4,1))="J","AJP",IF(UPPER(MID(W200,4,1))="G","Government",""))))))))))),IF($B200="Challan","",IF(W200&lt;&gt;"","◄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IF($B201="Entry",IF(LEN(W201)&lt;4,"",IF(UPPER(MID(W201,4,1))="P","Individual",IF(UPPER(MID(W201,4,1))="H","HUF",IF(UPPER(MID(W201,4,1))="C","Company",IF(UPPER(MID(W201,4,1))="F","Firm/LLP",IF(UPPER(MID(W201,4,1))="L","Local Authority",IF(UPPER(MID(W201,4,1))="T","Trust",IF(UPPER(MID(W201,4,1))="A","AOP",IF(UPPER(MID(W201,4,1))="B","BOI",IF(UPPER(MID(W201,4,1))="J","AJP",IF(UPPER(MID(W201,4,1))="G","Government",""))))))))))),IF($B201="Challan","",IF(W201&lt;&gt;"","◄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IF($B202="Entry",IF(LEN(W202)&lt;4,"",IF(UPPER(MID(W202,4,1))="P","Individual",IF(UPPER(MID(W202,4,1))="H","HUF",IF(UPPER(MID(W202,4,1))="C","Company",IF(UPPER(MID(W202,4,1))="F","Firm/LLP",IF(UPPER(MID(W202,4,1))="L","Local Authority",IF(UPPER(MID(W202,4,1))="T","Trust",IF(UPPER(MID(W202,4,1))="A","AOP",IF(UPPER(MID(W202,4,1))="B","BOI",IF(UPPER(MID(W202,4,1))="J","AJP",IF(UPPER(MID(W202,4,1))="G","Government",""))))))))))),IF($B202="Challan","",IF(W202&lt;&gt;"","◄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IF($B203="Entry",IF(LEN(W203)&lt;4,"",IF(UPPER(MID(W203,4,1))="P","Individual",IF(UPPER(MID(W203,4,1))="H","HUF",IF(UPPER(MID(W203,4,1))="C","Company",IF(UPPER(MID(W203,4,1))="F","Firm/LLP",IF(UPPER(MID(W203,4,1))="L","Local Authority",IF(UPPER(MID(W203,4,1))="T","Trust",IF(UPPER(MID(W203,4,1))="A","AOP",IF(UPPER(MID(W203,4,1))="B","BOI",IF(UPPER(MID(W203,4,1))="J","AJP",IF(UPPER(MID(W203,4,1))="G","Government",""))))))))))),IF($B203="Challan","",IF(W203&lt;&gt;"","◄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IF($B204="Entry",IF(LEN(W204)&lt;4,"",IF(UPPER(MID(W204,4,1))="P","Individual",IF(UPPER(MID(W204,4,1))="H","HUF",IF(UPPER(MID(W204,4,1))="C","Company",IF(UPPER(MID(W204,4,1))="F","Firm/LLP",IF(UPPER(MID(W204,4,1))="L","Local Authority",IF(UPPER(MID(W204,4,1))="T","Trust",IF(UPPER(MID(W204,4,1))="A","AOP",IF(UPPER(MID(W204,4,1))="B","BOI",IF(UPPER(MID(W204,4,1))="J","AJP",IF(UPPER(MID(W204,4,1))="G","Government",""))))))))))),IF($B204="Challan","",IF(W204&lt;&gt;"","◄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IF($B205="Entry",IF(LEN(W205)&lt;4,"",IF(UPPER(MID(W205,4,1))="P","Individual",IF(UPPER(MID(W205,4,1))="H","HUF",IF(UPPER(MID(W205,4,1))="C","Company",IF(UPPER(MID(W205,4,1))="F","Firm/LLP",IF(UPPER(MID(W205,4,1))="L","Local Authority",IF(UPPER(MID(W205,4,1))="T","Trust",IF(UPPER(MID(W205,4,1))="A","AOP",IF(UPPER(MID(W205,4,1))="B","BOI",IF(UPPER(MID(W205,4,1))="J","AJP",IF(UPPER(MID(W205,4,1))="G","Government",""))))))))))),IF($B205="Challan","",IF(W205&lt;&gt;"","◄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IF($B206="Entry",IF(LEN(W206)&lt;4,"",IF(UPPER(MID(W206,4,1))="P","Individual",IF(UPPER(MID(W206,4,1))="H","HUF",IF(UPPER(MID(W206,4,1))="C","Company",IF(UPPER(MID(W206,4,1))="F","Firm/LLP",IF(UPPER(MID(W206,4,1))="L","Local Authority",IF(UPPER(MID(W206,4,1))="T","Trust",IF(UPPER(MID(W206,4,1))="A","AOP",IF(UPPER(MID(W206,4,1))="B","BOI",IF(UPPER(MID(W206,4,1))="J","AJP",IF(UPPER(MID(W206,4,1))="G","Government",""))))))))))),IF($B206="Challan","",IF(W206&lt;&gt;"","◄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IF($B207="Entry",IF(LEN(W207)&lt;4,"",IF(UPPER(MID(W207,4,1))="P","Individual",IF(UPPER(MID(W207,4,1))="H","HUF",IF(UPPER(MID(W207,4,1))="C","Company",IF(UPPER(MID(W207,4,1))="F","Firm/LLP",IF(UPPER(MID(W207,4,1))="L","Local Authority",IF(UPPER(MID(W207,4,1))="T","Trust",IF(UPPER(MID(W207,4,1))="A","AOP",IF(UPPER(MID(W207,4,1))="B","BOI",IF(UPPER(MID(W207,4,1))="J","AJP",IF(UPPER(MID(W207,4,1))="G","Government",""))))))))))),IF($B207="Challan","",IF(W207&lt;&gt;"","◄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9" priority="4">
      <formula>$B4="Challan"</formula>
    </cfRule>
  </conditionalFormatting>
  <conditionalFormatting sqref="A4:AP207">
    <cfRule type="expression" dxfId="10" priority="1">
      <formula>E4="Over-applied"</formula>
    </cfRule>
    <cfRule type="expression" dxfId="11" priority="2">
      <formula>E4="Fully Utilised"</formula>
    </cfRule>
    <cfRule type="expression" dxfId="12" priority="3">
      <formula>E4="Unconsumed"</formula>
    </cfRule>
  </conditionalFormatting>
  <conditionalFormatting sqref="Z4:Z207">
    <cfRule type="expression" dxfId="13" priority="5">
      <formula>AR4=TRUE</formula>
    </cfRule>
  </conditionalFormatting>
  <conditionalFormatting sqref="W4:W207">
    <cfRule type="expression" dxfId="14" priority="6">
      <formula>X4="Y"</formula>
    </cfRule>
  </conditionalFormatting>
  <conditionalFormatting sqref="X4:X207">
    <cfRule type="expression" dxfId="15" priority="7">
      <formula>X4="Y"</formula>
    </cfRule>
  </conditionalFormatting>
  <conditionalFormatting sqref="A2:AP2">
    <cfRule type="expression" dxfId="16" priority="8">
      <formula>ISNUMBER(SEARCH("VALIDATION FAILED",A2))</formula>
    </cfRule>
    <cfRule type="expression" dxfId="17"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for this Deductee Type" error="194C(a) is Individual/HUF only; 194C(b) is for every other deductee type. Pick the option matching this row's own Deductee Type (column Y)." sqref="Z4:Z207">
      <formula1>IF(OR($Y4="Individual",$Y4="HUF"),'Rate Lookup'!$F$1:$F$36,'Rate Lookup'!$G$1:$G$36)</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174</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IF($B4="Entry",IF(LEN(W4)&lt;4,"",IF(UPPER(MID(W4,4,1))="P","Individual",IF(UPPER(MID(W4,4,1))="H","HUF",IF(UPPER(MID(W4,4,1))="C","Company",IF(UPPER(MID(W4,4,1))="F","Firm/LLP",IF(UPPER(MID(W4,4,1))="L","Local Authority",IF(UPPER(MID(W4,4,1))="T","Trust",IF(UPPER(MID(W4,4,1))="A","AOP",IF(UPPER(MID(W4,4,1))="B","BOI",IF(UPPER(MID(W4,4,1))="J","AJP",IF(UPPER(MID(W4,4,1))="G","Government",""))))))))))),IF($B4="Challan","",IF(W4&lt;&gt;"","◄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IF($B5="Entry",IF(LEN(W5)&lt;4,"",IF(UPPER(MID(W5,4,1))="P","Individual",IF(UPPER(MID(W5,4,1))="H","HUF",IF(UPPER(MID(W5,4,1))="C","Company",IF(UPPER(MID(W5,4,1))="F","Firm/LLP",IF(UPPER(MID(W5,4,1))="L","Local Authority",IF(UPPER(MID(W5,4,1))="T","Trust",IF(UPPER(MID(W5,4,1))="A","AOP",IF(UPPER(MID(W5,4,1))="B","BOI",IF(UPPER(MID(W5,4,1))="J","AJP",IF(UPPER(MID(W5,4,1))="G","Government",""))))))))))),IF($B5="Challan","",IF(W5&lt;&gt;"","◄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IF($B6="Entry",IF(LEN(W6)&lt;4,"",IF(UPPER(MID(W6,4,1))="P","Individual",IF(UPPER(MID(W6,4,1))="H","HUF",IF(UPPER(MID(W6,4,1))="C","Company",IF(UPPER(MID(W6,4,1))="F","Firm/LLP",IF(UPPER(MID(W6,4,1))="L","Local Authority",IF(UPPER(MID(W6,4,1))="T","Trust",IF(UPPER(MID(W6,4,1))="A","AOP",IF(UPPER(MID(W6,4,1))="B","BOI",IF(UPPER(MID(W6,4,1))="J","AJP",IF(UPPER(MID(W6,4,1))="G","Government",""))))))))))),IF($B6="Challan","",IF(W6&lt;&gt;"","◄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IF($B7="Entry",IF(LEN(W7)&lt;4,"",IF(UPPER(MID(W7,4,1))="P","Individual",IF(UPPER(MID(W7,4,1))="H","HUF",IF(UPPER(MID(W7,4,1))="C","Company",IF(UPPER(MID(W7,4,1))="F","Firm/LLP",IF(UPPER(MID(W7,4,1))="L","Local Authority",IF(UPPER(MID(W7,4,1))="T","Trust",IF(UPPER(MID(W7,4,1))="A","AOP",IF(UPPER(MID(W7,4,1))="B","BOI",IF(UPPER(MID(W7,4,1))="J","AJP",IF(UPPER(MID(W7,4,1))="G","Government",""))))))))))),IF($B7="Challan","",IF(W7&lt;&gt;"","◄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IF($B8="Entry",IF(LEN(W8)&lt;4,"",IF(UPPER(MID(W8,4,1))="P","Individual",IF(UPPER(MID(W8,4,1))="H","HUF",IF(UPPER(MID(W8,4,1))="C","Company",IF(UPPER(MID(W8,4,1))="F","Firm/LLP",IF(UPPER(MID(W8,4,1))="L","Local Authority",IF(UPPER(MID(W8,4,1))="T","Trust",IF(UPPER(MID(W8,4,1))="A","AOP",IF(UPPER(MID(W8,4,1))="B","BOI",IF(UPPER(MID(W8,4,1))="J","AJP",IF(UPPER(MID(W8,4,1))="G","Government",""))))))))))),IF($B8="Challan","",IF(W8&lt;&gt;"","◄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IF($B9="Entry",IF(LEN(W9)&lt;4,"",IF(UPPER(MID(W9,4,1))="P","Individual",IF(UPPER(MID(W9,4,1))="H","HUF",IF(UPPER(MID(W9,4,1))="C","Company",IF(UPPER(MID(W9,4,1))="F","Firm/LLP",IF(UPPER(MID(W9,4,1))="L","Local Authority",IF(UPPER(MID(W9,4,1))="T","Trust",IF(UPPER(MID(W9,4,1))="A","AOP",IF(UPPER(MID(W9,4,1))="B","BOI",IF(UPPER(MID(W9,4,1))="J","AJP",IF(UPPER(MID(W9,4,1))="G","Government",""))))))))))),IF($B9="Challan","",IF(W9&lt;&gt;"","◄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IF($B10="Entry",IF(LEN(W10)&lt;4,"",IF(UPPER(MID(W10,4,1))="P","Individual",IF(UPPER(MID(W10,4,1))="H","HUF",IF(UPPER(MID(W10,4,1))="C","Company",IF(UPPER(MID(W10,4,1))="F","Firm/LLP",IF(UPPER(MID(W10,4,1))="L","Local Authority",IF(UPPER(MID(W10,4,1))="T","Trust",IF(UPPER(MID(W10,4,1))="A","AOP",IF(UPPER(MID(W10,4,1))="B","BOI",IF(UPPER(MID(W10,4,1))="J","AJP",IF(UPPER(MID(W10,4,1))="G","Government",""))))))))))),IF($B10="Challan","",IF(W10&lt;&gt;"","◄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IF($B11="Entry",IF(LEN(W11)&lt;4,"",IF(UPPER(MID(W11,4,1))="P","Individual",IF(UPPER(MID(W11,4,1))="H","HUF",IF(UPPER(MID(W11,4,1))="C","Company",IF(UPPER(MID(W11,4,1))="F","Firm/LLP",IF(UPPER(MID(W11,4,1))="L","Local Authority",IF(UPPER(MID(W11,4,1))="T","Trust",IF(UPPER(MID(W11,4,1))="A","AOP",IF(UPPER(MID(W11,4,1))="B","BOI",IF(UPPER(MID(W11,4,1))="J","AJP",IF(UPPER(MID(W11,4,1))="G","Government",""))))))))))),IF($B11="Challan","",IF(W11&lt;&gt;"","◄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IF($B12="Entry",IF(LEN(W12)&lt;4,"",IF(UPPER(MID(W12,4,1))="P","Individual",IF(UPPER(MID(W12,4,1))="H","HUF",IF(UPPER(MID(W12,4,1))="C","Company",IF(UPPER(MID(W12,4,1))="F","Firm/LLP",IF(UPPER(MID(W12,4,1))="L","Local Authority",IF(UPPER(MID(W12,4,1))="T","Trust",IF(UPPER(MID(W12,4,1))="A","AOP",IF(UPPER(MID(W12,4,1))="B","BOI",IF(UPPER(MID(W12,4,1))="J","AJP",IF(UPPER(MID(W12,4,1))="G","Government",""))))))))))),IF($B12="Challan","",IF(W12&lt;&gt;"","◄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IF($B13="Entry",IF(LEN(W13)&lt;4,"",IF(UPPER(MID(W13,4,1))="P","Individual",IF(UPPER(MID(W13,4,1))="H","HUF",IF(UPPER(MID(W13,4,1))="C","Company",IF(UPPER(MID(W13,4,1))="F","Firm/LLP",IF(UPPER(MID(W13,4,1))="L","Local Authority",IF(UPPER(MID(W13,4,1))="T","Trust",IF(UPPER(MID(W13,4,1))="A","AOP",IF(UPPER(MID(W13,4,1))="B","BOI",IF(UPPER(MID(W13,4,1))="J","AJP",IF(UPPER(MID(W13,4,1))="G","Government",""))))))))))),IF($B13="Challan","",IF(W13&lt;&gt;"","◄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IF($B14="Entry",IF(LEN(W14)&lt;4,"",IF(UPPER(MID(W14,4,1))="P","Individual",IF(UPPER(MID(W14,4,1))="H","HUF",IF(UPPER(MID(W14,4,1))="C","Company",IF(UPPER(MID(W14,4,1))="F","Firm/LLP",IF(UPPER(MID(W14,4,1))="L","Local Authority",IF(UPPER(MID(W14,4,1))="T","Trust",IF(UPPER(MID(W14,4,1))="A","AOP",IF(UPPER(MID(W14,4,1))="B","BOI",IF(UPPER(MID(W14,4,1))="J","AJP",IF(UPPER(MID(W14,4,1))="G","Government",""))))))))))),IF($B14="Challan","",IF(W14&lt;&gt;"","◄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IF($B15="Entry",IF(LEN(W15)&lt;4,"",IF(UPPER(MID(W15,4,1))="P","Individual",IF(UPPER(MID(W15,4,1))="H","HUF",IF(UPPER(MID(W15,4,1))="C","Company",IF(UPPER(MID(W15,4,1))="F","Firm/LLP",IF(UPPER(MID(W15,4,1))="L","Local Authority",IF(UPPER(MID(W15,4,1))="T","Trust",IF(UPPER(MID(W15,4,1))="A","AOP",IF(UPPER(MID(W15,4,1))="B","BOI",IF(UPPER(MID(W15,4,1))="J","AJP",IF(UPPER(MID(W15,4,1))="G","Government",""))))))))))),IF($B15="Challan","",IF(W15&lt;&gt;"","◄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IF($B16="Entry",IF(LEN(W16)&lt;4,"",IF(UPPER(MID(W16,4,1))="P","Individual",IF(UPPER(MID(W16,4,1))="H","HUF",IF(UPPER(MID(W16,4,1))="C","Company",IF(UPPER(MID(W16,4,1))="F","Firm/LLP",IF(UPPER(MID(W16,4,1))="L","Local Authority",IF(UPPER(MID(W16,4,1))="T","Trust",IF(UPPER(MID(W16,4,1))="A","AOP",IF(UPPER(MID(W16,4,1))="B","BOI",IF(UPPER(MID(W16,4,1))="J","AJP",IF(UPPER(MID(W16,4,1))="G","Government",""))))))))))),IF($B16="Challan","",IF(W16&lt;&gt;"","◄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IF($B17="Entry",IF(LEN(W17)&lt;4,"",IF(UPPER(MID(W17,4,1))="P","Individual",IF(UPPER(MID(W17,4,1))="H","HUF",IF(UPPER(MID(W17,4,1))="C","Company",IF(UPPER(MID(W17,4,1))="F","Firm/LLP",IF(UPPER(MID(W17,4,1))="L","Local Authority",IF(UPPER(MID(W17,4,1))="T","Trust",IF(UPPER(MID(W17,4,1))="A","AOP",IF(UPPER(MID(W17,4,1))="B","BOI",IF(UPPER(MID(W17,4,1))="J","AJP",IF(UPPER(MID(W17,4,1))="G","Government",""))))))))))),IF($B17="Challan","",IF(W17&lt;&gt;"","◄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IF($B18="Entry",IF(LEN(W18)&lt;4,"",IF(UPPER(MID(W18,4,1))="P","Individual",IF(UPPER(MID(W18,4,1))="H","HUF",IF(UPPER(MID(W18,4,1))="C","Company",IF(UPPER(MID(W18,4,1))="F","Firm/LLP",IF(UPPER(MID(W18,4,1))="L","Local Authority",IF(UPPER(MID(W18,4,1))="T","Trust",IF(UPPER(MID(W18,4,1))="A","AOP",IF(UPPER(MID(W18,4,1))="B","BOI",IF(UPPER(MID(W18,4,1))="J","AJP",IF(UPPER(MID(W18,4,1))="G","Government",""))))))))))),IF($B18="Challan","",IF(W18&lt;&gt;"","◄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IF($B19="Entry",IF(LEN(W19)&lt;4,"",IF(UPPER(MID(W19,4,1))="P","Individual",IF(UPPER(MID(W19,4,1))="H","HUF",IF(UPPER(MID(W19,4,1))="C","Company",IF(UPPER(MID(W19,4,1))="F","Firm/LLP",IF(UPPER(MID(W19,4,1))="L","Local Authority",IF(UPPER(MID(W19,4,1))="T","Trust",IF(UPPER(MID(W19,4,1))="A","AOP",IF(UPPER(MID(W19,4,1))="B","BOI",IF(UPPER(MID(W19,4,1))="J","AJP",IF(UPPER(MID(W19,4,1))="G","Government",""))))))))))),IF($B19="Challan","",IF(W19&lt;&gt;"","◄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IF($B20="Entry",IF(LEN(W20)&lt;4,"",IF(UPPER(MID(W20,4,1))="P","Individual",IF(UPPER(MID(W20,4,1))="H","HUF",IF(UPPER(MID(W20,4,1))="C","Company",IF(UPPER(MID(W20,4,1))="F","Firm/LLP",IF(UPPER(MID(W20,4,1))="L","Local Authority",IF(UPPER(MID(W20,4,1))="T","Trust",IF(UPPER(MID(W20,4,1))="A","AOP",IF(UPPER(MID(W20,4,1))="B","BOI",IF(UPPER(MID(W20,4,1))="J","AJP",IF(UPPER(MID(W20,4,1))="G","Government",""))))))))))),IF($B20="Challan","",IF(W20&lt;&gt;"","◄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IF($B21="Entry",IF(LEN(W21)&lt;4,"",IF(UPPER(MID(W21,4,1))="P","Individual",IF(UPPER(MID(W21,4,1))="H","HUF",IF(UPPER(MID(W21,4,1))="C","Company",IF(UPPER(MID(W21,4,1))="F","Firm/LLP",IF(UPPER(MID(W21,4,1))="L","Local Authority",IF(UPPER(MID(W21,4,1))="T","Trust",IF(UPPER(MID(W21,4,1))="A","AOP",IF(UPPER(MID(W21,4,1))="B","BOI",IF(UPPER(MID(W21,4,1))="J","AJP",IF(UPPER(MID(W21,4,1))="G","Government",""))))))))))),IF($B21="Challan","",IF(W21&lt;&gt;"","◄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IF($B22="Entry",IF(LEN(W22)&lt;4,"",IF(UPPER(MID(W22,4,1))="P","Individual",IF(UPPER(MID(W22,4,1))="H","HUF",IF(UPPER(MID(W22,4,1))="C","Company",IF(UPPER(MID(W22,4,1))="F","Firm/LLP",IF(UPPER(MID(W22,4,1))="L","Local Authority",IF(UPPER(MID(W22,4,1))="T","Trust",IF(UPPER(MID(W22,4,1))="A","AOP",IF(UPPER(MID(W22,4,1))="B","BOI",IF(UPPER(MID(W22,4,1))="J","AJP",IF(UPPER(MID(W22,4,1))="G","Government",""))))))))))),IF($B22="Challan","",IF(W22&lt;&gt;"","◄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IF($B23="Entry",IF(LEN(W23)&lt;4,"",IF(UPPER(MID(W23,4,1))="P","Individual",IF(UPPER(MID(W23,4,1))="H","HUF",IF(UPPER(MID(W23,4,1))="C","Company",IF(UPPER(MID(W23,4,1))="F","Firm/LLP",IF(UPPER(MID(W23,4,1))="L","Local Authority",IF(UPPER(MID(W23,4,1))="T","Trust",IF(UPPER(MID(W23,4,1))="A","AOP",IF(UPPER(MID(W23,4,1))="B","BOI",IF(UPPER(MID(W23,4,1))="J","AJP",IF(UPPER(MID(W23,4,1))="G","Government",""))))))))))),IF($B23="Challan","",IF(W23&lt;&gt;"","◄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IF($B24="Entry",IF(LEN(W24)&lt;4,"",IF(UPPER(MID(W24,4,1))="P","Individual",IF(UPPER(MID(W24,4,1))="H","HUF",IF(UPPER(MID(W24,4,1))="C","Company",IF(UPPER(MID(W24,4,1))="F","Firm/LLP",IF(UPPER(MID(W24,4,1))="L","Local Authority",IF(UPPER(MID(W24,4,1))="T","Trust",IF(UPPER(MID(W24,4,1))="A","AOP",IF(UPPER(MID(W24,4,1))="B","BOI",IF(UPPER(MID(W24,4,1))="J","AJP",IF(UPPER(MID(W24,4,1))="G","Government",""))))))))))),IF($B24="Challan","",IF(W24&lt;&gt;"","◄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IF($B25="Entry",IF(LEN(W25)&lt;4,"",IF(UPPER(MID(W25,4,1))="P","Individual",IF(UPPER(MID(W25,4,1))="H","HUF",IF(UPPER(MID(W25,4,1))="C","Company",IF(UPPER(MID(W25,4,1))="F","Firm/LLP",IF(UPPER(MID(W25,4,1))="L","Local Authority",IF(UPPER(MID(W25,4,1))="T","Trust",IF(UPPER(MID(W25,4,1))="A","AOP",IF(UPPER(MID(W25,4,1))="B","BOI",IF(UPPER(MID(W25,4,1))="J","AJP",IF(UPPER(MID(W25,4,1))="G","Government",""))))))))))),IF($B25="Challan","",IF(W25&lt;&gt;"","◄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IF($B26="Entry",IF(LEN(W26)&lt;4,"",IF(UPPER(MID(W26,4,1))="P","Individual",IF(UPPER(MID(W26,4,1))="H","HUF",IF(UPPER(MID(W26,4,1))="C","Company",IF(UPPER(MID(W26,4,1))="F","Firm/LLP",IF(UPPER(MID(W26,4,1))="L","Local Authority",IF(UPPER(MID(W26,4,1))="T","Trust",IF(UPPER(MID(W26,4,1))="A","AOP",IF(UPPER(MID(W26,4,1))="B","BOI",IF(UPPER(MID(W26,4,1))="J","AJP",IF(UPPER(MID(W26,4,1))="G","Government",""))))))))))),IF($B26="Challan","",IF(W26&lt;&gt;"","◄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IF($B27="Entry",IF(LEN(W27)&lt;4,"",IF(UPPER(MID(W27,4,1))="P","Individual",IF(UPPER(MID(W27,4,1))="H","HUF",IF(UPPER(MID(W27,4,1))="C","Company",IF(UPPER(MID(W27,4,1))="F","Firm/LLP",IF(UPPER(MID(W27,4,1))="L","Local Authority",IF(UPPER(MID(W27,4,1))="T","Trust",IF(UPPER(MID(W27,4,1))="A","AOP",IF(UPPER(MID(W27,4,1))="B","BOI",IF(UPPER(MID(W27,4,1))="J","AJP",IF(UPPER(MID(W27,4,1))="G","Government",""))))))))))),IF($B27="Challan","",IF(W27&lt;&gt;"","◄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IF($B28="Entry",IF(LEN(W28)&lt;4,"",IF(UPPER(MID(W28,4,1))="P","Individual",IF(UPPER(MID(W28,4,1))="H","HUF",IF(UPPER(MID(W28,4,1))="C","Company",IF(UPPER(MID(W28,4,1))="F","Firm/LLP",IF(UPPER(MID(W28,4,1))="L","Local Authority",IF(UPPER(MID(W28,4,1))="T","Trust",IF(UPPER(MID(W28,4,1))="A","AOP",IF(UPPER(MID(W28,4,1))="B","BOI",IF(UPPER(MID(W28,4,1))="J","AJP",IF(UPPER(MID(W28,4,1))="G","Government",""))))))))))),IF($B28="Challan","",IF(W28&lt;&gt;"","◄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IF($B29="Entry",IF(LEN(W29)&lt;4,"",IF(UPPER(MID(W29,4,1))="P","Individual",IF(UPPER(MID(W29,4,1))="H","HUF",IF(UPPER(MID(W29,4,1))="C","Company",IF(UPPER(MID(W29,4,1))="F","Firm/LLP",IF(UPPER(MID(W29,4,1))="L","Local Authority",IF(UPPER(MID(W29,4,1))="T","Trust",IF(UPPER(MID(W29,4,1))="A","AOP",IF(UPPER(MID(W29,4,1))="B","BOI",IF(UPPER(MID(W29,4,1))="J","AJP",IF(UPPER(MID(W29,4,1))="G","Government",""))))))))))),IF($B29="Challan","",IF(W29&lt;&gt;"","◄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IF($B30="Entry",IF(LEN(W30)&lt;4,"",IF(UPPER(MID(W30,4,1))="P","Individual",IF(UPPER(MID(W30,4,1))="H","HUF",IF(UPPER(MID(W30,4,1))="C","Company",IF(UPPER(MID(W30,4,1))="F","Firm/LLP",IF(UPPER(MID(W30,4,1))="L","Local Authority",IF(UPPER(MID(W30,4,1))="T","Trust",IF(UPPER(MID(W30,4,1))="A","AOP",IF(UPPER(MID(W30,4,1))="B","BOI",IF(UPPER(MID(W30,4,1))="J","AJP",IF(UPPER(MID(W30,4,1))="G","Government",""))))))))))),IF($B30="Challan","",IF(W30&lt;&gt;"","◄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IF($B31="Entry",IF(LEN(W31)&lt;4,"",IF(UPPER(MID(W31,4,1))="P","Individual",IF(UPPER(MID(W31,4,1))="H","HUF",IF(UPPER(MID(W31,4,1))="C","Company",IF(UPPER(MID(W31,4,1))="F","Firm/LLP",IF(UPPER(MID(W31,4,1))="L","Local Authority",IF(UPPER(MID(W31,4,1))="T","Trust",IF(UPPER(MID(W31,4,1))="A","AOP",IF(UPPER(MID(W31,4,1))="B","BOI",IF(UPPER(MID(W31,4,1))="J","AJP",IF(UPPER(MID(W31,4,1))="G","Government",""))))))))))),IF($B31="Challan","",IF(W31&lt;&gt;"","◄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IF($B32="Entry",IF(LEN(W32)&lt;4,"",IF(UPPER(MID(W32,4,1))="P","Individual",IF(UPPER(MID(W32,4,1))="H","HUF",IF(UPPER(MID(W32,4,1))="C","Company",IF(UPPER(MID(W32,4,1))="F","Firm/LLP",IF(UPPER(MID(W32,4,1))="L","Local Authority",IF(UPPER(MID(W32,4,1))="T","Trust",IF(UPPER(MID(W32,4,1))="A","AOP",IF(UPPER(MID(W32,4,1))="B","BOI",IF(UPPER(MID(W32,4,1))="J","AJP",IF(UPPER(MID(W32,4,1))="G","Government",""))))))))))),IF($B32="Challan","",IF(W32&lt;&gt;"","◄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IF($B33="Entry",IF(LEN(W33)&lt;4,"",IF(UPPER(MID(W33,4,1))="P","Individual",IF(UPPER(MID(W33,4,1))="H","HUF",IF(UPPER(MID(W33,4,1))="C","Company",IF(UPPER(MID(W33,4,1))="F","Firm/LLP",IF(UPPER(MID(W33,4,1))="L","Local Authority",IF(UPPER(MID(W33,4,1))="T","Trust",IF(UPPER(MID(W33,4,1))="A","AOP",IF(UPPER(MID(W33,4,1))="B","BOI",IF(UPPER(MID(W33,4,1))="J","AJP",IF(UPPER(MID(W33,4,1))="G","Government",""))))))))))),IF($B33="Challan","",IF(W33&lt;&gt;"","◄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IF($B34="Entry",IF(LEN(W34)&lt;4,"",IF(UPPER(MID(W34,4,1))="P","Individual",IF(UPPER(MID(W34,4,1))="H","HUF",IF(UPPER(MID(W34,4,1))="C","Company",IF(UPPER(MID(W34,4,1))="F","Firm/LLP",IF(UPPER(MID(W34,4,1))="L","Local Authority",IF(UPPER(MID(W34,4,1))="T","Trust",IF(UPPER(MID(W34,4,1))="A","AOP",IF(UPPER(MID(W34,4,1))="B","BOI",IF(UPPER(MID(W34,4,1))="J","AJP",IF(UPPER(MID(W34,4,1))="G","Government",""))))))))))),IF($B34="Challan","",IF(W34&lt;&gt;"","◄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IF($B35="Entry",IF(LEN(W35)&lt;4,"",IF(UPPER(MID(W35,4,1))="P","Individual",IF(UPPER(MID(W35,4,1))="H","HUF",IF(UPPER(MID(W35,4,1))="C","Company",IF(UPPER(MID(W35,4,1))="F","Firm/LLP",IF(UPPER(MID(W35,4,1))="L","Local Authority",IF(UPPER(MID(W35,4,1))="T","Trust",IF(UPPER(MID(W35,4,1))="A","AOP",IF(UPPER(MID(W35,4,1))="B","BOI",IF(UPPER(MID(W35,4,1))="J","AJP",IF(UPPER(MID(W35,4,1))="G","Government",""))))))))))),IF($B35="Challan","",IF(W35&lt;&gt;"","◄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IF($B36="Entry",IF(LEN(W36)&lt;4,"",IF(UPPER(MID(W36,4,1))="P","Individual",IF(UPPER(MID(W36,4,1))="H","HUF",IF(UPPER(MID(W36,4,1))="C","Company",IF(UPPER(MID(W36,4,1))="F","Firm/LLP",IF(UPPER(MID(W36,4,1))="L","Local Authority",IF(UPPER(MID(W36,4,1))="T","Trust",IF(UPPER(MID(W36,4,1))="A","AOP",IF(UPPER(MID(W36,4,1))="B","BOI",IF(UPPER(MID(W36,4,1))="J","AJP",IF(UPPER(MID(W36,4,1))="G","Government",""))))))))))),IF($B36="Challan","",IF(W36&lt;&gt;"","◄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IF($B37="Entry",IF(LEN(W37)&lt;4,"",IF(UPPER(MID(W37,4,1))="P","Individual",IF(UPPER(MID(W37,4,1))="H","HUF",IF(UPPER(MID(W37,4,1))="C","Company",IF(UPPER(MID(W37,4,1))="F","Firm/LLP",IF(UPPER(MID(W37,4,1))="L","Local Authority",IF(UPPER(MID(W37,4,1))="T","Trust",IF(UPPER(MID(W37,4,1))="A","AOP",IF(UPPER(MID(W37,4,1))="B","BOI",IF(UPPER(MID(W37,4,1))="J","AJP",IF(UPPER(MID(W37,4,1))="G","Government",""))))))))))),IF($B37="Challan","",IF(W37&lt;&gt;"","◄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IF($B38="Entry",IF(LEN(W38)&lt;4,"",IF(UPPER(MID(W38,4,1))="P","Individual",IF(UPPER(MID(W38,4,1))="H","HUF",IF(UPPER(MID(W38,4,1))="C","Company",IF(UPPER(MID(W38,4,1))="F","Firm/LLP",IF(UPPER(MID(W38,4,1))="L","Local Authority",IF(UPPER(MID(W38,4,1))="T","Trust",IF(UPPER(MID(W38,4,1))="A","AOP",IF(UPPER(MID(W38,4,1))="B","BOI",IF(UPPER(MID(W38,4,1))="J","AJP",IF(UPPER(MID(W38,4,1))="G","Government",""))))))))))),IF($B38="Challan","",IF(W38&lt;&gt;"","◄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IF($B39="Entry",IF(LEN(W39)&lt;4,"",IF(UPPER(MID(W39,4,1))="P","Individual",IF(UPPER(MID(W39,4,1))="H","HUF",IF(UPPER(MID(W39,4,1))="C","Company",IF(UPPER(MID(W39,4,1))="F","Firm/LLP",IF(UPPER(MID(W39,4,1))="L","Local Authority",IF(UPPER(MID(W39,4,1))="T","Trust",IF(UPPER(MID(W39,4,1))="A","AOP",IF(UPPER(MID(W39,4,1))="B","BOI",IF(UPPER(MID(W39,4,1))="J","AJP",IF(UPPER(MID(W39,4,1))="G","Government",""))))))))))),IF($B39="Challan","",IF(W39&lt;&gt;"","◄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IF($B40="Entry",IF(LEN(W40)&lt;4,"",IF(UPPER(MID(W40,4,1))="P","Individual",IF(UPPER(MID(W40,4,1))="H","HUF",IF(UPPER(MID(W40,4,1))="C","Company",IF(UPPER(MID(W40,4,1))="F","Firm/LLP",IF(UPPER(MID(W40,4,1))="L","Local Authority",IF(UPPER(MID(W40,4,1))="T","Trust",IF(UPPER(MID(W40,4,1))="A","AOP",IF(UPPER(MID(W40,4,1))="B","BOI",IF(UPPER(MID(W40,4,1))="J","AJP",IF(UPPER(MID(W40,4,1))="G","Government",""))))))))))),IF($B40="Challan","",IF(W40&lt;&gt;"","◄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IF($B41="Entry",IF(LEN(W41)&lt;4,"",IF(UPPER(MID(W41,4,1))="P","Individual",IF(UPPER(MID(W41,4,1))="H","HUF",IF(UPPER(MID(W41,4,1))="C","Company",IF(UPPER(MID(W41,4,1))="F","Firm/LLP",IF(UPPER(MID(W41,4,1))="L","Local Authority",IF(UPPER(MID(W41,4,1))="T","Trust",IF(UPPER(MID(W41,4,1))="A","AOP",IF(UPPER(MID(W41,4,1))="B","BOI",IF(UPPER(MID(W41,4,1))="J","AJP",IF(UPPER(MID(W41,4,1))="G","Government",""))))))))))),IF($B41="Challan","",IF(W41&lt;&gt;"","◄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IF($B42="Entry",IF(LEN(W42)&lt;4,"",IF(UPPER(MID(W42,4,1))="P","Individual",IF(UPPER(MID(W42,4,1))="H","HUF",IF(UPPER(MID(W42,4,1))="C","Company",IF(UPPER(MID(W42,4,1))="F","Firm/LLP",IF(UPPER(MID(W42,4,1))="L","Local Authority",IF(UPPER(MID(W42,4,1))="T","Trust",IF(UPPER(MID(W42,4,1))="A","AOP",IF(UPPER(MID(W42,4,1))="B","BOI",IF(UPPER(MID(W42,4,1))="J","AJP",IF(UPPER(MID(W42,4,1))="G","Government",""))))))))))),IF($B42="Challan","",IF(W42&lt;&gt;"","◄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IF($B43="Entry",IF(LEN(W43)&lt;4,"",IF(UPPER(MID(W43,4,1))="P","Individual",IF(UPPER(MID(W43,4,1))="H","HUF",IF(UPPER(MID(W43,4,1))="C","Company",IF(UPPER(MID(W43,4,1))="F","Firm/LLP",IF(UPPER(MID(W43,4,1))="L","Local Authority",IF(UPPER(MID(W43,4,1))="T","Trust",IF(UPPER(MID(W43,4,1))="A","AOP",IF(UPPER(MID(W43,4,1))="B","BOI",IF(UPPER(MID(W43,4,1))="J","AJP",IF(UPPER(MID(W43,4,1))="G","Government",""))))))))))),IF($B43="Challan","",IF(W43&lt;&gt;"","◄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IF($B44="Entry",IF(LEN(W44)&lt;4,"",IF(UPPER(MID(W44,4,1))="P","Individual",IF(UPPER(MID(W44,4,1))="H","HUF",IF(UPPER(MID(W44,4,1))="C","Company",IF(UPPER(MID(W44,4,1))="F","Firm/LLP",IF(UPPER(MID(W44,4,1))="L","Local Authority",IF(UPPER(MID(W44,4,1))="T","Trust",IF(UPPER(MID(W44,4,1))="A","AOP",IF(UPPER(MID(W44,4,1))="B","BOI",IF(UPPER(MID(W44,4,1))="J","AJP",IF(UPPER(MID(W44,4,1))="G","Government",""))))))))))),IF($B44="Challan","",IF(W44&lt;&gt;"","◄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IF($B45="Entry",IF(LEN(W45)&lt;4,"",IF(UPPER(MID(W45,4,1))="P","Individual",IF(UPPER(MID(W45,4,1))="H","HUF",IF(UPPER(MID(W45,4,1))="C","Company",IF(UPPER(MID(W45,4,1))="F","Firm/LLP",IF(UPPER(MID(W45,4,1))="L","Local Authority",IF(UPPER(MID(W45,4,1))="T","Trust",IF(UPPER(MID(W45,4,1))="A","AOP",IF(UPPER(MID(W45,4,1))="B","BOI",IF(UPPER(MID(W45,4,1))="J","AJP",IF(UPPER(MID(W45,4,1))="G","Government",""))))))))))),IF($B45="Challan","",IF(W45&lt;&gt;"","◄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IF($B46="Entry",IF(LEN(W46)&lt;4,"",IF(UPPER(MID(W46,4,1))="P","Individual",IF(UPPER(MID(W46,4,1))="H","HUF",IF(UPPER(MID(W46,4,1))="C","Company",IF(UPPER(MID(W46,4,1))="F","Firm/LLP",IF(UPPER(MID(W46,4,1))="L","Local Authority",IF(UPPER(MID(W46,4,1))="T","Trust",IF(UPPER(MID(W46,4,1))="A","AOP",IF(UPPER(MID(W46,4,1))="B","BOI",IF(UPPER(MID(W46,4,1))="J","AJP",IF(UPPER(MID(W46,4,1))="G","Government",""))))))))))),IF($B46="Challan","",IF(W46&lt;&gt;"","◄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IF($B47="Entry",IF(LEN(W47)&lt;4,"",IF(UPPER(MID(W47,4,1))="P","Individual",IF(UPPER(MID(W47,4,1))="H","HUF",IF(UPPER(MID(W47,4,1))="C","Company",IF(UPPER(MID(W47,4,1))="F","Firm/LLP",IF(UPPER(MID(W47,4,1))="L","Local Authority",IF(UPPER(MID(W47,4,1))="T","Trust",IF(UPPER(MID(W47,4,1))="A","AOP",IF(UPPER(MID(W47,4,1))="B","BOI",IF(UPPER(MID(W47,4,1))="J","AJP",IF(UPPER(MID(W47,4,1))="G","Government",""))))))))))),IF($B47="Challan","",IF(W47&lt;&gt;"","◄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IF($B48="Entry",IF(LEN(W48)&lt;4,"",IF(UPPER(MID(W48,4,1))="P","Individual",IF(UPPER(MID(W48,4,1))="H","HUF",IF(UPPER(MID(W48,4,1))="C","Company",IF(UPPER(MID(W48,4,1))="F","Firm/LLP",IF(UPPER(MID(W48,4,1))="L","Local Authority",IF(UPPER(MID(W48,4,1))="T","Trust",IF(UPPER(MID(W48,4,1))="A","AOP",IF(UPPER(MID(W48,4,1))="B","BOI",IF(UPPER(MID(W48,4,1))="J","AJP",IF(UPPER(MID(W48,4,1))="G","Government",""))))))))))),IF($B48="Challan","",IF(W48&lt;&gt;"","◄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IF($B49="Entry",IF(LEN(W49)&lt;4,"",IF(UPPER(MID(W49,4,1))="P","Individual",IF(UPPER(MID(W49,4,1))="H","HUF",IF(UPPER(MID(W49,4,1))="C","Company",IF(UPPER(MID(W49,4,1))="F","Firm/LLP",IF(UPPER(MID(W49,4,1))="L","Local Authority",IF(UPPER(MID(W49,4,1))="T","Trust",IF(UPPER(MID(W49,4,1))="A","AOP",IF(UPPER(MID(W49,4,1))="B","BOI",IF(UPPER(MID(W49,4,1))="J","AJP",IF(UPPER(MID(W49,4,1))="G","Government",""))))))))))),IF($B49="Challan","",IF(W49&lt;&gt;"","◄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IF($B50="Entry",IF(LEN(W50)&lt;4,"",IF(UPPER(MID(W50,4,1))="P","Individual",IF(UPPER(MID(W50,4,1))="H","HUF",IF(UPPER(MID(W50,4,1))="C","Company",IF(UPPER(MID(W50,4,1))="F","Firm/LLP",IF(UPPER(MID(W50,4,1))="L","Local Authority",IF(UPPER(MID(W50,4,1))="T","Trust",IF(UPPER(MID(W50,4,1))="A","AOP",IF(UPPER(MID(W50,4,1))="B","BOI",IF(UPPER(MID(W50,4,1))="J","AJP",IF(UPPER(MID(W50,4,1))="G","Government",""))))))))))),IF($B50="Challan","",IF(W50&lt;&gt;"","◄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IF($B51="Entry",IF(LEN(W51)&lt;4,"",IF(UPPER(MID(W51,4,1))="P","Individual",IF(UPPER(MID(W51,4,1))="H","HUF",IF(UPPER(MID(W51,4,1))="C","Company",IF(UPPER(MID(W51,4,1))="F","Firm/LLP",IF(UPPER(MID(W51,4,1))="L","Local Authority",IF(UPPER(MID(W51,4,1))="T","Trust",IF(UPPER(MID(W51,4,1))="A","AOP",IF(UPPER(MID(W51,4,1))="B","BOI",IF(UPPER(MID(W51,4,1))="J","AJP",IF(UPPER(MID(W51,4,1))="G","Government",""))))))))))),IF($B51="Challan","",IF(W51&lt;&gt;"","◄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IF($B52="Entry",IF(LEN(W52)&lt;4,"",IF(UPPER(MID(W52,4,1))="P","Individual",IF(UPPER(MID(W52,4,1))="H","HUF",IF(UPPER(MID(W52,4,1))="C","Company",IF(UPPER(MID(W52,4,1))="F","Firm/LLP",IF(UPPER(MID(W52,4,1))="L","Local Authority",IF(UPPER(MID(W52,4,1))="T","Trust",IF(UPPER(MID(W52,4,1))="A","AOP",IF(UPPER(MID(W52,4,1))="B","BOI",IF(UPPER(MID(W52,4,1))="J","AJP",IF(UPPER(MID(W52,4,1))="G","Government",""))))))))))),IF($B52="Challan","",IF(W52&lt;&gt;"","◄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IF($B53="Entry",IF(LEN(W53)&lt;4,"",IF(UPPER(MID(W53,4,1))="P","Individual",IF(UPPER(MID(W53,4,1))="H","HUF",IF(UPPER(MID(W53,4,1))="C","Company",IF(UPPER(MID(W53,4,1))="F","Firm/LLP",IF(UPPER(MID(W53,4,1))="L","Local Authority",IF(UPPER(MID(W53,4,1))="T","Trust",IF(UPPER(MID(W53,4,1))="A","AOP",IF(UPPER(MID(W53,4,1))="B","BOI",IF(UPPER(MID(W53,4,1))="J","AJP",IF(UPPER(MID(W53,4,1))="G","Government",""))))))))))),IF($B53="Challan","",IF(W53&lt;&gt;"","◄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IF($B54="Entry",IF(LEN(W54)&lt;4,"",IF(UPPER(MID(W54,4,1))="P","Individual",IF(UPPER(MID(W54,4,1))="H","HUF",IF(UPPER(MID(W54,4,1))="C","Company",IF(UPPER(MID(W54,4,1))="F","Firm/LLP",IF(UPPER(MID(W54,4,1))="L","Local Authority",IF(UPPER(MID(W54,4,1))="T","Trust",IF(UPPER(MID(W54,4,1))="A","AOP",IF(UPPER(MID(W54,4,1))="B","BOI",IF(UPPER(MID(W54,4,1))="J","AJP",IF(UPPER(MID(W54,4,1))="G","Government",""))))))))))),IF($B54="Challan","",IF(W54&lt;&gt;"","◄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IF($B55="Entry",IF(LEN(W55)&lt;4,"",IF(UPPER(MID(W55,4,1))="P","Individual",IF(UPPER(MID(W55,4,1))="H","HUF",IF(UPPER(MID(W55,4,1))="C","Company",IF(UPPER(MID(W55,4,1))="F","Firm/LLP",IF(UPPER(MID(W55,4,1))="L","Local Authority",IF(UPPER(MID(W55,4,1))="T","Trust",IF(UPPER(MID(W55,4,1))="A","AOP",IF(UPPER(MID(W55,4,1))="B","BOI",IF(UPPER(MID(W55,4,1))="J","AJP",IF(UPPER(MID(W55,4,1))="G","Government",""))))))))))),IF($B55="Challan","",IF(W55&lt;&gt;"","◄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IF($B56="Entry",IF(LEN(W56)&lt;4,"",IF(UPPER(MID(W56,4,1))="P","Individual",IF(UPPER(MID(W56,4,1))="H","HUF",IF(UPPER(MID(W56,4,1))="C","Company",IF(UPPER(MID(W56,4,1))="F","Firm/LLP",IF(UPPER(MID(W56,4,1))="L","Local Authority",IF(UPPER(MID(W56,4,1))="T","Trust",IF(UPPER(MID(W56,4,1))="A","AOP",IF(UPPER(MID(W56,4,1))="B","BOI",IF(UPPER(MID(W56,4,1))="J","AJP",IF(UPPER(MID(W56,4,1))="G","Government",""))))))))))),IF($B56="Challan","",IF(W56&lt;&gt;"","◄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IF($B57="Entry",IF(LEN(W57)&lt;4,"",IF(UPPER(MID(W57,4,1))="P","Individual",IF(UPPER(MID(W57,4,1))="H","HUF",IF(UPPER(MID(W57,4,1))="C","Company",IF(UPPER(MID(W57,4,1))="F","Firm/LLP",IF(UPPER(MID(W57,4,1))="L","Local Authority",IF(UPPER(MID(W57,4,1))="T","Trust",IF(UPPER(MID(W57,4,1))="A","AOP",IF(UPPER(MID(W57,4,1))="B","BOI",IF(UPPER(MID(W57,4,1))="J","AJP",IF(UPPER(MID(W57,4,1))="G","Government",""))))))))))),IF($B57="Challan","",IF(W57&lt;&gt;"","◄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IF($B58="Entry",IF(LEN(W58)&lt;4,"",IF(UPPER(MID(W58,4,1))="P","Individual",IF(UPPER(MID(W58,4,1))="H","HUF",IF(UPPER(MID(W58,4,1))="C","Company",IF(UPPER(MID(W58,4,1))="F","Firm/LLP",IF(UPPER(MID(W58,4,1))="L","Local Authority",IF(UPPER(MID(W58,4,1))="T","Trust",IF(UPPER(MID(W58,4,1))="A","AOP",IF(UPPER(MID(W58,4,1))="B","BOI",IF(UPPER(MID(W58,4,1))="J","AJP",IF(UPPER(MID(W58,4,1))="G","Government",""))))))))))),IF($B58="Challan","",IF(W58&lt;&gt;"","◄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IF($B59="Entry",IF(LEN(W59)&lt;4,"",IF(UPPER(MID(W59,4,1))="P","Individual",IF(UPPER(MID(W59,4,1))="H","HUF",IF(UPPER(MID(W59,4,1))="C","Company",IF(UPPER(MID(W59,4,1))="F","Firm/LLP",IF(UPPER(MID(W59,4,1))="L","Local Authority",IF(UPPER(MID(W59,4,1))="T","Trust",IF(UPPER(MID(W59,4,1))="A","AOP",IF(UPPER(MID(W59,4,1))="B","BOI",IF(UPPER(MID(W59,4,1))="J","AJP",IF(UPPER(MID(W59,4,1))="G","Government",""))))))))))),IF($B59="Challan","",IF(W59&lt;&gt;"","◄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IF($B60="Entry",IF(LEN(W60)&lt;4,"",IF(UPPER(MID(W60,4,1))="P","Individual",IF(UPPER(MID(W60,4,1))="H","HUF",IF(UPPER(MID(W60,4,1))="C","Company",IF(UPPER(MID(W60,4,1))="F","Firm/LLP",IF(UPPER(MID(W60,4,1))="L","Local Authority",IF(UPPER(MID(W60,4,1))="T","Trust",IF(UPPER(MID(W60,4,1))="A","AOP",IF(UPPER(MID(W60,4,1))="B","BOI",IF(UPPER(MID(W60,4,1))="J","AJP",IF(UPPER(MID(W60,4,1))="G","Government",""))))))))))),IF($B60="Challan","",IF(W60&lt;&gt;"","◄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IF($B61="Entry",IF(LEN(W61)&lt;4,"",IF(UPPER(MID(W61,4,1))="P","Individual",IF(UPPER(MID(W61,4,1))="H","HUF",IF(UPPER(MID(W61,4,1))="C","Company",IF(UPPER(MID(W61,4,1))="F","Firm/LLP",IF(UPPER(MID(W61,4,1))="L","Local Authority",IF(UPPER(MID(W61,4,1))="T","Trust",IF(UPPER(MID(W61,4,1))="A","AOP",IF(UPPER(MID(W61,4,1))="B","BOI",IF(UPPER(MID(W61,4,1))="J","AJP",IF(UPPER(MID(W61,4,1))="G","Government",""))))))))))),IF($B61="Challan","",IF(W61&lt;&gt;"","◄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IF($B62="Entry",IF(LEN(W62)&lt;4,"",IF(UPPER(MID(W62,4,1))="P","Individual",IF(UPPER(MID(W62,4,1))="H","HUF",IF(UPPER(MID(W62,4,1))="C","Company",IF(UPPER(MID(W62,4,1))="F","Firm/LLP",IF(UPPER(MID(W62,4,1))="L","Local Authority",IF(UPPER(MID(W62,4,1))="T","Trust",IF(UPPER(MID(W62,4,1))="A","AOP",IF(UPPER(MID(W62,4,1))="B","BOI",IF(UPPER(MID(W62,4,1))="J","AJP",IF(UPPER(MID(W62,4,1))="G","Government",""))))))))))),IF($B62="Challan","",IF(W62&lt;&gt;"","◄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IF($B63="Entry",IF(LEN(W63)&lt;4,"",IF(UPPER(MID(W63,4,1))="P","Individual",IF(UPPER(MID(W63,4,1))="H","HUF",IF(UPPER(MID(W63,4,1))="C","Company",IF(UPPER(MID(W63,4,1))="F","Firm/LLP",IF(UPPER(MID(W63,4,1))="L","Local Authority",IF(UPPER(MID(W63,4,1))="T","Trust",IF(UPPER(MID(W63,4,1))="A","AOP",IF(UPPER(MID(W63,4,1))="B","BOI",IF(UPPER(MID(W63,4,1))="J","AJP",IF(UPPER(MID(W63,4,1))="G","Government",""))))))))))),IF($B63="Challan","",IF(W63&lt;&gt;"","◄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IF($B64="Entry",IF(LEN(W64)&lt;4,"",IF(UPPER(MID(W64,4,1))="P","Individual",IF(UPPER(MID(W64,4,1))="H","HUF",IF(UPPER(MID(W64,4,1))="C","Company",IF(UPPER(MID(W64,4,1))="F","Firm/LLP",IF(UPPER(MID(W64,4,1))="L","Local Authority",IF(UPPER(MID(W64,4,1))="T","Trust",IF(UPPER(MID(W64,4,1))="A","AOP",IF(UPPER(MID(W64,4,1))="B","BOI",IF(UPPER(MID(W64,4,1))="J","AJP",IF(UPPER(MID(W64,4,1))="G","Government",""))))))))))),IF($B64="Challan","",IF(W64&lt;&gt;"","◄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IF($B65="Entry",IF(LEN(W65)&lt;4,"",IF(UPPER(MID(W65,4,1))="P","Individual",IF(UPPER(MID(W65,4,1))="H","HUF",IF(UPPER(MID(W65,4,1))="C","Company",IF(UPPER(MID(W65,4,1))="F","Firm/LLP",IF(UPPER(MID(W65,4,1))="L","Local Authority",IF(UPPER(MID(W65,4,1))="T","Trust",IF(UPPER(MID(W65,4,1))="A","AOP",IF(UPPER(MID(W65,4,1))="B","BOI",IF(UPPER(MID(W65,4,1))="J","AJP",IF(UPPER(MID(W65,4,1))="G","Government",""))))))))))),IF($B65="Challan","",IF(W65&lt;&gt;"","◄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IF($B66="Entry",IF(LEN(W66)&lt;4,"",IF(UPPER(MID(W66,4,1))="P","Individual",IF(UPPER(MID(W66,4,1))="H","HUF",IF(UPPER(MID(W66,4,1))="C","Company",IF(UPPER(MID(W66,4,1))="F","Firm/LLP",IF(UPPER(MID(W66,4,1))="L","Local Authority",IF(UPPER(MID(W66,4,1))="T","Trust",IF(UPPER(MID(W66,4,1))="A","AOP",IF(UPPER(MID(W66,4,1))="B","BOI",IF(UPPER(MID(W66,4,1))="J","AJP",IF(UPPER(MID(W66,4,1))="G","Government",""))))))))))),IF($B66="Challan","",IF(W66&lt;&gt;"","◄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IF($B67="Entry",IF(LEN(W67)&lt;4,"",IF(UPPER(MID(W67,4,1))="P","Individual",IF(UPPER(MID(W67,4,1))="H","HUF",IF(UPPER(MID(W67,4,1))="C","Company",IF(UPPER(MID(W67,4,1))="F","Firm/LLP",IF(UPPER(MID(W67,4,1))="L","Local Authority",IF(UPPER(MID(W67,4,1))="T","Trust",IF(UPPER(MID(W67,4,1))="A","AOP",IF(UPPER(MID(W67,4,1))="B","BOI",IF(UPPER(MID(W67,4,1))="J","AJP",IF(UPPER(MID(W67,4,1))="G","Government",""))))))))))),IF($B67="Challan","",IF(W67&lt;&gt;"","◄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IF($B68="Entry",IF(LEN(W68)&lt;4,"",IF(UPPER(MID(W68,4,1))="P","Individual",IF(UPPER(MID(W68,4,1))="H","HUF",IF(UPPER(MID(W68,4,1))="C","Company",IF(UPPER(MID(W68,4,1))="F","Firm/LLP",IF(UPPER(MID(W68,4,1))="L","Local Authority",IF(UPPER(MID(W68,4,1))="T","Trust",IF(UPPER(MID(W68,4,1))="A","AOP",IF(UPPER(MID(W68,4,1))="B","BOI",IF(UPPER(MID(W68,4,1))="J","AJP",IF(UPPER(MID(W68,4,1))="G","Government",""))))))))))),IF($B68="Challan","",IF(W68&lt;&gt;"","◄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IF($B69="Entry",IF(LEN(W69)&lt;4,"",IF(UPPER(MID(W69,4,1))="P","Individual",IF(UPPER(MID(W69,4,1))="H","HUF",IF(UPPER(MID(W69,4,1))="C","Company",IF(UPPER(MID(W69,4,1))="F","Firm/LLP",IF(UPPER(MID(W69,4,1))="L","Local Authority",IF(UPPER(MID(W69,4,1))="T","Trust",IF(UPPER(MID(W69,4,1))="A","AOP",IF(UPPER(MID(W69,4,1))="B","BOI",IF(UPPER(MID(W69,4,1))="J","AJP",IF(UPPER(MID(W69,4,1))="G","Government",""))))))))))),IF($B69="Challan","",IF(W69&lt;&gt;"","◄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IF($B70="Entry",IF(LEN(W70)&lt;4,"",IF(UPPER(MID(W70,4,1))="P","Individual",IF(UPPER(MID(W70,4,1))="H","HUF",IF(UPPER(MID(W70,4,1))="C","Company",IF(UPPER(MID(W70,4,1))="F","Firm/LLP",IF(UPPER(MID(W70,4,1))="L","Local Authority",IF(UPPER(MID(W70,4,1))="T","Trust",IF(UPPER(MID(W70,4,1))="A","AOP",IF(UPPER(MID(W70,4,1))="B","BOI",IF(UPPER(MID(W70,4,1))="J","AJP",IF(UPPER(MID(W70,4,1))="G","Government",""))))))))))),IF($B70="Challan","",IF(W70&lt;&gt;"","◄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IF($B71="Entry",IF(LEN(W71)&lt;4,"",IF(UPPER(MID(W71,4,1))="P","Individual",IF(UPPER(MID(W71,4,1))="H","HUF",IF(UPPER(MID(W71,4,1))="C","Company",IF(UPPER(MID(W71,4,1))="F","Firm/LLP",IF(UPPER(MID(W71,4,1))="L","Local Authority",IF(UPPER(MID(W71,4,1))="T","Trust",IF(UPPER(MID(W71,4,1))="A","AOP",IF(UPPER(MID(W71,4,1))="B","BOI",IF(UPPER(MID(W71,4,1))="J","AJP",IF(UPPER(MID(W71,4,1))="G","Government",""))))))))))),IF($B71="Challan","",IF(W71&lt;&gt;"","◄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IF($B72="Entry",IF(LEN(W72)&lt;4,"",IF(UPPER(MID(W72,4,1))="P","Individual",IF(UPPER(MID(W72,4,1))="H","HUF",IF(UPPER(MID(W72,4,1))="C","Company",IF(UPPER(MID(W72,4,1))="F","Firm/LLP",IF(UPPER(MID(W72,4,1))="L","Local Authority",IF(UPPER(MID(W72,4,1))="T","Trust",IF(UPPER(MID(W72,4,1))="A","AOP",IF(UPPER(MID(W72,4,1))="B","BOI",IF(UPPER(MID(W72,4,1))="J","AJP",IF(UPPER(MID(W72,4,1))="G","Government",""))))))))))),IF($B72="Challan","",IF(W72&lt;&gt;"","◄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IF($B73="Entry",IF(LEN(W73)&lt;4,"",IF(UPPER(MID(W73,4,1))="P","Individual",IF(UPPER(MID(W73,4,1))="H","HUF",IF(UPPER(MID(W73,4,1))="C","Company",IF(UPPER(MID(W73,4,1))="F","Firm/LLP",IF(UPPER(MID(W73,4,1))="L","Local Authority",IF(UPPER(MID(W73,4,1))="T","Trust",IF(UPPER(MID(W73,4,1))="A","AOP",IF(UPPER(MID(W73,4,1))="B","BOI",IF(UPPER(MID(W73,4,1))="J","AJP",IF(UPPER(MID(W73,4,1))="G","Government",""))))))))))),IF($B73="Challan","",IF(W73&lt;&gt;"","◄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IF($B74="Entry",IF(LEN(W74)&lt;4,"",IF(UPPER(MID(W74,4,1))="P","Individual",IF(UPPER(MID(W74,4,1))="H","HUF",IF(UPPER(MID(W74,4,1))="C","Company",IF(UPPER(MID(W74,4,1))="F","Firm/LLP",IF(UPPER(MID(W74,4,1))="L","Local Authority",IF(UPPER(MID(W74,4,1))="T","Trust",IF(UPPER(MID(W74,4,1))="A","AOP",IF(UPPER(MID(W74,4,1))="B","BOI",IF(UPPER(MID(W74,4,1))="J","AJP",IF(UPPER(MID(W74,4,1))="G","Government",""))))))))))),IF($B74="Challan","",IF(W74&lt;&gt;"","◄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IF($B75="Entry",IF(LEN(W75)&lt;4,"",IF(UPPER(MID(W75,4,1))="P","Individual",IF(UPPER(MID(W75,4,1))="H","HUF",IF(UPPER(MID(W75,4,1))="C","Company",IF(UPPER(MID(W75,4,1))="F","Firm/LLP",IF(UPPER(MID(W75,4,1))="L","Local Authority",IF(UPPER(MID(W75,4,1))="T","Trust",IF(UPPER(MID(W75,4,1))="A","AOP",IF(UPPER(MID(W75,4,1))="B","BOI",IF(UPPER(MID(W75,4,1))="J","AJP",IF(UPPER(MID(W75,4,1))="G","Government",""))))))))))),IF($B75="Challan","",IF(W75&lt;&gt;"","◄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IF($B76="Entry",IF(LEN(W76)&lt;4,"",IF(UPPER(MID(W76,4,1))="P","Individual",IF(UPPER(MID(W76,4,1))="H","HUF",IF(UPPER(MID(W76,4,1))="C","Company",IF(UPPER(MID(W76,4,1))="F","Firm/LLP",IF(UPPER(MID(W76,4,1))="L","Local Authority",IF(UPPER(MID(W76,4,1))="T","Trust",IF(UPPER(MID(W76,4,1))="A","AOP",IF(UPPER(MID(W76,4,1))="B","BOI",IF(UPPER(MID(W76,4,1))="J","AJP",IF(UPPER(MID(W76,4,1))="G","Government",""))))))))))),IF($B76="Challan","",IF(W76&lt;&gt;"","◄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IF($B77="Entry",IF(LEN(W77)&lt;4,"",IF(UPPER(MID(W77,4,1))="P","Individual",IF(UPPER(MID(W77,4,1))="H","HUF",IF(UPPER(MID(W77,4,1))="C","Company",IF(UPPER(MID(W77,4,1))="F","Firm/LLP",IF(UPPER(MID(W77,4,1))="L","Local Authority",IF(UPPER(MID(W77,4,1))="T","Trust",IF(UPPER(MID(W77,4,1))="A","AOP",IF(UPPER(MID(W77,4,1))="B","BOI",IF(UPPER(MID(W77,4,1))="J","AJP",IF(UPPER(MID(W77,4,1))="G","Government",""))))))))))),IF($B77="Challan","",IF(W77&lt;&gt;"","◄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IF($B78="Entry",IF(LEN(W78)&lt;4,"",IF(UPPER(MID(W78,4,1))="P","Individual",IF(UPPER(MID(W78,4,1))="H","HUF",IF(UPPER(MID(W78,4,1))="C","Company",IF(UPPER(MID(W78,4,1))="F","Firm/LLP",IF(UPPER(MID(W78,4,1))="L","Local Authority",IF(UPPER(MID(W78,4,1))="T","Trust",IF(UPPER(MID(W78,4,1))="A","AOP",IF(UPPER(MID(W78,4,1))="B","BOI",IF(UPPER(MID(W78,4,1))="J","AJP",IF(UPPER(MID(W78,4,1))="G","Government",""))))))))))),IF($B78="Challan","",IF(W78&lt;&gt;"","◄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IF($B79="Entry",IF(LEN(W79)&lt;4,"",IF(UPPER(MID(W79,4,1))="P","Individual",IF(UPPER(MID(W79,4,1))="H","HUF",IF(UPPER(MID(W79,4,1))="C","Company",IF(UPPER(MID(W79,4,1))="F","Firm/LLP",IF(UPPER(MID(W79,4,1))="L","Local Authority",IF(UPPER(MID(W79,4,1))="T","Trust",IF(UPPER(MID(W79,4,1))="A","AOP",IF(UPPER(MID(W79,4,1))="B","BOI",IF(UPPER(MID(W79,4,1))="J","AJP",IF(UPPER(MID(W79,4,1))="G","Government",""))))))))))),IF($B79="Challan","",IF(W79&lt;&gt;"","◄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IF($B80="Entry",IF(LEN(W80)&lt;4,"",IF(UPPER(MID(W80,4,1))="P","Individual",IF(UPPER(MID(W80,4,1))="H","HUF",IF(UPPER(MID(W80,4,1))="C","Company",IF(UPPER(MID(W80,4,1))="F","Firm/LLP",IF(UPPER(MID(W80,4,1))="L","Local Authority",IF(UPPER(MID(W80,4,1))="T","Trust",IF(UPPER(MID(W80,4,1))="A","AOP",IF(UPPER(MID(W80,4,1))="B","BOI",IF(UPPER(MID(W80,4,1))="J","AJP",IF(UPPER(MID(W80,4,1))="G","Government",""))))))))))),IF($B80="Challan","",IF(W80&lt;&gt;"","◄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IF($B81="Entry",IF(LEN(W81)&lt;4,"",IF(UPPER(MID(W81,4,1))="P","Individual",IF(UPPER(MID(W81,4,1))="H","HUF",IF(UPPER(MID(W81,4,1))="C","Company",IF(UPPER(MID(W81,4,1))="F","Firm/LLP",IF(UPPER(MID(W81,4,1))="L","Local Authority",IF(UPPER(MID(W81,4,1))="T","Trust",IF(UPPER(MID(W81,4,1))="A","AOP",IF(UPPER(MID(W81,4,1))="B","BOI",IF(UPPER(MID(W81,4,1))="J","AJP",IF(UPPER(MID(W81,4,1))="G","Government",""))))))))))),IF($B81="Challan","",IF(W81&lt;&gt;"","◄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IF($B82="Entry",IF(LEN(W82)&lt;4,"",IF(UPPER(MID(W82,4,1))="P","Individual",IF(UPPER(MID(W82,4,1))="H","HUF",IF(UPPER(MID(W82,4,1))="C","Company",IF(UPPER(MID(W82,4,1))="F","Firm/LLP",IF(UPPER(MID(W82,4,1))="L","Local Authority",IF(UPPER(MID(W82,4,1))="T","Trust",IF(UPPER(MID(W82,4,1))="A","AOP",IF(UPPER(MID(W82,4,1))="B","BOI",IF(UPPER(MID(W82,4,1))="J","AJP",IF(UPPER(MID(W82,4,1))="G","Government",""))))))))))),IF($B82="Challan","",IF(W82&lt;&gt;"","◄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IF($B83="Entry",IF(LEN(W83)&lt;4,"",IF(UPPER(MID(W83,4,1))="P","Individual",IF(UPPER(MID(W83,4,1))="H","HUF",IF(UPPER(MID(W83,4,1))="C","Company",IF(UPPER(MID(W83,4,1))="F","Firm/LLP",IF(UPPER(MID(W83,4,1))="L","Local Authority",IF(UPPER(MID(W83,4,1))="T","Trust",IF(UPPER(MID(W83,4,1))="A","AOP",IF(UPPER(MID(W83,4,1))="B","BOI",IF(UPPER(MID(W83,4,1))="J","AJP",IF(UPPER(MID(W83,4,1))="G","Government",""))))))))))),IF($B83="Challan","",IF(W83&lt;&gt;"","◄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IF($B84="Entry",IF(LEN(W84)&lt;4,"",IF(UPPER(MID(W84,4,1))="P","Individual",IF(UPPER(MID(W84,4,1))="H","HUF",IF(UPPER(MID(W84,4,1))="C","Company",IF(UPPER(MID(W84,4,1))="F","Firm/LLP",IF(UPPER(MID(W84,4,1))="L","Local Authority",IF(UPPER(MID(W84,4,1))="T","Trust",IF(UPPER(MID(W84,4,1))="A","AOP",IF(UPPER(MID(W84,4,1))="B","BOI",IF(UPPER(MID(W84,4,1))="J","AJP",IF(UPPER(MID(W84,4,1))="G","Government",""))))))))))),IF($B84="Challan","",IF(W84&lt;&gt;"","◄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IF($B85="Entry",IF(LEN(W85)&lt;4,"",IF(UPPER(MID(W85,4,1))="P","Individual",IF(UPPER(MID(W85,4,1))="H","HUF",IF(UPPER(MID(W85,4,1))="C","Company",IF(UPPER(MID(W85,4,1))="F","Firm/LLP",IF(UPPER(MID(W85,4,1))="L","Local Authority",IF(UPPER(MID(W85,4,1))="T","Trust",IF(UPPER(MID(W85,4,1))="A","AOP",IF(UPPER(MID(W85,4,1))="B","BOI",IF(UPPER(MID(W85,4,1))="J","AJP",IF(UPPER(MID(W85,4,1))="G","Government",""))))))))))),IF($B85="Challan","",IF(W85&lt;&gt;"","◄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IF($B86="Entry",IF(LEN(W86)&lt;4,"",IF(UPPER(MID(W86,4,1))="P","Individual",IF(UPPER(MID(W86,4,1))="H","HUF",IF(UPPER(MID(W86,4,1))="C","Company",IF(UPPER(MID(W86,4,1))="F","Firm/LLP",IF(UPPER(MID(W86,4,1))="L","Local Authority",IF(UPPER(MID(W86,4,1))="T","Trust",IF(UPPER(MID(W86,4,1))="A","AOP",IF(UPPER(MID(W86,4,1))="B","BOI",IF(UPPER(MID(W86,4,1))="J","AJP",IF(UPPER(MID(W86,4,1))="G","Government",""))))))))))),IF($B86="Challan","",IF(W86&lt;&gt;"","◄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IF($B87="Entry",IF(LEN(W87)&lt;4,"",IF(UPPER(MID(W87,4,1))="P","Individual",IF(UPPER(MID(W87,4,1))="H","HUF",IF(UPPER(MID(W87,4,1))="C","Company",IF(UPPER(MID(W87,4,1))="F","Firm/LLP",IF(UPPER(MID(W87,4,1))="L","Local Authority",IF(UPPER(MID(W87,4,1))="T","Trust",IF(UPPER(MID(W87,4,1))="A","AOP",IF(UPPER(MID(W87,4,1))="B","BOI",IF(UPPER(MID(W87,4,1))="J","AJP",IF(UPPER(MID(W87,4,1))="G","Government",""))))))))))),IF($B87="Challan","",IF(W87&lt;&gt;"","◄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IF($B88="Entry",IF(LEN(W88)&lt;4,"",IF(UPPER(MID(W88,4,1))="P","Individual",IF(UPPER(MID(W88,4,1))="H","HUF",IF(UPPER(MID(W88,4,1))="C","Company",IF(UPPER(MID(W88,4,1))="F","Firm/LLP",IF(UPPER(MID(W88,4,1))="L","Local Authority",IF(UPPER(MID(W88,4,1))="T","Trust",IF(UPPER(MID(W88,4,1))="A","AOP",IF(UPPER(MID(W88,4,1))="B","BOI",IF(UPPER(MID(W88,4,1))="J","AJP",IF(UPPER(MID(W88,4,1))="G","Government",""))))))))))),IF($B88="Challan","",IF(W88&lt;&gt;"","◄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IF($B89="Entry",IF(LEN(W89)&lt;4,"",IF(UPPER(MID(W89,4,1))="P","Individual",IF(UPPER(MID(W89,4,1))="H","HUF",IF(UPPER(MID(W89,4,1))="C","Company",IF(UPPER(MID(W89,4,1))="F","Firm/LLP",IF(UPPER(MID(W89,4,1))="L","Local Authority",IF(UPPER(MID(W89,4,1))="T","Trust",IF(UPPER(MID(W89,4,1))="A","AOP",IF(UPPER(MID(W89,4,1))="B","BOI",IF(UPPER(MID(W89,4,1))="J","AJP",IF(UPPER(MID(W89,4,1))="G","Government",""))))))))))),IF($B89="Challan","",IF(W89&lt;&gt;"","◄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IF($B90="Entry",IF(LEN(W90)&lt;4,"",IF(UPPER(MID(W90,4,1))="P","Individual",IF(UPPER(MID(W90,4,1))="H","HUF",IF(UPPER(MID(W90,4,1))="C","Company",IF(UPPER(MID(W90,4,1))="F","Firm/LLP",IF(UPPER(MID(W90,4,1))="L","Local Authority",IF(UPPER(MID(W90,4,1))="T","Trust",IF(UPPER(MID(W90,4,1))="A","AOP",IF(UPPER(MID(W90,4,1))="B","BOI",IF(UPPER(MID(W90,4,1))="J","AJP",IF(UPPER(MID(W90,4,1))="G","Government",""))))))))))),IF($B90="Challan","",IF(W90&lt;&gt;"","◄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IF($B91="Entry",IF(LEN(W91)&lt;4,"",IF(UPPER(MID(W91,4,1))="P","Individual",IF(UPPER(MID(W91,4,1))="H","HUF",IF(UPPER(MID(W91,4,1))="C","Company",IF(UPPER(MID(W91,4,1))="F","Firm/LLP",IF(UPPER(MID(W91,4,1))="L","Local Authority",IF(UPPER(MID(W91,4,1))="T","Trust",IF(UPPER(MID(W91,4,1))="A","AOP",IF(UPPER(MID(W91,4,1))="B","BOI",IF(UPPER(MID(W91,4,1))="J","AJP",IF(UPPER(MID(W91,4,1))="G","Government",""))))))))))),IF($B91="Challan","",IF(W91&lt;&gt;"","◄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IF($B92="Entry",IF(LEN(W92)&lt;4,"",IF(UPPER(MID(W92,4,1))="P","Individual",IF(UPPER(MID(W92,4,1))="H","HUF",IF(UPPER(MID(W92,4,1))="C","Company",IF(UPPER(MID(W92,4,1))="F","Firm/LLP",IF(UPPER(MID(W92,4,1))="L","Local Authority",IF(UPPER(MID(W92,4,1))="T","Trust",IF(UPPER(MID(W92,4,1))="A","AOP",IF(UPPER(MID(W92,4,1))="B","BOI",IF(UPPER(MID(W92,4,1))="J","AJP",IF(UPPER(MID(W92,4,1))="G","Government",""))))))))))),IF($B92="Challan","",IF(W92&lt;&gt;"","◄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IF($B93="Entry",IF(LEN(W93)&lt;4,"",IF(UPPER(MID(W93,4,1))="P","Individual",IF(UPPER(MID(W93,4,1))="H","HUF",IF(UPPER(MID(W93,4,1))="C","Company",IF(UPPER(MID(W93,4,1))="F","Firm/LLP",IF(UPPER(MID(W93,4,1))="L","Local Authority",IF(UPPER(MID(W93,4,1))="T","Trust",IF(UPPER(MID(W93,4,1))="A","AOP",IF(UPPER(MID(W93,4,1))="B","BOI",IF(UPPER(MID(W93,4,1))="J","AJP",IF(UPPER(MID(W93,4,1))="G","Government",""))))))))))),IF($B93="Challan","",IF(W93&lt;&gt;"","◄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IF($B94="Entry",IF(LEN(W94)&lt;4,"",IF(UPPER(MID(W94,4,1))="P","Individual",IF(UPPER(MID(W94,4,1))="H","HUF",IF(UPPER(MID(W94,4,1))="C","Company",IF(UPPER(MID(W94,4,1))="F","Firm/LLP",IF(UPPER(MID(W94,4,1))="L","Local Authority",IF(UPPER(MID(W94,4,1))="T","Trust",IF(UPPER(MID(W94,4,1))="A","AOP",IF(UPPER(MID(W94,4,1))="B","BOI",IF(UPPER(MID(W94,4,1))="J","AJP",IF(UPPER(MID(W94,4,1))="G","Government",""))))))))))),IF($B94="Challan","",IF(W94&lt;&gt;"","◄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IF($B95="Entry",IF(LEN(W95)&lt;4,"",IF(UPPER(MID(W95,4,1))="P","Individual",IF(UPPER(MID(W95,4,1))="H","HUF",IF(UPPER(MID(W95,4,1))="C","Company",IF(UPPER(MID(W95,4,1))="F","Firm/LLP",IF(UPPER(MID(W95,4,1))="L","Local Authority",IF(UPPER(MID(W95,4,1))="T","Trust",IF(UPPER(MID(W95,4,1))="A","AOP",IF(UPPER(MID(W95,4,1))="B","BOI",IF(UPPER(MID(W95,4,1))="J","AJP",IF(UPPER(MID(W95,4,1))="G","Government",""))))))))))),IF($B95="Challan","",IF(W95&lt;&gt;"","◄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IF($B96="Entry",IF(LEN(W96)&lt;4,"",IF(UPPER(MID(W96,4,1))="P","Individual",IF(UPPER(MID(W96,4,1))="H","HUF",IF(UPPER(MID(W96,4,1))="C","Company",IF(UPPER(MID(W96,4,1))="F","Firm/LLP",IF(UPPER(MID(W96,4,1))="L","Local Authority",IF(UPPER(MID(W96,4,1))="T","Trust",IF(UPPER(MID(W96,4,1))="A","AOP",IF(UPPER(MID(W96,4,1))="B","BOI",IF(UPPER(MID(W96,4,1))="J","AJP",IF(UPPER(MID(W96,4,1))="G","Government",""))))))))))),IF($B96="Challan","",IF(W96&lt;&gt;"","◄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IF($B97="Entry",IF(LEN(W97)&lt;4,"",IF(UPPER(MID(W97,4,1))="P","Individual",IF(UPPER(MID(W97,4,1))="H","HUF",IF(UPPER(MID(W97,4,1))="C","Company",IF(UPPER(MID(W97,4,1))="F","Firm/LLP",IF(UPPER(MID(W97,4,1))="L","Local Authority",IF(UPPER(MID(W97,4,1))="T","Trust",IF(UPPER(MID(W97,4,1))="A","AOP",IF(UPPER(MID(W97,4,1))="B","BOI",IF(UPPER(MID(W97,4,1))="J","AJP",IF(UPPER(MID(W97,4,1))="G","Government",""))))))))))),IF($B97="Challan","",IF(W97&lt;&gt;"","◄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IF($B98="Entry",IF(LEN(W98)&lt;4,"",IF(UPPER(MID(W98,4,1))="P","Individual",IF(UPPER(MID(W98,4,1))="H","HUF",IF(UPPER(MID(W98,4,1))="C","Company",IF(UPPER(MID(W98,4,1))="F","Firm/LLP",IF(UPPER(MID(W98,4,1))="L","Local Authority",IF(UPPER(MID(W98,4,1))="T","Trust",IF(UPPER(MID(W98,4,1))="A","AOP",IF(UPPER(MID(W98,4,1))="B","BOI",IF(UPPER(MID(W98,4,1))="J","AJP",IF(UPPER(MID(W98,4,1))="G","Government",""))))))))))),IF($B98="Challan","",IF(W98&lt;&gt;"","◄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IF($B99="Entry",IF(LEN(W99)&lt;4,"",IF(UPPER(MID(W99,4,1))="P","Individual",IF(UPPER(MID(W99,4,1))="H","HUF",IF(UPPER(MID(W99,4,1))="C","Company",IF(UPPER(MID(W99,4,1))="F","Firm/LLP",IF(UPPER(MID(W99,4,1))="L","Local Authority",IF(UPPER(MID(W99,4,1))="T","Trust",IF(UPPER(MID(W99,4,1))="A","AOP",IF(UPPER(MID(W99,4,1))="B","BOI",IF(UPPER(MID(W99,4,1))="J","AJP",IF(UPPER(MID(W99,4,1))="G","Government",""))))))))))),IF($B99="Challan","",IF(W99&lt;&gt;"","◄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IF($B100="Entry",IF(LEN(W100)&lt;4,"",IF(UPPER(MID(W100,4,1))="P","Individual",IF(UPPER(MID(W100,4,1))="H","HUF",IF(UPPER(MID(W100,4,1))="C","Company",IF(UPPER(MID(W100,4,1))="F","Firm/LLP",IF(UPPER(MID(W100,4,1))="L","Local Authority",IF(UPPER(MID(W100,4,1))="T","Trust",IF(UPPER(MID(W100,4,1))="A","AOP",IF(UPPER(MID(W100,4,1))="B","BOI",IF(UPPER(MID(W100,4,1))="J","AJP",IF(UPPER(MID(W100,4,1))="G","Government",""))))))))))),IF($B100="Challan","",IF(W100&lt;&gt;"","◄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IF($B101="Entry",IF(LEN(W101)&lt;4,"",IF(UPPER(MID(W101,4,1))="P","Individual",IF(UPPER(MID(W101,4,1))="H","HUF",IF(UPPER(MID(W101,4,1))="C","Company",IF(UPPER(MID(W101,4,1))="F","Firm/LLP",IF(UPPER(MID(W101,4,1))="L","Local Authority",IF(UPPER(MID(W101,4,1))="T","Trust",IF(UPPER(MID(W101,4,1))="A","AOP",IF(UPPER(MID(W101,4,1))="B","BOI",IF(UPPER(MID(W101,4,1))="J","AJP",IF(UPPER(MID(W101,4,1))="G","Government",""))))))))))),IF($B101="Challan","",IF(W101&lt;&gt;"","◄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IF($B102="Entry",IF(LEN(W102)&lt;4,"",IF(UPPER(MID(W102,4,1))="P","Individual",IF(UPPER(MID(W102,4,1))="H","HUF",IF(UPPER(MID(W102,4,1))="C","Company",IF(UPPER(MID(W102,4,1))="F","Firm/LLP",IF(UPPER(MID(W102,4,1))="L","Local Authority",IF(UPPER(MID(W102,4,1))="T","Trust",IF(UPPER(MID(W102,4,1))="A","AOP",IF(UPPER(MID(W102,4,1))="B","BOI",IF(UPPER(MID(W102,4,1))="J","AJP",IF(UPPER(MID(W102,4,1))="G","Government",""))))))))))),IF($B102="Challan","",IF(W102&lt;&gt;"","◄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IF($B103="Entry",IF(LEN(W103)&lt;4,"",IF(UPPER(MID(W103,4,1))="P","Individual",IF(UPPER(MID(W103,4,1))="H","HUF",IF(UPPER(MID(W103,4,1))="C","Company",IF(UPPER(MID(W103,4,1))="F","Firm/LLP",IF(UPPER(MID(W103,4,1))="L","Local Authority",IF(UPPER(MID(W103,4,1))="T","Trust",IF(UPPER(MID(W103,4,1))="A","AOP",IF(UPPER(MID(W103,4,1))="B","BOI",IF(UPPER(MID(W103,4,1))="J","AJP",IF(UPPER(MID(W103,4,1))="G","Government",""))))))))))),IF($B103="Challan","",IF(W103&lt;&gt;"","◄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IF($B104="Entry",IF(LEN(W104)&lt;4,"",IF(UPPER(MID(W104,4,1))="P","Individual",IF(UPPER(MID(W104,4,1))="H","HUF",IF(UPPER(MID(W104,4,1))="C","Company",IF(UPPER(MID(W104,4,1))="F","Firm/LLP",IF(UPPER(MID(W104,4,1))="L","Local Authority",IF(UPPER(MID(W104,4,1))="T","Trust",IF(UPPER(MID(W104,4,1))="A","AOP",IF(UPPER(MID(W104,4,1))="B","BOI",IF(UPPER(MID(W104,4,1))="J","AJP",IF(UPPER(MID(W104,4,1))="G","Government",""))))))))))),IF($B104="Challan","",IF(W104&lt;&gt;"","◄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IF($B105="Entry",IF(LEN(W105)&lt;4,"",IF(UPPER(MID(W105,4,1))="P","Individual",IF(UPPER(MID(W105,4,1))="H","HUF",IF(UPPER(MID(W105,4,1))="C","Company",IF(UPPER(MID(W105,4,1))="F","Firm/LLP",IF(UPPER(MID(W105,4,1))="L","Local Authority",IF(UPPER(MID(W105,4,1))="T","Trust",IF(UPPER(MID(W105,4,1))="A","AOP",IF(UPPER(MID(W105,4,1))="B","BOI",IF(UPPER(MID(W105,4,1))="J","AJP",IF(UPPER(MID(W105,4,1))="G","Government",""))))))))))),IF($B105="Challan","",IF(W105&lt;&gt;"","◄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IF($B106="Entry",IF(LEN(W106)&lt;4,"",IF(UPPER(MID(W106,4,1))="P","Individual",IF(UPPER(MID(W106,4,1))="H","HUF",IF(UPPER(MID(W106,4,1))="C","Company",IF(UPPER(MID(W106,4,1))="F","Firm/LLP",IF(UPPER(MID(W106,4,1))="L","Local Authority",IF(UPPER(MID(W106,4,1))="T","Trust",IF(UPPER(MID(W106,4,1))="A","AOP",IF(UPPER(MID(W106,4,1))="B","BOI",IF(UPPER(MID(W106,4,1))="J","AJP",IF(UPPER(MID(W106,4,1))="G","Government",""))))))))))),IF($B106="Challan","",IF(W106&lt;&gt;"","◄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IF($B107="Entry",IF(LEN(W107)&lt;4,"",IF(UPPER(MID(W107,4,1))="P","Individual",IF(UPPER(MID(W107,4,1))="H","HUF",IF(UPPER(MID(W107,4,1))="C","Company",IF(UPPER(MID(W107,4,1))="F","Firm/LLP",IF(UPPER(MID(W107,4,1))="L","Local Authority",IF(UPPER(MID(W107,4,1))="T","Trust",IF(UPPER(MID(W107,4,1))="A","AOP",IF(UPPER(MID(W107,4,1))="B","BOI",IF(UPPER(MID(W107,4,1))="J","AJP",IF(UPPER(MID(W107,4,1))="G","Government",""))))))))))),IF($B107="Challan","",IF(W107&lt;&gt;"","◄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IF($B108="Entry",IF(LEN(W108)&lt;4,"",IF(UPPER(MID(W108,4,1))="P","Individual",IF(UPPER(MID(W108,4,1))="H","HUF",IF(UPPER(MID(W108,4,1))="C","Company",IF(UPPER(MID(W108,4,1))="F","Firm/LLP",IF(UPPER(MID(W108,4,1))="L","Local Authority",IF(UPPER(MID(W108,4,1))="T","Trust",IF(UPPER(MID(W108,4,1))="A","AOP",IF(UPPER(MID(W108,4,1))="B","BOI",IF(UPPER(MID(W108,4,1))="J","AJP",IF(UPPER(MID(W108,4,1))="G","Government",""))))))))))),IF($B108="Challan","",IF(W108&lt;&gt;"","◄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IF($B109="Entry",IF(LEN(W109)&lt;4,"",IF(UPPER(MID(W109,4,1))="P","Individual",IF(UPPER(MID(W109,4,1))="H","HUF",IF(UPPER(MID(W109,4,1))="C","Company",IF(UPPER(MID(W109,4,1))="F","Firm/LLP",IF(UPPER(MID(W109,4,1))="L","Local Authority",IF(UPPER(MID(W109,4,1))="T","Trust",IF(UPPER(MID(W109,4,1))="A","AOP",IF(UPPER(MID(W109,4,1))="B","BOI",IF(UPPER(MID(W109,4,1))="J","AJP",IF(UPPER(MID(W109,4,1))="G","Government",""))))))))))),IF($B109="Challan","",IF(W109&lt;&gt;"","◄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IF($B110="Entry",IF(LEN(W110)&lt;4,"",IF(UPPER(MID(W110,4,1))="P","Individual",IF(UPPER(MID(W110,4,1))="H","HUF",IF(UPPER(MID(W110,4,1))="C","Company",IF(UPPER(MID(W110,4,1))="F","Firm/LLP",IF(UPPER(MID(W110,4,1))="L","Local Authority",IF(UPPER(MID(W110,4,1))="T","Trust",IF(UPPER(MID(W110,4,1))="A","AOP",IF(UPPER(MID(W110,4,1))="B","BOI",IF(UPPER(MID(W110,4,1))="J","AJP",IF(UPPER(MID(W110,4,1))="G","Government",""))))))))))),IF($B110="Challan","",IF(W110&lt;&gt;"","◄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IF($B111="Entry",IF(LEN(W111)&lt;4,"",IF(UPPER(MID(W111,4,1))="P","Individual",IF(UPPER(MID(W111,4,1))="H","HUF",IF(UPPER(MID(W111,4,1))="C","Company",IF(UPPER(MID(W111,4,1))="F","Firm/LLP",IF(UPPER(MID(W111,4,1))="L","Local Authority",IF(UPPER(MID(W111,4,1))="T","Trust",IF(UPPER(MID(W111,4,1))="A","AOP",IF(UPPER(MID(W111,4,1))="B","BOI",IF(UPPER(MID(W111,4,1))="J","AJP",IF(UPPER(MID(W111,4,1))="G","Government",""))))))))))),IF($B111="Challan","",IF(W111&lt;&gt;"","◄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IF($B112="Entry",IF(LEN(W112)&lt;4,"",IF(UPPER(MID(W112,4,1))="P","Individual",IF(UPPER(MID(W112,4,1))="H","HUF",IF(UPPER(MID(W112,4,1))="C","Company",IF(UPPER(MID(W112,4,1))="F","Firm/LLP",IF(UPPER(MID(W112,4,1))="L","Local Authority",IF(UPPER(MID(W112,4,1))="T","Trust",IF(UPPER(MID(W112,4,1))="A","AOP",IF(UPPER(MID(W112,4,1))="B","BOI",IF(UPPER(MID(W112,4,1))="J","AJP",IF(UPPER(MID(W112,4,1))="G","Government",""))))))))))),IF($B112="Challan","",IF(W112&lt;&gt;"","◄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IF($B113="Entry",IF(LEN(W113)&lt;4,"",IF(UPPER(MID(W113,4,1))="P","Individual",IF(UPPER(MID(W113,4,1))="H","HUF",IF(UPPER(MID(W113,4,1))="C","Company",IF(UPPER(MID(W113,4,1))="F","Firm/LLP",IF(UPPER(MID(W113,4,1))="L","Local Authority",IF(UPPER(MID(W113,4,1))="T","Trust",IF(UPPER(MID(W113,4,1))="A","AOP",IF(UPPER(MID(W113,4,1))="B","BOI",IF(UPPER(MID(W113,4,1))="J","AJP",IF(UPPER(MID(W113,4,1))="G","Government",""))))))))))),IF($B113="Challan","",IF(W113&lt;&gt;"","◄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IF($B114="Entry",IF(LEN(W114)&lt;4,"",IF(UPPER(MID(W114,4,1))="P","Individual",IF(UPPER(MID(W114,4,1))="H","HUF",IF(UPPER(MID(W114,4,1))="C","Company",IF(UPPER(MID(W114,4,1))="F","Firm/LLP",IF(UPPER(MID(W114,4,1))="L","Local Authority",IF(UPPER(MID(W114,4,1))="T","Trust",IF(UPPER(MID(W114,4,1))="A","AOP",IF(UPPER(MID(W114,4,1))="B","BOI",IF(UPPER(MID(W114,4,1))="J","AJP",IF(UPPER(MID(W114,4,1))="G","Government",""))))))))))),IF($B114="Challan","",IF(W114&lt;&gt;"","◄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IF($B115="Entry",IF(LEN(W115)&lt;4,"",IF(UPPER(MID(W115,4,1))="P","Individual",IF(UPPER(MID(W115,4,1))="H","HUF",IF(UPPER(MID(W115,4,1))="C","Company",IF(UPPER(MID(W115,4,1))="F","Firm/LLP",IF(UPPER(MID(W115,4,1))="L","Local Authority",IF(UPPER(MID(W115,4,1))="T","Trust",IF(UPPER(MID(W115,4,1))="A","AOP",IF(UPPER(MID(W115,4,1))="B","BOI",IF(UPPER(MID(W115,4,1))="J","AJP",IF(UPPER(MID(W115,4,1))="G","Government",""))))))))))),IF($B115="Challan","",IF(W115&lt;&gt;"","◄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IF($B116="Entry",IF(LEN(W116)&lt;4,"",IF(UPPER(MID(W116,4,1))="P","Individual",IF(UPPER(MID(W116,4,1))="H","HUF",IF(UPPER(MID(W116,4,1))="C","Company",IF(UPPER(MID(W116,4,1))="F","Firm/LLP",IF(UPPER(MID(W116,4,1))="L","Local Authority",IF(UPPER(MID(W116,4,1))="T","Trust",IF(UPPER(MID(W116,4,1))="A","AOP",IF(UPPER(MID(W116,4,1))="B","BOI",IF(UPPER(MID(W116,4,1))="J","AJP",IF(UPPER(MID(W116,4,1))="G","Government",""))))))))))),IF($B116="Challan","",IF(W116&lt;&gt;"","◄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IF($B117="Entry",IF(LEN(W117)&lt;4,"",IF(UPPER(MID(W117,4,1))="P","Individual",IF(UPPER(MID(W117,4,1))="H","HUF",IF(UPPER(MID(W117,4,1))="C","Company",IF(UPPER(MID(W117,4,1))="F","Firm/LLP",IF(UPPER(MID(W117,4,1))="L","Local Authority",IF(UPPER(MID(W117,4,1))="T","Trust",IF(UPPER(MID(W117,4,1))="A","AOP",IF(UPPER(MID(W117,4,1))="B","BOI",IF(UPPER(MID(W117,4,1))="J","AJP",IF(UPPER(MID(W117,4,1))="G","Government",""))))))))))),IF($B117="Challan","",IF(W117&lt;&gt;"","◄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IF($B118="Entry",IF(LEN(W118)&lt;4,"",IF(UPPER(MID(W118,4,1))="P","Individual",IF(UPPER(MID(W118,4,1))="H","HUF",IF(UPPER(MID(W118,4,1))="C","Company",IF(UPPER(MID(W118,4,1))="F","Firm/LLP",IF(UPPER(MID(W118,4,1))="L","Local Authority",IF(UPPER(MID(W118,4,1))="T","Trust",IF(UPPER(MID(W118,4,1))="A","AOP",IF(UPPER(MID(W118,4,1))="B","BOI",IF(UPPER(MID(W118,4,1))="J","AJP",IF(UPPER(MID(W118,4,1))="G","Government",""))))))))))),IF($B118="Challan","",IF(W118&lt;&gt;"","◄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IF($B119="Entry",IF(LEN(W119)&lt;4,"",IF(UPPER(MID(W119,4,1))="P","Individual",IF(UPPER(MID(W119,4,1))="H","HUF",IF(UPPER(MID(W119,4,1))="C","Company",IF(UPPER(MID(W119,4,1))="F","Firm/LLP",IF(UPPER(MID(W119,4,1))="L","Local Authority",IF(UPPER(MID(W119,4,1))="T","Trust",IF(UPPER(MID(W119,4,1))="A","AOP",IF(UPPER(MID(W119,4,1))="B","BOI",IF(UPPER(MID(W119,4,1))="J","AJP",IF(UPPER(MID(W119,4,1))="G","Government",""))))))))))),IF($B119="Challan","",IF(W119&lt;&gt;"","◄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IF($B120="Entry",IF(LEN(W120)&lt;4,"",IF(UPPER(MID(W120,4,1))="P","Individual",IF(UPPER(MID(W120,4,1))="H","HUF",IF(UPPER(MID(W120,4,1))="C","Company",IF(UPPER(MID(W120,4,1))="F","Firm/LLP",IF(UPPER(MID(W120,4,1))="L","Local Authority",IF(UPPER(MID(W120,4,1))="T","Trust",IF(UPPER(MID(W120,4,1))="A","AOP",IF(UPPER(MID(W120,4,1))="B","BOI",IF(UPPER(MID(W120,4,1))="J","AJP",IF(UPPER(MID(W120,4,1))="G","Government",""))))))))))),IF($B120="Challan","",IF(W120&lt;&gt;"","◄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IF($B121="Entry",IF(LEN(W121)&lt;4,"",IF(UPPER(MID(W121,4,1))="P","Individual",IF(UPPER(MID(W121,4,1))="H","HUF",IF(UPPER(MID(W121,4,1))="C","Company",IF(UPPER(MID(W121,4,1))="F","Firm/LLP",IF(UPPER(MID(W121,4,1))="L","Local Authority",IF(UPPER(MID(W121,4,1))="T","Trust",IF(UPPER(MID(W121,4,1))="A","AOP",IF(UPPER(MID(W121,4,1))="B","BOI",IF(UPPER(MID(W121,4,1))="J","AJP",IF(UPPER(MID(W121,4,1))="G","Government",""))))))))))),IF($B121="Challan","",IF(W121&lt;&gt;"","◄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IF($B122="Entry",IF(LEN(W122)&lt;4,"",IF(UPPER(MID(W122,4,1))="P","Individual",IF(UPPER(MID(W122,4,1))="H","HUF",IF(UPPER(MID(W122,4,1))="C","Company",IF(UPPER(MID(W122,4,1))="F","Firm/LLP",IF(UPPER(MID(W122,4,1))="L","Local Authority",IF(UPPER(MID(W122,4,1))="T","Trust",IF(UPPER(MID(W122,4,1))="A","AOP",IF(UPPER(MID(W122,4,1))="B","BOI",IF(UPPER(MID(W122,4,1))="J","AJP",IF(UPPER(MID(W122,4,1))="G","Government",""))))))))))),IF($B122="Challan","",IF(W122&lt;&gt;"","◄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IF($B123="Entry",IF(LEN(W123)&lt;4,"",IF(UPPER(MID(W123,4,1))="P","Individual",IF(UPPER(MID(W123,4,1))="H","HUF",IF(UPPER(MID(W123,4,1))="C","Company",IF(UPPER(MID(W123,4,1))="F","Firm/LLP",IF(UPPER(MID(W123,4,1))="L","Local Authority",IF(UPPER(MID(W123,4,1))="T","Trust",IF(UPPER(MID(W123,4,1))="A","AOP",IF(UPPER(MID(W123,4,1))="B","BOI",IF(UPPER(MID(W123,4,1))="J","AJP",IF(UPPER(MID(W123,4,1))="G","Government",""))))))))))),IF($B123="Challan","",IF(W123&lt;&gt;"","◄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IF($B124="Entry",IF(LEN(W124)&lt;4,"",IF(UPPER(MID(W124,4,1))="P","Individual",IF(UPPER(MID(W124,4,1))="H","HUF",IF(UPPER(MID(W124,4,1))="C","Company",IF(UPPER(MID(W124,4,1))="F","Firm/LLP",IF(UPPER(MID(W124,4,1))="L","Local Authority",IF(UPPER(MID(W124,4,1))="T","Trust",IF(UPPER(MID(W124,4,1))="A","AOP",IF(UPPER(MID(W124,4,1))="B","BOI",IF(UPPER(MID(W124,4,1))="J","AJP",IF(UPPER(MID(W124,4,1))="G","Government",""))))))))))),IF($B124="Challan","",IF(W124&lt;&gt;"","◄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IF($B125="Entry",IF(LEN(W125)&lt;4,"",IF(UPPER(MID(W125,4,1))="P","Individual",IF(UPPER(MID(W125,4,1))="H","HUF",IF(UPPER(MID(W125,4,1))="C","Company",IF(UPPER(MID(W125,4,1))="F","Firm/LLP",IF(UPPER(MID(W125,4,1))="L","Local Authority",IF(UPPER(MID(W125,4,1))="T","Trust",IF(UPPER(MID(W125,4,1))="A","AOP",IF(UPPER(MID(W125,4,1))="B","BOI",IF(UPPER(MID(W125,4,1))="J","AJP",IF(UPPER(MID(W125,4,1))="G","Government",""))))))))))),IF($B125="Challan","",IF(W125&lt;&gt;"","◄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IF($B126="Entry",IF(LEN(W126)&lt;4,"",IF(UPPER(MID(W126,4,1))="P","Individual",IF(UPPER(MID(W126,4,1))="H","HUF",IF(UPPER(MID(W126,4,1))="C","Company",IF(UPPER(MID(W126,4,1))="F","Firm/LLP",IF(UPPER(MID(W126,4,1))="L","Local Authority",IF(UPPER(MID(W126,4,1))="T","Trust",IF(UPPER(MID(W126,4,1))="A","AOP",IF(UPPER(MID(W126,4,1))="B","BOI",IF(UPPER(MID(W126,4,1))="J","AJP",IF(UPPER(MID(W126,4,1))="G","Government",""))))))))))),IF($B126="Challan","",IF(W126&lt;&gt;"","◄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IF($B127="Entry",IF(LEN(W127)&lt;4,"",IF(UPPER(MID(W127,4,1))="P","Individual",IF(UPPER(MID(W127,4,1))="H","HUF",IF(UPPER(MID(W127,4,1))="C","Company",IF(UPPER(MID(W127,4,1))="F","Firm/LLP",IF(UPPER(MID(W127,4,1))="L","Local Authority",IF(UPPER(MID(W127,4,1))="T","Trust",IF(UPPER(MID(W127,4,1))="A","AOP",IF(UPPER(MID(W127,4,1))="B","BOI",IF(UPPER(MID(W127,4,1))="J","AJP",IF(UPPER(MID(W127,4,1))="G","Government",""))))))))))),IF($B127="Challan","",IF(W127&lt;&gt;"","◄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IF($B128="Entry",IF(LEN(W128)&lt;4,"",IF(UPPER(MID(W128,4,1))="P","Individual",IF(UPPER(MID(W128,4,1))="H","HUF",IF(UPPER(MID(W128,4,1))="C","Company",IF(UPPER(MID(W128,4,1))="F","Firm/LLP",IF(UPPER(MID(W128,4,1))="L","Local Authority",IF(UPPER(MID(W128,4,1))="T","Trust",IF(UPPER(MID(W128,4,1))="A","AOP",IF(UPPER(MID(W128,4,1))="B","BOI",IF(UPPER(MID(W128,4,1))="J","AJP",IF(UPPER(MID(W128,4,1))="G","Government",""))))))))))),IF($B128="Challan","",IF(W128&lt;&gt;"","◄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IF($B129="Entry",IF(LEN(W129)&lt;4,"",IF(UPPER(MID(W129,4,1))="P","Individual",IF(UPPER(MID(W129,4,1))="H","HUF",IF(UPPER(MID(W129,4,1))="C","Company",IF(UPPER(MID(W129,4,1))="F","Firm/LLP",IF(UPPER(MID(W129,4,1))="L","Local Authority",IF(UPPER(MID(W129,4,1))="T","Trust",IF(UPPER(MID(W129,4,1))="A","AOP",IF(UPPER(MID(W129,4,1))="B","BOI",IF(UPPER(MID(W129,4,1))="J","AJP",IF(UPPER(MID(W129,4,1))="G","Government",""))))))))))),IF($B129="Challan","",IF(W129&lt;&gt;"","◄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IF($B130="Entry",IF(LEN(W130)&lt;4,"",IF(UPPER(MID(W130,4,1))="P","Individual",IF(UPPER(MID(W130,4,1))="H","HUF",IF(UPPER(MID(W130,4,1))="C","Company",IF(UPPER(MID(W130,4,1))="F","Firm/LLP",IF(UPPER(MID(W130,4,1))="L","Local Authority",IF(UPPER(MID(W130,4,1))="T","Trust",IF(UPPER(MID(W130,4,1))="A","AOP",IF(UPPER(MID(W130,4,1))="B","BOI",IF(UPPER(MID(W130,4,1))="J","AJP",IF(UPPER(MID(W130,4,1))="G","Government",""))))))))))),IF($B130="Challan","",IF(W130&lt;&gt;"","◄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IF($B131="Entry",IF(LEN(W131)&lt;4,"",IF(UPPER(MID(W131,4,1))="P","Individual",IF(UPPER(MID(W131,4,1))="H","HUF",IF(UPPER(MID(W131,4,1))="C","Company",IF(UPPER(MID(W131,4,1))="F","Firm/LLP",IF(UPPER(MID(W131,4,1))="L","Local Authority",IF(UPPER(MID(W131,4,1))="T","Trust",IF(UPPER(MID(W131,4,1))="A","AOP",IF(UPPER(MID(W131,4,1))="B","BOI",IF(UPPER(MID(W131,4,1))="J","AJP",IF(UPPER(MID(W131,4,1))="G","Government",""))))))))))),IF($B131="Challan","",IF(W131&lt;&gt;"","◄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IF($B132="Entry",IF(LEN(W132)&lt;4,"",IF(UPPER(MID(W132,4,1))="P","Individual",IF(UPPER(MID(W132,4,1))="H","HUF",IF(UPPER(MID(W132,4,1))="C","Company",IF(UPPER(MID(W132,4,1))="F","Firm/LLP",IF(UPPER(MID(W132,4,1))="L","Local Authority",IF(UPPER(MID(W132,4,1))="T","Trust",IF(UPPER(MID(W132,4,1))="A","AOP",IF(UPPER(MID(W132,4,1))="B","BOI",IF(UPPER(MID(W132,4,1))="J","AJP",IF(UPPER(MID(W132,4,1))="G","Government",""))))))))))),IF($B132="Challan","",IF(W132&lt;&gt;"","◄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IF($B133="Entry",IF(LEN(W133)&lt;4,"",IF(UPPER(MID(W133,4,1))="P","Individual",IF(UPPER(MID(W133,4,1))="H","HUF",IF(UPPER(MID(W133,4,1))="C","Company",IF(UPPER(MID(W133,4,1))="F","Firm/LLP",IF(UPPER(MID(W133,4,1))="L","Local Authority",IF(UPPER(MID(W133,4,1))="T","Trust",IF(UPPER(MID(W133,4,1))="A","AOP",IF(UPPER(MID(W133,4,1))="B","BOI",IF(UPPER(MID(W133,4,1))="J","AJP",IF(UPPER(MID(W133,4,1))="G","Government",""))))))))))),IF($B133="Challan","",IF(W133&lt;&gt;"","◄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IF($B134="Entry",IF(LEN(W134)&lt;4,"",IF(UPPER(MID(W134,4,1))="P","Individual",IF(UPPER(MID(W134,4,1))="H","HUF",IF(UPPER(MID(W134,4,1))="C","Company",IF(UPPER(MID(W134,4,1))="F","Firm/LLP",IF(UPPER(MID(W134,4,1))="L","Local Authority",IF(UPPER(MID(W134,4,1))="T","Trust",IF(UPPER(MID(W134,4,1))="A","AOP",IF(UPPER(MID(W134,4,1))="B","BOI",IF(UPPER(MID(W134,4,1))="J","AJP",IF(UPPER(MID(W134,4,1))="G","Government",""))))))))))),IF($B134="Challan","",IF(W134&lt;&gt;"","◄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IF($B135="Entry",IF(LEN(W135)&lt;4,"",IF(UPPER(MID(W135,4,1))="P","Individual",IF(UPPER(MID(W135,4,1))="H","HUF",IF(UPPER(MID(W135,4,1))="C","Company",IF(UPPER(MID(W135,4,1))="F","Firm/LLP",IF(UPPER(MID(W135,4,1))="L","Local Authority",IF(UPPER(MID(W135,4,1))="T","Trust",IF(UPPER(MID(W135,4,1))="A","AOP",IF(UPPER(MID(W135,4,1))="B","BOI",IF(UPPER(MID(W135,4,1))="J","AJP",IF(UPPER(MID(W135,4,1))="G","Government",""))))))))))),IF($B135="Challan","",IF(W135&lt;&gt;"","◄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IF($B136="Entry",IF(LEN(W136)&lt;4,"",IF(UPPER(MID(W136,4,1))="P","Individual",IF(UPPER(MID(W136,4,1))="H","HUF",IF(UPPER(MID(W136,4,1))="C","Company",IF(UPPER(MID(W136,4,1))="F","Firm/LLP",IF(UPPER(MID(W136,4,1))="L","Local Authority",IF(UPPER(MID(W136,4,1))="T","Trust",IF(UPPER(MID(W136,4,1))="A","AOP",IF(UPPER(MID(W136,4,1))="B","BOI",IF(UPPER(MID(W136,4,1))="J","AJP",IF(UPPER(MID(W136,4,1))="G","Government",""))))))))))),IF($B136="Challan","",IF(W136&lt;&gt;"","◄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IF($B137="Entry",IF(LEN(W137)&lt;4,"",IF(UPPER(MID(W137,4,1))="P","Individual",IF(UPPER(MID(W137,4,1))="H","HUF",IF(UPPER(MID(W137,4,1))="C","Company",IF(UPPER(MID(W137,4,1))="F","Firm/LLP",IF(UPPER(MID(W137,4,1))="L","Local Authority",IF(UPPER(MID(W137,4,1))="T","Trust",IF(UPPER(MID(W137,4,1))="A","AOP",IF(UPPER(MID(W137,4,1))="B","BOI",IF(UPPER(MID(W137,4,1))="J","AJP",IF(UPPER(MID(W137,4,1))="G","Government",""))))))))))),IF($B137="Challan","",IF(W137&lt;&gt;"","◄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IF($B138="Entry",IF(LEN(W138)&lt;4,"",IF(UPPER(MID(W138,4,1))="P","Individual",IF(UPPER(MID(W138,4,1))="H","HUF",IF(UPPER(MID(W138,4,1))="C","Company",IF(UPPER(MID(W138,4,1))="F","Firm/LLP",IF(UPPER(MID(W138,4,1))="L","Local Authority",IF(UPPER(MID(W138,4,1))="T","Trust",IF(UPPER(MID(W138,4,1))="A","AOP",IF(UPPER(MID(W138,4,1))="B","BOI",IF(UPPER(MID(W138,4,1))="J","AJP",IF(UPPER(MID(W138,4,1))="G","Government",""))))))))))),IF($B138="Challan","",IF(W138&lt;&gt;"","◄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IF($B139="Entry",IF(LEN(W139)&lt;4,"",IF(UPPER(MID(W139,4,1))="P","Individual",IF(UPPER(MID(W139,4,1))="H","HUF",IF(UPPER(MID(W139,4,1))="C","Company",IF(UPPER(MID(W139,4,1))="F","Firm/LLP",IF(UPPER(MID(W139,4,1))="L","Local Authority",IF(UPPER(MID(W139,4,1))="T","Trust",IF(UPPER(MID(W139,4,1))="A","AOP",IF(UPPER(MID(W139,4,1))="B","BOI",IF(UPPER(MID(W139,4,1))="J","AJP",IF(UPPER(MID(W139,4,1))="G","Government",""))))))))))),IF($B139="Challan","",IF(W139&lt;&gt;"","◄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IF($B140="Entry",IF(LEN(W140)&lt;4,"",IF(UPPER(MID(W140,4,1))="P","Individual",IF(UPPER(MID(W140,4,1))="H","HUF",IF(UPPER(MID(W140,4,1))="C","Company",IF(UPPER(MID(W140,4,1))="F","Firm/LLP",IF(UPPER(MID(W140,4,1))="L","Local Authority",IF(UPPER(MID(W140,4,1))="T","Trust",IF(UPPER(MID(W140,4,1))="A","AOP",IF(UPPER(MID(W140,4,1))="B","BOI",IF(UPPER(MID(W140,4,1))="J","AJP",IF(UPPER(MID(W140,4,1))="G","Government",""))))))))))),IF($B140="Challan","",IF(W140&lt;&gt;"","◄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IF($B141="Entry",IF(LEN(W141)&lt;4,"",IF(UPPER(MID(W141,4,1))="P","Individual",IF(UPPER(MID(W141,4,1))="H","HUF",IF(UPPER(MID(W141,4,1))="C","Company",IF(UPPER(MID(W141,4,1))="F","Firm/LLP",IF(UPPER(MID(W141,4,1))="L","Local Authority",IF(UPPER(MID(W141,4,1))="T","Trust",IF(UPPER(MID(W141,4,1))="A","AOP",IF(UPPER(MID(W141,4,1))="B","BOI",IF(UPPER(MID(W141,4,1))="J","AJP",IF(UPPER(MID(W141,4,1))="G","Government",""))))))))))),IF($B141="Challan","",IF(W141&lt;&gt;"","◄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IF($B142="Entry",IF(LEN(W142)&lt;4,"",IF(UPPER(MID(W142,4,1))="P","Individual",IF(UPPER(MID(W142,4,1))="H","HUF",IF(UPPER(MID(W142,4,1))="C","Company",IF(UPPER(MID(W142,4,1))="F","Firm/LLP",IF(UPPER(MID(W142,4,1))="L","Local Authority",IF(UPPER(MID(W142,4,1))="T","Trust",IF(UPPER(MID(W142,4,1))="A","AOP",IF(UPPER(MID(W142,4,1))="B","BOI",IF(UPPER(MID(W142,4,1))="J","AJP",IF(UPPER(MID(W142,4,1))="G","Government",""))))))))))),IF($B142="Challan","",IF(W142&lt;&gt;"","◄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IF($B143="Entry",IF(LEN(W143)&lt;4,"",IF(UPPER(MID(W143,4,1))="P","Individual",IF(UPPER(MID(W143,4,1))="H","HUF",IF(UPPER(MID(W143,4,1))="C","Company",IF(UPPER(MID(W143,4,1))="F","Firm/LLP",IF(UPPER(MID(W143,4,1))="L","Local Authority",IF(UPPER(MID(W143,4,1))="T","Trust",IF(UPPER(MID(W143,4,1))="A","AOP",IF(UPPER(MID(W143,4,1))="B","BOI",IF(UPPER(MID(W143,4,1))="J","AJP",IF(UPPER(MID(W143,4,1))="G","Government",""))))))))))),IF($B143="Challan","",IF(W143&lt;&gt;"","◄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IF($B144="Entry",IF(LEN(W144)&lt;4,"",IF(UPPER(MID(W144,4,1))="P","Individual",IF(UPPER(MID(W144,4,1))="H","HUF",IF(UPPER(MID(W144,4,1))="C","Company",IF(UPPER(MID(W144,4,1))="F","Firm/LLP",IF(UPPER(MID(W144,4,1))="L","Local Authority",IF(UPPER(MID(W144,4,1))="T","Trust",IF(UPPER(MID(W144,4,1))="A","AOP",IF(UPPER(MID(W144,4,1))="B","BOI",IF(UPPER(MID(W144,4,1))="J","AJP",IF(UPPER(MID(W144,4,1))="G","Government",""))))))))))),IF($B144="Challan","",IF(W144&lt;&gt;"","◄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IF($B145="Entry",IF(LEN(W145)&lt;4,"",IF(UPPER(MID(W145,4,1))="P","Individual",IF(UPPER(MID(W145,4,1))="H","HUF",IF(UPPER(MID(W145,4,1))="C","Company",IF(UPPER(MID(W145,4,1))="F","Firm/LLP",IF(UPPER(MID(W145,4,1))="L","Local Authority",IF(UPPER(MID(W145,4,1))="T","Trust",IF(UPPER(MID(W145,4,1))="A","AOP",IF(UPPER(MID(W145,4,1))="B","BOI",IF(UPPER(MID(W145,4,1))="J","AJP",IF(UPPER(MID(W145,4,1))="G","Government",""))))))))))),IF($B145="Challan","",IF(W145&lt;&gt;"","◄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IF($B146="Entry",IF(LEN(W146)&lt;4,"",IF(UPPER(MID(W146,4,1))="P","Individual",IF(UPPER(MID(W146,4,1))="H","HUF",IF(UPPER(MID(W146,4,1))="C","Company",IF(UPPER(MID(W146,4,1))="F","Firm/LLP",IF(UPPER(MID(W146,4,1))="L","Local Authority",IF(UPPER(MID(W146,4,1))="T","Trust",IF(UPPER(MID(W146,4,1))="A","AOP",IF(UPPER(MID(W146,4,1))="B","BOI",IF(UPPER(MID(W146,4,1))="J","AJP",IF(UPPER(MID(W146,4,1))="G","Government",""))))))))))),IF($B146="Challan","",IF(W146&lt;&gt;"","◄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IF($B147="Entry",IF(LEN(W147)&lt;4,"",IF(UPPER(MID(W147,4,1))="P","Individual",IF(UPPER(MID(W147,4,1))="H","HUF",IF(UPPER(MID(W147,4,1))="C","Company",IF(UPPER(MID(W147,4,1))="F","Firm/LLP",IF(UPPER(MID(W147,4,1))="L","Local Authority",IF(UPPER(MID(W147,4,1))="T","Trust",IF(UPPER(MID(W147,4,1))="A","AOP",IF(UPPER(MID(W147,4,1))="B","BOI",IF(UPPER(MID(W147,4,1))="J","AJP",IF(UPPER(MID(W147,4,1))="G","Government",""))))))))))),IF($B147="Challan","",IF(W147&lt;&gt;"","◄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IF($B148="Entry",IF(LEN(W148)&lt;4,"",IF(UPPER(MID(W148,4,1))="P","Individual",IF(UPPER(MID(W148,4,1))="H","HUF",IF(UPPER(MID(W148,4,1))="C","Company",IF(UPPER(MID(W148,4,1))="F","Firm/LLP",IF(UPPER(MID(W148,4,1))="L","Local Authority",IF(UPPER(MID(W148,4,1))="T","Trust",IF(UPPER(MID(W148,4,1))="A","AOP",IF(UPPER(MID(W148,4,1))="B","BOI",IF(UPPER(MID(W148,4,1))="J","AJP",IF(UPPER(MID(W148,4,1))="G","Government",""))))))))))),IF($B148="Challan","",IF(W148&lt;&gt;"","◄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IF($B149="Entry",IF(LEN(W149)&lt;4,"",IF(UPPER(MID(W149,4,1))="P","Individual",IF(UPPER(MID(W149,4,1))="H","HUF",IF(UPPER(MID(W149,4,1))="C","Company",IF(UPPER(MID(W149,4,1))="F","Firm/LLP",IF(UPPER(MID(W149,4,1))="L","Local Authority",IF(UPPER(MID(W149,4,1))="T","Trust",IF(UPPER(MID(W149,4,1))="A","AOP",IF(UPPER(MID(W149,4,1))="B","BOI",IF(UPPER(MID(W149,4,1))="J","AJP",IF(UPPER(MID(W149,4,1))="G","Government",""))))))))))),IF($B149="Challan","",IF(W149&lt;&gt;"","◄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IF($B150="Entry",IF(LEN(W150)&lt;4,"",IF(UPPER(MID(W150,4,1))="P","Individual",IF(UPPER(MID(W150,4,1))="H","HUF",IF(UPPER(MID(W150,4,1))="C","Company",IF(UPPER(MID(W150,4,1))="F","Firm/LLP",IF(UPPER(MID(W150,4,1))="L","Local Authority",IF(UPPER(MID(W150,4,1))="T","Trust",IF(UPPER(MID(W150,4,1))="A","AOP",IF(UPPER(MID(W150,4,1))="B","BOI",IF(UPPER(MID(W150,4,1))="J","AJP",IF(UPPER(MID(W150,4,1))="G","Government",""))))))))))),IF($B150="Challan","",IF(W150&lt;&gt;"","◄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IF($B151="Entry",IF(LEN(W151)&lt;4,"",IF(UPPER(MID(W151,4,1))="P","Individual",IF(UPPER(MID(W151,4,1))="H","HUF",IF(UPPER(MID(W151,4,1))="C","Company",IF(UPPER(MID(W151,4,1))="F","Firm/LLP",IF(UPPER(MID(W151,4,1))="L","Local Authority",IF(UPPER(MID(W151,4,1))="T","Trust",IF(UPPER(MID(W151,4,1))="A","AOP",IF(UPPER(MID(W151,4,1))="B","BOI",IF(UPPER(MID(W151,4,1))="J","AJP",IF(UPPER(MID(W151,4,1))="G","Government",""))))))))))),IF($B151="Challan","",IF(W151&lt;&gt;"","◄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IF($B152="Entry",IF(LEN(W152)&lt;4,"",IF(UPPER(MID(W152,4,1))="P","Individual",IF(UPPER(MID(W152,4,1))="H","HUF",IF(UPPER(MID(W152,4,1))="C","Company",IF(UPPER(MID(W152,4,1))="F","Firm/LLP",IF(UPPER(MID(W152,4,1))="L","Local Authority",IF(UPPER(MID(W152,4,1))="T","Trust",IF(UPPER(MID(W152,4,1))="A","AOP",IF(UPPER(MID(W152,4,1))="B","BOI",IF(UPPER(MID(W152,4,1))="J","AJP",IF(UPPER(MID(W152,4,1))="G","Government",""))))))))))),IF($B152="Challan","",IF(W152&lt;&gt;"","◄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IF($B153="Entry",IF(LEN(W153)&lt;4,"",IF(UPPER(MID(W153,4,1))="P","Individual",IF(UPPER(MID(W153,4,1))="H","HUF",IF(UPPER(MID(W153,4,1))="C","Company",IF(UPPER(MID(W153,4,1))="F","Firm/LLP",IF(UPPER(MID(W153,4,1))="L","Local Authority",IF(UPPER(MID(W153,4,1))="T","Trust",IF(UPPER(MID(W153,4,1))="A","AOP",IF(UPPER(MID(W153,4,1))="B","BOI",IF(UPPER(MID(W153,4,1))="J","AJP",IF(UPPER(MID(W153,4,1))="G","Government",""))))))))))),IF($B153="Challan","",IF(W153&lt;&gt;"","◄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IF($B154="Entry",IF(LEN(W154)&lt;4,"",IF(UPPER(MID(W154,4,1))="P","Individual",IF(UPPER(MID(W154,4,1))="H","HUF",IF(UPPER(MID(W154,4,1))="C","Company",IF(UPPER(MID(W154,4,1))="F","Firm/LLP",IF(UPPER(MID(W154,4,1))="L","Local Authority",IF(UPPER(MID(W154,4,1))="T","Trust",IF(UPPER(MID(W154,4,1))="A","AOP",IF(UPPER(MID(W154,4,1))="B","BOI",IF(UPPER(MID(W154,4,1))="J","AJP",IF(UPPER(MID(W154,4,1))="G","Government",""))))))))))),IF($B154="Challan","",IF(W154&lt;&gt;"","◄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IF($B155="Entry",IF(LEN(W155)&lt;4,"",IF(UPPER(MID(W155,4,1))="P","Individual",IF(UPPER(MID(W155,4,1))="H","HUF",IF(UPPER(MID(W155,4,1))="C","Company",IF(UPPER(MID(W155,4,1))="F","Firm/LLP",IF(UPPER(MID(W155,4,1))="L","Local Authority",IF(UPPER(MID(W155,4,1))="T","Trust",IF(UPPER(MID(W155,4,1))="A","AOP",IF(UPPER(MID(W155,4,1))="B","BOI",IF(UPPER(MID(W155,4,1))="J","AJP",IF(UPPER(MID(W155,4,1))="G","Government",""))))))))))),IF($B155="Challan","",IF(W155&lt;&gt;"","◄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IF($B156="Entry",IF(LEN(W156)&lt;4,"",IF(UPPER(MID(W156,4,1))="P","Individual",IF(UPPER(MID(W156,4,1))="H","HUF",IF(UPPER(MID(W156,4,1))="C","Company",IF(UPPER(MID(W156,4,1))="F","Firm/LLP",IF(UPPER(MID(W156,4,1))="L","Local Authority",IF(UPPER(MID(W156,4,1))="T","Trust",IF(UPPER(MID(W156,4,1))="A","AOP",IF(UPPER(MID(W156,4,1))="B","BOI",IF(UPPER(MID(W156,4,1))="J","AJP",IF(UPPER(MID(W156,4,1))="G","Government",""))))))))))),IF($B156="Challan","",IF(W156&lt;&gt;"","◄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IF($B157="Entry",IF(LEN(W157)&lt;4,"",IF(UPPER(MID(W157,4,1))="P","Individual",IF(UPPER(MID(W157,4,1))="H","HUF",IF(UPPER(MID(W157,4,1))="C","Company",IF(UPPER(MID(W157,4,1))="F","Firm/LLP",IF(UPPER(MID(W157,4,1))="L","Local Authority",IF(UPPER(MID(W157,4,1))="T","Trust",IF(UPPER(MID(W157,4,1))="A","AOP",IF(UPPER(MID(W157,4,1))="B","BOI",IF(UPPER(MID(W157,4,1))="J","AJP",IF(UPPER(MID(W157,4,1))="G","Government",""))))))))))),IF($B157="Challan","",IF(W157&lt;&gt;"","◄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IF($B158="Entry",IF(LEN(W158)&lt;4,"",IF(UPPER(MID(W158,4,1))="P","Individual",IF(UPPER(MID(W158,4,1))="H","HUF",IF(UPPER(MID(W158,4,1))="C","Company",IF(UPPER(MID(W158,4,1))="F","Firm/LLP",IF(UPPER(MID(W158,4,1))="L","Local Authority",IF(UPPER(MID(W158,4,1))="T","Trust",IF(UPPER(MID(W158,4,1))="A","AOP",IF(UPPER(MID(W158,4,1))="B","BOI",IF(UPPER(MID(W158,4,1))="J","AJP",IF(UPPER(MID(W158,4,1))="G","Government",""))))))))))),IF($B158="Challan","",IF(W158&lt;&gt;"","◄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IF($B159="Entry",IF(LEN(W159)&lt;4,"",IF(UPPER(MID(W159,4,1))="P","Individual",IF(UPPER(MID(W159,4,1))="H","HUF",IF(UPPER(MID(W159,4,1))="C","Company",IF(UPPER(MID(W159,4,1))="F","Firm/LLP",IF(UPPER(MID(W159,4,1))="L","Local Authority",IF(UPPER(MID(W159,4,1))="T","Trust",IF(UPPER(MID(W159,4,1))="A","AOP",IF(UPPER(MID(W159,4,1))="B","BOI",IF(UPPER(MID(W159,4,1))="J","AJP",IF(UPPER(MID(W159,4,1))="G","Government",""))))))))))),IF($B159="Challan","",IF(W159&lt;&gt;"","◄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IF($B160="Entry",IF(LEN(W160)&lt;4,"",IF(UPPER(MID(W160,4,1))="P","Individual",IF(UPPER(MID(W160,4,1))="H","HUF",IF(UPPER(MID(W160,4,1))="C","Company",IF(UPPER(MID(W160,4,1))="F","Firm/LLP",IF(UPPER(MID(W160,4,1))="L","Local Authority",IF(UPPER(MID(W160,4,1))="T","Trust",IF(UPPER(MID(W160,4,1))="A","AOP",IF(UPPER(MID(W160,4,1))="B","BOI",IF(UPPER(MID(W160,4,1))="J","AJP",IF(UPPER(MID(W160,4,1))="G","Government",""))))))))))),IF($B160="Challan","",IF(W160&lt;&gt;"","◄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IF($B161="Entry",IF(LEN(W161)&lt;4,"",IF(UPPER(MID(W161,4,1))="P","Individual",IF(UPPER(MID(W161,4,1))="H","HUF",IF(UPPER(MID(W161,4,1))="C","Company",IF(UPPER(MID(W161,4,1))="F","Firm/LLP",IF(UPPER(MID(W161,4,1))="L","Local Authority",IF(UPPER(MID(W161,4,1))="T","Trust",IF(UPPER(MID(W161,4,1))="A","AOP",IF(UPPER(MID(W161,4,1))="B","BOI",IF(UPPER(MID(W161,4,1))="J","AJP",IF(UPPER(MID(W161,4,1))="G","Government",""))))))))))),IF($B161="Challan","",IF(W161&lt;&gt;"","◄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IF($B162="Entry",IF(LEN(W162)&lt;4,"",IF(UPPER(MID(W162,4,1))="P","Individual",IF(UPPER(MID(W162,4,1))="H","HUF",IF(UPPER(MID(W162,4,1))="C","Company",IF(UPPER(MID(W162,4,1))="F","Firm/LLP",IF(UPPER(MID(W162,4,1))="L","Local Authority",IF(UPPER(MID(W162,4,1))="T","Trust",IF(UPPER(MID(W162,4,1))="A","AOP",IF(UPPER(MID(W162,4,1))="B","BOI",IF(UPPER(MID(W162,4,1))="J","AJP",IF(UPPER(MID(W162,4,1))="G","Government",""))))))))))),IF($B162="Challan","",IF(W162&lt;&gt;"","◄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IF($B163="Entry",IF(LEN(W163)&lt;4,"",IF(UPPER(MID(W163,4,1))="P","Individual",IF(UPPER(MID(W163,4,1))="H","HUF",IF(UPPER(MID(W163,4,1))="C","Company",IF(UPPER(MID(W163,4,1))="F","Firm/LLP",IF(UPPER(MID(W163,4,1))="L","Local Authority",IF(UPPER(MID(W163,4,1))="T","Trust",IF(UPPER(MID(W163,4,1))="A","AOP",IF(UPPER(MID(W163,4,1))="B","BOI",IF(UPPER(MID(W163,4,1))="J","AJP",IF(UPPER(MID(W163,4,1))="G","Government",""))))))))))),IF($B163="Challan","",IF(W163&lt;&gt;"","◄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IF($B164="Entry",IF(LEN(W164)&lt;4,"",IF(UPPER(MID(W164,4,1))="P","Individual",IF(UPPER(MID(W164,4,1))="H","HUF",IF(UPPER(MID(W164,4,1))="C","Company",IF(UPPER(MID(W164,4,1))="F","Firm/LLP",IF(UPPER(MID(W164,4,1))="L","Local Authority",IF(UPPER(MID(W164,4,1))="T","Trust",IF(UPPER(MID(W164,4,1))="A","AOP",IF(UPPER(MID(W164,4,1))="B","BOI",IF(UPPER(MID(W164,4,1))="J","AJP",IF(UPPER(MID(W164,4,1))="G","Government",""))))))))))),IF($B164="Challan","",IF(W164&lt;&gt;"","◄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IF($B165="Entry",IF(LEN(W165)&lt;4,"",IF(UPPER(MID(W165,4,1))="P","Individual",IF(UPPER(MID(W165,4,1))="H","HUF",IF(UPPER(MID(W165,4,1))="C","Company",IF(UPPER(MID(W165,4,1))="F","Firm/LLP",IF(UPPER(MID(W165,4,1))="L","Local Authority",IF(UPPER(MID(W165,4,1))="T","Trust",IF(UPPER(MID(W165,4,1))="A","AOP",IF(UPPER(MID(W165,4,1))="B","BOI",IF(UPPER(MID(W165,4,1))="J","AJP",IF(UPPER(MID(W165,4,1))="G","Government",""))))))))))),IF($B165="Challan","",IF(W165&lt;&gt;"","◄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IF($B166="Entry",IF(LEN(W166)&lt;4,"",IF(UPPER(MID(W166,4,1))="P","Individual",IF(UPPER(MID(W166,4,1))="H","HUF",IF(UPPER(MID(W166,4,1))="C","Company",IF(UPPER(MID(W166,4,1))="F","Firm/LLP",IF(UPPER(MID(W166,4,1))="L","Local Authority",IF(UPPER(MID(W166,4,1))="T","Trust",IF(UPPER(MID(W166,4,1))="A","AOP",IF(UPPER(MID(W166,4,1))="B","BOI",IF(UPPER(MID(W166,4,1))="J","AJP",IF(UPPER(MID(W166,4,1))="G","Government",""))))))))))),IF($B166="Challan","",IF(W166&lt;&gt;"","◄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IF($B167="Entry",IF(LEN(W167)&lt;4,"",IF(UPPER(MID(W167,4,1))="P","Individual",IF(UPPER(MID(W167,4,1))="H","HUF",IF(UPPER(MID(W167,4,1))="C","Company",IF(UPPER(MID(W167,4,1))="F","Firm/LLP",IF(UPPER(MID(W167,4,1))="L","Local Authority",IF(UPPER(MID(W167,4,1))="T","Trust",IF(UPPER(MID(W167,4,1))="A","AOP",IF(UPPER(MID(W167,4,1))="B","BOI",IF(UPPER(MID(W167,4,1))="J","AJP",IF(UPPER(MID(W167,4,1))="G","Government",""))))))))))),IF($B167="Challan","",IF(W167&lt;&gt;"","◄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IF($B168="Entry",IF(LEN(W168)&lt;4,"",IF(UPPER(MID(W168,4,1))="P","Individual",IF(UPPER(MID(W168,4,1))="H","HUF",IF(UPPER(MID(W168,4,1))="C","Company",IF(UPPER(MID(W168,4,1))="F","Firm/LLP",IF(UPPER(MID(W168,4,1))="L","Local Authority",IF(UPPER(MID(W168,4,1))="T","Trust",IF(UPPER(MID(W168,4,1))="A","AOP",IF(UPPER(MID(W168,4,1))="B","BOI",IF(UPPER(MID(W168,4,1))="J","AJP",IF(UPPER(MID(W168,4,1))="G","Government",""))))))))))),IF($B168="Challan","",IF(W168&lt;&gt;"","◄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IF($B169="Entry",IF(LEN(W169)&lt;4,"",IF(UPPER(MID(W169,4,1))="P","Individual",IF(UPPER(MID(W169,4,1))="H","HUF",IF(UPPER(MID(W169,4,1))="C","Company",IF(UPPER(MID(W169,4,1))="F","Firm/LLP",IF(UPPER(MID(W169,4,1))="L","Local Authority",IF(UPPER(MID(W169,4,1))="T","Trust",IF(UPPER(MID(W169,4,1))="A","AOP",IF(UPPER(MID(W169,4,1))="B","BOI",IF(UPPER(MID(W169,4,1))="J","AJP",IF(UPPER(MID(W169,4,1))="G","Government",""))))))))))),IF($B169="Challan","",IF(W169&lt;&gt;"","◄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IF($B170="Entry",IF(LEN(W170)&lt;4,"",IF(UPPER(MID(W170,4,1))="P","Individual",IF(UPPER(MID(W170,4,1))="H","HUF",IF(UPPER(MID(W170,4,1))="C","Company",IF(UPPER(MID(W170,4,1))="F","Firm/LLP",IF(UPPER(MID(W170,4,1))="L","Local Authority",IF(UPPER(MID(W170,4,1))="T","Trust",IF(UPPER(MID(W170,4,1))="A","AOP",IF(UPPER(MID(W170,4,1))="B","BOI",IF(UPPER(MID(W170,4,1))="J","AJP",IF(UPPER(MID(W170,4,1))="G","Government",""))))))))))),IF($B170="Challan","",IF(W170&lt;&gt;"","◄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IF($B171="Entry",IF(LEN(W171)&lt;4,"",IF(UPPER(MID(W171,4,1))="P","Individual",IF(UPPER(MID(W171,4,1))="H","HUF",IF(UPPER(MID(W171,4,1))="C","Company",IF(UPPER(MID(W171,4,1))="F","Firm/LLP",IF(UPPER(MID(W171,4,1))="L","Local Authority",IF(UPPER(MID(W171,4,1))="T","Trust",IF(UPPER(MID(W171,4,1))="A","AOP",IF(UPPER(MID(W171,4,1))="B","BOI",IF(UPPER(MID(W171,4,1))="J","AJP",IF(UPPER(MID(W171,4,1))="G","Government",""))))))))))),IF($B171="Challan","",IF(W171&lt;&gt;"","◄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IF($B172="Entry",IF(LEN(W172)&lt;4,"",IF(UPPER(MID(W172,4,1))="P","Individual",IF(UPPER(MID(W172,4,1))="H","HUF",IF(UPPER(MID(W172,4,1))="C","Company",IF(UPPER(MID(W172,4,1))="F","Firm/LLP",IF(UPPER(MID(W172,4,1))="L","Local Authority",IF(UPPER(MID(W172,4,1))="T","Trust",IF(UPPER(MID(W172,4,1))="A","AOP",IF(UPPER(MID(W172,4,1))="B","BOI",IF(UPPER(MID(W172,4,1))="J","AJP",IF(UPPER(MID(W172,4,1))="G","Government",""))))))))))),IF($B172="Challan","",IF(W172&lt;&gt;"","◄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IF($B173="Entry",IF(LEN(W173)&lt;4,"",IF(UPPER(MID(W173,4,1))="P","Individual",IF(UPPER(MID(W173,4,1))="H","HUF",IF(UPPER(MID(W173,4,1))="C","Company",IF(UPPER(MID(W173,4,1))="F","Firm/LLP",IF(UPPER(MID(W173,4,1))="L","Local Authority",IF(UPPER(MID(W173,4,1))="T","Trust",IF(UPPER(MID(W173,4,1))="A","AOP",IF(UPPER(MID(W173,4,1))="B","BOI",IF(UPPER(MID(W173,4,1))="J","AJP",IF(UPPER(MID(W173,4,1))="G","Government",""))))))))))),IF($B173="Challan","",IF(W173&lt;&gt;"","◄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IF($B174="Entry",IF(LEN(W174)&lt;4,"",IF(UPPER(MID(W174,4,1))="P","Individual",IF(UPPER(MID(W174,4,1))="H","HUF",IF(UPPER(MID(W174,4,1))="C","Company",IF(UPPER(MID(W174,4,1))="F","Firm/LLP",IF(UPPER(MID(W174,4,1))="L","Local Authority",IF(UPPER(MID(W174,4,1))="T","Trust",IF(UPPER(MID(W174,4,1))="A","AOP",IF(UPPER(MID(W174,4,1))="B","BOI",IF(UPPER(MID(W174,4,1))="J","AJP",IF(UPPER(MID(W174,4,1))="G","Government",""))))))))))),IF($B174="Challan","",IF(W174&lt;&gt;"","◄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IF($B175="Entry",IF(LEN(W175)&lt;4,"",IF(UPPER(MID(W175,4,1))="P","Individual",IF(UPPER(MID(W175,4,1))="H","HUF",IF(UPPER(MID(W175,4,1))="C","Company",IF(UPPER(MID(W175,4,1))="F","Firm/LLP",IF(UPPER(MID(W175,4,1))="L","Local Authority",IF(UPPER(MID(W175,4,1))="T","Trust",IF(UPPER(MID(W175,4,1))="A","AOP",IF(UPPER(MID(W175,4,1))="B","BOI",IF(UPPER(MID(W175,4,1))="J","AJP",IF(UPPER(MID(W175,4,1))="G","Government",""))))))))))),IF($B175="Challan","",IF(W175&lt;&gt;"","◄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IF($B176="Entry",IF(LEN(W176)&lt;4,"",IF(UPPER(MID(W176,4,1))="P","Individual",IF(UPPER(MID(W176,4,1))="H","HUF",IF(UPPER(MID(W176,4,1))="C","Company",IF(UPPER(MID(W176,4,1))="F","Firm/LLP",IF(UPPER(MID(W176,4,1))="L","Local Authority",IF(UPPER(MID(W176,4,1))="T","Trust",IF(UPPER(MID(W176,4,1))="A","AOP",IF(UPPER(MID(W176,4,1))="B","BOI",IF(UPPER(MID(W176,4,1))="J","AJP",IF(UPPER(MID(W176,4,1))="G","Government",""))))))))))),IF($B176="Challan","",IF(W176&lt;&gt;"","◄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IF($B177="Entry",IF(LEN(W177)&lt;4,"",IF(UPPER(MID(W177,4,1))="P","Individual",IF(UPPER(MID(W177,4,1))="H","HUF",IF(UPPER(MID(W177,4,1))="C","Company",IF(UPPER(MID(W177,4,1))="F","Firm/LLP",IF(UPPER(MID(W177,4,1))="L","Local Authority",IF(UPPER(MID(W177,4,1))="T","Trust",IF(UPPER(MID(W177,4,1))="A","AOP",IF(UPPER(MID(W177,4,1))="B","BOI",IF(UPPER(MID(W177,4,1))="J","AJP",IF(UPPER(MID(W177,4,1))="G","Government",""))))))))))),IF($B177="Challan","",IF(W177&lt;&gt;"","◄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IF($B178="Entry",IF(LEN(W178)&lt;4,"",IF(UPPER(MID(W178,4,1))="P","Individual",IF(UPPER(MID(W178,4,1))="H","HUF",IF(UPPER(MID(W178,4,1))="C","Company",IF(UPPER(MID(W178,4,1))="F","Firm/LLP",IF(UPPER(MID(W178,4,1))="L","Local Authority",IF(UPPER(MID(W178,4,1))="T","Trust",IF(UPPER(MID(W178,4,1))="A","AOP",IF(UPPER(MID(W178,4,1))="B","BOI",IF(UPPER(MID(W178,4,1))="J","AJP",IF(UPPER(MID(W178,4,1))="G","Government",""))))))))))),IF($B178="Challan","",IF(W178&lt;&gt;"","◄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IF($B179="Entry",IF(LEN(W179)&lt;4,"",IF(UPPER(MID(W179,4,1))="P","Individual",IF(UPPER(MID(W179,4,1))="H","HUF",IF(UPPER(MID(W179,4,1))="C","Company",IF(UPPER(MID(W179,4,1))="F","Firm/LLP",IF(UPPER(MID(W179,4,1))="L","Local Authority",IF(UPPER(MID(W179,4,1))="T","Trust",IF(UPPER(MID(W179,4,1))="A","AOP",IF(UPPER(MID(W179,4,1))="B","BOI",IF(UPPER(MID(W179,4,1))="J","AJP",IF(UPPER(MID(W179,4,1))="G","Government",""))))))))))),IF($B179="Challan","",IF(W179&lt;&gt;"","◄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IF($B180="Entry",IF(LEN(W180)&lt;4,"",IF(UPPER(MID(W180,4,1))="P","Individual",IF(UPPER(MID(W180,4,1))="H","HUF",IF(UPPER(MID(W180,4,1))="C","Company",IF(UPPER(MID(W180,4,1))="F","Firm/LLP",IF(UPPER(MID(W180,4,1))="L","Local Authority",IF(UPPER(MID(W180,4,1))="T","Trust",IF(UPPER(MID(W180,4,1))="A","AOP",IF(UPPER(MID(W180,4,1))="B","BOI",IF(UPPER(MID(W180,4,1))="J","AJP",IF(UPPER(MID(W180,4,1))="G","Government",""))))))))))),IF($B180="Challan","",IF(W180&lt;&gt;"","◄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IF($B181="Entry",IF(LEN(W181)&lt;4,"",IF(UPPER(MID(W181,4,1))="P","Individual",IF(UPPER(MID(W181,4,1))="H","HUF",IF(UPPER(MID(W181,4,1))="C","Company",IF(UPPER(MID(W181,4,1))="F","Firm/LLP",IF(UPPER(MID(W181,4,1))="L","Local Authority",IF(UPPER(MID(W181,4,1))="T","Trust",IF(UPPER(MID(W181,4,1))="A","AOP",IF(UPPER(MID(W181,4,1))="B","BOI",IF(UPPER(MID(W181,4,1))="J","AJP",IF(UPPER(MID(W181,4,1))="G","Government",""))))))))))),IF($B181="Challan","",IF(W181&lt;&gt;"","◄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IF($B182="Entry",IF(LEN(W182)&lt;4,"",IF(UPPER(MID(W182,4,1))="P","Individual",IF(UPPER(MID(W182,4,1))="H","HUF",IF(UPPER(MID(W182,4,1))="C","Company",IF(UPPER(MID(W182,4,1))="F","Firm/LLP",IF(UPPER(MID(W182,4,1))="L","Local Authority",IF(UPPER(MID(W182,4,1))="T","Trust",IF(UPPER(MID(W182,4,1))="A","AOP",IF(UPPER(MID(W182,4,1))="B","BOI",IF(UPPER(MID(W182,4,1))="J","AJP",IF(UPPER(MID(W182,4,1))="G","Government",""))))))))))),IF($B182="Challan","",IF(W182&lt;&gt;"","◄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IF($B183="Entry",IF(LEN(W183)&lt;4,"",IF(UPPER(MID(W183,4,1))="P","Individual",IF(UPPER(MID(W183,4,1))="H","HUF",IF(UPPER(MID(W183,4,1))="C","Company",IF(UPPER(MID(W183,4,1))="F","Firm/LLP",IF(UPPER(MID(W183,4,1))="L","Local Authority",IF(UPPER(MID(W183,4,1))="T","Trust",IF(UPPER(MID(W183,4,1))="A","AOP",IF(UPPER(MID(W183,4,1))="B","BOI",IF(UPPER(MID(W183,4,1))="J","AJP",IF(UPPER(MID(W183,4,1))="G","Government",""))))))))))),IF($B183="Challan","",IF(W183&lt;&gt;"","◄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IF($B184="Entry",IF(LEN(W184)&lt;4,"",IF(UPPER(MID(W184,4,1))="P","Individual",IF(UPPER(MID(W184,4,1))="H","HUF",IF(UPPER(MID(W184,4,1))="C","Company",IF(UPPER(MID(W184,4,1))="F","Firm/LLP",IF(UPPER(MID(W184,4,1))="L","Local Authority",IF(UPPER(MID(W184,4,1))="T","Trust",IF(UPPER(MID(W184,4,1))="A","AOP",IF(UPPER(MID(W184,4,1))="B","BOI",IF(UPPER(MID(W184,4,1))="J","AJP",IF(UPPER(MID(W184,4,1))="G","Government",""))))))))))),IF($B184="Challan","",IF(W184&lt;&gt;"","◄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IF($B185="Entry",IF(LEN(W185)&lt;4,"",IF(UPPER(MID(W185,4,1))="P","Individual",IF(UPPER(MID(W185,4,1))="H","HUF",IF(UPPER(MID(W185,4,1))="C","Company",IF(UPPER(MID(W185,4,1))="F","Firm/LLP",IF(UPPER(MID(W185,4,1))="L","Local Authority",IF(UPPER(MID(W185,4,1))="T","Trust",IF(UPPER(MID(W185,4,1))="A","AOP",IF(UPPER(MID(W185,4,1))="B","BOI",IF(UPPER(MID(W185,4,1))="J","AJP",IF(UPPER(MID(W185,4,1))="G","Government",""))))))))))),IF($B185="Challan","",IF(W185&lt;&gt;"","◄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IF($B186="Entry",IF(LEN(W186)&lt;4,"",IF(UPPER(MID(W186,4,1))="P","Individual",IF(UPPER(MID(W186,4,1))="H","HUF",IF(UPPER(MID(W186,4,1))="C","Company",IF(UPPER(MID(W186,4,1))="F","Firm/LLP",IF(UPPER(MID(W186,4,1))="L","Local Authority",IF(UPPER(MID(W186,4,1))="T","Trust",IF(UPPER(MID(W186,4,1))="A","AOP",IF(UPPER(MID(W186,4,1))="B","BOI",IF(UPPER(MID(W186,4,1))="J","AJP",IF(UPPER(MID(W186,4,1))="G","Government",""))))))))))),IF($B186="Challan","",IF(W186&lt;&gt;"","◄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IF($B187="Entry",IF(LEN(W187)&lt;4,"",IF(UPPER(MID(W187,4,1))="P","Individual",IF(UPPER(MID(W187,4,1))="H","HUF",IF(UPPER(MID(W187,4,1))="C","Company",IF(UPPER(MID(W187,4,1))="F","Firm/LLP",IF(UPPER(MID(W187,4,1))="L","Local Authority",IF(UPPER(MID(W187,4,1))="T","Trust",IF(UPPER(MID(W187,4,1))="A","AOP",IF(UPPER(MID(W187,4,1))="B","BOI",IF(UPPER(MID(W187,4,1))="J","AJP",IF(UPPER(MID(W187,4,1))="G","Government",""))))))))))),IF($B187="Challan","",IF(W187&lt;&gt;"","◄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IF($B188="Entry",IF(LEN(W188)&lt;4,"",IF(UPPER(MID(W188,4,1))="P","Individual",IF(UPPER(MID(W188,4,1))="H","HUF",IF(UPPER(MID(W188,4,1))="C","Company",IF(UPPER(MID(W188,4,1))="F","Firm/LLP",IF(UPPER(MID(W188,4,1))="L","Local Authority",IF(UPPER(MID(W188,4,1))="T","Trust",IF(UPPER(MID(W188,4,1))="A","AOP",IF(UPPER(MID(W188,4,1))="B","BOI",IF(UPPER(MID(W188,4,1))="J","AJP",IF(UPPER(MID(W188,4,1))="G","Government",""))))))))))),IF($B188="Challan","",IF(W188&lt;&gt;"","◄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IF($B189="Entry",IF(LEN(W189)&lt;4,"",IF(UPPER(MID(W189,4,1))="P","Individual",IF(UPPER(MID(W189,4,1))="H","HUF",IF(UPPER(MID(W189,4,1))="C","Company",IF(UPPER(MID(W189,4,1))="F","Firm/LLP",IF(UPPER(MID(W189,4,1))="L","Local Authority",IF(UPPER(MID(W189,4,1))="T","Trust",IF(UPPER(MID(W189,4,1))="A","AOP",IF(UPPER(MID(W189,4,1))="B","BOI",IF(UPPER(MID(W189,4,1))="J","AJP",IF(UPPER(MID(W189,4,1))="G","Government",""))))))))))),IF($B189="Challan","",IF(W189&lt;&gt;"","◄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IF($B190="Entry",IF(LEN(W190)&lt;4,"",IF(UPPER(MID(W190,4,1))="P","Individual",IF(UPPER(MID(W190,4,1))="H","HUF",IF(UPPER(MID(W190,4,1))="C","Company",IF(UPPER(MID(W190,4,1))="F","Firm/LLP",IF(UPPER(MID(W190,4,1))="L","Local Authority",IF(UPPER(MID(W190,4,1))="T","Trust",IF(UPPER(MID(W190,4,1))="A","AOP",IF(UPPER(MID(W190,4,1))="B","BOI",IF(UPPER(MID(W190,4,1))="J","AJP",IF(UPPER(MID(W190,4,1))="G","Government",""))))))))))),IF($B190="Challan","",IF(W190&lt;&gt;"","◄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IF($B191="Entry",IF(LEN(W191)&lt;4,"",IF(UPPER(MID(W191,4,1))="P","Individual",IF(UPPER(MID(W191,4,1))="H","HUF",IF(UPPER(MID(W191,4,1))="C","Company",IF(UPPER(MID(W191,4,1))="F","Firm/LLP",IF(UPPER(MID(W191,4,1))="L","Local Authority",IF(UPPER(MID(W191,4,1))="T","Trust",IF(UPPER(MID(W191,4,1))="A","AOP",IF(UPPER(MID(W191,4,1))="B","BOI",IF(UPPER(MID(W191,4,1))="J","AJP",IF(UPPER(MID(W191,4,1))="G","Government",""))))))))))),IF($B191="Challan","",IF(W191&lt;&gt;"","◄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IF($B192="Entry",IF(LEN(W192)&lt;4,"",IF(UPPER(MID(W192,4,1))="P","Individual",IF(UPPER(MID(W192,4,1))="H","HUF",IF(UPPER(MID(W192,4,1))="C","Company",IF(UPPER(MID(W192,4,1))="F","Firm/LLP",IF(UPPER(MID(W192,4,1))="L","Local Authority",IF(UPPER(MID(W192,4,1))="T","Trust",IF(UPPER(MID(W192,4,1))="A","AOP",IF(UPPER(MID(W192,4,1))="B","BOI",IF(UPPER(MID(W192,4,1))="J","AJP",IF(UPPER(MID(W192,4,1))="G","Government",""))))))))))),IF($B192="Challan","",IF(W192&lt;&gt;"","◄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IF($B193="Entry",IF(LEN(W193)&lt;4,"",IF(UPPER(MID(W193,4,1))="P","Individual",IF(UPPER(MID(W193,4,1))="H","HUF",IF(UPPER(MID(W193,4,1))="C","Company",IF(UPPER(MID(W193,4,1))="F","Firm/LLP",IF(UPPER(MID(W193,4,1))="L","Local Authority",IF(UPPER(MID(W193,4,1))="T","Trust",IF(UPPER(MID(W193,4,1))="A","AOP",IF(UPPER(MID(W193,4,1))="B","BOI",IF(UPPER(MID(W193,4,1))="J","AJP",IF(UPPER(MID(W193,4,1))="G","Government",""))))))))))),IF($B193="Challan","",IF(W193&lt;&gt;"","◄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IF($B194="Entry",IF(LEN(W194)&lt;4,"",IF(UPPER(MID(W194,4,1))="P","Individual",IF(UPPER(MID(W194,4,1))="H","HUF",IF(UPPER(MID(W194,4,1))="C","Company",IF(UPPER(MID(W194,4,1))="F","Firm/LLP",IF(UPPER(MID(W194,4,1))="L","Local Authority",IF(UPPER(MID(W194,4,1))="T","Trust",IF(UPPER(MID(W194,4,1))="A","AOP",IF(UPPER(MID(W194,4,1))="B","BOI",IF(UPPER(MID(W194,4,1))="J","AJP",IF(UPPER(MID(W194,4,1))="G","Government",""))))))))))),IF($B194="Challan","",IF(W194&lt;&gt;"","◄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IF($B195="Entry",IF(LEN(W195)&lt;4,"",IF(UPPER(MID(W195,4,1))="P","Individual",IF(UPPER(MID(W195,4,1))="H","HUF",IF(UPPER(MID(W195,4,1))="C","Company",IF(UPPER(MID(W195,4,1))="F","Firm/LLP",IF(UPPER(MID(W195,4,1))="L","Local Authority",IF(UPPER(MID(W195,4,1))="T","Trust",IF(UPPER(MID(W195,4,1))="A","AOP",IF(UPPER(MID(W195,4,1))="B","BOI",IF(UPPER(MID(W195,4,1))="J","AJP",IF(UPPER(MID(W195,4,1))="G","Government",""))))))))))),IF($B195="Challan","",IF(W195&lt;&gt;"","◄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IF($B196="Entry",IF(LEN(W196)&lt;4,"",IF(UPPER(MID(W196,4,1))="P","Individual",IF(UPPER(MID(W196,4,1))="H","HUF",IF(UPPER(MID(W196,4,1))="C","Company",IF(UPPER(MID(W196,4,1))="F","Firm/LLP",IF(UPPER(MID(W196,4,1))="L","Local Authority",IF(UPPER(MID(W196,4,1))="T","Trust",IF(UPPER(MID(W196,4,1))="A","AOP",IF(UPPER(MID(W196,4,1))="B","BOI",IF(UPPER(MID(W196,4,1))="J","AJP",IF(UPPER(MID(W196,4,1))="G","Government",""))))))))))),IF($B196="Challan","",IF(W196&lt;&gt;"","◄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IF($B197="Entry",IF(LEN(W197)&lt;4,"",IF(UPPER(MID(W197,4,1))="P","Individual",IF(UPPER(MID(W197,4,1))="H","HUF",IF(UPPER(MID(W197,4,1))="C","Company",IF(UPPER(MID(W197,4,1))="F","Firm/LLP",IF(UPPER(MID(W197,4,1))="L","Local Authority",IF(UPPER(MID(W197,4,1))="T","Trust",IF(UPPER(MID(W197,4,1))="A","AOP",IF(UPPER(MID(W197,4,1))="B","BOI",IF(UPPER(MID(W197,4,1))="J","AJP",IF(UPPER(MID(W197,4,1))="G","Government",""))))))))))),IF($B197="Challan","",IF(W197&lt;&gt;"","◄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IF($B198="Entry",IF(LEN(W198)&lt;4,"",IF(UPPER(MID(W198,4,1))="P","Individual",IF(UPPER(MID(W198,4,1))="H","HUF",IF(UPPER(MID(W198,4,1))="C","Company",IF(UPPER(MID(W198,4,1))="F","Firm/LLP",IF(UPPER(MID(W198,4,1))="L","Local Authority",IF(UPPER(MID(W198,4,1))="T","Trust",IF(UPPER(MID(W198,4,1))="A","AOP",IF(UPPER(MID(W198,4,1))="B","BOI",IF(UPPER(MID(W198,4,1))="J","AJP",IF(UPPER(MID(W198,4,1))="G","Government",""))))))))))),IF($B198="Challan","",IF(W198&lt;&gt;"","◄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IF($B199="Entry",IF(LEN(W199)&lt;4,"",IF(UPPER(MID(W199,4,1))="P","Individual",IF(UPPER(MID(W199,4,1))="H","HUF",IF(UPPER(MID(W199,4,1))="C","Company",IF(UPPER(MID(W199,4,1))="F","Firm/LLP",IF(UPPER(MID(W199,4,1))="L","Local Authority",IF(UPPER(MID(W199,4,1))="T","Trust",IF(UPPER(MID(W199,4,1))="A","AOP",IF(UPPER(MID(W199,4,1))="B","BOI",IF(UPPER(MID(W199,4,1))="J","AJP",IF(UPPER(MID(W199,4,1))="G","Government",""))))))))))),IF($B199="Challan","",IF(W199&lt;&gt;"","◄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IF($B200="Entry",IF(LEN(W200)&lt;4,"",IF(UPPER(MID(W200,4,1))="P","Individual",IF(UPPER(MID(W200,4,1))="H","HUF",IF(UPPER(MID(W200,4,1))="C","Company",IF(UPPER(MID(W200,4,1))="F","Firm/LLP",IF(UPPER(MID(W200,4,1))="L","Local Authority",IF(UPPER(MID(W200,4,1))="T","Trust",IF(UPPER(MID(W200,4,1))="A","AOP",IF(UPPER(MID(W200,4,1))="B","BOI",IF(UPPER(MID(W200,4,1))="J","AJP",IF(UPPER(MID(W200,4,1))="G","Government",""))))))))))),IF($B200="Challan","",IF(W200&lt;&gt;"","◄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IF($B201="Entry",IF(LEN(W201)&lt;4,"",IF(UPPER(MID(W201,4,1))="P","Individual",IF(UPPER(MID(W201,4,1))="H","HUF",IF(UPPER(MID(W201,4,1))="C","Company",IF(UPPER(MID(W201,4,1))="F","Firm/LLP",IF(UPPER(MID(W201,4,1))="L","Local Authority",IF(UPPER(MID(W201,4,1))="T","Trust",IF(UPPER(MID(W201,4,1))="A","AOP",IF(UPPER(MID(W201,4,1))="B","BOI",IF(UPPER(MID(W201,4,1))="J","AJP",IF(UPPER(MID(W201,4,1))="G","Government",""))))))))))),IF($B201="Challan","",IF(W201&lt;&gt;"","◄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IF($B202="Entry",IF(LEN(W202)&lt;4,"",IF(UPPER(MID(W202,4,1))="P","Individual",IF(UPPER(MID(W202,4,1))="H","HUF",IF(UPPER(MID(W202,4,1))="C","Company",IF(UPPER(MID(W202,4,1))="F","Firm/LLP",IF(UPPER(MID(W202,4,1))="L","Local Authority",IF(UPPER(MID(W202,4,1))="T","Trust",IF(UPPER(MID(W202,4,1))="A","AOP",IF(UPPER(MID(W202,4,1))="B","BOI",IF(UPPER(MID(W202,4,1))="J","AJP",IF(UPPER(MID(W202,4,1))="G","Government",""))))))))))),IF($B202="Challan","",IF(W202&lt;&gt;"","◄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IF($B203="Entry",IF(LEN(W203)&lt;4,"",IF(UPPER(MID(W203,4,1))="P","Individual",IF(UPPER(MID(W203,4,1))="H","HUF",IF(UPPER(MID(W203,4,1))="C","Company",IF(UPPER(MID(W203,4,1))="F","Firm/LLP",IF(UPPER(MID(W203,4,1))="L","Local Authority",IF(UPPER(MID(W203,4,1))="T","Trust",IF(UPPER(MID(W203,4,1))="A","AOP",IF(UPPER(MID(W203,4,1))="B","BOI",IF(UPPER(MID(W203,4,1))="J","AJP",IF(UPPER(MID(W203,4,1))="G","Government",""))))))))))),IF($B203="Challan","",IF(W203&lt;&gt;"","◄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IF($B204="Entry",IF(LEN(W204)&lt;4,"",IF(UPPER(MID(W204,4,1))="P","Individual",IF(UPPER(MID(W204,4,1))="H","HUF",IF(UPPER(MID(W204,4,1))="C","Company",IF(UPPER(MID(W204,4,1))="F","Firm/LLP",IF(UPPER(MID(W204,4,1))="L","Local Authority",IF(UPPER(MID(W204,4,1))="T","Trust",IF(UPPER(MID(W204,4,1))="A","AOP",IF(UPPER(MID(W204,4,1))="B","BOI",IF(UPPER(MID(W204,4,1))="J","AJP",IF(UPPER(MID(W204,4,1))="G","Government",""))))))))))),IF($B204="Challan","",IF(W204&lt;&gt;"","◄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IF($B205="Entry",IF(LEN(W205)&lt;4,"",IF(UPPER(MID(W205,4,1))="P","Individual",IF(UPPER(MID(W205,4,1))="H","HUF",IF(UPPER(MID(W205,4,1))="C","Company",IF(UPPER(MID(W205,4,1))="F","Firm/LLP",IF(UPPER(MID(W205,4,1))="L","Local Authority",IF(UPPER(MID(W205,4,1))="T","Trust",IF(UPPER(MID(W205,4,1))="A","AOP",IF(UPPER(MID(W205,4,1))="B","BOI",IF(UPPER(MID(W205,4,1))="J","AJP",IF(UPPER(MID(W205,4,1))="G","Government",""))))))))))),IF($B205="Challan","",IF(W205&lt;&gt;"","◄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IF($B206="Entry",IF(LEN(W206)&lt;4,"",IF(UPPER(MID(W206,4,1))="P","Individual",IF(UPPER(MID(W206,4,1))="H","HUF",IF(UPPER(MID(W206,4,1))="C","Company",IF(UPPER(MID(W206,4,1))="F","Firm/LLP",IF(UPPER(MID(W206,4,1))="L","Local Authority",IF(UPPER(MID(W206,4,1))="T","Trust",IF(UPPER(MID(W206,4,1))="A","AOP",IF(UPPER(MID(W206,4,1))="B","BOI",IF(UPPER(MID(W206,4,1))="J","AJP",IF(UPPER(MID(W206,4,1))="G","Government",""))))))))))),IF($B206="Challan","",IF(W206&lt;&gt;"","◄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IF($B207="Entry",IF(LEN(W207)&lt;4,"",IF(UPPER(MID(W207,4,1))="P","Individual",IF(UPPER(MID(W207,4,1))="H","HUF",IF(UPPER(MID(W207,4,1))="C","Company",IF(UPPER(MID(W207,4,1))="F","Firm/LLP",IF(UPPER(MID(W207,4,1))="L","Local Authority",IF(UPPER(MID(W207,4,1))="T","Trust",IF(UPPER(MID(W207,4,1))="A","AOP",IF(UPPER(MID(W207,4,1))="B","BOI",IF(UPPER(MID(W207,4,1))="J","AJP",IF(UPPER(MID(W207,4,1))="G","Government",""))))))))))),IF($B207="Challan","",IF(W207&lt;&gt;"","◄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18" priority="4">
      <formula>$B4="Challan"</formula>
    </cfRule>
  </conditionalFormatting>
  <conditionalFormatting sqref="A4:AP207">
    <cfRule type="expression" dxfId="19" priority="1">
      <formula>E4="Over-applied"</formula>
    </cfRule>
    <cfRule type="expression" dxfId="20" priority="2">
      <formula>E4="Fully Utilised"</formula>
    </cfRule>
    <cfRule type="expression" dxfId="21" priority="3">
      <formula>E4="Unconsumed"</formula>
    </cfRule>
  </conditionalFormatting>
  <conditionalFormatting sqref="Z4:Z207">
    <cfRule type="expression" dxfId="22" priority="5">
      <formula>AR4=TRUE</formula>
    </cfRule>
  </conditionalFormatting>
  <conditionalFormatting sqref="W4:W207">
    <cfRule type="expression" dxfId="23" priority="6">
      <formula>X4="Y"</formula>
    </cfRule>
  </conditionalFormatting>
  <conditionalFormatting sqref="X4:X207">
    <cfRule type="expression" dxfId="24" priority="7">
      <formula>X4="Y"</formula>
    </cfRule>
  </conditionalFormatting>
  <conditionalFormatting sqref="A2:AP2">
    <cfRule type="expression" dxfId="25" priority="8">
      <formula>ISNUMBER(SEARCH("VALIDATION FAILED",A2))</formula>
    </cfRule>
    <cfRule type="expression" dxfId="26"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for this Deductee Type" error="194C(a) is Individual/HUF only; 194C(b) is for every other deductee type. Pick the option matching this row's own Deductee Type (column Y)." sqref="Z4:Z207">
      <formula1>IF(OR($Y4="Individual",$Y4="HUF"),'Rate Lookup'!$F$1:$F$36,'Rate Lookup'!$G$1:$G$36)</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175</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111</v>
      </c>
      <c r="B3" s="8" t="s">
        <v>112</v>
      </c>
      <c r="C3" s="8" t="s">
        <v>113</v>
      </c>
      <c r="D3" s="8" t="s">
        <v>114</v>
      </c>
      <c r="E3" s="8" t="s">
        <v>115</v>
      </c>
      <c r="F3" s="8" t="s">
        <v>116</v>
      </c>
      <c r="G3" s="8" t="s">
        <v>117</v>
      </c>
      <c r="H3" s="8" t="s">
        <v>118</v>
      </c>
      <c r="I3" s="8" t="s">
        <v>119</v>
      </c>
      <c r="J3" s="8" t="s">
        <v>120</v>
      </c>
      <c r="K3" s="8" t="s">
        <v>121</v>
      </c>
      <c r="L3" s="8" t="s">
        <v>122</v>
      </c>
      <c r="M3" s="8" t="s">
        <v>123</v>
      </c>
      <c r="N3" s="8" t="s">
        <v>124</v>
      </c>
      <c r="O3" s="8" t="s">
        <v>125</v>
      </c>
      <c r="P3" s="8" t="s">
        <v>126</v>
      </c>
      <c r="Q3" s="8" t="s">
        <v>127</v>
      </c>
      <c r="R3" s="8" t="s">
        <v>128</v>
      </c>
      <c r="S3" s="8" t="s">
        <v>129</v>
      </c>
      <c r="T3" s="8" t="s">
        <v>130</v>
      </c>
      <c r="U3" s="8" t="s">
        <v>131</v>
      </c>
      <c r="V3" s="8" t="s">
        <v>132</v>
      </c>
      <c r="W3" s="8" t="s">
        <v>133</v>
      </c>
      <c r="X3" s="8" t="s">
        <v>134</v>
      </c>
      <c r="Y3" s="8" t="s">
        <v>135</v>
      </c>
      <c r="Z3" s="8" t="s">
        <v>136</v>
      </c>
      <c r="AA3" s="8" t="s">
        <v>137</v>
      </c>
      <c r="AB3" s="8" t="s">
        <v>138</v>
      </c>
      <c r="AC3" s="8" t="s">
        <v>139</v>
      </c>
      <c r="AD3" s="8" t="s">
        <v>140</v>
      </c>
      <c r="AE3" s="8" t="s">
        <v>141</v>
      </c>
      <c r="AF3" s="8" t="s">
        <v>142</v>
      </c>
      <c r="AG3" s="8" t="s">
        <v>143</v>
      </c>
      <c r="AH3" s="8" t="s">
        <v>144</v>
      </c>
      <c r="AI3" s="8" t="s">
        <v>145</v>
      </c>
      <c r="AJ3" s="8" t="s">
        <v>146</v>
      </c>
      <c r="AK3" s="8" t="s">
        <v>147</v>
      </c>
      <c r="AL3" s="8" t="s">
        <v>148</v>
      </c>
      <c r="AM3" s="8" t="s">
        <v>149</v>
      </c>
      <c r="AN3" s="8" t="s">
        <v>150</v>
      </c>
      <c r="AO3" s="8" t="s">
        <v>151</v>
      </c>
      <c r="AP3" s="8" t="s">
        <v>152</v>
      </c>
      <c r="AQ3" s="8" t="s">
        <v>153</v>
      </c>
      <c r="AR3" s="8" t="s">
        <v>154</v>
      </c>
    </row>
    <row r="4" spans="1:44" x14ac:dyDescent="0.25">
      <c r="A4" s="20">
        <f>IF($B4="Entry",COUNTIF($B$4:$B4,"Entry"),"")</f>
      </c>
      <c r="B4" s="21"/>
      <c r="C4" s="22"/>
      <c r="D4" s="22"/>
      <c r="E4" s="23">
        <f>IF($B4&lt;&gt;"Challan","",IF(ROUND(AN4-AO4,2)&gt;0,"Over-applied",IF(ROUND(AN4-AO4,2)=0,"Fully Utilised","Unconsumed")))</f>
      </c>
      <c r="F4" s="24"/>
      <c r="G4" s="25"/>
      <c r="H4" s="25"/>
      <c r="I4" s="26"/>
      <c r="J4" s="26"/>
      <c r="K4" s="26"/>
      <c r="L4" s="26"/>
      <c r="M4" s="26"/>
      <c r="N4" s="26"/>
      <c r="O4" s="26"/>
      <c r="P4" s="27">
        <f>IF($B4&lt;&gt;"Challan","",I4+J4+K4+L4+M4+N4)</f>
      </c>
      <c r="Q4" s="25"/>
      <c r="R4" s="25"/>
      <c r="S4" s="25"/>
      <c r="T4" s="25"/>
      <c r="U4" s="25"/>
      <c r="V4" s="28"/>
      <c r="W4" s="28"/>
      <c r="X4" s="23">
        <f>IF($B4="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IF($B4="Challan","",IF(W4&lt;&gt;"","◄ Set Row Type","")))</f>
      </c>
      <c r="Y4" s="23">
        <f>IF($B4="Entry",IF(LEN(W4)&lt;4,"",IF(UPPER(MID(W4,4,1))="P","Individual",IF(UPPER(MID(W4,4,1))="H","HUF",IF(UPPER(MID(W4,4,1))="C","Company",IF(UPPER(MID(W4,4,1))="F","Firm/LLP",IF(UPPER(MID(W4,4,1))="L","Local Authority",IF(UPPER(MID(W4,4,1))="T","Trust",IF(UPPER(MID(W4,4,1))="A","AOP",IF(UPPER(MID(W4,4,1))="B","BOI",IF(UPPER(MID(W4,4,1))="J","AJP",IF(UPPER(MID(W4,4,1))="G","Government",""))))))))))),IF($B4="Challan","",IF(W4&lt;&gt;"","◄ Set Row Type","")))</f>
      </c>
      <c r="Z4" s="28"/>
      <c r="AA4" s="29">
        <f>IF($B4&lt;&gt;"Entry","",IF(Z4="","",IF(X4="Y",SUMPRODUCT(('Rate Lookup'!$A$1:$A$37=Z4)*'Rate Lookup'!$D$1:$D$37),IF(OR(Y4="Individual",Y4="HUF"),SUMPRODUCT(('Rate Lookup'!$A$1:$A$37=Z4)*'Rate Lookup'!$B$1:$B$37),SUMPRODUCT(('Rate Lookup'!$A$1:$A$37=Z4)*'Rate Lookup'!$C$1:$C$37)))))</f>
      </c>
      <c r="AB4" s="30"/>
      <c r="AC4" s="31"/>
      <c r="AD4" s="27">
        <f>IF($B4&lt;&gt;"Entry","",ROUND(AC4*AA4/100,0))</f>
      </c>
      <c r="AE4" s="27">
        <f>IF($B4&lt;&gt;"Entry","",0)</f>
      </c>
      <c r="AF4" s="27">
        <f>IF($B4&lt;&gt;"Entry","",0)</f>
      </c>
      <c r="AG4" s="27">
        <f>IF($B4&lt;&gt;"Entry","",IF(OR(AD4=0,AB4="",AQ4="",AQ4&lt;=0),0,IF(AQ4&lt;=DATE(YEAR(AB4),MONTH(AB4)+1,7),0,ROUND(AD4*0.015*((YEAR(AQ4)-YEAR(AB4))*12+(MONTH(AQ4)-MONTH(AB4))+1),0))))</f>
      </c>
      <c r="AH4" s="27">
        <f>IF($B4&lt;&gt;"Entry","",0)</f>
      </c>
      <c r="AI4" s="28"/>
      <c r="AJ4" s="28"/>
      <c r="AK4" s="32"/>
      <c r="AL4" s="28"/>
      <c r="AM4" s="28"/>
      <c r="AN4" s="27">
        <f>IF($B4&lt;&gt;"Challan","",SUMIF('Q1 Data'!$D$4:$D$207,D4,'Q1 Data'!$AD$4:$AD$207)+SUMIF('Q1 Data'!$D$4:$D$207,D4,'Q1 Data'!$AG$4:$AG$207)+SUMIF('Q1 Data'!$D$4:$D$207,D4,'Q1 Data'!$AE$4:$AE$207)+SUMIF('Q2 Data'!$D$4:$D$207,D4,'Q2 Data'!$AD$4:$AD$207)+SUMIF('Q2 Data'!$D$4:$D$207,D4,'Q2 Data'!$AG$4:$AG$207)+SUMIF('Q2 Data'!$D$4:$D$207,D4,'Q2 Data'!$AE$4:$AE$207)+SUMIF('Q3 Data'!$D$4:$D$207,D4,'Q3 Data'!$AD$4:$AD$207)+SUMIF('Q3 Data'!$D$4:$D$207,D4,'Q3 Data'!$AG$4:$AG$207)+SUMIF('Q3 Data'!$D$4:$D$207,D4,'Q3 Data'!$AE$4:$AE$207)+SUMIF('Q4 Data'!$D$4:$D$207,D4,'Q4 Data'!$AD$4:$AD$207)+SUMIF('Q4 Data'!$D$4:$D$207,D4,'Q4 Data'!$AG$4:$AG$207)+SUMIF('Q4 Data'!$D$4:$D$207,D4,'Q4 Data'!$AE$4:$AE$207))</f>
      </c>
      <c r="AO4" s="27">
        <f>IF($B4&lt;&gt;"Challan","",P4-N4)</f>
      </c>
      <c r="AP4" s="27">
        <f>IF($B4&lt;&gt;"Challan","",MAX(0,AO4-AN4))</f>
      </c>
      <c r="AQ4" s="33">
        <f>IF($B4&lt;&gt;"Entry","",SUMPRODUCT(('Q1 Data'!$D$4:$D$207=D4)*('Q1 Data'!$B$4:$B$207="Challan")*'Q1 Data'!$F$4:$F$207)+SUMPRODUCT(('Q2 Data'!$D$4:$D$207=D4)*('Q2 Data'!$B$4:$B$207="Challan")*'Q2 Data'!$F$4:$F$207)+SUMPRODUCT(('Q3 Data'!$D$4:$D$207=D4)*('Q3 Data'!$B$4:$B$207="Challan")*'Q3 Data'!$F$4:$F$207)+SUMPRODUCT(('Q4 Data'!$D$4:$D$207=D4)*('Q4 Data'!$B$4:$B$207="Challan")*'Q4 Data'!$F$4:$F$207))</f>
      </c>
      <c r="AR4" s="34">
        <f>IF(OR($B4&lt;&gt;"Entry",Z4=""),FALSE,AND((SUMPRODUCT(('Q1 Data'!$D$4:$D$207=D4)*('Q1 Data'!$B$4:$B$207="Challan")*('Q1 Data'!$H$4:$H$207&lt;&gt;""))+SUMPRODUCT(('Q2 Data'!$D$4:$D$207=D4)*('Q2 Data'!$B$4:$B$207="Challan")*('Q2 Data'!$H$4:$H$207&lt;&gt;""))+SUMPRODUCT(('Q3 Data'!$D$4:$D$207=D4)*('Q3 Data'!$B$4:$B$207="Challan")*('Q3 Data'!$H$4:$H$207&lt;&gt;""))+SUMPRODUCT(('Q4 Data'!$D$4:$D$207=D4)*('Q4 Data'!$B$4:$B$207="Challan")*('Q4 Data'!$H$4:$H$207&lt;&gt;"")))&gt;0,(SUMPRODUCT(('Q1 Data'!$D$4:$D$207=D4)*('Q1 Data'!$B$4:$B$207="Challan")*('Q1 Data'!$H$4:$H$207=Z4))+SUMPRODUCT(('Q2 Data'!$D$4:$D$207=D4)*('Q2 Data'!$B$4:$B$207="Challan")*('Q2 Data'!$H$4:$H$207=Z4))+SUMPRODUCT(('Q3 Data'!$D$4:$D$207=D4)*('Q3 Data'!$B$4:$B$207="Challan")*('Q3 Data'!$H$4:$H$207=Z4))+SUMPRODUCT(('Q4 Data'!$D$4:$D$207=D4)*('Q4 Data'!$B$4:$B$207="Challan")*('Q4 Data'!$H$4:$H$207=Z4)))=0))</f>
      </c>
    </row>
    <row r="5" spans="1:44" x14ac:dyDescent="0.25">
      <c r="A5" s="20">
        <f>IF($B5="Entry",COUNTIF($B$4:$B5,"Entry"),"")</f>
      </c>
      <c r="B5" s="21"/>
      <c r="C5" s="22"/>
      <c r="D5" s="22"/>
      <c r="E5" s="23">
        <f>IF($B5&lt;&gt;"Challan","",IF(ROUND(AN5-AO5,2)&gt;0,"Over-applied",IF(ROUND(AN5-AO5,2)=0,"Fully Utilised","Unconsumed")))</f>
      </c>
      <c r="F5" s="24"/>
      <c r="G5" s="25"/>
      <c r="H5" s="25"/>
      <c r="I5" s="26"/>
      <c r="J5" s="26"/>
      <c r="K5" s="26"/>
      <c r="L5" s="26"/>
      <c r="M5" s="26"/>
      <c r="N5" s="26"/>
      <c r="O5" s="26"/>
      <c r="P5" s="27">
        <f>IF($B5&lt;&gt;"Challan","",I5+J5+K5+L5+M5+N5)</f>
      </c>
      <c r="Q5" s="25"/>
      <c r="R5" s="25"/>
      <c r="S5" s="25"/>
      <c r="T5" s="25"/>
      <c r="U5" s="25"/>
      <c r="V5" s="28"/>
      <c r="W5" s="28"/>
      <c r="X5" s="23">
        <f>IF($B5="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IF($B5="Challan","",IF(W5&lt;&gt;"","◄ Set Row Type","")))</f>
      </c>
      <c r="Y5" s="23">
        <f>IF($B5="Entry",IF(LEN(W5)&lt;4,"",IF(UPPER(MID(W5,4,1))="P","Individual",IF(UPPER(MID(W5,4,1))="H","HUF",IF(UPPER(MID(W5,4,1))="C","Company",IF(UPPER(MID(W5,4,1))="F","Firm/LLP",IF(UPPER(MID(W5,4,1))="L","Local Authority",IF(UPPER(MID(W5,4,1))="T","Trust",IF(UPPER(MID(W5,4,1))="A","AOP",IF(UPPER(MID(W5,4,1))="B","BOI",IF(UPPER(MID(W5,4,1))="J","AJP",IF(UPPER(MID(W5,4,1))="G","Government",""))))))))))),IF($B5="Challan","",IF(W5&lt;&gt;"","◄ Set Row Type","")))</f>
      </c>
      <c r="Z5" s="28"/>
      <c r="AA5" s="29">
        <f>IF($B5&lt;&gt;"Entry","",IF(Z5="","",IF(X5="Y",SUMPRODUCT(('Rate Lookup'!$A$1:$A$37=Z5)*'Rate Lookup'!$D$1:$D$37),IF(OR(Y5="Individual",Y5="HUF"),SUMPRODUCT(('Rate Lookup'!$A$1:$A$37=Z5)*'Rate Lookup'!$B$1:$B$37),SUMPRODUCT(('Rate Lookup'!$A$1:$A$37=Z5)*'Rate Lookup'!$C$1:$C$37)))))</f>
      </c>
      <c r="AB5" s="30"/>
      <c r="AC5" s="31"/>
      <c r="AD5" s="27">
        <f>IF($B5&lt;&gt;"Entry","",ROUND(AC5*AA5/100,0))</f>
      </c>
      <c r="AE5" s="27">
        <f>IF($B5&lt;&gt;"Entry","",0)</f>
      </c>
      <c r="AF5" s="27">
        <f>IF($B5&lt;&gt;"Entry","",0)</f>
      </c>
      <c r="AG5" s="27">
        <f>IF($B5&lt;&gt;"Entry","",IF(OR(AD5=0,AB5="",AQ5="",AQ5&lt;=0),0,IF(AQ5&lt;=DATE(YEAR(AB5),MONTH(AB5)+1,7),0,ROUND(AD5*0.015*((YEAR(AQ5)-YEAR(AB5))*12+(MONTH(AQ5)-MONTH(AB5))+1),0))))</f>
      </c>
      <c r="AH5" s="27">
        <f>IF($B5&lt;&gt;"Entry","",0)</f>
      </c>
      <c r="AI5" s="28"/>
      <c r="AJ5" s="28"/>
      <c r="AK5" s="32"/>
      <c r="AL5" s="28"/>
      <c r="AM5" s="28"/>
      <c r="AN5" s="27">
        <f>IF($B5&lt;&gt;"Challan","",SUMIF('Q1 Data'!$D$4:$D$207,D5,'Q1 Data'!$AD$4:$AD$207)+SUMIF('Q1 Data'!$D$4:$D$207,D5,'Q1 Data'!$AG$4:$AG$207)+SUMIF('Q1 Data'!$D$4:$D$207,D5,'Q1 Data'!$AE$4:$AE$207)+SUMIF('Q2 Data'!$D$4:$D$207,D5,'Q2 Data'!$AD$4:$AD$207)+SUMIF('Q2 Data'!$D$4:$D$207,D5,'Q2 Data'!$AG$4:$AG$207)+SUMIF('Q2 Data'!$D$4:$D$207,D5,'Q2 Data'!$AE$4:$AE$207)+SUMIF('Q3 Data'!$D$4:$D$207,D5,'Q3 Data'!$AD$4:$AD$207)+SUMIF('Q3 Data'!$D$4:$D$207,D5,'Q3 Data'!$AG$4:$AG$207)+SUMIF('Q3 Data'!$D$4:$D$207,D5,'Q3 Data'!$AE$4:$AE$207)+SUMIF('Q4 Data'!$D$4:$D$207,D5,'Q4 Data'!$AD$4:$AD$207)+SUMIF('Q4 Data'!$D$4:$D$207,D5,'Q4 Data'!$AG$4:$AG$207)+SUMIF('Q4 Data'!$D$4:$D$207,D5,'Q4 Data'!$AE$4:$AE$207))</f>
      </c>
      <c r="AO5" s="27">
        <f>IF($B5&lt;&gt;"Challan","",P5-N5)</f>
      </c>
      <c r="AP5" s="27">
        <f>IF($B5&lt;&gt;"Challan","",MAX(0,AO5-AN5))</f>
      </c>
      <c r="AQ5" s="33">
        <f>IF($B5&lt;&gt;"Entry","",SUMPRODUCT(('Q1 Data'!$D$4:$D$207=D5)*('Q1 Data'!$B$4:$B$207="Challan")*'Q1 Data'!$F$4:$F$207)+SUMPRODUCT(('Q2 Data'!$D$4:$D$207=D5)*('Q2 Data'!$B$4:$B$207="Challan")*'Q2 Data'!$F$4:$F$207)+SUMPRODUCT(('Q3 Data'!$D$4:$D$207=D5)*('Q3 Data'!$B$4:$B$207="Challan")*'Q3 Data'!$F$4:$F$207)+SUMPRODUCT(('Q4 Data'!$D$4:$D$207=D5)*('Q4 Data'!$B$4:$B$207="Challan")*'Q4 Data'!$F$4:$F$207))</f>
      </c>
      <c r="AR5" s="34">
        <f>IF(OR($B5&lt;&gt;"Entry",Z5=""),FALSE,AND((SUMPRODUCT(('Q1 Data'!$D$4:$D$207=D5)*('Q1 Data'!$B$4:$B$207="Challan")*('Q1 Data'!$H$4:$H$207&lt;&gt;""))+SUMPRODUCT(('Q2 Data'!$D$4:$D$207=D5)*('Q2 Data'!$B$4:$B$207="Challan")*('Q2 Data'!$H$4:$H$207&lt;&gt;""))+SUMPRODUCT(('Q3 Data'!$D$4:$D$207=D5)*('Q3 Data'!$B$4:$B$207="Challan")*('Q3 Data'!$H$4:$H$207&lt;&gt;""))+SUMPRODUCT(('Q4 Data'!$D$4:$D$207=D5)*('Q4 Data'!$B$4:$B$207="Challan")*('Q4 Data'!$H$4:$H$207&lt;&gt;"")))&gt;0,(SUMPRODUCT(('Q1 Data'!$D$4:$D$207=D5)*('Q1 Data'!$B$4:$B$207="Challan")*('Q1 Data'!$H$4:$H$207=Z5))+SUMPRODUCT(('Q2 Data'!$D$4:$D$207=D5)*('Q2 Data'!$B$4:$B$207="Challan")*('Q2 Data'!$H$4:$H$207=Z5))+SUMPRODUCT(('Q3 Data'!$D$4:$D$207=D5)*('Q3 Data'!$B$4:$B$207="Challan")*('Q3 Data'!$H$4:$H$207=Z5))+SUMPRODUCT(('Q4 Data'!$D$4:$D$207=D5)*('Q4 Data'!$B$4:$B$207="Challan")*('Q4 Data'!$H$4:$H$207=Z5)))=0))</f>
      </c>
    </row>
    <row r="6" spans="1:44" x14ac:dyDescent="0.25">
      <c r="A6" s="20">
        <f>IF($B6="Entry",COUNTIF($B$4:$B6,"Entry"),"")</f>
      </c>
      <c r="B6" s="21"/>
      <c r="C6" s="22"/>
      <c r="D6" s="22"/>
      <c r="E6" s="23">
        <f>IF($B6&lt;&gt;"Challan","",IF(ROUND(AN6-AO6,2)&gt;0,"Over-applied",IF(ROUND(AN6-AO6,2)=0,"Fully Utilised","Unconsumed")))</f>
      </c>
      <c r="F6" s="24"/>
      <c r="G6" s="25"/>
      <c r="H6" s="25"/>
      <c r="I6" s="26"/>
      <c r="J6" s="26"/>
      <c r="K6" s="26"/>
      <c r="L6" s="26"/>
      <c r="M6" s="26"/>
      <c r="N6" s="26"/>
      <c r="O6" s="26"/>
      <c r="P6" s="27">
        <f>IF($B6&lt;&gt;"Challan","",I6+J6+K6+L6+M6+N6)</f>
      </c>
      <c r="Q6" s="25"/>
      <c r="R6" s="25"/>
      <c r="S6" s="25"/>
      <c r="T6" s="25"/>
      <c r="U6" s="25"/>
      <c r="V6" s="28"/>
      <c r="W6" s="28"/>
      <c r="X6" s="23">
        <f>IF($B6="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IF($B6="Challan","",IF(W6&lt;&gt;"","◄ Set Row Type","")))</f>
      </c>
      <c r="Y6" s="23">
        <f>IF($B6="Entry",IF(LEN(W6)&lt;4,"",IF(UPPER(MID(W6,4,1))="P","Individual",IF(UPPER(MID(W6,4,1))="H","HUF",IF(UPPER(MID(W6,4,1))="C","Company",IF(UPPER(MID(W6,4,1))="F","Firm/LLP",IF(UPPER(MID(W6,4,1))="L","Local Authority",IF(UPPER(MID(W6,4,1))="T","Trust",IF(UPPER(MID(W6,4,1))="A","AOP",IF(UPPER(MID(W6,4,1))="B","BOI",IF(UPPER(MID(W6,4,1))="J","AJP",IF(UPPER(MID(W6,4,1))="G","Government",""))))))))))),IF($B6="Challan","",IF(W6&lt;&gt;"","◄ Set Row Type","")))</f>
      </c>
      <c r="Z6" s="28"/>
      <c r="AA6" s="29">
        <f>IF($B6&lt;&gt;"Entry","",IF(Z6="","",IF(X6="Y",SUMPRODUCT(('Rate Lookup'!$A$1:$A$37=Z6)*'Rate Lookup'!$D$1:$D$37),IF(OR(Y6="Individual",Y6="HUF"),SUMPRODUCT(('Rate Lookup'!$A$1:$A$37=Z6)*'Rate Lookup'!$B$1:$B$37),SUMPRODUCT(('Rate Lookup'!$A$1:$A$37=Z6)*'Rate Lookup'!$C$1:$C$37)))))</f>
      </c>
      <c r="AB6" s="30"/>
      <c r="AC6" s="31"/>
      <c r="AD6" s="27">
        <f>IF($B6&lt;&gt;"Entry","",ROUND(AC6*AA6/100,0))</f>
      </c>
      <c r="AE6" s="27">
        <f>IF($B6&lt;&gt;"Entry","",0)</f>
      </c>
      <c r="AF6" s="27">
        <f>IF($B6&lt;&gt;"Entry","",0)</f>
      </c>
      <c r="AG6" s="27">
        <f>IF($B6&lt;&gt;"Entry","",IF(OR(AD6=0,AB6="",AQ6="",AQ6&lt;=0),0,IF(AQ6&lt;=DATE(YEAR(AB6),MONTH(AB6)+1,7),0,ROUND(AD6*0.015*((YEAR(AQ6)-YEAR(AB6))*12+(MONTH(AQ6)-MONTH(AB6))+1),0))))</f>
      </c>
      <c r="AH6" s="27">
        <f>IF($B6&lt;&gt;"Entry","",0)</f>
      </c>
      <c r="AI6" s="28"/>
      <c r="AJ6" s="28"/>
      <c r="AK6" s="32"/>
      <c r="AL6" s="28"/>
      <c r="AM6" s="28"/>
      <c r="AN6" s="27">
        <f>IF($B6&lt;&gt;"Challan","",SUMIF('Q1 Data'!$D$4:$D$207,D6,'Q1 Data'!$AD$4:$AD$207)+SUMIF('Q1 Data'!$D$4:$D$207,D6,'Q1 Data'!$AG$4:$AG$207)+SUMIF('Q1 Data'!$D$4:$D$207,D6,'Q1 Data'!$AE$4:$AE$207)+SUMIF('Q2 Data'!$D$4:$D$207,D6,'Q2 Data'!$AD$4:$AD$207)+SUMIF('Q2 Data'!$D$4:$D$207,D6,'Q2 Data'!$AG$4:$AG$207)+SUMIF('Q2 Data'!$D$4:$D$207,D6,'Q2 Data'!$AE$4:$AE$207)+SUMIF('Q3 Data'!$D$4:$D$207,D6,'Q3 Data'!$AD$4:$AD$207)+SUMIF('Q3 Data'!$D$4:$D$207,D6,'Q3 Data'!$AG$4:$AG$207)+SUMIF('Q3 Data'!$D$4:$D$207,D6,'Q3 Data'!$AE$4:$AE$207)+SUMIF('Q4 Data'!$D$4:$D$207,D6,'Q4 Data'!$AD$4:$AD$207)+SUMIF('Q4 Data'!$D$4:$D$207,D6,'Q4 Data'!$AG$4:$AG$207)+SUMIF('Q4 Data'!$D$4:$D$207,D6,'Q4 Data'!$AE$4:$AE$207))</f>
      </c>
      <c r="AO6" s="27">
        <f>IF($B6&lt;&gt;"Challan","",P6-N6)</f>
      </c>
      <c r="AP6" s="27">
        <f>IF($B6&lt;&gt;"Challan","",MAX(0,AO6-AN6))</f>
      </c>
      <c r="AQ6" s="33">
        <f>IF($B6&lt;&gt;"Entry","",SUMPRODUCT(('Q1 Data'!$D$4:$D$207=D6)*('Q1 Data'!$B$4:$B$207="Challan")*'Q1 Data'!$F$4:$F$207)+SUMPRODUCT(('Q2 Data'!$D$4:$D$207=D6)*('Q2 Data'!$B$4:$B$207="Challan")*'Q2 Data'!$F$4:$F$207)+SUMPRODUCT(('Q3 Data'!$D$4:$D$207=D6)*('Q3 Data'!$B$4:$B$207="Challan")*'Q3 Data'!$F$4:$F$207)+SUMPRODUCT(('Q4 Data'!$D$4:$D$207=D6)*('Q4 Data'!$B$4:$B$207="Challan")*'Q4 Data'!$F$4:$F$207))</f>
      </c>
      <c r="AR6" s="34">
        <f>IF(OR($B6&lt;&gt;"Entry",Z6=""),FALSE,AND((SUMPRODUCT(('Q1 Data'!$D$4:$D$207=D6)*('Q1 Data'!$B$4:$B$207="Challan")*('Q1 Data'!$H$4:$H$207&lt;&gt;""))+SUMPRODUCT(('Q2 Data'!$D$4:$D$207=D6)*('Q2 Data'!$B$4:$B$207="Challan")*('Q2 Data'!$H$4:$H$207&lt;&gt;""))+SUMPRODUCT(('Q3 Data'!$D$4:$D$207=D6)*('Q3 Data'!$B$4:$B$207="Challan")*('Q3 Data'!$H$4:$H$207&lt;&gt;""))+SUMPRODUCT(('Q4 Data'!$D$4:$D$207=D6)*('Q4 Data'!$B$4:$B$207="Challan")*('Q4 Data'!$H$4:$H$207&lt;&gt;"")))&gt;0,(SUMPRODUCT(('Q1 Data'!$D$4:$D$207=D6)*('Q1 Data'!$B$4:$B$207="Challan")*('Q1 Data'!$H$4:$H$207=Z6))+SUMPRODUCT(('Q2 Data'!$D$4:$D$207=D6)*('Q2 Data'!$B$4:$B$207="Challan")*('Q2 Data'!$H$4:$H$207=Z6))+SUMPRODUCT(('Q3 Data'!$D$4:$D$207=D6)*('Q3 Data'!$B$4:$B$207="Challan")*('Q3 Data'!$H$4:$H$207=Z6))+SUMPRODUCT(('Q4 Data'!$D$4:$D$207=D6)*('Q4 Data'!$B$4:$B$207="Challan")*('Q4 Data'!$H$4:$H$207=Z6)))=0))</f>
      </c>
    </row>
    <row r="7" spans="1:44" x14ac:dyDescent="0.25">
      <c r="A7" s="20">
        <f>IF($B7="Entry",COUNTIF($B$4:$B7,"Entry"),"")</f>
      </c>
      <c r="B7" s="21"/>
      <c r="C7" s="22"/>
      <c r="D7" s="22"/>
      <c r="E7" s="23">
        <f>IF($B7&lt;&gt;"Challan","",IF(ROUND(AN7-AO7,2)&gt;0,"Over-applied",IF(ROUND(AN7-AO7,2)=0,"Fully Utilised","Unconsumed")))</f>
      </c>
      <c r="F7" s="24"/>
      <c r="G7" s="25"/>
      <c r="H7" s="25"/>
      <c r="I7" s="26"/>
      <c r="J7" s="26"/>
      <c r="K7" s="26"/>
      <c r="L7" s="26"/>
      <c r="M7" s="26"/>
      <c r="N7" s="26"/>
      <c r="O7" s="26"/>
      <c r="P7" s="27">
        <f>IF($B7&lt;&gt;"Challan","",I7+J7+K7+L7+M7+N7)</f>
      </c>
      <c r="Q7" s="25"/>
      <c r="R7" s="25"/>
      <c r="S7" s="25"/>
      <c r="T7" s="25"/>
      <c r="U7" s="25"/>
      <c r="V7" s="28"/>
      <c r="W7" s="28"/>
      <c r="X7" s="23">
        <f>IF($B7="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IF($B7="Challan","",IF(W7&lt;&gt;"","◄ Set Row Type","")))</f>
      </c>
      <c r="Y7" s="23">
        <f>IF($B7="Entry",IF(LEN(W7)&lt;4,"",IF(UPPER(MID(W7,4,1))="P","Individual",IF(UPPER(MID(W7,4,1))="H","HUF",IF(UPPER(MID(W7,4,1))="C","Company",IF(UPPER(MID(W7,4,1))="F","Firm/LLP",IF(UPPER(MID(W7,4,1))="L","Local Authority",IF(UPPER(MID(W7,4,1))="T","Trust",IF(UPPER(MID(W7,4,1))="A","AOP",IF(UPPER(MID(W7,4,1))="B","BOI",IF(UPPER(MID(W7,4,1))="J","AJP",IF(UPPER(MID(W7,4,1))="G","Government",""))))))))))),IF($B7="Challan","",IF(W7&lt;&gt;"","◄ Set Row Type","")))</f>
      </c>
      <c r="Z7" s="28"/>
      <c r="AA7" s="29">
        <f>IF($B7&lt;&gt;"Entry","",IF(Z7="","",IF(X7="Y",SUMPRODUCT(('Rate Lookup'!$A$1:$A$37=Z7)*'Rate Lookup'!$D$1:$D$37),IF(OR(Y7="Individual",Y7="HUF"),SUMPRODUCT(('Rate Lookup'!$A$1:$A$37=Z7)*'Rate Lookup'!$B$1:$B$37),SUMPRODUCT(('Rate Lookup'!$A$1:$A$37=Z7)*'Rate Lookup'!$C$1:$C$37)))))</f>
      </c>
      <c r="AB7" s="30"/>
      <c r="AC7" s="31"/>
      <c r="AD7" s="27">
        <f>IF($B7&lt;&gt;"Entry","",ROUND(AC7*AA7/100,0))</f>
      </c>
      <c r="AE7" s="27">
        <f>IF($B7&lt;&gt;"Entry","",0)</f>
      </c>
      <c r="AF7" s="27">
        <f>IF($B7&lt;&gt;"Entry","",0)</f>
      </c>
      <c r="AG7" s="27">
        <f>IF($B7&lt;&gt;"Entry","",IF(OR(AD7=0,AB7="",AQ7="",AQ7&lt;=0),0,IF(AQ7&lt;=DATE(YEAR(AB7),MONTH(AB7)+1,7),0,ROUND(AD7*0.015*((YEAR(AQ7)-YEAR(AB7))*12+(MONTH(AQ7)-MONTH(AB7))+1),0))))</f>
      </c>
      <c r="AH7" s="27">
        <f>IF($B7&lt;&gt;"Entry","",0)</f>
      </c>
      <c r="AI7" s="28"/>
      <c r="AJ7" s="28"/>
      <c r="AK7" s="32"/>
      <c r="AL7" s="28"/>
      <c r="AM7" s="28"/>
      <c r="AN7" s="27">
        <f>IF($B7&lt;&gt;"Challan","",SUMIF('Q1 Data'!$D$4:$D$207,D7,'Q1 Data'!$AD$4:$AD$207)+SUMIF('Q1 Data'!$D$4:$D$207,D7,'Q1 Data'!$AG$4:$AG$207)+SUMIF('Q1 Data'!$D$4:$D$207,D7,'Q1 Data'!$AE$4:$AE$207)+SUMIF('Q2 Data'!$D$4:$D$207,D7,'Q2 Data'!$AD$4:$AD$207)+SUMIF('Q2 Data'!$D$4:$D$207,D7,'Q2 Data'!$AG$4:$AG$207)+SUMIF('Q2 Data'!$D$4:$D$207,D7,'Q2 Data'!$AE$4:$AE$207)+SUMIF('Q3 Data'!$D$4:$D$207,D7,'Q3 Data'!$AD$4:$AD$207)+SUMIF('Q3 Data'!$D$4:$D$207,D7,'Q3 Data'!$AG$4:$AG$207)+SUMIF('Q3 Data'!$D$4:$D$207,D7,'Q3 Data'!$AE$4:$AE$207)+SUMIF('Q4 Data'!$D$4:$D$207,D7,'Q4 Data'!$AD$4:$AD$207)+SUMIF('Q4 Data'!$D$4:$D$207,D7,'Q4 Data'!$AG$4:$AG$207)+SUMIF('Q4 Data'!$D$4:$D$207,D7,'Q4 Data'!$AE$4:$AE$207))</f>
      </c>
      <c r="AO7" s="27">
        <f>IF($B7&lt;&gt;"Challan","",P7-N7)</f>
      </c>
      <c r="AP7" s="27">
        <f>IF($B7&lt;&gt;"Challan","",MAX(0,AO7-AN7))</f>
      </c>
      <c r="AQ7" s="33">
        <f>IF($B7&lt;&gt;"Entry","",SUMPRODUCT(('Q1 Data'!$D$4:$D$207=D7)*('Q1 Data'!$B$4:$B$207="Challan")*'Q1 Data'!$F$4:$F$207)+SUMPRODUCT(('Q2 Data'!$D$4:$D$207=D7)*('Q2 Data'!$B$4:$B$207="Challan")*'Q2 Data'!$F$4:$F$207)+SUMPRODUCT(('Q3 Data'!$D$4:$D$207=D7)*('Q3 Data'!$B$4:$B$207="Challan")*'Q3 Data'!$F$4:$F$207)+SUMPRODUCT(('Q4 Data'!$D$4:$D$207=D7)*('Q4 Data'!$B$4:$B$207="Challan")*'Q4 Data'!$F$4:$F$207))</f>
      </c>
      <c r="AR7" s="34">
        <f>IF(OR($B7&lt;&gt;"Entry",Z7=""),FALSE,AND((SUMPRODUCT(('Q1 Data'!$D$4:$D$207=D7)*('Q1 Data'!$B$4:$B$207="Challan")*('Q1 Data'!$H$4:$H$207&lt;&gt;""))+SUMPRODUCT(('Q2 Data'!$D$4:$D$207=D7)*('Q2 Data'!$B$4:$B$207="Challan")*('Q2 Data'!$H$4:$H$207&lt;&gt;""))+SUMPRODUCT(('Q3 Data'!$D$4:$D$207=D7)*('Q3 Data'!$B$4:$B$207="Challan")*('Q3 Data'!$H$4:$H$207&lt;&gt;""))+SUMPRODUCT(('Q4 Data'!$D$4:$D$207=D7)*('Q4 Data'!$B$4:$B$207="Challan")*('Q4 Data'!$H$4:$H$207&lt;&gt;"")))&gt;0,(SUMPRODUCT(('Q1 Data'!$D$4:$D$207=D7)*('Q1 Data'!$B$4:$B$207="Challan")*('Q1 Data'!$H$4:$H$207=Z7))+SUMPRODUCT(('Q2 Data'!$D$4:$D$207=D7)*('Q2 Data'!$B$4:$B$207="Challan")*('Q2 Data'!$H$4:$H$207=Z7))+SUMPRODUCT(('Q3 Data'!$D$4:$D$207=D7)*('Q3 Data'!$B$4:$B$207="Challan")*('Q3 Data'!$H$4:$H$207=Z7))+SUMPRODUCT(('Q4 Data'!$D$4:$D$207=D7)*('Q4 Data'!$B$4:$B$207="Challan")*('Q4 Data'!$H$4:$H$207=Z7)))=0))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IF($B8="Challan","",IF(W8&lt;&gt;"","◄ Set Row Type","")))</f>
      </c>
      <c r="Y8" s="23">
        <f>IF($B8="Entry",IF(LEN(W8)&lt;4,"",IF(UPPER(MID(W8,4,1))="P","Individual",IF(UPPER(MID(W8,4,1))="H","HUF",IF(UPPER(MID(W8,4,1))="C","Company",IF(UPPER(MID(W8,4,1))="F","Firm/LLP",IF(UPPER(MID(W8,4,1))="L","Local Authority",IF(UPPER(MID(W8,4,1))="T","Trust",IF(UPPER(MID(W8,4,1))="A","AOP",IF(UPPER(MID(W8,4,1))="B","BOI",IF(UPPER(MID(W8,4,1))="J","AJP",IF(UPPER(MID(W8,4,1))="G","Government",""))))))))))),IF($B8="Challan","",IF(W8&lt;&gt;"","◄ Set Row Type","")))</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IF($B8&lt;&gt;"Challan","",SUMIF('Q1 Data'!$D$4:$D$207,D8,'Q1 Data'!$AD$4:$AD$207)+SUMIF('Q1 Data'!$D$4:$D$207,D8,'Q1 Data'!$AG$4:$AG$207)+SUMIF('Q1 Data'!$D$4:$D$207,D8,'Q1 Data'!$AE$4:$AE$207)+SUMIF('Q2 Data'!$D$4:$D$207,D8,'Q2 Data'!$AD$4:$AD$207)+SUMIF('Q2 Data'!$D$4:$D$207,D8,'Q2 Data'!$AG$4:$AG$207)+SUMIF('Q2 Data'!$D$4:$D$207,D8,'Q2 Data'!$AE$4:$AE$207)+SUMIF('Q3 Data'!$D$4:$D$207,D8,'Q3 Data'!$AD$4:$AD$207)+SUMIF('Q3 Data'!$D$4:$D$207,D8,'Q3 Data'!$AG$4:$AG$207)+SUMIF('Q3 Data'!$D$4:$D$207,D8,'Q3 Data'!$AE$4:$AE$207)+SUMIF('Q4 Data'!$D$4:$D$207,D8,'Q4 Data'!$AD$4:$AD$207)+SUMIF('Q4 Data'!$D$4:$D$207,D8,'Q4 Data'!$AG$4:$AG$207)+SUMIF('Q4 Data'!$D$4:$D$207,D8,'Q4 Data'!$AE$4:$AE$207))</f>
      </c>
      <c r="AO8" s="27">
        <f>IF($B8&lt;&gt;"Challan","",P8-N8)</f>
      </c>
      <c r="AP8" s="27">
        <f>IF($B8&lt;&gt;"Challan","",MAX(0,AO8-AN8))</f>
      </c>
      <c r="AQ8" s="33">
        <f>IF($B8&lt;&gt;"Entry","",SUMPRODUCT(('Q1 Data'!$D$4:$D$207=D8)*('Q1 Data'!$B$4:$B$207="Challan")*'Q1 Data'!$F$4:$F$207)+SUMPRODUCT(('Q2 Data'!$D$4:$D$207=D8)*('Q2 Data'!$B$4:$B$207="Challan")*'Q2 Data'!$F$4:$F$207)+SUMPRODUCT(('Q3 Data'!$D$4:$D$207=D8)*('Q3 Data'!$B$4:$B$207="Challan")*'Q3 Data'!$F$4:$F$207)+SUMPRODUCT(('Q4 Data'!$D$4:$D$207=D8)*('Q4 Data'!$B$4:$B$207="Challan")*'Q4 Data'!$F$4:$F$207))</f>
      </c>
      <c r="AR8" s="34">
        <f>IF(OR($B8&lt;&gt;"Entry",Z8=""),FALSE,AND((SUMPRODUCT(('Q1 Data'!$D$4:$D$207=D8)*('Q1 Data'!$B$4:$B$207="Challan")*('Q1 Data'!$H$4:$H$207&lt;&gt;""))+SUMPRODUCT(('Q2 Data'!$D$4:$D$207=D8)*('Q2 Data'!$B$4:$B$207="Challan")*('Q2 Data'!$H$4:$H$207&lt;&gt;""))+SUMPRODUCT(('Q3 Data'!$D$4:$D$207=D8)*('Q3 Data'!$B$4:$B$207="Challan")*('Q3 Data'!$H$4:$H$207&lt;&gt;""))+SUMPRODUCT(('Q4 Data'!$D$4:$D$207=D8)*('Q4 Data'!$B$4:$B$207="Challan")*('Q4 Data'!$H$4:$H$207&lt;&gt;"")))&gt;0,(SUMPRODUCT(('Q1 Data'!$D$4:$D$207=D8)*('Q1 Data'!$B$4:$B$207="Challan")*('Q1 Data'!$H$4:$H$207=Z8))+SUMPRODUCT(('Q2 Data'!$D$4:$D$207=D8)*('Q2 Data'!$B$4:$B$207="Challan")*('Q2 Data'!$H$4:$H$207=Z8))+SUMPRODUCT(('Q3 Data'!$D$4:$D$207=D8)*('Q3 Data'!$B$4:$B$207="Challan")*('Q3 Data'!$H$4:$H$207=Z8))+SUMPRODUCT(('Q4 Data'!$D$4:$D$207=D8)*('Q4 Data'!$B$4:$B$207="Challan")*('Q4 Data'!$H$4:$H$207=Z8)))=0))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IF($B9="Challan","",IF(W9&lt;&gt;"","◄ Set Row Type","")))</f>
      </c>
      <c r="Y9" s="23">
        <f>IF($B9="Entry",IF(LEN(W9)&lt;4,"",IF(UPPER(MID(W9,4,1))="P","Individual",IF(UPPER(MID(W9,4,1))="H","HUF",IF(UPPER(MID(W9,4,1))="C","Company",IF(UPPER(MID(W9,4,1))="F","Firm/LLP",IF(UPPER(MID(W9,4,1))="L","Local Authority",IF(UPPER(MID(W9,4,1))="T","Trust",IF(UPPER(MID(W9,4,1))="A","AOP",IF(UPPER(MID(W9,4,1))="B","BOI",IF(UPPER(MID(W9,4,1))="J","AJP",IF(UPPER(MID(W9,4,1))="G","Government",""))))))))))),IF($B9="Challan","",IF(W9&lt;&gt;"","◄ Set Row Type","")))</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IF($B9&lt;&gt;"Challan","",SUMIF('Q1 Data'!$D$4:$D$207,D9,'Q1 Data'!$AD$4:$AD$207)+SUMIF('Q1 Data'!$D$4:$D$207,D9,'Q1 Data'!$AG$4:$AG$207)+SUMIF('Q1 Data'!$D$4:$D$207,D9,'Q1 Data'!$AE$4:$AE$207)+SUMIF('Q2 Data'!$D$4:$D$207,D9,'Q2 Data'!$AD$4:$AD$207)+SUMIF('Q2 Data'!$D$4:$D$207,D9,'Q2 Data'!$AG$4:$AG$207)+SUMIF('Q2 Data'!$D$4:$D$207,D9,'Q2 Data'!$AE$4:$AE$207)+SUMIF('Q3 Data'!$D$4:$D$207,D9,'Q3 Data'!$AD$4:$AD$207)+SUMIF('Q3 Data'!$D$4:$D$207,D9,'Q3 Data'!$AG$4:$AG$207)+SUMIF('Q3 Data'!$D$4:$D$207,D9,'Q3 Data'!$AE$4:$AE$207)+SUMIF('Q4 Data'!$D$4:$D$207,D9,'Q4 Data'!$AD$4:$AD$207)+SUMIF('Q4 Data'!$D$4:$D$207,D9,'Q4 Data'!$AG$4:$AG$207)+SUMIF('Q4 Data'!$D$4:$D$207,D9,'Q4 Data'!$AE$4:$AE$207))</f>
      </c>
      <c r="AO9" s="27">
        <f>IF($B9&lt;&gt;"Challan","",P9-N9)</f>
      </c>
      <c r="AP9" s="27">
        <f>IF($B9&lt;&gt;"Challan","",MAX(0,AO9-AN9))</f>
      </c>
      <c r="AQ9" s="33">
        <f>IF($B9&lt;&gt;"Entry","",SUMPRODUCT(('Q1 Data'!$D$4:$D$207=D9)*('Q1 Data'!$B$4:$B$207="Challan")*'Q1 Data'!$F$4:$F$207)+SUMPRODUCT(('Q2 Data'!$D$4:$D$207=D9)*('Q2 Data'!$B$4:$B$207="Challan")*'Q2 Data'!$F$4:$F$207)+SUMPRODUCT(('Q3 Data'!$D$4:$D$207=D9)*('Q3 Data'!$B$4:$B$207="Challan")*'Q3 Data'!$F$4:$F$207)+SUMPRODUCT(('Q4 Data'!$D$4:$D$207=D9)*('Q4 Data'!$B$4:$B$207="Challan")*'Q4 Data'!$F$4:$F$207))</f>
      </c>
      <c r="AR9" s="34">
        <f>IF(OR($B9&lt;&gt;"Entry",Z9=""),FALSE,AND((SUMPRODUCT(('Q1 Data'!$D$4:$D$207=D9)*('Q1 Data'!$B$4:$B$207="Challan")*('Q1 Data'!$H$4:$H$207&lt;&gt;""))+SUMPRODUCT(('Q2 Data'!$D$4:$D$207=D9)*('Q2 Data'!$B$4:$B$207="Challan")*('Q2 Data'!$H$4:$H$207&lt;&gt;""))+SUMPRODUCT(('Q3 Data'!$D$4:$D$207=D9)*('Q3 Data'!$B$4:$B$207="Challan")*('Q3 Data'!$H$4:$H$207&lt;&gt;""))+SUMPRODUCT(('Q4 Data'!$D$4:$D$207=D9)*('Q4 Data'!$B$4:$B$207="Challan")*('Q4 Data'!$H$4:$H$207&lt;&gt;"")))&gt;0,(SUMPRODUCT(('Q1 Data'!$D$4:$D$207=D9)*('Q1 Data'!$B$4:$B$207="Challan")*('Q1 Data'!$H$4:$H$207=Z9))+SUMPRODUCT(('Q2 Data'!$D$4:$D$207=D9)*('Q2 Data'!$B$4:$B$207="Challan")*('Q2 Data'!$H$4:$H$207=Z9))+SUMPRODUCT(('Q3 Data'!$D$4:$D$207=D9)*('Q3 Data'!$B$4:$B$207="Challan")*('Q3 Data'!$H$4:$H$207=Z9))+SUMPRODUCT(('Q4 Data'!$D$4:$D$207=D9)*('Q4 Data'!$B$4:$B$207="Challan")*('Q4 Data'!$H$4:$H$207=Z9)))=0))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IF($B10="Challan","",IF(W10&lt;&gt;"","◄ Set Row Type","")))</f>
      </c>
      <c r="Y10" s="23">
        <f>IF($B10="Entry",IF(LEN(W10)&lt;4,"",IF(UPPER(MID(W10,4,1))="P","Individual",IF(UPPER(MID(W10,4,1))="H","HUF",IF(UPPER(MID(W10,4,1))="C","Company",IF(UPPER(MID(W10,4,1))="F","Firm/LLP",IF(UPPER(MID(W10,4,1))="L","Local Authority",IF(UPPER(MID(W10,4,1))="T","Trust",IF(UPPER(MID(W10,4,1))="A","AOP",IF(UPPER(MID(W10,4,1))="B","BOI",IF(UPPER(MID(W10,4,1))="J","AJP",IF(UPPER(MID(W10,4,1))="G","Government",""))))))))))),IF($B10="Challan","",IF(W10&lt;&gt;"","◄ Set Row Type","")))</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IF($B10&lt;&gt;"Challan","",SUMIF('Q1 Data'!$D$4:$D$207,D10,'Q1 Data'!$AD$4:$AD$207)+SUMIF('Q1 Data'!$D$4:$D$207,D10,'Q1 Data'!$AG$4:$AG$207)+SUMIF('Q1 Data'!$D$4:$D$207,D10,'Q1 Data'!$AE$4:$AE$207)+SUMIF('Q2 Data'!$D$4:$D$207,D10,'Q2 Data'!$AD$4:$AD$207)+SUMIF('Q2 Data'!$D$4:$D$207,D10,'Q2 Data'!$AG$4:$AG$207)+SUMIF('Q2 Data'!$D$4:$D$207,D10,'Q2 Data'!$AE$4:$AE$207)+SUMIF('Q3 Data'!$D$4:$D$207,D10,'Q3 Data'!$AD$4:$AD$207)+SUMIF('Q3 Data'!$D$4:$D$207,D10,'Q3 Data'!$AG$4:$AG$207)+SUMIF('Q3 Data'!$D$4:$D$207,D10,'Q3 Data'!$AE$4:$AE$207)+SUMIF('Q4 Data'!$D$4:$D$207,D10,'Q4 Data'!$AD$4:$AD$207)+SUMIF('Q4 Data'!$D$4:$D$207,D10,'Q4 Data'!$AG$4:$AG$207)+SUMIF('Q4 Data'!$D$4:$D$207,D10,'Q4 Data'!$AE$4:$AE$207))</f>
      </c>
      <c r="AO10" s="27">
        <f>IF($B10&lt;&gt;"Challan","",P10-N10)</f>
      </c>
      <c r="AP10" s="27">
        <f>IF($B10&lt;&gt;"Challan","",MAX(0,AO10-AN10))</f>
      </c>
      <c r="AQ10" s="33">
        <f>IF($B10&lt;&gt;"Entry","",SUMPRODUCT(('Q1 Data'!$D$4:$D$207=D10)*('Q1 Data'!$B$4:$B$207="Challan")*'Q1 Data'!$F$4:$F$207)+SUMPRODUCT(('Q2 Data'!$D$4:$D$207=D10)*('Q2 Data'!$B$4:$B$207="Challan")*'Q2 Data'!$F$4:$F$207)+SUMPRODUCT(('Q3 Data'!$D$4:$D$207=D10)*('Q3 Data'!$B$4:$B$207="Challan")*'Q3 Data'!$F$4:$F$207)+SUMPRODUCT(('Q4 Data'!$D$4:$D$207=D10)*('Q4 Data'!$B$4:$B$207="Challan")*'Q4 Data'!$F$4:$F$207))</f>
      </c>
      <c r="AR10" s="34">
        <f>IF(OR($B10&lt;&gt;"Entry",Z10=""),FALSE,AND((SUMPRODUCT(('Q1 Data'!$D$4:$D$207=D10)*('Q1 Data'!$B$4:$B$207="Challan")*('Q1 Data'!$H$4:$H$207&lt;&gt;""))+SUMPRODUCT(('Q2 Data'!$D$4:$D$207=D10)*('Q2 Data'!$B$4:$B$207="Challan")*('Q2 Data'!$H$4:$H$207&lt;&gt;""))+SUMPRODUCT(('Q3 Data'!$D$4:$D$207=D10)*('Q3 Data'!$B$4:$B$207="Challan")*('Q3 Data'!$H$4:$H$207&lt;&gt;""))+SUMPRODUCT(('Q4 Data'!$D$4:$D$207=D10)*('Q4 Data'!$B$4:$B$207="Challan")*('Q4 Data'!$H$4:$H$207&lt;&gt;"")))&gt;0,(SUMPRODUCT(('Q1 Data'!$D$4:$D$207=D10)*('Q1 Data'!$B$4:$B$207="Challan")*('Q1 Data'!$H$4:$H$207=Z10))+SUMPRODUCT(('Q2 Data'!$D$4:$D$207=D10)*('Q2 Data'!$B$4:$B$207="Challan")*('Q2 Data'!$H$4:$H$207=Z10))+SUMPRODUCT(('Q3 Data'!$D$4:$D$207=D10)*('Q3 Data'!$B$4:$B$207="Challan")*('Q3 Data'!$H$4:$H$207=Z10))+SUMPRODUCT(('Q4 Data'!$D$4:$D$207=D10)*('Q4 Data'!$B$4:$B$207="Challan")*('Q4 Data'!$H$4:$H$207=Z10)))=0))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IF($B11="Challan","",IF(W11&lt;&gt;"","◄ Set Row Type","")))</f>
      </c>
      <c r="Y11" s="23">
        <f>IF($B11="Entry",IF(LEN(W11)&lt;4,"",IF(UPPER(MID(W11,4,1))="P","Individual",IF(UPPER(MID(W11,4,1))="H","HUF",IF(UPPER(MID(W11,4,1))="C","Company",IF(UPPER(MID(W11,4,1))="F","Firm/LLP",IF(UPPER(MID(W11,4,1))="L","Local Authority",IF(UPPER(MID(W11,4,1))="T","Trust",IF(UPPER(MID(W11,4,1))="A","AOP",IF(UPPER(MID(W11,4,1))="B","BOI",IF(UPPER(MID(W11,4,1))="J","AJP",IF(UPPER(MID(W11,4,1))="G","Government",""))))))))))),IF($B11="Challan","",IF(W11&lt;&gt;"","◄ Set Row Type","")))</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IF($B11&lt;&gt;"Challan","",SUMIF('Q1 Data'!$D$4:$D$207,D11,'Q1 Data'!$AD$4:$AD$207)+SUMIF('Q1 Data'!$D$4:$D$207,D11,'Q1 Data'!$AG$4:$AG$207)+SUMIF('Q1 Data'!$D$4:$D$207,D11,'Q1 Data'!$AE$4:$AE$207)+SUMIF('Q2 Data'!$D$4:$D$207,D11,'Q2 Data'!$AD$4:$AD$207)+SUMIF('Q2 Data'!$D$4:$D$207,D11,'Q2 Data'!$AG$4:$AG$207)+SUMIF('Q2 Data'!$D$4:$D$207,D11,'Q2 Data'!$AE$4:$AE$207)+SUMIF('Q3 Data'!$D$4:$D$207,D11,'Q3 Data'!$AD$4:$AD$207)+SUMIF('Q3 Data'!$D$4:$D$207,D11,'Q3 Data'!$AG$4:$AG$207)+SUMIF('Q3 Data'!$D$4:$D$207,D11,'Q3 Data'!$AE$4:$AE$207)+SUMIF('Q4 Data'!$D$4:$D$207,D11,'Q4 Data'!$AD$4:$AD$207)+SUMIF('Q4 Data'!$D$4:$D$207,D11,'Q4 Data'!$AG$4:$AG$207)+SUMIF('Q4 Data'!$D$4:$D$207,D11,'Q4 Data'!$AE$4:$AE$207))</f>
      </c>
      <c r="AO11" s="27">
        <f>IF($B11&lt;&gt;"Challan","",P11-N11)</f>
      </c>
      <c r="AP11" s="27">
        <f>IF($B11&lt;&gt;"Challan","",MAX(0,AO11-AN11))</f>
      </c>
      <c r="AQ11" s="33">
        <f>IF($B11&lt;&gt;"Entry","",SUMPRODUCT(('Q1 Data'!$D$4:$D$207=D11)*('Q1 Data'!$B$4:$B$207="Challan")*'Q1 Data'!$F$4:$F$207)+SUMPRODUCT(('Q2 Data'!$D$4:$D$207=D11)*('Q2 Data'!$B$4:$B$207="Challan")*'Q2 Data'!$F$4:$F$207)+SUMPRODUCT(('Q3 Data'!$D$4:$D$207=D11)*('Q3 Data'!$B$4:$B$207="Challan")*'Q3 Data'!$F$4:$F$207)+SUMPRODUCT(('Q4 Data'!$D$4:$D$207=D11)*('Q4 Data'!$B$4:$B$207="Challan")*'Q4 Data'!$F$4:$F$207))</f>
      </c>
      <c r="AR11" s="34">
        <f>IF(OR($B11&lt;&gt;"Entry",Z11=""),FALSE,AND((SUMPRODUCT(('Q1 Data'!$D$4:$D$207=D11)*('Q1 Data'!$B$4:$B$207="Challan")*('Q1 Data'!$H$4:$H$207&lt;&gt;""))+SUMPRODUCT(('Q2 Data'!$D$4:$D$207=D11)*('Q2 Data'!$B$4:$B$207="Challan")*('Q2 Data'!$H$4:$H$207&lt;&gt;""))+SUMPRODUCT(('Q3 Data'!$D$4:$D$207=D11)*('Q3 Data'!$B$4:$B$207="Challan")*('Q3 Data'!$H$4:$H$207&lt;&gt;""))+SUMPRODUCT(('Q4 Data'!$D$4:$D$207=D11)*('Q4 Data'!$B$4:$B$207="Challan")*('Q4 Data'!$H$4:$H$207&lt;&gt;"")))&gt;0,(SUMPRODUCT(('Q1 Data'!$D$4:$D$207=D11)*('Q1 Data'!$B$4:$B$207="Challan")*('Q1 Data'!$H$4:$H$207=Z11))+SUMPRODUCT(('Q2 Data'!$D$4:$D$207=D11)*('Q2 Data'!$B$4:$B$207="Challan")*('Q2 Data'!$H$4:$H$207=Z11))+SUMPRODUCT(('Q3 Data'!$D$4:$D$207=D11)*('Q3 Data'!$B$4:$B$207="Challan")*('Q3 Data'!$H$4:$H$207=Z11))+SUMPRODUCT(('Q4 Data'!$D$4:$D$207=D11)*('Q4 Data'!$B$4:$B$207="Challan")*('Q4 Data'!$H$4:$H$207=Z11)))=0))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IF($B12="Challan","",IF(W12&lt;&gt;"","◄ Set Row Type","")))</f>
      </c>
      <c r="Y12" s="23">
        <f>IF($B12="Entry",IF(LEN(W12)&lt;4,"",IF(UPPER(MID(W12,4,1))="P","Individual",IF(UPPER(MID(W12,4,1))="H","HUF",IF(UPPER(MID(W12,4,1))="C","Company",IF(UPPER(MID(W12,4,1))="F","Firm/LLP",IF(UPPER(MID(W12,4,1))="L","Local Authority",IF(UPPER(MID(W12,4,1))="T","Trust",IF(UPPER(MID(W12,4,1))="A","AOP",IF(UPPER(MID(W12,4,1))="B","BOI",IF(UPPER(MID(W12,4,1))="J","AJP",IF(UPPER(MID(W12,4,1))="G","Government",""))))))))))),IF($B12="Challan","",IF(W12&lt;&gt;"","◄ Set Row Type","")))</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IF($B12&lt;&gt;"Challan","",SUMIF('Q1 Data'!$D$4:$D$207,D12,'Q1 Data'!$AD$4:$AD$207)+SUMIF('Q1 Data'!$D$4:$D$207,D12,'Q1 Data'!$AG$4:$AG$207)+SUMIF('Q1 Data'!$D$4:$D$207,D12,'Q1 Data'!$AE$4:$AE$207)+SUMIF('Q2 Data'!$D$4:$D$207,D12,'Q2 Data'!$AD$4:$AD$207)+SUMIF('Q2 Data'!$D$4:$D$207,D12,'Q2 Data'!$AG$4:$AG$207)+SUMIF('Q2 Data'!$D$4:$D$207,D12,'Q2 Data'!$AE$4:$AE$207)+SUMIF('Q3 Data'!$D$4:$D$207,D12,'Q3 Data'!$AD$4:$AD$207)+SUMIF('Q3 Data'!$D$4:$D$207,D12,'Q3 Data'!$AG$4:$AG$207)+SUMIF('Q3 Data'!$D$4:$D$207,D12,'Q3 Data'!$AE$4:$AE$207)+SUMIF('Q4 Data'!$D$4:$D$207,D12,'Q4 Data'!$AD$4:$AD$207)+SUMIF('Q4 Data'!$D$4:$D$207,D12,'Q4 Data'!$AG$4:$AG$207)+SUMIF('Q4 Data'!$D$4:$D$207,D12,'Q4 Data'!$AE$4:$AE$207))</f>
      </c>
      <c r="AO12" s="27">
        <f>IF($B12&lt;&gt;"Challan","",P12-N12)</f>
      </c>
      <c r="AP12" s="27">
        <f>IF($B12&lt;&gt;"Challan","",MAX(0,AO12-AN12))</f>
      </c>
      <c r="AQ12" s="33">
        <f>IF($B12&lt;&gt;"Entry","",SUMPRODUCT(('Q1 Data'!$D$4:$D$207=D12)*('Q1 Data'!$B$4:$B$207="Challan")*'Q1 Data'!$F$4:$F$207)+SUMPRODUCT(('Q2 Data'!$D$4:$D$207=D12)*('Q2 Data'!$B$4:$B$207="Challan")*'Q2 Data'!$F$4:$F$207)+SUMPRODUCT(('Q3 Data'!$D$4:$D$207=D12)*('Q3 Data'!$B$4:$B$207="Challan")*'Q3 Data'!$F$4:$F$207)+SUMPRODUCT(('Q4 Data'!$D$4:$D$207=D12)*('Q4 Data'!$B$4:$B$207="Challan")*'Q4 Data'!$F$4:$F$207))</f>
      </c>
      <c r="AR12" s="34">
        <f>IF(OR($B12&lt;&gt;"Entry",Z12=""),FALSE,AND((SUMPRODUCT(('Q1 Data'!$D$4:$D$207=D12)*('Q1 Data'!$B$4:$B$207="Challan")*('Q1 Data'!$H$4:$H$207&lt;&gt;""))+SUMPRODUCT(('Q2 Data'!$D$4:$D$207=D12)*('Q2 Data'!$B$4:$B$207="Challan")*('Q2 Data'!$H$4:$H$207&lt;&gt;""))+SUMPRODUCT(('Q3 Data'!$D$4:$D$207=D12)*('Q3 Data'!$B$4:$B$207="Challan")*('Q3 Data'!$H$4:$H$207&lt;&gt;""))+SUMPRODUCT(('Q4 Data'!$D$4:$D$207=D12)*('Q4 Data'!$B$4:$B$207="Challan")*('Q4 Data'!$H$4:$H$207&lt;&gt;"")))&gt;0,(SUMPRODUCT(('Q1 Data'!$D$4:$D$207=D12)*('Q1 Data'!$B$4:$B$207="Challan")*('Q1 Data'!$H$4:$H$207=Z12))+SUMPRODUCT(('Q2 Data'!$D$4:$D$207=D12)*('Q2 Data'!$B$4:$B$207="Challan")*('Q2 Data'!$H$4:$H$207=Z12))+SUMPRODUCT(('Q3 Data'!$D$4:$D$207=D12)*('Q3 Data'!$B$4:$B$207="Challan")*('Q3 Data'!$H$4:$H$207=Z12))+SUMPRODUCT(('Q4 Data'!$D$4:$D$207=D12)*('Q4 Data'!$B$4:$B$207="Challan")*('Q4 Data'!$H$4:$H$207=Z12)))=0))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IF($B13="Challan","",IF(W13&lt;&gt;"","◄ Set Row Type","")))</f>
      </c>
      <c r="Y13" s="23">
        <f>IF($B13="Entry",IF(LEN(W13)&lt;4,"",IF(UPPER(MID(W13,4,1))="P","Individual",IF(UPPER(MID(W13,4,1))="H","HUF",IF(UPPER(MID(W13,4,1))="C","Company",IF(UPPER(MID(W13,4,1))="F","Firm/LLP",IF(UPPER(MID(W13,4,1))="L","Local Authority",IF(UPPER(MID(W13,4,1))="T","Trust",IF(UPPER(MID(W13,4,1))="A","AOP",IF(UPPER(MID(W13,4,1))="B","BOI",IF(UPPER(MID(W13,4,1))="J","AJP",IF(UPPER(MID(W13,4,1))="G","Government",""))))))))))),IF($B13="Challan","",IF(W13&lt;&gt;"","◄ Set Row Type","")))</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IF($B13&lt;&gt;"Challan","",SUMIF('Q1 Data'!$D$4:$D$207,D13,'Q1 Data'!$AD$4:$AD$207)+SUMIF('Q1 Data'!$D$4:$D$207,D13,'Q1 Data'!$AG$4:$AG$207)+SUMIF('Q1 Data'!$D$4:$D$207,D13,'Q1 Data'!$AE$4:$AE$207)+SUMIF('Q2 Data'!$D$4:$D$207,D13,'Q2 Data'!$AD$4:$AD$207)+SUMIF('Q2 Data'!$D$4:$D$207,D13,'Q2 Data'!$AG$4:$AG$207)+SUMIF('Q2 Data'!$D$4:$D$207,D13,'Q2 Data'!$AE$4:$AE$207)+SUMIF('Q3 Data'!$D$4:$D$207,D13,'Q3 Data'!$AD$4:$AD$207)+SUMIF('Q3 Data'!$D$4:$D$207,D13,'Q3 Data'!$AG$4:$AG$207)+SUMIF('Q3 Data'!$D$4:$D$207,D13,'Q3 Data'!$AE$4:$AE$207)+SUMIF('Q4 Data'!$D$4:$D$207,D13,'Q4 Data'!$AD$4:$AD$207)+SUMIF('Q4 Data'!$D$4:$D$207,D13,'Q4 Data'!$AG$4:$AG$207)+SUMIF('Q4 Data'!$D$4:$D$207,D13,'Q4 Data'!$AE$4:$AE$207))</f>
      </c>
      <c r="AO13" s="27">
        <f>IF($B13&lt;&gt;"Challan","",P13-N13)</f>
      </c>
      <c r="AP13" s="27">
        <f>IF($B13&lt;&gt;"Challan","",MAX(0,AO13-AN13))</f>
      </c>
      <c r="AQ13" s="33">
        <f>IF($B13&lt;&gt;"Entry","",SUMPRODUCT(('Q1 Data'!$D$4:$D$207=D13)*('Q1 Data'!$B$4:$B$207="Challan")*'Q1 Data'!$F$4:$F$207)+SUMPRODUCT(('Q2 Data'!$D$4:$D$207=D13)*('Q2 Data'!$B$4:$B$207="Challan")*'Q2 Data'!$F$4:$F$207)+SUMPRODUCT(('Q3 Data'!$D$4:$D$207=D13)*('Q3 Data'!$B$4:$B$207="Challan")*'Q3 Data'!$F$4:$F$207)+SUMPRODUCT(('Q4 Data'!$D$4:$D$207=D13)*('Q4 Data'!$B$4:$B$207="Challan")*'Q4 Data'!$F$4:$F$207))</f>
      </c>
      <c r="AR13" s="34">
        <f>IF(OR($B13&lt;&gt;"Entry",Z13=""),FALSE,AND((SUMPRODUCT(('Q1 Data'!$D$4:$D$207=D13)*('Q1 Data'!$B$4:$B$207="Challan")*('Q1 Data'!$H$4:$H$207&lt;&gt;""))+SUMPRODUCT(('Q2 Data'!$D$4:$D$207=D13)*('Q2 Data'!$B$4:$B$207="Challan")*('Q2 Data'!$H$4:$H$207&lt;&gt;""))+SUMPRODUCT(('Q3 Data'!$D$4:$D$207=D13)*('Q3 Data'!$B$4:$B$207="Challan")*('Q3 Data'!$H$4:$H$207&lt;&gt;""))+SUMPRODUCT(('Q4 Data'!$D$4:$D$207=D13)*('Q4 Data'!$B$4:$B$207="Challan")*('Q4 Data'!$H$4:$H$207&lt;&gt;"")))&gt;0,(SUMPRODUCT(('Q1 Data'!$D$4:$D$207=D13)*('Q1 Data'!$B$4:$B$207="Challan")*('Q1 Data'!$H$4:$H$207=Z13))+SUMPRODUCT(('Q2 Data'!$D$4:$D$207=D13)*('Q2 Data'!$B$4:$B$207="Challan")*('Q2 Data'!$H$4:$H$207=Z13))+SUMPRODUCT(('Q3 Data'!$D$4:$D$207=D13)*('Q3 Data'!$B$4:$B$207="Challan")*('Q3 Data'!$H$4:$H$207=Z13))+SUMPRODUCT(('Q4 Data'!$D$4:$D$207=D13)*('Q4 Data'!$B$4:$B$207="Challan")*('Q4 Data'!$H$4:$H$207=Z13)))=0))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IF($B14="Challan","",IF(W14&lt;&gt;"","◄ Set Row Type","")))</f>
      </c>
      <c r="Y14" s="23">
        <f>IF($B14="Entry",IF(LEN(W14)&lt;4,"",IF(UPPER(MID(W14,4,1))="P","Individual",IF(UPPER(MID(W14,4,1))="H","HUF",IF(UPPER(MID(W14,4,1))="C","Company",IF(UPPER(MID(W14,4,1))="F","Firm/LLP",IF(UPPER(MID(W14,4,1))="L","Local Authority",IF(UPPER(MID(W14,4,1))="T","Trust",IF(UPPER(MID(W14,4,1))="A","AOP",IF(UPPER(MID(W14,4,1))="B","BOI",IF(UPPER(MID(W14,4,1))="J","AJP",IF(UPPER(MID(W14,4,1))="G","Government",""))))))))))),IF($B14="Challan","",IF(W14&lt;&gt;"","◄ Set Row Type","")))</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IF($B14&lt;&gt;"Challan","",SUMIF('Q1 Data'!$D$4:$D$207,D14,'Q1 Data'!$AD$4:$AD$207)+SUMIF('Q1 Data'!$D$4:$D$207,D14,'Q1 Data'!$AG$4:$AG$207)+SUMIF('Q1 Data'!$D$4:$D$207,D14,'Q1 Data'!$AE$4:$AE$207)+SUMIF('Q2 Data'!$D$4:$D$207,D14,'Q2 Data'!$AD$4:$AD$207)+SUMIF('Q2 Data'!$D$4:$D$207,D14,'Q2 Data'!$AG$4:$AG$207)+SUMIF('Q2 Data'!$D$4:$D$207,D14,'Q2 Data'!$AE$4:$AE$207)+SUMIF('Q3 Data'!$D$4:$D$207,D14,'Q3 Data'!$AD$4:$AD$207)+SUMIF('Q3 Data'!$D$4:$D$207,D14,'Q3 Data'!$AG$4:$AG$207)+SUMIF('Q3 Data'!$D$4:$D$207,D14,'Q3 Data'!$AE$4:$AE$207)+SUMIF('Q4 Data'!$D$4:$D$207,D14,'Q4 Data'!$AD$4:$AD$207)+SUMIF('Q4 Data'!$D$4:$D$207,D14,'Q4 Data'!$AG$4:$AG$207)+SUMIF('Q4 Data'!$D$4:$D$207,D14,'Q4 Data'!$AE$4:$AE$207))</f>
      </c>
      <c r="AO14" s="27">
        <f>IF($B14&lt;&gt;"Challan","",P14-N14)</f>
      </c>
      <c r="AP14" s="27">
        <f>IF($B14&lt;&gt;"Challan","",MAX(0,AO14-AN14))</f>
      </c>
      <c r="AQ14" s="33">
        <f>IF($B14&lt;&gt;"Entry","",SUMPRODUCT(('Q1 Data'!$D$4:$D$207=D14)*('Q1 Data'!$B$4:$B$207="Challan")*'Q1 Data'!$F$4:$F$207)+SUMPRODUCT(('Q2 Data'!$D$4:$D$207=D14)*('Q2 Data'!$B$4:$B$207="Challan")*'Q2 Data'!$F$4:$F$207)+SUMPRODUCT(('Q3 Data'!$D$4:$D$207=D14)*('Q3 Data'!$B$4:$B$207="Challan")*'Q3 Data'!$F$4:$F$207)+SUMPRODUCT(('Q4 Data'!$D$4:$D$207=D14)*('Q4 Data'!$B$4:$B$207="Challan")*'Q4 Data'!$F$4:$F$207))</f>
      </c>
      <c r="AR14" s="34">
        <f>IF(OR($B14&lt;&gt;"Entry",Z14=""),FALSE,AND((SUMPRODUCT(('Q1 Data'!$D$4:$D$207=D14)*('Q1 Data'!$B$4:$B$207="Challan")*('Q1 Data'!$H$4:$H$207&lt;&gt;""))+SUMPRODUCT(('Q2 Data'!$D$4:$D$207=D14)*('Q2 Data'!$B$4:$B$207="Challan")*('Q2 Data'!$H$4:$H$207&lt;&gt;""))+SUMPRODUCT(('Q3 Data'!$D$4:$D$207=D14)*('Q3 Data'!$B$4:$B$207="Challan")*('Q3 Data'!$H$4:$H$207&lt;&gt;""))+SUMPRODUCT(('Q4 Data'!$D$4:$D$207=D14)*('Q4 Data'!$B$4:$B$207="Challan")*('Q4 Data'!$H$4:$H$207&lt;&gt;"")))&gt;0,(SUMPRODUCT(('Q1 Data'!$D$4:$D$207=D14)*('Q1 Data'!$B$4:$B$207="Challan")*('Q1 Data'!$H$4:$H$207=Z14))+SUMPRODUCT(('Q2 Data'!$D$4:$D$207=D14)*('Q2 Data'!$B$4:$B$207="Challan")*('Q2 Data'!$H$4:$H$207=Z14))+SUMPRODUCT(('Q3 Data'!$D$4:$D$207=D14)*('Q3 Data'!$B$4:$B$207="Challan")*('Q3 Data'!$H$4:$H$207=Z14))+SUMPRODUCT(('Q4 Data'!$D$4:$D$207=D14)*('Q4 Data'!$B$4:$B$207="Challan")*('Q4 Data'!$H$4:$H$207=Z14)))=0))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IF($B15="Challan","",IF(W15&lt;&gt;"","◄ Set Row Type","")))</f>
      </c>
      <c r="Y15" s="23">
        <f>IF($B15="Entry",IF(LEN(W15)&lt;4,"",IF(UPPER(MID(W15,4,1))="P","Individual",IF(UPPER(MID(W15,4,1))="H","HUF",IF(UPPER(MID(W15,4,1))="C","Company",IF(UPPER(MID(W15,4,1))="F","Firm/LLP",IF(UPPER(MID(W15,4,1))="L","Local Authority",IF(UPPER(MID(W15,4,1))="T","Trust",IF(UPPER(MID(W15,4,1))="A","AOP",IF(UPPER(MID(W15,4,1))="B","BOI",IF(UPPER(MID(W15,4,1))="J","AJP",IF(UPPER(MID(W15,4,1))="G","Government",""))))))))))),IF($B15="Challan","",IF(W15&lt;&gt;"","◄ Set Row Type","")))</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IF($B15&lt;&gt;"Challan","",SUMIF('Q1 Data'!$D$4:$D$207,D15,'Q1 Data'!$AD$4:$AD$207)+SUMIF('Q1 Data'!$D$4:$D$207,D15,'Q1 Data'!$AG$4:$AG$207)+SUMIF('Q1 Data'!$D$4:$D$207,D15,'Q1 Data'!$AE$4:$AE$207)+SUMIF('Q2 Data'!$D$4:$D$207,D15,'Q2 Data'!$AD$4:$AD$207)+SUMIF('Q2 Data'!$D$4:$D$207,D15,'Q2 Data'!$AG$4:$AG$207)+SUMIF('Q2 Data'!$D$4:$D$207,D15,'Q2 Data'!$AE$4:$AE$207)+SUMIF('Q3 Data'!$D$4:$D$207,D15,'Q3 Data'!$AD$4:$AD$207)+SUMIF('Q3 Data'!$D$4:$D$207,D15,'Q3 Data'!$AG$4:$AG$207)+SUMIF('Q3 Data'!$D$4:$D$207,D15,'Q3 Data'!$AE$4:$AE$207)+SUMIF('Q4 Data'!$D$4:$D$207,D15,'Q4 Data'!$AD$4:$AD$207)+SUMIF('Q4 Data'!$D$4:$D$207,D15,'Q4 Data'!$AG$4:$AG$207)+SUMIF('Q4 Data'!$D$4:$D$207,D15,'Q4 Data'!$AE$4:$AE$207))</f>
      </c>
      <c r="AO15" s="27">
        <f>IF($B15&lt;&gt;"Challan","",P15-N15)</f>
      </c>
      <c r="AP15" s="27">
        <f>IF($B15&lt;&gt;"Challan","",MAX(0,AO15-AN15))</f>
      </c>
      <c r="AQ15" s="33">
        <f>IF($B15&lt;&gt;"Entry","",SUMPRODUCT(('Q1 Data'!$D$4:$D$207=D15)*('Q1 Data'!$B$4:$B$207="Challan")*'Q1 Data'!$F$4:$F$207)+SUMPRODUCT(('Q2 Data'!$D$4:$D$207=D15)*('Q2 Data'!$B$4:$B$207="Challan")*'Q2 Data'!$F$4:$F$207)+SUMPRODUCT(('Q3 Data'!$D$4:$D$207=D15)*('Q3 Data'!$B$4:$B$207="Challan")*'Q3 Data'!$F$4:$F$207)+SUMPRODUCT(('Q4 Data'!$D$4:$D$207=D15)*('Q4 Data'!$B$4:$B$207="Challan")*'Q4 Data'!$F$4:$F$207))</f>
      </c>
      <c r="AR15" s="34">
        <f>IF(OR($B15&lt;&gt;"Entry",Z15=""),FALSE,AND((SUMPRODUCT(('Q1 Data'!$D$4:$D$207=D15)*('Q1 Data'!$B$4:$B$207="Challan")*('Q1 Data'!$H$4:$H$207&lt;&gt;""))+SUMPRODUCT(('Q2 Data'!$D$4:$D$207=D15)*('Q2 Data'!$B$4:$B$207="Challan")*('Q2 Data'!$H$4:$H$207&lt;&gt;""))+SUMPRODUCT(('Q3 Data'!$D$4:$D$207=D15)*('Q3 Data'!$B$4:$B$207="Challan")*('Q3 Data'!$H$4:$H$207&lt;&gt;""))+SUMPRODUCT(('Q4 Data'!$D$4:$D$207=D15)*('Q4 Data'!$B$4:$B$207="Challan")*('Q4 Data'!$H$4:$H$207&lt;&gt;"")))&gt;0,(SUMPRODUCT(('Q1 Data'!$D$4:$D$207=D15)*('Q1 Data'!$B$4:$B$207="Challan")*('Q1 Data'!$H$4:$H$207=Z15))+SUMPRODUCT(('Q2 Data'!$D$4:$D$207=D15)*('Q2 Data'!$B$4:$B$207="Challan")*('Q2 Data'!$H$4:$H$207=Z15))+SUMPRODUCT(('Q3 Data'!$D$4:$D$207=D15)*('Q3 Data'!$B$4:$B$207="Challan")*('Q3 Data'!$H$4:$H$207=Z15))+SUMPRODUCT(('Q4 Data'!$D$4:$D$207=D15)*('Q4 Data'!$B$4:$B$207="Challan")*('Q4 Data'!$H$4:$H$207=Z15)))=0))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IF($B16="Challan","",IF(W16&lt;&gt;"","◄ Set Row Type","")))</f>
      </c>
      <c r="Y16" s="23">
        <f>IF($B16="Entry",IF(LEN(W16)&lt;4,"",IF(UPPER(MID(W16,4,1))="P","Individual",IF(UPPER(MID(W16,4,1))="H","HUF",IF(UPPER(MID(W16,4,1))="C","Company",IF(UPPER(MID(W16,4,1))="F","Firm/LLP",IF(UPPER(MID(W16,4,1))="L","Local Authority",IF(UPPER(MID(W16,4,1))="T","Trust",IF(UPPER(MID(W16,4,1))="A","AOP",IF(UPPER(MID(W16,4,1))="B","BOI",IF(UPPER(MID(W16,4,1))="J","AJP",IF(UPPER(MID(W16,4,1))="G","Government",""))))))))))),IF($B16="Challan","",IF(W16&lt;&gt;"","◄ Set Row Type","")))</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IF($B16&lt;&gt;"Challan","",SUMIF('Q1 Data'!$D$4:$D$207,D16,'Q1 Data'!$AD$4:$AD$207)+SUMIF('Q1 Data'!$D$4:$D$207,D16,'Q1 Data'!$AG$4:$AG$207)+SUMIF('Q1 Data'!$D$4:$D$207,D16,'Q1 Data'!$AE$4:$AE$207)+SUMIF('Q2 Data'!$D$4:$D$207,D16,'Q2 Data'!$AD$4:$AD$207)+SUMIF('Q2 Data'!$D$4:$D$207,D16,'Q2 Data'!$AG$4:$AG$207)+SUMIF('Q2 Data'!$D$4:$D$207,D16,'Q2 Data'!$AE$4:$AE$207)+SUMIF('Q3 Data'!$D$4:$D$207,D16,'Q3 Data'!$AD$4:$AD$207)+SUMIF('Q3 Data'!$D$4:$D$207,D16,'Q3 Data'!$AG$4:$AG$207)+SUMIF('Q3 Data'!$D$4:$D$207,D16,'Q3 Data'!$AE$4:$AE$207)+SUMIF('Q4 Data'!$D$4:$D$207,D16,'Q4 Data'!$AD$4:$AD$207)+SUMIF('Q4 Data'!$D$4:$D$207,D16,'Q4 Data'!$AG$4:$AG$207)+SUMIF('Q4 Data'!$D$4:$D$207,D16,'Q4 Data'!$AE$4:$AE$207))</f>
      </c>
      <c r="AO16" s="27">
        <f>IF($B16&lt;&gt;"Challan","",P16-N16)</f>
      </c>
      <c r="AP16" s="27">
        <f>IF($B16&lt;&gt;"Challan","",MAX(0,AO16-AN16))</f>
      </c>
      <c r="AQ16" s="33">
        <f>IF($B16&lt;&gt;"Entry","",SUMPRODUCT(('Q1 Data'!$D$4:$D$207=D16)*('Q1 Data'!$B$4:$B$207="Challan")*'Q1 Data'!$F$4:$F$207)+SUMPRODUCT(('Q2 Data'!$D$4:$D$207=D16)*('Q2 Data'!$B$4:$B$207="Challan")*'Q2 Data'!$F$4:$F$207)+SUMPRODUCT(('Q3 Data'!$D$4:$D$207=D16)*('Q3 Data'!$B$4:$B$207="Challan")*'Q3 Data'!$F$4:$F$207)+SUMPRODUCT(('Q4 Data'!$D$4:$D$207=D16)*('Q4 Data'!$B$4:$B$207="Challan")*'Q4 Data'!$F$4:$F$207))</f>
      </c>
      <c r="AR16" s="34">
        <f>IF(OR($B16&lt;&gt;"Entry",Z16=""),FALSE,AND((SUMPRODUCT(('Q1 Data'!$D$4:$D$207=D16)*('Q1 Data'!$B$4:$B$207="Challan")*('Q1 Data'!$H$4:$H$207&lt;&gt;""))+SUMPRODUCT(('Q2 Data'!$D$4:$D$207=D16)*('Q2 Data'!$B$4:$B$207="Challan")*('Q2 Data'!$H$4:$H$207&lt;&gt;""))+SUMPRODUCT(('Q3 Data'!$D$4:$D$207=D16)*('Q3 Data'!$B$4:$B$207="Challan")*('Q3 Data'!$H$4:$H$207&lt;&gt;""))+SUMPRODUCT(('Q4 Data'!$D$4:$D$207=D16)*('Q4 Data'!$B$4:$B$207="Challan")*('Q4 Data'!$H$4:$H$207&lt;&gt;"")))&gt;0,(SUMPRODUCT(('Q1 Data'!$D$4:$D$207=D16)*('Q1 Data'!$B$4:$B$207="Challan")*('Q1 Data'!$H$4:$H$207=Z16))+SUMPRODUCT(('Q2 Data'!$D$4:$D$207=D16)*('Q2 Data'!$B$4:$B$207="Challan")*('Q2 Data'!$H$4:$H$207=Z16))+SUMPRODUCT(('Q3 Data'!$D$4:$D$207=D16)*('Q3 Data'!$B$4:$B$207="Challan")*('Q3 Data'!$H$4:$H$207=Z16))+SUMPRODUCT(('Q4 Data'!$D$4:$D$207=D16)*('Q4 Data'!$B$4:$B$207="Challan")*('Q4 Data'!$H$4:$H$207=Z16)))=0))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IF($B17="Challan","",IF(W17&lt;&gt;"","◄ Set Row Type","")))</f>
      </c>
      <c r="Y17" s="23">
        <f>IF($B17="Entry",IF(LEN(W17)&lt;4,"",IF(UPPER(MID(W17,4,1))="P","Individual",IF(UPPER(MID(W17,4,1))="H","HUF",IF(UPPER(MID(W17,4,1))="C","Company",IF(UPPER(MID(W17,4,1))="F","Firm/LLP",IF(UPPER(MID(W17,4,1))="L","Local Authority",IF(UPPER(MID(W17,4,1))="T","Trust",IF(UPPER(MID(W17,4,1))="A","AOP",IF(UPPER(MID(W17,4,1))="B","BOI",IF(UPPER(MID(W17,4,1))="J","AJP",IF(UPPER(MID(W17,4,1))="G","Government",""))))))))))),IF($B17="Challan","",IF(W17&lt;&gt;"","◄ Set Row Type","")))</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IF($B17&lt;&gt;"Challan","",SUMIF('Q1 Data'!$D$4:$D$207,D17,'Q1 Data'!$AD$4:$AD$207)+SUMIF('Q1 Data'!$D$4:$D$207,D17,'Q1 Data'!$AG$4:$AG$207)+SUMIF('Q1 Data'!$D$4:$D$207,D17,'Q1 Data'!$AE$4:$AE$207)+SUMIF('Q2 Data'!$D$4:$D$207,D17,'Q2 Data'!$AD$4:$AD$207)+SUMIF('Q2 Data'!$D$4:$D$207,D17,'Q2 Data'!$AG$4:$AG$207)+SUMIF('Q2 Data'!$D$4:$D$207,D17,'Q2 Data'!$AE$4:$AE$207)+SUMIF('Q3 Data'!$D$4:$D$207,D17,'Q3 Data'!$AD$4:$AD$207)+SUMIF('Q3 Data'!$D$4:$D$207,D17,'Q3 Data'!$AG$4:$AG$207)+SUMIF('Q3 Data'!$D$4:$D$207,D17,'Q3 Data'!$AE$4:$AE$207)+SUMIF('Q4 Data'!$D$4:$D$207,D17,'Q4 Data'!$AD$4:$AD$207)+SUMIF('Q4 Data'!$D$4:$D$207,D17,'Q4 Data'!$AG$4:$AG$207)+SUMIF('Q4 Data'!$D$4:$D$207,D17,'Q4 Data'!$AE$4:$AE$207))</f>
      </c>
      <c r="AO17" s="27">
        <f>IF($B17&lt;&gt;"Challan","",P17-N17)</f>
      </c>
      <c r="AP17" s="27">
        <f>IF($B17&lt;&gt;"Challan","",MAX(0,AO17-AN17))</f>
      </c>
      <c r="AQ17" s="33">
        <f>IF($B17&lt;&gt;"Entry","",SUMPRODUCT(('Q1 Data'!$D$4:$D$207=D17)*('Q1 Data'!$B$4:$B$207="Challan")*'Q1 Data'!$F$4:$F$207)+SUMPRODUCT(('Q2 Data'!$D$4:$D$207=D17)*('Q2 Data'!$B$4:$B$207="Challan")*'Q2 Data'!$F$4:$F$207)+SUMPRODUCT(('Q3 Data'!$D$4:$D$207=D17)*('Q3 Data'!$B$4:$B$207="Challan")*'Q3 Data'!$F$4:$F$207)+SUMPRODUCT(('Q4 Data'!$D$4:$D$207=D17)*('Q4 Data'!$B$4:$B$207="Challan")*'Q4 Data'!$F$4:$F$207))</f>
      </c>
      <c r="AR17" s="34">
        <f>IF(OR($B17&lt;&gt;"Entry",Z17=""),FALSE,AND((SUMPRODUCT(('Q1 Data'!$D$4:$D$207=D17)*('Q1 Data'!$B$4:$B$207="Challan")*('Q1 Data'!$H$4:$H$207&lt;&gt;""))+SUMPRODUCT(('Q2 Data'!$D$4:$D$207=D17)*('Q2 Data'!$B$4:$B$207="Challan")*('Q2 Data'!$H$4:$H$207&lt;&gt;""))+SUMPRODUCT(('Q3 Data'!$D$4:$D$207=D17)*('Q3 Data'!$B$4:$B$207="Challan")*('Q3 Data'!$H$4:$H$207&lt;&gt;""))+SUMPRODUCT(('Q4 Data'!$D$4:$D$207=D17)*('Q4 Data'!$B$4:$B$207="Challan")*('Q4 Data'!$H$4:$H$207&lt;&gt;"")))&gt;0,(SUMPRODUCT(('Q1 Data'!$D$4:$D$207=D17)*('Q1 Data'!$B$4:$B$207="Challan")*('Q1 Data'!$H$4:$H$207=Z17))+SUMPRODUCT(('Q2 Data'!$D$4:$D$207=D17)*('Q2 Data'!$B$4:$B$207="Challan")*('Q2 Data'!$H$4:$H$207=Z17))+SUMPRODUCT(('Q3 Data'!$D$4:$D$207=D17)*('Q3 Data'!$B$4:$B$207="Challan")*('Q3 Data'!$H$4:$H$207=Z17))+SUMPRODUCT(('Q4 Data'!$D$4:$D$207=D17)*('Q4 Data'!$B$4:$B$207="Challan")*('Q4 Data'!$H$4:$H$207=Z17)))=0))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IF($B18="Challan","",IF(W18&lt;&gt;"","◄ Set Row Type","")))</f>
      </c>
      <c r="Y18" s="23">
        <f>IF($B18="Entry",IF(LEN(W18)&lt;4,"",IF(UPPER(MID(W18,4,1))="P","Individual",IF(UPPER(MID(W18,4,1))="H","HUF",IF(UPPER(MID(W18,4,1))="C","Company",IF(UPPER(MID(W18,4,1))="F","Firm/LLP",IF(UPPER(MID(W18,4,1))="L","Local Authority",IF(UPPER(MID(W18,4,1))="T","Trust",IF(UPPER(MID(W18,4,1))="A","AOP",IF(UPPER(MID(W18,4,1))="B","BOI",IF(UPPER(MID(W18,4,1))="J","AJP",IF(UPPER(MID(W18,4,1))="G","Government",""))))))))))),IF($B18="Challan","",IF(W18&lt;&gt;"","◄ Set Row Type","")))</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IF($B18&lt;&gt;"Challan","",SUMIF('Q1 Data'!$D$4:$D$207,D18,'Q1 Data'!$AD$4:$AD$207)+SUMIF('Q1 Data'!$D$4:$D$207,D18,'Q1 Data'!$AG$4:$AG$207)+SUMIF('Q1 Data'!$D$4:$D$207,D18,'Q1 Data'!$AE$4:$AE$207)+SUMIF('Q2 Data'!$D$4:$D$207,D18,'Q2 Data'!$AD$4:$AD$207)+SUMIF('Q2 Data'!$D$4:$D$207,D18,'Q2 Data'!$AG$4:$AG$207)+SUMIF('Q2 Data'!$D$4:$D$207,D18,'Q2 Data'!$AE$4:$AE$207)+SUMIF('Q3 Data'!$D$4:$D$207,D18,'Q3 Data'!$AD$4:$AD$207)+SUMIF('Q3 Data'!$D$4:$D$207,D18,'Q3 Data'!$AG$4:$AG$207)+SUMIF('Q3 Data'!$D$4:$D$207,D18,'Q3 Data'!$AE$4:$AE$207)+SUMIF('Q4 Data'!$D$4:$D$207,D18,'Q4 Data'!$AD$4:$AD$207)+SUMIF('Q4 Data'!$D$4:$D$207,D18,'Q4 Data'!$AG$4:$AG$207)+SUMIF('Q4 Data'!$D$4:$D$207,D18,'Q4 Data'!$AE$4:$AE$207))</f>
      </c>
      <c r="AO18" s="27">
        <f>IF($B18&lt;&gt;"Challan","",P18-N18)</f>
      </c>
      <c r="AP18" s="27">
        <f>IF($B18&lt;&gt;"Challan","",MAX(0,AO18-AN18))</f>
      </c>
      <c r="AQ18" s="33">
        <f>IF($B18&lt;&gt;"Entry","",SUMPRODUCT(('Q1 Data'!$D$4:$D$207=D18)*('Q1 Data'!$B$4:$B$207="Challan")*'Q1 Data'!$F$4:$F$207)+SUMPRODUCT(('Q2 Data'!$D$4:$D$207=D18)*('Q2 Data'!$B$4:$B$207="Challan")*'Q2 Data'!$F$4:$F$207)+SUMPRODUCT(('Q3 Data'!$D$4:$D$207=D18)*('Q3 Data'!$B$4:$B$207="Challan")*'Q3 Data'!$F$4:$F$207)+SUMPRODUCT(('Q4 Data'!$D$4:$D$207=D18)*('Q4 Data'!$B$4:$B$207="Challan")*'Q4 Data'!$F$4:$F$207))</f>
      </c>
      <c r="AR18" s="34">
        <f>IF(OR($B18&lt;&gt;"Entry",Z18=""),FALSE,AND((SUMPRODUCT(('Q1 Data'!$D$4:$D$207=D18)*('Q1 Data'!$B$4:$B$207="Challan")*('Q1 Data'!$H$4:$H$207&lt;&gt;""))+SUMPRODUCT(('Q2 Data'!$D$4:$D$207=D18)*('Q2 Data'!$B$4:$B$207="Challan")*('Q2 Data'!$H$4:$H$207&lt;&gt;""))+SUMPRODUCT(('Q3 Data'!$D$4:$D$207=D18)*('Q3 Data'!$B$4:$B$207="Challan")*('Q3 Data'!$H$4:$H$207&lt;&gt;""))+SUMPRODUCT(('Q4 Data'!$D$4:$D$207=D18)*('Q4 Data'!$B$4:$B$207="Challan")*('Q4 Data'!$H$4:$H$207&lt;&gt;"")))&gt;0,(SUMPRODUCT(('Q1 Data'!$D$4:$D$207=D18)*('Q1 Data'!$B$4:$B$207="Challan")*('Q1 Data'!$H$4:$H$207=Z18))+SUMPRODUCT(('Q2 Data'!$D$4:$D$207=D18)*('Q2 Data'!$B$4:$B$207="Challan")*('Q2 Data'!$H$4:$H$207=Z18))+SUMPRODUCT(('Q3 Data'!$D$4:$D$207=D18)*('Q3 Data'!$B$4:$B$207="Challan")*('Q3 Data'!$H$4:$H$207=Z18))+SUMPRODUCT(('Q4 Data'!$D$4:$D$207=D18)*('Q4 Data'!$B$4:$B$207="Challan")*('Q4 Data'!$H$4:$H$207=Z18)))=0))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IF($B19="Challan","",IF(W19&lt;&gt;"","◄ Set Row Type","")))</f>
      </c>
      <c r="Y19" s="23">
        <f>IF($B19="Entry",IF(LEN(W19)&lt;4,"",IF(UPPER(MID(W19,4,1))="P","Individual",IF(UPPER(MID(W19,4,1))="H","HUF",IF(UPPER(MID(W19,4,1))="C","Company",IF(UPPER(MID(W19,4,1))="F","Firm/LLP",IF(UPPER(MID(W19,4,1))="L","Local Authority",IF(UPPER(MID(W19,4,1))="T","Trust",IF(UPPER(MID(W19,4,1))="A","AOP",IF(UPPER(MID(W19,4,1))="B","BOI",IF(UPPER(MID(W19,4,1))="J","AJP",IF(UPPER(MID(W19,4,1))="G","Government",""))))))))))),IF($B19="Challan","",IF(W19&lt;&gt;"","◄ Set Row Type","")))</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IF($B19&lt;&gt;"Challan","",SUMIF('Q1 Data'!$D$4:$D$207,D19,'Q1 Data'!$AD$4:$AD$207)+SUMIF('Q1 Data'!$D$4:$D$207,D19,'Q1 Data'!$AG$4:$AG$207)+SUMIF('Q1 Data'!$D$4:$D$207,D19,'Q1 Data'!$AE$4:$AE$207)+SUMIF('Q2 Data'!$D$4:$D$207,D19,'Q2 Data'!$AD$4:$AD$207)+SUMIF('Q2 Data'!$D$4:$D$207,D19,'Q2 Data'!$AG$4:$AG$207)+SUMIF('Q2 Data'!$D$4:$D$207,D19,'Q2 Data'!$AE$4:$AE$207)+SUMIF('Q3 Data'!$D$4:$D$207,D19,'Q3 Data'!$AD$4:$AD$207)+SUMIF('Q3 Data'!$D$4:$D$207,D19,'Q3 Data'!$AG$4:$AG$207)+SUMIF('Q3 Data'!$D$4:$D$207,D19,'Q3 Data'!$AE$4:$AE$207)+SUMIF('Q4 Data'!$D$4:$D$207,D19,'Q4 Data'!$AD$4:$AD$207)+SUMIF('Q4 Data'!$D$4:$D$207,D19,'Q4 Data'!$AG$4:$AG$207)+SUMIF('Q4 Data'!$D$4:$D$207,D19,'Q4 Data'!$AE$4:$AE$207))</f>
      </c>
      <c r="AO19" s="27">
        <f>IF($B19&lt;&gt;"Challan","",P19-N19)</f>
      </c>
      <c r="AP19" s="27">
        <f>IF($B19&lt;&gt;"Challan","",MAX(0,AO19-AN19))</f>
      </c>
      <c r="AQ19" s="33">
        <f>IF($B19&lt;&gt;"Entry","",SUMPRODUCT(('Q1 Data'!$D$4:$D$207=D19)*('Q1 Data'!$B$4:$B$207="Challan")*'Q1 Data'!$F$4:$F$207)+SUMPRODUCT(('Q2 Data'!$D$4:$D$207=D19)*('Q2 Data'!$B$4:$B$207="Challan")*'Q2 Data'!$F$4:$F$207)+SUMPRODUCT(('Q3 Data'!$D$4:$D$207=D19)*('Q3 Data'!$B$4:$B$207="Challan")*'Q3 Data'!$F$4:$F$207)+SUMPRODUCT(('Q4 Data'!$D$4:$D$207=D19)*('Q4 Data'!$B$4:$B$207="Challan")*'Q4 Data'!$F$4:$F$207))</f>
      </c>
      <c r="AR19" s="34">
        <f>IF(OR($B19&lt;&gt;"Entry",Z19=""),FALSE,AND((SUMPRODUCT(('Q1 Data'!$D$4:$D$207=D19)*('Q1 Data'!$B$4:$B$207="Challan")*('Q1 Data'!$H$4:$H$207&lt;&gt;""))+SUMPRODUCT(('Q2 Data'!$D$4:$D$207=D19)*('Q2 Data'!$B$4:$B$207="Challan")*('Q2 Data'!$H$4:$H$207&lt;&gt;""))+SUMPRODUCT(('Q3 Data'!$D$4:$D$207=D19)*('Q3 Data'!$B$4:$B$207="Challan")*('Q3 Data'!$H$4:$H$207&lt;&gt;""))+SUMPRODUCT(('Q4 Data'!$D$4:$D$207=D19)*('Q4 Data'!$B$4:$B$207="Challan")*('Q4 Data'!$H$4:$H$207&lt;&gt;"")))&gt;0,(SUMPRODUCT(('Q1 Data'!$D$4:$D$207=D19)*('Q1 Data'!$B$4:$B$207="Challan")*('Q1 Data'!$H$4:$H$207=Z19))+SUMPRODUCT(('Q2 Data'!$D$4:$D$207=D19)*('Q2 Data'!$B$4:$B$207="Challan")*('Q2 Data'!$H$4:$H$207=Z19))+SUMPRODUCT(('Q3 Data'!$D$4:$D$207=D19)*('Q3 Data'!$B$4:$B$207="Challan")*('Q3 Data'!$H$4:$H$207=Z19))+SUMPRODUCT(('Q4 Data'!$D$4:$D$207=D19)*('Q4 Data'!$B$4:$B$207="Challan")*('Q4 Data'!$H$4:$H$207=Z19)))=0))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IF($B20="Challan","",IF(W20&lt;&gt;"","◄ Set Row Type","")))</f>
      </c>
      <c r="Y20" s="23">
        <f>IF($B20="Entry",IF(LEN(W20)&lt;4,"",IF(UPPER(MID(W20,4,1))="P","Individual",IF(UPPER(MID(W20,4,1))="H","HUF",IF(UPPER(MID(W20,4,1))="C","Company",IF(UPPER(MID(W20,4,1))="F","Firm/LLP",IF(UPPER(MID(W20,4,1))="L","Local Authority",IF(UPPER(MID(W20,4,1))="T","Trust",IF(UPPER(MID(W20,4,1))="A","AOP",IF(UPPER(MID(W20,4,1))="B","BOI",IF(UPPER(MID(W20,4,1))="J","AJP",IF(UPPER(MID(W20,4,1))="G","Government",""))))))))))),IF($B20="Challan","",IF(W20&lt;&gt;"","◄ Set Row Type","")))</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IF($B20&lt;&gt;"Challan","",SUMIF('Q1 Data'!$D$4:$D$207,D20,'Q1 Data'!$AD$4:$AD$207)+SUMIF('Q1 Data'!$D$4:$D$207,D20,'Q1 Data'!$AG$4:$AG$207)+SUMIF('Q1 Data'!$D$4:$D$207,D20,'Q1 Data'!$AE$4:$AE$207)+SUMIF('Q2 Data'!$D$4:$D$207,D20,'Q2 Data'!$AD$4:$AD$207)+SUMIF('Q2 Data'!$D$4:$D$207,D20,'Q2 Data'!$AG$4:$AG$207)+SUMIF('Q2 Data'!$D$4:$D$207,D20,'Q2 Data'!$AE$4:$AE$207)+SUMIF('Q3 Data'!$D$4:$D$207,D20,'Q3 Data'!$AD$4:$AD$207)+SUMIF('Q3 Data'!$D$4:$D$207,D20,'Q3 Data'!$AG$4:$AG$207)+SUMIF('Q3 Data'!$D$4:$D$207,D20,'Q3 Data'!$AE$4:$AE$207)+SUMIF('Q4 Data'!$D$4:$D$207,D20,'Q4 Data'!$AD$4:$AD$207)+SUMIF('Q4 Data'!$D$4:$D$207,D20,'Q4 Data'!$AG$4:$AG$207)+SUMIF('Q4 Data'!$D$4:$D$207,D20,'Q4 Data'!$AE$4:$AE$207))</f>
      </c>
      <c r="AO20" s="27">
        <f>IF($B20&lt;&gt;"Challan","",P20-N20)</f>
      </c>
      <c r="AP20" s="27">
        <f>IF($B20&lt;&gt;"Challan","",MAX(0,AO20-AN20))</f>
      </c>
      <c r="AQ20" s="33">
        <f>IF($B20&lt;&gt;"Entry","",SUMPRODUCT(('Q1 Data'!$D$4:$D$207=D20)*('Q1 Data'!$B$4:$B$207="Challan")*'Q1 Data'!$F$4:$F$207)+SUMPRODUCT(('Q2 Data'!$D$4:$D$207=D20)*('Q2 Data'!$B$4:$B$207="Challan")*'Q2 Data'!$F$4:$F$207)+SUMPRODUCT(('Q3 Data'!$D$4:$D$207=D20)*('Q3 Data'!$B$4:$B$207="Challan")*'Q3 Data'!$F$4:$F$207)+SUMPRODUCT(('Q4 Data'!$D$4:$D$207=D20)*('Q4 Data'!$B$4:$B$207="Challan")*'Q4 Data'!$F$4:$F$207))</f>
      </c>
      <c r="AR20" s="34">
        <f>IF(OR($B20&lt;&gt;"Entry",Z20=""),FALSE,AND((SUMPRODUCT(('Q1 Data'!$D$4:$D$207=D20)*('Q1 Data'!$B$4:$B$207="Challan")*('Q1 Data'!$H$4:$H$207&lt;&gt;""))+SUMPRODUCT(('Q2 Data'!$D$4:$D$207=D20)*('Q2 Data'!$B$4:$B$207="Challan")*('Q2 Data'!$H$4:$H$207&lt;&gt;""))+SUMPRODUCT(('Q3 Data'!$D$4:$D$207=D20)*('Q3 Data'!$B$4:$B$207="Challan")*('Q3 Data'!$H$4:$H$207&lt;&gt;""))+SUMPRODUCT(('Q4 Data'!$D$4:$D$207=D20)*('Q4 Data'!$B$4:$B$207="Challan")*('Q4 Data'!$H$4:$H$207&lt;&gt;"")))&gt;0,(SUMPRODUCT(('Q1 Data'!$D$4:$D$207=D20)*('Q1 Data'!$B$4:$B$207="Challan")*('Q1 Data'!$H$4:$H$207=Z20))+SUMPRODUCT(('Q2 Data'!$D$4:$D$207=D20)*('Q2 Data'!$B$4:$B$207="Challan")*('Q2 Data'!$H$4:$H$207=Z20))+SUMPRODUCT(('Q3 Data'!$D$4:$D$207=D20)*('Q3 Data'!$B$4:$B$207="Challan")*('Q3 Data'!$H$4:$H$207=Z20))+SUMPRODUCT(('Q4 Data'!$D$4:$D$207=D20)*('Q4 Data'!$B$4:$B$207="Challan")*('Q4 Data'!$H$4:$H$207=Z20)))=0))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IF($B21="Challan","",IF(W21&lt;&gt;"","◄ Set Row Type","")))</f>
      </c>
      <c r="Y21" s="23">
        <f>IF($B21="Entry",IF(LEN(W21)&lt;4,"",IF(UPPER(MID(W21,4,1))="P","Individual",IF(UPPER(MID(W21,4,1))="H","HUF",IF(UPPER(MID(W21,4,1))="C","Company",IF(UPPER(MID(W21,4,1))="F","Firm/LLP",IF(UPPER(MID(W21,4,1))="L","Local Authority",IF(UPPER(MID(W21,4,1))="T","Trust",IF(UPPER(MID(W21,4,1))="A","AOP",IF(UPPER(MID(W21,4,1))="B","BOI",IF(UPPER(MID(W21,4,1))="J","AJP",IF(UPPER(MID(W21,4,1))="G","Government",""))))))))))),IF($B21="Challan","",IF(W21&lt;&gt;"","◄ Set Row Type","")))</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IF($B21&lt;&gt;"Challan","",SUMIF('Q1 Data'!$D$4:$D$207,D21,'Q1 Data'!$AD$4:$AD$207)+SUMIF('Q1 Data'!$D$4:$D$207,D21,'Q1 Data'!$AG$4:$AG$207)+SUMIF('Q1 Data'!$D$4:$D$207,D21,'Q1 Data'!$AE$4:$AE$207)+SUMIF('Q2 Data'!$D$4:$D$207,D21,'Q2 Data'!$AD$4:$AD$207)+SUMIF('Q2 Data'!$D$4:$D$207,D21,'Q2 Data'!$AG$4:$AG$207)+SUMIF('Q2 Data'!$D$4:$D$207,D21,'Q2 Data'!$AE$4:$AE$207)+SUMIF('Q3 Data'!$D$4:$D$207,D21,'Q3 Data'!$AD$4:$AD$207)+SUMIF('Q3 Data'!$D$4:$D$207,D21,'Q3 Data'!$AG$4:$AG$207)+SUMIF('Q3 Data'!$D$4:$D$207,D21,'Q3 Data'!$AE$4:$AE$207)+SUMIF('Q4 Data'!$D$4:$D$207,D21,'Q4 Data'!$AD$4:$AD$207)+SUMIF('Q4 Data'!$D$4:$D$207,D21,'Q4 Data'!$AG$4:$AG$207)+SUMIF('Q4 Data'!$D$4:$D$207,D21,'Q4 Data'!$AE$4:$AE$207))</f>
      </c>
      <c r="AO21" s="27">
        <f>IF($B21&lt;&gt;"Challan","",P21-N21)</f>
      </c>
      <c r="AP21" s="27">
        <f>IF($B21&lt;&gt;"Challan","",MAX(0,AO21-AN21))</f>
      </c>
      <c r="AQ21" s="33">
        <f>IF($B21&lt;&gt;"Entry","",SUMPRODUCT(('Q1 Data'!$D$4:$D$207=D21)*('Q1 Data'!$B$4:$B$207="Challan")*'Q1 Data'!$F$4:$F$207)+SUMPRODUCT(('Q2 Data'!$D$4:$D$207=D21)*('Q2 Data'!$B$4:$B$207="Challan")*'Q2 Data'!$F$4:$F$207)+SUMPRODUCT(('Q3 Data'!$D$4:$D$207=D21)*('Q3 Data'!$B$4:$B$207="Challan")*'Q3 Data'!$F$4:$F$207)+SUMPRODUCT(('Q4 Data'!$D$4:$D$207=D21)*('Q4 Data'!$B$4:$B$207="Challan")*'Q4 Data'!$F$4:$F$207))</f>
      </c>
      <c r="AR21" s="34">
        <f>IF(OR($B21&lt;&gt;"Entry",Z21=""),FALSE,AND((SUMPRODUCT(('Q1 Data'!$D$4:$D$207=D21)*('Q1 Data'!$B$4:$B$207="Challan")*('Q1 Data'!$H$4:$H$207&lt;&gt;""))+SUMPRODUCT(('Q2 Data'!$D$4:$D$207=D21)*('Q2 Data'!$B$4:$B$207="Challan")*('Q2 Data'!$H$4:$H$207&lt;&gt;""))+SUMPRODUCT(('Q3 Data'!$D$4:$D$207=D21)*('Q3 Data'!$B$4:$B$207="Challan")*('Q3 Data'!$H$4:$H$207&lt;&gt;""))+SUMPRODUCT(('Q4 Data'!$D$4:$D$207=D21)*('Q4 Data'!$B$4:$B$207="Challan")*('Q4 Data'!$H$4:$H$207&lt;&gt;"")))&gt;0,(SUMPRODUCT(('Q1 Data'!$D$4:$D$207=D21)*('Q1 Data'!$B$4:$B$207="Challan")*('Q1 Data'!$H$4:$H$207=Z21))+SUMPRODUCT(('Q2 Data'!$D$4:$D$207=D21)*('Q2 Data'!$B$4:$B$207="Challan")*('Q2 Data'!$H$4:$H$207=Z21))+SUMPRODUCT(('Q3 Data'!$D$4:$D$207=D21)*('Q3 Data'!$B$4:$B$207="Challan")*('Q3 Data'!$H$4:$H$207=Z21))+SUMPRODUCT(('Q4 Data'!$D$4:$D$207=D21)*('Q4 Data'!$B$4:$B$207="Challan")*('Q4 Data'!$H$4:$H$207=Z21)))=0))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IF($B22="Challan","",IF(W22&lt;&gt;"","◄ Set Row Type","")))</f>
      </c>
      <c r="Y22" s="23">
        <f>IF($B22="Entry",IF(LEN(W22)&lt;4,"",IF(UPPER(MID(W22,4,1))="P","Individual",IF(UPPER(MID(W22,4,1))="H","HUF",IF(UPPER(MID(W22,4,1))="C","Company",IF(UPPER(MID(W22,4,1))="F","Firm/LLP",IF(UPPER(MID(W22,4,1))="L","Local Authority",IF(UPPER(MID(W22,4,1))="T","Trust",IF(UPPER(MID(W22,4,1))="A","AOP",IF(UPPER(MID(W22,4,1))="B","BOI",IF(UPPER(MID(W22,4,1))="J","AJP",IF(UPPER(MID(W22,4,1))="G","Government",""))))))))))),IF($B22="Challan","",IF(W22&lt;&gt;"","◄ Set Row Type","")))</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IF($B22&lt;&gt;"Challan","",SUMIF('Q1 Data'!$D$4:$D$207,D22,'Q1 Data'!$AD$4:$AD$207)+SUMIF('Q1 Data'!$D$4:$D$207,D22,'Q1 Data'!$AG$4:$AG$207)+SUMIF('Q1 Data'!$D$4:$D$207,D22,'Q1 Data'!$AE$4:$AE$207)+SUMIF('Q2 Data'!$D$4:$D$207,D22,'Q2 Data'!$AD$4:$AD$207)+SUMIF('Q2 Data'!$D$4:$D$207,D22,'Q2 Data'!$AG$4:$AG$207)+SUMIF('Q2 Data'!$D$4:$D$207,D22,'Q2 Data'!$AE$4:$AE$207)+SUMIF('Q3 Data'!$D$4:$D$207,D22,'Q3 Data'!$AD$4:$AD$207)+SUMIF('Q3 Data'!$D$4:$D$207,D22,'Q3 Data'!$AG$4:$AG$207)+SUMIF('Q3 Data'!$D$4:$D$207,D22,'Q3 Data'!$AE$4:$AE$207)+SUMIF('Q4 Data'!$D$4:$D$207,D22,'Q4 Data'!$AD$4:$AD$207)+SUMIF('Q4 Data'!$D$4:$D$207,D22,'Q4 Data'!$AG$4:$AG$207)+SUMIF('Q4 Data'!$D$4:$D$207,D22,'Q4 Data'!$AE$4:$AE$207))</f>
      </c>
      <c r="AO22" s="27">
        <f>IF($B22&lt;&gt;"Challan","",P22-N22)</f>
      </c>
      <c r="AP22" s="27">
        <f>IF($B22&lt;&gt;"Challan","",MAX(0,AO22-AN22))</f>
      </c>
      <c r="AQ22" s="33">
        <f>IF($B22&lt;&gt;"Entry","",SUMPRODUCT(('Q1 Data'!$D$4:$D$207=D22)*('Q1 Data'!$B$4:$B$207="Challan")*'Q1 Data'!$F$4:$F$207)+SUMPRODUCT(('Q2 Data'!$D$4:$D$207=D22)*('Q2 Data'!$B$4:$B$207="Challan")*'Q2 Data'!$F$4:$F$207)+SUMPRODUCT(('Q3 Data'!$D$4:$D$207=D22)*('Q3 Data'!$B$4:$B$207="Challan")*'Q3 Data'!$F$4:$F$207)+SUMPRODUCT(('Q4 Data'!$D$4:$D$207=D22)*('Q4 Data'!$B$4:$B$207="Challan")*'Q4 Data'!$F$4:$F$207))</f>
      </c>
      <c r="AR22" s="34">
        <f>IF(OR($B22&lt;&gt;"Entry",Z22=""),FALSE,AND((SUMPRODUCT(('Q1 Data'!$D$4:$D$207=D22)*('Q1 Data'!$B$4:$B$207="Challan")*('Q1 Data'!$H$4:$H$207&lt;&gt;""))+SUMPRODUCT(('Q2 Data'!$D$4:$D$207=D22)*('Q2 Data'!$B$4:$B$207="Challan")*('Q2 Data'!$H$4:$H$207&lt;&gt;""))+SUMPRODUCT(('Q3 Data'!$D$4:$D$207=D22)*('Q3 Data'!$B$4:$B$207="Challan")*('Q3 Data'!$H$4:$H$207&lt;&gt;""))+SUMPRODUCT(('Q4 Data'!$D$4:$D$207=D22)*('Q4 Data'!$B$4:$B$207="Challan")*('Q4 Data'!$H$4:$H$207&lt;&gt;"")))&gt;0,(SUMPRODUCT(('Q1 Data'!$D$4:$D$207=D22)*('Q1 Data'!$B$4:$B$207="Challan")*('Q1 Data'!$H$4:$H$207=Z22))+SUMPRODUCT(('Q2 Data'!$D$4:$D$207=D22)*('Q2 Data'!$B$4:$B$207="Challan")*('Q2 Data'!$H$4:$H$207=Z22))+SUMPRODUCT(('Q3 Data'!$D$4:$D$207=D22)*('Q3 Data'!$B$4:$B$207="Challan")*('Q3 Data'!$H$4:$H$207=Z22))+SUMPRODUCT(('Q4 Data'!$D$4:$D$207=D22)*('Q4 Data'!$B$4:$B$207="Challan")*('Q4 Data'!$H$4:$H$207=Z22)))=0))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IF($B23="Challan","",IF(W23&lt;&gt;"","◄ Set Row Type","")))</f>
      </c>
      <c r="Y23" s="23">
        <f>IF($B23="Entry",IF(LEN(W23)&lt;4,"",IF(UPPER(MID(W23,4,1))="P","Individual",IF(UPPER(MID(W23,4,1))="H","HUF",IF(UPPER(MID(W23,4,1))="C","Company",IF(UPPER(MID(W23,4,1))="F","Firm/LLP",IF(UPPER(MID(W23,4,1))="L","Local Authority",IF(UPPER(MID(W23,4,1))="T","Trust",IF(UPPER(MID(W23,4,1))="A","AOP",IF(UPPER(MID(W23,4,1))="B","BOI",IF(UPPER(MID(W23,4,1))="J","AJP",IF(UPPER(MID(W23,4,1))="G","Government",""))))))))))),IF($B23="Challan","",IF(W23&lt;&gt;"","◄ Set Row Type","")))</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IF($B23&lt;&gt;"Challan","",SUMIF('Q1 Data'!$D$4:$D$207,D23,'Q1 Data'!$AD$4:$AD$207)+SUMIF('Q1 Data'!$D$4:$D$207,D23,'Q1 Data'!$AG$4:$AG$207)+SUMIF('Q1 Data'!$D$4:$D$207,D23,'Q1 Data'!$AE$4:$AE$207)+SUMIF('Q2 Data'!$D$4:$D$207,D23,'Q2 Data'!$AD$4:$AD$207)+SUMIF('Q2 Data'!$D$4:$D$207,D23,'Q2 Data'!$AG$4:$AG$207)+SUMIF('Q2 Data'!$D$4:$D$207,D23,'Q2 Data'!$AE$4:$AE$207)+SUMIF('Q3 Data'!$D$4:$D$207,D23,'Q3 Data'!$AD$4:$AD$207)+SUMIF('Q3 Data'!$D$4:$D$207,D23,'Q3 Data'!$AG$4:$AG$207)+SUMIF('Q3 Data'!$D$4:$D$207,D23,'Q3 Data'!$AE$4:$AE$207)+SUMIF('Q4 Data'!$D$4:$D$207,D23,'Q4 Data'!$AD$4:$AD$207)+SUMIF('Q4 Data'!$D$4:$D$207,D23,'Q4 Data'!$AG$4:$AG$207)+SUMIF('Q4 Data'!$D$4:$D$207,D23,'Q4 Data'!$AE$4:$AE$207))</f>
      </c>
      <c r="AO23" s="27">
        <f>IF($B23&lt;&gt;"Challan","",P23-N23)</f>
      </c>
      <c r="AP23" s="27">
        <f>IF($B23&lt;&gt;"Challan","",MAX(0,AO23-AN23))</f>
      </c>
      <c r="AQ23" s="33">
        <f>IF($B23&lt;&gt;"Entry","",SUMPRODUCT(('Q1 Data'!$D$4:$D$207=D23)*('Q1 Data'!$B$4:$B$207="Challan")*'Q1 Data'!$F$4:$F$207)+SUMPRODUCT(('Q2 Data'!$D$4:$D$207=D23)*('Q2 Data'!$B$4:$B$207="Challan")*'Q2 Data'!$F$4:$F$207)+SUMPRODUCT(('Q3 Data'!$D$4:$D$207=D23)*('Q3 Data'!$B$4:$B$207="Challan")*'Q3 Data'!$F$4:$F$207)+SUMPRODUCT(('Q4 Data'!$D$4:$D$207=D23)*('Q4 Data'!$B$4:$B$207="Challan")*'Q4 Data'!$F$4:$F$207))</f>
      </c>
      <c r="AR23" s="34">
        <f>IF(OR($B23&lt;&gt;"Entry",Z23=""),FALSE,AND((SUMPRODUCT(('Q1 Data'!$D$4:$D$207=D23)*('Q1 Data'!$B$4:$B$207="Challan")*('Q1 Data'!$H$4:$H$207&lt;&gt;""))+SUMPRODUCT(('Q2 Data'!$D$4:$D$207=D23)*('Q2 Data'!$B$4:$B$207="Challan")*('Q2 Data'!$H$4:$H$207&lt;&gt;""))+SUMPRODUCT(('Q3 Data'!$D$4:$D$207=D23)*('Q3 Data'!$B$4:$B$207="Challan")*('Q3 Data'!$H$4:$H$207&lt;&gt;""))+SUMPRODUCT(('Q4 Data'!$D$4:$D$207=D23)*('Q4 Data'!$B$4:$B$207="Challan")*('Q4 Data'!$H$4:$H$207&lt;&gt;"")))&gt;0,(SUMPRODUCT(('Q1 Data'!$D$4:$D$207=D23)*('Q1 Data'!$B$4:$B$207="Challan")*('Q1 Data'!$H$4:$H$207=Z23))+SUMPRODUCT(('Q2 Data'!$D$4:$D$207=D23)*('Q2 Data'!$B$4:$B$207="Challan")*('Q2 Data'!$H$4:$H$207=Z23))+SUMPRODUCT(('Q3 Data'!$D$4:$D$207=D23)*('Q3 Data'!$B$4:$B$207="Challan")*('Q3 Data'!$H$4:$H$207=Z23))+SUMPRODUCT(('Q4 Data'!$D$4:$D$207=D23)*('Q4 Data'!$B$4:$B$207="Challan")*('Q4 Data'!$H$4:$H$207=Z23)))=0))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IF($B24="Challan","",IF(W24&lt;&gt;"","◄ Set Row Type","")))</f>
      </c>
      <c r="Y24" s="23">
        <f>IF($B24="Entry",IF(LEN(W24)&lt;4,"",IF(UPPER(MID(W24,4,1))="P","Individual",IF(UPPER(MID(W24,4,1))="H","HUF",IF(UPPER(MID(W24,4,1))="C","Company",IF(UPPER(MID(W24,4,1))="F","Firm/LLP",IF(UPPER(MID(W24,4,1))="L","Local Authority",IF(UPPER(MID(W24,4,1))="T","Trust",IF(UPPER(MID(W24,4,1))="A","AOP",IF(UPPER(MID(W24,4,1))="B","BOI",IF(UPPER(MID(W24,4,1))="J","AJP",IF(UPPER(MID(W24,4,1))="G","Government",""))))))))))),IF($B24="Challan","",IF(W24&lt;&gt;"","◄ Set Row Type","")))</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IF($B24&lt;&gt;"Challan","",SUMIF('Q1 Data'!$D$4:$D$207,D24,'Q1 Data'!$AD$4:$AD$207)+SUMIF('Q1 Data'!$D$4:$D$207,D24,'Q1 Data'!$AG$4:$AG$207)+SUMIF('Q1 Data'!$D$4:$D$207,D24,'Q1 Data'!$AE$4:$AE$207)+SUMIF('Q2 Data'!$D$4:$D$207,D24,'Q2 Data'!$AD$4:$AD$207)+SUMIF('Q2 Data'!$D$4:$D$207,D24,'Q2 Data'!$AG$4:$AG$207)+SUMIF('Q2 Data'!$D$4:$D$207,D24,'Q2 Data'!$AE$4:$AE$207)+SUMIF('Q3 Data'!$D$4:$D$207,D24,'Q3 Data'!$AD$4:$AD$207)+SUMIF('Q3 Data'!$D$4:$D$207,D24,'Q3 Data'!$AG$4:$AG$207)+SUMIF('Q3 Data'!$D$4:$D$207,D24,'Q3 Data'!$AE$4:$AE$207)+SUMIF('Q4 Data'!$D$4:$D$207,D24,'Q4 Data'!$AD$4:$AD$207)+SUMIF('Q4 Data'!$D$4:$D$207,D24,'Q4 Data'!$AG$4:$AG$207)+SUMIF('Q4 Data'!$D$4:$D$207,D24,'Q4 Data'!$AE$4:$AE$207))</f>
      </c>
      <c r="AO24" s="27">
        <f>IF($B24&lt;&gt;"Challan","",P24-N24)</f>
      </c>
      <c r="AP24" s="27">
        <f>IF($B24&lt;&gt;"Challan","",MAX(0,AO24-AN24))</f>
      </c>
      <c r="AQ24" s="33">
        <f>IF($B24&lt;&gt;"Entry","",SUMPRODUCT(('Q1 Data'!$D$4:$D$207=D24)*('Q1 Data'!$B$4:$B$207="Challan")*'Q1 Data'!$F$4:$F$207)+SUMPRODUCT(('Q2 Data'!$D$4:$D$207=D24)*('Q2 Data'!$B$4:$B$207="Challan")*'Q2 Data'!$F$4:$F$207)+SUMPRODUCT(('Q3 Data'!$D$4:$D$207=D24)*('Q3 Data'!$B$4:$B$207="Challan")*'Q3 Data'!$F$4:$F$207)+SUMPRODUCT(('Q4 Data'!$D$4:$D$207=D24)*('Q4 Data'!$B$4:$B$207="Challan")*'Q4 Data'!$F$4:$F$207))</f>
      </c>
      <c r="AR24" s="34">
        <f>IF(OR($B24&lt;&gt;"Entry",Z24=""),FALSE,AND((SUMPRODUCT(('Q1 Data'!$D$4:$D$207=D24)*('Q1 Data'!$B$4:$B$207="Challan")*('Q1 Data'!$H$4:$H$207&lt;&gt;""))+SUMPRODUCT(('Q2 Data'!$D$4:$D$207=D24)*('Q2 Data'!$B$4:$B$207="Challan")*('Q2 Data'!$H$4:$H$207&lt;&gt;""))+SUMPRODUCT(('Q3 Data'!$D$4:$D$207=D24)*('Q3 Data'!$B$4:$B$207="Challan")*('Q3 Data'!$H$4:$H$207&lt;&gt;""))+SUMPRODUCT(('Q4 Data'!$D$4:$D$207=D24)*('Q4 Data'!$B$4:$B$207="Challan")*('Q4 Data'!$H$4:$H$207&lt;&gt;"")))&gt;0,(SUMPRODUCT(('Q1 Data'!$D$4:$D$207=D24)*('Q1 Data'!$B$4:$B$207="Challan")*('Q1 Data'!$H$4:$H$207=Z24))+SUMPRODUCT(('Q2 Data'!$D$4:$D$207=D24)*('Q2 Data'!$B$4:$B$207="Challan")*('Q2 Data'!$H$4:$H$207=Z24))+SUMPRODUCT(('Q3 Data'!$D$4:$D$207=D24)*('Q3 Data'!$B$4:$B$207="Challan")*('Q3 Data'!$H$4:$H$207=Z24))+SUMPRODUCT(('Q4 Data'!$D$4:$D$207=D24)*('Q4 Data'!$B$4:$B$207="Challan")*('Q4 Data'!$H$4:$H$207=Z24)))=0))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IF($B25="Challan","",IF(W25&lt;&gt;"","◄ Set Row Type","")))</f>
      </c>
      <c r="Y25" s="23">
        <f>IF($B25="Entry",IF(LEN(W25)&lt;4,"",IF(UPPER(MID(W25,4,1))="P","Individual",IF(UPPER(MID(W25,4,1))="H","HUF",IF(UPPER(MID(W25,4,1))="C","Company",IF(UPPER(MID(W25,4,1))="F","Firm/LLP",IF(UPPER(MID(W25,4,1))="L","Local Authority",IF(UPPER(MID(W25,4,1))="T","Trust",IF(UPPER(MID(W25,4,1))="A","AOP",IF(UPPER(MID(W25,4,1))="B","BOI",IF(UPPER(MID(W25,4,1))="J","AJP",IF(UPPER(MID(W25,4,1))="G","Government",""))))))))))),IF($B25="Challan","",IF(W25&lt;&gt;"","◄ Set Row Type","")))</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IF($B25&lt;&gt;"Challan","",SUMIF('Q1 Data'!$D$4:$D$207,D25,'Q1 Data'!$AD$4:$AD$207)+SUMIF('Q1 Data'!$D$4:$D$207,D25,'Q1 Data'!$AG$4:$AG$207)+SUMIF('Q1 Data'!$D$4:$D$207,D25,'Q1 Data'!$AE$4:$AE$207)+SUMIF('Q2 Data'!$D$4:$D$207,D25,'Q2 Data'!$AD$4:$AD$207)+SUMIF('Q2 Data'!$D$4:$D$207,D25,'Q2 Data'!$AG$4:$AG$207)+SUMIF('Q2 Data'!$D$4:$D$207,D25,'Q2 Data'!$AE$4:$AE$207)+SUMIF('Q3 Data'!$D$4:$D$207,D25,'Q3 Data'!$AD$4:$AD$207)+SUMIF('Q3 Data'!$D$4:$D$207,D25,'Q3 Data'!$AG$4:$AG$207)+SUMIF('Q3 Data'!$D$4:$D$207,D25,'Q3 Data'!$AE$4:$AE$207)+SUMIF('Q4 Data'!$D$4:$D$207,D25,'Q4 Data'!$AD$4:$AD$207)+SUMIF('Q4 Data'!$D$4:$D$207,D25,'Q4 Data'!$AG$4:$AG$207)+SUMIF('Q4 Data'!$D$4:$D$207,D25,'Q4 Data'!$AE$4:$AE$207))</f>
      </c>
      <c r="AO25" s="27">
        <f>IF($B25&lt;&gt;"Challan","",P25-N25)</f>
      </c>
      <c r="AP25" s="27">
        <f>IF($B25&lt;&gt;"Challan","",MAX(0,AO25-AN25))</f>
      </c>
      <c r="AQ25" s="33">
        <f>IF($B25&lt;&gt;"Entry","",SUMPRODUCT(('Q1 Data'!$D$4:$D$207=D25)*('Q1 Data'!$B$4:$B$207="Challan")*'Q1 Data'!$F$4:$F$207)+SUMPRODUCT(('Q2 Data'!$D$4:$D$207=D25)*('Q2 Data'!$B$4:$B$207="Challan")*'Q2 Data'!$F$4:$F$207)+SUMPRODUCT(('Q3 Data'!$D$4:$D$207=D25)*('Q3 Data'!$B$4:$B$207="Challan")*'Q3 Data'!$F$4:$F$207)+SUMPRODUCT(('Q4 Data'!$D$4:$D$207=D25)*('Q4 Data'!$B$4:$B$207="Challan")*'Q4 Data'!$F$4:$F$207))</f>
      </c>
      <c r="AR25" s="34">
        <f>IF(OR($B25&lt;&gt;"Entry",Z25=""),FALSE,AND((SUMPRODUCT(('Q1 Data'!$D$4:$D$207=D25)*('Q1 Data'!$B$4:$B$207="Challan")*('Q1 Data'!$H$4:$H$207&lt;&gt;""))+SUMPRODUCT(('Q2 Data'!$D$4:$D$207=D25)*('Q2 Data'!$B$4:$B$207="Challan")*('Q2 Data'!$H$4:$H$207&lt;&gt;""))+SUMPRODUCT(('Q3 Data'!$D$4:$D$207=D25)*('Q3 Data'!$B$4:$B$207="Challan")*('Q3 Data'!$H$4:$H$207&lt;&gt;""))+SUMPRODUCT(('Q4 Data'!$D$4:$D$207=D25)*('Q4 Data'!$B$4:$B$207="Challan")*('Q4 Data'!$H$4:$H$207&lt;&gt;"")))&gt;0,(SUMPRODUCT(('Q1 Data'!$D$4:$D$207=D25)*('Q1 Data'!$B$4:$B$207="Challan")*('Q1 Data'!$H$4:$H$207=Z25))+SUMPRODUCT(('Q2 Data'!$D$4:$D$207=D25)*('Q2 Data'!$B$4:$B$207="Challan")*('Q2 Data'!$H$4:$H$207=Z25))+SUMPRODUCT(('Q3 Data'!$D$4:$D$207=D25)*('Q3 Data'!$B$4:$B$207="Challan")*('Q3 Data'!$H$4:$H$207=Z25))+SUMPRODUCT(('Q4 Data'!$D$4:$D$207=D25)*('Q4 Data'!$B$4:$B$207="Challan")*('Q4 Data'!$H$4:$H$207=Z25)))=0))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IF($B26="Challan","",IF(W26&lt;&gt;"","◄ Set Row Type","")))</f>
      </c>
      <c r="Y26" s="23">
        <f>IF($B26="Entry",IF(LEN(W26)&lt;4,"",IF(UPPER(MID(W26,4,1))="P","Individual",IF(UPPER(MID(W26,4,1))="H","HUF",IF(UPPER(MID(W26,4,1))="C","Company",IF(UPPER(MID(W26,4,1))="F","Firm/LLP",IF(UPPER(MID(W26,4,1))="L","Local Authority",IF(UPPER(MID(W26,4,1))="T","Trust",IF(UPPER(MID(W26,4,1))="A","AOP",IF(UPPER(MID(W26,4,1))="B","BOI",IF(UPPER(MID(W26,4,1))="J","AJP",IF(UPPER(MID(W26,4,1))="G","Government",""))))))))))),IF($B26="Challan","",IF(W26&lt;&gt;"","◄ Set Row Type","")))</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IF($B26&lt;&gt;"Challan","",SUMIF('Q1 Data'!$D$4:$D$207,D26,'Q1 Data'!$AD$4:$AD$207)+SUMIF('Q1 Data'!$D$4:$D$207,D26,'Q1 Data'!$AG$4:$AG$207)+SUMIF('Q1 Data'!$D$4:$D$207,D26,'Q1 Data'!$AE$4:$AE$207)+SUMIF('Q2 Data'!$D$4:$D$207,D26,'Q2 Data'!$AD$4:$AD$207)+SUMIF('Q2 Data'!$D$4:$D$207,D26,'Q2 Data'!$AG$4:$AG$207)+SUMIF('Q2 Data'!$D$4:$D$207,D26,'Q2 Data'!$AE$4:$AE$207)+SUMIF('Q3 Data'!$D$4:$D$207,D26,'Q3 Data'!$AD$4:$AD$207)+SUMIF('Q3 Data'!$D$4:$D$207,D26,'Q3 Data'!$AG$4:$AG$207)+SUMIF('Q3 Data'!$D$4:$D$207,D26,'Q3 Data'!$AE$4:$AE$207)+SUMIF('Q4 Data'!$D$4:$D$207,D26,'Q4 Data'!$AD$4:$AD$207)+SUMIF('Q4 Data'!$D$4:$D$207,D26,'Q4 Data'!$AG$4:$AG$207)+SUMIF('Q4 Data'!$D$4:$D$207,D26,'Q4 Data'!$AE$4:$AE$207))</f>
      </c>
      <c r="AO26" s="27">
        <f>IF($B26&lt;&gt;"Challan","",P26-N26)</f>
      </c>
      <c r="AP26" s="27">
        <f>IF($B26&lt;&gt;"Challan","",MAX(0,AO26-AN26))</f>
      </c>
      <c r="AQ26" s="33">
        <f>IF($B26&lt;&gt;"Entry","",SUMPRODUCT(('Q1 Data'!$D$4:$D$207=D26)*('Q1 Data'!$B$4:$B$207="Challan")*'Q1 Data'!$F$4:$F$207)+SUMPRODUCT(('Q2 Data'!$D$4:$D$207=D26)*('Q2 Data'!$B$4:$B$207="Challan")*'Q2 Data'!$F$4:$F$207)+SUMPRODUCT(('Q3 Data'!$D$4:$D$207=D26)*('Q3 Data'!$B$4:$B$207="Challan")*'Q3 Data'!$F$4:$F$207)+SUMPRODUCT(('Q4 Data'!$D$4:$D$207=D26)*('Q4 Data'!$B$4:$B$207="Challan")*'Q4 Data'!$F$4:$F$207))</f>
      </c>
      <c r="AR26" s="34">
        <f>IF(OR($B26&lt;&gt;"Entry",Z26=""),FALSE,AND((SUMPRODUCT(('Q1 Data'!$D$4:$D$207=D26)*('Q1 Data'!$B$4:$B$207="Challan")*('Q1 Data'!$H$4:$H$207&lt;&gt;""))+SUMPRODUCT(('Q2 Data'!$D$4:$D$207=D26)*('Q2 Data'!$B$4:$B$207="Challan")*('Q2 Data'!$H$4:$H$207&lt;&gt;""))+SUMPRODUCT(('Q3 Data'!$D$4:$D$207=D26)*('Q3 Data'!$B$4:$B$207="Challan")*('Q3 Data'!$H$4:$H$207&lt;&gt;""))+SUMPRODUCT(('Q4 Data'!$D$4:$D$207=D26)*('Q4 Data'!$B$4:$B$207="Challan")*('Q4 Data'!$H$4:$H$207&lt;&gt;"")))&gt;0,(SUMPRODUCT(('Q1 Data'!$D$4:$D$207=D26)*('Q1 Data'!$B$4:$B$207="Challan")*('Q1 Data'!$H$4:$H$207=Z26))+SUMPRODUCT(('Q2 Data'!$D$4:$D$207=D26)*('Q2 Data'!$B$4:$B$207="Challan")*('Q2 Data'!$H$4:$H$207=Z26))+SUMPRODUCT(('Q3 Data'!$D$4:$D$207=D26)*('Q3 Data'!$B$4:$B$207="Challan")*('Q3 Data'!$H$4:$H$207=Z26))+SUMPRODUCT(('Q4 Data'!$D$4:$D$207=D26)*('Q4 Data'!$B$4:$B$207="Challan")*('Q4 Data'!$H$4:$H$207=Z26)))=0))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IF($B27="Challan","",IF(W27&lt;&gt;"","◄ Set Row Type","")))</f>
      </c>
      <c r="Y27" s="23">
        <f>IF($B27="Entry",IF(LEN(W27)&lt;4,"",IF(UPPER(MID(W27,4,1))="P","Individual",IF(UPPER(MID(W27,4,1))="H","HUF",IF(UPPER(MID(W27,4,1))="C","Company",IF(UPPER(MID(W27,4,1))="F","Firm/LLP",IF(UPPER(MID(W27,4,1))="L","Local Authority",IF(UPPER(MID(W27,4,1))="T","Trust",IF(UPPER(MID(W27,4,1))="A","AOP",IF(UPPER(MID(W27,4,1))="B","BOI",IF(UPPER(MID(W27,4,1))="J","AJP",IF(UPPER(MID(W27,4,1))="G","Government",""))))))))))),IF($B27="Challan","",IF(W27&lt;&gt;"","◄ Set Row Type","")))</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IF($B27&lt;&gt;"Challan","",SUMIF('Q1 Data'!$D$4:$D$207,D27,'Q1 Data'!$AD$4:$AD$207)+SUMIF('Q1 Data'!$D$4:$D$207,D27,'Q1 Data'!$AG$4:$AG$207)+SUMIF('Q1 Data'!$D$4:$D$207,D27,'Q1 Data'!$AE$4:$AE$207)+SUMIF('Q2 Data'!$D$4:$D$207,D27,'Q2 Data'!$AD$4:$AD$207)+SUMIF('Q2 Data'!$D$4:$D$207,D27,'Q2 Data'!$AG$4:$AG$207)+SUMIF('Q2 Data'!$D$4:$D$207,D27,'Q2 Data'!$AE$4:$AE$207)+SUMIF('Q3 Data'!$D$4:$D$207,D27,'Q3 Data'!$AD$4:$AD$207)+SUMIF('Q3 Data'!$D$4:$D$207,D27,'Q3 Data'!$AG$4:$AG$207)+SUMIF('Q3 Data'!$D$4:$D$207,D27,'Q3 Data'!$AE$4:$AE$207)+SUMIF('Q4 Data'!$D$4:$D$207,D27,'Q4 Data'!$AD$4:$AD$207)+SUMIF('Q4 Data'!$D$4:$D$207,D27,'Q4 Data'!$AG$4:$AG$207)+SUMIF('Q4 Data'!$D$4:$D$207,D27,'Q4 Data'!$AE$4:$AE$207))</f>
      </c>
      <c r="AO27" s="27">
        <f>IF($B27&lt;&gt;"Challan","",P27-N27)</f>
      </c>
      <c r="AP27" s="27">
        <f>IF($B27&lt;&gt;"Challan","",MAX(0,AO27-AN27))</f>
      </c>
      <c r="AQ27" s="33">
        <f>IF($B27&lt;&gt;"Entry","",SUMPRODUCT(('Q1 Data'!$D$4:$D$207=D27)*('Q1 Data'!$B$4:$B$207="Challan")*'Q1 Data'!$F$4:$F$207)+SUMPRODUCT(('Q2 Data'!$D$4:$D$207=D27)*('Q2 Data'!$B$4:$B$207="Challan")*'Q2 Data'!$F$4:$F$207)+SUMPRODUCT(('Q3 Data'!$D$4:$D$207=D27)*('Q3 Data'!$B$4:$B$207="Challan")*'Q3 Data'!$F$4:$F$207)+SUMPRODUCT(('Q4 Data'!$D$4:$D$207=D27)*('Q4 Data'!$B$4:$B$207="Challan")*'Q4 Data'!$F$4:$F$207))</f>
      </c>
      <c r="AR27" s="34">
        <f>IF(OR($B27&lt;&gt;"Entry",Z27=""),FALSE,AND((SUMPRODUCT(('Q1 Data'!$D$4:$D$207=D27)*('Q1 Data'!$B$4:$B$207="Challan")*('Q1 Data'!$H$4:$H$207&lt;&gt;""))+SUMPRODUCT(('Q2 Data'!$D$4:$D$207=D27)*('Q2 Data'!$B$4:$B$207="Challan")*('Q2 Data'!$H$4:$H$207&lt;&gt;""))+SUMPRODUCT(('Q3 Data'!$D$4:$D$207=D27)*('Q3 Data'!$B$4:$B$207="Challan")*('Q3 Data'!$H$4:$H$207&lt;&gt;""))+SUMPRODUCT(('Q4 Data'!$D$4:$D$207=D27)*('Q4 Data'!$B$4:$B$207="Challan")*('Q4 Data'!$H$4:$H$207&lt;&gt;"")))&gt;0,(SUMPRODUCT(('Q1 Data'!$D$4:$D$207=D27)*('Q1 Data'!$B$4:$B$207="Challan")*('Q1 Data'!$H$4:$H$207=Z27))+SUMPRODUCT(('Q2 Data'!$D$4:$D$207=D27)*('Q2 Data'!$B$4:$B$207="Challan")*('Q2 Data'!$H$4:$H$207=Z27))+SUMPRODUCT(('Q3 Data'!$D$4:$D$207=D27)*('Q3 Data'!$B$4:$B$207="Challan")*('Q3 Data'!$H$4:$H$207=Z27))+SUMPRODUCT(('Q4 Data'!$D$4:$D$207=D27)*('Q4 Data'!$B$4:$B$207="Challan")*('Q4 Data'!$H$4:$H$207=Z27)))=0))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IF($B28="Challan","",IF(W28&lt;&gt;"","◄ Set Row Type","")))</f>
      </c>
      <c r="Y28" s="23">
        <f>IF($B28="Entry",IF(LEN(W28)&lt;4,"",IF(UPPER(MID(W28,4,1))="P","Individual",IF(UPPER(MID(W28,4,1))="H","HUF",IF(UPPER(MID(W28,4,1))="C","Company",IF(UPPER(MID(W28,4,1))="F","Firm/LLP",IF(UPPER(MID(W28,4,1))="L","Local Authority",IF(UPPER(MID(W28,4,1))="T","Trust",IF(UPPER(MID(W28,4,1))="A","AOP",IF(UPPER(MID(W28,4,1))="B","BOI",IF(UPPER(MID(W28,4,1))="J","AJP",IF(UPPER(MID(W28,4,1))="G","Government",""))))))))))),IF($B28="Challan","",IF(W28&lt;&gt;"","◄ Set Row Type","")))</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IF($B28&lt;&gt;"Challan","",SUMIF('Q1 Data'!$D$4:$D$207,D28,'Q1 Data'!$AD$4:$AD$207)+SUMIF('Q1 Data'!$D$4:$D$207,D28,'Q1 Data'!$AG$4:$AG$207)+SUMIF('Q1 Data'!$D$4:$D$207,D28,'Q1 Data'!$AE$4:$AE$207)+SUMIF('Q2 Data'!$D$4:$D$207,D28,'Q2 Data'!$AD$4:$AD$207)+SUMIF('Q2 Data'!$D$4:$D$207,D28,'Q2 Data'!$AG$4:$AG$207)+SUMIF('Q2 Data'!$D$4:$D$207,D28,'Q2 Data'!$AE$4:$AE$207)+SUMIF('Q3 Data'!$D$4:$D$207,D28,'Q3 Data'!$AD$4:$AD$207)+SUMIF('Q3 Data'!$D$4:$D$207,D28,'Q3 Data'!$AG$4:$AG$207)+SUMIF('Q3 Data'!$D$4:$D$207,D28,'Q3 Data'!$AE$4:$AE$207)+SUMIF('Q4 Data'!$D$4:$D$207,D28,'Q4 Data'!$AD$4:$AD$207)+SUMIF('Q4 Data'!$D$4:$D$207,D28,'Q4 Data'!$AG$4:$AG$207)+SUMIF('Q4 Data'!$D$4:$D$207,D28,'Q4 Data'!$AE$4:$AE$207))</f>
      </c>
      <c r="AO28" s="27">
        <f>IF($B28&lt;&gt;"Challan","",P28-N28)</f>
      </c>
      <c r="AP28" s="27">
        <f>IF($B28&lt;&gt;"Challan","",MAX(0,AO28-AN28))</f>
      </c>
      <c r="AQ28" s="33">
        <f>IF($B28&lt;&gt;"Entry","",SUMPRODUCT(('Q1 Data'!$D$4:$D$207=D28)*('Q1 Data'!$B$4:$B$207="Challan")*'Q1 Data'!$F$4:$F$207)+SUMPRODUCT(('Q2 Data'!$D$4:$D$207=D28)*('Q2 Data'!$B$4:$B$207="Challan")*'Q2 Data'!$F$4:$F$207)+SUMPRODUCT(('Q3 Data'!$D$4:$D$207=D28)*('Q3 Data'!$B$4:$B$207="Challan")*'Q3 Data'!$F$4:$F$207)+SUMPRODUCT(('Q4 Data'!$D$4:$D$207=D28)*('Q4 Data'!$B$4:$B$207="Challan")*'Q4 Data'!$F$4:$F$207))</f>
      </c>
      <c r="AR28" s="34">
        <f>IF(OR($B28&lt;&gt;"Entry",Z28=""),FALSE,AND((SUMPRODUCT(('Q1 Data'!$D$4:$D$207=D28)*('Q1 Data'!$B$4:$B$207="Challan")*('Q1 Data'!$H$4:$H$207&lt;&gt;""))+SUMPRODUCT(('Q2 Data'!$D$4:$D$207=D28)*('Q2 Data'!$B$4:$B$207="Challan")*('Q2 Data'!$H$4:$H$207&lt;&gt;""))+SUMPRODUCT(('Q3 Data'!$D$4:$D$207=D28)*('Q3 Data'!$B$4:$B$207="Challan")*('Q3 Data'!$H$4:$H$207&lt;&gt;""))+SUMPRODUCT(('Q4 Data'!$D$4:$D$207=D28)*('Q4 Data'!$B$4:$B$207="Challan")*('Q4 Data'!$H$4:$H$207&lt;&gt;"")))&gt;0,(SUMPRODUCT(('Q1 Data'!$D$4:$D$207=D28)*('Q1 Data'!$B$4:$B$207="Challan")*('Q1 Data'!$H$4:$H$207=Z28))+SUMPRODUCT(('Q2 Data'!$D$4:$D$207=D28)*('Q2 Data'!$B$4:$B$207="Challan")*('Q2 Data'!$H$4:$H$207=Z28))+SUMPRODUCT(('Q3 Data'!$D$4:$D$207=D28)*('Q3 Data'!$B$4:$B$207="Challan")*('Q3 Data'!$H$4:$H$207=Z28))+SUMPRODUCT(('Q4 Data'!$D$4:$D$207=D28)*('Q4 Data'!$B$4:$B$207="Challan")*('Q4 Data'!$H$4:$H$207=Z28)))=0))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IF($B29="Challan","",IF(W29&lt;&gt;"","◄ Set Row Type","")))</f>
      </c>
      <c r="Y29" s="23">
        <f>IF($B29="Entry",IF(LEN(W29)&lt;4,"",IF(UPPER(MID(W29,4,1))="P","Individual",IF(UPPER(MID(W29,4,1))="H","HUF",IF(UPPER(MID(W29,4,1))="C","Company",IF(UPPER(MID(W29,4,1))="F","Firm/LLP",IF(UPPER(MID(W29,4,1))="L","Local Authority",IF(UPPER(MID(W29,4,1))="T","Trust",IF(UPPER(MID(W29,4,1))="A","AOP",IF(UPPER(MID(W29,4,1))="B","BOI",IF(UPPER(MID(W29,4,1))="J","AJP",IF(UPPER(MID(W29,4,1))="G","Government",""))))))))))),IF($B29="Challan","",IF(W29&lt;&gt;"","◄ Set Row Type","")))</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IF($B29&lt;&gt;"Challan","",SUMIF('Q1 Data'!$D$4:$D$207,D29,'Q1 Data'!$AD$4:$AD$207)+SUMIF('Q1 Data'!$D$4:$D$207,D29,'Q1 Data'!$AG$4:$AG$207)+SUMIF('Q1 Data'!$D$4:$D$207,D29,'Q1 Data'!$AE$4:$AE$207)+SUMIF('Q2 Data'!$D$4:$D$207,D29,'Q2 Data'!$AD$4:$AD$207)+SUMIF('Q2 Data'!$D$4:$D$207,D29,'Q2 Data'!$AG$4:$AG$207)+SUMIF('Q2 Data'!$D$4:$D$207,D29,'Q2 Data'!$AE$4:$AE$207)+SUMIF('Q3 Data'!$D$4:$D$207,D29,'Q3 Data'!$AD$4:$AD$207)+SUMIF('Q3 Data'!$D$4:$D$207,D29,'Q3 Data'!$AG$4:$AG$207)+SUMIF('Q3 Data'!$D$4:$D$207,D29,'Q3 Data'!$AE$4:$AE$207)+SUMIF('Q4 Data'!$D$4:$D$207,D29,'Q4 Data'!$AD$4:$AD$207)+SUMIF('Q4 Data'!$D$4:$D$207,D29,'Q4 Data'!$AG$4:$AG$207)+SUMIF('Q4 Data'!$D$4:$D$207,D29,'Q4 Data'!$AE$4:$AE$207))</f>
      </c>
      <c r="AO29" s="27">
        <f>IF($B29&lt;&gt;"Challan","",P29-N29)</f>
      </c>
      <c r="AP29" s="27">
        <f>IF($B29&lt;&gt;"Challan","",MAX(0,AO29-AN29))</f>
      </c>
      <c r="AQ29" s="33">
        <f>IF($B29&lt;&gt;"Entry","",SUMPRODUCT(('Q1 Data'!$D$4:$D$207=D29)*('Q1 Data'!$B$4:$B$207="Challan")*'Q1 Data'!$F$4:$F$207)+SUMPRODUCT(('Q2 Data'!$D$4:$D$207=D29)*('Q2 Data'!$B$4:$B$207="Challan")*'Q2 Data'!$F$4:$F$207)+SUMPRODUCT(('Q3 Data'!$D$4:$D$207=D29)*('Q3 Data'!$B$4:$B$207="Challan")*'Q3 Data'!$F$4:$F$207)+SUMPRODUCT(('Q4 Data'!$D$4:$D$207=D29)*('Q4 Data'!$B$4:$B$207="Challan")*'Q4 Data'!$F$4:$F$207))</f>
      </c>
      <c r="AR29" s="34">
        <f>IF(OR($B29&lt;&gt;"Entry",Z29=""),FALSE,AND((SUMPRODUCT(('Q1 Data'!$D$4:$D$207=D29)*('Q1 Data'!$B$4:$B$207="Challan")*('Q1 Data'!$H$4:$H$207&lt;&gt;""))+SUMPRODUCT(('Q2 Data'!$D$4:$D$207=D29)*('Q2 Data'!$B$4:$B$207="Challan")*('Q2 Data'!$H$4:$H$207&lt;&gt;""))+SUMPRODUCT(('Q3 Data'!$D$4:$D$207=D29)*('Q3 Data'!$B$4:$B$207="Challan")*('Q3 Data'!$H$4:$H$207&lt;&gt;""))+SUMPRODUCT(('Q4 Data'!$D$4:$D$207=D29)*('Q4 Data'!$B$4:$B$207="Challan")*('Q4 Data'!$H$4:$H$207&lt;&gt;"")))&gt;0,(SUMPRODUCT(('Q1 Data'!$D$4:$D$207=D29)*('Q1 Data'!$B$4:$B$207="Challan")*('Q1 Data'!$H$4:$H$207=Z29))+SUMPRODUCT(('Q2 Data'!$D$4:$D$207=D29)*('Q2 Data'!$B$4:$B$207="Challan")*('Q2 Data'!$H$4:$H$207=Z29))+SUMPRODUCT(('Q3 Data'!$D$4:$D$207=D29)*('Q3 Data'!$B$4:$B$207="Challan")*('Q3 Data'!$H$4:$H$207=Z29))+SUMPRODUCT(('Q4 Data'!$D$4:$D$207=D29)*('Q4 Data'!$B$4:$B$207="Challan")*('Q4 Data'!$H$4:$H$207=Z29)))=0))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IF($B30="Challan","",IF(W30&lt;&gt;"","◄ Set Row Type","")))</f>
      </c>
      <c r="Y30" s="23">
        <f>IF($B30="Entry",IF(LEN(W30)&lt;4,"",IF(UPPER(MID(W30,4,1))="P","Individual",IF(UPPER(MID(W30,4,1))="H","HUF",IF(UPPER(MID(W30,4,1))="C","Company",IF(UPPER(MID(W30,4,1))="F","Firm/LLP",IF(UPPER(MID(W30,4,1))="L","Local Authority",IF(UPPER(MID(W30,4,1))="T","Trust",IF(UPPER(MID(W30,4,1))="A","AOP",IF(UPPER(MID(W30,4,1))="B","BOI",IF(UPPER(MID(W30,4,1))="J","AJP",IF(UPPER(MID(W30,4,1))="G","Government",""))))))))))),IF($B30="Challan","",IF(W30&lt;&gt;"","◄ Set Row Type","")))</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IF($B30&lt;&gt;"Challan","",SUMIF('Q1 Data'!$D$4:$D$207,D30,'Q1 Data'!$AD$4:$AD$207)+SUMIF('Q1 Data'!$D$4:$D$207,D30,'Q1 Data'!$AG$4:$AG$207)+SUMIF('Q1 Data'!$D$4:$D$207,D30,'Q1 Data'!$AE$4:$AE$207)+SUMIF('Q2 Data'!$D$4:$D$207,D30,'Q2 Data'!$AD$4:$AD$207)+SUMIF('Q2 Data'!$D$4:$D$207,D30,'Q2 Data'!$AG$4:$AG$207)+SUMIF('Q2 Data'!$D$4:$D$207,D30,'Q2 Data'!$AE$4:$AE$207)+SUMIF('Q3 Data'!$D$4:$D$207,D30,'Q3 Data'!$AD$4:$AD$207)+SUMIF('Q3 Data'!$D$4:$D$207,D30,'Q3 Data'!$AG$4:$AG$207)+SUMIF('Q3 Data'!$D$4:$D$207,D30,'Q3 Data'!$AE$4:$AE$207)+SUMIF('Q4 Data'!$D$4:$D$207,D30,'Q4 Data'!$AD$4:$AD$207)+SUMIF('Q4 Data'!$D$4:$D$207,D30,'Q4 Data'!$AG$4:$AG$207)+SUMIF('Q4 Data'!$D$4:$D$207,D30,'Q4 Data'!$AE$4:$AE$207))</f>
      </c>
      <c r="AO30" s="27">
        <f>IF($B30&lt;&gt;"Challan","",P30-N30)</f>
      </c>
      <c r="AP30" s="27">
        <f>IF($B30&lt;&gt;"Challan","",MAX(0,AO30-AN30))</f>
      </c>
      <c r="AQ30" s="33">
        <f>IF($B30&lt;&gt;"Entry","",SUMPRODUCT(('Q1 Data'!$D$4:$D$207=D30)*('Q1 Data'!$B$4:$B$207="Challan")*'Q1 Data'!$F$4:$F$207)+SUMPRODUCT(('Q2 Data'!$D$4:$D$207=D30)*('Q2 Data'!$B$4:$B$207="Challan")*'Q2 Data'!$F$4:$F$207)+SUMPRODUCT(('Q3 Data'!$D$4:$D$207=D30)*('Q3 Data'!$B$4:$B$207="Challan")*'Q3 Data'!$F$4:$F$207)+SUMPRODUCT(('Q4 Data'!$D$4:$D$207=D30)*('Q4 Data'!$B$4:$B$207="Challan")*'Q4 Data'!$F$4:$F$207))</f>
      </c>
      <c r="AR30" s="34">
        <f>IF(OR($B30&lt;&gt;"Entry",Z30=""),FALSE,AND((SUMPRODUCT(('Q1 Data'!$D$4:$D$207=D30)*('Q1 Data'!$B$4:$B$207="Challan")*('Q1 Data'!$H$4:$H$207&lt;&gt;""))+SUMPRODUCT(('Q2 Data'!$D$4:$D$207=D30)*('Q2 Data'!$B$4:$B$207="Challan")*('Q2 Data'!$H$4:$H$207&lt;&gt;""))+SUMPRODUCT(('Q3 Data'!$D$4:$D$207=D30)*('Q3 Data'!$B$4:$B$207="Challan")*('Q3 Data'!$H$4:$H$207&lt;&gt;""))+SUMPRODUCT(('Q4 Data'!$D$4:$D$207=D30)*('Q4 Data'!$B$4:$B$207="Challan")*('Q4 Data'!$H$4:$H$207&lt;&gt;"")))&gt;0,(SUMPRODUCT(('Q1 Data'!$D$4:$D$207=D30)*('Q1 Data'!$B$4:$B$207="Challan")*('Q1 Data'!$H$4:$H$207=Z30))+SUMPRODUCT(('Q2 Data'!$D$4:$D$207=D30)*('Q2 Data'!$B$4:$B$207="Challan")*('Q2 Data'!$H$4:$H$207=Z30))+SUMPRODUCT(('Q3 Data'!$D$4:$D$207=D30)*('Q3 Data'!$B$4:$B$207="Challan")*('Q3 Data'!$H$4:$H$207=Z30))+SUMPRODUCT(('Q4 Data'!$D$4:$D$207=D30)*('Q4 Data'!$B$4:$B$207="Challan")*('Q4 Data'!$H$4:$H$207=Z30)))=0))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IF($B31="Challan","",IF(W31&lt;&gt;"","◄ Set Row Type","")))</f>
      </c>
      <c r="Y31" s="23">
        <f>IF($B31="Entry",IF(LEN(W31)&lt;4,"",IF(UPPER(MID(W31,4,1))="P","Individual",IF(UPPER(MID(W31,4,1))="H","HUF",IF(UPPER(MID(W31,4,1))="C","Company",IF(UPPER(MID(W31,4,1))="F","Firm/LLP",IF(UPPER(MID(W31,4,1))="L","Local Authority",IF(UPPER(MID(W31,4,1))="T","Trust",IF(UPPER(MID(W31,4,1))="A","AOP",IF(UPPER(MID(W31,4,1))="B","BOI",IF(UPPER(MID(W31,4,1))="J","AJP",IF(UPPER(MID(W31,4,1))="G","Government",""))))))))))),IF($B31="Challan","",IF(W31&lt;&gt;"","◄ Set Row Type","")))</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IF($B31&lt;&gt;"Challan","",SUMIF('Q1 Data'!$D$4:$D$207,D31,'Q1 Data'!$AD$4:$AD$207)+SUMIF('Q1 Data'!$D$4:$D$207,D31,'Q1 Data'!$AG$4:$AG$207)+SUMIF('Q1 Data'!$D$4:$D$207,D31,'Q1 Data'!$AE$4:$AE$207)+SUMIF('Q2 Data'!$D$4:$D$207,D31,'Q2 Data'!$AD$4:$AD$207)+SUMIF('Q2 Data'!$D$4:$D$207,D31,'Q2 Data'!$AG$4:$AG$207)+SUMIF('Q2 Data'!$D$4:$D$207,D31,'Q2 Data'!$AE$4:$AE$207)+SUMIF('Q3 Data'!$D$4:$D$207,D31,'Q3 Data'!$AD$4:$AD$207)+SUMIF('Q3 Data'!$D$4:$D$207,D31,'Q3 Data'!$AG$4:$AG$207)+SUMIF('Q3 Data'!$D$4:$D$207,D31,'Q3 Data'!$AE$4:$AE$207)+SUMIF('Q4 Data'!$D$4:$D$207,D31,'Q4 Data'!$AD$4:$AD$207)+SUMIF('Q4 Data'!$D$4:$D$207,D31,'Q4 Data'!$AG$4:$AG$207)+SUMIF('Q4 Data'!$D$4:$D$207,D31,'Q4 Data'!$AE$4:$AE$207))</f>
      </c>
      <c r="AO31" s="27">
        <f>IF($B31&lt;&gt;"Challan","",P31-N31)</f>
      </c>
      <c r="AP31" s="27">
        <f>IF($B31&lt;&gt;"Challan","",MAX(0,AO31-AN31))</f>
      </c>
      <c r="AQ31" s="33">
        <f>IF($B31&lt;&gt;"Entry","",SUMPRODUCT(('Q1 Data'!$D$4:$D$207=D31)*('Q1 Data'!$B$4:$B$207="Challan")*'Q1 Data'!$F$4:$F$207)+SUMPRODUCT(('Q2 Data'!$D$4:$D$207=D31)*('Q2 Data'!$B$4:$B$207="Challan")*'Q2 Data'!$F$4:$F$207)+SUMPRODUCT(('Q3 Data'!$D$4:$D$207=D31)*('Q3 Data'!$B$4:$B$207="Challan")*'Q3 Data'!$F$4:$F$207)+SUMPRODUCT(('Q4 Data'!$D$4:$D$207=D31)*('Q4 Data'!$B$4:$B$207="Challan")*'Q4 Data'!$F$4:$F$207))</f>
      </c>
      <c r="AR31" s="34">
        <f>IF(OR($B31&lt;&gt;"Entry",Z31=""),FALSE,AND((SUMPRODUCT(('Q1 Data'!$D$4:$D$207=D31)*('Q1 Data'!$B$4:$B$207="Challan")*('Q1 Data'!$H$4:$H$207&lt;&gt;""))+SUMPRODUCT(('Q2 Data'!$D$4:$D$207=D31)*('Q2 Data'!$B$4:$B$207="Challan")*('Q2 Data'!$H$4:$H$207&lt;&gt;""))+SUMPRODUCT(('Q3 Data'!$D$4:$D$207=D31)*('Q3 Data'!$B$4:$B$207="Challan")*('Q3 Data'!$H$4:$H$207&lt;&gt;""))+SUMPRODUCT(('Q4 Data'!$D$4:$D$207=D31)*('Q4 Data'!$B$4:$B$207="Challan")*('Q4 Data'!$H$4:$H$207&lt;&gt;"")))&gt;0,(SUMPRODUCT(('Q1 Data'!$D$4:$D$207=D31)*('Q1 Data'!$B$4:$B$207="Challan")*('Q1 Data'!$H$4:$H$207=Z31))+SUMPRODUCT(('Q2 Data'!$D$4:$D$207=D31)*('Q2 Data'!$B$4:$B$207="Challan")*('Q2 Data'!$H$4:$H$207=Z31))+SUMPRODUCT(('Q3 Data'!$D$4:$D$207=D31)*('Q3 Data'!$B$4:$B$207="Challan")*('Q3 Data'!$H$4:$H$207=Z31))+SUMPRODUCT(('Q4 Data'!$D$4:$D$207=D31)*('Q4 Data'!$B$4:$B$207="Challan")*('Q4 Data'!$H$4:$H$207=Z31)))=0))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IF($B32="Challan","",IF(W32&lt;&gt;"","◄ Set Row Type","")))</f>
      </c>
      <c r="Y32" s="23">
        <f>IF($B32="Entry",IF(LEN(W32)&lt;4,"",IF(UPPER(MID(W32,4,1))="P","Individual",IF(UPPER(MID(W32,4,1))="H","HUF",IF(UPPER(MID(W32,4,1))="C","Company",IF(UPPER(MID(W32,4,1))="F","Firm/LLP",IF(UPPER(MID(W32,4,1))="L","Local Authority",IF(UPPER(MID(W32,4,1))="T","Trust",IF(UPPER(MID(W32,4,1))="A","AOP",IF(UPPER(MID(W32,4,1))="B","BOI",IF(UPPER(MID(W32,4,1))="J","AJP",IF(UPPER(MID(W32,4,1))="G","Government",""))))))))))),IF($B32="Challan","",IF(W32&lt;&gt;"","◄ Set Row Type","")))</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IF($B32&lt;&gt;"Challan","",SUMIF('Q1 Data'!$D$4:$D$207,D32,'Q1 Data'!$AD$4:$AD$207)+SUMIF('Q1 Data'!$D$4:$D$207,D32,'Q1 Data'!$AG$4:$AG$207)+SUMIF('Q1 Data'!$D$4:$D$207,D32,'Q1 Data'!$AE$4:$AE$207)+SUMIF('Q2 Data'!$D$4:$D$207,D32,'Q2 Data'!$AD$4:$AD$207)+SUMIF('Q2 Data'!$D$4:$D$207,D32,'Q2 Data'!$AG$4:$AG$207)+SUMIF('Q2 Data'!$D$4:$D$207,D32,'Q2 Data'!$AE$4:$AE$207)+SUMIF('Q3 Data'!$D$4:$D$207,D32,'Q3 Data'!$AD$4:$AD$207)+SUMIF('Q3 Data'!$D$4:$D$207,D32,'Q3 Data'!$AG$4:$AG$207)+SUMIF('Q3 Data'!$D$4:$D$207,D32,'Q3 Data'!$AE$4:$AE$207)+SUMIF('Q4 Data'!$D$4:$D$207,D32,'Q4 Data'!$AD$4:$AD$207)+SUMIF('Q4 Data'!$D$4:$D$207,D32,'Q4 Data'!$AG$4:$AG$207)+SUMIF('Q4 Data'!$D$4:$D$207,D32,'Q4 Data'!$AE$4:$AE$207))</f>
      </c>
      <c r="AO32" s="27">
        <f>IF($B32&lt;&gt;"Challan","",P32-N32)</f>
      </c>
      <c r="AP32" s="27">
        <f>IF($B32&lt;&gt;"Challan","",MAX(0,AO32-AN32))</f>
      </c>
      <c r="AQ32" s="33">
        <f>IF($B32&lt;&gt;"Entry","",SUMPRODUCT(('Q1 Data'!$D$4:$D$207=D32)*('Q1 Data'!$B$4:$B$207="Challan")*'Q1 Data'!$F$4:$F$207)+SUMPRODUCT(('Q2 Data'!$D$4:$D$207=D32)*('Q2 Data'!$B$4:$B$207="Challan")*'Q2 Data'!$F$4:$F$207)+SUMPRODUCT(('Q3 Data'!$D$4:$D$207=D32)*('Q3 Data'!$B$4:$B$207="Challan")*'Q3 Data'!$F$4:$F$207)+SUMPRODUCT(('Q4 Data'!$D$4:$D$207=D32)*('Q4 Data'!$B$4:$B$207="Challan")*'Q4 Data'!$F$4:$F$207))</f>
      </c>
      <c r="AR32" s="34">
        <f>IF(OR($B32&lt;&gt;"Entry",Z32=""),FALSE,AND((SUMPRODUCT(('Q1 Data'!$D$4:$D$207=D32)*('Q1 Data'!$B$4:$B$207="Challan")*('Q1 Data'!$H$4:$H$207&lt;&gt;""))+SUMPRODUCT(('Q2 Data'!$D$4:$D$207=D32)*('Q2 Data'!$B$4:$B$207="Challan")*('Q2 Data'!$H$4:$H$207&lt;&gt;""))+SUMPRODUCT(('Q3 Data'!$D$4:$D$207=D32)*('Q3 Data'!$B$4:$B$207="Challan")*('Q3 Data'!$H$4:$H$207&lt;&gt;""))+SUMPRODUCT(('Q4 Data'!$D$4:$D$207=D32)*('Q4 Data'!$B$4:$B$207="Challan")*('Q4 Data'!$H$4:$H$207&lt;&gt;"")))&gt;0,(SUMPRODUCT(('Q1 Data'!$D$4:$D$207=D32)*('Q1 Data'!$B$4:$B$207="Challan")*('Q1 Data'!$H$4:$H$207=Z32))+SUMPRODUCT(('Q2 Data'!$D$4:$D$207=D32)*('Q2 Data'!$B$4:$B$207="Challan")*('Q2 Data'!$H$4:$H$207=Z32))+SUMPRODUCT(('Q3 Data'!$D$4:$D$207=D32)*('Q3 Data'!$B$4:$B$207="Challan")*('Q3 Data'!$H$4:$H$207=Z32))+SUMPRODUCT(('Q4 Data'!$D$4:$D$207=D32)*('Q4 Data'!$B$4:$B$207="Challan")*('Q4 Data'!$H$4:$H$207=Z32)))=0))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IF($B33="Challan","",IF(W33&lt;&gt;"","◄ Set Row Type","")))</f>
      </c>
      <c r="Y33" s="23">
        <f>IF($B33="Entry",IF(LEN(W33)&lt;4,"",IF(UPPER(MID(W33,4,1))="P","Individual",IF(UPPER(MID(W33,4,1))="H","HUF",IF(UPPER(MID(W33,4,1))="C","Company",IF(UPPER(MID(W33,4,1))="F","Firm/LLP",IF(UPPER(MID(W33,4,1))="L","Local Authority",IF(UPPER(MID(W33,4,1))="T","Trust",IF(UPPER(MID(W33,4,1))="A","AOP",IF(UPPER(MID(W33,4,1))="B","BOI",IF(UPPER(MID(W33,4,1))="J","AJP",IF(UPPER(MID(W33,4,1))="G","Government",""))))))))))),IF($B33="Challan","",IF(W33&lt;&gt;"","◄ Set Row Type","")))</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IF($B33&lt;&gt;"Challan","",SUMIF('Q1 Data'!$D$4:$D$207,D33,'Q1 Data'!$AD$4:$AD$207)+SUMIF('Q1 Data'!$D$4:$D$207,D33,'Q1 Data'!$AG$4:$AG$207)+SUMIF('Q1 Data'!$D$4:$D$207,D33,'Q1 Data'!$AE$4:$AE$207)+SUMIF('Q2 Data'!$D$4:$D$207,D33,'Q2 Data'!$AD$4:$AD$207)+SUMIF('Q2 Data'!$D$4:$D$207,D33,'Q2 Data'!$AG$4:$AG$207)+SUMIF('Q2 Data'!$D$4:$D$207,D33,'Q2 Data'!$AE$4:$AE$207)+SUMIF('Q3 Data'!$D$4:$D$207,D33,'Q3 Data'!$AD$4:$AD$207)+SUMIF('Q3 Data'!$D$4:$D$207,D33,'Q3 Data'!$AG$4:$AG$207)+SUMIF('Q3 Data'!$D$4:$D$207,D33,'Q3 Data'!$AE$4:$AE$207)+SUMIF('Q4 Data'!$D$4:$D$207,D33,'Q4 Data'!$AD$4:$AD$207)+SUMIF('Q4 Data'!$D$4:$D$207,D33,'Q4 Data'!$AG$4:$AG$207)+SUMIF('Q4 Data'!$D$4:$D$207,D33,'Q4 Data'!$AE$4:$AE$207))</f>
      </c>
      <c r="AO33" s="27">
        <f>IF($B33&lt;&gt;"Challan","",P33-N33)</f>
      </c>
      <c r="AP33" s="27">
        <f>IF($B33&lt;&gt;"Challan","",MAX(0,AO33-AN33))</f>
      </c>
      <c r="AQ33" s="33">
        <f>IF($B33&lt;&gt;"Entry","",SUMPRODUCT(('Q1 Data'!$D$4:$D$207=D33)*('Q1 Data'!$B$4:$B$207="Challan")*'Q1 Data'!$F$4:$F$207)+SUMPRODUCT(('Q2 Data'!$D$4:$D$207=D33)*('Q2 Data'!$B$4:$B$207="Challan")*'Q2 Data'!$F$4:$F$207)+SUMPRODUCT(('Q3 Data'!$D$4:$D$207=D33)*('Q3 Data'!$B$4:$B$207="Challan")*'Q3 Data'!$F$4:$F$207)+SUMPRODUCT(('Q4 Data'!$D$4:$D$207=D33)*('Q4 Data'!$B$4:$B$207="Challan")*'Q4 Data'!$F$4:$F$207))</f>
      </c>
      <c r="AR33" s="34">
        <f>IF(OR($B33&lt;&gt;"Entry",Z33=""),FALSE,AND((SUMPRODUCT(('Q1 Data'!$D$4:$D$207=D33)*('Q1 Data'!$B$4:$B$207="Challan")*('Q1 Data'!$H$4:$H$207&lt;&gt;""))+SUMPRODUCT(('Q2 Data'!$D$4:$D$207=D33)*('Q2 Data'!$B$4:$B$207="Challan")*('Q2 Data'!$H$4:$H$207&lt;&gt;""))+SUMPRODUCT(('Q3 Data'!$D$4:$D$207=D33)*('Q3 Data'!$B$4:$B$207="Challan")*('Q3 Data'!$H$4:$H$207&lt;&gt;""))+SUMPRODUCT(('Q4 Data'!$D$4:$D$207=D33)*('Q4 Data'!$B$4:$B$207="Challan")*('Q4 Data'!$H$4:$H$207&lt;&gt;"")))&gt;0,(SUMPRODUCT(('Q1 Data'!$D$4:$D$207=D33)*('Q1 Data'!$B$4:$B$207="Challan")*('Q1 Data'!$H$4:$H$207=Z33))+SUMPRODUCT(('Q2 Data'!$D$4:$D$207=D33)*('Q2 Data'!$B$4:$B$207="Challan")*('Q2 Data'!$H$4:$H$207=Z33))+SUMPRODUCT(('Q3 Data'!$D$4:$D$207=D33)*('Q3 Data'!$B$4:$B$207="Challan")*('Q3 Data'!$H$4:$H$207=Z33))+SUMPRODUCT(('Q4 Data'!$D$4:$D$207=D33)*('Q4 Data'!$B$4:$B$207="Challan")*('Q4 Data'!$H$4:$H$207=Z33)))=0))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IF($B34="Challan","",IF(W34&lt;&gt;"","◄ Set Row Type","")))</f>
      </c>
      <c r="Y34" s="23">
        <f>IF($B34="Entry",IF(LEN(W34)&lt;4,"",IF(UPPER(MID(W34,4,1))="P","Individual",IF(UPPER(MID(W34,4,1))="H","HUF",IF(UPPER(MID(W34,4,1))="C","Company",IF(UPPER(MID(W34,4,1))="F","Firm/LLP",IF(UPPER(MID(W34,4,1))="L","Local Authority",IF(UPPER(MID(W34,4,1))="T","Trust",IF(UPPER(MID(W34,4,1))="A","AOP",IF(UPPER(MID(W34,4,1))="B","BOI",IF(UPPER(MID(W34,4,1))="J","AJP",IF(UPPER(MID(W34,4,1))="G","Government",""))))))))))),IF($B34="Challan","",IF(W34&lt;&gt;"","◄ Set Row Type","")))</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IF($B34&lt;&gt;"Challan","",SUMIF('Q1 Data'!$D$4:$D$207,D34,'Q1 Data'!$AD$4:$AD$207)+SUMIF('Q1 Data'!$D$4:$D$207,D34,'Q1 Data'!$AG$4:$AG$207)+SUMIF('Q1 Data'!$D$4:$D$207,D34,'Q1 Data'!$AE$4:$AE$207)+SUMIF('Q2 Data'!$D$4:$D$207,D34,'Q2 Data'!$AD$4:$AD$207)+SUMIF('Q2 Data'!$D$4:$D$207,D34,'Q2 Data'!$AG$4:$AG$207)+SUMIF('Q2 Data'!$D$4:$D$207,D34,'Q2 Data'!$AE$4:$AE$207)+SUMIF('Q3 Data'!$D$4:$D$207,D34,'Q3 Data'!$AD$4:$AD$207)+SUMIF('Q3 Data'!$D$4:$D$207,D34,'Q3 Data'!$AG$4:$AG$207)+SUMIF('Q3 Data'!$D$4:$D$207,D34,'Q3 Data'!$AE$4:$AE$207)+SUMIF('Q4 Data'!$D$4:$D$207,D34,'Q4 Data'!$AD$4:$AD$207)+SUMIF('Q4 Data'!$D$4:$D$207,D34,'Q4 Data'!$AG$4:$AG$207)+SUMIF('Q4 Data'!$D$4:$D$207,D34,'Q4 Data'!$AE$4:$AE$207))</f>
      </c>
      <c r="AO34" s="27">
        <f>IF($B34&lt;&gt;"Challan","",P34-N34)</f>
      </c>
      <c r="AP34" s="27">
        <f>IF($B34&lt;&gt;"Challan","",MAX(0,AO34-AN34))</f>
      </c>
      <c r="AQ34" s="33">
        <f>IF($B34&lt;&gt;"Entry","",SUMPRODUCT(('Q1 Data'!$D$4:$D$207=D34)*('Q1 Data'!$B$4:$B$207="Challan")*'Q1 Data'!$F$4:$F$207)+SUMPRODUCT(('Q2 Data'!$D$4:$D$207=D34)*('Q2 Data'!$B$4:$B$207="Challan")*'Q2 Data'!$F$4:$F$207)+SUMPRODUCT(('Q3 Data'!$D$4:$D$207=D34)*('Q3 Data'!$B$4:$B$207="Challan")*'Q3 Data'!$F$4:$F$207)+SUMPRODUCT(('Q4 Data'!$D$4:$D$207=D34)*('Q4 Data'!$B$4:$B$207="Challan")*'Q4 Data'!$F$4:$F$207))</f>
      </c>
      <c r="AR34" s="34">
        <f>IF(OR($B34&lt;&gt;"Entry",Z34=""),FALSE,AND((SUMPRODUCT(('Q1 Data'!$D$4:$D$207=D34)*('Q1 Data'!$B$4:$B$207="Challan")*('Q1 Data'!$H$4:$H$207&lt;&gt;""))+SUMPRODUCT(('Q2 Data'!$D$4:$D$207=D34)*('Q2 Data'!$B$4:$B$207="Challan")*('Q2 Data'!$H$4:$H$207&lt;&gt;""))+SUMPRODUCT(('Q3 Data'!$D$4:$D$207=D34)*('Q3 Data'!$B$4:$B$207="Challan")*('Q3 Data'!$H$4:$H$207&lt;&gt;""))+SUMPRODUCT(('Q4 Data'!$D$4:$D$207=D34)*('Q4 Data'!$B$4:$B$207="Challan")*('Q4 Data'!$H$4:$H$207&lt;&gt;"")))&gt;0,(SUMPRODUCT(('Q1 Data'!$D$4:$D$207=D34)*('Q1 Data'!$B$4:$B$207="Challan")*('Q1 Data'!$H$4:$H$207=Z34))+SUMPRODUCT(('Q2 Data'!$D$4:$D$207=D34)*('Q2 Data'!$B$4:$B$207="Challan")*('Q2 Data'!$H$4:$H$207=Z34))+SUMPRODUCT(('Q3 Data'!$D$4:$D$207=D34)*('Q3 Data'!$B$4:$B$207="Challan")*('Q3 Data'!$H$4:$H$207=Z34))+SUMPRODUCT(('Q4 Data'!$D$4:$D$207=D34)*('Q4 Data'!$B$4:$B$207="Challan")*('Q4 Data'!$H$4:$H$207=Z34)))=0))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IF($B35="Challan","",IF(W35&lt;&gt;"","◄ Set Row Type","")))</f>
      </c>
      <c r="Y35" s="23">
        <f>IF($B35="Entry",IF(LEN(W35)&lt;4,"",IF(UPPER(MID(W35,4,1))="P","Individual",IF(UPPER(MID(W35,4,1))="H","HUF",IF(UPPER(MID(W35,4,1))="C","Company",IF(UPPER(MID(W35,4,1))="F","Firm/LLP",IF(UPPER(MID(W35,4,1))="L","Local Authority",IF(UPPER(MID(W35,4,1))="T","Trust",IF(UPPER(MID(W35,4,1))="A","AOP",IF(UPPER(MID(W35,4,1))="B","BOI",IF(UPPER(MID(W35,4,1))="J","AJP",IF(UPPER(MID(W35,4,1))="G","Government",""))))))))))),IF($B35="Challan","",IF(W35&lt;&gt;"","◄ Set Row Type","")))</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IF($B35&lt;&gt;"Challan","",SUMIF('Q1 Data'!$D$4:$D$207,D35,'Q1 Data'!$AD$4:$AD$207)+SUMIF('Q1 Data'!$D$4:$D$207,D35,'Q1 Data'!$AG$4:$AG$207)+SUMIF('Q1 Data'!$D$4:$D$207,D35,'Q1 Data'!$AE$4:$AE$207)+SUMIF('Q2 Data'!$D$4:$D$207,D35,'Q2 Data'!$AD$4:$AD$207)+SUMIF('Q2 Data'!$D$4:$D$207,D35,'Q2 Data'!$AG$4:$AG$207)+SUMIF('Q2 Data'!$D$4:$D$207,D35,'Q2 Data'!$AE$4:$AE$207)+SUMIF('Q3 Data'!$D$4:$D$207,D35,'Q3 Data'!$AD$4:$AD$207)+SUMIF('Q3 Data'!$D$4:$D$207,D35,'Q3 Data'!$AG$4:$AG$207)+SUMIF('Q3 Data'!$D$4:$D$207,D35,'Q3 Data'!$AE$4:$AE$207)+SUMIF('Q4 Data'!$D$4:$D$207,D35,'Q4 Data'!$AD$4:$AD$207)+SUMIF('Q4 Data'!$D$4:$D$207,D35,'Q4 Data'!$AG$4:$AG$207)+SUMIF('Q4 Data'!$D$4:$D$207,D35,'Q4 Data'!$AE$4:$AE$207))</f>
      </c>
      <c r="AO35" s="27">
        <f>IF($B35&lt;&gt;"Challan","",P35-N35)</f>
      </c>
      <c r="AP35" s="27">
        <f>IF($B35&lt;&gt;"Challan","",MAX(0,AO35-AN35))</f>
      </c>
      <c r="AQ35" s="33">
        <f>IF($B35&lt;&gt;"Entry","",SUMPRODUCT(('Q1 Data'!$D$4:$D$207=D35)*('Q1 Data'!$B$4:$B$207="Challan")*'Q1 Data'!$F$4:$F$207)+SUMPRODUCT(('Q2 Data'!$D$4:$D$207=D35)*('Q2 Data'!$B$4:$B$207="Challan")*'Q2 Data'!$F$4:$F$207)+SUMPRODUCT(('Q3 Data'!$D$4:$D$207=D35)*('Q3 Data'!$B$4:$B$207="Challan")*'Q3 Data'!$F$4:$F$207)+SUMPRODUCT(('Q4 Data'!$D$4:$D$207=D35)*('Q4 Data'!$B$4:$B$207="Challan")*'Q4 Data'!$F$4:$F$207))</f>
      </c>
      <c r="AR35" s="34">
        <f>IF(OR($B35&lt;&gt;"Entry",Z35=""),FALSE,AND((SUMPRODUCT(('Q1 Data'!$D$4:$D$207=D35)*('Q1 Data'!$B$4:$B$207="Challan")*('Q1 Data'!$H$4:$H$207&lt;&gt;""))+SUMPRODUCT(('Q2 Data'!$D$4:$D$207=D35)*('Q2 Data'!$B$4:$B$207="Challan")*('Q2 Data'!$H$4:$H$207&lt;&gt;""))+SUMPRODUCT(('Q3 Data'!$D$4:$D$207=D35)*('Q3 Data'!$B$4:$B$207="Challan")*('Q3 Data'!$H$4:$H$207&lt;&gt;""))+SUMPRODUCT(('Q4 Data'!$D$4:$D$207=D35)*('Q4 Data'!$B$4:$B$207="Challan")*('Q4 Data'!$H$4:$H$207&lt;&gt;"")))&gt;0,(SUMPRODUCT(('Q1 Data'!$D$4:$D$207=D35)*('Q1 Data'!$B$4:$B$207="Challan")*('Q1 Data'!$H$4:$H$207=Z35))+SUMPRODUCT(('Q2 Data'!$D$4:$D$207=D35)*('Q2 Data'!$B$4:$B$207="Challan")*('Q2 Data'!$H$4:$H$207=Z35))+SUMPRODUCT(('Q3 Data'!$D$4:$D$207=D35)*('Q3 Data'!$B$4:$B$207="Challan")*('Q3 Data'!$H$4:$H$207=Z35))+SUMPRODUCT(('Q4 Data'!$D$4:$D$207=D35)*('Q4 Data'!$B$4:$B$207="Challan")*('Q4 Data'!$H$4:$H$207=Z35)))=0))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IF($B36="Challan","",IF(W36&lt;&gt;"","◄ Set Row Type","")))</f>
      </c>
      <c r="Y36" s="23">
        <f>IF($B36="Entry",IF(LEN(W36)&lt;4,"",IF(UPPER(MID(W36,4,1))="P","Individual",IF(UPPER(MID(W36,4,1))="H","HUF",IF(UPPER(MID(W36,4,1))="C","Company",IF(UPPER(MID(W36,4,1))="F","Firm/LLP",IF(UPPER(MID(W36,4,1))="L","Local Authority",IF(UPPER(MID(W36,4,1))="T","Trust",IF(UPPER(MID(W36,4,1))="A","AOP",IF(UPPER(MID(W36,4,1))="B","BOI",IF(UPPER(MID(W36,4,1))="J","AJP",IF(UPPER(MID(W36,4,1))="G","Government",""))))))))))),IF($B36="Challan","",IF(W36&lt;&gt;"","◄ Set Row Type","")))</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IF($B36&lt;&gt;"Challan","",SUMIF('Q1 Data'!$D$4:$D$207,D36,'Q1 Data'!$AD$4:$AD$207)+SUMIF('Q1 Data'!$D$4:$D$207,D36,'Q1 Data'!$AG$4:$AG$207)+SUMIF('Q1 Data'!$D$4:$D$207,D36,'Q1 Data'!$AE$4:$AE$207)+SUMIF('Q2 Data'!$D$4:$D$207,D36,'Q2 Data'!$AD$4:$AD$207)+SUMIF('Q2 Data'!$D$4:$D$207,D36,'Q2 Data'!$AG$4:$AG$207)+SUMIF('Q2 Data'!$D$4:$D$207,D36,'Q2 Data'!$AE$4:$AE$207)+SUMIF('Q3 Data'!$D$4:$D$207,D36,'Q3 Data'!$AD$4:$AD$207)+SUMIF('Q3 Data'!$D$4:$D$207,D36,'Q3 Data'!$AG$4:$AG$207)+SUMIF('Q3 Data'!$D$4:$D$207,D36,'Q3 Data'!$AE$4:$AE$207)+SUMIF('Q4 Data'!$D$4:$D$207,D36,'Q4 Data'!$AD$4:$AD$207)+SUMIF('Q4 Data'!$D$4:$D$207,D36,'Q4 Data'!$AG$4:$AG$207)+SUMIF('Q4 Data'!$D$4:$D$207,D36,'Q4 Data'!$AE$4:$AE$207))</f>
      </c>
      <c r="AO36" s="27">
        <f>IF($B36&lt;&gt;"Challan","",P36-N36)</f>
      </c>
      <c r="AP36" s="27">
        <f>IF($B36&lt;&gt;"Challan","",MAX(0,AO36-AN36))</f>
      </c>
      <c r="AQ36" s="33">
        <f>IF($B36&lt;&gt;"Entry","",SUMPRODUCT(('Q1 Data'!$D$4:$D$207=D36)*('Q1 Data'!$B$4:$B$207="Challan")*'Q1 Data'!$F$4:$F$207)+SUMPRODUCT(('Q2 Data'!$D$4:$D$207=D36)*('Q2 Data'!$B$4:$B$207="Challan")*'Q2 Data'!$F$4:$F$207)+SUMPRODUCT(('Q3 Data'!$D$4:$D$207=D36)*('Q3 Data'!$B$4:$B$207="Challan")*'Q3 Data'!$F$4:$F$207)+SUMPRODUCT(('Q4 Data'!$D$4:$D$207=D36)*('Q4 Data'!$B$4:$B$207="Challan")*'Q4 Data'!$F$4:$F$207))</f>
      </c>
      <c r="AR36" s="34">
        <f>IF(OR($B36&lt;&gt;"Entry",Z36=""),FALSE,AND((SUMPRODUCT(('Q1 Data'!$D$4:$D$207=D36)*('Q1 Data'!$B$4:$B$207="Challan")*('Q1 Data'!$H$4:$H$207&lt;&gt;""))+SUMPRODUCT(('Q2 Data'!$D$4:$D$207=D36)*('Q2 Data'!$B$4:$B$207="Challan")*('Q2 Data'!$H$4:$H$207&lt;&gt;""))+SUMPRODUCT(('Q3 Data'!$D$4:$D$207=D36)*('Q3 Data'!$B$4:$B$207="Challan")*('Q3 Data'!$H$4:$H$207&lt;&gt;""))+SUMPRODUCT(('Q4 Data'!$D$4:$D$207=D36)*('Q4 Data'!$B$4:$B$207="Challan")*('Q4 Data'!$H$4:$H$207&lt;&gt;"")))&gt;0,(SUMPRODUCT(('Q1 Data'!$D$4:$D$207=D36)*('Q1 Data'!$B$4:$B$207="Challan")*('Q1 Data'!$H$4:$H$207=Z36))+SUMPRODUCT(('Q2 Data'!$D$4:$D$207=D36)*('Q2 Data'!$B$4:$B$207="Challan")*('Q2 Data'!$H$4:$H$207=Z36))+SUMPRODUCT(('Q3 Data'!$D$4:$D$207=D36)*('Q3 Data'!$B$4:$B$207="Challan")*('Q3 Data'!$H$4:$H$207=Z36))+SUMPRODUCT(('Q4 Data'!$D$4:$D$207=D36)*('Q4 Data'!$B$4:$B$207="Challan")*('Q4 Data'!$H$4:$H$207=Z36)))=0))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IF($B37="Challan","",IF(W37&lt;&gt;"","◄ Set Row Type","")))</f>
      </c>
      <c r="Y37" s="23">
        <f>IF($B37="Entry",IF(LEN(W37)&lt;4,"",IF(UPPER(MID(W37,4,1))="P","Individual",IF(UPPER(MID(W37,4,1))="H","HUF",IF(UPPER(MID(W37,4,1))="C","Company",IF(UPPER(MID(W37,4,1))="F","Firm/LLP",IF(UPPER(MID(W37,4,1))="L","Local Authority",IF(UPPER(MID(W37,4,1))="T","Trust",IF(UPPER(MID(W37,4,1))="A","AOP",IF(UPPER(MID(W37,4,1))="B","BOI",IF(UPPER(MID(W37,4,1))="J","AJP",IF(UPPER(MID(W37,4,1))="G","Government",""))))))))))),IF($B37="Challan","",IF(W37&lt;&gt;"","◄ Set Row Type","")))</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IF($B37&lt;&gt;"Challan","",SUMIF('Q1 Data'!$D$4:$D$207,D37,'Q1 Data'!$AD$4:$AD$207)+SUMIF('Q1 Data'!$D$4:$D$207,D37,'Q1 Data'!$AG$4:$AG$207)+SUMIF('Q1 Data'!$D$4:$D$207,D37,'Q1 Data'!$AE$4:$AE$207)+SUMIF('Q2 Data'!$D$4:$D$207,D37,'Q2 Data'!$AD$4:$AD$207)+SUMIF('Q2 Data'!$D$4:$D$207,D37,'Q2 Data'!$AG$4:$AG$207)+SUMIF('Q2 Data'!$D$4:$D$207,D37,'Q2 Data'!$AE$4:$AE$207)+SUMIF('Q3 Data'!$D$4:$D$207,D37,'Q3 Data'!$AD$4:$AD$207)+SUMIF('Q3 Data'!$D$4:$D$207,D37,'Q3 Data'!$AG$4:$AG$207)+SUMIF('Q3 Data'!$D$4:$D$207,D37,'Q3 Data'!$AE$4:$AE$207)+SUMIF('Q4 Data'!$D$4:$D$207,D37,'Q4 Data'!$AD$4:$AD$207)+SUMIF('Q4 Data'!$D$4:$D$207,D37,'Q4 Data'!$AG$4:$AG$207)+SUMIF('Q4 Data'!$D$4:$D$207,D37,'Q4 Data'!$AE$4:$AE$207))</f>
      </c>
      <c r="AO37" s="27">
        <f>IF($B37&lt;&gt;"Challan","",P37-N37)</f>
      </c>
      <c r="AP37" s="27">
        <f>IF($B37&lt;&gt;"Challan","",MAX(0,AO37-AN37))</f>
      </c>
      <c r="AQ37" s="33">
        <f>IF($B37&lt;&gt;"Entry","",SUMPRODUCT(('Q1 Data'!$D$4:$D$207=D37)*('Q1 Data'!$B$4:$B$207="Challan")*'Q1 Data'!$F$4:$F$207)+SUMPRODUCT(('Q2 Data'!$D$4:$D$207=D37)*('Q2 Data'!$B$4:$B$207="Challan")*'Q2 Data'!$F$4:$F$207)+SUMPRODUCT(('Q3 Data'!$D$4:$D$207=D37)*('Q3 Data'!$B$4:$B$207="Challan")*'Q3 Data'!$F$4:$F$207)+SUMPRODUCT(('Q4 Data'!$D$4:$D$207=D37)*('Q4 Data'!$B$4:$B$207="Challan")*'Q4 Data'!$F$4:$F$207))</f>
      </c>
      <c r="AR37" s="34">
        <f>IF(OR($B37&lt;&gt;"Entry",Z37=""),FALSE,AND((SUMPRODUCT(('Q1 Data'!$D$4:$D$207=D37)*('Q1 Data'!$B$4:$B$207="Challan")*('Q1 Data'!$H$4:$H$207&lt;&gt;""))+SUMPRODUCT(('Q2 Data'!$D$4:$D$207=D37)*('Q2 Data'!$B$4:$B$207="Challan")*('Q2 Data'!$H$4:$H$207&lt;&gt;""))+SUMPRODUCT(('Q3 Data'!$D$4:$D$207=D37)*('Q3 Data'!$B$4:$B$207="Challan")*('Q3 Data'!$H$4:$H$207&lt;&gt;""))+SUMPRODUCT(('Q4 Data'!$D$4:$D$207=D37)*('Q4 Data'!$B$4:$B$207="Challan")*('Q4 Data'!$H$4:$H$207&lt;&gt;"")))&gt;0,(SUMPRODUCT(('Q1 Data'!$D$4:$D$207=D37)*('Q1 Data'!$B$4:$B$207="Challan")*('Q1 Data'!$H$4:$H$207=Z37))+SUMPRODUCT(('Q2 Data'!$D$4:$D$207=D37)*('Q2 Data'!$B$4:$B$207="Challan")*('Q2 Data'!$H$4:$H$207=Z37))+SUMPRODUCT(('Q3 Data'!$D$4:$D$207=D37)*('Q3 Data'!$B$4:$B$207="Challan")*('Q3 Data'!$H$4:$H$207=Z37))+SUMPRODUCT(('Q4 Data'!$D$4:$D$207=D37)*('Q4 Data'!$B$4:$B$207="Challan")*('Q4 Data'!$H$4:$H$207=Z37)))=0))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IF($B38="Challan","",IF(W38&lt;&gt;"","◄ Set Row Type","")))</f>
      </c>
      <c r="Y38" s="23">
        <f>IF($B38="Entry",IF(LEN(W38)&lt;4,"",IF(UPPER(MID(W38,4,1))="P","Individual",IF(UPPER(MID(W38,4,1))="H","HUF",IF(UPPER(MID(W38,4,1))="C","Company",IF(UPPER(MID(W38,4,1))="F","Firm/LLP",IF(UPPER(MID(W38,4,1))="L","Local Authority",IF(UPPER(MID(W38,4,1))="T","Trust",IF(UPPER(MID(W38,4,1))="A","AOP",IF(UPPER(MID(W38,4,1))="B","BOI",IF(UPPER(MID(W38,4,1))="J","AJP",IF(UPPER(MID(W38,4,1))="G","Government",""))))))))))),IF($B38="Challan","",IF(W38&lt;&gt;"","◄ Set Row Type","")))</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IF($B38&lt;&gt;"Challan","",SUMIF('Q1 Data'!$D$4:$D$207,D38,'Q1 Data'!$AD$4:$AD$207)+SUMIF('Q1 Data'!$D$4:$D$207,D38,'Q1 Data'!$AG$4:$AG$207)+SUMIF('Q1 Data'!$D$4:$D$207,D38,'Q1 Data'!$AE$4:$AE$207)+SUMIF('Q2 Data'!$D$4:$D$207,D38,'Q2 Data'!$AD$4:$AD$207)+SUMIF('Q2 Data'!$D$4:$D$207,D38,'Q2 Data'!$AG$4:$AG$207)+SUMIF('Q2 Data'!$D$4:$D$207,D38,'Q2 Data'!$AE$4:$AE$207)+SUMIF('Q3 Data'!$D$4:$D$207,D38,'Q3 Data'!$AD$4:$AD$207)+SUMIF('Q3 Data'!$D$4:$D$207,D38,'Q3 Data'!$AG$4:$AG$207)+SUMIF('Q3 Data'!$D$4:$D$207,D38,'Q3 Data'!$AE$4:$AE$207)+SUMIF('Q4 Data'!$D$4:$D$207,D38,'Q4 Data'!$AD$4:$AD$207)+SUMIF('Q4 Data'!$D$4:$D$207,D38,'Q4 Data'!$AG$4:$AG$207)+SUMIF('Q4 Data'!$D$4:$D$207,D38,'Q4 Data'!$AE$4:$AE$207))</f>
      </c>
      <c r="AO38" s="27">
        <f>IF($B38&lt;&gt;"Challan","",P38-N38)</f>
      </c>
      <c r="AP38" s="27">
        <f>IF($B38&lt;&gt;"Challan","",MAX(0,AO38-AN38))</f>
      </c>
      <c r="AQ38" s="33">
        <f>IF($B38&lt;&gt;"Entry","",SUMPRODUCT(('Q1 Data'!$D$4:$D$207=D38)*('Q1 Data'!$B$4:$B$207="Challan")*'Q1 Data'!$F$4:$F$207)+SUMPRODUCT(('Q2 Data'!$D$4:$D$207=D38)*('Q2 Data'!$B$4:$B$207="Challan")*'Q2 Data'!$F$4:$F$207)+SUMPRODUCT(('Q3 Data'!$D$4:$D$207=D38)*('Q3 Data'!$B$4:$B$207="Challan")*'Q3 Data'!$F$4:$F$207)+SUMPRODUCT(('Q4 Data'!$D$4:$D$207=D38)*('Q4 Data'!$B$4:$B$207="Challan")*'Q4 Data'!$F$4:$F$207))</f>
      </c>
      <c r="AR38" s="34">
        <f>IF(OR($B38&lt;&gt;"Entry",Z38=""),FALSE,AND((SUMPRODUCT(('Q1 Data'!$D$4:$D$207=D38)*('Q1 Data'!$B$4:$B$207="Challan")*('Q1 Data'!$H$4:$H$207&lt;&gt;""))+SUMPRODUCT(('Q2 Data'!$D$4:$D$207=D38)*('Q2 Data'!$B$4:$B$207="Challan")*('Q2 Data'!$H$4:$H$207&lt;&gt;""))+SUMPRODUCT(('Q3 Data'!$D$4:$D$207=D38)*('Q3 Data'!$B$4:$B$207="Challan")*('Q3 Data'!$H$4:$H$207&lt;&gt;""))+SUMPRODUCT(('Q4 Data'!$D$4:$D$207=D38)*('Q4 Data'!$B$4:$B$207="Challan")*('Q4 Data'!$H$4:$H$207&lt;&gt;"")))&gt;0,(SUMPRODUCT(('Q1 Data'!$D$4:$D$207=D38)*('Q1 Data'!$B$4:$B$207="Challan")*('Q1 Data'!$H$4:$H$207=Z38))+SUMPRODUCT(('Q2 Data'!$D$4:$D$207=D38)*('Q2 Data'!$B$4:$B$207="Challan")*('Q2 Data'!$H$4:$H$207=Z38))+SUMPRODUCT(('Q3 Data'!$D$4:$D$207=D38)*('Q3 Data'!$B$4:$B$207="Challan")*('Q3 Data'!$H$4:$H$207=Z38))+SUMPRODUCT(('Q4 Data'!$D$4:$D$207=D38)*('Q4 Data'!$B$4:$B$207="Challan")*('Q4 Data'!$H$4:$H$207=Z38)))=0))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IF($B39="Challan","",IF(W39&lt;&gt;"","◄ Set Row Type","")))</f>
      </c>
      <c r="Y39" s="23">
        <f>IF($B39="Entry",IF(LEN(W39)&lt;4,"",IF(UPPER(MID(W39,4,1))="P","Individual",IF(UPPER(MID(W39,4,1))="H","HUF",IF(UPPER(MID(W39,4,1))="C","Company",IF(UPPER(MID(W39,4,1))="F","Firm/LLP",IF(UPPER(MID(W39,4,1))="L","Local Authority",IF(UPPER(MID(W39,4,1))="T","Trust",IF(UPPER(MID(W39,4,1))="A","AOP",IF(UPPER(MID(W39,4,1))="B","BOI",IF(UPPER(MID(W39,4,1))="J","AJP",IF(UPPER(MID(W39,4,1))="G","Government",""))))))))))),IF($B39="Challan","",IF(W39&lt;&gt;"","◄ Set Row Type","")))</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IF($B39&lt;&gt;"Challan","",SUMIF('Q1 Data'!$D$4:$D$207,D39,'Q1 Data'!$AD$4:$AD$207)+SUMIF('Q1 Data'!$D$4:$D$207,D39,'Q1 Data'!$AG$4:$AG$207)+SUMIF('Q1 Data'!$D$4:$D$207,D39,'Q1 Data'!$AE$4:$AE$207)+SUMIF('Q2 Data'!$D$4:$D$207,D39,'Q2 Data'!$AD$4:$AD$207)+SUMIF('Q2 Data'!$D$4:$D$207,D39,'Q2 Data'!$AG$4:$AG$207)+SUMIF('Q2 Data'!$D$4:$D$207,D39,'Q2 Data'!$AE$4:$AE$207)+SUMIF('Q3 Data'!$D$4:$D$207,D39,'Q3 Data'!$AD$4:$AD$207)+SUMIF('Q3 Data'!$D$4:$D$207,D39,'Q3 Data'!$AG$4:$AG$207)+SUMIF('Q3 Data'!$D$4:$D$207,D39,'Q3 Data'!$AE$4:$AE$207)+SUMIF('Q4 Data'!$D$4:$D$207,D39,'Q4 Data'!$AD$4:$AD$207)+SUMIF('Q4 Data'!$D$4:$D$207,D39,'Q4 Data'!$AG$4:$AG$207)+SUMIF('Q4 Data'!$D$4:$D$207,D39,'Q4 Data'!$AE$4:$AE$207))</f>
      </c>
      <c r="AO39" s="27">
        <f>IF($B39&lt;&gt;"Challan","",P39-N39)</f>
      </c>
      <c r="AP39" s="27">
        <f>IF($B39&lt;&gt;"Challan","",MAX(0,AO39-AN39))</f>
      </c>
      <c r="AQ39" s="33">
        <f>IF($B39&lt;&gt;"Entry","",SUMPRODUCT(('Q1 Data'!$D$4:$D$207=D39)*('Q1 Data'!$B$4:$B$207="Challan")*'Q1 Data'!$F$4:$F$207)+SUMPRODUCT(('Q2 Data'!$D$4:$D$207=D39)*('Q2 Data'!$B$4:$B$207="Challan")*'Q2 Data'!$F$4:$F$207)+SUMPRODUCT(('Q3 Data'!$D$4:$D$207=D39)*('Q3 Data'!$B$4:$B$207="Challan")*'Q3 Data'!$F$4:$F$207)+SUMPRODUCT(('Q4 Data'!$D$4:$D$207=D39)*('Q4 Data'!$B$4:$B$207="Challan")*'Q4 Data'!$F$4:$F$207))</f>
      </c>
      <c r="AR39" s="34">
        <f>IF(OR($B39&lt;&gt;"Entry",Z39=""),FALSE,AND((SUMPRODUCT(('Q1 Data'!$D$4:$D$207=D39)*('Q1 Data'!$B$4:$B$207="Challan")*('Q1 Data'!$H$4:$H$207&lt;&gt;""))+SUMPRODUCT(('Q2 Data'!$D$4:$D$207=D39)*('Q2 Data'!$B$4:$B$207="Challan")*('Q2 Data'!$H$4:$H$207&lt;&gt;""))+SUMPRODUCT(('Q3 Data'!$D$4:$D$207=D39)*('Q3 Data'!$B$4:$B$207="Challan")*('Q3 Data'!$H$4:$H$207&lt;&gt;""))+SUMPRODUCT(('Q4 Data'!$D$4:$D$207=D39)*('Q4 Data'!$B$4:$B$207="Challan")*('Q4 Data'!$H$4:$H$207&lt;&gt;"")))&gt;0,(SUMPRODUCT(('Q1 Data'!$D$4:$D$207=D39)*('Q1 Data'!$B$4:$B$207="Challan")*('Q1 Data'!$H$4:$H$207=Z39))+SUMPRODUCT(('Q2 Data'!$D$4:$D$207=D39)*('Q2 Data'!$B$4:$B$207="Challan")*('Q2 Data'!$H$4:$H$207=Z39))+SUMPRODUCT(('Q3 Data'!$D$4:$D$207=D39)*('Q3 Data'!$B$4:$B$207="Challan")*('Q3 Data'!$H$4:$H$207=Z39))+SUMPRODUCT(('Q4 Data'!$D$4:$D$207=D39)*('Q4 Data'!$B$4:$B$207="Challan")*('Q4 Data'!$H$4:$H$207=Z39)))=0))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IF($B40="Challan","",IF(W40&lt;&gt;"","◄ Set Row Type","")))</f>
      </c>
      <c r="Y40" s="23">
        <f>IF($B40="Entry",IF(LEN(W40)&lt;4,"",IF(UPPER(MID(W40,4,1))="P","Individual",IF(UPPER(MID(W40,4,1))="H","HUF",IF(UPPER(MID(W40,4,1))="C","Company",IF(UPPER(MID(W40,4,1))="F","Firm/LLP",IF(UPPER(MID(W40,4,1))="L","Local Authority",IF(UPPER(MID(W40,4,1))="T","Trust",IF(UPPER(MID(W40,4,1))="A","AOP",IF(UPPER(MID(W40,4,1))="B","BOI",IF(UPPER(MID(W40,4,1))="J","AJP",IF(UPPER(MID(W40,4,1))="G","Government",""))))))))))),IF($B40="Challan","",IF(W40&lt;&gt;"","◄ Set Row Type","")))</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IF($B40&lt;&gt;"Challan","",SUMIF('Q1 Data'!$D$4:$D$207,D40,'Q1 Data'!$AD$4:$AD$207)+SUMIF('Q1 Data'!$D$4:$D$207,D40,'Q1 Data'!$AG$4:$AG$207)+SUMIF('Q1 Data'!$D$4:$D$207,D40,'Q1 Data'!$AE$4:$AE$207)+SUMIF('Q2 Data'!$D$4:$D$207,D40,'Q2 Data'!$AD$4:$AD$207)+SUMIF('Q2 Data'!$D$4:$D$207,D40,'Q2 Data'!$AG$4:$AG$207)+SUMIF('Q2 Data'!$D$4:$D$207,D40,'Q2 Data'!$AE$4:$AE$207)+SUMIF('Q3 Data'!$D$4:$D$207,D40,'Q3 Data'!$AD$4:$AD$207)+SUMIF('Q3 Data'!$D$4:$D$207,D40,'Q3 Data'!$AG$4:$AG$207)+SUMIF('Q3 Data'!$D$4:$D$207,D40,'Q3 Data'!$AE$4:$AE$207)+SUMIF('Q4 Data'!$D$4:$D$207,D40,'Q4 Data'!$AD$4:$AD$207)+SUMIF('Q4 Data'!$D$4:$D$207,D40,'Q4 Data'!$AG$4:$AG$207)+SUMIF('Q4 Data'!$D$4:$D$207,D40,'Q4 Data'!$AE$4:$AE$207))</f>
      </c>
      <c r="AO40" s="27">
        <f>IF($B40&lt;&gt;"Challan","",P40-N40)</f>
      </c>
      <c r="AP40" s="27">
        <f>IF($B40&lt;&gt;"Challan","",MAX(0,AO40-AN40))</f>
      </c>
      <c r="AQ40" s="33">
        <f>IF($B40&lt;&gt;"Entry","",SUMPRODUCT(('Q1 Data'!$D$4:$D$207=D40)*('Q1 Data'!$B$4:$B$207="Challan")*'Q1 Data'!$F$4:$F$207)+SUMPRODUCT(('Q2 Data'!$D$4:$D$207=D40)*('Q2 Data'!$B$4:$B$207="Challan")*'Q2 Data'!$F$4:$F$207)+SUMPRODUCT(('Q3 Data'!$D$4:$D$207=D40)*('Q3 Data'!$B$4:$B$207="Challan")*'Q3 Data'!$F$4:$F$207)+SUMPRODUCT(('Q4 Data'!$D$4:$D$207=D40)*('Q4 Data'!$B$4:$B$207="Challan")*'Q4 Data'!$F$4:$F$207))</f>
      </c>
      <c r="AR40" s="34">
        <f>IF(OR($B40&lt;&gt;"Entry",Z40=""),FALSE,AND((SUMPRODUCT(('Q1 Data'!$D$4:$D$207=D40)*('Q1 Data'!$B$4:$B$207="Challan")*('Q1 Data'!$H$4:$H$207&lt;&gt;""))+SUMPRODUCT(('Q2 Data'!$D$4:$D$207=D40)*('Q2 Data'!$B$4:$B$207="Challan")*('Q2 Data'!$H$4:$H$207&lt;&gt;""))+SUMPRODUCT(('Q3 Data'!$D$4:$D$207=D40)*('Q3 Data'!$B$4:$B$207="Challan")*('Q3 Data'!$H$4:$H$207&lt;&gt;""))+SUMPRODUCT(('Q4 Data'!$D$4:$D$207=D40)*('Q4 Data'!$B$4:$B$207="Challan")*('Q4 Data'!$H$4:$H$207&lt;&gt;"")))&gt;0,(SUMPRODUCT(('Q1 Data'!$D$4:$D$207=D40)*('Q1 Data'!$B$4:$B$207="Challan")*('Q1 Data'!$H$4:$H$207=Z40))+SUMPRODUCT(('Q2 Data'!$D$4:$D$207=D40)*('Q2 Data'!$B$4:$B$207="Challan")*('Q2 Data'!$H$4:$H$207=Z40))+SUMPRODUCT(('Q3 Data'!$D$4:$D$207=D40)*('Q3 Data'!$B$4:$B$207="Challan")*('Q3 Data'!$H$4:$H$207=Z40))+SUMPRODUCT(('Q4 Data'!$D$4:$D$207=D40)*('Q4 Data'!$B$4:$B$207="Challan")*('Q4 Data'!$H$4:$H$207=Z40)))=0))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IF($B41="Challan","",IF(W41&lt;&gt;"","◄ Set Row Type","")))</f>
      </c>
      <c r="Y41" s="23">
        <f>IF($B41="Entry",IF(LEN(W41)&lt;4,"",IF(UPPER(MID(W41,4,1))="P","Individual",IF(UPPER(MID(W41,4,1))="H","HUF",IF(UPPER(MID(W41,4,1))="C","Company",IF(UPPER(MID(W41,4,1))="F","Firm/LLP",IF(UPPER(MID(W41,4,1))="L","Local Authority",IF(UPPER(MID(W41,4,1))="T","Trust",IF(UPPER(MID(W41,4,1))="A","AOP",IF(UPPER(MID(W41,4,1))="B","BOI",IF(UPPER(MID(W41,4,1))="J","AJP",IF(UPPER(MID(W41,4,1))="G","Government",""))))))))))),IF($B41="Challan","",IF(W41&lt;&gt;"","◄ Set Row Type","")))</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IF($B41&lt;&gt;"Challan","",SUMIF('Q1 Data'!$D$4:$D$207,D41,'Q1 Data'!$AD$4:$AD$207)+SUMIF('Q1 Data'!$D$4:$D$207,D41,'Q1 Data'!$AG$4:$AG$207)+SUMIF('Q1 Data'!$D$4:$D$207,D41,'Q1 Data'!$AE$4:$AE$207)+SUMIF('Q2 Data'!$D$4:$D$207,D41,'Q2 Data'!$AD$4:$AD$207)+SUMIF('Q2 Data'!$D$4:$D$207,D41,'Q2 Data'!$AG$4:$AG$207)+SUMIF('Q2 Data'!$D$4:$D$207,D41,'Q2 Data'!$AE$4:$AE$207)+SUMIF('Q3 Data'!$D$4:$D$207,D41,'Q3 Data'!$AD$4:$AD$207)+SUMIF('Q3 Data'!$D$4:$D$207,D41,'Q3 Data'!$AG$4:$AG$207)+SUMIF('Q3 Data'!$D$4:$D$207,D41,'Q3 Data'!$AE$4:$AE$207)+SUMIF('Q4 Data'!$D$4:$D$207,D41,'Q4 Data'!$AD$4:$AD$207)+SUMIF('Q4 Data'!$D$4:$D$207,D41,'Q4 Data'!$AG$4:$AG$207)+SUMIF('Q4 Data'!$D$4:$D$207,D41,'Q4 Data'!$AE$4:$AE$207))</f>
      </c>
      <c r="AO41" s="27">
        <f>IF($B41&lt;&gt;"Challan","",P41-N41)</f>
      </c>
      <c r="AP41" s="27">
        <f>IF($B41&lt;&gt;"Challan","",MAX(0,AO41-AN41))</f>
      </c>
      <c r="AQ41" s="33">
        <f>IF($B41&lt;&gt;"Entry","",SUMPRODUCT(('Q1 Data'!$D$4:$D$207=D41)*('Q1 Data'!$B$4:$B$207="Challan")*'Q1 Data'!$F$4:$F$207)+SUMPRODUCT(('Q2 Data'!$D$4:$D$207=D41)*('Q2 Data'!$B$4:$B$207="Challan")*'Q2 Data'!$F$4:$F$207)+SUMPRODUCT(('Q3 Data'!$D$4:$D$207=D41)*('Q3 Data'!$B$4:$B$207="Challan")*'Q3 Data'!$F$4:$F$207)+SUMPRODUCT(('Q4 Data'!$D$4:$D$207=D41)*('Q4 Data'!$B$4:$B$207="Challan")*'Q4 Data'!$F$4:$F$207))</f>
      </c>
      <c r="AR41" s="34">
        <f>IF(OR($B41&lt;&gt;"Entry",Z41=""),FALSE,AND((SUMPRODUCT(('Q1 Data'!$D$4:$D$207=D41)*('Q1 Data'!$B$4:$B$207="Challan")*('Q1 Data'!$H$4:$H$207&lt;&gt;""))+SUMPRODUCT(('Q2 Data'!$D$4:$D$207=D41)*('Q2 Data'!$B$4:$B$207="Challan")*('Q2 Data'!$H$4:$H$207&lt;&gt;""))+SUMPRODUCT(('Q3 Data'!$D$4:$D$207=D41)*('Q3 Data'!$B$4:$B$207="Challan")*('Q3 Data'!$H$4:$H$207&lt;&gt;""))+SUMPRODUCT(('Q4 Data'!$D$4:$D$207=D41)*('Q4 Data'!$B$4:$B$207="Challan")*('Q4 Data'!$H$4:$H$207&lt;&gt;"")))&gt;0,(SUMPRODUCT(('Q1 Data'!$D$4:$D$207=D41)*('Q1 Data'!$B$4:$B$207="Challan")*('Q1 Data'!$H$4:$H$207=Z41))+SUMPRODUCT(('Q2 Data'!$D$4:$D$207=D41)*('Q2 Data'!$B$4:$B$207="Challan")*('Q2 Data'!$H$4:$H$207=Z41))+SUMPRODUCT(('Q3 Data'!$D$4:$D$207=D41)*('Q3 Data'!$B$4:$B$207="Challan")*('Q3 Data'!$H$4:$H$207=Z41))+SUMPRODUCT(('Q4 Data'!$D$4:$D$207=D41)*('Q4 Data'!$B$4:$B$207="Challan")*('Q4 Data'!$H$4:$H$207=Z41)))=0))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IF($B42="Challan","",IF(W42&lt;&gt;"","◄ Set Row Type","")))</f>
      </c>
      <c r="Y42" s="23">
        <f>IF($B42="Entry",IF(LEN(W42)&lt;4,"",IF(UPPER(MID(W42,4,1))="P","Individual",IF(UPPER(MID(W42,4,1))="H","HUF",IF(UPPER(MID(W42,4,1))="C","Company",IF(UPPER(MID(W42,4,1))="F","Firm/LLP",IF(UPPER(MID(W42,4,1))="L","Local Authority",IF(UPPER(MID(W42,4,1))="T","Trust",IF(UPPER(MID(W42,4,1))="A","AOP",IF(UPPER(MID(W42,4,1))="B","BOI",IF(UPPER(MID(W42,4,1))="J","AJP",IF(UPPER(MID(W42,4,1))="G","Government",""))))))))))),IF($B42="Challan","",IF(W42&lt;&gt;"","◄ Set Row Type","")))</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IF($B42&lt;&gt;"Challan","",SUMIF('Q1 Data'!$D$4:$D$207,D42,'Q1 Data'!$AD$4:$AD$207)+SUMIF('Q1 Data'!$D$4:$D$207,D42,'Q1 Data'!$AG$4:$AG$207)+SUMIF('Q1 Data'!$D$4:$D$207,D42,'Q1 Data'!$AE$4:$AE$207)+SUMIF('Q2 Data'!$D$4:$D$207,D42,'Q2 Data'!$AD$4:$AD$207)+SUMIF('Q2 Data'!$D$4:$D$207,D42,'Q2 Data'!$AG$4:$AG$207)+SUMIF('Q2 Data'!$D$4:$D$207,D42,'Q2 Data'!$AE$4:$AE$207)+SUMIF('Q3 Data'!$D$4:$D$207,D42,'Q3 Data'!$AD$4:$AD$207)+SUMIF('Q3 Data'!$D$4:$D$207,D42,'Q3 Data'!$AG$4:$AG$207)+SUMIF('Q3 Data'!$D$4:$D$207,D42,'Q3 Data'!$AE$4:$AE$207)+SUMIF('Q4 Data'!$D$4:$D$207,D42,'Q4 Data'!$AD$4:$AD$207)+SUMIF('Q4 Data'!$D$4:$D$207,D42,'Q4 Data'!$AG$4:$AG$207)+SUMIF('Q4 Data'!$D$4:$D$207,D42,'Q4 Data'!$AE$4:$AE$207))</f>
      </c>
      <c r="AO42" s="27">
        <f>IF($B42&lt;&gt;"Challan","",P42-N42)</f>
      </c>
      <c r="AP42" s="27">
        <f>IF($B42&lt;&gt;"Challan","",MAX(0,AO42-AN42))</f>
      </c>
      <c r="AQ42" s="33">
        <f>IF($B42&lt;&gt;"Entry","",SUMPRODUCT(('Q1 Data'!$D$4:$D$207=D42)*('Q1 Data'!$B$4:$B$207="Challan")*'Q1 Data'!$F$4:$F$207)+SUMPRODUCT(('Q2 Data'!$D$4:$D$207=D42)*('Q2 Data'!$B$4:$B$207="Challan")*'Q2 Data'!$F$4:$F$207)+SUMPRODUCT(('Q3 Data'!$D$4:$D$207=D42)*('Q3 Data'!$B$4:$B$207="Challan")*'Q3 Data'!$F$4:$F$207)+SUMPRODUCT(('Q4 Data'!$D$4:$D$207=D42)*('Q4 Data'!$B$4:$B$207="Challan")*'Q4 Data'!$F$4:$F$207))</f>
      </c>
      <c r="AR42" s="34">
        <f>IF(OR($B42&lt;&gt;"Entry",Z42=""),FALSE,AND((SUMPRODUCT(('Q1 Data'!$D$4:$D$207=D42)*('Q1 Data'!$B$4:$B$207="Challan")*('Q1 Data'!$H$4:$H$207&lt;&gt;""))+SUMPRODUCT(('Q2 Data'!$D$4:$D$207=D42)*('Q2 Data'!$B$4:$B$207="Challan")*('Q2 Data'!$H$4:$H$207&lt;&gt;""))+SUMPRODUCT(('Q3 Data'!$D$4:$D$207=D42)*('Q3 Data'!$B$4:$B$207="Challan")*('Q3 Data'!$H$4:$H$207&lt;&gt;""))+SUMPRODUCT(('Q4 Data'!$D$4:$D$207=D42)*('Q4 Data'!$B$4:$B$207="Challan")*('Q4 Data'!$H$4:$H$207&lt;&gt;"")))&gt;0,(SUMPRODUCT(('Q1 Data'!$D$4:$D$207=D42)*('Q1 Data'!$B$4:$B$207="Challan")*('Q1 Data'!$H$4:$H$207=Z42))+SUMPRODUCT(('Q2 Data'!$D$4:$D$207=D42)*('Q2 Data'!$B$4:$B$207="Challan")*('Q2 Data'!$H$4:$H$207=Z42))+SUMPRODUCT(('Q3 Data'!$D$4:$D$207=D42)*('Q3 Data'!$B$4:$B$207="Challan")*('Q3 Data'!$H$4:$H$207=Z42))+SUMPRODUCT(('Q4 Data'!$D$4:$D$207=D42)*('Q4 Data'!$B$4:$B$207="Challan")*('Q4 Data'!$H$4:$H$207=Z42)))=0))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IF($B43="Challan","",IF(W43&lt;&gt;"","◄ Set Row Type","")))</f>
      </c>
      <c r="Y43" s="23">
        <f>IF($B43="Entry",IF(LEN(W43)&lt;4,"",IF(UPPER(MID(W43,4,1))="P","Individual",IF(UPPER(MID(W43,4,1))="H","HUF",IF(UPPER(MID(W43,4,1))="C","Company",IF(UPPER(MID(W43,4,1))="F","Firm/LLP",IF(UPPER(MID(W43,4,1))="L","Local Authority",IF(UPPER(MID(W43,4,1))="T","Trust",IF(UPPER(MID(W43,4,1))="A","AOP",IF(UPPER(MID(W43,4,1))="B","BOI",IF(UPPER(MID(W43,4,1))="J","AJP",IF(UPPER(MID(W43,4,1))="G","Government",""))))))))))),IF($B43="Challan","",IF(W43&lt;&gt;"","◄ Set Row Type","")))</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IF($B43&lt;&gt;"Challan","",SUMIF('Q1 Data'!$D$4:$D$207,D43,'Q1 Data'!$AD$4:$AD$207)+SUMIF('Q1 Data'!$D$4:$D$207,D43,'Q1 Data'!$AG$4:$AG$207)+SUMIF('Q1 Data'!$D$4:$D$207,D43,'Q1 Data'!$AE$4:$AE$207)+SUMIF('Q2 Data'!$D$4:$D$207,D43,'Q2 Data'!$AD$4:$AD$207)+SUMIF('Q2 Data'!$D$4:$D$207,D43,'Q2 Data'!$AG$4:$AG$207)+SUMIF('Q2 Data'!$D$4:$D$207,D43,'Q2 Data'!$AE$4:$AE$207)+SUMIF('Q3 Data'!$D$4:$D$207,D43,'Q3 Data'!$AD$4:$AD$207)+SUMIF('Q3 Data'!$D$4:$D$207,D43,'Q3 Data'!$AG$4:$AG$207)+SUMIF('Q3 Data'!$D$4:$D$207,D43,'Q3 Data'!$AE$4:$AE$207)+SUMIF('Q4 Data'!$D$4:$D$207,D43,'Q4 Data'!$AD$4:$AD$207)+SUMIF('Q4 Data'!$D$4:$D$207,D43,'Q4 Data'!$AG$4:$AG$207)+SUMIF('Q4 Data'!$D$4:$D$207,D43,'Q4 Data'!$AE$4:$AE$207))</f>
      </c>
      <c r="AO43" s="27">
        <f>IF($B43&lt;&gt;"Challan","",P43-N43)</f>
      </c>
      <c r="AP43" s="27">
        <f>IF($B43&lt;&gt;"Challan","",MAX(0,AO43-AN43))</f>
      </c>
      <c r="AQ43" s="33">
        <f>IF($B43&lt;&gt;"Entry","",SUMPRODUCT(('Q1 Data'!$D$4:$D$207=D43)*('Q1 Data'!$B$4:$B$207="Challan")*'Q1 Data'!$F$4:$F$207)+SUMPRODUCT(('Q2 Data'!$D$4:$D$207=D43)*('Q2 Data'!$B$4:$B$207="Challan")*'Q2 Data'!$F$4:$F$207)+SUMPRODUCT(('Q3 Data'!$D$4:$D$207=D43)*('Q3 Data'!$B$4:$B$207="Challan")*'Q3 Data'!$F$4:$F$207)+SUMPRODUCT(('Q4 Data'!$D$4:$D$207=D43)*('Q4 Data'!$B$4:$B$207="Challan")*'Q4 Data'!$F$4:$F$207))</f>
      </c>
      <c r="AR43" s="34">
        <f>IF(OR($B43&lt;&gt;"Entry",Z43=""),FALSE,AND((SUMPRODUCT(('Q1 Data'!$D$4:$D$207=D43)*('Q1 Data'!$B$4:$B$207="Challan")*('Q1 Data'!$H$4:$H$207&lt;&gt;""))+SUMPRODUCT(('Q2 Data'!$D$4:$D$207=D43)*('Q2 Data'!$B$4:$B$207="Challan")*('Q2 Data'!$H$4:$H$207&lt;&gt;""))+SUMPRODUCT(('Q3 Data'!$D$4:$D$207=D43)*('Q3 Data'!$B$4:$B$207="Challan")*('Q3 Data'!$H$4:$H$207&lt;&gt;""))+SUMPRODUCT(('Q4 Data'!$D$4:$D$207=D43)*('Q4 Data'!$B$4:$B$207="Challan")*('Q4 Data'!$H$4:$H$207&lt;&gt;"")))&gt;0,(SUMPRODUCT(('Q1 Data'!$D$4:$D$207=D43)*('Q1 Data'!$B$4:$B$207="Challan")*('Q1 Data'!$H$4:$H$207=Z43))+SUMPRODUCT(('Q2 Data'!$D$4:$D$207=D43)*('Q2 Data'!$B$4:$B$207="Challan")*('Q2 Data'!$H$4:$H$207=Z43))+SUMPRODUCT(('Q3 Data'!$D$4:$D$207=D43)*('Q3 Data'!$B$4:$B$207="Challan")*('Q3 Data'!$H$4:$H$207=Z43))+SUMPRODUCT(('Q4 Data'!$D$4:$D$207=D43)*('Q4 Data'!$B$4:$B$207="Challan")*('Q4 Data'!$H$4:$H$207=Z43)))=0))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IF($B44="Challan","",IF(W44&lt;&gt;"","◄ Set Row Type","")))</f>
      </c>
      <c r="Y44" s="23">
        <f>IF($B44="Entry",IF(LEN(W44)&lt;4,"",IF(UPPER(MID(W44,4,1))="P","Individual",IF(UPPER(MID(W44,4,1))="H","HUF",IF(UPPER(MID(W44,4,1))="C","Company",IF(UPPER(MID(W44,4,1))="F","Firm/LLP",IF(UPPER(MID(W44,4,1))="L","Local Authority",IF(UPPER(MID(W44,4,1))="T","Trust",IF(UPPER(MID(W44,4,1))="A","AOP",IF(UPPER(MID(W44,4,1))="B","BOI",IF(UPPER(MID(W44,4,1))="J","AJP",IF(UPPER(MID(W44,4,1))="G","Government",""))))))))))),IF($B44="Challan","",IF(W44&lt;&gt;"","◄ Set Row Type","")))</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IF($B44&lt;&gt;"Challan","",SUMIF('Q1 Data'!$D$4:$D$207,D44,'Q1 Data'!$AD$4:$AD$207)+SUMIF('Q1 Data'!$D$4:$D$207,D44,'Q1 Data'!$AG$4:$AG$207)+SUMIF('Q1 Data'!$D$4:$D$207,D44,'Q1 Data'!$AE$4:$AE$207)+SUMIF('Q2 Data'!$D$4:$D$207,D44,'Q2 Data'!$AD$4:$AD$207)+SUMIF('Q2 Data'!$D$4:$D$207,D44,'Q2 Data'!$AG$4:$AG$207)+SUMIF('Q2 Data'!$D$4:$D$207,D44,'Q2 Data'!$AE$4:$AE$207)+SUMIF('Q3 Data'!$D$4:$D$207,D44,'Q3 Data'!$AD$4:$AD$207)+SUMIF('Q3 Data'!$D$4:$D$207,D44,'Q3 Data'!$AG$4:$AG$207)+SUMIF('Q3 Data'!$D$4:$D$207,D44,'Q3 Data'!$AE$4:$AE$207)+SUMIF('Q4 Data'!$D$4:$D$207,D44,'Q4 Data'!$AD$4:$AD$207)+SUMIF('Q4 Data'!$D$4:$D$207,D44,'Q4 Data'!$AG$4:$AG$207)+SUMIF('Q4 Data'!$D$4:$D$207,D44,'Q4 Data'!$AE$4:$AE$207))</f>
      </c>
      <c r="AO44" s="27">
        <f>IF($B44&lt;&gt;"Challan","",P44-N44)</f>
      </c>
      <c r="AP44" s="27">
        <f>IF($B44&lt;&gt;"Challan","",MAX(0,AO44-AN44))</f>
      </c>
      <c r="AQ44" s="33">
        <f>IF($B44&lt;&gt;"Entry","",SUMPRODUCT(('Q1 Data'!$D$4:$D$207=D44)*('Q1 Data'!$B$4:$B$207="Challan")*'Q1 Data'!$F$4:$F$207)+SUMPRODUCT(('Q2 Data'!$D$4:$D$207=D44)*('Q2 Data'!$B$4:$B$207="Challan")*'Q2 Data'!$F$4:$F$207)+SUMPRODUCT(('Q3 Data'!$D$4:$D$207=D44)*('Q3 Data'!$B$4:$B$207="Challan")*'Q3 Data'!$F$4:$F$207)+SUMPRODUCT(('Q4 Data'!$D$4:$D$207=D44)*('Q4 Data'!$B$4:$B$207="Challan")*'Q4 Data'!$F$4:$F$207))</f>
      </c>
      <c r="AR44" s="34">
        <f>IF(OR($B44&lt;&gt;"Entry",Z44=""),FALSE,AND((SUMPRODUCT(('Q1 Data'!$D$4:$D$207=D44)*('Q1 Data'!$B$4:$B$207="Challan")*('Q1 Data'!$H$4:$H$207&lt;&gt;""))+SUMPRODUCT(('Q2 Data'!$D$4:$D$207=D44)*('Q2 Data'!$B$4:$B$207="Challan")*('Q2 Data'!$H$4:$H$207&lt;&gt;""))+SUMPRODUCT(('Q3 Data'!$D$4:$D$207=D44)*('Q3 Data'!$B$4:$B$207="Challan")*('Q3 Data'!$H$4:$H$207&lt;&gt;""))+SUMPRODUCT(('Q4 Data'!$D$4:$D$207=D44)*('Q4 Data'!$B$4:$B$207="Challan")*('Q4 Data'!$H$4:$H$207&lt;&gt;"")))&gt;0,(SUMPRODUCT(('Q1 Data'!$D$4:$D$207=D44)*('Q1 Data'!$B$4:$B$207="Challan")*('Q1 Data'!$H$4:$H$207=Z44))+SUMPRODUCT(('Q2 Data'!$D$4:$D$207=D44)*('Q2 Data'!$B$4:$B$207="Challan")*('Q2 Data'!$H$4:$H$207=Z44))+SUMPRODUCT(('Q3 Data'!$D$4:$D$207=D44)*('Q3 Data'!$B$4:$B$207="Challan")*('Q3 Data'!$H$4:$H$207=Z44))+SUMPRODUCT(('Q4 Data'!$D$4:$D$207=D44)*('Q4 Data'!$B$4:$B$207="Challan")*('Q4 Data'!$H$4:$H$207=Z44)))=0))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IF($B45="Challan","",IF(W45&lt;&gt;"","◄ Set Row Type","")))</f>
      </c>
      <c r="Y45" s="23">
        <f>IF($B45="Entry",IF(LEN(W45)&lt;4,"",IF(UPPER(MID(W45,4,1))="P","Individual",IF(UPPER(MID(W45,4,1))="H","HUF",IF(UPPER(MID(W45,4,1))="C","Company",IF(UPPER(MID(W45,4,1))="F","Firm/LLP",IF(UPPER(MID(W45,4,1))="L","Local Authority",IF(UPPER(MID(W45,4,1))="T","Trust",IF(UPPER(MID(W45,4,1))="A","AOP",IF(UPPER(MID(W45,4,1))="B","BOI",IF(UPPER(MID(W45,4,1))="J","AJP",IF(UPPER(MID(W45,4,1))="G","Government",""))))))))))),IF($B45="Challan","",IF(W45&lt;&gt;"","◄ Set Row Type","")))</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IF($B45&lt;&gt;"Challan","",SUMIF('Q1 Data'!$D$4:$D$207,D45,'Q1 Data'!$AD$4:$AD$207)+SUMIF('Q1 Data'!$D$4:$D$207,D45,'Q1 Data'!$AG$4:$AG$207)+SUMIF('Q1 Data'!$D$4:$D$207,D45,'Q1 Data'!$AE$4:$AE$207)+SUMIF('Q2 Data'!$D$4:$D$207,D45,'Q2 Data'!$AD$4:$AD$207)+SUMIF('Q2 Data'!$D$4:$D$207,D45,'Q2 Data'!$AG$4:$AG$207)+SUMIF('Q2 Data'!$D$4:$D$207,D45,'Q2 Data'!$AE$4:$AE$207)+SUMIF('Q3 Data'!$D$4:$D$207,D45,'Q3 Data'!$AD$4:$AD$207)+SUMIF('Q3 Data'!$D$4:$D$207,D45,'Q3 Data'!$AG$4:$AG$207)+SUMIF('Q3 Data'!$D$4:$D$207,D45,'Q3 Data'!$AE$4:$AE$207)+SUMIF('Q4 Data'!$D$4:$D$207,D45,'Q4 Data'!$AD$4:$AD$207)+SUMIF('Q4 Data'!$D$4:$D$207,D45,'Q4 Data'!$AG$4:$AG$207)+SUMIF('Q4 Data'!$D$4:$D$207,D45,'Q4 Data'!$AE$4:$AE$207))</f>
      </c>
      <c r="AO45" s="27">
        <f>IF($B45&lt;&gt;"Challan","",P45-N45)</f>
      </c>
      <c r="AP45" s="27">
        <f>IF($B45&lt;&gt;"Challan","",MAX(0,AO45-AN45))</f>
      </c>
      <c r="AQ45" s="33">
        <f>IF($B45&lt;&gt;"Entry","",SUMPRODUCT(('Q1 Data'!$D$4:$D$207=D45)*('Q1 Data'!$B$4:$B$207="Challan")*'Q1 Data'!$F$4:$F$207)+SUMPRODUCT(('Q2 Data'!$D$4:$D$207=D45)*('Q2 Data'!$B$4:$B$207="Challan")*'Q2 Data'!$F$4:$F$207)+SUMPRODUCT(('Q3 Data'!$D$4:$D$207=D45)*('Q3 Data'!$B$4:$B$207="Challan")*'Q3 Data'!$F$4:$F$207)+SUMPRODUCT(('Q4 Data'!$D$4:$D$207=D45)*('Q4 Data'!$B$4:$B$207="Challan")*'Q4 Data'!$F$4:$F$207))</f>
      </c>
      <c r="AR45" s="34">
        <f>IF(OR($B45&lt;&gt;"Entry",Z45=""),FALSE,AND((SUMPRODUCT(('Q1 Data'!$D$4:$D$207=D45)*('Q1 Data'!$B$4:$B$207="Challan")*('Q1 Data'!$H$4:$H$207&lt;&gt;""))+SUMPRODUCT(('Q2 Data'!$D$4:$D$207=D45)*('Q2 Data'!$B$4:$B$207="Challan")*('Q2 Data'!$H$4:$H$207&lt;&gt;""))+SUMPRODUCT(('Q3 Data'!$D$4:$D$207=D45)*('Q3 Data'!$B$4:$B$207="Challan")*('Q3 Data'!$H$4:$H$207&lt;&gt;""))+SUMPRODUCT(('Q4 Data'!$D$4:$D$207=D45)*('Q4 Data'!$B$4:$B$207="Challan")*('Q4 Data'!$H$4:$H$207&lt;&gt;"")))&gt;0,(SUMPRODUCT(('Q1 Data'!$D$4:$D$207=D45)*('Q1 Data'!$B$4:$B$207="Challan")*('Q1 Data'!$H$4:$H$207=Z45))+SUMPRODUCT(('Q2 Data'!$D$4:$D$207=D45)*('Q2 Data'!$B$4:$B$207="Challan")*('Q2 Data'!$H$4:$H$207=Z45))+SUMPRODUCT(('Q3 Data'!$D$4:$D$207=D45)*('Q3 Data'!$B$4:$B$207="Challan")*('Q3 Data'!$H$4:$H$207=Z45))+SUMPRODUCT(('Q4 Data'!$D$4:$D$207=D45)*('Q4 Data'!$B$4:$B$207="Challan")*('Q4 Data'!$H$4:$H$207=Z45)))=0))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IF($B46="Challan","",IF(W46&lt;&gt;"","◄ Set Row Type","")))</f>
      </c>
      <c r="Y46" s="23">
        <f>IF($B46="Entry",IF(LEN(W46)&lt;4,"",IF(UPPER(MID(W46,4,1))="P","Individual",IF(UPPER(MID(W46,4,1))="H","HUF",IF(UPPER(MID(W46,4,1))="C","Company",IF(UPPER(MID(W46,4,1))="F","Firm/LLP",IF(UPPER(MID(W46,4,1))="L","Local Authority",IF(UPPER(MID(W46,4,1))="T","Trust",IF(UPPER(MID(W46,4,1))="A","AOP",IF(UPPER(MID(W46,4,1))="B","BOI",IF(UPPER(MID(W46,4,1))="J","AJP",IF(UPPER(MID(W46,4,1))="G","Government",""))))))))))),IF($B46="Challan","",IF(W46&lt;&gt;"","◄ Set Row Type","")))</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IF($B46&lt;&gt;"Challan","",SUMIF('Q1 Data'!$D$4:$D$207,D46,'Q1 Data'!$AD$4:$AD$207)+SUMIF('Q1 Data'!$D$4:$D$207,D46,'Q1 Data'!$AG$4:$AG$207)+SUMIF('Q1 Data'!$D$4:$D$207,D46,'Q1 Data'!$AE$4:$AE$207)+SUMIF('Q2 Data'!$D$4:$D$207,D46,'Q2 Data'!$AD$4:$AD$207)+SUMIF('Q2 Data'!$D$4:$D$207,D46,'Q2 Data'!$AG$4:$AG$207)+SUMIF('Q2 Data'!$D$4:$D$207,D46,'Q2 Data'!$AE$4:$AE$207)+SUMIF('Q3 Data'!$D$4:$D$207,D46,'Q3 Data'!$AD$4:$AD$207)+SUMIF('Q3 Data'!$D$4:$D$207,D46,'Q3 Data'!$AG$4:$AG$207)+SUMIF('Q3 Data'!$D$4:$D$207,D46,'Q3 Data'!$AE$4:$AE$207)+SUMIF('Q4 Data'!$D$4:$D$207,D46,'Q4 Data'!$AD$4:$AD$207)+SUMIF('Q4 Data'!$D$4:$D$207,D46,'Q4 Data'!$AG$4:$AG$207)+SUMIF('Q4 Data'!$D$4:$D$207,D46,'Q4 Data'!$AE$4:$AE$207))</f>
      </c>
      <c r="AO46" s="27">
        <f>IF($B46&lt;&gt;"Challan","",P46-N46)</f>
      </c>
      <c r="AP46" s="27">
        <f>IF($B46&lt;&gt;"Challan","",MAX(0,AO46-AN46))</f>
      </c>
      <c r="AQ46" s="33">
        <f>IF($B46&lt;&gt;"Entry","",SUMPRODUCT(('Q1 Data'!$D$4:$D$207=D46)*('Q1 Data'!$B$4:$B$207="Challan")*'Q1 Data'!$F$4:$F$207)+SUMPRODUCT(('Q2 Data'!$D$4:$D$207=D46)*('Q2 Data'!$B$4:$B$207="Challan")*'Q2 Data'!$F$4:$F$207)+SUMPRODUCT(('Q3 Data'!$D$4:$D$207=D46)*('Q3 Data'!$B$4:$B$207="Challan")*'Q3 Data'!$F$4:$F$207)+SUMPRODUCT(('Q4 Data'!$D$4:$D$207=D46)*('Q4 Data'!$B$4:$B$207="Challan")*'Q4 Data'!$F$4:$F$207))</f>
      </c>
      <c r="AR46" s="34">
        <f>IF(OR($B46&lt;&gt;"Entry",Z46=""),FALSE,AND((SUMPRODUCT(('Q1 Data'!$D$4:$D$207=D46)*('Q1 Data'!$B$4:$B$207="Challan")*('Q1 Data'!$H$4:$H$207&lt;&gt;""))+SUMPRODUCT(('Q2 Data'!$D$4:$D$207=D46)*('Q2 Data'!$B$4:$B$207="Challan")*('Q2 Data'!$H$4:$H$207&lt;&gt;""))+SUMPRODUCT(('Q3 Data'!$D$4:$D$207=D46)*('Q3 Data'!$B$4:$B$207="Challan")*('Q3 Data'!$H$4:$H$207&lt;&gt;""))+SUMPRODUCT(('Q4 Data'!$D$4:$D$207=D46)*('Q4 Data'!$B$4:$B$207="Challan")*('Q4 Data'!$H$4:$H$207&lt;&gt;"")))&gt;0,(SUMPRODUCT(('Q1 Data'!$D$4:$D$207=D46)*('Q1 Data'!$B$4:$B$207="Challan")*('Q1 Data'!$H$4:$H$207=Z46))+SUMPRODUCT(('Q2 Data'!$D$4:$D$207=D46)*('Q2 Data'!$B$4:$B$207="Challan")*('Q2 Data'!$H$4:$H$207=Z46))+SUMPRODUCT(('Q3 Data'!$D$4:$D$207=D46)*('Q3 Data'!$B$4:$B$207="Challan")*('Q3 Data'!$H$4:$H$207=Z46))+SUMPRODUCT(('Q4 Data'!$D$4:$D$207=D46)*('Q4 Data'!$B$4:$B$207="Challan")*('Q4 Data'!$H$4:$H$207=Z46)))=0))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IF($B47="Challan","",IF(W47&lt;&gt;"","◄ Set Row Type","")))</f>
      </c>
      <c r="Y47" s="23">
        <f>IF($B47="Entry",IF(LEN(W47)&lt;4,"",IF(UPPER(MID(W47,4,1))="P","Individual",IF(UPPER(MID(W47,4,1))="H","HUF",IF(UPPER(MID(W47,4,1))="C","Company",IF(UPPER(MID(W47,4,1))="F","Firm/LLP",IF(UPPER(MID(W47,4,1))="L","Local Authority",IF(UPPER(MID(W47,4,1))="T","Trust",IF(UPPER(MID(W47,4,1))="A","AOP",IF(UPPER(MID(W47,4,1))="B","BOI",IF(UPPER(MID(W47,4,1))="J","AJP",IF(UPPER(MID(W47,4,1))="G","Government",""))))))))))),IF($B47="Challan","",IF(W47&lt;&gt;"","◄ Set Row Type","")))</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IF($B47&lt;&gt;"Challan","",SUMIF('Q1 Data'!$D$4:$D$207,D47,'Q1 Data'!$AD$4:$AD$207)+SUMIF('Q1 Data'!$D$4:$D$207,D47,'Q1 Data'!$AG$4:$AG$207)+SUMIF('Q1 Data'!$D$4:$D$207,D47,'Q1 Data'!$AE$4:$AE$207)+SUMIF('Q2 Data'!$D$4:$D$207,D47,'Q2 Data'!$AD$4:$AD$207)+SUMIF('Q2 Data'!$D$4:$D$207,D47,'Q2 Data'!$AG$4:$AG$207)+SUMIF('Q2 Data'!$D$4:$D$207,D47,'Q2 Data'!$AE$4:$AE$207)+SUMIF('Q3 Data'!$D$4:$D$207,D47,'Q3 Data'!$AD$4:$AD$207)+SUMIF('Q3 Data'!$D$4:$D$207,D47,'Q3 Data'!$AG$4:$AG$207)+SUMIF('Q3 Data'!$D$4:$D$207,D47,'Q3 Data'!$AE$4:$AE$207)+SUMIF('Q4 Data'!$D$4:$D$207,D47,'Q4 Data'!$AD$4:$AD$207)+SUMIF('Q4 Data'!$D$4:$D$207,D47,'Q4 Data'!$AG$4:$AG$207)+SUMIF('Q4 Data'!$D$4:$D$207,D47,'Q4 Data'!$AE$4:$AE$207))</f>
      </c>
      <c r="AO47" s="27">
        <f>IF($B47&lt;&gt;"Challan","",P47-N47)</f>
      </c>
      <c r="AP47" s="27">
        <f>IF($B47&lt;&gt;"Challan","",MAX(0,AO47-AN47))</f>
      </c>
      <c r="AQ47" s="33">
        <f>IF($B47&lt;&gt;"Entry","",SUMPRODUCT(('Q1 Data'!$D$4:$D$207=D47)*('Q1 Data'!$B$4:$B$207="Challan")*'Q1 Data'!$F$4:$F$207)+SUMPRODUCT(('Q2 Data'!$D$4:$D$207=D47)*('Q2 Data'!$B$4:$B$207="Challan")*'Q2 Data'!$F$4:$F$207)+SUMPRODUCT(('Q3 Data'!$D$4:$D$207=D47)*('Q3 Data'!$B$4:$B$207="Challan")*'Q3 Data'!$F$4:$F$207)+SUMPRODUCT(('Q4 Data'!$D$4:$D$207=D47)*('Q4 Data'!$B$4:$B$207="Challan")*'Q4 Data'!$F$4:$F$207))</f>
      </c>
      <c r="AR47" s="34">
        <f>IF(OR($B47&lt;&gt;"Entry",Z47=""),FALSE,AND((SUMPRODUCT(('Q1 Data'!$D$4:$D$207=D47)*('Q1 Data'!$B$4:$B$207="Challan")*('Q1 Data'!$H$4:$H$207&lt;&gt;""))+SUMPRODUCT(('Q2 Data'!$D$4:$D$207=D47)*('Q2 Data'!$B$4:$B$207="Challan")*('Q2 Data'!$H$4:$H$207&lt;&gt;""))+SUMPRODUCT(('Q3 Data'!$D$4:$D$207=D47)*('Q3 Data'!$B$4:$B$207="Challan")*('Q3 Data'!$H$4:$H$207&lt;&gt;""))+SUMPRODUCT(('Q4 Data'!$D$4:$D$207=D47)*('Q4 Data'!$B$4:$B$207="Challan")*('Q4 Data'!$H$4:$H$207&lt;&gt;"")))&gt;0,(SUMPRODUCT(('Q1 Data'!$D$4:$D$207=D47)*('Q1 Data'!$B$4:$B$207="Challan")*('Q1 Data'!$H$4:$H$207=Z47))+SUMPRODUCT(('Q2 Data'!$D$4:$D$207=D47)*('Q2 Data'!$B$4:$B$207="Challan")*('Q2 Data'!$H$4:$H$207=Z47))+SUMPRODUCT(('Q3 Data'!$D$4:$D$207=D47)*('Q3 Data'!$B$4:$B$207="Challan")*('Q3 Data'!$H$4:$H$207=Z47))+SUMPRODUCT(('Q4 Data'!$D$4:$D$207=D47)*('Q4 Data'!$B$4:$B$207="Challan")*('Q4 Data'!$H$4:$H$207=Z47)))=0))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IF($B48="Challan","",IF(W48&lt;&gt;"","◄ Set Row Type","")))</f>
      </c>
      <c r="Y48" s="23">
        <f>IF($B48="Entry",IF(LEN(W48)&lt;4,"",IF(UPPER(MID(W48,4,1))="P","Individual",IF(UPPER(MID(W48,4,1))="H","HUF",IF(UPPER(MID(W48,4,1))="C","Company",IF(UPPER(MID(W48,4,1))="F","Firm/LLP",IF(UPPER(MID(W48,4,1))="L","Local Authority",IF(UPPER(MID(W48,4,1))="T","Trust",IF(UPPER(MID(W48,4,1))="A","AOP",IF(UPPER(MID(W48,4,1))="B","BOI",IF(UPPER(MID(W48,4,1))="J","AJP",IF(UPPER(MID(W48,4,1))="G","Government",""))))))))))),IF($B48="Challan","",IF(W48&lt;&gt;"","◄ Set Row Type","")))</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IF($B48&lt;&gt;"Challan","",SUMIF('Q1 Data'!$D$4:$D$207,D48,'Q1 Data'!$AD$4:$AD$207)+SUMIF('Q1 Data'!$D$4:$D$207,D48,'Q1 Data'!$AG$4:$AG$207)+SUMIF('Q1 Data'!$D$4:$D$207,D48,'Q1 Data'!$AE$4:$AE$207)+SUMIF('Q2 Data'!$D$4:$D$207,D48,'Q2 Data'!$AD$4:$AD$207)+SUMIF('Q2 Data'!$D$4:$D$207,D48,'Q2 Data'!$AG$4:$AG$207)+SUMIF('Q2 Data'!$D$4:$D$207,D48,'Q2 Data'!$AE$4:$AE$207)+SUMIF('Q3 Data'!$D$4:$D$207,D48,'Q3 Data'!$AD$4:$AD$207)+SUMIF('Q3 Data'!$D$4:$D$207,D48,'Q3 Data'!$AG$4:$AG$207)+SUMIF('Q3 Data'!$D$4:$D$207,D48,'Q3 Data'!$AE$4:$AE$207)+SUMIF('Q4 Data'!$D$4:$D$207,D48,'Q4 Data'!$AD$4:$AD$207)+SUMIF('Q4 Data'!$D$4:$D$207,D48,'Q4 Data'!$AG$4:$AG$207)+SUMIF('Q4 Data'!$D$4:$D$207,D48,'Q4 Data'!$AE$4:$AE$207))</f>
      </c>
      <c r="AO48" s="27">
        <f>IF($B48&lt;&gt;"Challan","",P48-N48)</f>
      </c>
      <c r="AP48" s="27">
        <f>IF($B48&lt;&gt;"Challan","",MAX(0,AO48-AN48))</f>
      </c>
      <c r="AQ48" s="33">
        <f>IF($B48&lt;&gt;"Entry","",SUMPRODUCT(('Q1 Data'!$D$4:$D$207=D48)*('Q1 Data'!$B$4:$B$207="Challan")*'Q1 Data'!$F$4:$F$207)+SUMPRODUCT(('Q2 Data'!$D$4:$D$207=D48)*('Q2 Data'!$B$4:$B$207="Challan")*'Q2 Data'!$F$4:$F$207)+SUMPRODUCT(('Q3 Data'!$D$4:$D$207=D48)*('Q3 Data'!$B$4:$B$207="Challan")*'Q3 Data'!$F$4:$F$207)+SUMPRODUCT(('Q4 Data'!$D$4:$D$207=D48)*('Q4 Data'!$B$4:$B$207="Challan")*'Q4 Data'!$F$4:$F$207))</f>
      </c>
      <c r="AR48" s="34">
        <f>IF(OR($B48&lt;&gt;"Entry",Z48=""),FALSE,AND((SUMPRODUCT(('Q1 Data'!$D$4:$D$207=D48)*('Q1 Data'!$B$4:$B$207="Challan")*('Q1 Data'!$H$4:$H$207&lt;&gt;""))+SUMPRODUCT(('Q2 Data'!$D$4:$D$207=D48)*('Q2 Data'!$B$4:$B$207="Challan")*('Q2 Data'!$H$4:$H$207&lt;&gt;""))+SUMPRODUCT(('Q3 Data'!$D$4:$D$207=D48)*('Q3 Data'!$B$4:$B$207="Challan")*('Q3 Data'!$H$4:$H$207&lt;&gt;""))+SUMPRODUCT(('Q4 Data'!$D$4:$D$207=D48)*('Q4 Data'!$B$4:$B$207="Challan")*('Q4 Data'!$H$4:$H$207&lt;&gt;"")))&gt;0,(SUMPRODUCT(('Q1 Data'!$D$4:$D$207=D48)*('Q1 Data'!$B$4:$B$207="Challan")*('Q1 Data'!$H$4:$H$207=Z48))+SUMPRODUCT(('Q2 Data'!$D$4:$D$207=D48)*('Q2 Data'!$B$4:$B$207="Challan")*('Q2 Data'!$H$4:$H$207=Z48))+SUMPRODUCT(('Q3 Data'!$D$4:$D$207=D48)*('Q3 Data'!$B$4:$B$207="Challan")*('Q3 Data'!$H$4:$H$207=Z48))+SUMPRODUCT(('Q4 Data'!$D$4:$D$207=D48)*('Q4 Data'!$B$4:$B$207="Challan")*('Q4 Data'!$H$4:$H$207=Z48)))=0))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IF($B49="Challan","",IF(W49&lt;&gt;"","◄ Set Row Type","")))</f>
      </c>
      <c r="Y49" s="23">
        <f>IF($B49="Entry",IF(LEN(W49)&lt;4,"",IF(UPPER(MID(W49,4,1))="P","Individual",IF(UPPER(MID(W49,4,1))="H","HUF",IF(UPPER(MID(W49,4,1))="C","Company",IF(UPPER(MID(W49,4,1))="F","Firm/LLP",IF(UPPER(MID(W49,4,1))="L","Local Authority",IF(UPPER(MID(W49,4,1))="T","Trust",IF(UPPER(MID(W49,4,1))="A","AOP",IF(UPPER(MID(W49,4,1))="B","BOI",IF(UPPER(MID(W49,4,1))="J","AJP",IF(UPPER(MID(W49,4,1))="G","Government",""))))))))))),IF($B49="Challan","",IF(W49&lt;&gt;"","◄ Set Row Type","")))</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IF($B49&lt;&gt;"Challan","",SUMIF('Q1 Data'!$D$4:$D$207,D49,'Q1 Data'!$AD$4:$AD$207)+SUMIF('Q1 Data'!$D$4:$D$207,D49,'Q1 Data'!$AG$4:$AG$207)+SUMIF('Q1 Data'!$D$4:$D$207,D49,'Q1 Data'!$AE$4:$AE$207)+SUMIF('Q2 Data'!$D$4:$D$207,D49,'Q2 Data'!$AD$4:$AD$207)+SUMIF('Q2 Data'!$D$4:$D$207,D49,'Q2 Data'!$AG$4:$AG$207)+SUMIF('Q2 Data'!$D$4:$D$207,D49,'Q2 Data'!$AE$4:$AE$207)+SUMIF('Q3 Data'!$D$4:$D$207,D49,'Q3 Data'!$AD$4:$AD$207)+SUMIF('Q3 Data'!$D$4:$D$207,D49,'Q3 Data'!$AG$4:$AG$207)+SUMIF('Q3 Data'!$D$4:$D$207,D49,'Q3 Data'!$AE$4:$AE$207)+SUMIF('Q4 Data'!$D$4:$D$207,D49,'Q4 Data'!$AD$4:$AD$207)+SUMIF('Q4 Data'!$D$4:$D$207,D49,'Q4 Data'!$AG$4:$AG$207)+SUMIF('Q4 Data'!$D$4:$D$207,D49,'Q4 Data'!$AE$4:$AE$207))</f>
      </c>
      <c r="AO49" s="27">
        <f>IF($B49&lt;&gt;"Challan","",P49-N49)</f>
      </c>
      <c r="AP49" s="27">
        <f>IF($B49&lt;&gt;"Challan","",MAX(0,AO49-AN49))</f>
      </c>
      <c r="AQ49" s="33">
        <f>IF($B49&lt;&gt;"Entry","",SUMPRODUCT(('Q1 Data'!$D$4:$D$207=D49)*('Q1 Data'!$B$4:$B$207="Challan")*'Q1 Data'!$F$4:$F$207)+SUMPRODUCT(('Q2 Data'!$D$4:$D$207=D49)*('Q2 Data'!$B$4:$B$207="Challan")*'Q2 Data'!$F$4:$F$207)+SUMPRODUCT(('Q3 Data'!$D$4:$D$207=D49)*('Q3 Data'!$B$4:$B$207="Challan")*'Q3 Data'!$F$4:$F$207)+SUMPRODUCT(('Q4 Data'!$D$4:$D$207=D49)*('Q4 Data'!$B$4:$B$207="Challan")*'Q4 Data'!$F$4:$F$207))</f>
      </c>
      <c r="AR49" s="34">
        <f>IF(OR($B49&lt;&gt;"Entry",Z49=""),FALSE,AND((SUMPRODUCT(('Q1 Data'!$D$4:$D$207=D49)*('Q1 Data'!$B$4:$B$207="Challan")*('Q1 Data'!$H$4:$H$207&lt;&gt;""))+SUMPRODUCT(('Q2 Data'!$D$4:$D$207=D49)*('Q2 Data'!$B$4:$B$207="Challan")*('Q2 Data'!$H$4:$H$207&lt;&gt;""))+SUMPRODUCT(('Q3 Data'!$D$4:$D$207=D49)*('Q3 Data'!$B$4:$B$207="Challan")*('Q3 Data'!$H$4:$H$207&lt;&gt;""))+SUMPRODUCT(('Q4 Data'!$D$4:$D$207=D49)*('Q4 Data'!$B$4:$B$207="Challan")*('Q4 Data'!$H$4:$H$207&lt;&gt;"")))&gt;0,(SUMPRODUCT(('Q1 Data'!$D$4:$D$207=D49)*('Q1 Data'!$B$4:$B$207="Challan")*('Q1 Data'!$H$4:$H$207=Z49))+SUMPRODUCT(('Q2 Data'!$D$4:$D$207=D49)*('Q2 Data'!$B$4:$B$207="Challan")*('Q2 Data'!$H$4:$H$207=Z49))+SUMPRODUCT(('Q3 Data'!$D$4:$D$207=D49)*('Q3 Data'!$B$4:$B$207="Challan")*('Q3 Data'!$H$4:$H$207=Z49))+SUMPRODUCT(('Q4 Data'!$D$4:$D$207=D49)*('Q4 Data'!$B$4:$B$207="Challan")*('Q4 Data'!$H$4:$H$207=Z49)))=0))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IF($B50="Challan","",IF(W50&lt;&gt;"","◄ Set Row Type","")))</f>
      </c>
      <c r="Y50" s="23">
        <f>IF($B50="Entry",IF(LEN(W50)&lt;4,"",IF(UPPER(MID(W50,4,1))="P","Individual",IF(UPPER(MID(W50,4,1))="H","HUF",IF(UPPER(MID(W50,4,1))="C","Company",IF(UPPER(MID(W50,4,1))="F","Firm/LLP",IF(UPPER(MID(W50,4,1))="L","Local Authority",IF(UPPER(MID(W50,4,1))="T","Trust",IF(UPPER(MID(W50,4,1))="A","AOP",IF(UPPER(MID(W50,4,1))="B","BOI",IF(UPPER(MID(W50,4,1))="J","AJP",IF(UPPER(MID(W50,4,1))="G","Government",""))))))))))),IF($B50="Challan","",IF(W50&lt;&gt;"","◄ Set Row Type","")))</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IF($B50&lt;&gt;"Challan","",SUMIF('Q1 Data'!$D$4:$D$207,D50,'Q1 Data'!$AD$4:$AD$207)+SUMIF('Q1 Data'!$D$4:$D$207,D50,'Q1 Data'!$AG$4:$AG$207)+SUMIF('Q1 Data'!$D$4:$D$207,D50,'Q1 Data'!$AE$4:$AE$207)+SUMIF('Q2 Data'!$D$4:$D$207,D50,'Q2 Data'!$AD$4:$AD$207)+SUMIF('Q2 Data'!$D$4:$D$207,D50,'Q2 Data'!$AG$4:$AG$207)+SUMIF('Q2 Data'!$D$4:$D$207,D50,'Q2 Data'!$AE$4:$AE$207)+SUMIF('Q3 Data'!$D$4:$D$207,D50,'Q3 Data'!$AD$4:$AD$207)+SUMIF('Q3 Data'!$D$4:$D$207,D50,'Q3 Data'!$AG$4:$AG$207)+SUMIF('Q3 Data'!$D$4:$D$207,D50,'Q3 Data'!$AE$4:$AE$207)+SUMIF('Q4 Data'!$D$4:$D$207,D50,'Q4 Data'!$AD$4:$AD$207)+SUMIF('Q4 Data'!$D$4:$D$207,D50,'Q4 Data'!$AG$4:$AG$207)+SUMIF('Q4 Data'!$D$4:$D$207,D50,'Q4 Data'!$AE$4:$AE$207))</f>
      </c>
      <c r="AO50" s="27">
        <f>IF($B50&lt;&gt;"Challan","",P50-N50)</f>
      </c>
      <c r="AP50" s="27">
        <f>IF($B50&lt;&gt;"Challan","",MAX(0,AO50-AN50))</f>
      </c>
      <c r="AQ50" s="33">
        <f>IF($B50&lt;&gt;"Entry","",SUMPRODUCT(('Q1 Data'!$D$4:$D$207=D50)*('Q1 Data'!$B$4:$B$207="Challan")*'Q1 Data'!$F$4:$F$207)+SUMPRODUCT(('Q2 Data'!$D$4:$D$207=D50)*('Q2 Data'!$B$4:$B$207="Challan")*'Q2 Data'!$F$4:$F$207)+SUMPRODUCT(('Q3 Data'!$D$4:$D$207=D50)*('Q3 Data'!$B$4:$B$207="Challan")*'Q3 Data'!$F$4:$F$207)+SUMPRODUCT(('Q4 Data'!$D$4:$D$207=D50)*('Q4 Data'!$B$4:$B$207="Challan")*'Q4 Data'!$F$4:$F$207))</f>
      </c>
      <c r="AR50" s="34">
        <f>IF(OR($B50&lt;&gt;"Entry",Z50=""),FALSE,AND((SUMPRODUCT(('Q1 Data'!$D$4:$D$207=D50)*('Q1 Data'!$B$4:$B$207="Challan")*('Q1 Data'!$H$4:$H$207&lt;&gt;""))+SUMPRODUCT(('Q2 Data'!$D$4:$D$207=D50)*('Q2 Data'!$B$4:$B$207="Challan")*('Q2 Data'!$H$4:$H$207&lt;&gt;""))+SUMPRODUCT(('Q3 Data'!$D$4:$D$207=D50)*('Q3 Data'!$B$4:$B$207="Challan")*('Q3 Data'!$H$4:$H$207&lt;&gt;""))+SUMPRODUCT(('Q4 Data'!$D$4:$D$207=D50)*('Q4 Data'!$B$4:$B$207="Challan")*('Q4 Data'!$H$4:$H$207&lt;&gt;"")))&gt;0,(SUMPRODUCT(('Q1 Data'!$D$4:$D$207=D50)*('Q1 Data'!$B$4:$B$207="Challan")*('Q1 Data'!$H$4:$H$207=Z50))+SUMPRODUCT(('Q2 Data'!$D$4:$D$207=D50)*('Q2 Data'!$B$4:$B$207="Challan")*('Q2 Data'!$H$4:$H$207=Z50))+SUMPRODUCT(('Q3 Data'!$D$4:$D$207=D50)*('Q3 Data'!$B$4:$B$207="Challan")*('Q3 Data'!$H$4:$H$207=Z50))+SUMPRODUCT(('Q4 Data'!$D$4:$D$207=D50)*('Q4 Data'!$B$4:$B$207="Challan")*('Q4 Data'!$H$4:$H$207=Z50)))=0))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IF($B51="Challan","",IF(W51&lt;&gt;"","◄ Set Row Type","")))</f>
      </c>
      <c r="Y51" s="23">
        <f>IF($B51="Entry",IF(LEN(W51)&lt;4,"",IF(UPPER(MID(W51,4,1))="P","Individual",IF(UPPER(MID(W51,4,1))="H","HUF",IF(UPPER(MID(W51,4,1))="C","Company",IF(UPPER(MID(W51,4,1))="F","Firm/LLP",IF(UPPER(MID(W51,4,1))="L","Local Authority",IF(UPPER(MID(W51,4,1))="T","Trust",IF(UPPER(MID(W51,4,1))="A","AOP",IF(UPPER(MID(W51,4,1))="B","BOI",IF(UPPER(MID(W51,4,1))="J","AJP",IF(UPPER(MID(W51,4,1))="G","Government",""))))))))))),IF($B51="Challan","",IF(W51&lt;&gt;"","◄ Set Row Type","")))</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IF($B51&lt;&gt;"Challan","",SUMIF('Q1 Data'!$D$4:$D$207,D51,'Q1 Data'!$AD$4:$AD$207)+SUMIF('Q1 Data'!$D$4:$D$207,D51,'Q1 Data'!$AG$4:$AG$207)+SUMIF('Q1 Data'!$D$4:$D$207,D51,'Q1 Data'!$AE$4:$AE$207)+SUMIF('Q2 Data'!$D$4:$D$207,D51,'Q2 Data'!$AD$4:$AD$207)+SUMIF('Q2 Data'!$D$4:$D$207,D51,'Q2 Data'!$AG$4:$AG$207)+SUMIF('Q2 Data'!$D$4:$D$207,D51,'Q2 Data'!$AE$4:$AE$207)+SUMIF('Q3 Data'!$D$4:$D$207,D51,'Q3 Data'!$AD$4:$AD$207)+SUMIF('Q3 Data'!$D$4:$D$207,D51,'Q3 Data'!$AG$4:$AG$207)+SUMIF('Q3 Data'!$D$4:$D$207,D51,'Q3 Data'!$AE$4:$AE$207)+SUMIF('Q4 Data'!$D$4:$D$207,D51,'Q4 Data'!$AD$4:$AD$207)+SUMIF('Q4 Data'!$D$4:$D$207,D51,'Q4 Data'!$AG$4:$AG$207)+SUMIF('Q4 Data'!$D$4:$D$207,D51,'Q4 Data'!$AE$4:$AE$207))</f>
      </c>
      <c r="AO51" s="27">
        <f>IF($B51&lt;&gt;"Challan","",P51-N51)</f>
      </c>
      <c r="AP51" s="27">
        <f>IF($B51&lt;&gt;"Challan","",MAX(0,AO51-AN51))</f>
      </c>
      <c r="AQ51" s="33">
        <f>IF($B51&lt;&gt;"Entry","",SUMPRODUCT(('Q1 Data'!$D$4:$D$207=D51)*('Q1 Data'!$B$4:$B$207="Challan")*'Q1 Data'!$F$4:$F$207)+SUMPRODUCT(('Q2 Data'!$D$4:$D$207=D51)*('Q2 Data'!$B$4:$B$207="Challan")*'Q2 Data'!$F$4:$F$207)+SUMPRODUCT(('Q3 Data'!$D$4:$D$207=D51)*('Q3 Data'!$B$4:$B$207="Challan")*'Q3 Data'!$F$4:$F$207)+SUMPRODUCT(('Q4 Data'!$D$4:$D$207=D51)*('Q4 Data'!$B$4:$B$207="Challan")*'Q4 Data'!$F$4:$F$207))</f>
      </c>
      <c r="AR51" s="34">
        <f>IF(OR($B51&lt;&gt;"Entry",Z51=""),FALSE,AND((SUMPRODUCT(('Q1 Data'!$D$4:$D$207=D51)*('Q1 Data'!$B$4:$B$207="Challan")*('Q1 Data'!$H$4:$H$207&lt;&gt;""))+SUMPRODUCT(('Q2 Data'!$D$4:$D$207=D51)*('Q2 Data'!$B$4:$B$207="Challan")*('Q2 Data'!$H$4:$H$207&lt;&gt;""))+SUMPRODUCT(('Q3 Data'!$D$4:$D$207=D51)*('Q3 Data'!$B$4:$B$207="Challan")*('Q3 Data'!$H$4:$H$207&lt;&gt;""))+SUMPRODUCT(('Q4 Data'!$D$4:$D$207=D51)*('Q4 Data'!$B$4:$B$207="Challan")*('Q4 Data'!$H$4:$H$207&lt;&gt;"")))&gt;0,(SUMPRODUCT(('Q1 Data'!$D$4:$D$207=D51)*('Q1 Data'!$B$4:$B$207="Challan")*('Q1 Data'!$H$4:$H$207=Z51))+SUMPRODUCT(('Q2 Data'!$D$4:$D$207=D51)*('Q2 Data'!$B$4:$B$207="Challan")*('Q2 Data'!$H$4:$H$207=Z51))+SUMPRODUCT(('Q3 Data'!$D$4:$D$207=D51)*('Q3 Data'!$B$4:$B$207="Challan")*('Q3 Data'!$H$4:$H$207=Z51))+SUMPRODUCT(('Q4 Data'!$D$4:$D$207=D51)*('Q4 Data'!$B$4:$B$207="Challan")*('Q4 Data'!$H$4:$H$207=Z51)))=0))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IF($B52="Challan","",IF(W52&lt;&gt;"","◄ Set Row Type","")))</f>
      </c>
      <c r="Y52" s="23">
        <f>IF($B52="Entry",IF(LEN(W52)&lt;4,"",IF(UPPER(MID(W52,4,1))="P","Individual",IF(UPPER(MID(W52,4,1))="H","HUF",IF(UPPER(MID(W52,4,1))="C","Company",IF(UPPER(MID(W52,4,1))="F","Firm/LLP",IF(UPPER(MID(W52,4,1))="L","Local Authority",IF(UPPER(MID(W52,4,1))="T","Trust",IF(UPPER(MID(W52,4,1))="A","AOP",IF(UPPER(MID(W52,4,1))="B","BOI",IF(UPPER(MID(W52,4,1))="J","AJP",IF(UPPER(MID(W52,4,1))="G","Government",""))))))))))),IF($B52="Challan","",IF(W52&lt;&gt;"","◄ Set Row Type","")))</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IF($B52&lt;&gt;"Challan","",SUMIF('Q1 Data'!$D$4:$D$207,D52,'Q1 Data'!$AD$4:$AD$207)+SUMIF('Q1 Data'!$D$4:$D$207,D52,'Q1 Data'!$AG$4:$AG$207)+SUMIF('Q1 Data'!$D$4:$D$207,D52,'Q1 Data'!$AE$4:$AE$207)+SUMIF('Q2 Data'!$D$4:$D$207,D52,'Q2 Data'!$AD$4:$AD$207)+SUMIF('Q2 Data'!$D$4:$D$207,D52,'Q2 Data'!$AG$4:$AG$207)+SUMIF('Q2 Data'!$D$4:$D$207,D52,'Q2 Data'!$AE$4:$AE$207)+SUMIF('Q3 Data'!$D$4:$D$207,D52,'Q3 Data'!$AD$4:$AD$207)+SUMIF('Q3 Data'!$D$4:$D$207,D52,'Q3 Data'!$AG$4:$AG$207)+SUMIF('Q3 Data'!$D$4:$D$207,D52,'Q3 Data'!$AE$4:$AE$207)+SUMIF('Q4 Data'!$D$4:$D$207,D52,'Q4 Data'!$AD$4:$AD$207)+SUMIF('Q4 Data'!$D$4:$D$207,D52,'Q4 Data'!$AG$4:$AG$207)+SUMIF('Q4 Data'!$D$4:$D$207,D52,'Q4 Data'!$AE$4:$AE$207))</f>
      </c>
      <c r="AO52" s="27">
        <f>IF($B52&lt;&gt;"Challan","",P52-N52)</f>
      </c>
      <c r="AP52" s="27">
        <f>IF($B52&lt;&gt;"Challan","",MAX(0,AO52-AN52))</f>
      </c>
      <c r="AQ52" s="33">
        <f>IF($B52&lt;&gt;"Entry","",SUMPRODUCT(('Q1 Data'!$D$4:$D$207=D52)*('Q1 Data'!$B$4:$B$207="Challan")*'Q1 Data'!$F$4:$F$207)+SUMPRODUCT(('Q2 Data'!$D$4:$D$207=D52)*('Q2 Data'!$B$4:$B$207="Challan")*'Q2 Data'!$F$4:$F$207)+SUMPRODUCT(('Q3 Data'!$D$4:$D$207=D52)*('Q3 Data'!$B$4:$B$207="Challan")*'Q3 Data'!$F$4:$F$207)+SUMPRODUCT(('Q4 Data'!$D$4:$D$207=D52)*('Q4 Data'!$B$4:$B$207="Challan")*'Q4 Data'!$F$4:$F$207))</f>
      </c>
      <c r="AR52" s="34">
        <f>IF(OR($B52&lt;&gt;"Entry",Z52=""),FALSE,AND((SUMPRODUCT(('Q1 Data'!$D$4:$D$207=D52)*('Q1 Data'!$B$4:$B$207="Challan")*('Q1 Data'!$H$4:$H$207&lt;&gt;""))+SUMPRODUCT(('Q2 Data'!$D$4:$D$207=D52)*('Q2 Data'!$B$4:$B$207="Challan")*('Q2 Data'!$H$4:$H$207&lt;&gt;""))+SUMPRODUCT(('Q3 Data'!$D$4:$D$207=D52)*('Q3 Data'!$B$4:$B$207="Challan")*('Q3 Data'!$H$4:$H$207&lt;&gt;""))+SUMPRODUCT(('Q4 Data'!$D$4:$D$207=D52)*('Q4 Data'!$B$4:$B$207="Challan")*('Q4 Data'!$H$4:$H$207&lt;&gt;"")))&gt;0,(SUMPRODUCT(('Q1 Data'!$D$4:$D$207=D52)*('Q1 Data'!$B$4:$B$207="Challan")*('Q1 Data'!$H$4:$H$207=Z52))+SUMPRODUCT(('Q2 Data'!$D$4:$D$207=D52)*('Q2 Data'!$B$4:$B$207="Challan")*('Q2 Data'!$H$4:$H$207=Z52))+SUMPRODUCT(('Q3 Data'!$D$4:$D$207=D52)*('Q3 Data'!$B$4:$B$207="Challan")*('Q3 Data'!$H$4:$H$207=Z52))+SUMPRODUCT(('Q4 Data'!$D$4:$D$207=D52)*('Q4 Data'!$B$4:$B$207="Challan")*('Q4 Data'!$H$4:$H$207=Z52)))=0))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IF($B53="Challan","",IF(W53&lt;&gt;"","◄ Set Row Type","")))</f>
      </c>
      <c r="Y53" s="23">
        <f>IF($B53="Entry",IF(LEN(W53)&lt;4,"",IF(UPPER(MID(W53,4,1))="P","Individual",IF(UPPER(MID(W53,4,1))="H","HUF",IF(UPPER(MID(W53,4,1))="C","Company",IF(UPPER(MID(W53,4,1))="F","Firm/LLP",IF(UPPER(MID(W53,4,1))="L","Local Authority",IF(UPPER(MID(W53,4,1))="T","Trust",IF(UPPER(MID(W53,4,1))="A","AOP",IF(UPPER(MID(W53,4,1))="B","BOI",IF(UPPER(MID(W53,4,1))="J","AJP",IF(UPPER(MID(W53,4,1))="G","Government",""))))))))))),IF($B53="Challan","",IF(W53&lt;&gt;"","◄ Set Row Type","")))</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IF($B53&lt;&gt;"Challan","",SUMIF('Q1 Data'!$D$4:$D$207,D53,'Q1 Data'!$AD$4:$AD$207)+SUMIF('Q1 Data'!$D$4:$D$207,D53,'Q1 Data'!$AG$4:$AG$207)+SUMIF('Q1 Data'!$D$4:$D$207,D53,'Q1 Data'!$AE$4:$AE$207)+SUMIF('Q2 Data'!$D$4:$D$207,D53,'Q2 Data'!$AD$4:$AD$207)+SUMIF('Q2 Data'!$D$4:$D$207,D53,'Q2 Data'!$AG$4:$AG$207)+SUMIF('Q2 Data'!$D$4:$D$207,D53,'Q2 Data'!$AE$4:$AE$207)+SUMIF('Q3 Data'!$D$4:$D$207,D53,'Q3 Data'!$AD$4:$AD$207)+SUMIF('Q3 Data'!$D$4:$D$207,D53,'Q3 Data'!$AG$4:$AG$207)+SUMIF('Q3 Data'!$D$4:$D$207,D53,'Q3 Data'!$AE$4:$AE$207)+SUMIF('Q4 Data'!$D$4:$D$207,D53,'Q4 Data'!$AD$4:$AD$207)+SUMIF('Q4 Data'!$D$4:$D$207,D53,'Q4 Data'!$AG$4:$AG$207)+SUMIF('Q4 Data'!$D$4:$D$207,D53,'Q4 Data'!$AE$4:$AE$207))</f>
      </c>
      <c r="AO53" s="27">
        <f>IF($B53&lt;&gt;"Challan","",P53-N53)</f>
      </c>
      <c r="AP53" s="27">
        <f>IF($B53&lt;&gt;"Challan","",MAX(0,AO53-AN53))</f>
      </c>
      <c r="AQ53" s="33">
        <f>IF($B53&lt;&gt;"Entry","",SUMPRODUCT(('Q1 Data'!$D$4:$D$207=D53)*('Q1 Data'!$B$4:$B$207="Challan")*'Q1 Data'!$F$4:$F$207)+SUMPRODUCT(('Q2 Data'!$D$4:$D$207=D53)*('Q2 Data'!$B$4:$B$207="Challan")*'Q2 Data'!$F$4:$F$207)+SUMPRODUCT(('Q3 Data'!$D$4:$D$207=D53)*('Q3 Data'!$B$4:$B$207="Challan")*'Q3 Data'!$F$4:$F$207)+SUMPRODUCT(('Q4 Data'!$D$4:$D$207=D53)*('Q4 Data'!$B$4:$B$207="Challan")*'Q4 Data'!$F$4:$F$207))</f>
      </c>
      <c r="AR53" s="34">
        <f>IF(OR($B53&lt;&gt;"Entry",Z53=""),FALSE,AND((SUMPRODUCT(('Q1 Data'!$D$4:$D$207=D53)*('Q1 Data'!$B$4:$B$207="Challan")*('Q1 Data'!$H$4:$H$207&lt;&gt;""))+SUMPRODUCT(('Q2 Data'!$D$4:$D$207=D53)*('Q2 Data'!$B$4:$B$207="Challan")*('Q2 Data'!$H$4:$H$207&lt;&gt;""))+SUMPRODUCT(('Q3 Data'!$D$4:$D$207=D53)*('Q3 Data'!$B$4:$B$207="Challan")*('Q3 Data'!$H$4:$H$207&lt;&gt;""))+SUMPRODUCT(('Q4 Data'!$D$4:$D$207=D53)*('Q4 Data'!$B$4:$B$207="Challan")*('Q4 Data'!$H$4:$H$207&lt;&gt;"")))&gt;0,(SUMPRODUCT(('Q1 Data'!$D$4:$D$207=D53)*('Q1 Data'!$B$4:$B$207="Challan")*('Q1 Data'!$H$4:$H$207=Z53))+SUMPRODUCT(('Q2 Data'!$D$4:$D$207=D53)*('Q2 Data'!$B$4:$B$207="Challan")*('Q2 Data'!$H$4:$H$207=Z53))+SUMPRODUCT(('Q3 Data'!$D$4:$D$207=D53)*('Q3 Data'!$B$4:$B$207="Challan")*('Q3 Data'!$H$4:$H$207=Z53))+SUMPRODUCT(('Q4 Data'!$D$4:$D$207=D53)*('Q4 Data'!$B$4:$B$207="Challan")*('Q4 Data'!$H$4:$H$207=Z53)))=0))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IF($B54="Challan","",IF(W54&lt;&gt;"","◄ Set Row Type","")))</f>
      </c>
      <c r="Y54" s="23">
        <f>IF($B54="Entry",IF(LEN(W54)&lt;4,"",IF(UPPER(MID(W54,4,1))="P","Individual",IF(UPPER(MID(W54,4,1))="H","HUF",IF(UPPER(MID(W54,4,1))="C","Company",IF(UPPER(MID(W54,4,1))="F","Firm/LLP",IF(UPPER(MID(W54,4,1))="L","Local Authority",IF(UPPER(MID(W54,4,1))="T","Trust",IF(UPPER(MID(W54,4,1))="A","AOP",IF(UPPER(MID(W54,4,1))="B","BOI",IF(UPPER(MID(W54,4,1))="J","AJP",IF(UPPER(MID(W54,4,1))="G","Government",""))))))))))),IF($B54="Challan","",IF(W54&lt;&gt;"","◄ Set Row Type","")))</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IF($B54&lt;&gt;"Challan","",SUMIF('Q1 Data'!$D$4:$D$207,D54,'Q1 Data'!$AD$4:$AD$207)+SUMIF('Q1 Data'!$D$4:$D$207,D54,'Q1 Data'!$AG$4:$AG$207)+SUMIF('Q1 Data'!$D$4:$D$207,D54,'Q1 Data'!$AE$4:$AE$207)+SUMIF('Q2 Data'!$D$4:$D$207,D54,'Q2 Data'!$AD$4:$AD$207)+SUMIF('Q2 Data'!$D$4:$D$207,D54,'Q2 Data'!$AG$4:$AG$207)+SUMIF('Q2 Data'!$D$4:$D$207,D54,'Q2 Data'!$AE$4:$AE$207)+SUMIF('Q3 Data'!$D$4:$D$207,D54,'Q3 Data'!$AD$4:$AD$207)+SUMIF('Q3 Data'!$D$4:$D$207,D54,'Q3 Data'!$AG$4:$AG$207)+SUMIF('Q3 Data'!$D$4:$D$207,D54,'Q3 Data'!$AE$4:$AE$207)+SUMIF('Q4 Data'!$D$4:$D$207,D54,'Q4 Data'!$AD$4:$AD$207)+SUMIF('Q4 Data'!$D$4:$D$207,D54,'Q4 Data'!$AG$4:$AG$207)+SUMIF('Q4 Data'!$D$4:$D$207,D54,'Q4 Data'!$AE$4:$AE$207))</f>
      </c>
      <c r="AO54" s="27">
        <f>IF($B54&lt;&gt;"Challan","",P54-N54)</f>
      </c>
      <c r="AP54" s="27">
        <f>IF($B54&lt;&gt;"Challan","",MAX(0,AO54-AN54))</f>
      </c>
      <c r="AQ54" s="33">
        <f>IF($B54&lt;&gt;"Entry","",SUMPRODUCT(('Q1 Data'!$D$4:$D$207=D54)*('Q1 Data'!$B$4:$B$207="Challan")*'Q1 Data'!$F$4:$F$207)+SUMPRODUCT(('Q2 Data'!$D$4:$D$207=D54)*('Q2 Data'!$B$4:$B$207="Challan")*'Q2 Data'!$F$4:$F$207)+SUMPRODUCT(('Q3 Data'!$D$4:$D$207=D54)*('Q3 Data'!$B$4:$B$207="Challan")*'Q3 Data'!$F$4:$F$207)+SUMPRODUCT(('Q4 Data'!$D$4:$D$207=D54)*('Q4 Data'!$B$4:$B$207="Challan")*'Q4 Data'!$F$4:$F$207))</f>
      </c>
      <c r="AR54" s="34">
        <f>IF(OR($B54&lt;&gt;"Entry",Z54=""),FALSE,AND((SUMPRODUCT(('Q1 Data'!$D$4:$D$207=D54)*('Q1 Data'!$B$4:$B$207="Challan")*('Q1 Data'!$H$4:$H$207&lt;&gt;""))+SUMPRODUCT(('Q2 Data'!$D$4:$D$207=D54)*('Q2 Data'!$B$4:$B$207="Challan")*('Q2 Data'!$H$4:$H$207&lt;&gt;""))+SUMPRODUCT(('Q3 Data'!$D$4:$D$207=D54)*('Q3 Data'!$B$4:$B$207="Challan")*('Q3 Data'!$H$4:$H$207&lt;&gt;""))+SUMPRODUCT(('Q4 Data'!$D$4:$D$207=D54)*('Q4 Data'!$B$4:$B$207="Challan")*('Q4 Data'!$H$4:$H$207&lt;&gt;"")))&gt;0,(SUMPRODUCT(('Q1 Data'!$D$4:$D$207=D54)*('Q1 Data'!$B$4:$B$207="Challan")*('Q1 Data'!$H$4:$H$207=Z54))+SUMPRODUCT(('Q2 Data'!$D$4:$D$207=D54)*('Q2 Data'!$B$4:$B$207="Challan")*('Q2 Data'!$H$4:$H$207=Z54))+SUMPRODUCT(('Q3 Data'!$D$4:$D$207=D54)*('Q3 Data'!$B$4:$B$207="Challan")*('Q3 Data'!$H$4:$H$207=Z54))+SUMPRODUCT(('Q4 Data'!$D$4:$D$207=D54)*('Q4 Data'!$B$4:$B$207="Challan")*('Q4 Data'!$H$4:$H$207=Z54)))=0))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IF($B55="Challan","",IF(W55&lt;&gt;"","◄ Set Row Type","")))</f>
      </c>
      <c r="Y55" s="23">
        <f>IF($B55="Entry",IF(LEN(W55)&lt;4,"",IF(UPPER(MID(W55,4,1))="P","Individual",IF(UPPER(MID(W55,4,1))="H","HUF",IF(UPPER(MID(W55,4,1))="C","Company",IF(UPPER(MID(W55,4,1))="F","Firm/LLP",IF(UPPER(MID(W55,4,1))="L","Local Authority",IF(UPPER(MID(W55,4,1))="T","Trust",IF(UPPER(MID(W55,4,1))="A","AOP",IF(UPPER(MID(W55,4,1))="B","BOI",IF(UPPER(MID(W55,4,1))="J","AJP",IF(UPPER(MID(W55,4,1))="G","Government",""))))))))))),IF($B55="Challan","",IF(W55&lt;&gt;"","◄ Set Row Type","")))</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IF($B55&lt;&gt;"Challan","",SUMIF('Q1 Data'!$D$4:$D$207,D55,'Q1 Data'!$AD$4:$AD$207)+SUMIF('Q1 Data'!$D$4:$D$207,D55,'Q1 Data'!$AG$4:$AG$207)+SUMIF('Q1 Data'!$D$4:$D$207,D55,'Q1 Data'!$AE$4:$AE$207)+SUMIF('Q2 Data'!$D$4:$D$207,D55,'Q2 Data'!$AD$4:$AD$207)+SUMIF('Q2 Data'!$D$4:$D$207,D55,'Q2 Data'!$AG$4:$AG$207)+SUMIF('Q2 Data'!$D$4:$D$207,D55,'Q2 Data'!$AE$4:$AE$207)+SUMIF('Q3 Data'!$D$4:$D$207,D55,'Q3 Data'!$AD$4:$AD$207)+SUMIF('Q3 Data'!$D$4:$D$207,D55,'Q3 Data'!$AG$4:$AG$207)+SUMIF('Q3 Data'!$D$4:$D$207,D55,'Q3 Data'!$AE$4:$AE$207)+SUMIF('Q4 Data'!$D$4:$D$207,D55,'Q4 Data'!$AD$4:$AD$207)+SUMIF('Q4 Data'!$D$4:$D$207,D55,'Q4 Data'!$AG$4:$AG$207)+SUMIF('Q4 Data'!$D$4:$D$207,D55,'Q4 Data'!$AE$4:$AE$207))</f>
      </c>
      <c r="AO55" s="27">
        <f>IF($B55&lt;&gt;"Challan","",P55-N55)</f>
      </c>
      <c r="AP55" s="27">
        <f>IF($B55&lt;&gt;"Challan","",MAX(0,AO55-AN55))</f>
      </c>
      <c r="AQ55" s="33">
        <f>IF($B55&lt;&gt;"Entry","",SUMPRODUCT(('Q1 Data'!$D$4:$D$207=D55)*('Q1 Data'!$B$4:$B$207="Challan")*'Q1 Data'!$F$4:$F$207)+SUMPRODUCT(('Q2 Data'!$D$4:$D$207=D55)*('Q2 Data'!$B$4:$B$207="Challan")*'Q2 Data'!$F$4:$F$207)+SUMPRODUCT(('Q3 Data'!$D$4:$D$207=D55)*('Q3 Data'!$B$4:$B$207="Challan")*'Q3 Data'!$F$4:$F$207)+SUMPRODUCT(('Q4 Data'!$D$4:$D$207=D55)*('Q4 Data'!$B$4:$B$207="Challan")*'Q4 Data'!$F$4:$F$207))</f>
      </c>
      <c r="AR55" s="34">
        <f>IF(OR($B55&lt;&gt;"Entry",Z55=""),FALSE,AND((SUMPRODUCT(('Q1 Data'!$D$4:$D$207=D55)*('Q1 Data'!$B$4:$B$207="Challan")*('Q1 Data'!$H$4:$H$207&lt;&gt;""))+SUMPRODUCT(('Q2 Data'!$D$4:$D$207=D55)*('Q2 Data'!$B$4:$B$207="Challan")*('Q2 Data'!$H$4:$H$207&lt;&gt;""))+SUMPRODUCT(('Q3 Data'!$D$4:$D$207=D55)*('Q3 Data'!$B$4:$B$207="Challan")*('Q3 Data'!$H$4:$H$207&lt;&gt;""))+SUMPRODUCT(('Q4 Data'!$D$4:$D$207=D55)*('Q4 Data'!$B$4:$B$207="Challan")*('Q4 Data'!$H$4:$H$207&lt;&gt;"")))&gt;0,(SUMPRODUCT(('Q1 Data'!$D$4:$D$207=D55)*('Q1 Data'!$B$4:$B$207="Challan")*('Q1 Data'!$H$4:$H$207=Z55))+SUMPRODUCT(('Q2 Data'!$D$4:$D$207=D55)*('Q2 Data'!$B$4:$B$207="Challan")*('Q2 Data'!$H$4:$H$207=Z55))+SUMPRODUCT(('Q3 Data'!$D$4:$D$207=D55)*('Q3 Data'!$B$4:$B$207="Challan")*('Q3 Data'!$H$4:$H$207=Z55))+SUMPRODUCT(('Q4 Data'!$D$4:$D$207=D55)*('Q4 Data'!$B$4:$B$207="Challan")*('Q4 Data'!$H$4:$H$207=Z55)))=0))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IF($B56="Challan","",IF(W56&lt;&gt;"","◄ Set Row Type","")))</f>
      </c>
      <c r="Y56" s="23">
        <f>IF($B56="Entry",IF(LEN(W56)&lt;4,"",IF(UPPER(MID(W56,4,1))="P","Individual",IF(UPPER(MID(W56,4,1))="H","HUF",IF(UPPER(MID(W56,4,1))="C","Company",IF(UPPER(MID(W56,4,1))="F","Firm/LLP",IF(UPPER(MID(W56,4,1))="L","Local Authority",IF(UPPER(MID(W56,4,1))="T","Trust",IF(UPPER(MID(W56,4,1))="A","AOP",IF(UPPER(MID(W56,4,1))="B","BOI",IF(UPPER(MID(W56,4,1))="J","AJP",IF(UPPER(MID(W56,4,1))="G","Government",""))))))))))),IF($B56="Challan","",IF(W56&lt;&gt;"","◄ Set Row Type","")))</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IF($B56&lt;&gt;"Challan","",SUMIF('Q1 Data'!$D$4:$D$207,D56,'Q1 Data'!$AD$4:$AD$207)+SUMIF('Q1 Data'!$D$4:$D$207,D56,'Q1 Data'!$AG$4:$AG$207)+SUMIF('Q1 Data'!$D$4:$D$207,D56,'Q1 Data'!$AE$4:$AE$207)+SUMIF('Q2 Data'!$D$4:$D$207,D56,'Q2 Data'!$AD$4:$AD$207)+SUMIF('Q2 Data'!$D$4:$D$207,D56,'Q2 Data'!$AG$4:$AG$207)+SUMIF('Q2 Data'!$D$4:$D$207,D56,'Q2 Data'!$AE$4:$AE$207)+SUMIF('Q3 Data'!$D$4:$D$207,D56,'Q3 Data'!$AD$4:$AD$207)+SUMIF('Q3 Data'!$D$4:$D$207,D56,'Q3 Data'!$AG$4:$AG$207)+SUMIF('Q3 Data'!$D$4:$D$207,D56,'Q3 Data'!$AE$4:$AE$207)+SUMIF('Q4 Data'!$D$4:$D$207,D56,'Q4 Data'!$AD$4:$AD$207)+SUMIF('Q4 Data'!$D$4:$D$207,D56,'Q4 Data'!$AG$4:$AG$207)+SUMIF('Q4 Data'!$D$4:$D$207,D56,'Q4 Data'!$AE$4:$AE$207))</f>
      </c>
      <c r="AO56" s="27">
        <f>IF($B56&lt;&gt;"Challan","",P56-N56)</f>
      </c>
      <c r="AP56" s="27">
        <f>IF($B56&lt;&gt;"Challan","",MAX(0,AO56-AN56))</f>
      </c>
      <c r="AQ56" s="33">
        <f>IF($B56&lt;&gt;"Entry","",SUMPRODUCT(('Q1 Data'!$D$4:$D$207=D56)*('Q1 Data'!$B$4:$B$207="Challan")*'Q1 Data'!$F$4:$F$207)+SUMPRODUCT(('Q2 Data'!$D$4:$D$207=D56)*('Q2 Data'!$B$4:$B$207="Challan")*'Q2 Data'!$F$4:$F$207)+SUMPRODUCT(('Q3 Data'!$D$4:$D$207=D56)*('Q3 Data'!$B$4:$B$207="Challan")*'Q3 Data'!$F$4:$F$207)+SUMPRODUCT(('Q4 Data'!$D$4:$D$207=D56)*('Q4 Data'!$B$4:$B$207="Challan")*'Q4 Data'!$F$4:$F$207))</f>
      </c>
      <c r="AR56" s="34">
        <f>IF(OR($B56&lt;&gt;"Entry",Z56=""),FALSE,AND((SUMPRODUCT(('Q1 Data'!$D$4:$D$207=D56)*('Q1 Data'!$B$4:$B$207="Challan")*('Q1 Data'!$H$4:$H$207&lt;&gt;""))+SUMPRODUCT(('Q2 Data'!$D$4:$D$207=D56)*('Q2 Data'!$B$4:$B$207="Challan")*('Q2 Data'!$H$4:$H$207&lt;&gt;""))+SUMPRODUCT(('Q3 Data'!$D$4:$D$207=D56)*('Q3 Data'!$B$4:$B$207="Challan")*('Q3 Data'!$H$4:$H$207&lt;&gt;""))+SUMPRODUCT(('Q4 Data'!$D$4:$D$207=D56)*('Q4 Data'!$B$4:$B$207="Challan")*('Q4 Data'!$H$4:$H$207&lt;&gt;"")))&gt;0,(SUMPRODUCT(('Q1 Data'!$D$4:$D$207=D56)*('Q1 Data'!$B$4:$B$207="Challan")*('Q1 Data'!$H$4:$H$207=Z56))+SUMPRODUCT(('Q2 Data'!$D$4:$D$207=D56)*('Q2 Data'!$B$4:$B$207="Challan")*('Q2 Data'!$H$4:$H$207=Z56))+SUMPRODUCT(('Q3 Data'!$D$4:$D$207=D56)*('Q3 Data'!$B$4:$B$207="Challan")*('Q3 Data'!$H$4:$H$207=Z56))+SUMPRODUCT(('Q4 Data'!$D$4:$D$207=D56)*('Q4 Data'!$B$4:$B$207="Challan")*('Q4 Data'!$H$4:$H$207=Z56)))=0))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IF($B57="Challan","",IF(W57&lt;&gt;"","◄ Set Row Type","")))</f>
      </c>
      <c r="Y57" s="23">
        <f>IF($B57="Entry",IF(LEN(W57)&lt;4,"",IF(UPPER(MID(W57,4,1))="P","Individual",IF(UPPER(MID(W57,4,1))="H","HUF",IF(UPPER(MID(W57,4,1))="C","Company",IF(UPPER(MID(W57,4,1))="F","Firm/LLP",IF(UPPER(MID(W57,4,1))="L","Local Authority",IF(UPPER(MID(W57,4,1))="T","Trust",IF(UPPER(MID(W57,4,1))="A","AOP",IF(UPPER(MID(W57,4,1))="B","BOI",IF(UPPER(MID(W57,4,1))="J","AJP",IF(UPPER(MID(W57,4,1))="G","Government",""))))))))))),IF($B57="Challan","",IF(W57&lt;&gt;"","◄ Set Row Type","")))</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IF($B57&lt;&gt;"Challan","",SUMIF('Q1 Data'!$D$4:$D$207,D57,'Q1 Data'!$AD$4:$AD$207)+SUMIF('Q1 Data'!$D$4:$D$207,D57,'Q1 Data'!$AG$4:$AG$207)+SUMIF('Q1 Data'!$D$4:$D$207,D57,'Q1 Data'!$AE$4:$AE$207)+SUMIF('Q2 Data'!$D$4:$D$207,D57,'Q2 Data'!$AD$4:$AD$207)+SUMIF('Q2 Data'!$D$4:$D$207,D57,'Q2 Data'!$AG$4:$AG$207)+SUMIF('Q2 Data'!$D$4:$D$207,D57,'Q2 Data'!$AE$4:$AE$207)+SUMIF('Q3 Data'!$D$4:$D$207,D57,'Q3 Data'!$AD$4:$AD$207)+SUMIF('Q3 Data'!$D$4:$D$207,D57,'Q3 Data'!$AG$4:$AG$207)+SUMIF('Q3 Data'!$D$4:$D$207,D57,'Q3 Data'!$AE$4:$AE$207)+SUMIF('Q4 Data'!$D$4:$D$207,D57,'Q4 Data'!$AD$4:$AD$207)+SUMIF('Q4 Data'!$D$4:$D$207,D57,'Q4 Data'!$AG$4:$AG$207)+SUMIF('Q4 Data'!$D$4:$D$207,D57,'Q4 Data'!$AE$4:$AE$207))</f>
      </c>
      <c r="AO57" s="27">
        <f>IF($B57&lt;&gt;"Challan","",P57-N57)</f>
      </c>
      <c r="AP57" s="27">
        <f>IF($B57&lt;&gt;"Challan","",MAX(0,AO57-AN57))</f>
      </c>
      <c r="AQ57" s="33">
        <f>IF($B57&lt;&gt;"Entry","",SUMPRODUCT(('Q1 Data'!$D$4:$D$207=D57)*('Q1 Data'!$B$4:$B$207="Challan")*'Q1 Data'!$F$4:$F$207)+SUMPRODUCT(('Q2 Data'!$D$4:$D$207=D57)*('Q2 Data'!$B$4:$B$207="Challan")*'Q2 Data'!$F$4:$F$207)+SUMPRODUCT(('Q3 Data'!$D$4:$D$207=D57)*('Q3 Data'!$B$4:$B$207="Challan")*'Q3 Data'!$F$4:$F$207)+SUMPRODUCT(('Q4 Data'!$D$4:$D$207=D57)*('Q4 Data'!$B$4:$B$207="Challan")*'Q4 Data'!$F$4:$F$207))</f>
      </c>
      <c r="AR57" s="34">
        <f>IF(OR($B57&lt;&gt;"Entry",Z57=""),FALSE,AND((SUMPRODUCT(('Q1 Data'!$D$4:$D$207=D57)*('Q1 Data'!$B$4:$B$207="Challan")*('Q1 Data'!$H$4:$H$207&lt;&gt;""))+SUMPRODUCT(('Q2 Data'!$D$4:$D$207=D57)*('Q2 Data'!$B$4:$B$207="Challan")*('Q2 Data'!$H$4:$H$207&lt;&gt;""))+SUMPRODUCT(('Q3 Data'!$D$4:$D$207=D57)*('Q3 Data'!$B$4:$B$207="Challan")*('Q3 Data'!$H$4:$H$207&lt;&gt;""))+SUMPRODUCT(('Q4 Data'!$D$4:$D$207=D57)*('Q4 Data'!$B$4:$B$207="Challan")*('Q4 Data'!$H$4:$H$207&lt;&gt;"")))&gt;0,(SUMPRODUCT(('Q1 Data'!$D$4:$D$207=D57)*('Q1 Data'!$B$4:$B$207="Challan")*('Q1 Data'!$H$4:$H$207=Z57))+SUMPRODUCT(('Q2 Data'!$D$4:$D$207=D57)*('Q2 Data'!$B$4:$B$207="Challan")*('Q2 Data'!$H$4:$H$207=Z57))+SUMPRODUCT(('Q3 Data'!$D$4:$D$207=D57)*('Q3 Data'!$B$4:$B$207="Challan")*('Q3 Data'!$H$4:$H$207=Z57))+SUMPRODUCT(('Q4 Data'!$D$4:$D$207=D57)*('Q4 Data'!$B$4:$B$207="Challan")*('Q4 Data'!$H$4:$H$207=Z57)))=0))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IF($B58="Challan","",IF(W58&lt;&gt;"","◄ Set Row Type","")))</f>
      </c>
      <c r="Y58" s="23">
        <f>IF($B58="Entry",IF(LEN(W58)&lt;4,"",IF(UPPER(MID(W58,4,1))="P","Individual",IF(UPPER(MID(W58,4,1))="H","HUF",IF(UPPER(MID(W58,4,1))="C","Company",IF(UPPER(MID(W58,4,1))="F","Firm/LLP",IF(UPPER(MID(W58,4,1))="L","Local Authority",IF(UPPER(MID(W58,4,1))="T","Trust",IF(UPPER(MID(W58,4,1))="A","AOP",IF(UPPER(MID(W58,4,1))="B","BOI",IF(UPPER(MID(W58,4,1))="J","AJP",IF(UPPER(MID(W58,4,1))="G","Government",""))))))))))),IF($B58="Challan","",IF(W58&lt;&gt;"","◄ Set Row Type","")))</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IF($B58&lt;&gt;"Challan","",SUMIF('Q1 Data'!$D$4:$D$207,D58,'Q1 Data'!$AD$4:$AD$207)+SUMIF('Q1 Data'!$D$4:$D$207,D58,'Q1 Data'!$AG$4:$AG$207)+SUMIF('Q1 Data'!$D$4:$D$207,D58,'Q1 Data'!$AE$4:$AE$207)+SUMIF('Q2 Data'!$D$4:$D$207,D58,'Q2 Data'!$AD$4:$AD$207)+SUMIF('Q2 Data'!$D$4:$D$207,D58,'Q2 Data'!$AG$4:$AG$207)+SUMIF('Q2 Data'!$D$4:$D$207,D58,'Q2 Data'!$AE$4:$AE$207)+SUMIF('Q3 Data'!$D$4:$D$207,D58,'Q3 Data'!$AD$4:$AD$207)+SUMIF('Q3 Data'!$D$4:$D$207,D58,'Q3 Data'!$AG$4:$AG$207)+SUMIF('Q3 Data'!$D$4:$D$207,D58,'Q3 Data'!$AE$4:$AE$207)+SUMIF('Q4 Data'!$D$4:$D$207,D58,'Q4 Data'!$AD$4:$AD$207)+SUMIF('Q4 Data'!$D$4:$D$207,D58,'Q4 Data'!$AG$4:$AG$207)+SUMIF('Q4 Data'!$D$4:$D$207,D58,'Q4 Data'!$AE$4:$AE$207))</f>
      </c>
      <c r="AO58" s="27">
        <f>IF($B58&lt;&gt;"Challan","",P58-N58)</f>
      </c>
      <c r="AP58" s="27">
        <f>IF($B58&lt;&gt;"Challan","",MAX(0,AO58-AN58))</f>
      </c>
      <c r="AQ58" s="33">
        <f>IF($B58&lt;&gt;"Entry","",SUMPRODUCT(('Q1 Data'!$D$4:$D$207=D58)*('Q1 Data'!$B$4:$B$207="Challan")*'Q1 Data'!$F$4:$F$207)+SUMPRODUCT(('Q2 Data'!$D$4:$D$207=D58)*('Q2 Data'!$B$4:$B$207="Challan")*'Q2 Data'!$F$4:$F$207)+SUMPRODUCT(('Q3 Data'!$D$4:$D$207=D58)*('Q3 Data'!$B$4:$B$207="Challan")*'Q3 Data'!$F$4:$F$207)+SUMPRODUCT(('Q4 Data'!$D$4:$D$207=D58)*('Q4 Data'!$B$4:$B$207="Challan")*'Q4 Data'!$F$4:$F$207))</f>
      </c>
      <c r="AR58" s="34">
        <f>IF(OR($B58&lt;&gt;"Entry",Z58=""),FALSE,AND((SUMPRODUCT(('Q1 Data'!$D$4:$D$207=D58)*('Q1 Data'!$B$4:$B$207="Challan")*('Q1 Data'!$H$4:$H$207&lt;&gt;""))+SUMPRODUCT(('Q2 Data'!$D$4:$D$207=D58)*('Q2 Data'!$B$4:$B$207="Challan")*('Q2 Data'!$H$4:$H$207&lt;&gt;""))+SUMPRODUCT(('Q3 Data'!$D$4:$D$207=D58)*('Q3 Data'!$B$4:$B$207="Challan")*('Q3 Data'!$H$4:$H$207&lt;&gt;""))+SUMPRODUCT(('Q4 Data'!$D$4:$D$207=D58)*('Q4 Data'!$B$4:$B$207="Challan")*('Q4 Data'!$H$4:$H$207&lt;&gt;"")))&gt;0,(SUMPRODUCT(('Q1 Data'!$D$4:$D$207=D58)*('Q1 Data'!$B$4:$B$207="Challan")*('Q1 Data'!$H$4:$H$207=Z58))+SUMPRODUCT(('Q2 Data'!$D$4:$D$207=D58)*('Q2 Data'!$B$4:$B$207="Challan")*('Q2 Data'!$H$4:$H$207=Z58))+SUMPRODUCT(('Q3 Data'!$D$4:$D$207=D58)*('Q3 Data'!$B$4:$B$207="Challan")*('Q3 Data'!$H$4:$H$207=Z58))+SUMPRODUCT(('Q4 Data'!$D$4:$D$207=D58)*('Q4 Data'!$B$4:$B$207="Challan")*('Q4 Data'!$H$4:$H$207=Z58)))=0))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IF($B59="Challan","",IF(W59&lt;&gt;"","◄ Set Row Type","")))</f>
      </c>
      <c r="Y59" s="23">
        <f>IF($B59="Entry",IF(LEN(W59)&lt;4,"",IF(UPPER(MID(W59,4,1))="P","Individual",IF(UPPER(MID(W59,4,1))="H","HUF",IF(UPPER(MID(W59,4,1))="C","Company",IF(UPPER(MID(W59,4,1))="F","Firm/LLP",IF(UPPER(MID(W59,4,1))="L","Local Authority",IF(UPPER(MID(W59,4,1))="T","Trust",IF(UPPER(MID(W59,4,1))="A","AOP",IF(UPPER(MID(W59,4,1))="B","BOI",IF(UPPER(MID(W59,4,1))="J","AJP",IF(UPPER(MID(W59,4,1))="G","Government",""))))))))))),IF($B59="Challan","",IF(W59&lt;&gt;"","◄ Set Row Type","")))</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IF($B59&lt;&gt;"Challan","",SUMIF('Q1 Data'!$D$4:$D$207,D59,'Q1 Data'!$AD$4:$AD$207)+SUMIF('Q1 Data'!$D$4:$D$207,D59,'Q1 Data'!$AG$4:$AG$207)+SUMIF('Q1 Data'!$D$4:$D$207,D59,'Q1 Data'!$AE$4:$AE$207)+SUMIF('Q2 Data'!$D$4:$D$207,D59,'Q2 Data'!$AD$4:$AD$207)+SUMIF('Q2 Data'!$D$4:$D$207,D59,'Q2 Data'!$AG$4:$AG$207)+SUMIF('Q2 Data'!$D$4:$D$207,D59,'Q2 Data'!$AE$4:$AE$207)+SUMIF('Q3 Data'!$D$4:$D$207,D59,'Q3 Data'!$AD$4:$AD$207)+SUMIF('Q3 Data'!$D$4:$D$207,D59,'Q3 Data'!$AG$4:$AG$207)+SUMIF('Q3 Data'!$D$4:$D$207,D59,'Q3 Data'!$AE$4:$AE$207)+SUMIF('Q4 Data'!$D$4:$D$207,D59,'Q4 Data'!$AD$4:$AD$207)+SUMIF('Q4 Data'!$D$4:$D$207,D59,'Q4 Data'!$AG$4:$AG$207)+SUMIF('Q4 Data'!$D$4:$D$207,D59,'Q4 Data'!$AE$4:$AE$207))</f>
      </c>
      <c r="AO59" s="27">
        <f>IF($B59&lt;&gt;"Challan","",P59-N59)</f>
      </c>
      <c r="AP59" s="27">
        <f>IF($B59&lt;&gt;"Challan","",MAX(0,AO59-AN59))</f>
      </c>
      <c r="AQ59" s="33">
        <f>IF($B59&lt;&gt;"Entry","",SUMPRODUCT(('Q1 Data'!$D$4:$D$207=D59)*('Q1 Data'!$B$4:$B$207="Challan")*'Q1 Data'!$F$4:$F$207)+SUMPRODUCT(('Q2 Data'!$D$4:$D$207=D59)*('Q2 Data'!$B$4:$B$207="Challan")*'Q2 Data'!$F$4:$F$207)+SUMPRODUCT(('Q3 Data'!$D$4:$D$207=D59)*('Q3 Data'!$B$4:$B$207="Challan")*'Q3 Data'!$F$4:$F$207)+SUMPRODUCT(('Q4 Data'!$D$4:$D$207=D59)*('Q4 Data'!$B$4:$B$207="Challan")*'Q4 Data'!$F$4:$F$207))</f>
      </c>
      <c r="AR59" s="34">
        <f>IF(OR($B59&lt;&gt;"Entry",Z59=""),FALSE,AND((SUMPRODUCT(('Q1 Data'!$D$4:$D$207=D59)*('Q1 Data'!$B$4:$B$207="Challan")*('Q1 Data'!$H$4:$H$207&lt;&gt;""))+SUMPRODUCT(('Q2 Data'!$D$4:$D$207=D59)*('Q2 Data'!$B$4:$B$207="Challan")*('Q2 Data'!$H$4:$H$207&lt;&gt;""))+SUMPRODUCT(('Q3 Data'!$D$4:$D$207=D59)*('Q3 Data'!$B$4:$B$207="Challan")*('Q3 Data'!$H$4:$H$207&lt;&gt;""))+SUMPRODUCT(('Q4 Data'!$D$4:$D$207=D59)*('Q4 Data'!$B$4:$B$207="Challan")*('Q4 Data'!$H$4:$H$207&lt;&gt;"")))&gt;0,(SUMPRODUCT(('Q1 Data'!$D$4:$D$207=D59)*('Q1 Data'!$B$4:$B$207="Challan")*('Q1 Data'!$H$4:$H$207=Z59))+SUMPRODUCT(('Q2 Data'!$D$4:$D$207=D59)*('Q2 Data'!$B$4:$B$207="Challan")*('Q2 Data'!$H$4:$H$207=Z59))+SUMPRODUCT(('Q3 Data'!$D$4:$D$207=D59)*('Q3 Data'!$B$4:$B$207="Challan")*('Q3 Data'!$H$4:$H$207=Z59))+SUMPRODUCT(('Q4 Data'!$D$4:$D$207=D59)*('Q4 Data'!$B$4:$B$207="Challan")*('Q4 Data'!$H$4:$H$207=Z59)))=0))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IF($B60="Challan","",IF(W60&lt;&gt;"","◄ Set Row Type","")))</f>
      </c>
      <c r="Y60" s="23">
        <f>IF($B60="Entry",IF(LEN(W60)&lt;4,"",IF(UPPER(MID(W60,4,1))="P","Individual",IF(UPPER(MID(W60,4,1))="H","HUF",IF(UPPER(MID(W60,4,1))="C","Company",IF(UPPER(MID(W60,4,1))="F","Firm/LLP",IF(UPPER(MID(W60,4,1))="L","Local Authority",IF(UPPER(MID(W60,4,1))="T","Trust",IF(UPPER(MID(W60,4,1))="A","AOP",IF(UPPER(MID(W60,4,1))="B","BOI",IF(UPPER(MID(W60,4,1))="J","AJP",IF(UPPER(MID(W60,4,1))="G","Government",""))))))))))),IF($B60="Challan","",IF(W60&lt;&gt;"","◄ Set Row Type","")))</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IF($B60&lt;&gt;"Challan","",SUMIF('Q1 Data'!$D$4:$D$207,D60,'Q1 Data'!$AD$4:$AD$207)+SUMIF('Q1 Data'!$D$4:$D$207,D60,'Q1 Data'!$AG$4:$AG$207)+SUMIF('Q1 Data'!$D$4:$D$207,D60,'Q1 Data'!$AE$4:$AE$207)+SUMIF('Q2 Data'!$D$4:$D$207,D60,'Q2 Data'!$AD$4:$AD$207)+SUMIF('Q2 Data'!$D$4:$D$207,D60,'Q2 Data'!$AG$4:$AG$207)+SUMIF('Q2 Data'!$D$4:$D$207,D60,'Q2 Data'!$AE$4:$AE$207)+SUMIF('Q3 Data'!$D$4:$D$207,D60,'Q3 Data'!$AD$4:$AD$207)+SUMIF('Q3 Data'!$D$4:$D$207,D60,'Q3 Data'!$AG$4:$AG$207)+SUMIF('Q3 Data'!$D$4:$D$207,D60,'Q3 Data'!$AE$4:$AE$207)+SUMIF('Q4 Data'!$D$4:$D$207,D60,'Q4 Data'!$AD$4:$AD$207)+SUMIF('Q4 Data'!$D$4:$D$207,D60,'Q4 Data'!$AG$4:$AG$207)+SUMIF('Q4 Data'!$D$4:$D$207,D60,'Q4 Data'!$AE$4:$AE$207))</f>
      </c>
      <c r="AO60" s="27">
        <f>IF($B60&lt;&gt;"Challan","",P60-N60)</f>
      </c>
      <c r="AP60" s="27">
        <f>IF($B60&lt;&gt;"Challan","",MAX(0,AO60-AN60))</f>
      </c>
      <c r="AQ60" s="33">
        <f>IF($B60&lt;&gt;"Entry","",SUMPRODUCT(('Q1 Data'!$D$4:$D$207=D60)*('Q1 Data'!$B$4:$B$207="Challan")*'Q1 Data'!$F$4:$F$207)+SUMPRODUCT(('Q2 Data'!$D$4:$D$207=D60)*('Q2 Data'!$B$4:$B$207="Challan")*'Q2 Data'!$F$4:$F$207)+SUMPRODUCT(('Q3 Data'!$D$4:$D$207=D60)*('Q3 Data'!$B$4:$B$207="Challan")*'Q3 Data'!$F$4:$F$207)+SUMPRODUCT(('Q4 Data'!$D$4:$D$207=D60)*('Q4 Data'!$B$4:$B$207="Challan")*'Q4 Data'!$F$4:$F$207))</f>
      </c>
      <c r="AR60" s="34">
        <f>IF(OR($B60&lt;&gt;"Entry",Z60=""),FALSE,AND((SUMPRODUCT(('Q1 Data'!$D$4:$D$207=D60)*('Q1 Data'!$B$4:$B$207="Challan")*('Q1 Data'!$H$4:$H$207&lt;&gt;""))+SUMPRODUCT(('Q2 Data'!$D$4:$D$207=D60)*('Q2 Data'!$B$4:$B$207="Challan")*('Q2 Data'!$H$4:$H$207&lt;&gt;""))+SUMPRODUCT(('Q3 Data'!$D$4:$D$207=D60)*('Q3 Data'!$B$4:$B$207="Challan")*('Q3 Data'!$H$4:$H$207&lt;&gt;""))+SUMPRODUCT(('Q4 Data'!$D$4:$D$207=D60)*('Q4 Data'!$B$4:$B$207="Challan")*('Q4 Data'!$H$4:$H$207&lt;&gt;"")))&gt;0,(SUMPRODUCT(('Q1 Data'!$D$4:$D$207=D60)*('Q1 Data'!$B$4:$B$207="Challan")*('Q1 Data'!$H$4:$H$207=Z60))+SUMPRODUCT(('Q2 Data'!$D$4:$D$207=D60)*('Q2 Data'!$B$4:$B$207="Challan")*('Q2 Data'!$H$4:$H$207=Z60))+SUMPRODUCT(('Q3 Data'!$D$4:$D$207=D60)*('Q3 Data'!$B$4:$B$207="Challan")*('Q3 Data'!$H$4:$H$207=Z60))+SUMPRODUCT(('Q4 Data'!$D$4:$D$207=D60)*('Q4 Data'!$B$4:$B$207="Challan")*('Q4 Data'!$H$4:$H$207=Z60)))=0))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IF($B61="Challan","",IF(W61&lt;&gt;"","◄ Set Row Type","")))</f>
      </c>
      <c r="Y61" s="23">
        <f>IF($B61="Entry",IF(LEN(W61)&lt;4,"",IF(UPPER(MID(W61,4,1))="P","Individual",IF(UPPER(MID(W61,4,1))="H","HUF",IF(UPPER(MID(W61,4,1))="C","Company",IF(UPPER(MID(W61,4,1))="F","Firm/LLP",IF(UPPER(MID(W61,4,1))="L","Local Authority",IF(UPPER(MID(W61,4,1))="T","Trust",IF(UPPER(MID(W61,4,1))="A","AOP",IF(UPPER(MID(W61,4,1))="B","BOI",IF(UPPER(MID(W61,4,1))="J","AJP",IF(UPPER(MID(W61,4,1))="G","Government",""))))))))))),IF($B61="Challan","",IF(W61&lt;&gt;"","◄ Set Row Type","")))</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IF($B61&lt;&gt;"Challan","",SUMIF('Q1 Data'!$D$4:$D$207,D61,'Q1 Data'!$AD$4:$AD$207)+SUMIF('Q1 Data'!$D$4:$D$207,D61,'Q1 Data'!$AG$4:$AG$207)+SUMIF('Q1 Data'!$D$4:$D$207,D61,'Q1 Data'!$AE$4:$AE$207)+SUMIF('Q2 Data'!$D$4:$D$207,D61,'Q2 Data'!$AD$4:$AD$207)+SUMIF('Q2 Data'!$D$4:$D$207,D61,'Q2 Data'!$AG$4:$AG$207)+SUMIF('Q2 Data'!$D$4:$D$207,D61,'Q2 Data'!$AE$4:$AE$207)+SUMIF('Q3 Data'!$D$4:$D$207,D61,'Q3 Data'!$AD$4:$AD$207)+SUMIF('Q3 Data'!$D$4:$D$207,D61,'Q3 Data'!$AG$4:$AG$207)+SUMIF('Q3 Data'!$D$4:$D$207,D61,'Q3 Data'!$AE$4:$AE$207)+SUMIF('Q4 Data'!$D$4:$D$207,D61,'Q4 Data'!$AD$4:$AD$207)+SUMIF('Q4 Data'!$D$4:$D$207,D61,'Q4 Data'!$AG$4:$AG$207)+SUMIF('Q4 Data'!$D$4:$D$207,D61,'Q4 Data'!$AE$4:$AE$207))</f>
      </c>
      <c r="AO61" s="27">
        <f>IF($B61&lt;&gt;"Challan","",P61-N61)</f>
      </c>
      <c r="AP61" s="27">
        <f>IF($B61&lt;&gt;"Challan","",MAX(0,AO61-AN61))</f>
      </c>
      <c r="AQ61" s="33">
        <f>IF($B61&lt;&gt;"Entry","",SUMPRODUCT(('Q1 Data'!$D$4:$D$207=D61)*('Q1 Data'!$B$4:$B$207="Challan")*'Q1 Data'!$F$4:$F$207)+SUMPRODUCT(('Q2 Data'!$D$4:$D$207=D61)*('Q2 Data'!$B$4:$B$207="Challan")*'Q2 Data'!$F$4:$F$207)+SUMPRODUCT(('Q3 Data'!$D$4:$D$207=D61)*('Q3 Data'!$B$4:$B$207="Challan")*'Q3 Data'!$F$4:$F$207)+SUMPRODUCT(('Q4 Data'!$D$4:$D$207=D61)*('Q4 Data'!$B$4:$B$207="Challan")*'Q4 Data'!$F$4:$F$207))</f>
      </c>
      <c r="AR61" s="34">
        <f>IF(OR($B61&lt;&gt;"Entry",Z61=""),FALSE,AND((SUMPRODUCT(('Q1 Data'!$D$4:$D$207=D61)*('Q1 Data'!$B$4:$B$207="Challan")*('Q1 Data'!$H$4:$H$207&lt;&gt;""))+SUMPRODUCT(('Q2 Data'!$D$4:$D$207=D61)*('Q2 Data'!$B$4:$B$207="Challan")*('Q2 Data'!$H$4:$H$207&lt;&gt;""))+SUMPRODUCT(('Q3 Data'!$D$4:$D$207=D61)*('Q3 Data'!$B$4:$B$207="Challan")*('Q3 Data'!$H$4:$H$207&lt;&gt;""))+SUMPRODUCT(('Q4 Data'!$D$4:$D$207=D61)*('Q4 Data'!$B$4:$B$207="Challan")*('Q4 Data'!$H$4:$H$207&lt;&gt;"")))&gt;0,(SUMPRODUCT(('Q1 Data'!$D$4:$D$207=D61)*('Q1 Data'!$B$4:$B$207="Challan")*('Q1 Data'!$H$4:$H$207=Z61))+SUMPRODUCT(('Q2 Data'!$D$4:$D$207=D61)*('Q2 Data'!$B$4:$B$207="Challan")*('Q2 Data'!$H$4:$H$207=Z61))+SUMPRODUCT(('Q3 Data'!$D$4:$D$207=D61)*('Q3 Data'!$B$4:$B$207="Challan")*('Q3 Data'!$H$4:$H$207=Z61))+SUMPRODUCT(('Q4 Data'!$D$4:$D$207=D61)*('Q4 Data'!$B$4:$B$207="Challan")*('Q4 Data'!$H$4:$H$207=Z61)))=0))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IF($B62="Challan","",IF(W62&lt;&gt;"","◄ Set Row Type","")))</f>
      </c>
      <c r="Y62" s="23">
        <f>IF($B62="Entry",IF(LEN(W62)&lt;4,"",IF(UPPER(MID(W62,4,1))="P","Individual",IF(UPPER(MID(W62,4,1))="H","HUF",IF(UPPER(MID(W62,4,1))="C","Company",IF(UPPER(MID(W62,4,1))="F","Firm/LLP",IF(UPPER(MID(W62,4,1))="L","Local Authority",IF(UPPER(MID(W62,4,1))="T","Trust",IF(UPPER(MID(W62,4,1))="A","AOP",IF(UPPER(MID(W62,4,1))="B","BOI",IF(UPPER(MID(W62,4,1))="J","AJP",IF(UPPER(MID(W62,4,1))="G","Government",""))))))))))),IF($B62="Challan","",IF(W62&lt;&gt;"","◄ Set Row Type","")))</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IF($B62&lt;&gt;"Challan","",SUMIF('Q1 Data'!$D$4:$D$207,D62,'Q1 Data'!$AD$4:$AD$207)+SUMIF('Q1 Data'!$D$4:$D$207,D62,'Q1 Data'!$AG$4:$AG$207)+SUMIF('Q1 Data'!$D$4:$D$207,D62,'Q1 Data'!$AE$4:$AE$207)+SUMIF('Q2 Data'!$D$4:$D$207,D62,'Q2 Data'!$AD$4:$AD$207)+SUMIF('Q2 Data'!$D$4:$D$207,D62,'Q2 Data'!$AG$4:$AG$207)+SUMIF('Q2 Data'!$D$4:$D$207,D62,'Q2 Data'!$AE$4:$AE$207)+SUMIF('Q3 Data'!$D$4:$D$207,D62,'Q3 Data'!$AD$4:$AD$207)+SUMIF('Q3 Data'!$D$4:$D$207,D62,'Q3 Data'!$AG$4:$AG$207)+SUMIF('Q3 Data'!$D$4:$D$207,D62,'Q3 Data'!$AE$4:$AE$207)+SUMIF('Q4 Data'!$D$4:$D$207,D62,'Q4 Data'!$AD$4:$AD$207)+SUMIF('Q4 Data'!$D$4:$D$207,D62,'Q4 Data'!$AG$4:$AG$207)+SUMIF('Q4 Data'!$D$4:$D$207,D62,'Q4 Data'!$AE$4:$AE$207))</f>
      </c>
      <c r="AO62" s="27">
        <f>IF($B62&lt;&gt;"Challan","",P62-N62)</f>
      </c>
      <c r="AP62" s="27">
        <f>IF($B62&lt;&gt;"Challan","",MAX(0,AO62-AN62))</f>
      </c>
      <c r="AQ62" s="33">
        <f>IF($B62&lt;&gt;"Entry","",SUMPRODUCT(('Q1 Data'!$D$4:$D$207=D62)*('Q1 Data'!$B$4:$B$207="Challan")*'Q1 Data'!$F$4:$F$207)+SUMPRODUCT(('Q2 Data'!$D$4:$D$207=D62)*('Q2 Data'!$B$4:$B$207="Challan")*'Q2 Data'!$F$4:$F$207)+SUMPRODUCT(('Q3 Data'!$D$4:$D$207=D62)*('Q3 Data'!$B$4:$B$207="Challan")*'Q3 Data'!$F$4:$F$207)+SUMPRODUCT(('Q4 Data'!$D$4:$D$207=D62)*('Q4 Data'!$B$4:$B$207="Challan")*'Q4 Data'!$F$4:$F$207))</f>
      </c>
      <c r="AR62" s="34">
        <f>IF(OR($B62&lt;&gt;"Entry",Z62=""),FALSE,AND((SUMPRODUCT(('Q1 Data'!$D$4:$D$207=D62)*('Q1 Data'!$B$4:$B$207="Challan")*('Q1 Data'!$H$4:$H$207&lt;&gt;""))+SUMPRODUCT(('Q2 Data'!$D$4:$D$207=D62)*('Q2 Data'!$B$4:$B$207="Challan")*('Q2 Data'!$H$4:$H$207&lt;&gt;""))+SUMPRODUCT(('Q3 Data'!$D$4:$D$207=D62)*('Q3 Data'!$B$4:$B$207="Challan")*('Q3 Data'!$H$4:$H$207&lt;&gt;""))+SUMPRODUCT(('Q4 Data'!$D$4:$D$207=D62)*('Q4 Data'!$B$4:$B$207="Challan")*('Q4 Data'!$H$4:$H$207&lt;&gt;"")))&gt;0,(SUMPRODUCT(('Q1 Data'!$D$4:$D$207=D62)*('Q1 Data'!$B$4:$B$207="Challan")*('Q1 Data'!$H$4:$H$207=Z62))+SUMPRODUCT(('Q2 Data'!$D$4:$D$207=D62)*('Q2 Data'!$B$4:$B$207="Challan")*('Q2 Data'!$H$4:$H$207=Z62))+SUMPRODUCT(('Q3 Data'!$D$4:$D$207=D62)*('Q3 Data'!$B$4:$B$207="Challan")*('Q3 Data'!$H$4:$H$207=Z62))+SUMPRODUCT(('Q4 Data'!$D$4:$D$207=D62)*('Q4 Data'!$B$4:$B$207="Challan")*('Q4 Data'!$H$4:$H$207=Z62)))=0))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IF($B63="Challan","",IF(W63&lt;&gt;"","◄ Set Row Type","")))</f>
      </c>
      <c r="Y63" s="23">
        <f>IF($B63="Entry",IF(LEN(W63)&lt;4,"",IF(UPPER(MID(W63,4,1))="P","Individual",IF(UPPER(MID(W63,4,1))="H","HUF",IF(UPPER(MID(W63,4,1))="C","Company",IF(UPPER(MID(W63,4,1))="F","Firm/LLP",IF(UPPER(MID(W63,4,1))="L","Local Authority",IF(UPPER(MID(W63,4,1))="T","Trust",IF(UPPER(MID(W63,4,1))="A","AOP",IF(UPPER(MID(W63,4,1))="B","BOI",IF(UPPER(MID(W63,4,1))="J","AJP",IF(UPPER(MID(W63,4,1))="G","Government",""))))))))))),IF($B63="Challan","",IF(W63&lt;&gt;"","◄ Set Row Type","")))</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IF($B63&lt;&gt;"Challan","",SUMIF('Q1 Data'!$D$4:$D$207,D63,'Q1 Data'!$AD$4:$AD$207)+SUMIF('Q1 Data'!$D$4:$D$207,D63,'Q1 Data'!$AG$4:$AG$207)+SUMIF('Q1 Data'!$D$4:$D$207,D63,'Q1 Data'!$AE$4:$AE$207)+SUMIF('Q2 Data'!$D$4:$D$207,D63,'Q2 Data'!$AD$4:$AD$207)+SUMIF('Q2 Data'!$D$4:$D$207,D63,'Q2 Data'!$AG$4:$AG$207)+SUMIF('Q2 Data'!$D$4:$D$207,D63,'Q2 Data'!$AE$4:$AE$207)+SUMIF('Q3 Data'!$D$4:$D$207,D63,'Q3 Data'!$AD$4:$AD$207)+SUMIF('Q3 Data'!$D$4:$D$207,D63,'Q3 Data'!$AG$4:$AG$207)+SUMIF('Q3 Data'!$D$4:$D$207,D63,'Q3 Data'!$AE$4:$AE$207)+SUMIF('Q4 Data'!$D$4:$D$207,D63,'Q4 Data'!$AD$4:$AD$207)+SUMIF('Q4 Data'!$D$4:$D$207,D63,'Q4 Data'!$AG$4:$AG$207)+SUMIF('Q4 Data'!$D$4:$D$207,D63,'Q4 Data'!$AE$4:$AE$207))</f>
      </c>
      <c r="AO63" s="27">
        <f>IF($B63&lt;&gt;"Challan","",P63-N63)</f>
      </c>
      <c r="AP63" s="27">
        <f>IF($B63&lt;&gt;"Challan","",MAX(0,AO63-AN63))</f>
      </c>
      <c r="AQ63" s="33">
        <f>IF($B63&lt;&gt;"Entry","",SUMPRODUCT(('Q1 Data'!$D$4:$D$207=D63)*('Q1 Data'!$B$4:$B$207="Challan")*'Q1 Data'!$F$4:$F$207)+SUMPRODUCT(('Q2 Data'!$D$4:$D$207=D63)*('Q2 Data'!$B$4:$B$207="Challan")*'Q2 Data'!$F$4:$F$207)+SUMPRODUCT(('Q3 Data'!$D$4:$D$207=D63)*('Q3 Data'!$B$4:$B$207="Challan")*'Q3 Data'!$F$4:$F$207)+SUMPRODUCT(('Q4 Data'!$D$4:$D$207=D63)*('Q4 Data'!$B$4:$B$207="Challan")*'Q4 Data'!$F$4:$F$207))</f>
      </c>
      <c r="AR63" s="34">
        <f>IF(OR($B63&lt;&gt;"Entry",Z63=""),FALSE,AND((SUMPRODUCT(('Q1 Data'!$D$4:$D$207=D63)*('Q1 Data'!$B$4:$B$207="Challan")*('Q1 Data'!$H$4:$H$207&lt;&gt;""))+SUMPRODUCT(('Q2 Data'!$D$4:$D$207=D63)*('Q2 Data'!$B$4:$B$207="Challan")*('Q2 Data'!$H$4:$H$207&lt;&gt;""))+SUMPRODUCT(('Q3 Data'!$D$4:$D$207=D63)*('Q3 Data'!$B$4:$B$207="Challan")*('Q3 Data'!$H$4:$H$207&lt;&gt;""))+SUMPRODUCT(('Q4 Data'!$D$4:$D$207=D63)*('Q4 Data'!$B$4:$B$207="Challan")*('Q4 Data'!$H$4:$H$207&lt;&gt;"")))&gt;0,(SUMPRODUCT(('Q1 Data'!$D$4:$D$207=D63)*('Q1 Data'!$B$4:$B$207="Challan")*('Q1 Data'!$H$4:$H$207=Z63))+SUMPRODUCT(('Q2 Data'!$D$4:$D$207=D63)*('Q2 Data'!$B$4:$B$207="Challan")*('Q2 Data'!$H$4:$H$207=Z63))+SUMPRODUCT(('Q3 Data'!$D$4:$D$207=D63)*('Q3 Data'!$B$4:$B$207="Challan")*('Q3 Data'!$H$4:$H$207=Z63))+SUMPRODUCT(('Q4 Data'!$D$4:$D$207=D63)*('Q4 Data'!$B$4:$B$207="Challan")*('Q4 Data'!$H$4:$H$207=Z63)))=0))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IF($B64="Challan","",IF(W64&lt;&gt;"","◄ Set Row Type","")))</f>
      </c>
      <c r="Y64" s="23">
        <f>IF($B64="Entry",IF(LEN(W64)&lt;4,"",IF(UPPER(MID(W64,4,1))="P","Individual",IF(UPPER(MID(W64,4,1))="H","HUF",IF(UPPER(MID(W64,4,1))="C","Company",IF(UPPER(MID(W64,4,1))="F","Firm/LLP",IF(UPPER(MID(W64,4,1))="L","Local Authority",IF(UPPER(MID(W64,4,1))="T","Trust",IF(UPPER(MID(W64,4,1))="A","AOP",IF(UPPER(MID(W64,4,1))="B","BOI",IF(UPPER(MID(W64,4,1))="J","AJP",IF(UPPER(MID(W64,4,1))="G","Government",""))))))))))),IF($B64="Challan","",IF(W64&lt;&gt;"","◄ Set Row Type","")))</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IF($B64&lt;&gt;"Challan","",SUMIF('Q1 Data'!$D$4:$D$207,D64,'Q1 Data'!$AD$4:$AD$207)+SUMIF('Q1 Data'!$D$4:$D$207,D64,'Q1 Data'!$AG$4:$AG$207)+SUMIF('Q1 Data'!$D$4:$D$207,D64,'Q1 Data'!$AE$4:$AE$207)+SUMIF('Q2 Data'!$D$4:$D$207,D64,'Q2 Data'!$AD$4:$AD$207)+SUMIF('Q2 Data'!$D$4:$D$207,D64,'Q2 Data'!$AG$4:$AG$207)+SUMIF('Q2 Data'!$D$4:$D$207,D64,'Q2 Data'!$AE$4:$AE$207)+SUMIF('Q3 Data'!$D$4:$D$207,D64,'Q3 Data'!$AD$4:$AD$207)+SUMIF('Q3 Data'!$D$4:$D$207,D64,'Q3 Data'!$AG$4:$AG$207)+SUMIF('Q3 Data'!$D$4:$D$207,D64,'Q3 Data'!$AE$4:$AE$207)+SUMIF('Q4 Data'!$D$4:$D$207,D64,'Q4 Data'!$AD$4:$AD$207)+SUMIF('Q4 Data'!$D$4:$D$207,D64,'Q4 Data'!$AG$4:$AG$207)+SUMIF('Q4 Data'!$D$4:$D$207,D64,'Q4 Data'!$AE$4:$AE$207))</f>
      </c>
      <c r="AO64" s="27">
        <f>IF($B64&lt;&gt;"Challan","",P64-N64)</f>
      </c>
      <c r="AP64" s="27">
        <f>IF($B64&lt;&gt;"Challan","",MAX(0,AO64-AN64))</f>
      </c>
      <c r="AQ64" s="33">
        <f>IF($B64&lt;&gt;"Entry","",SUMPRODUCT(('Q1 Data'!$D$4:$D$207=D64)*('Q1 Data'!$B$4:$B$207="Challan")*'Q1 Data'!$F$4:$F$207)+SUMPRODUCT(('Q2 Data'!$D$4:$D$207=D64)*('Q2 Data'!$B$4:$B$207="Challan")*'Q2 Data'!$F$4:$F$207)+SUMPRODUCT(('Q3 Data'!$D$4:$D$207=D64)*('Q3 Data'!$B$4:$B$207="Challan")*'Q3 Data'!$F$4:$F$207)+SUMPRODUCT(('Q4 Data'!$D$4:$D$207=D64)*('Q4 Data'!$B$4:$B$207="Challan")*'Q4 Data'!$F$4:$F$207))</f>
      </c>
      <c r="AR64" s="34">
        <f>IF(OR($B64&lt;&gt;"Entry",Z64=""),FALSE,AND((SUMPRODUCT(('Q1 Data'!$D$4:$D$207=D64)*('Q1 Data'!$B$4:$B$207="Challan")*('Q1 Data'!$H$4:$H$207&lt;&gt;""))+SUMPRODUCT(('Q2 Data'!$D$4:$D$207=D64)*('Q2 Data'!$B$4:$B$207="Challan")*('Q2 Data'!$H$4:$H$207&lt;&gt;""))+SUMPRODUCT(('Q3 Data'!$D$4:$D$207=D64)*('Q3 Data'!$B$4:$B$207="Challan")*('Q3 Data'!$H$4:$H$207&lt;&gt;""))+SUMPRODUCT(('Q4 Data'!$D$4:$D$207=D64)*('Q4 Data'!$B$4:$B$207="Challan")*('Q4 Data'!$H$4:$H$207&lt;&gt;"")))&gt;0,(SUMPRODUCT(('Q1 Data'!$D$4:$D$207=D64)*('Q1 Data'!$B$4:$B$207="Challan")*('Q1 Data'!$H$4:$H$207=Z64))+SUMPRODUCT(('Q2 Data'!$D$4:$D$207=D64)*('Q2 Data'!$B$4:$B$207="Challan")*('Q2 Data'!$H$4:$H$207=Z64))+SUMPRODUCT(('Q3 Data'!$D$4:$D$207=D64)*('Q3 Data'!$B$4:$B$207="Challan")*('Q3 Data'!$H$4:$H$207=Z64))+SUMPRODUCT(('Q4 Data'!$D$4:$D$207=D64)*('Q4 Data'!$B$4:$B$207="Challan")*('Q4 Data'!$H$4:$H$207=Z64)))=0))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IF($B65="Challan","",IF(W65&lt;&gt;"","◄ Set Row Type","")))</f>
      </c>
      <c r="Y65" s="23">
        <f>IF($B65="Entry",IF(LEN(W65)&lt;4,"",IF(UPPER(MID(W65,4,1))="P","Individual",IF(UPPER(MID(W65,4,1))="H","HUF",IF(UPPER(MID(W65,4,1))="C","Company",IF(UPPER(MID(W65,4,1))="F","Firm/LLP",IF(UPPER(MID(W65,4,1))="L","Local Authority",IF(UPPER(MID(W65,4,1))="T","Trust",IF(UPPER(MID(W65,4,1))="A","AOP",IF(UPPER(MID(W65,4,1))="B","BOI",IF(UPPER(MID(W65,4,1))="J","AJP",IF(UPPER(MID(W65,4,1))="G","Government",""))))))))))),IF($B65="Challan","",IF(W65&lt;&gt;"","◄ Set Row Type","")))</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IF($B65&lt;&gt;"Challan","",SUMIF('Q1 Data'!$D$4:$D$207,D65,'Q1 Data'!$AD$4:$AD$207)+SUMIF('Q1 Data'!$D$4:$D$207,D65,'Q1 Data'!$AG$4:$AG$207)+SUMIF('Q1 Data'!$D$4:$D$207,D65,'Q1 Data'!$AE$4:$AE$207)+SUMIF('Q2 Data'!$D$4:$D$207,D65,'Q2 Data'!$AD$4:$AD$207)+SUMIF('Q2 Data'!$D$4:$D$207,D65,'Q2 Data'!$AG$4:$AG$207)+SUMIF('Q2 Data'!$D$4:$D$207,D65,'Q2 Data'!$AE$4:$AE$207)+SUMIF('Q3 Data'!$D$4:$D$207,D65,'Q3 Data'!$AD$4:$AD$207)+SUMIF('Q3 Data'!$D$4:$D$207,D65,'Q3 Data'!$AG$4:$AG$207)+SUMIF('Q3 Data'!$D$4:$D$207,D65,'Q3 Data'!$AE$4:$AE$207)+SUMIF('Q4 Data'!$D$4:$D$207,D65,'Q4 Data'!$AD$4:$AD$207)+SUMIF('Q4 Data'!$D$4:$D$207,D65,'Q4 Data'!$AG$4:$AG$207)+SUMIF('Q4 Data'!$D$4:$D$207,D65,'Q4 Data'!$AE$4:$AE$207))</f>
      </c>
      <c r="AO65" s="27">
        <f>IF($B65&lt;&gt;"Challan","",P65-N65)</f>
      </c>
      <c r="AP65" s="27">
        <f>IF($B65&lt;&gt;"Challan","",MAX(0,AO65-AN65))</f>
      </c>
      <c r="AQ65" s="33">
        <f>IF($B65&lt;&gt;"Entry","",SUMPRODUCT(('Q1 Data'!$D$4:$D$207=D65)*('Q1 Data'!$B$4:$B$207="Challan")*'Q1 Data'!$F$4:$F$207)+SUMPRODUCT(('Q2 Data'!$D$4:$D$207=D65)*('Q2 Data'!$B$4:$B$207="Challan")*'Q2 Data'!$F$4:$F$207)+SUMPRODUCT(('Q3 Data'!$D$4:$D$207=D65)*('Q3 Data'!$B$4:$B$207="Challan")*'Q3 Data'!$F$4:$F$207)+SUMPRODUCT(('Q4 Data'!$D$4:$D$207=D65)*('Q4 Data'!$B$4:$B$207="Challan")*'Q4 Data'!$F$4:$F$207))</f>
      </c>
      <c r="AR65" s="34">
        <f>IF(OR($B65&lt;&gt;"Entry",Z65=""),FALSE,AND((SUMPRODUCT(('Q1 Data'!$D$4:$D$207=D65)*('Q1 Data'!$B$4:$B$207="Challan")*('Q1 Data'!$H$4:$H$207&lt;&gt;""))+SUMPRODUCT(('Q2 Data'!$D$4:$D$207=D65)*('Q2 Data'!$B$4:$B$207="Challan")*('Q2 Data'!$H$4:$H$207&lt;&gt;""))+SUMPRODUCT(('Q3 Data'!$D$4:$D$207=D65)*('Q3 Data'!$B$4:$B$207="Challan")*('Q3 Data'!$H$4:$H$207&lt;&gt;""))+SUMPRODUCT(('Q4 Data'!$D$4:$D$207=D65)*('Q4 Data'!$B$4:$B$207="Challan")*('Q4 Data'!$H$4:$H$207&lt;&gt;"")))&gt;0,(SUMPRODUCT(('Q1 Data'!$D$4:$D$207=D65)*('Q1 Data'!$B$4:$B$207="Challan")*('Q1 Data'!$H$4:$H$207=Z65))+SUMPRODUCT(('Q2 Data'!$D$4:$D$207=D65)*('Q2 Data'!$B$4:$B$207="Challan")*('Q2 Data'!$H$4:$H$207=Z65))+SUMPRODUCT(('Q3 Data'!$D$4:$D$207=D65)*('Q3 Data'!$B$4:$B$207="Challan")*('Q3 Data'!$H$4:$H$207=Z65))+SUMPRODUCT(('Q4 Data'!$D$4:$D$207=D65)*('Q4 Data'!$B$4:$B$207="Challan")*('Q4 Data'!$H$4:$H$207=Z65)))=0))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IF($B66="Challan","",IF(W66&lt;&gt;"","◄ Set Row Type","")))</f>
      </c>
      <c r="Y66" s="23">
        <f>IF($B66="Entry",IF(LEN(W66)&lt;4,"",IF(UPPER(MID(W66,4,1))="P","Individual",IF(UPPER(MID(W66,4,1))="H","HUF",IF(UPPER(MID(W66,4,1))="C","Company",IF(UPPER(MID(W66,4,1))="F","Firm/LLP",IF(UPPER(MID(W66,4,1))="L","Local Authority",IF(UPPER(MID(W66,4,1))="T","Trust",IF(UPPER(MID(W66,4,1))="A","AOP",IF(UPPER(MID(W66,4,1))="B","BOI",IF(UPPER(MID(W66,4,1))="J","AJP",IF(UPPER(MID(W66,4,1))="G","Government",""))))))))))),IF($B66="Challan","",IF(W66&lt;&gt;"","◄ Set Row Type","")))</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IF($B66&lt;&gt;"Challan","",SUMIF('Q1 Data'!$D$4:$D$207,D66,'Q1 Data'!$AD$4:$AD$207)+SUMIF('Q1 Data'!$D$4:$D$207,D66,'Q1 Data'!$AG$4:$AG$207)+SUMIF('Q1 Data'!$D$4:$D$207,D66,'Q1 Data'!$AE$4:$AE$207)+SUMIF('Q2 Data'!$D$4:$D$207,D66,'Q2 Data'!$AD$4:$AD$207)+SUMIF('Q2 Data'!$D$4:$D$207,D66,'Q2 Data'!$AG$4:$AG$207)+SUMIF('Q2 Data'!$D$4:$D$207,D66,'Q2 Data'!$AE$4:$AE$207)+SUMIF('Q3 Data'!$D$4:$D$207,D66,'Q3 Data'!$AD$4:$AD$207)+SUMIF('Q3 Data'!$D$4:$D$207,D66,'Q3 Data'!$AG$4:$AG$207)+SUMIF('Q3 Data'!$D$4:$D$207,D66,'Q3 Data'!$AE$4:$AE$207)+SUMIF('Q4 Data'!$D$4:$D$207,D66,'Q4 Data'!$AD$4:$AD$207)+SUMIF('Q4 Data'!$D$4:$D$207,D66,'Q4 Data'!$AG$4:$AG$207)+SUMIF('Q4 Data'!$D$4:$D$207,D66,'Q4 Data'!$AE$4:$AE$207))</f>
      </c>
      <c r="AO66" s="27">
        <f>IF($B66&lt;&gt;"Challan","",P66-N66)</f>
      </c>
      <c r="AP66" s="27">
        <f>IF($B66&lt;&gt;"Challan","",MAX(0,AO66-AN66))</f>
      </c>
      <c r="AQ66" s="33">
        <f>IF($B66&lt;&gt;"Entry","",SUMPRODUCT(('Q1 Data'!$D$4:$D$207=D66)*('Q1 Data'!$B$4:$B$207="Challan")*'Q1 Data'!$F$4:$F$207)+SUMPRODUCT(('Q2 Data'!$D$4:$D$207=D66)*('Q2 Data'!$B$4:$B$207="Challan")*'Q2 Data'!$F$4:$F$207)+SUMPRODUCT(('Q3 Data'!$D$4:$D$207=D66)*('Q3 Data'!$B$4:$B$207="Challan")*'Q3 Data'!$F$4:$F$207)+SUMPRODUCT(('Q4 Data'!$D$4:$D$207=D66)*('Q4 Data'!$B$4:$B$207="Challan")*'Q4 Data'!$F$4:$F$207))</f>
      </c>
      <c r="AR66" s="34">
        <f>IF(OR($B66&lt;&gt;"Entry",Z66=""),FALSE,AND((SUMPRODUCT(('Q1 Data'!$D$4:$D$207=D66)*('Q1 Data'!$B$4:$B$207="Challan")*('Q1 Data'!$H$4:$H$207&lt;&gt;""))+SUMPRODUCT(('Q2 Data'!$D$4:$D$207=D66)*('Q2 Data'!$B$4:$B$207="Challan")*('Q2 Data'!$H$4:$H$207&lt;&gt;""))+SUMPRODUCT(('Q3 Data'!$D$4:$D$207=D66)*('Q3 Data'!$B$4:$B$207="Challan")*('Q3 Data'!$H$4:$H$207&lt;&gt;""))+SUMPRODUCT(('Q4 Data'!$D$4:$D$207=D66)*('Q4 Data'!$B$4:$B$207="Challan")*('Q4 Data'!$H$4:$H$207&lt;&gt;"")))&gt;0,(SUMPRODUCT(('Q1 Data'!$D$4:$D$207=D66)*('Q1 Data'!$B$4:$B$207="Challan")*('Q1 Data'!$H$4:$H$207=Z66))+SUMPRODUCT(('Q2 Data'!$D$4:$D$207=D66)*('Q2 Data'!$B$4:$B$207="Challan")*('Q2 Data'!$H$4:$H$207=Z66))+SUMPRODUCT(('Q3 Data'!$D$4:$D$207=D66)*('Q3 Data'!$B$4:$B$207="Challan")*('Q3 Data'!$H$4:$H$207=Z66))+SUMPRODUCT(('Q4 Data'!$D$4:$D$207=D66)*('Q4 Data'!$B$4:$B$207="Challan")*('Q4 Data'!$H$4:$H$207=Z66)))=0))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IF($B67="Challan","",IF(W67&lt;&gt;"","◄ Set Row Type","")))</f>
      </c>
      <c r="Y67" s="23">
        <f>IF($B67="Entry",IF(LEN(W67)&lt;4,"",IF(UPPER(MID(W67,4,1))="P","Individual",IF(UPPER(MID(W67,4,1))="H","HUF",IF(UPPER(MID(W67,4,1))="C","Company",IF(UPPER(MID(W67,4,1))="F","Firm/LLP",IF(UPPER(MID(W67,4,1))="L","Local Authority",IF(UPPER(MID(W67,4,1))="T","Trust",IF(UPPER(MID(W67,4,1))="A","AOP",IF(UPPER(MID(W67,4,1))="B","BOI",IF(UPPER(MID(W67,4,1))="J","AJP",IF(UPPER(MID(W67,4,1))="G","Government",""))))))))))),IF($B67="Challan","",IF(W67&lt;&gt;"","◄ Set Row Type","")))</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IF($B67&lt;&gt;"Challan","",SUMIF('Q1 Data'!$D$4:$D$207,D67,'Q1 Data'!$AD$4:$AD$207)+SUMIF('Q1 Data'!$D$4:$D$207,D67,'Q1 Data'!$AG$4:$AG$207)+SUMIF('Q1 Data'!$D$4:$D$207,D67,'Q1 Data'!$AE$4:$AE$207)+SUMIF('Q2 Data'!$D$4:$D$207,D67,'Q2 Data'!$AD$4:$AD$207)+SUMIF('Q2 Data'!$D$4:$D$207,D67,'Q2 Data'!$AG$4:$AG$207)+SUMIF('Q2 Data'!$D$4:$D$207,D67,'Q2 Data'!$AE$4:$AE$207)+SUMIF('Q3 Data'!$D$4:$D$207,D67,'Q3 Data'!$AD$4:$AD$207)+SUMIF('Q3 Data'!$D$4:$D$207,D67,'Q3 Data'!$AG$4:$AG$207)+SUMIF('Q3 Data'!$D$4:$D$207,D67,'Q3 Data'!$AE$4:$AE$207)+SUMIF('Q4 Data'!$D$4:$D$207,D67,'Q4 Data'!$AD$4:$AD$207)+SUMIF('Q4 Data'!$D$4:$D$207,D67,'Q4 Data'!$AG$4:$AG$207)+SUMIF('Q4 Data'!$D$4:$D$207,D67,'Q4 Data'!$AE$4:$AE$207))</f>
      </c>
      <c r="AO67" s="27">
        <f>IF($B67&lt;&gt;"Challan","",P67-N67)</f>
      </c>
      <c r="AP67" s="27">
        <f>IF($B67&lt;&gt;"Challan","",MAX(0,AO67-AN67))</f>
      </c>
      <c r="AQ67" s="33">
        <f>IF($B67&lt;&gt;"Entry","",SUMPRODUCT(('Q1 Data'!$D$4:$D$207=D67)*('Q1 Data'!$B$4:$B$207="Challan")*'Q1 Data'!$F$4:$F$207)+SUMPRODUCT(('Q2 Data'!$D$4:$D$207=D67)*('Q2 Data'!$B$4:$B$207="Challan")*'Q2 Data'!$F$4:$F$207)+SUMPRODUCT(('Q3 Data'!$D$4:$D$207=D67)*('Q3 Data'!$B$4:$B$207="Challan")*'Q3 Data'!$F$4:$F$207)+SUMPRODUCT(('Q4 Data'!$D$4:$D$207=D67)*('Q4 Data'!$B$4:$B$207="Challan")*'Q4 Data'!$F$4:$F$207))</f>
      </c>
      <c r="AR67" s="34">
        <f>IF(OR($B67&lt;&gt;"Entry",Z67=""),FALSE,AND((SUMPRODUCT(('Q1 Data'!$D$4:$D$207=D67)*('Q1 Data'!$B$4:$B$207="Challan")*('Q1 Data'!$H$4:$H$207&lt;&gt;""))+SUMPRODUCT(('Q2 Data'!$D$4:$D$207=D67)*('Q2 Data'!$B$4:$B$207="Challan")*('Q2 Data'!$H$4:$H$207&lt;&gt;""))+SUMPRODUCT(('Q3 Data'!$D$4:$D$207=D67)*('Q3 Data'!$B$4:$B$207="Challan")*('Q3 Data'!$H$4:$H$207&lt;&gt;""))+SUMPRODUCT(('Q4 Data'!$D$4:$D$207=D67)*('Q4 Data'!$B$4:$B$207="Challan")*('Q4 Data'!$H$4:$H$207&lt;&gt;"")))&gt;0,(SUMPRODUCT(('Q1 Data'!$D$4:$D$207=D67)*('Q1 Data'!$B$4:$B$207="Challan")*('Q1 Data'!$H$4:$H$207=Z67))+SUMPRODUCT(('Q2 Data'!$D$4:$D$207=D67)*('Q2 Data'!$B$4:$B$207="Challan")*('Q2 Data'!$H$4:$H$207=Z67))+SUMPRODUCT(('Q3 Data'!$D$4:$D$207=D67)*('Q3 Data'!$B$4:$B$207="Challan")*('Q3 Data'!$H$4:$H$207=Z67))+SUMPRODUCT(('Q4 Data'!$D$4:$D$207=D67)*('Q4 Data'!$B$4:$B$207="Challan")*('Q4 Data'!$H$4:$H$207=Z67)))=0))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IF($B68="Challan","",IF(W68&lt;&gt;"","◄ Set Row Type","")))</f>
      </c>
      <c r="Y68" s="23">
        <f>IF($B68="Entry",IF(LEN(W68)&lt;4,"",IF(UPPER(MID(W68,4,1))="P","Individual",IF(UPPER(MID(W68,4,1))="H","HUF",IF(UPPER(MID(W68,4,1))="C","Company",IF(UPPER(MID(W68,4,1))="F","Firm/LLP",IF(UPPER(MID(W68,4,1))="L","Local Authority",IF(UPPER(MID(W68,4,1))="T","Trust",IF(UPPER(MID(W68,4,1))="A","AOP",IF(UPPER(MID(W68,4,1))="B","BOI",IF(UPPER(MID(W68,4,1))="J","AJP",IF(UPPER(MID(W68,4,1))="G","Government",""))))))))))),IF($B68="Challan","",IF(W68&lt;&gt;"","◄ Set Row Type","")))</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IF($B68&lt;&gt;"Challan","",SUMIF('Q1 Data'!$D$4:$D$207,D68,'Q1 Data'!$AD$4:$AD$207)+SUMIF('Q1 Data'!$D$4:$D$207,D68,'Q1 Data'!$AG$4:$AG$207)+SUMIF('Q1 Data'!$D$4:$D$207,D68,'Q1 Data'!$AE$4:$AE$207)+SUMIF('Q2 Data'!$D$4:$D$207,D68,'Q2 Data'!$AD$4:$AD$207)+SUMIF('Q2 Data'!$D$4:$D$207,D68,'Q2 Data'!$AG$4:$AG$207)+SUMIF('Q2 Data'!$D$4:$D$207,D68,'Q2 Data'!$AE$4:$AE$207)+SUMIF('Q3 Data'!$D$4:$D$207,D68,'Q3 Data'!$AD$4:$AD$207)+SUMIF('Q3 Data'!$D$4:$D$207,D68,'Q3 Data'!$AG$4:$AG$207)+SUMIF('Q3 Data'!$D$4:$D$207,D68,'Q3 Data'!$AE$4:$AE$207)+SUMIF('Q4 Data'!$D$4:$D$207,D68,'Q4 Data'!$AD$4:$AD$207)+SUMIF('Q4 Data'!$D$4:$D$207,D68,'Q4 Data'!$AG$4:$AG$207)+SUMIF('Q4 Data'!$D$4:$D$207,D68,'Q4 Data'!$AE$4:$AE$207))</f>
      </c>
      <c r="AO68" s="27">
        <f>IF($B68&lt;&gt;"Challan","",P68-N68)</f>
      </c>
      <c r="AP68" s="27">
        <f>IF($B68&lt;&gt;"Challan","",MAX(0,AO68-AN68))</f>
      </c>
      <c r="AQ68" s="33">
        <f>IF($B68&lt;&gt;"Entry","",SUMPRODUCT(('Q1 Data'!$D$4:$D$207=D68)*('Q1 Data'!$B$4:$B$207="Challan")*'Q1 Data'!$F$4:$F$207)+SUMPRODUCT(('Q2 Data'!$D$4:$D$207=D68)*('Q2 Data'!$B$4:$B$207="Challan")*'Q2 Data'!$F$4:$F$207)+SUMPRODUCT(('Q3 Data'!$D$4:$D$207=D68)*('Q3 Data'!$B$4:$B$207="Challan")*'Q3 Data'!$F$4:$F$207)+SUMPRODUCT(('Q4 Data'!$D$4:$D$207=D68)*('Q4 Data'!$B$4:$B$207="Challan")*'Q4 Data'!$F$4:$F$207))</f>
      </c>
      <c r="AR68" s="34">
        <f>IF(OR($B68&lt;&gt;"Entry",Z68=""),FALSE,AND((SUMPRODUCT(('Q1 Data'!$D$4:$D$207=D68)*('Q1 Data'!$B$4:$B$207="Challan")*('Q1 Data'!$H$4:$H$207&lt;&gt;""))+SUMPRODUCT(('Q2 Data'!$D$4:$D$207=D68)*('Q2 Data'!$B$4:$B$207="Challan")*('Q2 Data'!$H$4:$H$207&lt;&gt;""))+SUMPRODUCT(('Q3 Data'!$D$4:$D$207=D68)*('Q3 Data'!$B$4:$B$207="Challan")*('Q3 Data'!$H$4:$H$207&lt;&gt;""))+SUMPRODUCT(('Q4 Data'!$D$4:$D$207=D68)*('Q4 Data'!$B$4:$B$207="Challan")*('Q4 Data'!$H$4:$H$207&lt;&gt;"")))&gt;0,(SUMPRODUCT(('Q1 Data'!$D$4:$D$207=D68)*('Q1 Data'!$B$4:$B$207="Challan")*('Q1 Data'!$H$4:$H$207=Z68))+SUMPRODUCT(('Q2 Data'!$D$4:$D$207=D68)*('Q2 Data'!$B$4:$B$207="Challan")*('Q2 Data'!$H$4:$H$207=Z68))+SUMPRODUCT(('Q3 Data'!$D$4:$D$207=D68)*('Q3 Data'!$B$4:$B$207="Challan")*('Q3 Data'!$H$4:$H$207=Z68))+SUMPRODUCT(('Q4 Data'!$D$4:$D$207=D68)*('Q4 Data'!$B$4:$B$207="Challan")*('Q4 Data'!$H$4:$H$207=Z68)))=0))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IF($B69="Challan","",IF(W69&lt;&gt;"","◄ Set Row Type","")))</f>
      </c>
      <c r="Y69" s="23">
        <f>IF($B69="Entry",IF(LEN(W69)&lt;4,"",IF(UPPER(MID(W69,4,1))="P","Individual",IF(UPPER(MID(W69,4,1))="H","HUF",IF(UPPER(MID(W69,4,1))="C","Company",IF(UPPER(MID(W69,4,1))="F","Firm/LLP",IF(UPPER(MID(W69,4,1))="L","Local Authority",IF(UPPER(MID(W69,4,1))="T","Trust",IF(UPPER(MID(W69,4,1))="A","AOP",IF(UPPER(MID(W69,4,1))="B","BOI",IF(UPPER(MID(W69,4,1))="J","AJP",IF(UPPER(MID(W69,4,1))="G","Government",""))))))))))),IF($B69="Challan","",IF(W69&lt;&gt;"","◄ Set Row Type","")))</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IF($B69&lt;&gt;"Challan","",SUMIF('Q1 Data'!$D$4:$D$207,D69,'Q1 Data'!$AD$4:$AD$207)+SUMIF('Q1 Data'!$D$4:$D$207,D69,'Q1 Data'!$AG$4:$AG$207)+SUMIF('Q1 Data'!$D$4:$D$207,D69,'Q1 Data'!$AE$4:$AE$207)+SUMIF('Q2 Data'!$D$4:$D$207,D69,'Q2 Data'!$AD$4:$AD$207)+SUMIF('Q2 Data'!$D$4:$D$207,D69,'Q2 Data'!$AG$4:$AG$207)+SUMIF('Q2 Data'!$D$4:$D$207,D69,'Q2 Data'!$AE$4:$AE$207)+SUMIF('Q3 Data'!$D$4:$D$207,D69,'Q3 Data'!$AD$4:$AD$207)+SUMIF('Q3 Data'!$D$4:$D$207,D69,'Q3 Data'!$AG$4:$AG$207)+SUMIF('Q3 Data'!$D$4:$D$207,D69,'Q3 Data'!$AE$4:$AE$207)+SUMIF('Q4 Data'!$D$4:$D$207,D69,'Q4 Data'!$AD$4:$AD$207)+SUMIF('Q4 Data'!$D$4:$D$207,D69,'Q4 Data'!$AG$4:$AG$207)+SUMIF('Q4 Data'!$D$4:$D$207,D69,'Q4 Data'!$AE$4:$AE$207))</f>
      </c>
      <c r="AO69" s="27">
        <f>IF($B69&lt;&gt;"Challan","",P69-N69)</f>
      </c>
      <c r="AP69" s="27">
        <f>IF($B69&lt;&gt;"Challan","",MAX(0,AO69-AN69))</f>
      </c>
      <c r="AQ69" s="33">
        <f>IF($B69&lt;&gt;"Entry","",SUMPRODUCT(('Q1 Data'!$D$4:$D$207=D69)*('Q1 Data'!$B$4:$B$207="Challan")*'Q1 Data'!$F$4:$F$207)+SUMPRODUCT(('Q2 Data'!$D$4:$D$207=D69)*('Q2 Data'!$B$4:$B$207="Challan")*'Q2 Data'!$F$4:$F$207)+SUMPRODUCT(('Q3 Data'!$D$4:$D$207=D69)*('Q3 Data'!$B$4:$B$207="Challan")*'Q3 Data'!$F$4:$F$207)+SUMPRODUCT(('Q4 Data'!$D$4:$D$207=D69)*('Q4 Data'!$B$4:$B$207="Challan")*'Q4 Data'!$F$4:$F$207))</f>
      </c>
      <c r="AR69" s="34">
        <f>IF(OR($B69&lt;&gt;"Entry",Z69=""),FALSE,AND((SUMPRODUCT(('Q1 Data'!$D$4:$D$207=D69)*('Q1 Data'!$B$4:$B$207="Challan")*('Q1 Data'!$H$4:$H$207&lt;&gt;""))+SUMPRODUCT(('Q2 Data'!$D$4:$D$207=D69)*('Q2 Data'!$B$4:$B$207="Challan")*('Q2 Data'!$H$4:$H$207&lt;&gt;""))+SUMPRODUCT(('Q3 Data'!$D$4:$D$207=D69)*('Q3 Data'!$B$4:$B$207="Challan")*('Q3 Data'!$H$4:$H$207&lt;&gt;""))+SUMPRODUCT(('Q4 Data'!$D$4:$D$207=D69)*('Q4 Data'!$B$4:$B$207="Challan")*('Q4 Data'!$H$4:$H$207&lt;&gt;"")))&gt;0,(SUMPRODUCT(('Q1 Data'!$D$4:$D$207=D69)*('Q1 Data'!$B$4:$B$207="Challan")*('Q1 Data'!$H$4:$H$207=Z69))+SUMPRODUCT(('Q2 Data'!$D$4:$D$207=D69)*('Q2 Data'!$B$4:$B$207="Challan")*('Q2 Data'!$H$4:$H$207=Z69))+SUMPRODUCT(('Q3 Data'!$D$4:$D$207=D69)*('Q3 Data'!$B$4:$B$207="Challan")*('Q3 Data'!$H$4:$H$207=Z69))+SUMPRODUCT(('Q4 Data'!$D$4:$D$207=D69)*('Q4 Data'!$B$4:$B$207="Challan")*('Q4 Data'!$H$4:$H$207=Z69)))=0))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IF($B70="Challan","",IF(W70&lt;&gt;"","◄ Set Row Type","")))</f>
      </c>
      <c r="Y70" s="23">
        <f>IF($B70="Entry",IF(LEN(W70)&lt;4,"",IF(UPPER(MID(W70,4,1))="P","Individual",IF(UPPER(MID(W70,4,1))="H","HUF",IF(UPPER(MID(W70,4,1))="C","Company",IF(UPPER(MID(W70,4,1))="F","Firm/LLP",IF(UPPER(MID(W70,4,1))="L","Local Authority",IF(UPPER(MID(W70,4,1))="T","Trust",IF(UPPER(MID(W70,4,1))="A","AOP",IF(UPPER(MID(W70,4,1))="B","BOI",IF(UPPER(MID(W70,4,1))="J","AJP",IF(UPPER(MID(W70,4,1))="G","Government",""))))))))))),IF($B70="Challan","",IF(W70&lt;&gt;"","◄ Set Row Type","")))</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IF($B70&lt;&gt;"Challan","",SUMIF('Q1 Data'!$D$4:$D$207,D70,'Q1 Data'!$AD$4:$AD$207)+SUMIF('Q1 Data'!$D$4:$D$207,D70,'Q1 Data'!$AG$4:$AG$207)+SUMIF('Q1 Data'!$D$4:$D$207,D70,'Q1 Data'!$AE$4:$AE$207)+SUMIF('Q2 Data'!$D$4:$D$207,D70,'Q2 Data'!$AD$4:$AD$207)+SUMIF('Q2 Data'!$D$4:$D$207,D70,'Q2 Data'!$AG$4:$AG$207)+SUMIF('Q2 Data'!$D$4:$D$207,D70,'Q2 Data'!$AE$4:$AE$207)+SUMIF('Q3 Data'!$D$4:$D$207,D70,'Q3 Data'!$AD$4:$AD$207)+SUMIF('Q3 Data'!$D$4:$D$207,D70,'Q3 Data'!$AG$4:$AG$207)+SUMIF('Q3 Data'!$D$4:$D$207,D70,'Q3 Data'!$AE$4:$AE$207)+SUMIF('Q4 Data'!$D$4:$D$207,D70,'Q4 Data'!$AD$4:$AD$207)+SUMIF('Q4 Data'!$D$4:$D$207,D70,'Q4 Data'!$AG$4:$AG$207)+SUMIF('Q4 Data'!$D$4:$D$207,D70,'Q4 Data'!$AE$4:$AE$207))</f>
      </c>
      <c r="AO70" s="27">
        <f>IF($B70&lt;&gt;"Challan","",P70-N70)</f>
      </c>
      <c r="AP70" s="27">
        <f>IF($B70&lt;&gt;"Challan","",MAX(0,AO70-AN70))</f>
      </c>
      <c r="AQ70" s="33">
        <f>IF($B70&lt;&gt;"Entry","",SUMPRODUCT(('Q1 Data'!$D$4:$D$207=D70)*('Q1 Data'!$B$4:$B$207="Challan")*'Q1 Data'!$F$4:$F$207)+SUMPRODUCT(('Q2 Data'!$D$4:$D$207=D70)*('Q2 Data'!$B$4:$B$207="Challan")*'Q2 Data'!$F$4:$F$207)+SUMPRODUCT(('Q3 Data'!$D$4:$D$207=D70)*('Q3 Data'!$B$4:$B$207="Challan")*'Q3 Data'!$F$4:$F$207)+SUMPRODUCT(('Q4 Data'!$D$4:$D$207=D70)*('Q4 Data'!$B$4:$B$207="Challan")*'Q4 Data'!$F$4:$F$207))</f>
      </c>
      <c r="AR70" s="34">
        <f>IF(OR($B70&lt;&gt;"Entry",Z70=""),FALSE,AND((SUMPRODUCT(('Q1 Data'!$D$4:$D$207=D70)*('Q1 Data'!$B$4:$B$207="Challan")*('Q1 Data'!$H$4:$H$207&lt;&gt;""))+SUMPRODUCT(('Q2 Data'!$D$4:$D$207=D70)*('Q2 Data'!$B$4:$B$207="Challan")*('Q2 Data'!$H$4:$H$207&lt;&gt;""))+SUMPRODUCT(('Q3 Data'!$D$4:$D$207=D70)*('Q3 Data'!$B$4:$B$207="Challan")*('Q3 Data'!$H$4:$H$207&lt;&gt;""))+SUMPRODUCT(('Q4 Data'!$D$4:$D$207=D70)*('Q4 Data'!$B$4:$B$207="Challan")*('Q4 Data'!$H$4:$H$207&lt;&gt;"")))&gt;0,(SUMPRODUCT(('Q1 Data'!$D$4:$D$207=D70)*('Q1 Data'!$B$4:$B$207="Challan")*('Q1 Data'!$H$4:$H$207=Z70))+SUMPRODUCT(('Q2 Data'!$D$4:$D$207=D70)*('Q2 Data'!$B$4:$B$207="Challan")*('Q2 Data'!$H$4:$H$207=Z70))+SUMPRODUCT(('Q3 Data'!$D$4:$D$207=D70)*('Q3 Data'!$B$4:$B$207="Challan")*('Q3 Data'!$H$4:$H$207=Z70))+SUMPRODUCT(('Q4 Data'!$D$4:$D$207=D70)*('Q4 Data'!$B$4:$B$207="Challan")*('Q4 Data'!$H$4:$H$207=Z70)))=0))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IF($B71="Challan","",IF(W71&lt;&gt;"","◄ Set Row Type","")))</f>
      </c>
      <c r="Y71" s="23">
        <f>IF($B71="Entry",IF(LEN(W71)&lt;4,"",IF(UPPER(MID(W71,4,1))="P","Individual",IF(UPPER(MID(W71,4,1))="H","HUF",IF(UPPER(MID(W71,4,1))="C","Company",IF(UPPER(MID(W71,4,1))="F","Firm/LLP",IF(UPPER(MID(W71,4,1))="L","Local Authority",IF(UPPER(MID(W71,4,1))="T","Trust",IF(UPPER(MID(W71,4,1))="A","AOP",IF(UPPER(MID(W71,4,1))="B","BOI",IF(UPPER(MID(W71,4,1))="J","AJP",IF(UPPER(MID(W71,4,1))="G","Government",""))))))))))),IF($B71="Challan","",IF(W71&lt;&gt;"","◄ Set Row Type","")))</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IF($B71&lt;&gt;"Challan","",SUMIF('Q1 Data'!$D$4:$D$207,D71,'Q1 Data'!$AD$4:$AD$207)+SUMIF('Q1 Data'!$D$4:$D$207,D71,'Q1 Data'!$AG$4:$AG$207)+SUMIF('Q1 Data'!$D$4:$D$207,D71,'Q1 Data'!$AE$4:$AE$207)+SUMIF('Q2 Data'!$D$4:$D$207,D71,'Q2 Data'!$AD$4:$AD$207)+SUMIF('Q2 Data'!$D$4:$D$207,D71,'Q2 Data'!$AG$4:$AG$207)+SUMIF('Q2 Data'!$D$4:$D$207,D71,'Q2 Data'!$AE$4:$AE$207)+SUMIF('Q3 Data'!$D$4:$D$207,D71,'Q3 Data'!$AD$4:$AD$207)+SUMIF('Q3 Data'!$D$4:$D$207,D71,'Q3 Data'!$AG$4:$AG$207)+SUMIF('Q3 Data'!$D$4:$D$207,D71,'Q3 Data'!$AE$4:$AE$207)+SUMIF('Q4 Data'!$D$4:$D$207,D71,'Q4 Data'!$AD$4:$AD$207)+SUMIF('Q4 Data'!$D$4:$D$207,D71,'Q4 Data'!$AG$4:$AG$207)+SUMIF('Q4 Data'!$D$4:$D$207,D71,'Q4 Data'!$AE$4:$AE$207))</f>
      </c>
      <c r="AO71" s="27">
        <f>IF($B71&lt;&gt;"Challan","",P71-N71)</f>
      </c>
      <c r="AP71" s="27">
        <f>IF($B71&lt;&gt;"Challan","",MAX(0,AO71-AN71))</f>
      </c>
      <c r="AQ71" s="33">
        <f>IF($B71&lt;&gt;"Entry","",SUMPRODUCT(('Q1 Data'!$D$4:$D$207=D71)*('Q1 Data'!$B$4:$B$207="Challan")*'Q1 Data'!$F$4:$F$207)+SUMPRODUCT(('Q2 Data'!$D$4:$D$207=D71)*('Q2 Data'!$B$4:$B$207="Challan")*'Q2 Data'!$F$4:$F$207)+SUMPRODUCT(('Q3 Data'!$D$4:$D$207=D71)*('Q3 Data'!$B$4:$B$207="Challan")*'Q3 Data'!$F$4:$F$207)+SUMPRODUCT(('Q4 Data'!$D$4:$D$207=D71)*('Q4 Data'!$B$4:$B$207="Challan")*'Q4 Data'!$F$4:$F$207))</f>
      </c>
      <c r="AR71" s="34">
        <f>IF(OR($B71&lt;&gt;"Entry",Z71=""),FALSE,AND((SUMPRODUCT(('Q1 Data'!$D$4:$D$207=D71)*('Q1 Data'!$B$4:$B$207="Challan")*('Q1 Data'!$H$4:$H$207&lt;&gt;""))+SUMPRODUCT(('Q2 Data'!$D$4:$D$207=D71)*('Q2 Data'!$B$4:$B$207="Challan")*('Q2 Data'!$H$4:$H$207&lt;&gt;""))+SUMPRODUCT(('Q3 Data'!$D$4:$D$207=D71)*('Q3 Data'!$B$4:$B$207="Challan")*('Q3 Data'!$H$4:$H$207&lt;&gt;""))+SUMPRODUCT(('Q4 Data'!$D$4:$D$207=D71)*('Q4 Data'!$B$4:$B$207="Challan")*('Q4 Data'!$H$4:$H$207&lt;&gt;"")))&gt;0,(SUMPRODUCT(('Q1 Data'!$D$4:$D$207=D71)*('Q1 Data'!$B$4:$B$207="Challan")*('Q1 Data'!$H$4:$H$207=Z71))+SUMPRODUCT(('Q2 Data'!$D$4:$D$207=D71)*('Q2 Data'!$B$4:$B$207="Challan")*('Q2 Data'!$H$4:$H$207=Z71))+SUMPRODUCT(('Q3 Data'!$D$4:$D$207=D71)*('Q3 Data'!$B$4:$B$207="Challan")*('Q3 Data'!$H$4:$H$207=Z71))+SUMPRODUCT(('Q4 Data'!$D$4:$D$207=D71)*('Q4 Data'!$B$4:$B$207="Challan")*('Q4 Data'!$H$4:$H$207=Z71)))=0))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IF($B72="Challan","",IF(W72&lt;&gt;"","◄ Set Row Type","")))</f>
      </c>
      <c r="Y72" s="23">
        <f>IF($B72="Entry",IF(LEN(W72)&lt;4,"",IF(UPPER(MID(W72,4,1))="P","Individual",IF(UPPER(MID(W72,4,1))="H","HUF",IF(UPPER(MID(W72,4,1))="C","Company",IF(UPPER(MID(W72,4,1))="F","Firm/LLP",IF(UPPER(MID(W72,4,1))="L","Local Authority",IF(UPPER(MID(W72,4,1))="T","Trust",IF(UPPER(MID(W72,4,1))="A","AOP",IF(UPPER(MID(W72,4,1))="B","BOI",IF(UPPER(MID(W72,4,1))="J","AJP",IF(UPPER(MID(W72,4,1))="G","Government",""))))))))))),IF($B72="Challan","",IF(W72&lt;&gt;"","◄ Set Row Type","")))</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IF($B72&lt;&gt;"Challan","",SUMIF('Q1 Data'!$D$4:$D$207,D72,'Q1 Data'!$AD$4:$AD$207)+SUMIF('Q1 Data'!$D$4:$D$207,D72,'Q1 Data'!$AG$4:$AG$207)+SUMIF('Q1 Data'!$D$4:$D$207,D72,'Q1 Data'!$AE$4:$AE$207)+SUMIF('Q2 Data'!$D$4:$D$207,D72,'Q2 Data'!$AD$4:$AD$207)+SUMIF('Q2 Data'!$D$4:$D$207,D72,'Q2 Data'!$AG$4:$AG$207)+SUMIF('Q2 Data'!$D$4:$D$207,D72,'Q2 Data'!$AE$4:$AE$207)+SUMIF('Q3 Data'!$D$4:$D$207,D72,'Q3 Data'!$AD$4:$AD$207)+SUMIF('Q3 Data'!$D$4:$D$207,D72,'Q3 Data'!$AG$4:$AG$207)+SUMIF('Q3 Data'!$D$4:$D$207,D72,'Q3 Data'!$AE$4:$AE$207)+SUMIF('Q4 Data'!$D$4:$D$207,D72,'Q4 Data'!$AD$4:$AD$207)+SUMIF('Q4 Data'!$D$4:$D$207,D72,'Q4 Data'!$AG$4:$AG$207)+SUMIF('Q4 Data'!$D$4:$D$207,D72,'Q4 Data'!$AE$4:$AE$207))</f>
      </c>
      <c r="AO72" s="27">
        <f>IF($B72&lt;&gt;"Challan","",P72-N72)</f>
      </c>
      <c r="AP72" s="27">
        <f>IF($B72&lt;&gt;"Challan","",MAX(0,AO72-AN72))</f>
      </c>
      <c r="AQ72" s="33">
        <f>IF($B72&lt;&gt;"Entry","",SUMPRODUCT(('Q1 Data'!$D$4:$D$207=D72)*('Q1 Data'!$B$4:$B$207="Challan")*'Q1 Data'!$F$4:$F$207)+SUMPRODUCT(('Q2 Data'!$D$4:$D$207=D72)*('Q2 Data'!$B$4:$B$207="Challan")*'Q2 Data'!$F$4:$F$207)+SUMPRODUCT(('Q3 Data'!$D$4:$D$207=D72)*('Q3 Data'!$B$4:$B$207="Challan")*'Q3 Data'!$F$4:$F$207)+SUMPRODUCT(('Q4 Data'!$D$4:$D$207=D72)*('Q4 Data'!$B$4:$B$207="Challan")*'Q4 Data'!$F$4:$F$207))</f>
      </c>
      <c r="AR72" s="34">
        <f>IF(OR($B72&lt;&gt;"Entry",Z72=""),FALSE,AND((SUMPRODUCT(('Q1 Data'!$D$4:$D$207=D72)*('Q1 Data'!$B$4:$B$207="Challan")*('Q1 Data'!$H$4:$H$207&lt;&gt;""))+SUMPRODUCT(('Q2 Data'!$D$4:$D$207=D72)*('Q2 Data'!$B$4:$B$207="Challan")*('Q2 Data'!$H$4:$H$207&lt;&gt;""))+SUMPRODUCT(('Q3 Data'!$D$4:$D$207=D72)*('Q3 Data'!$B$4:$B$207="Challan")*('Q3 Data'!$H$4:$H$207&lt;&gt;""))+SUMPRODUCT(('Q4 Data'!$D$4:$D$207=D72)*('Q4 Data'!$B$4:$B$207="Challan")*('Q4 Data'!$H$4:$H$207&lt;&gt;"")))&gt;0,(SUMPRODUCT(('Q1 Data'!$D$4:$D$207=D72)*('Q1 Data'!$B$4:$B$207="Challan")*('Q1 Data'!$H$4:$H$207=Z72))+SUMPRODUCT(('Q2 Data'!$D$4:$D$207=D72)*('Q2 Data'!$B$4:$B$207="Challan")*('Q2 Data'!$H$4:$H$207=Z72))+SUMPRODUCT(('Q3 Data'!$D$4:$D$207=D72)*('Q3 Data'!$B$4:$B$207="Challan")*('Q3 Data'!$H$4:$H$207=Z72))+SUMPRODUCT(('Q4 Data'!$D$4:$D$207=D72)*('Q4 Data'!$B$4:$B$207="Challan")*('Q4 Data'!$H$4:$H$207=Z72)))=0))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IF($B73="Challan","",IF(W73&lt;&gt;"","◄ Set Row Type","")))</f>
      </c>
      <c r="Y73" s="23">
        <f>IF($B73="Entry",IF(LEN(W73)&lt;4,"",IF(UPPER(MID(W73,4,1))="P","Individual",IF(UPPER(MID(W73,4,1))="H","HUF",IF(UPPER(MID(W73,4,1))="C","Company",IF(UPPER(MID(W73,4,1))="F","Firm/LLP",IF(UPPER(MID(W73,4,1))="L","Local Authority",IF(UPPER(MID(W73,4,1))="T","Trust",IF(UPPER(MID(W73,4,1))="A","AOP",IF(UPPER(MID(W73,4,1))="B","BOI",IF(UPPER(MID(W73,4,1))="J","AJP",IF(UPPER(MID(W73,4,1))="G","Government",""))))))))))),IF($B73="Challan","",IF(W73&lt;&gt;"","◄ Set Row Type","")))</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IF($B73&lt;&gt;"Challan","",SUMIF('Q1 Data'!$D$4:$D$207,D73,'Q1 Data'!$AD$4:$AD$207)+SUMIF('Q1 Data'!$D$4:$D$207,D73,'Q1 Data'!$AG$4:$AG$207)+SUMIF('Q1 Data'!$D$4:$D$207,D73,'Q1 Data'!$AE$4:$AE$207)+SUMIF('Q2 Data'!$D$4:$D$207,D73,'Q2 Data'!$AD$4:$AD$207)+SUMIF('Q2 Data'!$D$4:$D$207,D73,'Q2 Data'!$AG$4:$AG$207)+SUMIF('Q2 Data'!$D$4:$D$207,D73,'Q2 Data'!$AE$4:$AE$207)+SUMIF('Q3 Data'!$D$4:$D$207,D73,'Q3 Data'!$AD$4:$AD$207)+SUMIF('Q3 Data'!$D$4:$D$207,D73,'Q3 Data'!$AG$4:$AG$207)+SUMIF('Q3 Data'!$D$4:$D$207,D73,'Q3 Data'!$AE$4:$AE$207)+SUMIF('Q4 Data'!$D$4:$D$207,D73,'Q4 Data'!$AD$4:$AD$207)+SUMIF('Q4 Data'!$D$4:$D$207,D73,'Q4 Data'!$AG$4:$AG$207)+SUMIF('Q4 Data'!$D$4:$D$207,D73,'Q4 Data'!$AE$4:$AE$207))</f>
      </c>
      <c r="AO73" s="27">
        <f>IF($B73&lt;&gt;"Challan","",P73-N73)</f>
      </c>
      <c r="AP73" s="27">
        <f>IF($B73&lt;&gt;"Challan","",MAX(0,AO73-AN73))</f>
      </c>
      <c r="AQ73" s="33">
        <f>IF($B73&lt;&gt;"Entry","",SUMPRODUCT(('Q1 Data'!$D$4:$D$207=D73)*('Q1 Data'!$B$4:$B$207="Challan")*'Q1 Data'!$F$4:$F$207)+SUMPRODUCT(('Q2 Data'!$D$4:$D$207=D73)*('Q2 Data'!$B$4:$B$207="Challan")*'Q2 Data'!$F$4:$F$207)+SUMPRODUCT(('Q3 Data'!$D$4:$D$207=D73)*('Q3 Data'!$B$4:$B$207="Challan")*'Q3 Data'!$F$4:$F$207)+SUMPRODUCT(('Q4 Data'!$D$4:$D$207=D73)*('Q4 Data'!$B$4:$B$207="Challan")*'Q4 Data'!$F$4:$F$207))</f>
      </c>
      <c r="AR73" s="34">
        <f>IF(OR($B73&lt;&gt;"Entry",Z73=""),FALSE,AND((SUMPRODUCT(('Q1 Data'!$D$4:$D$207=D73)*('Q1 Data'!$B$4:$B$207="Challan")*('Q1 Data'!$H$4:$H$207&lt;&gt;""))+SUMPRODUCT(('Q2 Data'!$D$4:$D$207=D73)*('Q2 Data'!$B$4:$B$207="Challan")*('Q2 Data'!$H$4:$H$207&lt;&gt;""))+SUMPRODUCT(('Q3 Data'!$D$4:$D$207=D73)*('Q3 Data'!$B$4:$B$207="Challan")*('Q3 Data'!$H$4:$H$207&lt;&gt;""))+SUMPRODUCT(('Q4 Data'!$D$4:$D$207=D73)*('Q4 Data'!$B$4:$B$207="Challan")*('Q4 Data'!$H$4:$H$207&lt;&gt;"")))&gt;0,(SUMPRODUCT(('Q1 Data'!$D$4:$D$207=D73)*('Q1 Data'!$B$4:$B$207="Challan")*('Q1 Data'!$H$4:$H$207=Z73))+SUMPRODUCT(('Q2 Data'!$D$4:$D$207=D73)*('Q2 Data'!$B$4:$B$207="Challan")*('Q2 Data'!$H$4:$H$207=Z73))+SUMPRODUCT(('Q3 Data'!$D$4:$D$207=D73)*('Q3 Data'!$B$4:$B$207="Challan")*('Q3 Data'!$H$4:$H$207=Z73))+SUMPRODUCT(('Q4 Data'!$D$4:$D$207=D73)*('Q4 Data'!$B$4:$B$207="Challan")*('Q4 Data'!$H$4:$H$207=Z73)))=0))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IF($B74="Challan","",IF(W74&lt;&gt;"","◄ Set Row Type","")))</f>
      </c>
      <c r="Y74" s="23">
        <f>IF($B74="Entry",IF(LEN(W74)&lt;4,"",IF(UPPER(MID(W74,4,1))="P","Individual",IF(UPPER(MID(W74,4,1))="H","HUF",IF(UPPER(MID(W74,4,1))="C","Company",IF(UPPER(MID(W74,4,1))="F","Firm/LLP",IF(UPPER(MID(W74,4,1))="L","Local Authority",IF(UPPER(MID(W74,4,1))="T","Trust",IF(UPPER(MID(W74,4,1))="A","AOP",IF(UPPER(MID(W74,4,1))="B","BOI",IF(UPPER(MID(W74,4,1))="J","AJP",IF(UPPER(MID(W74,4,1))="G","Government",""))))))))))),IF($B74="Challan","",IF(W74&lt;&gt;"","◄ Set Row Type","")))</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IF($B74&lt;&gt;"Challan","",SUMIF('Q1 Data'!$D$4:$D$207,D74,'Q1 Data'!$AD$4:$AD$207)+SUMIF('Q1 Data'!$D$4:$D$207,D74,'Q1 Data'!$AG$4:$AG$207)+SUMIF('Q1 Data'!$D$4:$D$207,D74,'Q1 Data'!$AE$4:$AE$207)+SUMIF('Q2 Data'!$D$4:$D$207,D74,'Q2 Data'!$AD$4:$AD$207)+SUMIF('Q2 Data'!$D$4:$D$207,D74,'Q2 Data'!$AG$4:$AG$207)+SUMIF('Q2 Data'!$D$4:$D$207,D74,'Q2 Data'!$AE$4:$AE$207)+SUMIF('Q3 Data'!$D$4:$D$207,D74,'Q3 Data'!$AD$4:$AD$207)+SUMIF('Q3 Data'!$D$4:$D$207,D74,'Q3 Data'!$AG$4:$AG$207)+SUMIF('Q3 Data'!$D$4:$D$207,D74,'Q3 Data'!$AE$4:$AE$207)+SUMIF('Q4 Data'!$D$4:$D$207,D74,'Q4 Data'!$AD$4:$AD$207)+SUMIF('Q4 Data'!$D$4:$D$207,D74,'Q4 Data'!$AG$4:$AG$207)+SUMIF('Q4 Data'!$D$4:$D$207,D74,'Q4 Data'!$AE$4:$AE$207))</f>
      </c>
      <c r="AO74" s="27">
        <f>IF($B74&lt;&gt;"Challan","",P74-N74)</f>
      </c>
      <c r="AP74" s="27">
        <f>IF($B74&lt;&gt;"Challan","",MAX(0,AO74-AN74))</f>
      </c>
      <c r="AQ74" s="33">
        <f>IF($B74&lt;&gt;"Entry","",SUMPRODUCT(('Q1 Data'!$D$4:$D$207=D74)*('Q1 Data'!$B$4:$B$207="Challan")*'Q1 Data'!$F$4:$F$207)+SUMPRODUCT(('Q2 Data'!$D$4:$D$207=D74)*('Q2 Data'!$B$4:$B$207="Challan")*'Q2 Data'!$F$4:$F$207)+SUMPRODUCT(('Q3 Data'!$D$4:$D$207=D74)*('Q3 Data'!$B$4:$B$207="Challan")*'Q3 Data'!$F$4:$F$207)+SUMPRODUCT(('Q4 Data'!$D$4:$D$207=D74)*('Q4 Data'!$B$4:$B$207="Challan")*'Q4 Data'!$F$4:$F$207))</f>
      </c>
      <c r="AR74" s="34">
        <f>IF(OR($B74&lt;&gt;"Entry",Z74=""),FALSE,AND((SUMPRODUCT(('Q1 Data'!$D$4:$D$207=D74)*('Q1 Data'!$B$4:$B$207="Challan")*('Q1 Data'!$H$4:$H$207&lt;&gt;""))+SUMPRODUCT(('Q2 Data'!$D$4:$D$207=D74)*('Q2 Data'!$B$4:$B$207="Challan")*('Q2 Data'!$H$4:$H$207&lt;&gt;""))+SUMPRODUCT(('Q3 Data'!$D$4:$D$207=D74)*('Q3 Data'!$B$4:$B$207="Challan")*('Q3 Data'!$H$4:$H$207&lt;&gt;""))+SUMPRODUCT(('Q4 Data'!$D$4:$D$207=D74)*('Q4 Data'!$B$4:$B$207="Challan")*('Q4 Data'!$H$4:$H$207&lt;&gt;"")))&gt;0,(SUMPRODUCT(('Q1 Data'!$D$4:$D$207=D74)*('Q1 Data'!$B$4:$B$207="Challan")*('Q1 Data'!$H$4:$H$207=Z74))+SUMPRODUCT(('Q2 Data'!$D$4:$D$207=D74)*('Q2 Data'!$B$4:$B$207="Challan")*('Q2 Data'!$H$4:$H$207=Z74))+SUMPRODUCT(('Q3 Data'!$D$4:$D$207=D74)*('Q3 Data'!$B$4:$B$207="Challan")*('Q3 Data'!$H$4:$H$207=Z74))+SUMPRODUCT(('Q4 Data'!$D$4:$D$207=D74)*('Q4 Data'!$B$4:$B$207="Challan")*('Q4 Data'!$H$4:$H$207=Z74)))=0))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IF($B75="Challan","",IF(W75&lt;&gt;"","◄ Set Row Type","")))</f>
      </c>
      <c r="Y75" s="23">
        <f>IF($B75="Entry",IF(LEN(W75)&lt;4,"",IF(UPPER(MID(W75,4,1))="P","Individual",IF(UPPER(MID(W75,4,1))="H","HUF",IF(UPPER(MID(W75,4,1))="C","Company",IF(UPPER(MID(W75,4,1))="F","Firm/LLP",IF(UPPER(MID(W75,4,1))="L","Local Authority",IF(UPPER(MID(W75,4,1))="T","Trust",IF(UPPER(MID(W75,4,1))="A","AOP",IF(UPPER(MID(W75,4,1))="B","BOI",IF(UPPER(MID(W75,4,1))="J","AJP",IF(UPPER(MID(W75,4,1))="G","Government",""))))))))))),IF($B75="Challan","",IF(W75&lt;&gt;"","◄ Set Row Type","")))</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IF($B75&lt;&gt;"Challan","",SUMIF('Q1 Data'!$D$4:$D$207,D75,'Q1 Data'!$AD$4:$AD$207)+SUMIF('Q1 Data'!$D$4:$D$207,D75,'Q1 Data'!$AG$4:$AG$207)+SUMIF('Q1 Data'!$D$4:$D$207,D75,'Q1 Data'!$AE$4:$AE$207)+SUMIF('Q2 Data'!$D$4:$D$207,D75,'Q2 Data'!$AD$4:$AD$207)+SUMIF('Q2 Data'!$D$4:$D$207,D75,'Q2 Data'!$AG$4:$AG$207)+SUMIF('Q2 Data'!$D$4:$D$207,D75,'Q2 Data'!$AE$4:$AE$207)+SUMIF('Q3 Data'!$D$4:$D$207,D75,'Q3 Data'!$AD$4:$AD$207)+SUMIF('Q3 Data'!$D$4:$D$207,D75,'Q3 Data'!$AG$4:$AG$207)+SUMIF('Q3 Data'!$D$4:$D$207,D75,'Q3 Data'!$AE$4:$AE$207)+SUMIF('Q4 Data'!$D$4:$D$207,D75,'Q4 Data'!$AD$4:$AD$207)+SUMIF('Q4 Data'!$D$4:$D$207,D75,'Q4 Data'!$AG$4:$AG$207)+SUMIF('Q4 Data'!$D$4:$D$207,D75,'Q4 Data'!$AE$4:$AE$207))</f>
      </c>
      <c r="AO75" s="27">
        <f>IF($B75&lt;&gt;"Challan","",P75-N75)</f>
      </c>
      <c r="AP75" s="27">
        <f>IF($B75&lt;&gt;"Challan","",MAX(0,AO75-AN75))</f>
      </c>
      <c r="AQ75" s="33">
        <f>IF($B75&lt;&gt;"Entry","",SUMPRODUCT(('Q1 Data'!$D$4:$D$207=D75)*('Q1 Data'!$B$4:$B$207="Challan")*'Q1 Data'!$F$4:$F$207)+SUMPRODUCT(('Q2 Data'!$D$4:$D$207=D75)*('Q2 Data'!$B$4:$B$207="Challan")*'Q2 Data'!$F$4:$F$207)+SUMPRODUCT(('Q3 Data'!$D$4:$D$207=D75)*('Q3 Data'!$B$4:$B$207="Challan")*'Q3 Data'!$F$4:$F$207)+SUMPRODUCT(('Q4 Data'!$D$4:$D$207=D75)*('Q4 Data'!$B$4:$B$207="Challan")*'Q4 Data'!$F$4:$F$207))</f>
      </c>
      <c r="AR75" s="34">
        <f>IF(OR($B75&lt;&gt;"Entry",Z75=""),FALSE,AND((SUMPRODUCT(('Q1 Data'!$D$4:$D$207=D75)*('Q1 Data'!$B$4:$B$207="Challan")*('Q1 Data'!$H$4:$H$207&lt;&gt;""))+SUMPRODUCT(('Q2 Data'!$D$4:$D$207=D75)*('Q2 Data'!$B$4:$B$207="Challan")*('Q2 Data'!$H$4:$H$207&lt;&gt;""))+SUMPRODUCT(('Q3 Data'!$D$4:$D$207=D75)*('Q3 Data'!$B$4:$B$207="Challan")*('Q3 Data'!$H$4:$H$207&lt;&gt;""))+SUMPRODUCT(('Q4 Data'!$D$4:$D$207=D75)*('Q4 Data'!$B$4:$B$207="Challan")*('Q4 Data'!$H$4:$H$207&lt;&gt;"")))&gt;0,(SUMPRODUCT(('Q1 Data'!$D$4:$D$207=D75)*('Q1 Data'!$B$4:$B$207="Challan")*('Q1 Data'!$H$4:$H$207=Z75))+SUMPRODUCT(('Q2 Data'!$D$4:$D$207=D75)*('Q2 Data'!$B$4:$B$207="Challan")*('Q2 Data'!$H$4:$H$207=Z75))+SUMPRODUCT(('Q3 Data'!$D$4:$D$207=D75)*('Q3 Data'!$B$4:$B$207="Challan")*('Q3 Data'!$H$4:$H$207=Z75))+SUMPRODUCT(('Q4 Data'!$D$4:$D$207=D75)*('Q4 Data'!$B$4:$B$207="Challan")*('Q4 Data'!$H$4:$H$207=Z75)))=0))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IF($B76="Challan","",IF(W76&lt;&gt;"","◄ Set Row Type","")))</f>
      </c>
      <c r="Y76" s="23">
        <f>IF($B76="Entry",IF(LEN(W76)&lt;4,"",IF(UPPER(MID(W76,4,1))="P","Individual",IF(UPPER(MID(W76,4,1))="H","HUF",IF(UPPER(MID(W76,4,1))="C","Company",IF(UPPER(MID(W76,4,1))="F","Firm/LLP",IF(UPPER(MID(W76,4,1))="L","Local Authority",IF(UPPER(MID(W76,4,1))="T","Trust",IF(UPPER(MID(W76,4,1))="A","AOP",IF(UPPER(MID(W76,4,1))="B","BOI",IF(UPPER(MID(W76,4,1))="J","AJP",IF(UPPER(MID(W76,4,1))="G","Government",""))))))))))),IF($B76="Challan","",IF(W76&lt;&gt;"","◄ Set Row Type","")))</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IF($B76&lt;&gt;"Challan","",SUMIF('Q1 Data'!$D$4:$D$207,D76,'Q1 Data'!$AD$4:$AD$207)+SUMIF('Q1 Data'!$D$4:$D$207,D76,'Q1 Data'!$AG$4:$AG$207)+SUMIF('Q1 Data'!$D$4:$D$207,D76,'Q1 Data'!$AE$4:$AE$207)+SUMIF('Q2 Data'!$D$4:$D$207,D76,'Q2 Data'!$AD$4:$AD$207)+SUMIF('Q2 Data'!$D$4:$D$207,D76,'Q2 Data'!$AG$4:$AG$207)+SUMIF('Q2 Data'!$D$4:$D$207,D76,'Q2 Data'!$AE$4:$AE$207)+SUMIF('Q3 Data'!$D$4:$D$207,D76,'Q3 Data'!$AD$4:$AD$207)+SUMIF('Q3 Data'!$D$4:$D$207,D76,'Q3 Data'!$AG$4:$AG$207)+SUMIF('Q3 Data'!$D$4:$D$207,D76,'Q3 Data'!$AE$4:$AE$207)+SUMIF('Q4 Data'!$D$4:$D$207,D76,'Q4 Data'!$AD$4:$AD$207)+SUMIF('Q4 Data'!$D$4:$D$207,D76,'Q4 Data'!$AG$4:$AG$207)+SUMIF('Q4 Data'!$D$4:$D$207,D76,'Q4 Data'!$AE$4:$AE$207))</f>
      </c>
      <c r="AO76" s="27">
        <f>IF($B76&lt;&gt;"Challan","",P76-N76)</f>
      </c>
      <c r="AP76" s="27">
        <f>IF($B76&lt;&gt;"Challan","",MAX(0,AO76-AN76))</f>
      </c>
      <c r="AQ76" s="33">
        <f>IF($B76&lt;&gt;"Entry","",SUMPRODUCT(('Q1 Data'!$D$4:$D$207=D76)*('Q1 Data'!$B$4:$B$207="Challan")*'Q1 Data'!$F$4:$F$207)+SUMPRODUCT(('Q2 Data'!$D$4:$D$207=D76)*('Q2 Data'!$B$4:$B$207="Challan")*'Q2 Data'!$F$4:$F$207)+SUMPRODUCT(('Q3 Data'!$D$4:$D$207=D76)*('Q3 Data'!$B$4:$B$207="Challan")*'Q3 Data'!$F$4:$F$207)+SUMPRODUCT(('Q4 Data'!$D$4:$D$207=D76)*('Q4 Data'!$B$4:$B$207="Challan")*'Q4 Data'!$F$4:$F$207))</f>
      </c>
      <c r="AR76" s="34">
        <f>IF(OR($B76&lt;&gt;"Entry",Z76=""),FALSE,AND((SUMPRODUCT(('Q1 Data'!$D$4:$D$207=D76)*('Q1 Data'!$B$4:$B$207="Challan")*('Q1 Data'!$H$4:$H$207&lt;&gt;""))+SUMPRODUCT(('Q2 Data'!$D$4:$D$207=D76)*('Q2 Data'!$B$4:$B$207="Challan")*('Q2 Data'!$H$4:$H$207&lt;&gt;""))+SUMPRODUCT(('Q3 Data'!$D$4:$D$207=D76)*('Q3 Data'!$B$4:$B$207="Challan")*('Q3 Data'!$H$4:$H$207&lt;&gt;""))+SUMPRODUCT(('Q4 Data'!$D$4:$D$207=D76)*('Q4 Data'!$B$4:$B$207="Challan")*('Q4 Data'!$H$4:$H$207&lt;&gt;"")))&gt;0,(SUMPRODUCT(('Q1 Data'!$D$4:$D$207=D76)*('Q1 Data'!$B$4:$B$207="Challan")*('Q1 Data'!$H$4:$H$207=Z76))+SUMPRODUCT(('Q2 Data'!$D$4:$D$207=D76)*('Q2 Data'!$B$4:$B$207="Challan")*('Q2 Data'!$H$4:$H$207=Z76))+SUMPRODUCT(('Q3 Data'!$D$4:$D$207=D76)*('Q3 Data'!$B$4:$B$207="Challan")*('Q3 Data'!$H$4:$H$207=Z76))+SUMPRODUCT(('Q4 Data'!$D$4:$D$207=D76)*('Q4 Data'!$B$4:$B$207="Challan")*('Q4 Data'!$H$4:$H$207=Z76)))=0))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IF($B77="Challan","",IF(W77&lt;&gt;"","◄ Set Row Type","")))</f>
      </c>
      <c r="Y77" s="23">
        <f>IF($B77="Entry",IF(LEN(W77)&lt;4,"",IF(UPPER(MID(W77,4,1))="P","Individual",IF(UPPER(MID(W77,4,1))="H","HUF",IF(UPPER(MID(W77,4,1))="C","Company",IF(UPPER(MID(W77,4,1))="F","Firm/LLP",IF(UPPER(MID(W77,4,1))="L","Local Authority",IF(UPPER(MID(W77,4,1))="T","Trust",IF(UPPER(MID(W77,4,1))="A","AOP",IF(UPPER(MID(W77,4,1))="B","BOI",IF(UPPER(MID(W77,4,1))="J","AJP",IF(UPPER(MID(W77,4,1))="G","Government",""))))))))))),IF($B77="Challan","",IF(W77&lt;&gt;"","◄ Set Row Type","")))</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IF($B77&lt;&gt;"Challan","",SUMIF('Q1 Data'!$D$4:$D$207,D77,'Q1 Data'!$AD$4:$AD$207)+SUMIF('Q1 Data'!$D$4:$D$207,D77,'Q1 Data'!$AG$4:$AG$207)+SUMIF('Q1 Data'!$D$4:$D$207,D77,'Q1 Data'!$AE$4:$AE$207)+SUMIF('Q2 Data'!$D$4:$D$207,D77,'Q2 Data'!$AD$4:$AD$207)+SUMIF('Q2 Data'!$D$4:$D$207,D77,'Q2 Data'!$AG$4:$AG$207)+SUMIF('Q2 Data'!$D$4:$D$207,D77,'Q2 Data'!$AE$4:$AE$207)+SUMIF('Q3 Data'!$D$4:$D$207,D77,'Q3 Data'!$AD$4:$AD$207)+SUMIF('Q3 Data'!$D$4:$D$207,D77,'Q3 Data'!$AG$4:$AG$207)+SUMIF('Q3 Data'!$D$4:$D$207,D77,'Q3 Data'!$AE$4:$AE$207)+SUMIF('Q4 Data'!$D$4:$D$207,D77,'Q4 Data'!$AD$4:$AD$207)+SUMIF('Q4 Data'!$D$4:$D$207,D77,'Q4 Data'!$AG$4:$AG$207)+SUMIF('Q4 Data'!$D$4:$D$207,D77,'Q4 Data'!$AE$4:$AE$207))</f>
      </c>
      <c r="AO77" s="27">
        <f>IF($B77&lt;&gt;"Challan","",P77-N77)</f>
      </c>
      <c r="AP77" s="27">
        <f>IF($B77&lt;&gt;"Challan","",MAX(0,AO77-AN77))</f>
      </c>
      <c r="AQ77" s="33">
        <f>IF($B77&lt;&gt;"Entry","",SUMPRODUCT(('Q1 Data'!$D$4:$D$207=D77)*('Q1 Data'!$B$4:$B$207="Challan")*'Q1 Data'!$F$4:$F$207)+SUMPRODUCT(('Q2 Data'!$D$4:$D$207=D77)*('Q2 Data'!$B$4:$B$207="Challan")*'Q2 Data'!$F$4:$F$207)+SUMPRODUCT(('Q3 Data'!$D$4:$D$207=D77)*('Q3 Data'!$B$4:$B$207="Challan")*'Q3 Data'!$F$4:$F$207)+SUMPRODUCT(('Q4 Data'!$D$4:$D$207=D77)*('Q4 Data'!$B$4:$B$207="Challan")*'Q4 Data'!$F$4:$F$207))</f>
      </c>
      <c r="AR77" s="34">
        <f>IF(OR($B77&lt;&gt;"Entry",Z77=""),FALSE,AND((SUMPRODUCT(('Q1 Data'!$D$4:$D$207=D77)*('Q1 Data'!$B$4:$B$207="Challan")*('Q1 Data'!$H$4:$H$207&lt;&gt;""))+SUMPRODUCT(('Q2 Data'!$D$4:$D$207=D77)*('Q2 Data'!$B$4:$B$207="Challan")*('Q2 Data'!$H$4:$H$207&lt;&gt;""))+SUMPRODUCT(('Q3 Data'!$D$4:$D$207=D77)*('Q3 Data'!$B$4:$B$207="Challan")*('Q3 Data'!$H$4:$H$207&lt;&gt;""))+SUMPRODUCT(('Q4 Data'!$D$4:$D$207=D77)*('Q4 Data'!$B$4:$B$207="Challan")*('Q4 Data'!$H$4:$H$207&lt;&gt;"")))&gt;0,(SUMPRODUCT(('Q1 Data'!$D$4:$D$207=D77)*('Q1 Data'!$B$4:$B$207="Challan")*('Q1 Data'!$H$4:$H$207=Z77))+SUMPRODUCT(('Q2 Data'!$D$4:$D$207=D77)*('Q2 Data'!$B$4:$B$207="Challan")*('Q2 Data'!$H$4:$H$207=Z77))+SUMPRODUCT(('Q3 Data'!$D$4:$D$207=D77)*('Q3 Data'!$B$4:$B$207="Challan")*('Q3 Data'!$H$4:$H$207=Z77))+SUMPRODUCT(('Q4 Data'!$D$4:$D$207=D77)*('Q4 Data'!$B$4:$B$207="Challan")*('Q4 Data'!$H$4:$H$207=Z77)))=0))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IF($B78="Challan","",IF(W78&lt;&gt;"","◄ Set Row Type","")))</f>
      </c>
      <c r="Y78" s="23">
        <f>IF($B78="Entry",IF(LEN(W78)&lt;4,"",IF(UPPER(MID(W78,4,1))="P","Individual",IF(UPPER(MID(W78,4,1))="H","HUF",IF(UPPER(MID(W78,4,1))="C","Company",IF(UPPER(MID(W78,4,1))="F","Firm/LLP",IF(UPPER(MID(W78,4,1))="L","Local Authority",IF(UPPER(MID(W78,4,1))="T","Trust",IF(UPPER(MID(W78,4,1))="A","AOP",IF(UPPER(MID(W78,4,1))="B","BOI",IF(UPPER(MID(W78,4,1))="J","AJP",IF(UPPER(MID(W78,4,1))="G","Government",""))))))))))),IF($B78="Challan","",IF(W78&lt;&gt;"","◄ Set Row Type","")))</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IF($B78&lt;&gt;"Challan","",SUMIF('Q1 Data'!$D$4:$D$207,D78,'Q1 Data'!$AD$4:$AD$207)+SUMIF('Q1 Data'!$D$4:$D$207,D78,'Q1 Data'!$AG$4:$AG$207)+SUMIF('Q1 Data'!$D$4:$D$207,D78,'Q1 Data'!$AE$4:$AE$207)+SUMIF('Q2 Data'!$D$4:$D$207,D78,'Q2 Data'!$AD$4:$AD$207)+SUMIF('Q2 Data'!$D$4:$D$207,D78,'Q2 Data'!$AG$4:$AG$207)+SUMIF('Q2 Data'!$D$4:$D$207,D78,'Q2 Data'!$AE$4:$AE$207)+SUMIF('Q3 Data'!$D$4:$D$207,D78,'Q3 Data'!$AD$4:$AD$207)+SUMIF('Q3 Data'!$D$4:$D$207,D78,'Q3 Data'!$AG$4:$AG$207)+SUMIF('Q3 Data'!$D$4:$D$207,D78,'Q3 Data'!$AE$4:$AE$207)+SUMIF('Q4 Data'!$D$4:$D$207,D78,'Q4 Data'!$AD$4:$AD$207)+SUMIF('Q4 Data'!$D$4:$D$207,D78,'Q4 Data'!$AG$4:$AG$207)+SUMIF('Q4 Data'!$D$4:$D$207,D78,'Q4 Data'!$AE$4:$AE$207))</f>
      </c>
      <c r="AO78" s="27">
        <f>IF($B78&lt;&gt;"Challan","",P78-N78)</f>
      </c>
      <c r="AP78" s="27">
        <f>IF($B78&lt;&gt;"Challan","",MAX(0,AO78-AN78))</f>
      </c>
      <c r="AQ78" s="33">
        <f>IF($B78&lt;&gt;"Entry","",SUMPRODUCT(('Q1 Data'!$D$4:$D$207=D78)*('Q1 Data'!$B$4:$B$207="Challan")*'Q1 Data'!$F$4:$F$207)+SUMPRODUCT(('Q2 Data'!$D$4:$D$207=D78)*('Q2 Data'!$B$4:$B$207="Challan")*'Q2 Data'!$F$4:$F$207)+SUMPRODUCT(('Q3 Data'!$D$4:$D$207=D78)*('Q3 Data'!$B$4:$B$207="Challan")*'Q3 Data'!$F$4:$F$207)+SUMPRODUCT(('Q4 Data'!$D$4:$D$207=D78)*('Q4 Data'!$B$4:$B$207="Challan")*'Q4 Data'!$F$4:$F$207))</f>
      </c>
      <c r="AR78" s="34">
        <f>IF(OR($B78&lt;&gt;"Entry",Z78=""),FALSE,AND((SUMPRODUCT(('Q1 Data'!$D$4:$D$207=D78)*('Q1 Data'!$B$4:$B$207="Challan")*('Q1 Data'!$H$4:$H$207&lt;&gt;""))+SUMPRODUCT(('Q2 Data'!$D$4:$D$207=D78)*('Q2 Data'!$B$4:$B$207="Challan")*('Q2 Data'!$H$4:$H$207&lt;&gt;""))+SUMPRODUCT(('Q3 Data'!$D$4:$D$207=D78)*('Q3 Data'!$B$4:$B$207="Challan")*('Q3 Data'!$H$4:$H$207&lt;&gt;""))+SUMPRODUCT(('Q4 Data'!$D$4:$D$207=D78)*('Q4 Data'!$B$4:$B$207="Challan")*('Q4 Data'!$H$4:$H$207&lt;&gt;"")))&gt;0,(SUMPRODUCT(('Q1 Data'!$D$4:$D$207=D78)*('Q1 Data'!$B$4:$B$207="Challan")*('Q1 Data'!$H$4:$H$207=Z78))+SUMPRODUCT(('Q2 Data'!$D$4:$D$207=D78)*('Q2 Data'!$B$4:$B$207="Challan")*('Q2 Data'!$H$4:$H$207=Z78))+SUMPRODUCT(('Q3 Data'!$D$4:$D$207=D78)*('Q3 Data'!$B$4:$B$207="Challan")*('Q3 Data'!$H$4:$H$207=Z78))+SUMPRODUCT(('Q4 Data'!$D$4:$D$207=D78)*('Q4 Data'!$B$4:$B$207="Challan")*('Q4 Data'!$H$4:$H$207=Z78)))=0))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IF($B79="Challan","",IF(W79&lt;&gt;"","◄ Set Row Type","")))</f>
      </c>
      <c r="Y79" s="23">
        <f>IF($B79="Entry",IF(LEN(W79)&lt;4,"",IF(UPPER(MID(W79,4,1))="P","Individual",IF(UPPER(MID(W79,4,1))="H","HUF",IF(UPPER(MID(W79,4,1))="C","Company",IF(UPPER(MID(W79,4,1))="F","Firm/LLP",IF(UPPER(MID(W79,4,1))="L","Local Authority",IF(UPPER(MID(W79,4,1))="T","Trust",IF(UPPER(MID(W79,4,1))="A","AOP",IF(UPPER(MID(W79,4,1))="B","BOI",IF(UPPER(MID(W79,4,1))="J","AJP",IF(UPPER(MID(W79,4,1))="G","Government",""))))))))))),IF($B79="Challan","",IF(W79&lt;&gt;"","◄ Set Row Type","")))</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IF($B79&lt;&gt;"Challan","",SUMIF('Q1 Data'!$D$4:$D$207,D79,'Q1 Data'!$AD$4:$AD$207)+SUMIF('Q1 Data'!$D$4:$D$207,D79,'Q1 Data'!$AG$4:$AG$207)+SUMIF('Q1 Data'!$D$4:$D$207,D79,'Q1 Data'!$AE$4:$AE$207)+SUMIF('Q2 Data'!$D$4:$D$207,D79,'Q2 Data'!$AD$4:$AD$207)+SUMIF('Q2 Data'!$D$4:$D$207,D79,'Q2 Data'!$AG$4:$AG$207)+SUMIF('Q2 Data'!$D$4:$D$207,D79,'Q2 Data'!$AE$4:$AE$207)+SUMIF('Q3 Data'!$D$4:$D$207,D79,'Q3 Data'!$AD$4:$AD$207)+SUMIF('Q3 Data'!$D$4:$D$207,D79,'Q3 Data'!$AG$4:$AG$207)+SUMIF('Q3 Data'!$D$4:$D$207,D79,'Q3 Data'!$AE$4:$AE$207)+SUMIF('Q4 Data'!$D$4:$D$207,D79,'Q4 Data'!$AD$4:$AD$207)+SUMIF('Q4 Data'!$D$4:$D$207,D79,'Q4 Data'!$AG$4:$AG$207)+SUMIF('Q4 Data'!$D$4:$D$207,D79,'Q4 Data'!$AE$4:$AE$207))</f>
      </c>
      <c r="AO79" s="27">
        <f>IF($B79&lt;&gt;"Challan","",P79-N79)</f>
      </c>
      <c r="AP79" s="27">
        <f>IF($B79&lt;&gt;"Challan","",MAX(0,AO79-AN79))</f>
      </c>
      <c r="AQ79" s="33">
        <f>IF($B79&lt;&gt;"Entry","",SUMPRODUCT(('Q1 Data'!$D$4:$D$207=D79)*('Q1 Data'!$B$4:$B$207="Challan")*'Q1 Data'!$F$4:$F$207)+SUMPRODUCT(('Q2 Data'!$D$4:$D$207=D79)*('Q2 Data'!$B$4:$B$207="Challan")*'Q2 Data'!$F$4:$F$207)+SUMPRODUCT(('Q3 Data'!$D$4:$D$207=D79)*('Q3 Data'!$B$4:$B$207="Challan")*'Q3 Data'!$F$4:$F$207)+SUMPRODUCT(('Q4 Data'!$D$4:$D$207=D79)*('Q4 Data'!$B$4:$B$207="Challan")*'Q4 Data'!$F$4:$F$207))</f>
      </c>
      <c r="AR79" s="34">
        <f>IF(OR($B79&lt;&gt;"Entry",Z79=""),FALSE,AND((SUMPRODUCT(('Q1 Data'!$D$4:$D$207=D79)*('Q1 Data'!$B$4:$B$207="Challan")*('Q1 Data'!$H$4:$H$207&lt;&gt;""))+SUMPRODUCT(('Q2 Data'!$D$4:$D$207=D79)*('Q2 Data'!$B$4:$B$207="Challan")*('Q2 Data'!$H$4:$H$207&lt;&gt;""))+SUMPRODUCT(('Q3 Data'!$D$4:$D$207=D79)*('Q3 Data'!$B$4:$B$207="Challan")*('Q3 Data'!$H$4:$H$207&lt;&gt;""))+SUMPRODUCT(('Q4 Data'!$D$4:$D$207=D79)*('Q4 Data'!$B$4:$B$207="Challan")*('Q4 Data'!$H$4:$H$207&lt;&gt;"")))&gt;0,(SUMPRODUCT(('Q1 Data'!$D$4:$D$207=D79)*('Q1 Data'!$B$4:$B$207="Challan")*('Q1 Data'!$H$4:$H$207=Z79))+SUMPRODUCT(('Q2 Data'!$D$4:$D$207=D79)*('Q2 Data'!$B$4:$B$207="Challan")*('Q2 Data'!$H$4:$H$207=Z79))+SUMPRODUCT(('Q3 Data'!$D$4:$D$207=D79)*('Q3 Data'!$B$4:$B$207="Challan")*('Q3 Data'!$H$4:$H$207=Z79))+SUMPRODUCT(('Q4 Data'!$D$4:$D$207=D79)*('Q4 Data'!$B$4:$B$207="Challan")*('Q4 Data'!$H$4:$H$207=Z79)))=0))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IF($B80="Challan","",IF(W80&lt;&gt;"","◄ Set Row Type","")))</f>
      </c>
      <c r="Y80" s="23">
        <f>IF($B80="Entry",IF(LEN(W80)&lt;4,"",IF(UPPER(MID(W80,4,1))="P","Individual",IF(UPPER(MID(W80,4,1))="H","HUF",IF(UPPER(MID(W80,4,1))="C","Company",IF(UPPER(MID(W80,4,1))="F","Firm/LLP",IF(UPPER(MID(W80,4,1))="L","Local Authority",IF(UPPER(MID(W80,4,1))="T","Trust",IF(UPPER(MID(W80,4,1))="A","AOP",IF(UPPER(MID(W80,4,1))="B","BOI",IF(UPPER(MID(W80,4,1))="J","AJP",IF(UPPER(MID(W80,4,1))="G","Government",""))))))))))),IF($B80="Challan","",IF(W80&lt;&gt;"","◄ Set Row Type","")))</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IF($B80&lt;&gt;"Challan","",SUMIF('Q1 Data'!$D$4:$D$207,D80,'Q1 Data'!$AD$4:$AD$207)+SUMIF('Q1 Data'!$D$4:$D$207,D80,'Q1 Data'!$AG$4:$AG$207)+SUMIF('Q1 Data'!$D$4:$D$207,D80,'Q1 Data'!$AE$4:$AE$207)+SUMIF('Q2 Data'!$D$4:$D$207,D80,'Q2 Data'!$AD$4:$AD$207)+SUMIF('Q2 Data'!$D$4:$D$207,D80,'Q2 Data'!$AG$4:$AG$207)+SUMIF('Q2 Data'!$D$4:$D$207,D80,'Q2 Data'!$AE$4:$AE$207)+SUMIF('Q3 Data'!$D$4:$D$207,D80,'Q3 Data'!$AD$4:$AD$207)+SUMIF('Q3 Data'!$D$4:$D$207,D80,'Q3 Data'!$AG$4:$AG$207)+SUMIF('Q3 Data'!$D$4:$D$207,D80,'Q3 Data'!$AE$4:$AE$207)+SUMIF('Q4 Data'!$D$4:$D$207,D80,'Q4 Data'!$AD$4:$AD$207)+SUMIF('Q4 Data'!$D$4:$D$207,D80,'Q4 Data'!$AG$4:$AG$207)+SUMIF('Q4 Data'!$D$4:$D$207,D80,'Q4 Data'!$AE$4:$AE$207))</f>
      </c>
      <c r="AO80" s="27">
        <f>IF($B80&lt;&gt;"Challan","",P80-N80)</f>
      </c>
      <c r="AP80" s="27">
        <f>IF($B80&lt;&gt;"Challan","",MAX(0,AO80-AN80))</f>
      </c>
      <c r="AQ80" s="33">
        <f>IF($B80&lt;&gt;"Entry","",SUMPRODUCT(('Q1 Data'!$D$4:$D$207=D80)*('Q1 Data'!$B$4:$B$207="Challan")*'Q1 Data'!$F$4:$F$207)+SUMPRODUCT(('Q2 Data'!$D$4:$D$207=D80)*('Q2 Data'!$B$4:$B$207="Challan")*'Q2 Data'!$F$4:$F$207)+SUMPRODUCT(('Q3 Data'!$D$4:$D$207=D80)*('Q3 Data'!$B$4:$B$207="Challan")*'Q3 Data'!$F$4:$F$207)+SUMPRODUCT(('Q4 Data'!$D$4:$D$207=D80)*('Q4 Data'!$B$4:$B$207="Challan")*'Q4 Data'!$F$4:$F$207))</f>
      </c>
      <c r="AR80" s="34">
        <f>IF(OR($B80&lt;&gt;"Entry",Z80=""),FALSE,AND((SUMPRODUCT(('Q1 Data'!$D$4:$D$207=D80)*('Q1 Data'!$B$4:$B$207="Challan")*('Q1 Data'!$H$4:$H$207&lt;&gt;""))+SUMPRODUCT(('Q2 Data'!$D$4:$D$207=D80)*('Q2 Data'!$B$4:$B$207="Challan")*('Q2 Data'!$H$4:$H$207&lt;&gt;""))+SUMPRODUCT(('Q3 Data'!$D$4:$D$207=D80)*('Q3 Data'!$B$4:$B$207="Challan")*('Q3 Data'!$H$4:$H$207&lt;&gt;""))+SUMPRODUCT(('Q4 Data'!$D$4:$D$207=D80)*('Q4 Data'!$B$4:$B$207="Challan")*('Q4 Data'!$H$4:$H$207&lt;&gt;"")))&gt;0,(SUMPRODUCT(('Q1 Data'!$D$4:$D$207=D80)*('Q1 Data'!$B$4:$B$207="Challan")*('Q1 Data'!$H$4:$H$207=Z80))+SUMPRODUCT(('Q2 Data'!$D$4:$D$207=D80)*('Q2 Data'!$B$4:$B$207="Challan")*('Q2 Data'!$H$4:$H$207=Z80))+SUMPRODUCT(('Q3 Data'!$D$4:$D$207=D80)*('Q3 Data'!$B$4:$B$207="Challan")*('Q3 Data'!$H$4:$H$207=Z80))+SUMPRODUCT(('Q4 Data'!$D$4:$D$207=D80)*('Q4 Data'!$B$4:$B$207="Challan")*('Q4 Data'!$H$4:$H$207=Z80)))=0))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IF($B81="Challan","",IF(W81&lt;&gt;"","◄ Set Row Type","")))</f>
      </c>
      <c r="Y81" s="23">
        <f>IF($B81="Entry",IF(LEN(W81)&lt;4,"",IF(UPPER(MID(W81,4,1))="P","Individual",IF(UPPER(MID(W81,4,1))="H","HUF",IF(UPPER(MID(W81,4,1))="C","Company",IF(UPPER(MID(W81,4,1))="F","Firm/LLP",IF(UPPER(MID(W81,4,1))="L","Local Authority",IF(UPPER(MID(W81,4,1))="T","Trust",IF(UPPER(MID(W81,4,1))="A","AOP",IF(UPPER(MID(W81,4,1))="B","BOI",IF(UPPER(MID(W81,4,1))="J","AJP",IF(UPPER(MID(W81,4,1))="G","Government",""))))))))))),IF($B81="Challan","",IF(W81&lt;&gt;"","◄ Set Row Type","")))</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IF($B81&lt;&gt;"Challan","",SUMIF('Q1 Data'!$D$4:$D$207,D81,'Q1 Data'!$AD$4:$AD$207)+SUMIF('Q1 Data'!$D$4:$D$207,D81,'Q1 Data'!$AG$4:$AG$207)+SUMIF('Q1 Data'!$D$4:$D$207,D81,'Q1 Data'!$AE$4:$AE$207)+SUMIF('Q2 Data'!$D$4:$D$207,D81,'Q2 Data'!$AD$4:$AD$207)+SUMIF('Q2 Data'!$D$4:$D$207,D81,'Q2 Data'!$AG$4:$AG$207)+SUMIF('Q2 Data'!$D$4:$D$207,D81,'Q2 Data'!$AE$4:$AE$207)+SUMIF('Q3 Data'!$D$4:$D$207,D81,'Q3 Data'!$AD$4:$AD$207)+SUMIF('Q3 Data'!$D$4:$D$207,D81,'Q3 Data'!$AG$4:$AG$207)+SUMIF('Q3 Data'!$D$4:$D$207,D81,'Q3 Data'!$AE$4:$AE$207)+SUMIF('Q4 Data'!$D$4:$D$207,D81,'Q4 Data'!$AD$4:$AD$207)+SUMIF('Q4 Data'!$D$4:$D$207,D81,'Q4 Data'!$AG$4:$AG$207)+SUMIF('Q4 Data'!$D$4:$D$207,D81,'Q4 Data'!$AE$4:$AE$207))</f>
      </c>
      <c r="AO81" s="27">
        <f>IF($B81&lt;&gt;"Challan","",P81-N81)</f>
      </c>
      <c r="AP81" s="27">
        <f>IF($B81&lt;&gt;"Challan","",MAX(0,AO81-AN81))</f>
      </c>
      <c r="AQ81" s="33">
        <f>IF($B81&lt;&gt;"Entry","",SUMPRODUCT(('Q1 Data'!$D$4:$D$207=D81)*('Q1 Data'!$B$4:$B$207="Challan")*'Q1 Data'!$F$4:$F$207)+SUMPRODUCT(('Q2 Data'!$D$4:$D$207=D81)*('Q2 Data'!$B$4:$B$207="Challan")*'Q2 Data'!$F$4:$F$207)+SUMPRODUCT(('Q3 Data'!$D$4:$D$207=D81)*('Q3 Data'!$B$4:$B$207="Challan")*'Q3 Data'!$F$4:$F$207)+SUMPRODUCT(('Q4 Data'!$D$4:$D$207=D81)*('Q4 Data'!$B$4:$B$207="Challan")*'Q4 Data'!$F$4:$F$207))</f>
      </c>
      <c r="AR81" s="34">
        <f>IF(OR($B81&lt;&gt;"Entry",Z81=""),FALSE,AND((SUMPRODUCT(('Q1 Data'!$D$4:$D$207=D81)*('Q1 Data'!$B$4:$B$207="Challan")*('Q1 Data'!$H$4:$H$207&lt;&gt;""))+SUMPRODUCT(('Q2 Data'!$D$4:$D$207=D81)*('Q2 Data'!$B$4:$B$207="Challan")*('Q2 Data'!$H$4:$H$207&lt;&gt;""))+SUMPRODUCT(('Q3 Data'!$D$4:$D$207=D81)*('Q3 Data'!$B$4:$B$207="Challan")*('Q3 Data'!$H$4:$H$207&lt;&gt;""))+SUMPRODUCT(('Q4 Data'!$D$4:$D$207=D81)*('Q4 Data'!$B$4:$B$207="Challan")*('Q4 Data'!$H$4:$H$207&lt;&gt;"")))&gt;0,(SUMPRODUCT(('Q1 Data'!$D$4:$D$207=D81)*('Q1 Data'!$B$4:$B$207="Challan")*('Q1 Data'!$H$4:$H$207=Z81))+SUMPRODUCT(('Q2 Data'!$D$4:$D$207=D81)*('Q2 Data'!$B$4:$B$207="Challan")*('Q2 Data'!$H$4:$H$207=Z81))+SUMPRODUCT(('Q3 Data'!$D$4:$D$207=D81)*('Q3 Data'!$B$4:$B$207="Challan")*('Q3 Data'!$H$4:$H$207=Z81))+SUMPRODUCT(('Q4 Data'!$D$4:$D$207=D81)*('Q4 Data'!$B$4:$B$207="Challan")*('Q4 Data'!$H$4:$H$207=Z81)))=0))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IF($B82="Challan","",IF(W82&lt;&gt;"","◄ Set Row Type","")))</f>
      </c>
      <c r="Y82" s="23">
        <f>IF($B82="Entry",IF(LEN(W82)&lt;4,"",IF(UPPER(MID(W82,4,1))="P","Individual",IF(UPPER(MID(W82,4,1))="H","HUF",IF(UPPER(MID(W82,4,1))="C","Company",IF(UPPER(MID(W82,4,1))="F","Firm/LLP",IF(UPPER(MID(W82,4,1))="L","Local Authority",IF(UPPER(MID(W82,4,1))="T","Trust",IF(UPPER(MID(W82,4,1))="A","AOP",IF(UPPER(MID(W82,4,1))="B","BOI",IF(UPPER(MID(W82,4,1))="J","AJP",IF(UPPER(MID(W82,4,1))="G","Government",""))))))))))),IF($B82="Challan","",IF(W82&lt;&gt;"","◄ Set Row Type","")))</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IF($B82&lt;&gt;"Challan","",SUMIF('Q1 Data'!$D$4:$D$207,D82,'Q1 Data'!$AD$4:$AD$207)+SUMIF('Q1 Data'!$D$4:$D$207,D82,'Q1 Data'!$AG$4:$AG$207)+SUMIF('Q1 Data'!$D$4:$D$207,D82,'Q1 Data'!$AE$4:$AE$207)+SUMIF('Q2 Data'!$D$4:$D$207,D82,'Q2 Data'!$AD$4:$AD$207)+SUMIF('Q2 Data'!$D$4:$D$207,D82,'Q2 Data'!$AG$4:$AG$207)+SUMIF('Q2 Data'!$D$4:$D$207,D82,'Q2 Data'!$AE$4:$AE$207)+SUMIF('Q3 Data'!$D$4:$D$207,D82,'Q3 Data'!$AD$4:$AD$207)+SUMIF('Q3 Data'!$D$4:$D$207,D82,'Q3 Data'!$AG$4:$AG$207)+SUMIF('Q3 Data'!$D$4:$D$207,D82,'Q3 Data'!$AE$4:$AE$207)+SUMIF('Q4 Data'!$D$4:$D$207,D82,'Q4 Data'!$AD$4:$AD$207)+SUMIF('Q4 Data'!$D$4:$D$207,D82,'Q4 Data'!$AG$4:$AG$207)+SUMIF('Q4 Data'!$D$4:$D$207,D82,'Q4 Data'!$AE$4:$AE$207))</f>
      </c>
      <c r="AO82" s="27">
        <f>IF($B82&lt;&gt;"Challan","",P82-N82)</f>
      </c>
      <c r="AP82" s="27">
        <f>IF($B82&lt;&gt;"Challan","",MAX(0,AO82-AN82))</f>
      </c>
      <c r="AQ82" s="33">
        <f>IF($B82&lt;&gt;"Entry","",SUMPRODUCT(('Q1 Data'!$D$4:$D$207=D82)*('Q1 Data'!$B$4:$B$207="Challan")*'Q1 Data'!$F$4:$F$207)+SUMPRODUCT(('Q2 Data'!$D$4:$D$207=D82)*('Q2 Data'!$B$4:$B$207="Challan")*'Q2 Data'!$F$4:$F$207)+SUMPRODUCT(('Q3 Data'!$D$4:$D$207=D82)*('Q3 Data'!$B$4:$B$207="Challan")*'Q3 Data'!$F$4:$F$207)+SUMPRODUCT(('Q4 Data'!$D$4:$D$207=D82)*('Q4 Data'!$B$4:$B$207="Challan")*'Q4 Data'!$F$4:$F$207))</f>
      </c>
      <c r="AR82" s="34">
        <f>IF(OR($B82&lt;&gt;"Entry",Z82=""),FALSE,AND((SUMPRODUCT(('Q1 Data'!$D$4:$D$207=D82)*('Q1 Data'!$B$4:$B$207="Challan")*('Q1 Data'!$H$4:$H$207&lt;&gt;""))+SUMPRODUCT(('Q2 Data'!$D$4:$D$207=D82)*('Q2 Data'!$B$4:$B$207="Challan")*('Q2 Data'!$H$4:$H$207&lt;&gt;""))+SUMPRODUCT(('Q3 Data'!$D$4:$D$207=D82)*('Q3 Data'!$B$4:$B$207="Challan")*('Q3 Data'!$H$4:$H$207&lt;&gt;""))+SUMPRODUCT(('Q4 Data'!$D$4:$D$207=D82)*('Q4 Data'!$B$4:$B$207="Challan")*('Q4 Data'!$H$4:$H$207&lt;&gt;"")))&gt;0,(SUMPRODUCT(('Q1 Data'!$D$4:$D$207=D82)*('Q1 Data'!$B$4:$B$207="Challan")*('Q1 Data'!$H$4:$H$207=Z82))+SUMPRODUCT(('Q2 Data'!$D$4:$D$207=D82)*('Q2 Data'!$B$4:$B$207="Challan")*('Q2 Data'!$H$4:$H$207=Z82))+SUMPRODUCT(('Q3 Data'!$D$4:$D$207=D82)*('Q3 Data'!$B$4:$B$207="Challan")*('Q3 Data'!$H$4:$H$207=Z82))+SUMPRODUCT(('Q4 Data'!$D$4:$D$207=D82)*('Q4 Data'!$B$4:$B$207="Challan")*('Q4 Data'!$H$4:$H$207=Z82)))=0))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IF($B83="Challan","",IF(W83&lt;&gt;"","◄ Set Row Type","")))</f>
      </c>
      <c r="Y83" s="23">
        <f>IF($B83="Entry",IF(LEN(W83)&lt;4,"",IF(UPPER(MID(W83,4,1))="P","Individual",IF(UPPER(MID(W83,4,1))="H","HUF",IF(UPPER(MID(W83,4,1))="C","Company",IF(UPPER(MID(W83,4,1))="F","Firm/LLP",IF(UPPER(MID(W83,4,1))="L","Local Authority",IF(UPPER(MID(W83,4,1))="T","Trust",IF(UPPER(MID(W83,4,1))="A","AOP",IF(UPPER(MID(W83,4,1))="B","BOI",IF(UPPER(MID(W83,4,1))="J","AJP",IF(UPPER(MID(W83,4,1))="G","Government",""))))))))))),IF($B83="Challan","",IF(W83&lt;&gt;"","◄ Set Row Type","")))</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IF($B83&lt;&gt;"Challan","",SUMIF('Q1 Data'!$D$4:$D$207,D83,'Q1 Data'!$AD$4:$AD$207)+SUMIF('Q1 Data'!$D$4:$D$207,D83,'Q1 Data'!$AG$4:$AG$207)+SUMIF('Q1 Data'!$D$4:$D$207,D83,'Q1 Data'!$AE$4:$AE$207)+SUMIF('Q2 Data'!$D$4:$D$207,D83,'Q2 Data'!$AD$4:$AD$207)+SUMIF('Q2 Data'!$D$4:$D$207,D83,'Q2 Data'!$AG$4:$AG$207)+SUMIF('Q2 Data'!$D$4:$D$207,D83,'Q2 Data'!$AE$4:$AE$207)+SUMIF('Q3 Data'!$D$4:$D$207,D83,'Q3 Data'!$AD$4:$AD$207)+SUMIF('Q3 Data'!$D$4:$D$207,D83,'Q3 Data'!$AG$4:$AG$207)+SUMIF('Q3 Data'!$D$4:$D$207,D83,'Q3 Data'!$AE$4:$AE$207)+SUMIF('Q4 Data'!$D$4:$D$207,D83,'Q4 Data'!$AD$4:$AD$207)+SUMIF('Q4 Data'!$D$4:$D$207,D83,'Q4 Data'!$AG$4:$AG$207)+SUMIF('Q4 Data'!$D$4:$D$207,D83,'Q4 Data'!$AE$4:$AE$207))</f>
      </c>
      <c r="AO83" s="27">
        <f>IF($B83&lt;&gt;"Challan","",P83-N83)</f>
      </c>
      <c r="AP83" s="27">
        <f>IF($B83&lt;&gt;"Challan","",MAX(0,AO83-AN83))</f>
      </c>
      <c r="AQ83" s="33">
        <f>IF($B83&lt;&gt;"Entry","",SUMPRODUCT(('Q1 Data'!$D$4:$D$207=D83)*('Q1 Data'!$B$4:$B$207="Challan")*'Q1 Data'!$F$4:$F$207)+SUMPRODUCT(('Q2 Data'!$D$4:$D$207=D83)*('Q2 Data'!$B$4:$B$207="Challan")*'Q2 Data'!$F$4:$F$207)+SUMPRODUCT(('Q3 Data'!$D$4:$D$207=D83)*('Q3 Data'!$B$4:$B$207="Challan")*'Q3 Data'!$F$4:$F$207)+SUMPRODUCT(('Q4 Data'!$D$4:$D$207=D83)*('Q4 Data'!$B$4:$B$207="Challan")*'Q4 Data'!$F$4:$F$207))</f>
      </c>
      <c r="AR83" s="34">
        <f>IF(OR($B83&lt;&gt;"Entry",Z83=""),FALSE,AND((SUMPRODUCT(('Q1 Data'!$D$4:$D$207=D83)*('Q1 Data'!$B$4:$B$207="Challan")*('Q1 Data'!$H$4:$H$207&lt;&gt;""))+SUMPRODUCT(('Q2 Data'!$D$4:$D$207=D83)*('Q2 Data'!$B$4:$B$207="Challan")*('Q2 Data'!$H$4:$H$207&lt;&gt;""))+SUMPRODUCT(('Q3 Data'!$D$4:$D$207=D83)*('Q3 Data'!$B$4:$B$207="Challan")*('Q3 Data'!$H$4:$H$207&lt;&gt;""))+SUMPRODUCT(('Q4 Data'!$D$4:$D$207=D83)*('Q4 Data'!$B$4:$B$207="Challan")*('Q4 Data'!$H$4:$H$207&lt;&gt;"")))&gt;0,(SUMPRODUCT(('Q1 Data'!$D$4:$D$207=D83)*('Q1 Data'!$B$4:$B$207="Challan")*('Q1 Data'!$H$4:$H$207=Z83))+SUMPRODUCT(('Q2 Data'!$D$4:$D$207=D83)*('Q2 Data'!$B$4:$B$207="Challan")*('Q2 Data'!$H$4:$H$207=Z83))+SUMPRODUCT(('Q3 Data'!$D$4:$D$207=D83)*('Q3 Data'!$B$4:$B$207="Challan")*('Q3 Data'!$H$4:$H$207=Z83))+SUMPRODUCT(('Q4 Data'!$D$4:$D$207=D83)*('Q4 Data'!$B$4:$B$207="Challan")*('Q4 Data'!$H$4:$H$207=Z83)))=0))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IF($B84="Challan","",IF(W84&lt;&gt;"","◄ Set Row Type","")))</f>
      </c>
      <c r="Y84" s="23">
        <f>IF($B84="Entry",IF(LEN(W84)&lt;4,"",IF(UPPER(MID(W84,4,1))="P","Individual",IF(UPPER(MID(W84,4,1))="H","HUF",IF(UPPER(MID(W84,4,1))="C","Company",IF(UPPER(MID(W84,4,1))="F","Firm/LLP",IF(UPPER(MID(W84,4,1))="L","Local Authority",IF(UPPER(MID(W84,4,1))="T","Trust",IF(UPPER(MID(W84,4,1))="A","AOP",IF(UPPER(MID(W84,4,1))="B","BOI",IF(UPPER(MID(W84,4,1))="J","AJP",IF(UPPER(MID(W84,4,1))="G","Government",""))))))))))),IF($B84="Challan","",IF(W84&lt;&gt;"","◄ Set Row Type","")))</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IF($B84&lt;&gt;"Challan","",SUMIF('Q1 Data'!$D$4:$D$207,D84,'Q1 Data'!$AD$4:$AD$207)+SUMIF('Q1 Data'!$D$4:$D$207,D84,'Q1 Data'!$AG$4:$AG$207)+SUMIF('Q1 Data'!$D$4:$D$207,D84,'Q1 Data'!$AE$4:$AE$207)+SUMIF('Q2 Data'!$D$4:$D$207,D84,'Q2 Data'!$AD$4:$AD$207)+SUMIF('Q2 Data'!$D$4:$D$207,D84,'Q2 Data'!$AG$4:$AG$207)+SUMIF('Q2 Data'!$D$4:$D$207,D84,'Q2 Data'!$AE$4:$AE$207)+SUMIF('Q3 Data'!$D$4:$D$207,D84,'Q3 Data'!$AD$4:$AD$207)+SUMIF('Q3 Data'!$D$4:$D$207,D84,'Q3 Data'!$AG$4:$AG$207)+SUMIF('Q3 Data'!$D$4:$D$207,D84,'Q3 Data'!$AE$4:$AE$207)+SUMIF('Q4 Data'!$D$4:$D$207,D84,'Q4 Data'!$AD$4:$AD$207)+SUMIF('Q4 Data'!$D$4:$D$207,D84,'Q4 Data'!$AG$4:$AG$207)+SUMIF('Q4 Data'!$D$4:$D$207,D84,'Q4 Data'!$AE$4:$AE$207))</f>
      </c>
      <c r="AO84" s="27">
        <f>IF($B84&lt;&gt;"Challan","",P84-N84)</f>
      </c>
      <c r="AP84" s="27">
        <f>IF($B84&lt;&gt;"Challan","",MAX(0,AO84-AN84))</f>
      </c>
      <c r="AQ84" s="33">
        <f>IF($B84&lt;&gt;"Entry","",SUMPRODUCT(('Q1 Data'!$D$4:$D$207=D84)*('Q1 Data'!$B$4:$B$207="Challan")*'Q1 Data'!$F$4:$F$207)+SUMPRODUCT(('Q2 Data'!$D$4:$D$207=D84)*('Q2 Data'!$B$4:$B$207="Challan")*'Q2 Data'!$F$4:$F$207)+SUMPRODUCT(('Q3 Data'!$D$4:$D$207=D84)*('Q3 Data'!$B$4:$B$207="Challan")*'Q3 Data'!$F$4:$F$207)+SUMPRODUCT(('Q4 Data'!$D$4:$D$207=D84)*('Q4 Data'!$B$4:$B$207="Challan")*'Q4 Data'!$F$4:$F$207))</f>
      </c>
      <c r="AR84" s="34">
        <f>IF(OR($B84&lt;&gt;"Entry",Z84=""),FALSE,AND((SUMPRODUCT(('Q1 Data'!$D$4:$D$207=D84)*('Q1 Data'!$B$4:$B$207="Challan")*('Q1 Data'!$H$4:$H$207&lt;&gt;""))+SUMPRODUCT(('Q2 Data'!$D$4:$D$207=D84)*('Q2 Data'!$B$4:$B$207="Challan")*('Q2 Data'!$H$4:$H$207&lt;&gt;""))+SUMPRODUCT(('Q3 Data'!$D$4:$D$207=D84)*('Q3 Data'!$B$4:$B$207="Challan")*('Q3 Data'!$H$4:$H$207&lt;&gt;""))+SUMPRODUCT(('Q4 Data'!$D$4:$D$207=D84)*('Q4 Data'!$B$4:$B$207="Challan")*('Q4 Data'!$H$4:$H$207&lt;&gt;"")))&gt;0,(SUMPRODUCT(('Q1 Data'!$D$4:$D$207=D84)*('Q1 Data'!$B$4:$B$207="Challan")*('Q1 Data'!$H$4:$H$207=Z84))+SUMPRODUCT(('Q2 Data'!$D$4:$D$207=D84)*('Q2 Data'!$B$4:$B$207="Challan")*('Q2 Data'!$H$4:$H$207=Z84))+SUMPRODUCT(('Q3 Data'!$D$4:$D$207=D84)*('Q3 Data'!$B$4:$B$207="Challan")*('Q3 Data'!$H$4:$H$207=Z84))+SUMPRODUCT(('Q4 Data'!$D$4:$D$207=D84)*('Q4 Data'!$B$4:$B$207="Challan")*('Q4 Data'!$H$4:$H$207=Z84)))=0))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IF($B85="Challan","",IF(W85&lt;&gt;"","◄ Set Row Type","")))</f>
      </c>
      <c r="Y85" s="23">
        <f>IF($B85="Entry",IF(LEN(W85)&lt;4,"",IF(UPPER(MID(W85,4,1))="P","Individual",IF(UPPER(MID(W85,4,1))="H","HUF",IF(UPPER(MID(W85,4,1))="C","Company",IF(UPPER(MID(W85,4,1))="F","Firm/LLP",IF(UPPER(MID(W85,4,1))="L","Local Authority",IF(UPPER(MID(W85,4,1))="T","Trust",IF(UPPER(MID(W85,4,1))="A","AOP",IF(UPPER(MID(W85,4,1))="B","BOI",IF(UPPER(MID(W85,4,1))="J","AJP",IF(UPPER(MID(W85,4,1))="G","Government",""))))))))))),IF($B85="Challan","",IF(W85&lt;&gt;"","◄ Set Row Type","")))</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IF($B85&lt;&gt;"Challan","",SUMIF('Q1 Data'!$D$4:$D$207,D85,'Q1 Data'!$AD$4:$AD$207)+SUMIF('Q1 Data'!$D$4:$D$207,D85,'Q1 Data'!$AG$4:$AG$207)+SUMIF('Q1 Data'!$D$4:$D$207,D85,'Q1 Data'!$AE$4:$AE$207)+SUMIF('Q2 Data'!$D$4:$D$207,D85,'Q2 Data'!$AD$4:$AD$207)+SUMIF('Q2 Data'!$D$4:$D$207,D85,'Q2 Data'!$AG$4:$AG$207)+SUMIF('Q2 Data'!$D$4:$D$207,D85,'Q2 Data'!$AE$4:$AE$207)+SUMIF('Q3 Data'!$D$4:$D$207,D85,'Q3 Data'!$AD$4:$AD$207)+SUMIF('Q3 Data'!$D$4:$D$207,D85,'Q3 Data'!$AG$4:$AG$207)+SUMIF('Q3 Data'!$D$4:$D$207,D85,'Q3 Data'!$AE$4:$AE$207)+SUMIF('Q4 Data'!$D$4:$D$207,D85,'Q4 Data'!$AD$4:$AD$207)+SUMIF('Q4 Data'!$D$4:$D$207,D85,'Q4 Data'!$AG$4:$AG$207)+SUMIF('Q4 Data'!$D$4:$D$207,D85,'Q4 Data'!$AE$4:$AE$207))</f>
      </c>
      <c r="AO85" s="27">
        <f>IF($B85&lt;&gt;"Challan","",P85-N85)</f>
      </c>
      <c r="AP85" s="27">
        <f>IF($B85&lt;&gt;"Challan","",MAX(0,AO85-AN85))</f>
      </c>
      <c r="AQ85" s="33">
        <f>IF($B85&lt;&gt;"Entry","",SUMPRODUCT(('Q1 Data'!$D$4:$D$207=D85)*('Q1 Data'!$B$4:$B$207="Challan")*'Q1 Data'!$F$4:$F$207)+SUMPRODUCT(('Q2 Data'!$D$4:$D$207=D85)*('Q2 Data'!$B$4:$B$207="Challan")*'Q2 Data'!$F$4:$F$207)+SUMPRODUCT(('Q3 Data'!$D$4:$D$207=D85)*('Q3 Data'!$B$4:$B$207="Challan")*'Q3 Data'!$F$4:$F$207)+SUMPRODUCT(('Q4 Data'!$D$4:$D$207=D85)*('Q4 Data'!$B$4:$B$207="Challan")*'Q4 Data'!$F$4:$F$207))</f>
      </c>
      <c r="AR85" s="34">
        <f>IF(OR($B85&lt;&gt;"Entry",Z85=""),FALSE,AND((SUMPRODUCT(('Q1 Data'!$D$4:$D$207=D85)*('Q1 Data'!$B$4:$B$207="Challan")*('Q1 Data'!$H$4:$H$207&lt;&gt;""))+SUMPRODUCT(('Q2 Data'!$D$4:$D$207=D85)*('Q2 Data'!$B$4:$B$207="Challan")*('Q2 Data'!$H$4:$H$207&lt;&gt;""))+SUMPRODUCT(('Q3 Data'!$D$4:$D$207=D85)*('Q3 Data'!$B$4:$B$207="Challan")*('Q3 Data'!$H$4:$H$207&lt;&gt;""))+SUMPRODUCT(('Q4 Data'!$D$4:$D$207=D85)*('Q4 Data'!$B$4:$B$207="Challan")*('Q4 Data'!$H$4:$H$207&lt;&gt;"")))&gt;0,(SUMPRODUCT(('Q1 Data'!$D$4:$D$207=D85)*('Q1 Data'!$B$4:$B$207="Challan")*('Q1 Data'!$H$4:$H$207=Z85))+SUMPRODUCT(('Q2 Data'!$D$4:$D$207=D85)*('Q2 Data'!$B$4:$B$207="Challan")*('Q2 Data'!$H$4:$H$207=Z85))+SUMPRODUCT(('Q3 Data'!$D$4:$D$207=D85)*('Q3 Data'!$B$4:$B$207="Challan")*('Q3 Data'!$H$4:$H$207=Z85))+SUMPRODUCT(('Q4 Data'!$D$4:$D$207=D85)*('Q4 Data'!$B$4:$B$207="Challan")*('Q4 Data'!$H$4:$H$207=Z85)))=0))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IF($B86="Challan","",IF(W86&lt;&gt;"","◄ Set Row Type","")))</f>
      </c>
      <c r="Y86" s="23">
        <f>IF($B86="Entry",IF(LEN(W86)&lt;4,"",IF(UPPER(MID(W86,4,1))="P","Individual",IF(UPPER(MID(W86,4,1))="H","HUF",IF(UPPER(MID(W86,4,1))="C","Company",IF(UPPER(MID(W86,4,1))="F","Firm/LLP",IF(UPPER(MID(W86,4,1))="L","Local Authority",IF(UPPER(MID(W86,4,1))="T","Trust",IF(UPPER(MID(W86,4,1))="A","AOP",IF(UPPER(MID(W86,4,1))="B","BOI",IF(UPPER(MID(W86,4,1))="J","AJP",IF(UPPER(MID(W86,4,1))="G","Government",""))))))))))),IF($B86="Challan","",IF(W86&lt;&gt;"","◄ Set Row Type","")))</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IF($B86&lt;&gt;"Challan","",SUMIF('Q1 Data'!$D$4:$D$207,D86,'Q1 Data'!$AD$4:$AD$207)+SUMIF('Q1 Data'!$D$4:$D$207,D86,'Q1 Data'!$AG$4:$AG$207)+SUMIF('Q1 Data'!$D$4:$D$207,D86,'Q1 Data'!$AE$4:$AE$207)+SUMIF('Q2 Data'!$D$4:$D$207,D86,'Q2 Data'!$AD$4:$AD$207)+SUMIF('Q2 Data'!$D$4:$D$207,D86,'Q2 Data'!$AG$4:$AG$207)+SUMIF('Q2 Data'!$D$4:$D$207,D86,'Q2 Data'!$AE$4:$AE$207)+SUMIF('Q3 Data'!$D$4:$D$207,D86,'Q3 Data'!$AD$4:$AD$207)+SUMIF('Q3 Data'!$D$4:$D$207,D86,'Q3 Data'!$AG$4:$AG$207)+SUMIF('Q3 Data'!$D$4:$D$207,D86,'Q3 Data'!$AE$4:$AE$207)+SUMIF('Q4 Data'!$D$4:$D$207,D86,'Q4 Data'!$AD$4:$AD$207)+SUMIF('Q4 Data'!$D$4:$D$207,D86,'Q4 Data'!$AG$4:$AG$207)+SUMIF('Q4 Data'!$D$4:$D$207,D86,'Q4 Data'!$AE$4:$AE$207))</f>
      </c>
      <c r="AO86" s="27">
        <f>IF($B86&lt;&gt;"Challan","",P86-N86)</f>
      </c>
      <c r="AP86" s="27">
        <f>IF($B86&lt;&gt;"Challan","",MAX(0,AO86-AN86))</f>
      </c>
      <c r="AQ86" s="33">
        <f>IF($B86&lt;&gt;"Entry","",SUMPRODUCT(('Q1 Data'!$D$4:$D$207=D86)*('Q1 Data'!$B$4:$B$207="Challan")*'Q1 Data'!$F$4:$F$207)+SUMPRODUCT(('Q2 Data'!$D$4:$D$207=D86)*('Q2 Data'!$B$4:$B$207="Challan")*'Q2 Data'!$F$4:$F$207)+SUMPRODUCT(('Q3 Data'!$D$4:$D$207=D86)*('Q3 Data'!$B$4:$B$207="Challan")*'Q3 Data'!$F$4:$F$207)+SUMPRODUCT(('Q4 Data'!$D$4:$D$207=D86)*('Q4 Data'!$B$4:$B$207="Challan")*'Q4 Data'!$F$4:$F$207))</f>
      </c>
      <c r="AR86" s="34">
        <f>IF(OR($B86&lt;&gt;"Entry",Z86=""),FALSE,AND((SUMPRODUCT(('Q1 Data'!$D$4:$D$207=D86)*('Q1 Data'!$B$4:$B$207="Challan")*('Q1 Data'!$H$4:$H$207&lt;&gt;""))+SUMPRODUCT(('Q2 Data'!$D$4:$D$207=D86)*('Q2 Data'!$B$4:$B$207="Challan")*('Q2 Data'!$H$4:$H$207&lt;&gt;""))+SUMPRODUCT(('Q3 Data'!$D$4:$D$207=D86)*('Q3 Data'!$B$4:$B$207="Challan")*('Q3 Data'!$H$4:$H$207&lt;&gt;""))+SUMPRODUCT(('Q4 Data'!$D$4:$D$207=D86)*('Q4 Data'!$B$4:$B$207="Challan")*('Q4 Data'!$H$4:$H$207&lt;&gt;"")))&gt;0,(SUMPRODUCT(('Q1 Data'!$D$4:$D$207=D86)*('Q1 Data'!$B$4:$B$207="Challan")*('Q1 Data'!$H$4:$H$207=Z86))+SUMPRODUCT(('Q2 Data'!$D$4:$D$207=D86)*('Q2 Data'!$B$4:$B$207="Challan")*('Q2 Data'!$H$4:$H$207=Z86))+SUMPRODUCT(('Q3 Data'!$D$4:$D$207=D86)*('Q3 Data'!$B$4:$B$207="Challan")*('Q3 Data'!$H$4:$H$207=Z86))+SUMPRODUCT(('Q4 Data'!$D$4:$D$207=D86)*('Q4 Data'!$B$4:$B$207="Challan")*('Q4 Data'!$H$4:$H$207=Z86)))=0))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IF($B87="Challan","",IF(W87&lt;&gt;"","◄ Set Row Type","")))</f>
      </c>
      <c r="Y87" s="23">
        <f>IF($B87="Entry",IF(LEN(W87)&lt;4,"",IF(UPPER(MID(W87,4,1))="P","Individual",IF(UPPER(MID(W87,4,1))="H","HUF",IF(UPPER(MID(W87,4,1))="C","Company",IF(UPPER(MID(W87,4,1))="F","Firm/LLP",IF(UPPER(MID(W87,4,1))="L","Local Authority",IF(UPPER(MID(W87,4,1))="T","Trust",IF(UPPER(MID(W87,4,1))="A","AOP",IF(UPPER(MID(W87,4,1))="B","BOI",IF(UPPER(MID(W87,4,1))="J","AJP",IF(UPPER(MID(W87,4,1))="G","Government",""))))))))))),IF($B87="Challan","",IF(W87&lt;&gt;"","◄ Set Row Type","")))</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IF($B87&lt;&gt;"Challan","",SUMIF('Q1 Data'!$D$4:$D$207,D87,'Q1 Data'!$AD$4:$AD$207)+SUMIF('Q1 Data'!$D$4:$D$207,D87,'Q1 Data'!$AG$4:$AG$207)+SUMIF('Q1 Data'!$D$4:$D$207,D87,'Q1 Data'!$AE$4:$AE$207)+SUMIF('Q2 Data'!$D$4:$D$207,D87,'Q2 Data'!$AD$4:$AD$207)+SUMIF('Q2 Data'!$D$4:$D$207,D87,'Q2 Data'!$AG$4:$AG$207)+SUMIF('Q2 Data'!$D$4:$D$207,D87,'Q2 Data'!$AE$4:$AE$207)+SUMIF('Q3 Data'!$D$4:$D$207,D87,'Q3 Data'!$AD$4:$AD$207)+SUMIF('Q3 Data'!$D$4:$D$207,D87,'Q3 Data'!$AG$4:$AG$207)+SUMIF('Q3 Data'!$D$4:$D$207,D87,'Q3 Data'!$AE$4:$AE$207)+SUMIF('Q4 Data'!$D$4:$D$207,D87,'Q4 Data'!$AD$4:$AD$207)+SUMIF('Q4 Data'!$D$4:$D$207,D87,'Q4 Data'!$AG$4:$AG$207)+SUMIF('Q4 Data'!$D$4:$D$207,D87,'Q4 Data'!$AE$4:$AE$207))</f>
      </c>
      <c r="AO87" s="27">
        <f>IF($B87&lt;&gt;"Challan","",P87-N87)</f>
      </c>
      <c r="AP87" s="27">
        <f>IF($B87&lt;&gt;"Challan","",MAX(0,AO87-AN87))</f>
      </c>
      <c r="AQ87" s="33">
        <f>IF($B87&lt;&gt;"Entry","",SUMPRODUCT(('Q1 Data'!$D$4:$D$207=D87)*('Q1 Data'!$B$4:$B$207="Challan")*'Q1 Data'!$F$4:$F$207)+SUMPRODUCT(('Q2 Data'!$D$4:$D$207=D87)*('Q2 Data'!$B$4:$B$207="Challan")*'Q2 Data'!$F$4:$F$207)+SUMPRODUCT(('Q3 Data'!$D$4:$D$207=D87)*('Q3 Data'!$B$4:$B$207="Challan")*'Q3 Data'!$F$4:$F$207)+SUMPRODUCT(('Q4 Data'!$D$4:$D$207=D87)*('Q4 Data'!$B$4:$B$207="Challan")*'Q4 Data'!$F$4:$F$207))</f>
      </c>
      <c r="AR87" s="34">
        <f>IF(OR($B87&lt;&gt;"Entry",Z87=""),FALSE,AND((SUMPRODUCT(('Q1 Data'!$D$4:$D$207=D87)*('Q1 Data'!$B$4:$B$207="Challan")*('Q1 Data'!$H$4:$H$207&lt;&gt;""))+SUMPRODUCT(('Q2 Data'!$D$4:$D$207=D87)*('Q2 Data'!$B$4:$B$207="Challan")*('Q2 Data'!$H$4:$H$207&lt;&gt;""))+SUMPRODUCT(('Q3 Data'!$D$4:$D$207=D87)*('Q3 Data'!$B$4:$B$207="Challan")*('Q3 Data'!$H$4:$H$207&lt;&gt;""))+SUMPRODUCT(('Q4 Data'!$D$4:$D$207=D87)*('Q4 Data'!$B$4:$B$207="Challan")*('Q4 Data'!$H$4:$H$207&lt;&gt;"")))&gt;0,(SUMPRODUCT(('Q1 Data'!$D$4:$D$207=D87)*('Q1 Data'!$B$4:$B$207="Challan")*('Q1 Data'!$H$4:$H$207=Z87))+SUMPRODUCT(('Q2 Data'!$D$4:$D$207=D87)*('Q2 Data'!$B$4:$B$207="Challan")*('Q2 Data'!$H$4:$H$207=Z87))+SUMPRODUCT(('Q3 Data'!$D$4:$D$207=D87)*('Q3 Data'!$B$4:$B$207="Challan")*('Q3 Data'!$H$4:$H$207=Z87))+SUMPRODUCT(('Q4 Data'!$D$4:$D$207=D87)*('Q4 Data'!$B$4:$B$207="Challan")*('Q4 Data'!$H$4:$H$207=Z87)))=0))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IF($B88="Challan","",IF(W88&lt;&gt;"","◄ Set Row Type","")))</f>
      </c>
      <c r="Y88" s="23">
        <f>IF($B88="Entry",IF(LEN(W88)&lt;4,"",IF(UPPER(MID(W88,4,1))="P","Individual",IF(UPPER(MID(W88,4,1))="H","HUF",IF(UPPER(MID(W88,4,1))="C","Company",IF(UPPER(MID(W88,4,1))="F","Firm/LLP",IF(UPPER(MID(W88,4,1))="L","Local Authority",IF(UPPER(MID(W88,4,1))="T","Trust",IF(UPPER(MID(W88,4,1))="A","AOP",IF(UPPER(MID(W88,4,1))="B","BOI",IF(UPPER(MID(W88,4,1))="J","AJP",IF(UPPER(MID(W88,4,1))="G","Government",""))))))))))),IF($B88="Challan","",IF(W88&lt;&gt;"","◄ Set Row Type","")))</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IF($B88&lt;&gt;"Challan","",SUMIF('Q1 Data'!$D$4:$D$207,D88,'Q1 Data'!$AD$4:$AD$207)+SUMIF('Q1 Data'!$D$4:$D$207,D88,'Q1 Data'!$AG$4:$AG$207)+SUMIF('Q1 Data'!$D$4:$D$207,D88,'Q1 Data'!$AE$4:$AE$207)+SUMIF('Q2 Data'!$D$4:$D$207,D88,'Q2 Data'!$AD$4:$AD$207)+SUMIF('Q2 Data'!$D$4:$D$207,D88,'Q2 Data'!$AG$4:$AG$207)+SUMIF('Q2 Data'!$D$4:$D$207,D88,'Q2 Data'!$AE$4:$AE$207)+SUMIF('Q3 Data'!$D$4:$D$207,D88,'Q3 Data'!$AD$4:$AD$207)+SUMIF('Q3 Data'!$D$4:$D$207,D88,'Q3 Data'!$AG$4:$AG$207)+SUMIF('Q3 Data'!$D$4:$D$207,D88,'Q3 Data'!$AE$4:$AE$207)+SUMIF('Q4 Data'!$D$4:$D$207,D88,'Q4 Data'!$AD$4:$AD$207)+SUMIF('Q4 Data'!$D$4:$D$207,D88,'Q4 Data'!$AG$4:$AG$207)+SUMIF('Q4 Data'!$D$4:$D$207,D88,'Q4 Data'!$AE$4:$AE$207))</f>
      </c>
      <c r="AO88" s="27">
        <f>IF($B88&lt;&gt;"Challan","",P88-N88)</f>
      </c>
      <c r="AP88" s="27">
        <f>IF($B88&lt;&gt;"Challan","",MAX(0,AO88-AN88))</f>
      </c>
      <c r="AQ88" s="33">
        <f>IF($B88&lt;&gt;"Entry","",SUMPRODUCT(('Q1 Data'!$D$4:$D$207=D88)*('Q1 Data'!$B$4:$B$207="Challan")*'Q1 Data'!$F$4:$F$207)+SUMPRODUCT(('Q2 Data'!$D$4:$D$207=D88)*('Q2 Data'!$B$4:$B$207="Challan")*'Q2 Data'!$F$4:$F$207)+SUMPRODUCT(('Q3 Data'!$D$4:$D$207=D88)*('Q3 Data'!$B$4:$B$207="Challan")*'Q3 Data'!$F$4:$F$207)+SUMPRODUCT(('Q4 Data'!$D$4:$D$207=D88)*('Q4 Data'!$B$4:$B$207="Challan")*'Q4 Data'!$F$4:$F$207))</f>
      </c>
      <c r="AR88" s="34">
        <f>IF(OR($B88&lt;&gt;"Entry",Z88=""),FALSE,AND((SUMPRODUCT(('Q1 Data'!$D$4:$D$207=D88)*('Q1 Data'!$B$4:$B$207="Challan")*('Q1 Data'!$H$4:$H$207&lt;&gt;""))+SUMPRODUCT(('Q2 Data'!$D$4:$D$207=D88)*('Q2 Data'!$B$4:$B$207="Challan")*('Q2 Data'!$H$4:$H$207&lt;&gt;""))+SUMPRODUCT(('Q3 Data'!$D$4:$D$207=D88)*('Q3 Data'!$B$4:$B$207="Challan")*('Q3 Data'!$H$4:$H$207&lt;&gt;""))+SUMPRODUCT(('Q4 Data'!$D$4:$D$207=D88)*('Q4 Data'!$B$4:$B$207="Challan")*('Q4 Data'!$H$4:$H$207&lt;&gt;"")))&gt;0,(SUMPRODUCT(('Q1 Data'!$D$4:$D$207=D88)*('Q1 Data'!$B$4:$B$207="Challan")*('Q1 Data'!$H$4:$H$207=Z88))+SUMPRODUCT(('Q2 Data'!$D$4:$D$207=D88)*('Q2 Data'!$B$4:$B$207="Challan")*('Q2 Data'!$H$4:$H$207=Z88))+SUMPRODUCT(('Q3 Data'!$D$4:$D$207=D88)*('Q3 Data'!$B$4:$B$207="Challan")*('Q3 Data'!$H$4:$H$207=Z88))+SUMPRODUCT(('Q4 Data'!$D$4:$D$207=D88)*('Q4 Data'!$B$4:$B$207="Challan")*('Q4 Data'!$H$4:$H$207=Z88)))=0))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IF($B89="Challan","",IF(W89&lt;&gt;"","◄ Set Row Type","")))</f>
      </c>
      <c r="Y89" s="23">
        <f>IF($B89="Entry",IF(LEN(W89)&lt;4,"",IF(UPPER(MID(W89,4,1))="P","Individual",IF(UPPER(MID(W89,4,1))="H","HUF",IF(UPPER(MID(W89,4,1))="C","Company",IF(UPPER(MID(W89,4,1))="F","Firm/LLP",IF(UPPER(MID(W89,4,1))="L","Local Authority",IF(UPPER(MID(W89,4,1))="T","Trust",IF(UPPER(MID(W89,4,1))="A","AOP",IF(UPPER(MID(W89,4,1))="B","BOI",IF(UPPER(MID(W89,4,1))="J","AJP",IF(UPPER(MID(W89,4,1))="G","Government",""))))))))))),IF($B89="Challan","",IF(W89&lt;&gt;"","◄ Set Row Type","")))</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IF($B89&lt;&gt;"Challan","",SUMIF('Q1 Data'!$D$4:$D$207,D89,'Q1 Data'!$AD$4:$AD$207)+SUMIF('Q1 Data'!$D$4:$D$207,D89,'Q1 Data'!$AG$4:$AG$207)+SUMIF('Q1 Data'!$D$4:$D$207,D89,'Q1 Data'!$AE$4:$AE$207)+SUMIF('Q2 Data'!$D$4:$D$207,D89,'Q2 Data'!$AD$4:$AD$207)+SUMIF('Q2 Data'!$D$4:$D$207,D89,'Q2 Data'!$AG$4:$AG$207)+SUMIF('Q2 Data'!$D$4:$D$207,D89,'Q2 Data'!$AE$4:$AE$207)+SUMIF('Q3 Data'!$D$4:$D$207,D89,'Q3 Data'!$AD$4:$AD$207)+SUMIF('Q3 Data'!$D$4:$D$207,D89,'Q3 Data'!$AG$4:$AG$207)+SUMIF('Q3 Data'!$D$4:$D$207,D89,'Q3 Data'!$AE$4:$AE$207)+SUMIF('Q4 Data'!$D$4:$D$207,D89,'Q4 Data'!$AD$4:$AD$207)+SUMIF('Q4 Data'!$D$4:$D$207,D89,'Q4 Data'!$AG$4:$AG$207)+SUMIF('Q4 Data'!$D$4:$D$207,D89,'Q4 Data'!$AE$4:$AE$207))</f>
      </c>
      <c r="AO89" s="27">
        <f>IF($B89&lt;&gt;"Challan","",P89-N89)</f>
      </c>
      <c r="AP89" s="27">
        <f>IF($B89&lt;&gt;"Challan","",MAX(0,AO89-AN89))</f>
      </c>
      <c r="AQ89" s="33">
        <f>IF($B89&lt;&gt;"Entry","",SUMPRODUCT(('Q1 Data'!$D$4:$D$207=D89)*('Q1 Data'!$B$4:$B$207="Challan")*'Q1 Data'!$F$4:$F$207)+SUMPRODUCT(('Q2 Data'!$D$4:$D$207=D89)*('Q2 Data'!$B$4:$B$207="Challan")*'Q2 Data'!$F$4:$F$207)+SUMPRODUCT(('Q3 Data'!$D$4:$D$207=D89)*('Q3 Data'!$B$4:$B$207="Challan")*'Q3 Data'!$F$4:$F$207)+SUMPRODUCT(('Q4 Data'!$D$4:$D$207=D89)*('Q4 Data'!$B$4:$B$207="Challan")*'Q4 Data'!$F$4:$F$207))</f>
      </c>
      <c r="AR89" s="34">
        <f>IF(OR($B89&lt;&gt;"Entry",Z89=""),FALSE,AND((SUMPRODUCT(('Q1 Data'!$D$4:$D$207=D89)*('Q1 Data'!$B$4:$B$207="Challan")*('Q1 Data'!$H$4:$H$207&lt;&gt;""))+SUMPRODUCT(('Q2 Data'!$D$4:$D$207=D89)*('Q2 Data'!$B$4:$B$207="Challan")*('Q2 Data'!$H$4:$H$207&lt;&gt;""))+SUMPRODUCT(('Q3 Data'!$D$4:$D$207=D89)*('Q3 Data'!$B$4:$B$207="Challan")*('Q3 Data'!$H$4:$H$207&lt;&gt;""))+SUMPRODUCT(('Q4 Data'!$D$4:$D$207=D89)*('Q4 Data'!$B$4:$B$207="Challan")*('Q4 Data'!$H$4:$H$207&lt;&gt;"")))&gt;0,(SUMPRODUCT(('Q1 Data'!$D$4:$D$207=D89)*('Q1 Data'!$B$4:$B$207="Challan")*('Q1 Data'!$H$4:$H$207=Z89))+SUMPRODUCT(('Q2 Data'!$D$4:$D$207=D89)*('Q2 Data'!$B$4:$B$207="Challan")*('Q2 Data'!$H$4:$H$207=Z89))+SUMPRODUCT(('Q3 Data'!$D$4:$D$207=D89)*('Q3 Data'!$B$4:$B$207="Challan")*('Q3 Data'!$H$4:$H$207=Z89))+SUMPRODUCT(('Q4 Data'!$D$4:$D$207=D89)*('Q4 Data'!$B$4:$B$207="Challan")*('Q4 Data'!$H$4:$H$207=Z89)))=0))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IF($B90="Challan","",IF(W90&lt;&gt;"","◄ Set Row Type","")))</f>
      </c>
      <c r="Y90" s="23">
        <f>IF($B90="Entry",IF(LEN(W90)&lt;4,"",IF(UPPER(MID(W90,4,1))="P","Individual",IF(UPPER(MID(W90,4,1))="H","HUF",IF(UPPER(MID(W90,4,1))="C","Company",IF(UPPER(MID(W90,4,1))="F","Firm/LLP",IF(UPPER(MID(W90,4,1))="L","Local Authority",IF(UPPER(MID(W90,4,1))="T","Trust",IF(UPPER(MID(W90,4,1))="A","AOP",IF(UPPER(MID(W90,4,1))="B","BOI",IF(UPPER(MID(W90,4,1))="J","AJP",IF(UPPER(MID(W90,4,1))="G","Government",""))))))))))),IF($B90="Challan","",IF(W90&lt;&gt;"","◄ Set Row Type","")))</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IF($B90&lt;&gt;"Challan","",SUMIF('Q1 Data'!$D$4:$D$207,D90,'Q1 Data'!$AD$4:$AD$207)+SUMIF('Q1 Data'!$D$4:$D$207,D90,'Q1 Data'!$AG$4:$AG$207)+SUMIF('Q1 Data'!$D$4:$D$207,D90,'Q1 Data'!$AE$4:$AE$207)+SUMIF('Q2 Data'!$D$4:$D$207,D90,'Q2 Data'!$AD$4:$AD$207)+SUMIF('Q2 Data'!$D$4:$D$207,D90,'Q2 Data'!$AG$4:$AG$207)+SUMIF('Q2 Data'!$D$4:$D$207,D90,'Q2 Data'!$AE$4:$AE$207)+SUMIF('Q3 Data'!$D$4:$D$207,D90,'Q3 Data'!$AD$4:$AD$207)+SUMIF('Q3 Data'!$D$4:$D$207,D90,'Q3 Data'!$AG$4:$AG$207)+SUMIF('Q3 Data'!$D$4:$D$207,D90,'Q3 Data'!$AE$4:$AE$207)+SUMIF('Q4 Data'!$D$4:$D$207,D90,'Q4 Data'!$AD$4:$AD$207)+SUMIF('Q4 Data'!$D$4:$D$207,D90,'Q4 Data'!$AG$4:$AG$207)+SUMIF('Q4 Data'!$D$4:$D$207,D90,'Q4 Data'!$AE$4:$AE$207))</f>
      </c>
      <c r="AO90" s="27">
        <f>IF($B90&lt;&gt;"Challan","",P90-N90)</f>
      </c>
      <c r="AP90" s="27">
        <f>IF($B90&lt;&gt;"Challan","",MAX(0,AO90-AN90))</f>
      </c>
      <c r="AQ90" s="33">
        <f>IF($B90&lt;&gt;"Entry","",SUMPRODUCT(('Q1 Data'!$D$4:$D$207=D90)*('Q1 Data'!$B$4:$B$207="Challan")*'Q1 Data'!$F$4:$F$207)+SUMPRODUCT(('Q2 Data'!$D$4:$D$207=D90)*('Q2 Data'!$B$4:$B$207="Challan")*'Q2 Data'!$F$4:$F$207)+SUMPRODUCT(('Q3 Data'!$D$4:$D$207=D90)*('Q3 Data'!$B$4:$B$207="Challan")*'Q3 Data'!$F$4:$F$207)+SUMPRODUCT(('Q4 Data'!$D$4:$D$207=D90)*('Q4 Data'!$B$4:$B$207="Challan")*'Q4 Data'!$F$4:$F$207))</f>
      </c>
      <c r="AR90" s="34">
        <f>IF(OR($B90&lt;&gt;"Entry",Z90=""),FALSE,AND((SUMPRODUCT(('Q1 Data'!$D$4:$D$207=D90)*('Q1 Data'!$B$4:$B$207="Challan")*('Q1 Data'!$H$4:$H$207&lt;&gt;""))+SUMPRODUCT(('Q2 Data'!$D$4:$D$207=D90)*('Q2 Data'!$B$4:$B$207="Challan")*('Q2 Data'!$H$4:$H$207&lt;&gt;""))+SUMPRODUCT(('Q3 Data'!$D$4:$D$207=D90)*('Q3 Data'!$B$4:$B$207="Challan")*('Q3 Data'!$H$4:$H$207&lt;&gt;""))+SUMPRODUCT(('Q4 Data'!$D$4:$D$207=D90)*('Q4 Data'!$B$4:$B$207="Challan")*('Q4 Data'!$H$4:$H$207&lt;&gt;"")))&gt;0,(SUMPRODUCT(('Q1 Data'!$D$4:$D$207=D90)*('Q1 Data'!$B$4:$B$207="Challan")*('Q1 Data'!$H$4:$H$207=Z90))+SUMPRODUCT(('Q2 Data'!$D$4:$D$207=D90)*('Q2 Data'!$B$4:$B$207="Challan")*('Q2 Data'!$H$4:$H$207=Z90))+SUMPRODUCT(('Q3 Data'!$D$4:$D$207=D90)*('Q3 Data'!$B$4:$B$207="Challan")*('Q3 Data'!$H$4:$H$207=Z90))+SUMPRODUCT(('Q4 Data'!$D$4:$D$207=D90)*('Q4 Data'!$B$4:$B$207="Challan")*('Q4 Data'!$H$4:$H$207=Z90)))=0))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IF($B91="Challan","",IF(W91&lt;&gt;"","◄ Set Row Type","")))</f>
      </c>
      <c r="Y91" s="23">
        <f>IF($B91="Entry",IF(LEN(W91)&lt;4,"",IF(UPPER(MID(W91,4,1))="P","Individual",IF(UPPER(MID(W91,4,1))="H","HUF",IF(UPPER(MID(W91,4,1))="C","Company",IF(UPPER(MID(W91,4,1))="F","Firm/LLP",IF(UPPER(MID(W91,4,1))="L","Local Authority",IF(UPPER(MID(W91,4,1))="T","Trust",IF(UPPER(MID(W91,4,1))="A","AOP",IF(UPPER(MID(W91,4,1))="B","BOI",IF(UPPER(MID(W91,4,1))="J","AJP",IF(UPPER(MID(W91,4,1))="G","Government",""))))))))))),IF($B91="Challan","",IF(W91&lt;&gt;"","◄ Set Row Type","")))</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IF($B91&lt;&gt;"Challan","",SUMIF('Q1 Data'!$D$4:$D$207,D91,'Q1 Data'!$AD$4:$AD$207)+SUMIF('Q1 Data'!$D$4:$D$207,D91,'Q1 Data'!$AG$4:$AG$207)+SUMIF('Q1 Data'!$D$4:$D$207,D91,'Q1 Data'!$AE$4:$AE$207)+SUMIF('Q2 Data'!$D$4:$D$207,D91,'Q2 Data'!$AD$4:$AD$207)+SUMIF('Q2 Data'!$D$4:$D$207,D91,'Q2 Data'!$AG$4:$AG$207)+SUMIF('Q2 Data'!$D$4:$D$207,D91,'Q2 Data'!$AE$4:$AE$207)+SUMIF('Q3 Data'!$D$4:$D$207,D91,'Q3 Data'!$AD$4:$AD$207)+SUMIF('Q3 Data'!$D$4:$D$207,D91,'Q3 Data'!$AG$4:$AG$207)+SUMIF('Q3 Data'!$D$4:$D$207,D91,'Q3 Data'!$AE$4:$AE$207)+SUMIF('Q4 Data'!$D$4:$D$207,D91,'Q4 Data'!$AD$4:$AD$207)+SUMIF('Q4 Data'!$D$4:$D$207,D91,'Q4 Data'!$AG$4:$AG$207)+SUMIF('Q4 Data'!$D$4:$D$207,D91,'Q4 Data'!$AE$4:$AE$207))</f>
      </c>
      <c r="AO91" s="27">
        <f>IF($B91&lt;&gt;"Challan","",P91-N91)</f>
      </c>
      <c r="AP91" s="27">
        <f>IF($B91&lt;&gt;"Challan","",MAX(0,AO91-AN91))</f>
      </c>
      <c r="AQ91" s="33">
        <f>IF($B91&lt;&gt;"Entry","",SUMPRODUCT(('Q1 Data'!$D$4:$D$207=D91)*('Q1 Data'!$B$4:$B$207="Challan")*'Q1 Data'!$F$4:$F$207)+SUMPRODUCT(('Q2 Data'!$D$4:$D$207=D91)*('Q2 Data'!$B$4:$B$207="Challan")*'Q2 Data'!$F$4:$F$207)+SUMPRODUCT(('Q3 Data'!$D$4:$D$207=D91)*('Q3 Data'!$B$4:$B$207="Challan")*'Q3 Data'!$F$4:$F$207)+SUMPRODUCT(('Q4 Data'!$D$4:$D$207=D91)*('Q4 Data'!$B$4:$B$207="Challan")*'Q4 Data'!$F$4:$F$207))</f>
      </c>
      <c r="AR91" s="34">
        <f>IF(OR($B91&lt;&gt;"Entry",Z91=""),FALSE,AND((SUMPRODUCT(('Q1 Data'!$D$4:$D$207=D91)*('Q1 Data'!$B$4:$B$207="Challan")*('Q1 Data'!$H$4:$H$207&lt;&gt;""))+SUMPRODUCT(('Q2 Data'!$D$4:$D$207=D91)*('Q2 Data'!$B$4:$B$207="Challan")*('Q2 Data'!$H$4:$H$207&lt;&gt;""))+SUMPRODUCT(('Q3 Data'!$D$4:$D$207=D91)*('Q3 Data'!$B$4:$B$207="Challan")*('Q3 Data'!$H$4:$H$207&lt;&gt;""))+SUMPRODUCT(('Q4 Data'!$D$4:$D$207=D91)*('Q4 Data'!$B$4:$B$207="Challan")*('Q4 Data'!$H$4:$H$207&lt;&gt;"")))&gt;0,(SUMPRODUCT(('Q1 Data'!$D$4:$D$207=D91)*('Q1 Data'!$B$4:$B$207="Challan")*('Q1 Data'!$H$4:$H$207=Z91))+SUMPRODUCT(('Q2 Data'!$D$4:$D$207=D91)*('Q2 Data'!$B$4:$B$207="Challan")*('Q2 Data'!$H$4:$H$207=Z91))+SUMPRODUCT(('Q3 Data'!$D$4:$D$207=D91)*('Q3 Data'!$B$4:$B$207="Challan")*('Q3 Data'!$H$4:$H$207=Z91))+SUMPRODUCT(('Q4 Data'!$D$4:$D$207=D91)*('Q4 Data'!$B$4:$B$207="Challan")*('Q4 Data'!$H$4:$H$207=Z91)))=0))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IF($B92="Challan","",IF(W92&lt;&gt;"","◄ Set Row Type","")))</f>
      </c>
      <c r="Y92" s="23">
        <f>IF($B92="Entry",IF(LEN(W92)&lt;4,"",IF(UPPER(MID(W92,4,1))="P","Individual",IF(UPPER(MID(W92,4,1))="H","HUF",IF(UPPER(MID(W92,4,1))="C","Company",IF(UPPER(MID(W92,4,1))="F","Firm/LLP",IF(UPPER(MID(W92,4,1))="L","Local Authority",IF(UPPER(MID(W92,4,1))="T","Trust",IF(UPPER(MID(W92,4,1))="A","AOP",IF(UPPER(MID(W92,4,1))="B","BOI",IF(UPPER(MID(W92,4,1))="J","AJP",IF(UPPER(MID(W92,4,1))="G","Government",""))))))))))),IF($B92="Challan","",IF(W92&lt;&gt;"","◄ Set Row Type","")))</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IF($B92&lt;&gt;"Challan","",SUMIF('Q1 Data'!$D$4:$D$207,D92,'Q1 Data'!$AD$4:$AD$207)+SUMIF('Q1 Data'!$D$4:$D$207,D92,'Q1 Data'!$AG$4:$AG$207)+SUMIF('Q1 Data'!$D$4:$D$207,D92,'Q1 Data'!$AE$4:$AE$207)+SUMIF('Q2 Data'!$D$4:$D$207,D92,'Q2 Data'!$AD$4:$AD$207)+SUMIF('Q2 Data'!$D$4:$D$207,D92,'Q2 Data'!$AG$4:$AG$207)+SUMIF('Q2 Data'!$D$4:$D$207,D92,'Q2 Data'!$AE$4:$AE$207)+SUMIF('Q3 Data'!$D$4:$D$207,D92,'Q3 Data'!$AD$4:$AD$207)+SUMIF('Q3 Data'!$D$4:$D$207,D92,'Q3 Data'!$AG$4:$AG$207)+SUMIF('Q3 Data'!$D$4:$D$207,D92,'Q3 Data'!$AE$4:$AE$207)+SUMIF('Q4 Data'!$D$4:$D$207,D92,'Q4 Data'!$AD$4:$AD$207)+SUMIF('Q4 Data'!$D$4:$D$207,D92,'Q4 Data'!$AG$4:$AG$207)+SUMIF('Q4 Data'!$D$4:$D$207,D92,'Q4 Data'!$AE$4:$AE$207))</f>
      </c>
      <c r="AO92" s="27">
        <f>IF($B92&lt;&gt;"Challan","",P92-N92)</f>
      </c>
      <c r="AP92" s="27">
        <f>IF($B92&lt;&gt;"Challan","",MAX(0,AO92-AN92))</f>
      </c>
      <c r="AQ92" s="33">
        <f>IF($B92&lt;&gt;"Entry","",SUMPRODUCT(('Q1 Data'!$D$4:$D$207=D92)*('Q1 Data'!$B$4:$B$207="Challan")*'Q1 Data'!$F$4:$F$207)+SUMPRODUCT(('Q2 Data'!$D$4:$D$207=D92)*('Q2 Data'!$B$4:$B$207="Challan")*'Q2 Data'!$F$4:$F$207)+SUMPRODUCT(('Q3 Data'!$D$4:$D$207=D92)*('Q3 Data'!$B$4:$B$207="Challan")*'Q3 Data'!$F$4:$F$207)+SUMPRODUCT(('Q4 Data'!$D$4:$D$207=D92)*('Q4 Data'!$B$4:$B$207="Challan")*'Q4 Data'!$F$4:$F$207))</f>
      </c>
      <c r="AR92" s="34">
        <f>IF(OR($B92&lt;&gt;"Entry",Z92=""),FALSE,AND((SUMPRODUCT(('Q1 Data'!$D$4:$D$207=D92)*('Q1 Data'!$B$4:$B$207="Challan")*('Q1 Data'!$H$4:$H$207&lt;&gt;""))+SUMPRODUCT(('Q2 Data'!$D$4:$D$207=D92)*('Q2 Data'!$B$4:$B$207="Challan")*('Q2 Data'!$H$4:$H$207&lt;&gt;""))+SUMPRODUCT(('Q3 Data'!$D$4:$D$207=D92)*('Q3 Data'!$B$4:$B$207="Challan")*('Q3 Data'!$H$4:$H$207&lt;&gt;""))+SUMPRODUCT(('Q4 Data'!$D$4:$D$207=D92)*('Q4 Data'!$B$4:$B$207="Challan")*('Q4 Data'!$H$4:$H$207&lt;&gt;"")))&gt;0,(SUMPRODUCT(('Q1 Data'!$D$4:$D$207=D92)*('Q1 Data'!$B$4:$B$207="Challan")*('Q1 Data'!$H$4:$H$207=Z92))+SUMPRODUCT(('Q2 Data'!$D$4:$D$207=D92)*('Q2 Data'!$B$4:$B$207="Challan")*('Q2 Data'!$H$4:$H$207=Z92))+SUMPRODUCT(('Q3 Data'!$D$4:$D$207=D92)*('Q3 Data'!$B$4:$B$207="Challan")*('Q3 Data'!$H$4:$H$207=Z92))+SUMPRODUCT(('Q4 Data'!$D$4:$D$207=D92)*('Q4 Data'!$B$4:$B$207="Challan")*('Q4 Data'!$H$4:$H$207=Z92)))=0))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IF($B93="Challan","",IF(W93&lt;&gt;"","◄ Set Row Type","")))</f>
      </c>
      <c r="Y93" s="23">
        <f>IF($B93="Entry",IF(LEN(W93)&lt;4,"",IF(UPPER(MID(W93,4,1))="P","Individual",IF(UPPER(MID(W93,4,1))="H","HUF",IF(UPPER(MID(W93,4,1))="C","Company",IF(UPPER(MID(W93,4,1))="F","Firm/LLP",IF(UPPER(MID(W93,4,1))="L","Local Authority",IF(UPPER(MID(W93,4,1))="T","Trust",IF(UPPER(MID(W93,4,1))="A","AOP",IF(UPPER(MID(W93,4,1))="B","BOI",IF(UPPER(MID(W93,4,1))="J","AJP",IF(UPPER(MID(W93,4,1))="G","Government",""))))))))))),IF($B93="Challan","",IF(W93&lt;&gt;"","◄ Set Row Type","")))</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IF($B93&lt;&gt;"Challan","",SUMIF('Q1 Data'!$D$4:$D$207,D93,'Q1 Data'!$AD$4:$AD$207)+SUMIF('Q1 Data'!$D$4:$D$207,D93,'Q1 Data'!$AG$4:$AG$207)+SUMIF('Q1 Data'!$D$4:$D$207,D93,'Q1 Data'!$AE$4:$AE$207)+SUMIF('Q2 Data'!$D$4:$D$207,D93,'Q2 Data'!$AD$4:$AD$207)+SUMIF('Q2 Data'!$D$4:$D$207,D93,'Q2 Data'!$AG$4:$AG$207)+SUMIF('Q2 Data'!$D$4:$D$207,D93,'Q2 Data'!$AE$4:$AE$207)+SUMIF('Q3 Data'!$D$4:$D$207,D93,'Q3 Data'!$AD$4:$AD$207)+SUMIF('Q3 Data'!$D$4:$D$207,D93,'Q3 Data'!$AG$4:$AG$207)+SUMIF('Q3 Data'!$D$4:$D$207,D93,'Q3 Data'!$AE$4:$AE$207)+SUMIF('Q4 Data'!$D$4:$D$207,D93,'Q4 Data'!$AD$4:$AD$207)+SUMIF('Q4 Data'!$D$4:$D$207,D93,'Q4 Data'!$AG$4:$AG$207)+SUMIF('Q4 Data'!$D$4:$D$207,D93,'Q4 Data'!$AE$4:$AE$207))</f>
      </c>
      <c r="AO93" s="27">
        <f>IF($B93&lt;&gt;"Challan","",P93-N93)</f>
      </c>
      <c r="AP93" s="27">
        <f>IF($B93&lt;&gt;"Challan","",MAX(0,AO93-AN93))</f>
      </c>
      <c r="AQ93" s="33">
        <f>IF($B93&lt;&gt;"Entry","",SUMPRODUCT(('Q1 Data'!$D$4:$D$207=D93)*('Q1 Data'!$B$4:$B$207="Challan")*'Q1 Data'!$F$4:$F$207)+SUMPRODUCT(('Q2 Data'!$D$4:$D$207=D93)*('Q2 Data'!$B$4:$B$207="Challan")*'Q2 Data'!$F$4:$F$207)+SUMPRODUCT(('Q3 Data'!$D$4:$D$207=D93)*('Q3 Data'!$B$4:$B$207="Challan")*'Q3 Data'!$F$4:$F$207)+SUMPRODUCT(('Q4 Data'!$D$4:$D$207=D93)*('Q4 Data'!$B$4:$B$207="Challan")*'Q4 Data'!$F$4:$F$207))</f>
      </c>
      <c r="AR93" s="34">
        <f>IF(OR($B93&lt;&gt;"Entry",Z93=""),FALSE,AND((SUMPRODUCT(('Q1 Data'!$D$4:$D$207=D93)*('Q1 Data'!$B$4:$B$207="Challan")*('Q1 Data'!$H$4:$H$207&lt;&gt;""))+SUMPRODUCT(('Q2 Data'!$D$4:$D$207=D93)*('Q2 Data'!$B$4:$B$207="Challan")*('Q2 Data'!$H$4:$H$207&lt;&gt;""))+SUMPRODUCT(('Q3 Data'!$D$4:$D$207=D93)*('Q3 Data'!$B$4:$B$207="Challan")*('Q3 Data'!$H$4:$H$207&lt;&gt;""))+SUMPRODUCT(('Q4 Data'!$D$4:$D$207=D93)*('Q4 Data'!$B$4:$B$207="Challan")*('Q4 Data'!$H$4:$H$207&lt;&gt;"")))&gt;0,(SUMPRODUCT(('Q1 Data'!$D$4:$D$207=D93)*('Q1 Data'!$B$4:$B$207="Challan")*('Q1 Data'!$H$4:$H$207=Z93))+SUMPRODUCT(('Q2 Data'!$D$4:$D$207=D93)*('Q2 Data'!$B$4:$B$207="Challan")*('Q2 Data'!$H$4:$H$207=Z93))+SUMPRODUCT(('Q3 Data'!$D$4:$D$207=D93)*('Q3 Data'!$B$4:$B$207="Challan")*('Q3 Data'!$H$4:$H$207=Z93))+SUMPRODUCT(('Q4 Data'!$D$4:$D$207=D93)*('Q4 Data'!$B$4:$B$207="Challan")*('Q4 Data'!$H$4:$H$207=Z93)))=0))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IF($B94="Challan","",IF(W94&lt;&gt;"","◄ Set Row Type","")))</f>
      </c>
      <c r="Y94" s="23">
        <f>IF($B94="Entry",IF(LEN(W94)&lt;4,"",IF(UPPER(MID(W94,4,1))="P","Individual",IF(UPPER(MID(W94,4,1))="H","HUF",IF(UPPER(MID(W94,4,1))="C","Company",IF(UPPER(MID(W94,4,1))="F","Firm/LLP",IF(UPPER(MID(W94,4,1))="L","Local Authority",IF(UPPER(MID(W94,4,1))="T","Trust",IF(UPPER(MID(W94,4,1))="A","AOP",IF(UPPER(MID(W94,4,1))="B","BOI",IF(UPPER(MID(W94,4,1))="J","AJP",IF(UPPER(MID(W94,4,1))="G","Government",""))))))))))),IF($B94="Challan","",IF(W94&lt;&gt;"","◄ Set Row Type","")))</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IF($B94&lt;&gt;"Challan","",SUMIF('Q1 Data'!$D$4:$D$207,D94,'Q1 Data'!$AD$4:$AD$207)+SUMIF('Q1 Data'!$D$4:$D$207,D94,'Q1 Data'!$AG$4:$AG$207)+SUMIF('Q1 Data'!$D$4:$D$207,D94,'Q1 Data'!$AE$4:$AE$207)+SUMIF('Q2 Data'!$D$4:$D$207,D94,'Q2 Data'!$AD$4:$AD$207)+SUMIF('Q2 Data'!$D$4:$D$207,D94,'Q2 Data'!$AG$4:$AG$207)+SUMIF('Q2 Data'!$D$4:$D$207,D94,'Q2 Data'!$AE$4:$AE$207)+SUMIF('Q3 Data'!$D$4:$D$207,D94,'Q3 Data'!$AD$4:$AD$207)+SUMIF('Q3 Data'!$D$4:$D$207,D94,'Q3 Data'!$AG$4:$AG$207)+SUMIF('Q3 Data'!$D$4:$D$207,D94,'Q3 Data'!$AE$4:$AE$207)+SUMIF('Q4 Data'!$D$4:$D$207,D94,'Q4 Data'!$AD$4:$AD$207)+SUMIF('Q4 Data'!$D$4:$D$207,D94,'Q4 Data'!$AG$4:$AG$207)+SUMIF('Q4 Data'!$D$4:$D$207,D94,'Q4 Data'!$AE$4:$AE$207))</f>
      </c>
      <c r="AO94" s="27">
        <f>IF($B94&lt;&gt;"Challan","",P94-N94)</f>
      </c>
      <c r="AP94" s="27">
        <f>IF($B94&lt;&gt;"Challan","",MAX(0,AO94-AN94))</f>
      </c>
      <c r="AQ94" s="33">
        <f>IF($B94&lt;&gt;"Entry","",SUMPRODUCT(('Q1 Data'!$D$4:$D$207=D94)*('Q1 Data'!$B$4:$B$207="Challan")*'Q1 Data'!$F$4:$F$207)+SUMPRODUCT(('Q2 Data'!$D$4:$D$207=D94)*('Q2 Data'!$B$4:$B$207="Challan")*'Q2 Data'!$F$4:$F$207)+SUMPRODUCT(('Q3 Data'!$D$4:$D$207=D94)*('Q3 Data'!$B$4:$B$207="Challan")*'Q3 Data'!$F$4:$F$207)+SUMPRODUCT(('Q4 Data'!$D$4:$D$207=D94)*('Q4 Data'!$B$4:$B$207="Challan")*'Q4 Data'!$F$4:$F$207))</f>
      </c>
      <c r="AR94" s="34">
        <f>IF(OR($B94&lt;&gt;"Entry",Z94=""),FALSE,AND((SUMPRODUCT(('Q1 Data'!$D$4:$D$207=D94)*('Q1 Data'!$B$4:$B$207="Challan")*('Q1 Data'!$H$4:$H$207&lt;&gt;""))+SUMPRODUCT(('Q2 Data'!$D$4:$D$207=D94)*('Q2 Data'!$B$4:$B$207="Challan")*('Q2 Data'!$H$4:$H$207&lt;&gt;""))+SUMPRODUCT(('Q3 Data'!$D$4:$D$207=D94)*('Q3 Data'!$B$4:$B$207="Challan")*('Q3 Data'!$H$4:$H$207&lt;&gt;""))+SUMPRODUCT(('Q4 Data'!$D$4:$D$207=D94)*('Q4 Data'!$B$4:$B$207="Challan")*('Q4 Data'!$H$4:$H$207&lt;&gt;"")))&gt;0,(SUMPRODUCT(('Q1 Data'!$D$4:$D$207=D94)*('Q1 Data'!$B$4:$B$207="Challan")*('Q1 Data'!$H$4:$H$207=Z94))+SUMPRODUCT(('Q2 Data'!$D$4:$D$207=D94)*('Q2 Data'!$B$4:$B$207="Challan")*('Q2 Data'!$H$4:$H$207=Z94))+SUMPRODUCT(('Q3 Data'!$D$4:$D$207=D94)*('Q3 Data'!$B$4:$B$207="Challan")*('Q3 Data'!$H$4:$H$207=Z94))+SUMPRODUCT(('Q4 Data'!$D$4:$D$207=D94)*('Q4 Data'!$B$4:$B$207="Challan")*('Q4 Data'!$H$4:$H$207=Z94)))=0))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IF($B95="Challan","",IF(W95&lt;&gt;"","◄ Set Row Type","")))</f>
      </c>
      <c r="Y95" s="23">
        <f>IF($B95="Entry",IF(LEN(W95)&lt;4,"",IF(UPPER(MID(W95,4,1))="P","Individual",IF(UPPER(MID(W95,4,1))="H","HUF",IF(UPPER(MID(W95,4,1))="C","Company",IF(UPPER(MID(W95,4,1))="F","Firm/LLP",IF(UPPER(MID(W95,4,1))="L","Local Authority",IF(UPPER(MID(W95,4,1))="T","Trust",IF(UPPER(MID(W95,4,1))="A","AOP",IF(UPPER(MID(W95,4,1))="B","BOI",IF(UPPER(MID(W95,4,1))="J","AJP",IF(UPPER(MID(W95,4,1))="G","Government",""))))))))))),IF($B95="Challan","",IF(W95&lt;&gt;"","◄ Set Row Type","")))</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IF($B95&lt;&gt;"Challan","",SUMIF('Q1 Data'!$D$4:$D$207,D95,'Q1 Data'!$AD$4:$AD$207)+SUMIF('Q1 Data'!$D$4:$D$207,D95,'Q1 Data'!$AG$4:$AG$207)+SUMIF('Q1 Data'!$D$4:$D$207,D95,'Q1 Data'!$AE$4:$AE$207)+SUMIF('Q2 Data'!$D$4:$D$207,D95,'Q2 Data'!$AD$4:$AD$207)+SUMIF('Q2 Data'!$D$4:$D$207,D95,'Q2 Data'!$AG$4:$AG$207)+SUMIF('Q2 Data'!$D$4:$D$207,D95,'Q2 Data'!$AE$4:$AE$207)+SUMIF('Q3 Data'!$D$4:$D$207,D95,'Q3 Data'!$AD$4:$AD$207)+SUMIF('Q3 Data'!$D$4:$D$207,D95,'Q3 Data'!$AG$4:$AG$207)+SUMIF('Q3 Data'!$D$4:$D$207,D95,'Q3 Data'!$AE$4:$AE$207)+SUMIF('Q4 Data'!$D$4:$D$207,D95,'Q4 Data'!$AD$4:$AD$207)+SUMIF('Q4 Data'!$D$4:$D$207,D95,'Q4 Data'!$AG$4:$AG$207)+SUMIF('Q4 Data'!$D$4:$D$207,D95,'Q4 Data'!$AE$4:$AE$207))</f>
      </c>
      <c r="AO95" s="27">
        <f>IF($B95&lt;&gt;"Challan","",P95-N95)</f>
      </c>
      <c r="AP95" s="27">
        <f>IF($B95&lt;&gt;"Challan","",MAX(0,AO95-AN95))</f>
      </c>
      <c r="AQ95" s="33">
        <f>IF($B95&lt;&gt;"Entry","",SUMPRODUCT(('Q1 Data'!$D$4:$D$207=D95)*('Q1 Data'!$B$4:$B$207="Challan")*'Q1 Data'!$F$4:$F$207)+SUMPRODUCT(('Q2 Data'!$D$4:$D$207=D95)*('Q2 Data'!$B$4:$B$207="Challan")*'Q2 Data'!$F$4:$F$207)+SUMPRODUCT(('Q3 Data'!$D$4:$D$207=D95)*('Q3 Data'!$B$4:$B$207="Challan")*'Q3 Data'!$F$4:$F$207)+SUMPRODUCT(('Q4 Data'!$D$4:$D$207=D95)*('Q4 Data'!$B$4:$B$207="Challan")*'Q4 Data'!$F$4:$F$207))</f>
      </c>
      <c r="AR95" s="34">
        <f>IF(OR($B95&lt;&gt;"Entry",Z95=""),FALSE,AND((SUMPRODUCT(('Q1 Data'!$D$4:$D$207=D95)*('Q1 Data'!$B$4:$B$207="Challan")*('Q1 Data'!$H$4:$H$207&lt;&gt;""))+SUMPRODUCT(('Q2 Data'!$D$4:$D$207=D95)*('Q2 Data'!$B$4:$B$207="Challan")*('Q2 Data'!$H$4:$H$207&lt;&gt;""))+SUMPRODUCT(('Q3 Data'!$D$4:$D$207=D95)*('Q3 Data'!$B$4:$B$207="Challan")*('Q3 Data'!$H$4:$H$207&lt;&gt;""))+SUMPRODUCT(('Q4 Data'!$D$4:$D$207=D95)*('Q4 Data'!$B$4:$B$207="Challan")*('Q4 Data'!$H$4:$H$207&lt;&gt;"")))&gt;0,(SUMPRODUCT(('Q1 Data'!$D$4:$D$207=D95)*('Q1 Data'!$B$4:$B$207="Challan")*('Q1 Data'!$H$4:$H$207=Z95))+SUMPRODUCT(('Q2 Data'!$D$4:$D$207=D95)*('Q2 Data'!$B$4:$B$207="Challan")*('Q2 Data'!$H$4:$H$207=Z95))+SUMPRODUCT(('Q3 Data'!$D$4:$D$207=D95)*('Q3 Data'!$B$4:$B$207="Challan")*('Q3 Data'!$H$4:$H$207=Z95))+SUMPRODUCT(('Q4 Data'!$D$4:$D$207=D95)*('Q4 Data'!$B$4:$B$207="Challan")*('Q4 Data'!$H$4:$H$207=Z95)))=0))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IF($B96="Challan","",IF(W96&lt;&gt;"","◄ Set Row Type","")))</f>
      </c>
      <c r="Y96" s="23">
        <f>IF($B96="Entry",IF(LEN(W96)&lt;4,"",IF(UPPER(MID(W96,4,1))="P","Individual",IF(UPPER(MID(W96,4,1))="H","HUF",IF(UPPER(MID(W96,4,1))="C","Company",IF(UPPER(MID(W96,4,1))="F","Firm/LLP",IF(UPPER(MID(W96,4,1))="L","Local Authority",IF(UPPER(MID(W96,4,1))="T","Trust",IF(UPPER(MID(W96,4,1))="A","AOP",IF(UPPER(MID(W96,4,1))="B","BOI",IF(UPPER(MID(W96,4,1))="J","AJP",IF(UPPER(MID(W96,4,1))="G","Government",""))))))))))),IF($B96="Challan","",IF(W96&lt;&gt;"","◄ Set Row Type","")))</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IF($B96&lt;&gt;"Challan","",SUMIF('Q1 Data'!$D$4:$D$207,D96,'Q1 Data'!$AD$4:$AD$207)+SUMIF('Q1 Data'!$D$4:$D$207,D96,'Q1 Data'!$AG$4:$AG$207)+SUMIF('Q1 Data'!$D$4:$D$207,D96,'Q1 Data'!$AE$4:$AE$207)+SUMIF('Q2 Data'!$D$4:$D$207,D96,'Q2 Data'!$AD$4:$AD$207)+SUMIF('Q2 Data'!$D$4:$D$207,D96,'Q2 Data'!$AG$4:$AG$207)+SUMIF('Q2 Data'!$D$4:$D$207,D96,'Q2 Data'!$AE$4:$AE$207)+SUMIF('Q3 Data'!$D$4:$D$207,D96,'Q3 Data'!$AD$4:$AD$207)+SUMIF('Q3 Data'!$D$4:$D$207,D96,'Q3 Data'!$AG$4:$AG$207)+SUMIF('Q3 Data'!$D$4:$D$207,D96,'Q3 Data'!$AE$4:$AE$207)+SUMIF('Q4 Data'!$D$4:$D$207,D96,'Q4 Data'!$AD$4:$AD$207)+SUMIF('Q4 Data'!$D$4:$D$207,D96,'Q4 Data'!$AG$4:$AG$207)+SUMIF('Q4 Data'!$D$4:$D$207,D96,'Q4 Data'!$AE$4:$AE$207))</f>
      </c>
      <c r="AO96" s="27">
        <f>IF($B96&lt;&gt;"Challan","",P96-N96)</f>
      </c>
      <c r="AP96" s="27">
        <f>IF($B96&lt;&gt;"Challan","",MAX(0,AO96-AN96))</f>
      </c>
      <c r="AQ96" s="33">
        <f>IF($B96&lt;&gt;"Entry","",SUMPRODUCT(('Q1 Data'!$D$4:$D$207=D96)*('Q1 Data'!$B$4:$B$207="Challan")*'Q1 Data'!$F$4:$F$207)+SUMPRODUCT(('Q2 Data'!$D$4:$D$207=D96)*('Q2 Data'!$B$4:$B$207="Challan")*'Q2 Data'!$F$4:$F$207)+SUMPRODUCT(('Q3 Data'!$D$4:$D$207=D96)*('Q3 Data'!$B$4:$B$207="Challan")*'Q3 Data'!$F$4:$F$207)+SUMPRODUCT(('Q4 Data'!$D$4:$D$207=D96)*('Q4 Data'!$B$4:$B$207="Challan")*'Q4 Data'!$F$4:$F$207))</f>
      </c>
      <c r="AR96" s="34">
        <f>IF(OR($B96&lt;&gt;"Entry",Z96=""),FALSE,AND((SUMPRODUCT(('Q1 Data'!$D$4:$D$207=D96)*('Q1 Data'!$B$4:$B$207="Challan")*('Q1 Data'!$H$4:$H$207&lt;&gt;""))+SUMPRODUCT(('Q2 Data'!$D$4:$D$207=D96)*('Q2 Data'!$B$4:$B$207="Challan")*('Q2 Data'!$H$4:$H$207&lt;&gt;""))+SUMPRODUCT(('Q3 Data'!$D$4:$D$207=D96)*('Q3 Data'!$B$4:$B$207="Challan")*('Q3 Data'!$H$4:$H$207&lt;&gt;""))+SUMPRODUCT(('Q4 Data'!$D$4:$D$207=D96)*('Q4 Data'!$B$4:$B$207="Challan")*('Q4 Data'!$H$4:$H$207&lt;&gt;"")))&gt;0,(SUMPRODUCT(('Q1 Data'!$D$4:$D$207=D96)*('Q1 Data'!$B$4:$B$207="Challan")*('Q1 Data'!$H$4:$H$207=Z96))+SUMPRODUCT(('Q2 Data'!$D$4:$D$207=D96)*('Q2 Data'!$B$4:$B$207="Challan")*('Q2 Data'!$H$4:$H$207=Z96))+SUMPRODUCT(('Q3 Data'!$D$4:$D$207=D96)*('Q3 Data'!$B$4:$B$207="Challan")*('Q3 Data'!$H$4:$H$207=Z96))+SUMPRODUCT(('Q4 Data'!$D$4:$D$207=D96)*('Q4 Data'!$B$4:$B$207="Challan")*('Q4 Data'!$H$4:$H$207=Z96)))=0))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IF($B97="Challan","",IF(W97&lt;&gt;"","◄ Set Row Type","")))</f>
      </c>
      <c r="Y97" s="23">
        <f>IF($B97="Entry",IF(LEN(W97)&lt;4,"",IF(UPPER(MID(W97,4,1))="P","Individual",IF(UPPER(MID(W97,4,1))="H","HUF",IF(UPPER(MID(W97,4,1))="C","Company",IF(UPPER(MID(W97,4,1))="F","Firm/LLP",IF(UPPER(MID(W97,4,1))="L","Local Authority",IF(UPPER(MID(W97,4,1))="T","Trust",IF(UPPER(MID(W97,4,1))="A","AOP",IF(UPPER(MID(W97,4,1))="B","BOI",IF(UPPER(MID(W97,4,1))="J","AJP",IF(UPPER(MID(W97,4,1))="G","Government",""))))))))))),IF($B97="Challan","",IF(W97&lt;&gt;"","◄ Set Row Type","")))</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IF($B97&lt;&gt;"Challan","",SUMIF('Q1 Data'!$D$4:$D$207,D97,'Q1 Data'!$AD$4:$AD$207)+SUMIF('Q1 Data'!$D$4:$D$207,D97,'Q1 Data'!$AG$4:$AG$207)+SUMIF('Q1 Data'!$D$4:$D$207,D97,'Q1 Data'!$AE$4:$AE$207)+SUMIF('Q2 Data'!$D$4:$D$207,D97,'Q2 Data'!$AD$4:$AD$207)+SUMIF('Q2 Data'!$D$4:$D$207,D97,'Q2 Data'!$AG$4:$AG$207)+SUMIF('Q2 Data'!$D$4:$D$207,D97,'Q2 Data'!$AE$4:$AE$207)+SUMIF('Q3 Data'!$D$4:$D$207,D97,'Q3 Data'!$AD$4:$AD$207)+SUMIF('Q3 Data'!$D$4:$D$207,D97,'Q3 Data'!$AG$4:$AG$207)+SUMIF('Q3 Data'!$D$4:$D$207,D97,'Q3 Data'!$AE$4:$AE$207)+SUMIF('Q4 Data'!$D$4:$D$207,D97,'Q4 Data'!$AD$4:$AD$207)+SUMIF('Q4 Data'!$D$4:$D$207,D97,'Q4 Data'!$AG$4:$AG$207)+SUMIF('Q4 Data'!$D$4:$D$207,D97,'Q4 Data'!$AE$4:$AE$207))</f>
      </c>
      <c r="AO97" s="27">
        <f>IF($B97&lt;&gt;"Challan","",P97-N97)</f>
      </c>
      <c r="AP97" s="27">
        <f>IF($B97&lt;&gt;"Challan","",MAX(0,AO97-AN97))</f>
      </c>
      <c r="AQ97" s="33">
        <f>IF($B97&lt;&gt;"Entry","",SUMPRODUCT(('Q1 Data'!$D$4:$D$207=D97)*('Q1 Data'!$B$4:$B$207="Challan")*'Q1 Data'!$F$4:$F$207)+SUMPRODUCT(('Q2 Data'!$D$4:$D$207=D97)*('Q2 Data'!$B$4:$B$207="Challan")*'Q2 Data'!$F$4:$F$207)+SUMPRODUCT(('Q3 Data'!$D$4:$D$207=D97)*('Q3 Data'!$B$4:$B$207="Challan")*'Q3 Data'!$F$4:$F$207)+SUMPRODUCT(('Q4 Data'!$D$4:$D$207=D97)*('Q4 Data'!$B$4:$B$207="Challan")*'Q4 Data'!$F$4:$F$207))</f>
      </c>
      <c r="AR97" s="34">
        <f>IF(OR($B97&lt;&gt;"Entry",Z97=""),FALSE,AND((SUMPRODUCT(('Q1 Data'!$D$4:$D$207=D97)*('Q1 Data'!$B$4:$B$207="Challan")*('Q1 Data'!$H$4:$H$207&lt;&gt;""))+SUMPRODUCT(('Q2 Data'!$D$4:$D$207=D97)*('Q2 Data'!$B$4:$B$207="Challan")*('Q2 Data'!$H$4:$H$207&lt;&gt;""))+SUMPRODUCT(('Q3 Data'!$D$4:$D$207=D97)*('Q3 Data'!$B$4:$B$207="Challan")*('Q3 Data'!$H$4:$H$207&lt;&gt;""))+SUMPRODUCT(('Q4 Data'!$D$4:$D$207=D97)*('Q4 Data'!$B$4:$B$207="Challan")*('Q4 Data'!$H$4:$H$207&lt;&gt;"")))&gt;0,(SUMPRODUCT(('Q1 Data'!$D$4:$D$207=D97)*('Q1 Data'!$B$4:$B$207="Challan")*('Q1 Data'!$H$4:$H$207=Z97))+SUMPRODUCT(('Q2 Data'!$D$4:$D$207=D97)*('Q2 Data'!$B$4:$B$207="Challan")*('Q2 Data'!$H$4:$H$207=Z97))+SUMPRODUCT(('Q3 Data'!$D$4:$D$207=D97)*('Q3 Data'!$B$4:$B$207="Challan")*('Q3 Data'!$H$4:$H$207=Z97))+SUMPRODUCT(('Q4 Data'!$D$4:$D$207=D97)*('Q4 Data'!$B$4:$B$207="Challan")*('Q4 Data'!$H$4:$H$207=Z97)))=0))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IF($B98="Challan","",IF(W98&lt;&gt;"","◄ Set Row Type","")))</f>
      </c>
      <c r="Y98" s="23">
        <f>IF($B98="Entry",IF(LEN(W98)&lt;4,"",IF(UPPER(MID(W98,4,1))="P","Individual",IF(UPPER(MID(W98,4,1))="H","HUF",IF(UPPER(MID(W98,4,1))="C","Company",IF(UPPER(MID(W98,4,1))="F","Firm/LLP",IF(UPPER(MID(W98,4,1))="L","Local Authority",IF(UPPER(MID(W98,4,1))="T","Trust",IF(UPPER(MID(W98,4,1))="A","AOP",IF(UPPER(MID(W98,4,1))="B","BOI",IF(UPPER(MID(W98,4,1))="J","AJP",IF(UPPER(MID(W98,4,1))="G","Government",""))))))))))),IF($B98="Challan","",IF(W98&lt;&gt;"","◄ Set Row Type","")))</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IF($B98&lt;&gt;"Challan","",SUMIF('Q1 Data'!$D$4:$D$207,D98,'Q1 Data'!$AD$4:$AD$207)+SUMIF('Q1 Data'!$D$4:$D$207,D98,'Q1 Data'!$AG$4:$AG$207)+SUMIF('Q1 Data'!$D$4:$D$207,D98,'Q1 Data'!$AE$4:$AE$207)+SUMIF('Q2 Data'!$D$4:$D$207,D98,'Q2 Data'!$AD$4:$AD$207)+SUMIF('Q2 Data'!$D$4:$D$207,D98,'Q2 Data'!$AG$4:$AG$207)+SUMIF('Q2 Data'!$D$4:$D$207,D98,'Q2 Data'!$AE$4:$AE$207)+SUMIF('Q3 Data'!$D$4:$D$207,D98,'Q3 Data'!$AD$4:$AD$207)+SUMIF('Q3 Data'!$D$4:$D$207,D98,'Q3 Data'!$AG$4:$AG$207)+SUMIF('Q3 Data'!$D$4:$D$207,D98,'Q3 Data'!$AE$4:$AE$207)+SUMIF('Q4 Data'!$D$4:$D$207,D98,'Q4 Data'!$AD$4:$AD$207)+SUMIF('Q4 Data'!$D$4:$D$207,D98,'Q4 Data'!$AG$4:$AG$207)+SUMIF('Q4 Data'!$D$4:$D$207,D98,'Q4 Data'!$AE$4:$AE$207))</f>
      </c>
      <c r="AO98" s="27">
        <f>IF($B98&lt;&gt;"Challan","",P98-N98)</f>
      </c>
      <c r="AP98" s="27">
        <f>IF($B98&lt;&gt;"Challan","",MAX(0,AO98-AN98))</f>
      </c>
      <c r="AQ98" s="33">
        <f>IF($B98&lt;&gt;"Entry","",SUMPRODUCT(('Q1 Data'!$D$4:$D$207=D98)*('Q1 Data'!$B$4:$B$207="Challan")*'Q1 Data'!$F$4:$F$207)+SUMPRODUCT(('Q2 Data'!$D$4:$D$207=D98)*('Q2 Data'!$B$4:$B$207="Challan")*'Q2 Data'!$F$4:$F$207)+SUMPRODUCT(('Q3 Data'!$D$4:$D$207=D98)*('Q3 Data'!$B$4:$B$207="Challan")*'Q3 Data'!$F$4:$F$207)+SUMPRODUCT(('Q4 Data'!$D$4:$D$207=D98)*('Q4 Data'!$B$4:$B$207="Challan")*'Q4 Data'!$F$4:$F$207))</f>
      </c>
      <c r="AR98" s="34">
        <f>IF(OR($B98&lt;&gt;"Entry",Z98=""),FALSE,AND((SUMPRODUCT(('Q1 Data'!$D$4:$D$207=D98)*('Q1 Data'!$B$4:$B$207="Challan")*('Q1 Data'!$H$4:$H$207&lt;&gt;""))+SUMPRODUCT(('Q2 Data'!$D$4:$D$207=D98)*('Q2 Data'!$B$4:$B$207="Challan")*('Q2 Data'!$H$4:$H$207&lt;&gt;""))+SUMPRODUCT(('Q3 Data'!$D$4:$D$207=D98)*('Q3 Data'!$B$4:$B$207="Challan")*('Q3 Data'!$H$4:$H$207&lt;&gt;""))+SUMPRODUCT(('Q4 Data'!$D$4:$D$207=D98)*('Q4 Data'!$B$4:$B$207="Challan")*('Q4 Data'!$H$4:$H$207&lt;&gt;"")))&gt;0,(SUMPRODUCT(('Q1 Data'!$D$4:$D$207=D98)*('Q1 Data'!$B$4:$B$207="Challan")*('Q1 Data'!$H$4:$H$207=Z98))+SUMPRODUCT(('Q2 Data'!$D$4:$D$207=D98)*('Q2 Data'!$B$4:$B$207="Challan")*('Q2 Data'!$H$4:$H$207=Z98))+SUMPRODUCT(('Q3 Data'!$D$4:$D$207=D98)*('Q3 Data'!$B$4:$B$207="Challan")*('Q3 Data'!$H$4:$H$207=Z98))+SUMPRODUCT(('Q4 Data'!$D$4:$D$207=D98)*('Q4 Data'!$B$4:$B$207="Challan")*('Q4 Data'!$H$4:$H$207=Z98)))=0))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IF($B99="Challan","",IF(W99&lt;&gt;"","◄ Set Row Type","")))</f>
      </c>
      <c r="Y99" s="23">
        <f>IF($B99="Entry",IF(LEN(W99)&lt;4,"",IF(UPPER(MID(W99,4,1))="P","Individual",IF(UPPER(MID(W99,4,1))="H","HUF",IF(UPPER(MID(W99,4,1))="C","Company",IF(UPPER(MID(W99,4,1))="F","Firm/LLP",IF(UPPER(MID(W99,4,1))="L","Local Authority",IF(UPPER(MID(W99,4,1))="T","Trust",IF(UPPER(MID(W99,4,1))="A","AOP",IF(UPPER(MID(W99,4,1))="B","BOI",IF(UPPER(MID(W99,4,1))="J","AJP",IF(UPPER(MID(W99,4,1))="G","Government",""))))))))))),IF($B99="Challan","",IF(W99&lt;&gt;"","◄ Set Row Type","")))</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IF($B99&lt;&gt;"Challan","",SUMIF('Q1 Data'!$D$4:$D$207,D99,'Q1 Data'!$AD$4:$AD$207)+SUMIF('Q1 Data'!$D$4:$D$207,D99,'Q1 Data'!$AG$4:$AG$207)+SUMIF('Q1 Data'!$D$4:$D$207,D99,'Q1 Data'!$AE$4:$AE$207)+SUMIF('Q2 Data'!$D$4:$D$207,D99,'Q2 Data'!$AD$4:$AD$207)+SUMIF('Q2 Data'!$D$4:$D$207,D99,'Q2 Data'!$AG$4:$AG$207)+SUMIF('Q2 Data'!$D$4:$D$207,D99,'Q2 Data'!$AE$4:$AE$207)+SUMIF('Q3 Data'!$D$4:$D$207,D99,'Q3 Data'!$AD$4:$AD$207)+SUMIF('Q3 Data'!$D$4:$D$207,D99,'Q3 Data'!$AG$4:$AG$207)+SUMIF('Q3 Data'!$D$4:$D$207,D99,'Q3 Data'!$AE$4:$AE$207)+SUMIF('Q4 Data'!$D$4:$D$207,D99,'Q4 Data'!$AD$4:$AD$207)+SUMIF('Q4 Data'!$D$4:$D$207,D99,'Q4 Data'!$AG$4:$AG$207)+SUMIF('Q4 Data'!$D$4:$D$207,D99,'Q4 Data'!$AE$4:$AE$207))</f>
      </c>
      <c r="AO99" s="27">
        <f>IF($B99&lt;&gt;"Challan","",P99-N99)</f>
      </c>
      <c r="AP99" s="27">
        <f>IF($B99&lt;&gt;"Challan","",MAX(0,AO99-AN99))</f>
      </c>
      <c r="AQ99" s="33">
        <f>IF($B99&lt;&gt;"Entry","",SUMPRODUCT(('Q1 Data'!$D$4:$D$207=D99)*('Q1 Data'!$B$4:$B$207="Challan")*'Q1 Data'!$F$4:$F$207)+SUMPRODUCT(('Q2 Data'!$D$4:$D$207=D99)*('Q2 Data'!$B$4:$B$207="Challan")*'Q2 Data'!$F$4:$F$207)+SUMPRODUCT(('Q3 Data'!$D$4:$D$207=D99)*('Q3 Data'!$B$4:$B$207="Challan")*'Q3 Data'!$F$4:$F$207)+SUMPRODUCT(('Q4 Data'!$D$4:$D$207=D99)*('Q4 Data'!$B$4:$B$207="Challan")*'Q4 Data'!$F$4:$F$207))</f>
      </c>
      <c r="AR99" s="34">
        <f>IF(OR($B99&lt;&gt;"Entry",Z99=""),FALSE,AND((SUMPRODUCT(('Q1 Data'!$D$4:$D$207=D99)*('Q1 Data'!$B$4:$B$207="Challan")*('Q1 Data'!$H$4:$H$207&lt;&gt;""))+SUMPRODUCT(('Q2 Data'!$D$4:$D$207=D99)*('Q2 Data'!$B$4:$B$207="Challan")*('Q2 Data'!$H$4:$H$207&lt;&gt;""))+SUMPRODUCT(('Q3 Data'!$D$4:$D$207=D99)*('Q3 Data'!$B$4:$B$207="Challan")*('Q3 Data'!$H$4:$H$207&lt;&gt;""))+SUMPRODUCT(('Q4 Data'!$D$4:$D$207=D99)*('Q4 Data'!$B$4:$B$207="Challan")*('Q4 Data'!$H$4:$H$207&lt;&gt;"")))&gt;0,(SUMPRODUCT(('Q1 Data'!$D$4:$D$207=D99)*('Q1 Data'!$B$4:$B$207="Challan")*('Q1 Data'!$H$4:$H$207=Z99))+SUMPRODUCT(('Q2 Data'!$D$4:$D$207=D99)*('Q2 Data'!$B$4:$B$207="Challan")*('Q2 Data'!$H$4:$H$207=Z99))+SUMPRODUCT(('Q3 Data'!$D$4:$D$207=D99)*('Q3 Data'!$B$4:$B$207="Challan")*('Q3 Data'!$H$4:$H$207=Z99))+SUMPRODUCT(('Q4 Data'!$D$4:$D$207=D99)*('Q4 Data'!$B$4:$B$207="Challan")*('Q4 Data'!$H$4:$H$207=Z99)))=0))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IF($B100="Challan","",IF(W100&lt;&gt;"","◄ Set Row Type","")))</f>
      </c>
      <c r="Y100" s="23">
        <f>IF($B100="Entry",IF(LEN(W100)&lt;4,"",IF(UPPER(MID(W100,4,1))="P","Individual",IF(UPPER(MID(W100,4,1))="H","HUF",IF(UPPER(MID(W100,4,1))="C","Company",IF(UPPER(MID(W100,4,1))="F","Firm/LLP",IF(UPPER(MID(W100,4,1))="L","Local Authority",IF(UPPER(MID(W100,4,1))="T","Trust",IF(UPPER(MID(W100,4,1))="A","AOP",IF(UPPER(MID(W100,4,1))="B","BOI",IF(UPPER(MID(W100,4,1))="J","AJP",IF(UPPER(MID(W100,4,1))="G","Government",""))))))))))),IF($B100="Challan","",IF(W100&lt;&gt;"","◄ Set Row Type","")))</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IF($B100&lt;&gt;"Challan","",SUMIF('Q1 Data'!$D$4:$D$207,D100,'Q1 Data'!$AD$4:$AD$207)+SUMIF('Q1 Data'!$D$4:$D$207,D100,'Q1 Data'!$AG$4:$AG$207)+SUMIF('Q1 Data'!$D$4:$D$207,D100,'Q1 Data'!$AE$4:$AE$207)+SUMIF('Q2 Data'!$D$4:$D$207,D100,'Q2 Data'!$AD$4:$AD$207)+SUMIF('Q2 Data'!$D$4:$D$207,D100,'Q2 Data'!$AG$4:$AG$207)+SUMIF('Q2 Data'!$D$4:$D$207,D100,'Q2 Data'!$AE$4:$AE$207)+SUMIF('Q3 Data'!$D$4:$D$207,D100,'Q3 Data'!$AD$4:$AD$207)+SUMIF('Q3 Data'!$D$4:$D$207,D100,'Q3 Data'!$AG$4:$AG$207)+SUMIF('Q3 Data'!$D$4:$D$207,D100,'Q3 Data'!$AE$4:$AE$207)+SUMIF('Q4 Data'!$D$4:$D$207,D100,'Q4 Data'!$AD$4:$AD$207)+SUMIF('Q4 Data'!$D$4:$D$207,D100,'Q4 Data'!$AG$4:$AG$207)+SUMIF('Q4 Data'!$D$4:$D$207,D100,'Q4 Data'!$AE$4:$AE$207))</f>
      </c>
      <c r="AO100" s="27">
        <f>IF($B100&lt;&gt;"Challan","",P100-N100)</f>
      </c>
      <c r="AP100" s="27">
        <f>IF($B100&lt;&gt;"Challan","",MAX(0,AO100-AN100))</f>
      </c>
      <c r="AQ100" s="33">
        <f>IF($B100&lt;&gt;"Entry","",SUMPRODUCT(('Q1 Data'!$D$4:$D$207=D100)*('Q1 Data'!$B$4:$B$207="Challan")*'Q1 Data'!$F$4:$F$207)+SUMPRODUCT(('Q2 Data'!$D$4:$D$207=D100)*('Q2 Data'!$B$4:$B$207="Challan")*'Q2 Data'!$F$4:$F$207)+SUMPRODUCT(('Q3 Data'!$D$4:$D$207=D100)*('Q3 Data'!$B$4:$B$207="Challan")*'Q3 Data'!$F$4:$F$207)+SUMPRODUCT(('Q4 Data'!$D$4:$D$207=D100)*('Q4 Data'!$B$4:$B$207="Challan")*'Q4 Data'!$F$4:$F$207))</f>
      </c>
      <c r="AR100" s="34">
        <f>IF(OR($B100&lt;&gt;"Entry",Z100=""),FALSE,AND((SUMPRODUCT(('Q1 Data'!$D$4:$D$207=D100)*('Q1 Data'!$B$4:$B$207="Challan")*('Q1 Data'!$H$4:$H$207&lt;&gt;""))+SUMPRODUCT(('Q2 Data'!$D$4:$D$207=D100)*('Q2 Data'!$B$4:$B$207="Challan")*('Q2 Data'!$H$4:$H$207&lt;&gt;""))+SUMPRODUCT(('Q3 Data'!$D$4:$D$207=D100)*('Q3 Data'!$B$4:$B$207="Challan")*('Q3 Data'!$H$4:$H$207&lt;&gt;""))+SUMPRODUCT(('Q4 Data'!$D$4:$D$207=D100)*('Q4 Data'!$B$4:$B$207="Challan")*('Q4 Data'!$H$4:$H$207&lt;&gt;"")))&gt;0,(SUMPRODUCT(('Q1 Data'!$D$4:$D$207=D100)*('Q1 Data'!$B$4:$B$207="Challan")*('Q1 Data'!$H$4:$H$207=Z100))+SUMPRODUCT(('Q2 Data'!$D$4:$D$207=D100)*('Q2 Data'!$B$4:$B$207="Challan")*('Q2 Data'!$H$4:$H$207=Z100))+SUMPRODUCT(('Q3 Data'!$D$4:$D$207=D100)*('Q3 Data'!$B$4:$B$207="Challan")*('Q3 Data'!$H$4:$H$207=Z100))+SUMPRODUCT(('Q4 Data'!$D$4:$D$207=D100)*('Q4 Data'!$B$4:$B$207="Challan")*('Q4 Data'!$H$4:$H$207=Z100)))=0))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IF($B101="Challan","",IF(W101&lt;&gt;"","◄ Set Row Type","")))</f>
      </c>
      <c r="Y101" s="23">
        <f>IF($B101="Entry",IF(LEN(W101)&lt;4,"",IF(UPPER(MID(W101,4,1))="P","Individual",IF(UPPER(MID(W101,4,1))="H","HUF",IF(UPPER(MID(W101,4,1))="C","Company",IF(UPPER(MID(W101,4,1))="F","Firm/LLP",IF(UPPER(MID(W101,4,1))="L","Local Authority",IF(UPPER(MID(W101,4,1))="T","Trust",IF(UPPER(MID(W101,4,1))="A","AOP",IF(UPPER(MID(W101,4,1))="B","BOI",IF(UPPER(MID(W101,4,1))="J","AJP",IF(UPPER(MID(W101,4,1))="G","Government",""))))))))))),IF($B101="Challan","",IF(W101&lt;&gt;"","◄ Set Row Type","")))</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IF($B101&lt;&gt;"Challan","",SUMIF('Q1 Data'!$D$4:$D$207,D101,'Q1 Data'!$AD$4:$AD$207)+SUMIF('Q1 Data'!$D$4:$D$207,D101,'Q1 Data'!$AG$4:$AG$207)+SUMIF('Q1 Data'!$D$4:$D$207,D101,'Q1 Data'!$AE$4:$AE$207)+SUMIF('Q2 Data'!$D$4:$D$207,D101,'Q2 Data'!$AD$4:$AD$207)+SUMIF('Q2 Data'!$D$4:$D$207,D101,'Q2 Data'!$AG$4:$AG$207)+SUMIF('Q2 Data'!$D$4:$D$207,D101,'Q2 Data'!$AE$4:$AE$207)+SUMIF('Q3 Data'!$D$4:$D$207,D101,'Q3 Data'!$AD$4:$AD$207)+SUMIF('Q3 Data'!$D$4:$D$207,D101,'Q3 Data'!$AG$4:$AG$207)+SUMIF('Q3 Data'!$D$4:$D$207,D101,'Q3 Data'!$AE$4:$AE$207)+SUMIF('Q4 Data'!$D$4:$D$207,D101,'Q4 Data'!$AD$4:$AD$207)+SUMIF('Q4 Data'!$D$4:$D$207,D101,'Q4 Data'!$AG$4:$AG$207)+SUMIF('Q4 Data'!$D$4:$D$207,D101,'Q4 Data'!$AE$4:$AE$207))</f>
      </c>
      <c r="AO101" s="27">
        <f>IF($B101&lt;&gt;"Challan","",P101-N101)</f>
      </c>
      <c r="AP101" s="27">
        <f>IF($B101&lt;&gt;"Challan","",MAX(0,AO101-AN101))</f>
      </c>
      <c r="AQ101" s="33">
        <f>IF($B101&lt;&gt;"Entry","",SUMPRODUCT(('Q1 Data'!$D$4:$D$207=D101)*('Q1 Data'!$B$4:$B$207="Challan")*'Q1 Data'!$F$4:$F$207)+SUMPRODUCT(('Q2 Data'!$D$4:$D$207=D101)*('Q2 Data'!$B$4:$B$207="Challan")*'Q2 Data'!$F$4:$F$207)+SUMPRODUCT(('Q3 Data'!$D$4:$D$207=D101)*('Q3 Data'!$B$4:$B$207="Challan")*'Q3 Data'!$F$4:$F$207)+SUMPRODUCT(('Q4 Data'!$D$4:$D$207=D101)*('Q4 Data'!$B$4:$B$207="Challan")*'Q4 Data'!$F$4:$F$207))</f>
      </c>
      <c r="AR101" s="34">
        <f>IF(OR($B101&lt;&gt;"Entry",Z101=""),FALSE,AND((SUMPRODUCT(('Q1 Data'!$D$4:$D$207=D101)*('Q1 Data'!$B$4:$B$207="Challan")*('Q1 Data'!$H$4:$H$207&lt;&gt;""))+SUMPRODUCT(('Q2 Data'!$D$4:$D$207=D101)*('Q2 Data'!$B$4:$B$207="Challan")*('Q2 Data'!$H$4:$H$207&lt;&gt;""))+SUMPRODUCT(('Q3 Data'!$D$4:$D$207=D101)*('Q3 Data'!$B$4:$B$207="Challan")*('Q3 Data'!$H$4:$H$207&lt;&gt;""))+SUMPRODUCT(('Q4 Data'!$D$4:$D$207=D101)*('Q4 Data'!$B$4:$B$207="Challan")*('Q4 Data'!$H$4:$H$207&lt;&gt;"")))&gt;0,(SUMPRODUCT(('Q1 Data'!$D$4:$D$207=D101)*('Q1 Data'!$B$4:$B$207="Challan")*('Q1 Data'!$H$4:$H$207=Z101))+SUMPRODUCT(('Q2 Data'!$D$4:$D$207=D101)*('Q2 Data'!$B$4:$B$207="Challan")*('Q2 Data'!$H$4:$H$207=Z101))+SUMPRODUCT(('Q3 Data'!$D$4:$D$207=D101)*('Q3 Data'!$B$4:$B$207="Challan")*('Q3 Data'!$H$4:$H$207=Z101))+SUMPRODUCT(('Q4 Data'!$D$4:$D$207=D101)*('Q4 Data'!$B$4:$B$207="Challan")*('Q4 Data'!$H$4:$H$207=Z101)))=0))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IF($B102="Challan","",IF(W102&lt;&gt;"","◄ Set Row Type","")))</f>
      </c>
      <c r="Y102" s="23">
        <f>IF($B102="Entry",IF(LEN(W102)&lt;4,"",IF(UPPER(MID(W102,4,1))="P","Individual",IF(UPPER(MID(W102,4,1))="H","HUF",IF(UPPER(MID(W102,4,1))="C","Company",IF(UPPER(MID(W102,4,1))="F","Firm/LLP",IF(UPPER(MID(W102,4,1))="L","Local Authority",IF(UPPER(MID(W102,4,1))="T","Trust",IF(UPPER(MID(W102,4,1))="A","AOP",IF(UPPER(MID(W102,4,1))="B","BOI",IF(UPPER(MID(W102,4,1))="J","AJP",IF(UPPER(MID(W102,4,1))="G","Government",""))))))))))),IF($B102="Challan","",IF(W102&lt;&gt;"","◄ Set Row Type","")))</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IF($B102&lt;&gt;"Challan","",SUMIF('Q1 Data'!$D$4:$D$207,D102,'Q1 Data'!$AD$4:$AD$207)+SUMIF('Q1 Data'!$D$4:$D$207,D102,'Q1 Data'!$AG$4:$AG$207)+SUMIF('Q1 Data'!$D$4:$D$207,D102,'Q1 Data'!$AE$4:$AE$207)+SUMIF('Q2 Data'!$D$4:$D$207,D102,'Q2 Data'!$AD$4:$AD$207)+SUMIF('Q2 Data'!$D$4:$D$207,D102,'Q2 Data'!$AG$4:$AG$207)+SUMIF('Q2 Data'!$D$4:$D$207,D102,'Q2 Data'!$AE$4:$AE$207)+SUMIF('Q3 Data'!$D$4:$D$207,D102,'Q3 Data'!$AD$4:$AD$207)+SUMIF('Q3 Data'!$D$4:$D$207,D102,'Q3 Data'!$AG$4:$AG$207)+SUMIF('Q3 Data'!$D$4:$D$207,D102,'Q3 Data'!$AE$4:$AE$207)+SUMIF('Q4 Data'!$D$4:$D$207,D102,'Q4 Data'!$AD$4:$AD$207)+SUMIF('Q4 Data'!$D$4:$D$207,D102,'Q4 Data'!$AG$4:$AG$207)+SUMIF('Q4 Data'!$D$4:$D$207,D102,'Q4 Data'!$AE$4:$AE$207))</f>
      </c>
      <c r="AO102" s="27">
        <f>IF($B102&lt;&gt;"Challan","",P102-N102)</f>
      </c>
      <c r="AP102" s="27">
        <f>IF($B102&lt;&gt;"Challan","",MAX(0,AO102-AN102))</f>
      </c>
      <c r="AQ102" s="33">
        <f>IF($B102&lt;&gt;"Entry","",SUMPRODUCT(('Q1 Data'!$D$4:$D$207=D102)*('Q1 Data'!$B$4:$B$207="Challan")*'Q1 Data'!$F$4:$F$207)+SUMPRODUCT(('Q2 Data'!$D$4:$D$207=D102)*('Q2 Data'!$B$4:$B$207="Challan")*'Q2 Data'!$F$4:$F$207)+SUMPRODUCT(('Q3 Data'!$D$4:$D$207=D102)*('Q3 Data'!$B$4:$B$207="Challan")*'Q3 Data'!$F$4:$F$207)+SUMPRODUCT(('Q4 Data'!$D$4:$D$207=D102)*('Q4 Data'!$B$4:$B$207="Challan")*'Q4 Data'!$F$4:$F$207))</f>
      </c>
      <c r="AR102" s="34">
        <f>IF(OR($B102&lt;&gt;"Entry",Z102=""),FALSE,AND((SUMPRODUCT(('Q1 Data'!$D$4:$D$207=D102)*('Q1 Data'!$B$4:$B$207="Challan")*('Q1 Data'!$H$4:$H$207&lt;&gt;""))+SUMPRODUCT(('Q2 Data'!$D$4:$D$207=D102)*('Q2 Data'!$B$4:$B$207="Challan")*('Q2 Data'!$H$4:$H$207&lt;&gt;""))+SUMPRODUCT(('Q3 Data'!$D$4:$D$207=D102)*('Q3 Data'!$B$4:$B$207="Challan")*('Q3 Data'!$H$4:$H$207&lt;&gt;""))+SUMPRODUCT(('Q4 Data'!$D$4:$D$207=D102)*('Q4 Data'!$B$4:$B$207="Challan")*('Q4 Data'!$H$4:$H$207&lt;&gt;"")))&gt;0,(SUMPRODUCT(('Q1 Data'!$D$4:$D$207=D102)*('Q1 Data'!$B$4:$B$207="Challan")*('Q1 Data'!$H$4:$H$207=Z102))+SUMPRODUCT(('Q2 Data'!$D$4:$D$207=D102)*('Q2 Data'!$B$4:$B$207="Challan")*('Q2 Data'!$H$4:$H$207=Z102))+SUMPRODUCT(('Q3 Data'!$D$4:$D$207=D102)*('Q3 Data'!$B$4:$B$207="Challan")*('Q3 Data'!$H$4:$H$207=Z102))+SUMPRODUCT(('Q4 Data'!$D$4:$D$207=D102)*('Q4 Data'!$B$4:$B$207="Challan")*('Q4 Data'!$H$4:$H$207=Z102)))=0))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IF($B103="Challan","",IF(W103&lt;&gt;"","◄ Set Row Type","")))</f>
      </c>
      <c r="Y103" s="23">
        <f>IF($B103="Entry",IF(LEN(W103)&lt;4,"",IF(UPPER(MID(W103,4,1))="P","Individual",IF(UPPER(MID(W103,4,1))="H","HUF",IF(UPPER(MID(W103,4,1))="C","Company",IF(UPPER(MID(W103,4,1))="F","Firm/LLP",IF(UPPER(MID(W103,4,1))="L","Local Authority",IF(UPPER(MID(W103,4,1))="T","Trust",IF(UPPER(MID(W103,4,1))="A","AOP",IF(UPPER(MID(W103,4,1))="B","BOI",IF(UPPER(MID(W103,4,1))="J","AJP",IF(UPPER(MID(W103,4,1))="G","Government",""))))))))))),IF($B103="Challan","",IF(W103&lt;&gt;"","◄ Set Row Type","")))</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IF($B103&lt;&gt;"Challan","",SUMIF('Q1 Data'!$D$4:$D$207,D103,'Q1 Data'!$AD$4:$AD$207)+SUMIF('Q1 Data'!$D$4:$D$207,D103,'Q1 Data'!$AG$4:$AG$207)+SUMIF('Q1 Data'!$D$4:$D$207,D103,'Q1 Data'!$AE$4:$AE$207)+SUMIF('Q2 Data'!$D$4:$D$207,D103,'Q2 Data'!$AD$4:$AD$207)+SUMIF('Q2 Data'!$D$4:$D$207,D103,'Q2 Data'!$AG$4:$AG$207)+SUMIF('Q2 Data'!$D$4:$D$207,D103,'Q2 Data'!$AE$4:$AE$207)+SUMIF('Q3 Data'!$D$4:$D$207,D103,'Q3 Data'!$AD$4:$AD$207)+SUMIF('Q3 Data'!$D$4:$D$207,D103,'Q3 Data'!$AG$4:$AG$207)+SUMIF('Q3 Data'!$D$4:$D$207,D103,'Q3 Data'!$AE$4:$AE$207)+SUMIF('Q4 Data'!$D$4:$D$207,D103,'Q4 Data'!$AD$4:$AD$207)+SUMIF('Q4 Data'!$D$4:$D$207,D103,'Q4 Data'!$AG$4:$AG$207)+SUMIF('Q4 Data'!$D$4:$D$207,D103,'Q4 Data'!$AE$4:$AE$207))</f>
      </c>
      <c r="AO103" s="27">
        <f>IF($B103&lt;&gt;"Challan","",P103-N103)</f>
      </c>
      <c r="AP103" s="27">
        <f>IF($B103&lt;&gt;"Challan","",MAX(0,AO103-AN103))</f>
      </c>
      <c r="AQ103" s="33">
        <f>IF($B103&lt;&gt;"Entry","",SUMPRODUCT(('Q1 Data'!$D$4:$D$207=D103)*('Q1 Data'!$B$4:$B$207="Challan")*'Q1 Data'!$F$4:$F$207)+SUMPRODUCT(('Q2 Data'!$D$4:$D$207=D103)*('Q2 Data'!$B$4:$B$207="Challan")*'Q2 Data'!$F$4:$F$207)+SUMPRODUCT(('Q3 Data'!$D$4:$D$207=D103)*('Q3 Data'!$B$4:$B$207="Challan")*'Q3 Data'!$F$4:$F$207)+SUMPRODUCT(('Q4 Data'!$D$4:$D$207=D103)*('Q4 Data'!$B$4:$B$207="Challan")*'Q4 Data'!$F$4:$F$207))</f>
      </c>
      <c r="AR103" s="34">
        <f>IF(OR($B103&lt;&gt;"Entry",Z103=""),FALSE,AND((SUMPRODUCT(('Q1 Data'!$D$4:$D$207=D103)*('Q1 Data'!$B$4:$B$207="Challan")*('Q1 Data'!$H$4:$H$207&lt;&gt;""))+SUMPRODUCT(('Q2 Data'!$D$4:$D$207=D103)*('Q2 Data'!$B$4:$B$207="Challan")*('Q2 Data'!$H$4:$H$207&lt;&gt;""))+SUMPRODUCT(('Q3 Data'!$D$4:$D$207=D103)*('Q3 Data'!$B$4:$B$207="Challan")*('Q3 Data'!$H$4:$H$207&lt;&gt;""))+SUMPRODUCT(('Q4 Data'!$D$4:$D$207=D103)*('Q4 Data'!$B$4:$B$207="Challan")*('Q4 Data'!$H$4:$H$207&lt;&gt;"")))&gt;0,(SUMPRODUCT(('Q1 Data'!$D$4:$D$207=D103)*('Q1 Data'!$B$4:$B$207="Challan")*('Q1 Data'!$H$4:$H$207=Z103))+SUMPRODUCT(('Q2 Data'!$D$4:$D$207=D103)*('Q2 Data'!$B$4:$B$207="Challan")*('Q2 Data'!$H$4:$H$207=Z103))+SUMPRODUCT(('Q3 Data'!$D$4:$D$207=D103)*('Q3 Data'!$B$4:$B$207="Challan")*('Q3 Data'!$H$4:$H$207=Z103))+SUMPRODUCT(('Q4 Data'!$D$4:$D$207=D103)*('Q4 Data'!$B$4:$B$207="Challan")*('Q4 Data'!$H$4:$H$207=Z103)))=0))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IF($B104="Challan","",IF(W104&lt;&gt;"","◄ Set Row Type","")))</f>
      </c>
      <c r="Y104" s="23">
        <f>IF($B104="Entry",IF(LEN(W104)&lt;4,"",IF(UPPER(MID(W104,4,1))="P","Individual",IF(UPPER(MID(W104,4,1))="H","HUF",IF(UPPER(MID(W104,4,1))="C","Company",IF(UPPER(MID(W104,4,1))="F","Firm/LLP",IF(UPPER(MID(W104,4,1))="L","Local Authority",IF(UPPER(MID(W104,4,1))="T","Trust",IF(UPPER(MID(W104,4,1))="A","AOP",IF(UPPER(MID(W104,4,1))="B","BOI",IF(UPPER(MID(W104,4,1))="J","AJP",IF(UPPER(MID(W104,4,1))="G","Government",""))))))))))),IF($B104="Challan","",IF(W104&lt;&gt;"","◄ Set Row Type","")))</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IF($B104&lt;&gt;"Challan","",SUMIF('Q1 Data'!$D$4:$D$207,D104,'Q1 Data'!$AD$4:$AD$207)+SUMIF('Q1 Data'!$D$4:$D$207,D104,'Q1 Data'!$AG$4:$AG$207)+SUMIF('Q1 Data'!$D$4:$D$207,D104,'Q1 Data'!$AE$4:$AE$207)+SUMIF('Q2 Data'!$D$4:$D$207,D104,'Q2 Data'!$AD$4:$AD$207)+SUMIF('Q2 Data'!$D$4:$D$207,D104,'Q2 Data'!$AG$4:$AG$207)+SUMIF('Q2 Data'!$D$4:$D$207,D104,'Q2 Data'!$AE$4:$AE$207)+SUMIF('Q3 Data'!$D$4:$D$207,D104,'Q3 Data'!$AD$4:$AD$207)+SUMIF('Q3 Data'!$D$4:$D$207,D104,'Q3 Data'!$AG$4:$AG$207)+SUMIF('Q3 Data'!$D$4:$D$207,D104,'Q3 Data'!$AE$4:$AE$207)+SUMIF('Q4 Data'!$D$4:$D$207,D104,'Q4 Data'!$AD$4:$AD$207)+SUMIF('Q4 Data'!$D$4:$D$207,D104,'Q4 Data'!$AG$4:$AG$207)+SUMIF('Q4 Data'!$D$4:$D$207,D104,'Q4 Data'!$AE$4:$AE$207))</f>
      </c>
      <c r="AO104" s="27">
        <f>IF($B104&lt;&gt;"Challan","",P104-N104)</f>
      </c>
      <c r="AP104" s="27">
        <f>IF($B104&lt;&gt;"Challan","",MAX(0,AO104-AN104))</f>
      </c>
      <c r="AQ104" s="33">
        <f>IF($B104&lt;&gt;"Entry","",SUMPRODUCT(('Q1 Data'!$D$4:$D$207=D104)*('Q1 Data'!$B$4:$B$207="Challan")*'Q1 Data'!$F$4:$F$207)+SUMPRODUCT(('Q2 Data'!$D$4:$D$207=D104)*('Q2 Data'!$B$4:$B$207="Challan")*'Q2 Data'!$F$4:$F$207)+SUMPRODUCT(('Q3 Data'!$D$4:$D$207=D104)*('Q3 Data'!$B$4:$B$207="Challan")*'Q3 Data'!$F$4:$F$207)+SUMPRODUCT(('Q4 Data'!$D$4:$D$207=D104)*('Q4 Data'!$B$4:$B$207="Challan")*'Q4 Data'!$F$4:$F$207))</f>
      </c>
      <c r="AR104" s="34">
        <f>IF(OR($B104&lt;&gt;"Entry",Z104=""),FALSE,AND((SUMPRODUCT(('Q1 Data'!$D$4:$D$207=D104)*('Q1 Data'!$B$4:$B$207="Challan")*('Q1 Data'!$H$4:$H$207&lt;&gt;""))+SUMPRODUCT(('Q2 Data'!$D$4:$D$207=D104)*('Q2 Data'!$B$4:$B$207="Challan")*('Q2 Data'!$H$4:$H$207&lt;&gt;""))+SUMPRODUCT(('Q3 Data'!$D$4:$D$207=D104)*('Q3 Data'!$B$4:$B$207="Challan")*('Q3 Data'!$H$4:$H$207&lt;&gt;""))+SUMPRODUCT(('Q4 Data'!$D$4:$D$207=D104)*('Q4 Data'!$B$4:$B$207="Challan")*('Q4 Data'!$H$4:$H$207&lt;&gt;"")))&gt;0,(SUMPRODUCT(('Q1 Data'!$D$4:$D$207=D104)*('Q1 Data'!$B$4:$B$207="Challan")*('Q1 Data'!$H$4:$H$207=Z104))+SUMPRODUCT(('Q2 Data'!$D$4:$D$207=D104)*('Q2 Data'!$B$4:$B$207="Challan")*('Q2 Data'!$H$4:$H$207=Z104))+SUMPRODUCT(('Q3 Data'!$D$4:$D$207=D104)*('Q3 Data'!$B$4:$B$207="Challan")*('Q3 Data'!$H$4:$H$207=Z104))+SUMPRODUCT(('Q4 Data'!$D$4:$D$207=D104)*('Q4 Data'!$B$4:$B$207="Challan")*('Q4 Data'!$H$4:$H$207=Z104)))=0))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IF($B105="Challan","",IF(W105&lt;&gt;"","◄ Set Row Type","")))</f>
      </c>
      <c r="Y105" s="23">
        <f>IF($B105="Entry",IF(LEN(W105)&lt;4,"",IF(UPPER(MID(W105,4,1))="P","Individual",IF(UPPER(MID(W105,4,1))="H","HUF",IF(UPPER(MID(W105,4,1))="C","Company",IF(UPPER(MID(W105,4,1))="F","Firm/LLP",IF(UPPER(MID(W105,4,1))="L","Local Authority",IF(UPPER(MID(W105,4,1))="T","Trust",IF(UPPER(MID(W105,4,1))="A","AOP",IF(UPPER(MID(W105,4,1))="B","BOI",IF(UPPER(MID(W105,4,1))="J","AJP",IF(UPPER(MID(W105,4,1))="G","Government",""))))))))))),IF($B105="Challan","",IF(W105&lt;&gt;"","◄ Set Row Type","")))</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IF($B105&lt;&gt;"Challan","",SUMIF('Q1 Data'!$D$4:$D$207,D105,'Q1 Data'!$AD$4:$AD$207)+SUMIF('Q1 Data'!$D$4:$D$207,D105,'Q1 Data'!$AG$4:$AG$207)+SUMIF('Q1 Data'!$D$4:$D$207,D105,'Q1 Data'!$AE$4:$AE$207)+SUMIF('Q2 Data'!$D$4:$D$207,D105,'Q2 Data'!$AD$4:$AD$207)+SUMIF('Q2 Data'!$D$4:$D$207,D105,'Q2 Data'!$AG$4:$AG$207)+SUMIF('Q2 Data'!$D$4:$D$207,D105,'Q2 Data'!$AE$4:$AE$207)+SUMIF('Q3 Data'!$D$4:$D$207,D105,'Q3 Data'!$AD$4:$AD$207)+SUMIF('Q3 Data'!$D$4:$D$207,D105,'Q3 Data'!$AG$4:$AG$207)+SUMIF('Q3 Data'!$D$4:$D$207,D105,'Q3 Data'!$AE$4:$AE$207)+SUMIF('Q4 Data'!$D$4:$D$207,D105,'Q4 Data'!$AD$4:$AD$207)+SUMIF('Q4 Data'!$D$4:$D$207,D105,'Q4 Data'!$AG$4:$AG$207)+SUMIF('Q4 Data'!$D$4:$D$207,D105,'Q4 Data'!$AE$4:$AE$207))</f>
      </c>
      <c r="AO105" s="27">
        <f>IF($B105&lt;&gt;"Challan","",P105-N105)</f>
      </c>
      <c r="AP105" s="27">
        <f>IF($B105&lt;&gt;"Challan","",MAX(0,AO105-AN105))</f>
      </c>
      <c r="AQ105" s="33">
        <f>IF($B105&lt;&gt;"Entry","",SUMPRODUCT(('Q1 Data'!$D$4:$D$207=D105)*('Q1 Data'!$B$4:$B$207="Challan")*'Q1 Data'!$F$4:$F$207)+SUMPRODUCT(('Q2 Data'!$D$4:$D$207=D105)*('Q2 Data'!$B$4:$B$207="Challan")*'Q2 Data'!$F$4:$F$207)+SUMPRODUCT(('Q3 Data'!$D$4:$D$207=D105)*('Q3 Data'!$B$4:$B$207="Challan")*'Q3 Data'!$F$4:$F$207)+SUMPRODUCT(('Q4 Data'!$D$4:$D$207=D105)*('Q4 Data'!$B$4:$B$207="Challan")*'Q4 Data'!$F$4:$F$207))</f>
      </c>
      <c r="AR105" s="34">
        <f>IF(OR($B105&lt;&gt;"Entry",Z105=""),FALSE,AND((SUMPRODUCT(('Q1 Data'!$D$4:$D$207=D105)*('Q1 Data'!$B$4:$B$207="Challan")*('Q1 Data'!$H$4:$H$207&lt;&gt;""))+SUMPRODUCT(('Q2 Data'!$D$4:$D$207=D105)*('Q2 Data'!$B$4:$B$207="Challan")*('Q2 Data'!$H$4:$H$207&lt;&gt;""))+SUMPRODUCT(('Q3 Data'!$D$4:$D$207=D105)*('Q3 Data'!$B$4:$B$207="Challan")*('Q3 Data'!$H$4:$H$207&lt;&gt;""))+SUMPRODUCT(('Q4 Data'!$D$4:$D$207=D105)*('Q4 Data'!$B$4:$B$207="Challan")*('Q4 Data'!$H$4:$H$207&lt;&gt;"")))&gt;0,(SUMPRODUCT(('Q1 Data'!$D$4:$D$207=D105)*('Q1 Data'!$B$4:$B$207="Challan")*('Q1 Data'!$H$4:$H$207=Z105))+SUMPRODUCT(('Q2 Data'!$D$4:$D$207=D105)*('Q2 Data'!$B$4:$B$207="Challan")*('Q2 Data'!$H$4:$H$207=Z105))+SUMPRODUCT(('Q3 Data'!$D$4:$D$207=D105)*('Q3 Data'!$B$4:$B$207="Challan")*('Q3 Data'!$H$4:$H$207=Z105))+SUMPRODUCT(('Q4 Data'!$D$4:$D$207=D105)*('Q4 Data'!$B$4:$B$207="Challan")*('Q4 Data'!$H$4:$H$207=Z105)))=0))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IF($B106="Challan","",IF(W106&lt;&gt;"","◄ Set Row Type","")))</f>
      </c>
      <c r="Y106" s="23">
        <f>IF($B106="Entry",IF(LEN(W106)&lt;4,"",IF(UPPER(MID(W106,4,1))="P","Individual",IF(UPPER(MID(W106,4,1))="H","HUF",IF(UPPER(MID(W106,4,1))="C","Company",IF(UPPER(MID(W106,4,1))="F","Firm/LLP",IF(UPPER(MID(W106,4,1))="L","Local Authority",IF(UPPER(MID(W106,4,1))="T","Trust",IF(UPPER(MID(W106,4,1))="A","AOP",IF(UPPER(MID(W106,4,1))="B","BOI",IF(UPPER(MID(W106,4,1))="J","AJP",IF(UPPER(MID(W106,4,1))="G","Government",""))))))))))),IF($B106="Challan","",IF(W106&lt;&gt;"","◄ Set Row Type","")))</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IF($B106&lt;&gt;"Challan","",SUMIF('Q1 Data'!$D$4:$D$207,D106,'Q1 Data'!$AD$4:$AD$207)+SUMIF('Q1 Data'!$D$4:$D$207,D106,'Q1 Data'!$AG$4:$AG$207)+SUMIF('Q1 Data'!$D$4:$D$207,D106,'Q1 Data'!$AE$4:$AE$207)+SUMIF('Q2 Data'!$D$4:$D$207,D106,'Q2 Data'!$AD$4:$AD$207)+SUMIF('Q2 Data'!$D$4:$D$207,D106,'Q2 Data'!$AG$4:$AG$207)+SUMIF('Q2 Data'!$D$4:$D$207,D106,'Q2 Data'!$AE$4:$AE$207)+SUMIF('Q3 Data'!$D$4:$D$207,D106,'Q3 Data'!$AD$4:$AD$207)+SUMIF('Q3 Data'!$D$4:$D$207,D106,'Q3 Data'!$AG$4:$AG$207)+SUMIF('Q3 Data'!$D$4:$D$207,D106,'Q3 Data'!$AE$4:$AE$207)+SUMIF('Q4 Data'!$D$4:$D$207,D106,'Q4 Data'!$AD$4:$AD$207)+SUMIF('Q4 Data'!$D$4:$D$207,D106,'Q4 Data'!$AG$4:$AG$207)+SUMIF('Q4 Data'!$D$4:$D$207,D106,'Q4 Data'!$AE$4:$AE$207))</f>
      </c>
      <c r="AO106" s="27">
        <f>IF($B106&lt;&gt;"Challan","",P106-N106)</f>
      </c>
      <c r="AP106" s="27">
        <f>IF($B106&lt;&gt;"Challan","",MAX(0,AO106-AN106))</f>
      </c>
      <c r="AQ106" s="33">
        <f>IF($B106&lt;&gt;"Entry","",SUMPRODUCT(('Q1 Data'!$D$4:$D$207=D106)*('Q1 Data'!$B$4:$B$207="Challan")*'Q1 Data'!$F$4:$F$207)+SUMPRODUCT(('Q2 Data'!$D$4:$D$207=D106)*('Q2 Data'!$B$4:$B$207="Challan")*'Q2 Data'!$F$4:$F$207)+SUMPRODUCT(('Q3 Data'!$D$4:$D$207=D106)*('Q3 Data'!$B$4:$B$207="Challan")*'Q3 Data'!$F$4:$F$207)+SUMPRODUCT(('Q4 Data'!$D$4:$D$207=D106)*('Q4 Data'!$B$4:$B$207="Challan")*'Q4 Data'!$F$4:$F$207))</f>
      </c>
      <c r="AR106" s="34">
        <f>IF(OR($B106&lt;&gt;"Entry",Z106=""),FALSE,AND((SUMPRODUCT(('Q1 Data'!$D$4:$D$207=D106)*('Q1 Data'!$B$4:$B$207="Challan")*('Q1 Data'!$H$4:$H$207&lt;&gt;""))+SUMPRODUCT(('Q2 Data'!$D$4:$D$207=D106)*('Q2 Data'!$B$4:$B$207="Challan")*('Q2 Data'!$H$4:$H$207&lt;&gt;""))+SUMPRODUCT(('Q3 Data'!$D$4:$D$207=D106)*('Q3 Data'!$B$4:$B$207="Challan")*('Q3 Data'!$H$4:$H$207&lt;&gt;""))+SUMPRODUCT(('Q4 Data'!$D$4:$D$207=D106)*('Q4 Data'!$B$4:$B$207="Challan")*('Q4 Data'!$H$4:$H$207&lt;&gt;"")))&gt;0,(SUMPRODUCT(('Q1 Data'!$D$4:$D$207=D106)*('Q1 Data'!$B$4:$B$207="Challan")*('Q1 Data'!$H$4:$H$207=Z106))+SUMPRODUCT(('Q2 Data'!$D$4:$D$207=D106)*('Q2 Data'!$B$4:$B$207="Challan")*('Q2 Data'!$H$4:$H$207=Z106))+SUMPRODUCT(('Q3 Data'!$D$4:$D$207=D106)*('Q3 Data'!$B$4:$B$207="Challan")*('Q3 Data'!$H$4:$H$207=Z106))+SUMPRODUCT(('Q4 Data'!$D$4:$D$207=D106)*('Q4 Data'!$B$4:$B$207="Challan")*('Q4 Data'!$H$4:$H$207=Z106)))=0))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IF($B107="Challan","",IF(W107&lt;&gt;"","◄ Set Row Type","")))</f>
      </c>
      <c r="Y107" s="23">
        <f>IF($B107="Entry",IF(LEN(W107)&lt;4,"",IF(UPPER(MID(W107,4,1))="P","Individual",IF(UPPER(MID(W107,4,1))="H","HUF",IF(UPPER(MID(W107,4,1))="C","Company",IF(UPPER(MID(W107,4,1))="F","Firm/LLP",IF(UPPER(MID(W107,4,1))="L","Local Authority",IF(UPPER(MID(W107,4,1))="T","Trust",IF(UPPER(MID(W107,4,1))="A","AOP",IF(UPPER(MID(W107,4,1))="B","BOI",IF(UPPER(MID(W107,4,1))="J","AJP",IF(UPPER(MID(W107,4,1))="G","Government",""))))))))))),IF($B107="Challan","",IF(W107&lt;&gt;"","◄ Set Row Type","")))</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IF($B107&lt;&gt;"Challan","",SUMIF('Q1 Data'!$D$4:$D$207,D107,'Q1 Data'!$AD$4:$AD$207)+SUMIF('Q1 Data'!$D$4:$D$207,D107,'Q1 Data'!$AG$4:$AG$207)+SUMIF('Q1 Data'!$D$4:$D$207,D107,'Q1 Data'!$AE$4:$AE$207)+SUMIF('Q2 Data'!$D$4:$D$207,D107,'Q2 Data'!$AD$4:$AD$207)+SUMIF('Q2 Data'!$D$4:$D$207,D107,'Q2 Data'!$AG$4:$AG$207)+SUMIF('Q2 Data'!$D$4:$D$207,D107,'Q2 Data'!$AE$4:$AE$207)+SUMIF('Q3 Data'!$D$4:$D$207,D107,'Q3 Data'!$AD$4:$AD$207)+SUMIF('Q3 Data'!$D$4:$D$207,D107,'Q3 Data'!$AG$4:$AG$207)+SUMIF('Q3 Data'!$D$4:$D$207,D107,'Q3 Data'!$AE$4:$AE$207)+SUMIF('Q4 Data'!$D$4:$D$207,D107,'Q4 Data'!$AD$4:$AD$207)+SUMIF('Q4 Data'!$D$4:$D$207,D107,'Q4 Data'!$AG$4:$AG$207)+SUMIF('Q4 Data'!$D$4:$D$207,D107,'Q4 Data'!$AE$4:$AE$207))</f>
      </c>
      <c r="AO107" s="27">
        <f>IF($B107&lt;&gt;"Challan","",P107-N107)</f>
      </c>
      <c r="AP107" s="27">
        <f>IF($B107&lt;&gt;"Challan","",MAX(0,AO107-AN107))</f>
      </c>
      <c r="AQ107" s="33">
        <f>IF($B107&lt;&gt;"Entry","",SUMPRODUCT(('Q1 Data'!$D$4:$D$207=D107)*('Q1 Data'!$B$4:$B$207="Challan")*'Q1 Data'!$F$4:$F$207)+SUMPRODUCT(('Q2 Data'!$D$4:$D$207=D107)*('Q2 Data'!$B$4:$B$207="Challan")*'Q2 Data'!$F$4:$F$207)+SUMPRODUCT(('Q3 Data'!$D$4:$D$207=D107)*('Q3 Data'!$B$4:$B$207="Challan")*'Q3 Data'!$F$4:$F$207)+SUMPRODUCT(('Q4 Data'!$D$4:$D$207=D107)*('Q4 Data'!$B$4:$B$207="Challan")*'Q4 Data'!$F$4:$F$207))</f>
      </c>
      <c r="AR107" s="34">
        <f>IF(OR($B107&lt;&gt;"Entry",Z107=""),FALSE,AND((SUMPRODUCT(('Q1 Data'!$D$4:$D$207=D107)*('Q1 Data'!$B$4:$B$207="Challan")*('Q1 Data'!$H$4:$H$207&lt;&gt;""))+SUMPRODUCT(('Q2 Data'!$D$4:$D$207=D107)*('Q2 Data'!$B$4:$B$207="Challan")*('Q2 Data'!$H$4:$H$207&lt;&gt;""))+SUMPRODUCT(('Q3 Data'!$D$4:$D$207=D107)*('Q3 Data'!$B$4:$B$207="Challan")*('Q3 Data'!$H$4:$H$207&lt;&gt;""))+SUMPRODUCT(('Q4 Data'!$D$4:$D$207=D107)*('Q4 Data'!$B$4:$B$207="Challan")*('Q4 Data'!$H$4:$H$207&lt;&gt;"")))&gt;0,(SUMPRODUCT(('Q1 Data'!$D$4:$D$207=D107)*('Q1 Data'!$B$4:$B$207="Challan")*('Q1 Data'!$H$4:$H$207=Z107))+SUMPRODUCT(('Q2 Data'!$D$4:$D$207=D107)*('Q2 Data'!$B$4:$B$207="Challan")*('Q2 Data'!$H$4:$H$207=Z107))+SUMPRODUCT(('Q3 Data'!$D$4:$D$207=D107)*('Q3 Data'!$B$4:$B$207="Challan")*('Q3 Data'!$H$4:$H$207=Z107))+SUMPRODUCT(('Q4 Data'!$D$4:$D$207=D107)*('Q4 Data'!$B$4:$B$207="Challan")*('Q4 Data'!$H$4:$H$207=Z107)))=0))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IF($B108="Challan","",IF(W108&lt;&gt;"","◄ Set Row Type","")))</f>
      </c>
      <c r="Y108" s="23">
        <f>IF($B108="Entry",IF(LEN(W108)&lt;4,"",IF(UPPER(MID(W108,4,1))="P","Individual",IF(UPPER(MID(W108,4,1))="H","HUF",IF(UPPER(MID(W108,4,1))="C","Company",IF(UPPER(MID(W108,4,1))="F","Firm/LLP",IF(UPPER(MID(W108,4,1))="L","Local Authority",IF(UPPER(MID(W108,4,1))="T","Trust",IF(UPPER(MID(W108,4,1))="A","AOP",IF(UPPER(MID(W108,4,1))="B","BOI",IF(UPPER(MID(W108,4,1))="J","AJP",IF(UPPER(MID(W108,4,1))="G","Government",""))))))))))),IF($B108="Challan","",IF(W108&lt;&gt;"","◄ Set Row Type","")))</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IF($B108&lt;&gt;"Challan","",SUMIF('Q1 Data'!$D$4:$D$207,D108,'Q1 Data'!$AD$4:$AD$207)+SUMIF('Q1 Data'!$D$4:$D$207,D108,'Q1 Data'!$AG$4:$AG$207)+SUMIF('Q1 Data'!$D$4:$D$207,D108,'Q1 Data'!$AE$4:$AE$207)+SUMIF('Q2 Data'!$D$4:$D$207,D108,'Q2 Data'!$AD$4:$AD$207)+SUMIF('Q2 Data'!$D$4:$D$207,D108,'Q2 Data'!$AG$4:$AG$207)+SUMIF('Q2 Data'!$D$4:$D$207,D108,'Q2 Data'!$AE$4:$AE$207)+SUMIF('Q3 Data'!$D$4:$D$207,D108,'Q3 Data'!$AD$4:$AD$207)+SUMIF('Q3 Data'!$D$4:$D$207,D108,'Q3 Data'!$AG$4:$AG$207)+SUMIF('Q3 Data'!$D$4:$D$207,D108,'Q3 Data'!$AE$4:$AE$207)+SUMIF('Q4 Data'!$D$4:$D$207,D108,'Q4 Data'!$AD$4:$AD$207)+SUMIF('Q4 Data'!$D$4:$D$207,D108,'Q4 Data'!$AG$4:$AG$207)+SUMIF('Q4 Data'!$D$4:$D$207,D108,'Q4 Data'!$AE$4:$AE$207))</f>
      </c>
      <c r="AO108" s="27">
        <f>IF($B108&lt;&gt;"Challan","",P108-N108)</f>
      </c>
      <c r="AP108" s="27">
        <f>IF($B108&lt;&gt;"Challan","",MAX(0,AO108-AN108))</f>
      </c>
      <c r="AQ108" s="33">
        <f>IF($B108&lt;&gt;"Entry","",SUMPRODUCT(('Q1 Data'!$D$4:$D$207=D108)*('Q1 Data'!$B$4:$B$207="Challan")*'Q1 Data'!$F$4:$F$207)+SUMPRODUCT(('Q2 Data'!$D$4:$D$207=D108)*('Q2 Data'!$B$4:$B$207="Challan")*'Q2 Data'!$F$4:$F$207)+SUMPRODUCT(('Q3 Data'!$D$4:$D$207=D108)*('Q3 Data'!$B$4:$B$207="Challan")*'Q3 Data'!$F$4:$F$207)+SUMPRODUCT(('Q4 Data'!$D$4:$D$207=D108)*('Q4 Data'!$B$4:$B$207="Challan")*'Q4 Data'!$F$4:$F$207))</f>
      </c>
      <c r="AR108" s="34">
        <f>IF(OR($B108&lt;&gt;"Entry",Z108=""),FALSE,AND((SUMPRODUCT(('Q1 Data'!$D$4:$D$207=D108)*('Q1 Data'!$B$4:$B$207="Challan")*('Q1 Data'!$H$4:$H$207&lt;&gt;""))+SUMPRODUCT(('Q2 Data'!$D$4:$D$207=D108)*('Q2 Data'!$B$4:$B$207="Challan")*('Q2 Data'!$H$4:$H$207&lt;&gt;""))+SUMPRODUCT(('Q3 Data'!$D$4:$D$207=D108)*('Q3 Data'!$B$4:$B$207="Challan")*('Q3 Data'!$H$4:$H$207&lt;&gt;""))+SUMPRODUCT(('Q4 Data'!$D$4:$D$207=D108)*('Q4 Data'!$B$4:$B$207="Challan")*('Q4 Data'!$H$4:$H$207&lt;&gt;"")))&gt;0,(SUMPRODUCT(('Q1 Data'!$D$4:$D$207=D108)*('Q1 Data'!$B$4:$B$207="Challan")*('Q1 Data'!$H$4:$H$207=Z108))+SUMPRODUCT(('Q2 Data'!$D$4:$D$207=D108)*('Q2 Data'!$B$4:$B$207="Challan")*('Q2 Data'!$H$4:$H$207=Z108))+SUMPRODUCT(('Q3 Data'!$D$4:$D$207=D108)*('Q3 Data'!$B$4:$B$207="Challan")*('Q3 Data'!$H$4:$H$207=Z108))+SUMPRODUCT(('Q4 Data'!$D$4:$D$207=D108)*('Q4 Data'!$B$4:$B$207="Challan")*('Q4 Data'!$H$4:$H$207=Z108)))=0))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IF($B109="Challan","",IF(W109&lt;&gt;"","◄ Set Row Type","")))</f>
      </c>
      <c r="Y109" s="23">
        <f>IF($B109="Entry",IF(LEN(W109)&lt;4,"",IF(UPPER(MID(W109,4,1))="P","Individual",IF(UPPER(MID(W109,4,1))="H","HUF",IF(UPPER(MID(W109,4,1))="C","Company",IF(UPPER(MID(W109,4,1))="F","Firm/LLP",IF(UPPER(MID(W109,4,1))="L","Local Authority",IF(UPPER(MID(W109,4,1))="T","Trust",IF(UPPER(MID(W109,4,1))="A","AOP",IF(UPPER(MID(W109,4,1))="B","BOI",IF(UPPER(MID(W109,4,1))="J","AJP",IF(UPPER(MID(W109,4,1))="G","Government",""))))))))))),IF($B109="Challan","",IF(W109&lt;&gt;"","◄ Set Row Type","")))</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IF($B109&lt;&gt;"Challan","",SUMIF('Q1 Data'!$D$4:$D$207,D109,'Q1 Data'!$AD$4:$AD$207)+SUMIF('Q1 Data'!$D$4:$D$207,D109,'Q1 Data'!$AG$4:$AG$207)+SUMIF('Q1 Data'!$D$4:$D$207,D109,'Q1 Data'!$AE$4:$AE$207)+SUMIF('Q2 Data'!$D$4:$D$207,D109,'Q2 Data'!$AD$4:$AD$207)+SUMIF('Q2 Data'!$D$4:$D$207,D109,'Q2 Data'!$AG$4:$AG$207)+SUMIF('Q2 Data'!$D$4:$D$207,D109,'Q2 Data'!$AE$4:$AE$207)+SUMIF('Q3 Data'!$D$4:$D$207,D109,'Q3 Data'!$AD$4:$AD$207)+SUMIF('Q3 Data'!$D$4:$D$207,D109,'Q3 Data'!$AG$4:$AG$207)+SUMIF('Q3 Data'!$D$4:$D$207,D109,'Q3 Data'!$AE$4:$AE$207)+SUMIF('Q4 Data'!$D$4:$D$207,D109,'Q4 Data'!$AD$4:$AD$207)+SUMIF('Q4 Data'!$D$4:$D$207,D109,'Q4 Data'!$AG$4:$AG$207)+SUMIF('Q4 Data'!$D$4:$D$207,D109,'Q4 Data'!$AE$4:$AE$207))</f>
      </c>
      <c r="AO109" s="27">
        <f>IF($B109&lt;&gt;"Challan","",P109-N109)</f>
      </c>
      <c r="AP109" s="27">
        <f>IF($B109&lt;&gt;"Challan","",MAX(0,AO109-AN109))</f>
      </c>
      <c r="AQ109" s="33">
        <f>IF($B109&lt;&gt;"Entry","",SUMPRODUCT(('Q1 Data'!$D$4:$D$207=D109)*('Q1 Data'!$B$4:$B$207="Challan")*'Q1 Data'!$F$4:$F$207)+SUMPRODUCT(('Q2 Data'!$D$4:$D$207=D109)*('Q2 Data'!$B$4:$B$207="Challan")*'Q2 Data'!$F$4:$F$207)+SUMPRODUCT(('Q3 Data'!$D$4:$D$207=D109)*('Q3 Data'!$B$4:$B$207="Challan")*'Q3 Data'!$F$4:$F$207)+SUMPRODUCT(('Q4 Data'!$D$4:$D$207=D109)*('Q4 Data'!$B$4:$B$207="Challan")*'Q4 Data'!$F$4:$F$207))</f>
      </c>
      <c r="AR109" s="34">
        <f>IF(OR($B109&lt;&gt;"Entry",Z109=""),FALSE,AND((SUMPRODUCT(('Q1 Data'!$D$4:$D$207=D109)*('Q1 Data'!$B$4:$B$207="Challan")*('Q1 Data'!$H$4:$H$207&lt;&gt;""))+SUMPRODUCT(('Q2 Data'!$D$4:$D$207=D109)*('Q2 Data'!$B$4:$B$207="Challan")*('Q2 Data'!$H$4:$H$207&lt;&gt;""))+SUMPRODUCT(('Q3 Data'!$D$4:$D$207=D109)*('Q3 Data'!$B$4:$B$207="Challan")*('Q3 Data'!$H$4:$H$207&lt;&gt;""))+SUMPRODUCT(('Q4 Data'!$D$4:$D$207=D109)*('Q4 Data'!$B$4:$B$207="Challan")*('Q4 Data'!$H$4:$H$207&lt;&gt;"")))&gt;0,(SUMPRODUCT(('Q1 Data'!$D$4:$D$207=D109)*('Q1 Data'!$B$4:$B$207="Challan")*('Q1 Data'!$H$4:$H$207=Z109))+SUMPRODUCT(('Q2 Data'!$D$4:$D$207=D109)*('Q2 Data'!$B$4:$B$207="Challan")*('Q2 Data'!$H$4:$H$207=Z109))+SUMPRODUCT(('Q3 Data'!$D$4:$D$207=D109)*('Q3 Data'!$B$4:$B$207="Challan")*('Q3 Data'!$H$4:$H$207=Z109))+SUMPRODUCT(('Q4 Data'!$D$4:$D$207=D109)*('Q4 Data'!$B$4:$B$207="Challan")*('Q4 Data'!$H$4:$H$207=Z109)))=0))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IF($B110="Challan","",IF(W110&lt;&gt;"","◄ Set Row Type","")))</f>
      </c>
      <c r="Y110" s="23">
        <f>IF($B110="Entry",IF(LEN(W110)&lt;4,"",IF(UPPER(MID(W110,4,1))="P","Individual",IF(UPPER(MID(W110,4,1))="H","HUF",IF(UPPER(MID(W110,4,1))="C","Company",IF(UPPER(MID(W110,4,1))="F","Firm/LLP",IF(UPPER(MID(W110,4,1))="L","Local Authority",IF(UPPER(MID(W110,4,1))="T","Trust",IF(UPPER(MID(W110,4,1))="A","AOP",IF(UPPER(MID(W110,4,1))="B","BOI",IF(UPPER(MID(W110,4,1))="J","AJP",IF(UPPER(MID(W110,4,1))="G","Government",""))))))))))),IF($B110="Challan","",IF(W110&lt;&gt;"","◄ Set Row Type","")))</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IF($B110&lt;&gt;"Challan","",SUMIF('Q1 Data'!$D$4:$D$207,D110,'Q1 Data'!$AD$4:$AD$207)+SUMIF('Q1 Data'!$D$4:$D$207,D110,'Q1 Data'!$AG$4:$AG$207)+SUMIF('Q1 Data'!$D$4:$D$207,D110,'Q1 Data'!$AE$4:$AE$207)+SUMIF('Q2 Data'!$D$4:$D$207,D110,'Q2 Data'!$AD$4:$AD$207)+SUMIF('Q2 Data'!$D$4:$D$207,D110,'Q2 Data'!$AG$4:$AG$207)+SUMIF('Q2 Data'!$D$4:$D$207,D110,'Q2 Data'!$AE$4:$AE$207)+SUMIF('Q3 Data'!$D$4:$D$207,D110,'Q3 Data'!$AD$4:$AD$207)+SUMIF('Q3 Data'!$D$4:$D$207,D110,'Q3 Data'!$AG$4:$AG$207)+SUMIF('Q3 Data'!$D$4:$D$207,D110,'Q3 Data'!$AE$4:$AE$207)+SUMIF('Q4 Data'!$D$4:$D$207,D110,'Q4 Data'!$AD$4:$AD$207)+SUMIF('Q4 Data'!$D$4:$D$207,D110,'Q4 Data'!$AG$4:$AG$207)+SUMIF('Q4 Data'!$D$4:$D$207,D110,'Q4 Data'!$AE$4:$AE$207))</f>
      </c>
      <c r="AO110" s="27">
        <f>IF($B110&lt;&gt;"Challan","",P110-N110)</f>
      </c>
      <c r="AP110" s="27">
        <f>IF($B110&lt;&gt;"Challan","",MAX(0,AO110-AN110))</f>
      </c>
      <c r="AQ110" s="33">
        <f>IF($B110&lt;&gt;"Entry","",SUMPRODUCT(('Q1 Data'!$D$4:$D$207=D110)*('Q1 Data'!$B$4:$B$207="Challan")*'Q1 Data'!$F$4:$F$207)+SUMPRODUCT(('Q2 Data'!$D$4:$D$207=D110)*('Q2 Data'!$B$4:$B$207="Challan")*'Q2 Data'!$F$4:$F$207)+SUMPRODUCT(('Q3 Data'!$D$4:$D$207=D110)*('Q3 Data'!$B$4:$B$207="Challan")*'Q3 Data'!$F$4:$F$207)+SUMPRODUCT(('Q4 Data'!$D$4:$D$207=D110)*('Q4 Data'!$B$4:$B$207="Challan")*'Q4 Data'!$F$4:$F$207))</f>
      </c>
      <c r="AR110" s="34">
        <f>IF(OR($B110&lt;&gt;"Entry",Z110=""),FALSE,AND((SUMPRODUCT(('Q1 Data'!$D$4:$D$207=D110)*('Q1 Data'!$B$4:$B$207="Challan")*('Q1 Data'!$H$4:$H$207&lt;&gt;""))+SUMPRODUCT(('Q2 Data'!$D$4:$D$207=D110)*('Q2 Data'!$B$4:$B$207="Challan")*('Q2 Data'!$H$4:$H$207&lt;&gt;""))+SUMPRODUCT(('Q3 Data'!$D$4:$D$207=D110)*('Q3 Data'!$B$4:$B$207="Challan")*('Q3 Data'!$H$4:$H$207&lt;&gt;""))+SUMPRODUCT(('Q4 Data'!$D$4:$D$207=D110)*('Q4 Data'!$B$4:$B$207="Challan")*('Q4 Data'!$H$4:$H$207&lt;&gt;"")))&gt;0,(SUMPRODUCT(('Q1 Data'!$D$4:$D$207=D110)*('Q1 Data'!$B$4:$B$207="Challan")*('Q1 Data'!$H$4:$H$207=Z110))+SUMPRODUCT(('Q2 Data'!$D$4:$D$207=D110)*('Q2 Data'!$B$4:$B$207="Challan")*('Q2 Data'!$H$4:$H$207=Z110))+SUMPRODUCT(('Q3 Data'!$D$4:$D$207=D110)*('Q3 Data'!$B$4:$B$207="Challan")*('Q3 Data'!$H$4:$H$207=Z110))+SUMPRODUCT(('Q4 Data'!$D$4:$D$207=D110)*('Q4 Data'!$B$4:$B$207="Challan")*('Q4 Data'!$H$4:$H$207=Z110)))=0))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IF($B111="Challan","",IF(W111&lt;&gt;"","◄ Set Row Type","")))</f>
      </c>
      <c r="Y111" s="23">
        <f>IF($B111="Entry",IF(LEN(W111)&lt;4,"",IF(UPPER(MID(W111,4,1))="P","Individual",IF(UPPER(MID(W111,4,1))="H","HUF",IF(UPPER(MID(W111,4,1))="C","Company",IF(UPPER(MID(W111,4,1))="F","Firm/LLP",IF(UPPER(MID(W111,4,1))="L","Local Authority",IF(UPPER(MID(W111,4,1))="T","Trust",IF(UPPER(MID(W111,4,1))="A","AOP",IF(UPPER(MID(W111,4,1))="B","BOI",IF(UPPER(MID(W111,4,1))="J","AJP",IF(UPPER(MID(W111,4,1))="G","Government",""))))))))))),IF($B111="Challan","",IF(W111&lt;&gt;"","◄ Set Row Type","")))</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IF($B111&lt;&gt;"Challan","",SUMIF('Q1 Data'!$D$4:$D$207,D111,'Q1 Data'!$AD$4:$AD$207)+SUMIF('Q1 Data'!$D$4:$D$207,D111,'Q1 Data'!$AG$4:$AG$207)+SUMIF('Q1 Data'!$D$4:$D$207,D111,'Q1 Data'!$AE$4:$AE$207)+SUMIF('Q2 Data'!$D$4:$D$207,D111,'Q2 Data'!$AD$4:$AD$207)+SUMIF('Q2 Data'!$D$4:$D$207,D111,'Q2 Data'!$AG$4:$AG$207)+SUMIF('Q2 Data'!$D$4:$D$207,D111,'Q2 Data'!$AE$4:$AE$207)+SUMIF('Q3 Data'!$D$4:$D$207,D111,'Q3 Data'!$AD$4:$AD$207)+SUMIF('Q3 Data'!$D$4:$D$207,D111,'Q3 Data'!$AG$4:$AG$207)+SUMIF('Q3 Data'!$D$4:$D$207,D111,'Q3 Data'!$AE$4:$AE$207)+SUMIF('Q4 Data'!$D$4:$D$207,D111,'Q4 Data'!$AD$4:$AD$207)+SUMIF('Q4 Data'!$D$4:$D$207,D111,'Q4 Data'!$AG$4:$AG$207)+SUMIF('Q4 Data'!$D$4:$D$207,D111,'Q4 Data'!$AE$4:$AE$207))</f>
      </c>
      <c r="AO111" s="27">
        <f>IF($B111&lt;&gt;"Challan","",P111-N111)</f>
      </c>
      <c r="AP111" s="27">
        <f>IF($B111&lt;&gt;"Challan","",MAX(0,AO111-AN111))</f>
      </c>
      <c r="AQ111" s="33">
        <f>IF($B111&lt;&gt;"Entry","",SUMPRODUCT(('Q1 Data'!$D$4:$D$207=D111)*('Q1 Data'!$B$4:$B$207="Challan")*'Q1 Data'!$F$4:$F$207)+SUMPRODUCT(('Q2 Data'!$D$4:$D$207=D111)*('Q2 Data'!$B$4:$B$207="Challan")*'Q2 Data'!$F$4:$F$207)+SUMPRODUCT(('Q3 Data'!$D$4:$D$207=D111)*('Q3 Data'!$B$4:$B$207="Challan")*'Q3 Data'!$F$4:$F$207)+SUMPRODUCT(('Q4 Data'!$D$4:$D$207=D111)*('Q4 Data'!$B$4:$B$207="Challan")*'Q4 Data'!$F$4:$F$207))</f>
      </c>
      <c r="AR111" s="34">
        <f>IF(OR($B111&lt;&gt;"Entry",Z111=""),FALSE,AND((SUMPRODUCT(('Q1 Data'!$D$4:$D$207=D111)*('Q1 Data'!$B$4:$B$207="Challan")*('Q1 Data'!$H$4:$H$207&lt;&gt;""))+SUMPRODUCT(('Q2 Data'!$D$4:$D$207=D111)*('Q2 Data'!$B$4:$B$207="Challan")*('Q2 Data'!$H$4:$H$207&lt;&gt;""))+SUMPRODUCT(('Q3 Data'!$D$4:$D$207=D111)*('Q3 Data'!$B$4:$B$207="Challan")*('Q3 Data'!$H$4:$H$207&lt;&gt;""))+SUMPRODUCT(('Q4 Data'!$D$4:$D$207=D111)*('Q4 Data'!$B$4:$B$207="Challan")*('Q4 Data'!$H$4:$H$207&lt;&gt;"")))&gt;0,(SUMPRODUCT(('Q1 Data'!$D$4:$D$207=D111)*('Q1 Data'!$B$4:$B$207="Challan")*('Q1 Data'!$H$4:$H$207=Z111))+SUMPRODUCT(('Q2 Data'!$D$4:$D$207=D111)*('Q2 Data'!$B$4:$B$207="Challan")*('Q2 Data'!$H$4:$H$207=Z111))+SUMPRODUCT(('Q3 Data'!$D$4:$D$207=D111)*('Q3 Data'!$B$4:$B$207="Challan")*('Q3 Data'!$H$4:$H$207=Z111))+SUMPRODUCT(('Q4 Data'!$D$4:$D$207=D111)*('Q4 Data'!$B$4:$B$207="Challan")*('Q4 Data'!$H$4:$H$207=Z111)))=0))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IF($B112="Challan","",IF(W112&lt;&gt;"","◄ Set Row Type","")))</f>
      </c>
      <c r="Y112" s="23">
        <f>IF($B112="Entry",IF(LEN(W112)&lt;4,"",IF(UPPER(MID(W112,4,1))="P","Individual",IF(UPPER(MID(W112,4,1))="H","HUF",IF(UPPER(MID(W112,4,1))="C","Company",IF(UPPER(MID(W112,4,1))="F","Firm/LLP",IF(UPPER(MID(W112,4,1))="L","Local Authority",IF(UPPER(MID(W112,4,1))="T","Trust",IF(UPPER(MID(W112,4,1))="A","AOP",IF(UPPER(MID(W112,4,1))="B","BOI",IF(UPPER(MID(W112,4,1))="J","AJP",IF(UPPER(MID(W112,4,1))="G","Government",""))))))))))),IF($B112="Challan","",IF(W112&lt;&gt;"","◄ Set Row Type","")))</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IF($B112&lt;&gt;"Challan","",SUMIF('Q1 Data'!$D$4:$D$207,D112,'Q1 Data'!$AD$4:$AD$207)+SUMIF('Q1 Data'!$D$4:$D$207,D112,'Q1 Data'!$AG$4:$AG$207)+SUMIF('Q1 Data'!$D$4:$D$207,D112,'Q1 Data'!$AE$4:$AE$207)+SUMIF('Q2 Data'!$D$4:$D$207,D112,'Q2 Data'!$AD$4:$AD$207)+SUMIF('Q2 Data'!$D$4:$D$207,D112,'Q2 Data'!$AG$4:$AG$207)+SUMIF('Q2 Data'!$D$4:$D$207,D112,'Q2 Data'!$AE$4:$AE$207)+SUMIF('Q3 Data'!$D$4:$D$207,D112,'Q3 Data'!$AD$4:$AD$207)+SUMIF('Q3 Data'!$D$4:$D$207,D112,'Q3 Data'!$AG$4:$AG$207)+SUMIF('Q3 Data'!$D$4:$D$207,D112,'Q3 Data'!$AE$4:$AE$207)+SUMIF('Q4 Data'!$D$4:$D$207,D112,'Q4 Data'!$AD$4:$AD$207)+SUMIF('Q4 Data'!$D$4:$D$207,D112,'Q4 Data'!$AG$4:$AG$207)+SUMIF('Q4 Data'!$D$4:$D$207,D112,'Q4 Data'!$AE$4:$AE$207))</f>
      </c>
      <c r="AO112" s="27">
        <f>IF($B112&lt;&gt;"Challan","",P112-N112)</f>
      </c>
      <c r="AP112" s="27">
        <f>IF($B112&lt;&gt;"Challan","",MAX(0,AO112-AN112))</f>
      </c>
      <c r="AQ112" s="33">
        <f>IF($B112&lt;&gt;"Entry","",SUMPRODUCT(('Q1 Data'!$D$4:$D$207=D112)*('Q1 Data'!$B$4:$B$207="Challan")*'Q1 Data'!$F$4:$F$207)+SUMPRODUCT(('Q2 Data'!$D$4:$D$207=D112)*('Q2 Data'!$B$4:$B$207="Challan")*'Q2 Data'!$F$4:$F$207)+SUMPRODUCT(('Q3 Data'!$D$4:$D$207=D112)*('Q3 Data'!$B$4:$B$207="Challan")*'Q3 Data'!$F$4:$F$207)+SUMPRODUCT(('Q4 Data'!$D$4:$D$207=D112)*('Q4 Data'!$B$4:$B$207="Challan")*'Q4 Data'!$F$4:$F$207))</f>
      </c>
      <c r="AR112" s="34">
        <f>IF(OR($B112&lt;&gt;"Entry",Z112=""),FALSE,AND((SUMPRODUCT(('Q1 Data'!$D$4:$D$207=D112)*('Q1 Data'!$B$4:$B$207="Challan")*('Q1 Data'!$H$4:$H$207&lt;&gt;""))+SUMPRODUCT(('Q2 Data'!$D$4:$D$207=D112)*('Q2 Data'!$B$4:$B$207="Challan")*('Q2 Data'!$H$4:$H$207&lt;&gt;""))+SUMPRODUCT(('Q3 Data'!$D$4:$D$207=D112)*('Q3 Data'!$B$4:$B$207="Challan")*('Q3 Data'!$H$4:$H$207&lt;&gt;""))+SUMPRODUCT(('Q4 Data'!$D$4:$D$207=D112)*('Q4 Data'!$B$4:$B$207="Challan")*('Q4 Data'!$H$4:$H$207&lt;&gt;"")))&gt;0,(SUMPRODUCT(('Q1 Data'!$D$4:$D$207=D112)*('Q1 Data'!$B$4:$B$207="Challan")*('Q1 Data'!$H$4:$H$207=Z112))+SUMPRODUCT(('Q2 Data'!$D$4:$D$207=D112)*('Q2 Data'!$B$4:$B$207="Challan")*('Q2 Data'!$H$4:$H$207=Z112))+SUMPRODUCT(('Q3 Data'!$D$4:$D$207=D112)*('Q3 Data'!$B$4:$B$207="Challan")*('Q3 Data'!$H$4:$H$207=Z112))+SUMPRODUCT(('Q4 Data'!$D$4:$D$207=D112)*('Q4 Data'!$B$4:$B$207="Challan")*('Q4 Data'!$H$4:$H$207=Z112)))=0))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IF($B113="Challan","",IF(W113&lt;&gt;"","◄ Set Row Type","")))</f>
      </c>
      <c r="Y113" s="23">
        <f>IF($B113="Entry",IF(LEN(W113)&lt;4,"",IF(UPPER(MID(W113,4,1))="P","Individual",IF(UPPER(MID(W113,4,1))="H","HUF",IF(UPPER(MID(W113,4,1))="C","Company",IF(UPPER(MID(W113,4,1))="F","Firm/LLP",IF(UPPER(MID(W113,4,1))="L","Local Authority",IF(UPPER(MID(W113,4,1))="T","Trust",IF(UPPER(MID(W113,4,1))="A","AOP",IF(UPPER(MID(W113,4,1))="B","BOI",IF(UPPER(MID(W113,4,1))="J","AJP",IF(UPPER(MID(W113,4,1))="G","Government",""))))))))))),IF($B113="Challan","",IF(W113&lt;&gt;"","◄ Set Row Type","")))</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IF($B113&lt;&gt;"Challan","",SUMIF('Q1 Data'!$D$4:$D$207,D113,'Q1 Data'!$AD$4:$AD$207)+SUMIF('Q1 Data'!$D$4:$D$207,D113,'Q1 Data'!$AG$4:$AG$207)+SUMIF('Q1 Data'!$D$4:$D$207,D113,'Q1 Data'!$AE$4:$AE$207)+SUMIF('Q2 Data'!$D$4:$D$207,D113,'Q2 Data'!$AD$4:$AD$207)+SUMIF('Q2 Data'!$D$4:$D$207,D113,'Q2 Data'!$AG$4:$AG$207)+SUMIF('Q2 Data'!$D$4:$D$207,D113,'Q2 Data'!$AE$4:$AE$207)+SUMIF('Q3 Data'!$D$4:$D$207,D113,'Q3 Data'!$AD$4:$AD$207)+SUMIF('Q3 Data'!$D$4:$D$207,D113,'Q3 Data'!$AG$4:$AG$207)+SUMIF('Q3 Data'!$D$4:$D$207,D113,'Q3 Data'!$AE$4:$AE$207)+SUMIF('Q4 Data'!$D$4:$D$207,D113,'Q4 Data'!$AD$4:$AD$207)+SUMIF('Q4 Data'!$D$4:$D$207,D113,'Q4 Data'!$AG$4:$AG$207)+SUMIF('Q4 Data'!$D$4:$D$207,D113,'Q4 Data'!$AE$4:$AE$207))</f>
      </c>
      <c r="AO113" s="27">
        <f>IF($B113&lt;&gt;"Challan","",P113-N113)</f>
      </c>
      <c r="AP113" s="27">
        <f>IF($B113&lt;&gt;"Challan","",MAX(0,AO113-AN113))</f>
      </c>
      <c r="AQ113" s="33">
        <f>IF($B113&lt;&gt;"Entry","",SUMPRODUCT(('Q1 Data'!$D$4:$D$207=D113)*('Q1 Data'!$B$4:$B$207="Challan")*'Q1 Data'!$F$4:$F$207)+SUMPRODUCT(('Q2 Data'!$D$4:$D$207=D113)*('Q2 Data'!$B$4:$B$207="Challan")*'Q2 Data'!$F$4:$F$207)+SUMPRODUCT(('Q3 Data'!$D$4:$D$207=D113)*('Q3 Data'!$B$4:$B$207="Challan")*'Q3 Data'!$F$4:$F$207)+SUMPRODUCT(('Q4 Data'!$D$4:$D$207=D113)*('Q4 Data'!$B$4:$B$207="Challan")*'Q4 Data'!$F$4:$F$207))</f>
      </c>
      <c r="AR113" s="34">
        <f>IF(OR($B113&lt;&gt;"Entry",Z113=""),FALSE,AND((SUMPRODUCT(('Q1 Data'!$D$4:$D$207=D113)*('Q1 Data'!$B$4:$B$207="Challan")*('Q1 Data'!$H$4:$H$207&lt;&gt;""))+SUMPRODUCT(('Q2 Data'!$D$4:$D$207=D113)*('Q2 Data'!$B$4:$B$207="Challan")*('Q2 Data'!$H$4:$H$207&lt;&gt;""))+SUMPRODUCT(('Q3 Data'!$D$4:$D$207=D113)*('Q3 Data'!$B$4:$B$207="Challan")*('Q3 Data'!$H$4:$H$207&lt;&gt;""))+SUMPRODUCT(('Q4 Data'!$D$4:$D$207=D113)*('Q4 Data'!$B$4:$B$207="Challan")*('Q4 Data'!$H$4:$H$207&lt;&gt;"")))&gt;0,(SUMPRODUCT(('Q1 Data'!$D$4:$D$207=D113)*('Q1 Data'!$B$4:$B$207="Challan")*('Q1 Data'!$H$4:$H$207=Z113))+SUMPRODUCT(('Q2 Data'!$D$4:$D$207=D113)*('Q2 Data'!$B$4:$B$207="Challan")*('Q2 Data'!$H$4:$H$207=Z113))+SUMPRODUCT(('Q3 Data'!$D$4:$D$207=D113)*('Q3 Data'!$B$4:$B$207="Challan")*('Q3 Data'!$H$4:$H$207=Z113))+SUMPRODUCT(('Q4 Data'!$D$4:$D$207=D113)*('Q4 Data'!$B$4:$B$207="Challan")*('Q4 Data'!$H$4:$H$207=Z113)))=0))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IF($B114="Challan","",IF(W114&lt;&gt;"","◄ Set Row Type","")))</f>
      </c>
      <c r="Y114" s="23">
        <f>IF($B114="Entry",IF(LEN(W114)&lt;4,"",IF(UPPER(MID(W114,4,1))="P","Individual",IF(UPPER(MID(W114,4,1))="H","HUF",IF(UPPER(MID(W114,4,1))="C","Company",IF(UPPER(MID(W114,4,1))="F","Firm/LLP",IF(UPPER(MID(W114,4,1))="L","Local Authority",IF(UPPER(MID(W114,4,1))="T","Trust",IF(UPPER(MID(W114,4,1))="A","AOP",IF(UPPER(MID(W114,4,1))="B","BOI",IF(UPPER(MID(W114,4,1))="J","AJP",IF(UPPER(MID(W114,4,1))="G","Government",""))))))))))),IF($B114="Challan","",IF(W114&lt;&gt;"","◄ Set Row Type","")))</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IF($B114&lt;&gt;"Challan","",SUMIF('Q1 Data'!$D$4:$D$207,D114,'Q1 Data'!$AD$4:$AD$207)+SUMIF('Q1 Data'!$D$4:$D$207,D114,'Q1 Data'!$AG$4:$AG$207)+SUMIF('Q1 Data'!$D$4:$D$207,D114,'Q1 Data'!$AE$4:$AE$207)+SUMIF('Q2 Data'!$D$4:$D$207,D114,'Q2 Data'!$AD$4:$AD$207)+SUMIF('Q2 Data'!$D$4:$D$207,D114,'Q2 Data'!$AG$4:$AG$207)+SUMIF('Q2 Data'!$D$4:$D$207,D114,'Q2 Data'!$AE$4:$AE$207)+SUMIF('Q3 Data'!$D$4:$D$207,D114,'Q3 Data'!$AD$4:$AD$207)+SUMIF('Q3 Data'!$D$4:$D$207,D114,'Q3 Data'!$AG$4:$AG$207)+SUMIF('Q3 Data'!$D$4:$D$207,D114,'Q3 Data'!$AE$4:$AE$207)+SUMIF('Q4 Data'!$D$4:$D$207,D114,'Q4 Data'!$AD$4:$AD$207)+SUMIF('Q4 Data'!$D$4:$D$207,D114,'Q4 Data'!$AG$4:$AG$207)+SUMIF('Q4 Data'!$D$4:$D$207,D114,'Q4 Data'!$AE$4:$AE$207))</f>
      </c>
      <c r="AO114" s="27">
        <f>IF($B114&lt;&gt;"Challan","",P114-N114)</f>
      </c>
      <c r="AP114" s="27">
        <f>IF($B114&lt;&gt;"Challan","",MAX(0,AO114-AN114))</f>
      </c>
      <c r="AQ114" s="33">
        <f>IF($B114&lt;&gt;"Entry","",SUMPRODUCT(('Q1 Data'!$D$4:$D$207=D114)*('Q1 Data'!$B$4:$B$207="Challan")*'Q1 Data'!$F$4:$F$207)+SUMPRODUCT(('Q2 Data'!$D$4:$D$207=D114)*('Q2 Data'!$B$4:$B$207="Challan")*'Q2 Data'!$F$4:$F$207)+SUMPRODUCT(('Q3 Data'!$D$4:$D$207=D114)*('Q3 Data'!$B$4:$B$207="Challan")*'Q3 Data'!$F$4:$F$207)+SUMPRODUCT(('Q4 Data'!$D$4:$D$207=D114)*('Q4 Data'!$B$4:$B$207="Challan")*'Q4 Data'!$F$4:$F$207))</f>
      </c>
      <c r="AR114" s="34">
        <f>IF(OR($B114&lt;&gt;"Entry",Z114=""),FALSE,AND((SUMPRODUCT(('Q1 Data'!$D$4:$D$207=D114)*('Q1 Data'!$B$4:$B$207="Challan")*('Q1 Data'!$H$4:$H$207&lt;&gt;""))+SUMPRODUCT(('Q2 Data'!$D$4:$D$207=D114)*('Q2 Data'!$B$4:$B$207="Challan")*('Q2 Data'!$H$4:$H$207&lt;&gt;""))+SUMPRODUCT(('Q3 Data'!$D$4:$D$207=D114)*('Q3 Data'!$B$4:$B$207="Challan")*('Q3 Data'!$H$4:$H$207&lt;&gt;""))+SUMPRODUCT(('Q4 Data'!$D$4:$D$207=D114)*('Q4 Data'!$B$4:$B$207="Challan")*('Q4 Data'!$H$4:$H$207&lt;&gt;"")))&gt;0,(SUMPRODUCT(('Q1 Data'!$D$4:$D$207=D114)*('Q1 Data'!$B$4:$B$207="Challan")*('Q1 Data'!$H$4:$H$207=Z114))+SUMPRODUCT(('Q2 Data'!$D$4:$D$207=D114)*('Q2 Data'!$B$4:$B$207="Challan")*('Q2 Data'!$H$4:$H$207=Z114))+SUMPRODUCT(('Q3 Data'!$D$4:$D$207=D114)*('Q3 Data'!$B$4:$B$207="Challan")*('Q3 Data'!$H$4:$H$207=Z114))+SUMPRODUCT(('Q4 Data'!$D$4:$D$207=D114)*('Q4 Data'!$B$4:$B$207="Challan")*('Q4 Data'!$H$4:$H$207=Z114)))=0))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IF($B115="Challan","",IF(W115&lt;&gt;"","◄ Set Row Type","")))</f>
      </c>
      <c r="Y115" s="23">
        <f>IF($B115="Entry",IF(LEN(W115)&lt;4,"",IF(UPPER(MID(W115,4,1))="P","Individual",IF(UPPER(MID(W115,4,1))="H","HUF",IF(UPPER(MID(W115,4,1))="C","Company",IF(UPPER(MID(W115,4,1))="F","Firm/LLP",IF(UPPER(MID(W115,4,1))="L","Local Authority",IF(UPPER(MID(W115,4,1))="T","Trust",IF(UPPER(MID(W115,4,1))="A","AOP",IF(UPPER(MID(W115,4,1))="B","BOI",IF(UPPER(MID(W115,4,1))="J","AJP",IF(UPPER(MID(W115,4,1))="G","Government",""))))))))))),IF($B115="Challan","",IF(W115&lt;&gt;"","◄ Set Row Type","")))</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IF($B115&lt;&gt;"Challan","",SUMIF('Q1 Data'!$D$4:$D$207,D115,'Q1 Data'!$AD$4:$AD$207)+SUMIF('Q1 Data'!$D$4:$D$207,D115,'Q1 Data'!$AG$4:$AG$207)+SUMIF('Q1 Data'!$D$4:$D$207,D115,'Q1 Data'!$AE$4:$AE$207)+SUMIF('Q2 Data'!$D$4:$D$207,D115,'Q2 Data'!$AD$4:$AD$207)+SUMIF('Q2 Data'!$D$4:$D$207,D115,'Q2 Data'!$AG$4:$AG$207)+SUMIF('Q2 Data'!$D$4:$D$207,D115,'Q2 Data'!$AE$4:$AE$207)+SUMIF('Q3 Data'!$D$4:$D$207,D115,'Q3 Data'!$AD$4:$AD$207)+SUMIF('Q3 Data'!$D$4:$D$207,D115,'Q3 Data'!$AG$4:$AG$207)+SUMIF('Q3 Data'!$D$4:$D$207,D115,'Q3 Data'!$AE$4:$AE$207)+SUMIF('Q4 Data'!$D$4:$D$207,D115,'Q4 Data'!$AD$4:$AD$207)+SUMIF('Q4 Data'!$D$4:$D$207,D115,'Q4 Data'!$AG$4:$AG$207)+SUMIF('Q4 Data'!$D$4:$D$207,D115,'Q4 Data'!$AE$4:$AE$207))</f>
      </c>
      <c r="AO115" s="27">
        <f>IF($B115&lt;&gt;"Challan","",P115-N115)</f>
      </c>
      <c r="AP115" s="27">
        <f>IF($B115&lt;&gt;"Challan","",MAX(0,AO115-AN115))</f>
      </c>
      <c r="AQ115" s="33">
        <f>IF($B115&lt;&gt;"Entry","",SUMPRODUCT(('Q1 Data'!$D$4:$D$207=D115)*('Q1 Data'!$B$4:$B$207="Challan")*'Q1 Data'!$F$4:$F$207)+SUMPRODUCT(('Q2 Data'!$D$4:$D$207=D115)*('Q2 Data'!$B$4:$B$207="Challan")*'Q2 Data'!$F$4:$F$207)+SUMPRODUCT(('Q3 Data'!$D$4:$D$207=D115)*('Q3 Data'!$B$4:$B$207="Challan")*'Q3 Data'!$F$4:$F$207)+SUMPRODUCT(('Q4 Data'!$D$4:$D$207=D115)*('Q4 Data'!$B$4:$B$207="Challan")*'Q4 Data'!$F$4:$F$207))</f>
      </c>
      <c r="AR115" s="34">
        <f>IF(OR($B115&lt;&gt;"Entry",Z115=""),FALSE,AND((SUMPRODUCT(('Q1 Data'!$D$4:$D$207=D115)*('Q1 Data'!$B$4:$B$207="Challan")*('Q1 Data'!$H$4:$H$207&lt;&gt;""))+SUMPRODUCT(('Q2 Data'!$D$4:$D$207=D115)*('Q2 Data'!$B$4:$B$207="Challan")*('Q2 Data'!$H$4:$H$207&lt;&gt;""))+SUMPRODUCT(('Q3 Data'!$D$4:$D$207=D115)*('Q3 Data'!$B$4:$B$207="Challan")*('Q3 Data'!$H$4:$H$207&lt;&gt;""))+SUMPRODUCT(('Q4 Data'!$D$4:$D$207=D115)*('Q4 Data'!$B$4:$B$207="Challan")*('Q4 Data'!$H$4:$H$207&lt;&gt;"")))&gt;0,(SUMPRODUCT(('Q1 Data'!$D$4:$D$207=D115)*('Q1 Data'!$B$4:$B$207="Challan")*('Q1 Data'!$H$4:$H$207=Z115))+SUMPRODUCT(('Q2 Data'!$D$4:$D$207=D115)*('Q2 Data'!$B$4:$B$207="Challan")*('Q2 Data'!$H$4:$H$207=Z115))+SUMPRODUCT(('Q3 Data'!$D$4:$D$207=D115)*('Q3 Data'!$B$4:$B$207="Challan")*('Q3 Data'!$H$4:$H$207=Z115))+SUMPRODUCT(('Q4 Data'!$D$4:$D$207=D115)*('Q4 Data'!$B$4:$B$207="Challan")*('Q4 Data'!$H$4:$H$207=Z115)))=0))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IF($B116="Challan","",IF(W116&lt;&gt;"","◄ Set Row Type","")))</f>
      </c>
      <c r="Y116" s="23">
        <f>IF($B116="Entry",IF(LEN(W116)&lt;4,"",IF(UPPER(MID(W116,4,1))="P","Individual",IF(UPPER(MID(W116,4,1))="H","HUF",IF(UPPER(MID(W116,4,1))="C","Company",IF(UPPER(MID(W116,4,1))="F","Firm/LLP",IF(UPPER(MID(W116,4,1))="L","Local Authority",IF(UPPER(MID(W116,4,1))="T","Trust",IF(UPPER(MID(W116,4,1))="A","AOP",IF(UPPER(MID(W116,4,1))="B","BOI",IF(UPPER(MID(W116,4,1))="J","AJP",IF(UPPER(MID(W116,4,1))="G","Government",""))))))))))),IF($B116="Challan","",IF(W116&lt;&gt;"","◄ Set Row Type","")))</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IF($B116&lt;&gt;"Challan","",SUMIF('Q1 Data'!$D$4:$D$207,D116,'Q1 Data'!$AD$4:$AD$207)+SUMIF('Q1 Data'!$D$4:$D$207,D116,'Q1 Data'!$AG$4:$AG$207)+SUMIF('Q1 Data'!$D$4:$D$207,D116,'Q1 Data'!$AE$4:$AE$207)+SUMIF('Q2 Data'!$D$4:$D$207,D116,'Q2 Data'!$AD$4:$AD$207)+SUMIF('Q2 Data'!$D$4:$D$207,D116,'Q2 Data'!$AG$4:$AG$207)+SUMIF('Q2 Data'!$D$4:$D$207,D116,'Q2 Data'!$AE$4:$AE$207)+SUMIF('Q3 Data'!$D$4:$D$207,D116,'Q3 Data'!$AD$4:$AD$207)+SUMIF('Q3 Data'!$D$4:$D$207,D116,'Q3 Data'!$AG$4:$AG$207)+SUMIF('Q3 Data'!$D$4:$D$207,D116,'Q3 Data'!$AE$4:$AE$207)+SUMIF('Q4 Data'!$D$4:$D$207,D116,'Q4 Data'!$AD$4:$AD$207)+SUMIF('Q4 Data'!$D$4:$D$207,D116,'Q4 Data'!$AG$4:$AG$207)+SUMIF('Q4 Data'!$D$4:$D$207,D116,'Q4 Data'!$AE$4:$AE$207))</f>
      </c>
      <c r="AO116" s="27">
        <f>IF($B116&lt;&gt;"Challan","",P116-N116)</f>
      </c>
      <c r="AP116" s="27">
        <f>IF($B116&lt;&gt;"Challan","",MAX(0,AO116-AN116))</f>
      </c>
      <c r="AQ116" s="33">
        <f>IF($B116&lt;&gt;"Entry","",SUMPRODUCT(('Q1 Data'!$D$4:$D$207=D116)*('Q1 Data'!$B$4:$B$207="Challan")*'Q1 Data'!$F$4:$F$207)+SUMPRODUCT(('Q2 Data'!$D$4:$D$207=D116)*('Q2 Data'!$B$4:$B$207="Challan")*'Q2 Data'!$F$4:$F$207)+SUMPRODUCT(('Q3 Data'!$D$4:$D$207=D116)*('Q3 Data'!$B$4:$B$207="Challan")*'Q3 Data'!$F$4:$F$207)+SUMPRODUCT(('Q4 Data'!$D$4:$D$207=D116)*('Q4 Data'!$B$4:$B$207="Challan")*'Q4 Data'!$F$4:$F$207))</f>
      </c>
      <c r="AR116" s="34">
        <f>IF(OR($B116&lt;&gt;"Entry",Z116=""),FALSE,AND((SUMPRODUCT(('Q1 Data'!$D$4:$D$207=D116)*('Q1 Data'!$B$4:$B$207="Challan")*('Q1 Data'!$H$4:$H$207&lt;&gt;""))+SUMPRODUCT(('Q2 Data'!$D$4:$D$207=D116)*('Q2 Data'!$B$4:$B$207="Challan")*('Q2 Data'!$H$4:$H$207&lt;&gt;""))+SUMPRODUCT(('Q3 Data'!$D$4:$D$207=D116)*('Q3 Data'!$B$4:$B$207="Challan")*('Q3 Data'!$H$4:$H$207&lt;&gt;""))+SUMPRODUCT(('Q4 Data'!$D$4:$D$207=D116)*('Q4 Data'!$B$4:$B$207="Challan")*('Q4 Data'!$H$4:$H$207&lt;&gt;"")))&gt;0,(SUMPRODUCT(('Q1 Data'!$D$4:$D$207=D116)*('Q1 Data'!$B$4:$B$207="Challan")*('Q1 Data'!$H$4:$H$207=Z116))+SUMPRODUCT(('Q2 Data'!$D$4:$D$207=D116)*('Q2 Data'!$B$4:$B$207="Challan")*('Q2 Data'!$H$4:$H$207=Z116))+SUMPRODUCT(('Q3 Data'!$D$4:$D$207=D116)*('Q3 Data'!$B$4:$B$207="Challan")*('Q3 Data'!$H$4:$H$207=Z116))+SUMPRODUCT(('Q4 Data'!$D$4:$D$207=D116)*('Q4 Data'!$B$4:$B$207="Challan")*('Q4 Data'!$H$4:$H$207=Z116)))=0))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IF($B117="Challan","",IF(W117&lt;&gt;"","◄ Set Row Type","")))</f>
      </c>
      <c r="Y117" s="23">
        <f>IF($B117="Entry",IF(LEN(W117)&lt;4,"",IF(UPPER(MID(W117,4,1))="P","Individual",IF(UPPER(MID(W117,4,1))="H","HUF",IF(UPPER(MID(W117,4,1))="C","Company",IF(UPPER(MID(W117,4,1))="F","Firm/LLP",IF(UPPER(MID(W117,4,1))="L","Local Authority",IF(UPPER(MID(W117,4,1))="T","Trust",IF(UPPER(MID(W117,4,1))="A","AOP",IF(UPPER(MID(W117,4,1))="B","BOI",IF(UPPER(MID(W117,4,1))="J","AJP",IF(UPPER(MID(W117,4,1))="G","Government",""))))))))))),IF($B117="Challan","",IF(W117&lt;&gt;"","◄ Set Row Type","")))</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IF($B117&lt;&gt;"Challan","",SUMIF('Q1 Data'!$D$4:$D$207,D117,'Q1 Data'!$AD$4:$AD$207)+SUMIF('Q1 Data'!$D$4:$D$207,D117,'Q1 Data'!$AG$4:$AG$207)+SUMIF('Q1 Data'!$D$4:$D$207,D117,'Q1 Data'!$AE$4:$AE$207)+SUMIF('Q2 Data'!$D$4:$D$207,D117,'Q2 Data'!$AD$4:$AD$207)+SUMIF('Q2 Data'!$D$4:$D$207,D117,'Q2 Data'!$AG$4:$AG$207)+SUMIF('Q2 Data'!$D$4:$D$207,D117,'Q2 Data'!$AE$4:$AE$207)+SUMIF('Q3 Data'!$D$4:$D$207,D117,'Q3 Data'!$AD$4:$AD$207)+SUMIF('Q3 Data'!$D$4:$D$207,D117,'Q3 Data'!$AG$4:$AG$207)+SUMIF('Q3 Data'!$D$4:$D$207,D117,'Q3 Data'!$AE$4:$AE$207)+SUMIF('Q4 Data'!$D$4:$D$207,D117,'Q4 Data'!$AD$4:$AD$207)+SUMIF('Q4 Data'!$D$4:$D$207,D117,'Q4 Data'!$AG$4:$AG$207)+SUMIF('Q4 Data'!$D$4:$D$207,D117,'Q4 Data'!$AE$4:$AE$207))</f>
      </c>
      <c r="AO117" s="27">
        <f>IF($B117&lt;&gt;"Challan","",P117-N117)</f>
      </c>
      <c r="AP117" s="27">
        <f>IF($B117&lt;&gt;"Challan","",MAX(0,AO117-AN117))</f>
      </c>
      <c r="AQ117" s="33">
        <f>IF($B117&lt;&gt;"Entry","",SUMPRODUCT(('Q1 Data'!$D$4:$D$207=D117)*('Q1 Data'!$B$4:$B$207="Challan")*'Q1 Data'!$F$4:$F$207)+SUMPRODUCT(('Q2 Data'!$D$4:$D$207=D117)*('Q2 Data'!$B$4:$B$207="Challan")*'Q2 Data'!$F$4:$F$207)+SUMPRODUCT(('Q3 Data'!$D$4:$D$207=D117)*('Q3 Data'!$B$4:$B$207="Challan")*'Q3 Data'!$F$4:$F$207)+SUMPRODUCT(('Q4 Data'!$D$4:$D$207=D117)*('Q4 Data'!$B$4:$B$207="Challan")*'Q4 Data'!$F$4:$F$207))</f>
      </c>
      <c r="AR117" s="34">
        <f>IF(OR($B117&lt;&gt;"Entry",Z117=""),FALSE,AND((SUMPRODUCT(('Q1 Data'!$D$4:$D$207=D117)*('Q1 Data'!$B$4:$B$207="Challan")*('Q1 Data'!$H$4:$H$207&lt;&gt;""))+SUMPRODUCT(('Q2 Data'!$D$4:$D$207=D117)*('Q2 Data'!$B$4:$B$207="Challan")*('Q2 Data'!$H$4:$H$207&lt;&gt;""))+SUMPRODUCT(('Q3 Data'!$D$4:$D$207=D117)*('Q3 Data'!$B$4:$B$207="Challan")*('Q3 Data'!$H$4:$H$207&lt;&gt;""))+SUMPRODUCT(('Q4 Data'!$D$4:$D$207=D117)*('Q4 Data'!$B$4:$B$207="Challan")*('Q4 Data'!$H$4:$H$207&lt;&gt;"")))&gt;0,(SUMPRODUCT(('Q1 Data'!$D$4:$D$207=D117)*('Q1 Data'!$B$4:$B$207="Challan")*('Q1 Data'!$H$4:$H$207=Z117))+SUMPRODUCT(('Q2 Data'!$D$4:$D$207=D117)*('Q2 Data'!$B$4:$B$207="Challan")*('Q2 Data'!$H$4:$H$207=Z117))+SUMPRODUCT(('Q3 Data'!$D$4:$D$207=D117)*('Q3 Data'!$B$4:$B$207="Challan")*('Q3 Data'!$H$4:$H$207=Z117))+SUMPRODUCT(('Q4 Data'!$D$4:$D$207=D117)*('Q4 Data'!$B$4:$B$207="Challan")*('Q4 Data'!$H$4:$H$207=Z117)))=0))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IF($B118="Challan","",IF(W118&lt;&gt;"","◄ Set Row Type","")))</f>
      </c>
      <c r="Y118" s="23">
        <f>IF($B118="Entry",IF(LEN(W118)&lt;4,"",IF(UPPER(MID(W118,4,1))="P","Individual",IF(UPPER(MID(W118,4,1))="H","HUF",IF(UPPER(MID(W118,4,1))="C","Company",IF(UPPER(MID(W118,4,1))="F","Firm/LLP",IF(UPPER(MID(W118,4,1))="L","Local Authority",IF(UPPER(MID(W118,4,1))="T","Trust",IF(UPPER(MID(W118,4,1))="A","AOP",IF(UPPER(MID(W118,4,1))="B","BOI",IF(UPPER(MID(W118,4,1))="J","AJP",IF(UPPER(MID(W118,4,1))="G","Government",""))))))))))),IF($B118="Challan","",IF(W118&lt;&gt;"","◄ Set Row Type","")))</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IF($B118&lt;&gt;"Challan","",SUMIF('Q1 Data'!$D$4:$D$207,D118,'Q1 Data'!$AD$4:$AD$207)+SUMIF('Q1 Data'!$D$4:$D$207,D118,'Q1 Data'!$AG$4:$AG$207)+SUMIF('Q1 Data'!$D$4:$D$207,D118,'Q1 Data'!$AE$4:$AE$207)+SUMIF('Q2 Data'!$D$4:$D$207,D118,'Q2 Data'!$AD$4:$AD$207)+SUMIF('Q2 Data'!$D$4:$D$207,D118,'Q2 Data'!$AG$4:$AG$207)+SUMIF('Q2 Data'!$D$4:$D$207,D118,'Q2 Data'!$AE$4:$AE$207)+SUMIF('Q3 Data'!$D$4:$D$207,D118,'Q3 Data'!$AD$4:$AD$207)+SUMIF('Q3 Data'!$D$4:$D$207,D118,'Q3 Data'!$AG$4:$AG$207)+SUMIF('Q3 Data'!$D$4:$D$207,D118,'Q3 Data'!$AE$4:$AE$207)+SUMIF('Q4 Data'!$D$4:$D$207,D118,'Q4 Data'!$AD$4:$AD$207)+SUMIF('Q4 Data'!$D$4:$D$207,D118,'Q4 Data'!$AG$4:$AG$207)+SUMIF('Q4 Data'!$D$4:$D$207,D118,'Q4 Data'!$AE$4:$AE$207))</f>
      </c>
      <c r="AO118" s="27">
        <f>IF($B118&lt;&gt;"Challan","",P118-N118)</f>
      </c>
      <c r="AP118" s="27">
        <f>IF($B118&lt;&gt;"Challan","",MAX(0,AO118-AN118))</f>
      </c>
      <c r="AQ118" s="33">
        <f>IF($B118&lt;&gt;"Entry","",SUMPRODUCT(('Q1 Data'!$D$4:$D$207=D118)*('Q1 Data'!$B$4:$B$207="Challan")*'Q1 Data'!$F$4:$F$207)+SUMPRODUCT(('Q2 Data'!$D$4:$D$207=D118)*('Q2 Data'!$B$4:$B$207="Challan")*'Q2 Data'!$F$4:$F$207)+SUMPRODUCT(('Q3 Data'!$D$4:$D$207=D118)*('Q3 Data'!$B$4:$B$207="Challan")*'Q3 Data'!$F$4:$F$207)+SUMPRODUCT(('Q4 Data'!$D$4:$D$207=D118)*('Q4 Data'!$B$4:$B$207="Challan")*'Q4 Data'!$F$4:$F$207))</f>
      </c>
      <c r="AR118" s="34">
        <f>IF(OR($B118&lt;&gt;"Entry",Z118=""),FALSE,AND((SUMPRODUCT(('Q1 Data'!$D$4:$D$207=D118)*('Q1 Data'!$B$4:$B$207="Challan")*('Q1 Data'!$H$4:$H$207&lt;&gt;""))+SUMPRODUCT(('Q2 Data'!$D$4:$D$207=D118)*('Q2 Data'!$B$4:$B$207="Challan")*('Q2 Data'!$H$4:$H$207&lt;&gt;""))+SUMPRODUCT(('Q3 Data'!$D$4:$D$207=D118)*('Q3 Data'!$B$4:$B$207="Challan")*('Q3 Data'!$H$4:$H$207&lt;&gt;""))+SUMPRODUCT(('Q4 Data'!$D$4:$D$207=D118)*('Q4 Data'!$B$4:$B$207="Challan")*('Q4 Data'!$H$4:$H$207&lt;&gt;"")))&gt;0,(SUMPRODUCT(('Q1 Data'!$D$4:$D$207=D118)*('Q1 Data'!$B$4:$B$207="Challan")*('Q1 Data'!$H$4:$H$207=Z118))+SUMPRODUCT(('Q2 Data'!$D$4:$D$207=D118)*('Q2 Data'!$B$4:$B$207="Challan")*('Q2 Data'!$H$4:$H$207=Z118))+SUMPRODUCT(('Q3 Data'!$D$4:$D$207=D118)*('Q3 Data'!$B$4:$B$207="Challan")*('Q3 Data'!$H$4:$H$207=Z118))+SUMPRODUCT(('Q4 Data'!$D$4:$D$207=D118)*('Q4 Data'!$B$4:$B$207="Challan")*('Q4 Data'!$H$4:$H$207=Z118)))=0))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IF($B119="Challan","",IF(W119&lt;&gt;"","◄ Set Row Type","")))</f>
      </c>
      <c r="Y119" s="23">
        <f>IF($B119="Entry",IF(LEN(W119)&lt;4,"",IF(UPPER(MID(W119,4,1))="P","Individual",IF(UPPER(MID(W119,4,1))="H","HUF",IF(UPPER(MID(W119,4,1))="C","Company",IF(UPPER(MID(W119,4,1))="F","Firm/LLP",IF(UPPER(MID(W119,4,1))="L","Local Authority",IF(UPPER(MID(W119,4,1))="T","Trust",IF(UPPER(MID(W119,4,1))="A","AOP",IF(UPPER(MID(W119,4,1))="B","BOI",IF(UPPER(MID(W119,4,1))="J","AJP",IF(UPPER(MID(W119,4,1))="G","Government",""))))))))))),IF($B119="Challan","",IF(W119&lt;&gt;"","◄ Set Row Type","")))</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IF($B119&lt;&gt;"Challan","",SUMIF('Q1 Data'!$D$4:$D$207,D119,'Q1 Data'!$AD$4:$AD$207)+SUMIF('Q1 Data'!$D$4:$D$207,D119,'Q1 Data'!$AG$4:$AG$207)+SUMIF('Q1 Data'!$D$4:$D$207,D119,'Q1 Data'!$AE$4:$AE$207)+SUMIF('Q2 Data'!$D$4:$D$207,D119,'Q2 Data'!$AD$4:$AD$207)+SUMIF('Q2 Data'!$D$4:$D$207,D119,'Q2 Data'!$AG$4:$AG$207)+SUMIF('Q2 Data'!$D$4:$D$207,D119,'Q2 Data'!$AE$4:$AE$207)+SUMIF('Q3 Data'!$D$4:$D$207,D119,'Q3 Data'!$AD$4:$AD$207)+SUMIF('Q3 Data'!$D$4:$D$207,D119,'Q3 Data'!$AG$4:$AG$207)+SUMIF('Q3 Data'!$D$4:$D$207,D119,'Q3 Data'!$AE$4:$AE$207)+SUMIF('Q4 Data'!$D$4:$D$207,D119,'Q4 Data'!$AD$4:$AD$207)+SUMIF('Q4 Data'!$D$4:$D$207,D119,'Q4 Data'!$AG$4:$AG$207)+SUMIF('Q4 Data'!$D$4:$D$207,D119,'Q4 Data'!$AE$4:$AE$207))</f>
      </c>
      <c r="AO119" s="27">
        <f>IF($B119&lt;&gt;"Challan","",P119-N119)</f>
      </c>
      <c r="AP119" s="27">
        <f>IF($B119&lt;&gt;"Challan","",MAX(0,AO119-AN119))</f>
      </c>
      <c r="AQ119" s="33">
        <f>IF($B119&lt;&gt;"Entry","",SUMPRODUCT(('Q1 Data'!$D$4:$D$207=D119)*('Q1 Data'!$B$4:$B$207="Challan")*'Q1 Data'!$F$4:$F$207)+SUMPRODUCT(('Q2 Data'!$D$4:$D$207=D119)*('Q2 Data'!$B$4:$B$207="Challan")*'Q2 Data'!$F$4:$F$207)+SUMPRODUCT(('Q3 Data'!$D$4:$D$207=D119)*('Q3 Data'!$B$4:$B$207="Challan")*'Q3 Data'!$F$4:$F$207)+SUMPRODUCT(('Q4 Data'!$D$4:$D$207=D119)*('Q4 Data'!$B$4:$B$207="Challan")*'Q4 Data'!$F$4:$F$207))</f>
      </c>
      <c r="AR119" s="34">
        <f>IF(OR($B119&lt;&gt;"Entry",Z119=""),FALSE,AND((SUMPRODUCT(('Q1 Data'!$D$4:$D$207=D119)*('Q1 Data'!$B$4:$B$207="Challan")*('Q1 Data'!$H$4:$H$207&lt;&gt;""))+SUMPRODUCT(('Q2 Data'!$D$4:$D$207=D119)*('Q2 Data'!$B$4:$B$207="Challan")*('Q2 Data'!$H$4:$H$207&lt;&gt;""))+SUMPRODUCT(('Q3 Data'!$D$4:$D$207=D119)*('Q3 Data'!$B$4:$B$207="Challan")*('Q3 Data'!$H$4:$H$207&lt;&gt;""))+SUMPRODUCT(('Q4 Data'!$D$4:$D$207=D119)*('Q4 Data'!$B$4:$B$207="Challan")*('Q4 Data'!$H$4:$H$207&lt;&gt;"")))&gt;0,(SUMPRODUCT(('Q1 Data'!$D$4:$D$207=D119)*('Q1 Data'!$B$4:$B$207="Challan")*('Q1 Data'!$H$4:$H$207=Z119))+SUMPRODUCT(('Q2 Data'!$D$4:$D$207=D119)*('Q2 Data'!$B$4:$B$207="Challan")*('Q2 Data'!$H$4:$H$207=Z119))+SUMPRODUCT(('Q3 Data'!$D$4:$D$207=D119)*('Q3 Data'!$B$4:$B$207="Challan")*('Q3 Data'!$H$4:$H$207=Z119))+SUMPRODUCT(('Q4 Data'!$D$4:$D$207=D119)*('Q4 Data'!$B$4:$B$207="Challan")*('Q4 Data'!$H$4:$H$207=Z119)))=0))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IF($B120="Challan","",IF(W120&lt;&gt;"","◄ Set Row Type","")))</f>
      </c>
      <c r="Y120" s="23">
        <f>IF($B120="Entry",IF(LEN(W120)&lt;4,"",IF(UPPER(MID(W120,4,1))="P","Individual",IF(UPPER(MID(W120,4,1))="H","HUF",IF(UPPER(MID(W120,4,1))="C","Company",IF(UPPER(MID(W120,4,1))="F","Firm/LLP",IF(UPPER(MID(W120,4,1))="L","Local Authority",IF(UPPER(MID(W120,4,1))="T","Trust",IF(UPPER(MID(W120,4,1))="A","AOP",IF(UPPER(MID(W120,4,1))="B","BOI",IF(UPPER(MID(W120,4,1))="J","AJP",IF(UPPER(MID(W120,4,1))="G","Government",""))))))))))),IF($B120="Challan","",IF(W120&lt;&gt;"","◄ Set Row Type","")))</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IF($B120&lt;&gt;"Challan","",SUMIF('Q1 Data'!$D$4:$D$207,D120,'Q1 Data'!$AD$4:$AD$207)+SUMIF('Q1 Data'!$D$4:$D$207,D120,'Q1 Data'!$AG$4:$AG$207)+SUMIF('Q1 Data'!$D$4:$D$207,D120,'Q1 Data'!$AE$4:$AE$207)+SUMIF('Q2 Data'!$D$4:$D$207,D120,'Q2 Data'!$AD$4:$AD$207)+SUMIF('Q2 Data'!$D$4:$D$207,D120,'Q2 Data'!$AG$4:$AG$207)+SUMIF('Q2 Data'!$D$4:$D$207,D120,'Q2 Data'!$AE$4:$AE$207)+SUMIF('Q3 Data'!$D$4:$D$207,D120,'Q3 Data'!$AD$4:$AD$207)+SUMIF('Q3 Data'!$D$4:$D$207,D120,'Q3 Data'!$AG$4:$AG$207)+SUMIF('Q3 Data'!$D$4:$D$207,D120,'Q3 Data'!$AE$4:$AE$207)+SUMIF('Q4 Data'!$D$4:$D$207,D120,'Q4 Data'!$AD$4:$AD$207)+SUMIF('Q4 Data'!$D$4:$D$207,D120,'Q4 Data'!$AG$4:$AG$207)+SUMIF('Q4 Data'!$D$4:$D$207,D120,'Q4 Data'!$AE$4:$AE$207))</f>
      </c>
      <c r="AO120" s="27">
        <f>IF($B120&lt;&gt;"Challan","",P120-N120)</f>
      </c>
      <c r="AP120" s="27">
        <f>IF($B120&lt;&gt;"Challan","",MAX(0,AO120-AN120))</f>
      </c>
      <c r="AQ120" s="33">
        <f>IF($B120&lt;&gt;"Entry","",SUMPRODUCT(('Q1 Data'!$D$4:$D$207=D120)*('Q1 Data'!$B$4:$B$207="Challan")*'Q1 Data'!$F$4:$F$207)+SUMPRODUCT(('Q2 Data'!$D$4:$D$207=D120)*('Q2 Data'!$B$4:$B$207="Challan")*'Q2 Data'!$F$4:$F$207)+SUMPRODUCT(('Q3 Data'!$D$4:$D$207=D120)*('Q3 Data'!$B$4:$B$207="Challan")*'Q3 Data'!$F$4:$F$207)+SUMPRODUCT(('Q4 Data'!$D$4:$D$207=D120)*('Q4 Data'!$B$4:$B$207="Challan")*'Q4 Data'!$F$4:$F$207))</f>
      </c>
      <c r="AR120" s="34">
        <f>IF(OR($B120&lt;&gt;"Entry",Z120=""),FALSE,AND((SUMPRODUCT(('Q1 Data'!$D$4:$D$207=D120)*('Q1 Data'!$B$4:$B$207="Challan")*('Q1 Data'!$H$4:$H$207&lt;&gt;""))+SUMPRODUCT(('Q2 Data'!$D$4:$D$207=D120)*('Q2 Data'!$B$4:$B$207="Challan")*('Q2 Data'!$H$4:$H$207&lt;&gt;""))+SUMPRODUCT(('Q3 Data'!$D$4:$D$207=D120)*('Q3 Data'!$B$4:$B$207="Challan")*('Q3 Data'!$H$4:$H$207&lt;&gt;""))+SUMPRODUCT(('Q4 Data'!$D$4:$D$207=D120)*('Q4 Data'!$B$4:$B$207="Challan")*('Q4 Data'!$H$4:$H$207&lt;&gt;"")))&gt;0,(SUMPRODUCT(('Q1 Data'!$D$4:$D$207=D120)*('Q1 Data'!$B$4:$B$207="Challan")*('Q1 Data'!$H$4:$H$207=Z120))+SUMPRODUCT(('Q2 Data'!$D$4:$D$207=D120)*('Q2 Data'!$B$4:$B$207="Challan")*('Q2 Data'!$H$4:$H$207=Z120))+SUMPRODUCT(('Q3 Data'!$D$4:$D$207=D120)*('Q3 Data'!$B$4:$B$207="Challan")*('Q3 Data'!$H$4:$H$207=Z120))+SUMPRODUCT(('Q4 Data'!$D$4:$D$207=D120)*('Q4 Data'!$B$4:$B$207="Challan")*('Q4 Data'!$H$4:$H$207=Z120)))=0))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IF($B121="Challan","",IF(W121&lt;&gt;"","◄ Set Row Type","")))</f>
      </c>
      <c r="Y121" s="23">
        <f>IF($B121="Entry",IF(LEN(W121)&lt;4,"",IF(UPPER(MID(W121,4,1))="P","Individual",IF(UPPER(MID(W121,4,1))="H","HUF",IF(UPPER(MID(W121,4,1))="C","Company",IF(UPPER(MID(W121,4,1))="F","Firm/LLP",IF(UPPER(MID(W121,4,1))="L","Local Authority",IF(UPPER(MID(W121,4,1))="T","Trust",IF(UPPER(MID(W121,4,1))="A","AOP",IF(UPPER(MID(W121,4,1))="B","BOI",IF(UPPER(MID(W121,4,1))="J","AJP",IF(UPPER(MID(W121,4,1))="G","Government",""))))))))))),IF($B121="Challan","",IF(W121&lt;&gt;"","◄ Set Row Type","")))</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IF($B121&lt;&gt;"Challan","",SUMIF('Q1 Data'!$D$4:$D$207,D121,'Q1 Data'!$AD$4:$AD$207)+SUMIF('Q1 Data'!$D$4:$D$207,D121,'Q1 Data'!$AG$4:$AG$207)+SUMIF('Q1 Data'!$D$4:$D$207,D121,'Q1 Data'!$AE$4:$AE$207)+SUMIF('Q2 Data'!$D$4:$D$207,D121,'Q2 Data'!$AD$4:$AD$207)+SUMIF('Q2 Data'!$D$4:$D$207,D121,'Q2 Data'!$AG$4:$AG$207)+SUMIF('Q2 Data'!$D$4:$D$207,D121,'Q2 Data'!$AE$4:$AE$207)+SUMIF('Q3 Data'!$D$4:$D$207,D121,'Q3 Data'!$AD$4:$AD$207)+SUMIF('Q3 Data'!$D$4:$D$207,D121,'Q3 Data'!$AG$4:$AG$207)+SUMIF('Q3 Data'!$D$4:$D$207,D121,'Q3 Data'!$AE$4:$AE$207)+SUMIF('Q4 Data'!$D$4:$D$207,D121,'Q4 Data'!$AD$4:$AD$207)+SUMIF('Q4 Data'!$D$4:$D$207,D121,'Q4 Data'!$AG$4:$AG$207)+SUMIF('Q4 Data'!$D$4:$D$207,D121,'Q4 Data'!$AE$4:$AE$207))</f>
      </c>
      <c r="AO121" s="27">
        <f>IF($B121&lt;&gt;"Challan","",P121-N121)</f>
      </c>
      <c r="AP121" s="27">
        <f>IF($B121&lt;&gt;"Challan","",MAX(0,AO121-AN121))</f>
      </c>
      <c r="AQ121" s="33">
        <f>IF($B121&lt;&gt;"Entry","",SUMPRODUCT(('Q1 Data'!$D$4:$D$207=D121)*('Q1 Data'!$B$4:$B$207="Challan")*'Q1 Data'!$F$4:$F$207)+SUMPRODUCT(('Q2 Data'!$D$4:$D$207=D121)*('Q2 Data'!$B$4:$B$207="Challan")*'Q2 Data'!$F$4:$F$207)+SUMPRODUCT(('Q3 Data'!$D$4:$D$207=D121)*('Q3 Data'!$B$4:$B$207="Challan")*'Q3 Data'!$F$4:$F$207)+SUMPRODUCT(('Q4 Data'!$D$4:$D$207=D121)*('Q4 Data'!$B$4:$B$207="Challan")*'Q4 Data'!$F$4:$F$207))</f>
      </c>
      <c r="AR121" s="34">
        <f>IF(OR($B121&lt;&gt;"Entry",Z121=""),FALSE,AND((SUMPRODUCT(('Q1 Data'!$D$4:$D$207=D121)*('Q1 Data'!$B$4:$B$207="Challan")*('Q1 Data'!$H$4:$H$207&lt;&gt;""))+SUMPRODUCT(('Q2 Data'!$D$4:$D$207=D121)*('Q2 Data'!$B$4:$B$207="Challan")*('Q2 Data'!$H$4:$H$207&lt;&gt;""))+SUMPRODUCT(('Q3 Data'!$D$4:$D$207=D121)*('Q3 Data'!$B$4:$B$207="Challan")*('Q3 Data'!$H$4:$H$207&lt;&gt;""))+SUMPRODUCT(('Q4 Data'!$D$4:$D$207=D121)*('Q4 Data'!$B$4:$B$207="Challan")*('Q4 Data'!$H$4:$H$207&lt;&gt;"")))&gt;0,(SUMPRODUCT(('Q1 Data'!$D$4:$D$207=D121)*('Q1 Data'!$B$4:$B$207="Challan")*('Q1 Data'!$H$4:$H$207=Z121))+SUMPRODUCT(('Q2 Data'!$D$4:$D$207=D121)*('Q2 Data'!$B$4:$B$207="Challan")*('Q2 Data'!$H$4:$H$207=Z121))+SUMPRODUCT(('Q3 Data'!$D$4:$D$207=D121)*('Q3 Data'!$B$4:$B$207="Challan")*('Q3 Data'!$H$4:$H$207=Z121))+SUMPRODUCT(('Q4 Data'!$D$4:$D$207=D121)*('Q4 Data'!$B$4:$B$207="Challan")*('Q4 Data'!$H$4:$H$207=Z121)))=0))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IF($B122="Challan","",IF(W122&lt;&gt;"","◄ Set Row Type","")))</f>
      </c>
      <c r="Y122" s="23">
        <f>IF($B122="Entry",IF(LEN(W122)&lt;4,"",IF(UPPER(MID(W122,4,1))="P","Individual",IF(UPPER(MID(W122,4,1))="H","HUF",IF(UPPER(MID(W122,4,1))="C","Company",IF(UPPER(MID(W122,4,1))="F","Firm/LLP",IF(UPPER(MID(W122,4,1))="L","Local Authority",IF(UPPER(MID(W122,4,1))="T","Trust",IF(UPPER(MID(W122,4,1))="A","AOP",IF(UPPER(MID(W122,4,1))="B","BOI",IF(UPPER(MID(W122,4,1))="J","AJP",IF(UPPER(MID(W122,4,1))="G","Government",""))))))))))),IF($B122="Challan","",IF(W122&lt;&gt;"","◄ Set Row Type","")))</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IF($B122&lt;&gt;"Challan","",SUMIF('Q1 Data'!$D$4:$D$207,D122,'Q1 Data'!$AD$4:$AD$207)+SUMIF('Q1 Data'!$D$4:$D$207,D122,'Q1 Data'!$AG$4:$AG$207)+SUMIF('Q1 Data'!$D$4:$D$207,D122,'Q1 Data'!$AE$4:$AE$207)+SUMIF('Q2 Data'!$D$4:$D$207,D122,'Q2 Data'!$AD$4:$AD$207)+SUMIF('Q2 Data'!$D$4:$D$207,D122,'Q2 Data'!$AG$4:$AG$207)+SUMIF('Q2 Data'!$D$4:$D$207,D122,'Q2 Data'!$AE$4:$AE$207)+SUMIF('Q3 Data'!$D$4:$D$207,D122,'Q3 Data'!$AD$4:$AD$207)+SUMIF('Q3 Data'!$D$4:$D$207,D122,'Q3 Data'!$AG$4:$AG$207)+SUMIF('Q3 Data'!$D$4:$D$207,D122,'Q3 Data'!$AE$4:$AE$207)+SUMIF('Q4 Data'!$D$4:$D$207,D122,'Q4 Data'!$AD$4:$AD$207)+SUMIF('Q4 Data'!$D$4:$D$207,D122,'Q4 Data'!$AG$4:$AG$207)+SUMIF('Q4 Data'!$D$4:$D$207,D122,'Q4 Data'!$AE$4:$AE$207))</f>
      </c>
      <c r="AO122" s="27">
        <f>IF($B122&lt;&gt;"Challan","",P122-N122)</f>
      </c>
      <c r="AP122" s="27">
        <f>IF($B122&lt;&gt;"Challan","",MAX(0,AO122-AN122))</f>
      </c>
      <c r="AQ122" s="33">
        <f>IF($B122&lt;&gt;"Entry","",SUMPRODUCT(('Q1 Data'!$D$4:$D$207=D122)*('Q1 Data'!$B$4:$B$207="Challan")*'Q1 Data'!$F$4:$F$207)+SUMPRODUCT(('Q2 Data'!$D$4:$D$207=D122)*('Q2 Data'!$B$4:$B$207="Challan")*'Q2 Data'!$F$4:$F$207)+SUMPRODUCT(('Q3 Data'!$D$4:$D$207=D122)*('Q3 Data'!$B$4:$B$207="Challan")*'Q3 Data'!$F$4:$F$207)+SUMPRODUCT(('Q4 Data'!$D$4:$D$207=D122)*('Q4 Data'!$B$4:$B$207="Challan")*'Q4 Data'!$F$4:$F$207))</f>
      </c>
      <c r="AR122" s="34">
        <f>IF(OR($B122&lt;&gt;"Entry",Z122=""),FALSE,AND((SUMPRODUCT(('Q1 Data'!$D$4:$D$207=D122)*('Q1 Data'!$B$4:$B$207="Challan")*('Q1 Data'!$H$4:$H$207&lt;&gt;""))+SUMPRODUCT(('Q2 Data'!$D$4:$D$207=D122)*('Q2 Data'!$B$4:$B$207="Challan")*('Q2 Data'!$H$4:$H$207&lt;&gt;""))+SUMPRODUCT(('Q3 Data'!$D$4:$D$207=D122)*('Q3 Data'!$B$4:$B$207="Challan")*('Q3 Data'!$H$4:$H$207&lt;&gt;""))+SUMPRODUCT(('Q4 Data'!$D$4:$D$207=D122)*('Q4 Data'!$B$4:$B$207="Challan")*('Q4 Data'!$H$4:$H$207&lt;&gt;"")))&gt;0,(SUMPRODUCT(('Q1 Data'!$D$4:$D$207=D122)*('Q1 Data'!$B$4:$B$207="Challan")*('Q1 Data'!$H$4:$H$207=Z122))+SUMPRODUCT(('Q2 Data'!$D$4:$D$207=D122)*('Q2 Data'!$B$4:$B$207="Challan")*('Q2 Data'!$H$4:$H$207=Z122))+SUMPRODUCT(('Q3 Data'!$D$4:$D$207=D122)*('Q3 Data'!$B$4:$B$207="Challan")*('Q3 Data'!$H$4:$H$207=Z122))+SUMPRODUCT(('Q4 Data'!$D$4:$D$207=D122)*('Q4 Data'!$B$4:$B$207="Challan")*('Q4 Data'!$H$4:$H$207=Z122)))=0))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IF($B123="Challan","",IF(W123&lt;&gt;"","◄ Set Row Type","")))</f>
      </c>
      <c r="Y123" s="23">
        <f>IF($B123="Entry",IF(LEN(W123)&lt;4,"",IF(UPPER(MID(W123,4,1))="P","Individual",IF(UPPER(MID(W123,4,1))="H","HUF",IF(UPPER(MID(W123,4,1))="C","Company",IF(UPPER(MID(W123,4,1))="F","Firm/LLP",IF(UPPER(MID(W123,4,1))="L","Local Authority",IF(UPPER(MID(W123,4,1))="T","Trust",IF(UPPER(MID(W123,4,1))="A","AOP",IF(UPPER(MID(W123,4,1))="B","BOI",IF(UPPER(MID(W123,4,1))="J","AJP",IF(UPPER(MID(W123,4,1))="G","Government",""))))))))))),IF($B123="Challan","",IF(W123&lt;&gt;"","◄ Set Row Type","")))</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IF($B123&lt;&gt;"Challan","",SUMIF('Q1 Data'!$D$4:$D$207,D123,'Q1 Data'!$AD$4:$AD$207)+SUMIF('Q1 Data'!$D$4:$D$207,D123,'Q1 Data'!$AG$4:$AG$207)+SUMIF('Q1 Data'!$D$4:$D$207,D123,'Q1 Data'!$AE$4:$AE$207)+SUMIF('Q2 Data'!$D$4:$D$207,D123,'Q2 Data'!$AD$4:$AD$207)+SUMIF('Q2 Data'!$D$4:$D$207,D123,'Q2 Data'!$AG$4:$AG$207)+SUMIF('Q2 Data'!$D$4:$D$207,D123,'Q2 Data'!$AE$4:$AE$207)+SUMIF('Q3 Data'!$D$4:$D$207,D123,'Q3 Data'!$AD$4:$AD$207)+SUMIF('Q3 Data'!$D$4:$D$207,D123,'Q3 Data'!$AG$4:$AG$207)+SUMIF('Q3 Data'!$D$4:$D$207,D123,'Q3 Data'!$AE$4:$AE$207)+SUMIF('Q4 Data'!$D$4:$D$207,D123,'Q4 Data'!$AD$4:$AD$207)+SUMIF('Q4 Data'!$D$4:$D$207,D123,'Q4 Data'!$AG$4:$AG$207)+SUMIF('Q4 Data'!$D$4:$D$207,D123,'Q4 Data'!$AE$4:$AE$207))</f>
      </c>
      <c r="AO123" s="27">
        <f>IF($B123&lt;&gt;"Challan","",P123-N123)</f>
      </c>
      <c r="AP123" s="27">
        <f>IF($B123&lt;&gt;"Challan","",MAX(0,AO123-AN123))</f>
      </c>
      <c r="AQ123" s="33">
        <f>IF($B123&lt;&gt;"Entry","",SUMPRODUCT(('Q1 Data'!$D$4:$D$207=D123)*('Q1 Data'!$B$4:$B$207="Challan")*'Q1 Data'!$F$4:$F$207)+SUMPRODUCT(('Q2 Data'!$D$4:$D$207=D123)*('Q2 Data'!$B$4:$B$207="Challan")*'Q2 Data'!$F$4:$F$207)+SUMPRODUCT(('Q3 Data'!$D$4:$D$207=D123)*('Q3 Data'!$B$4:$B$207="Challan")*'Q3 Data'!$F$4:$F$207)+SUMPRODUCT(('Q4 Data'!$D$4:$D$207=D123)*('Q4 Data'!$B$4:$B$207="Challan")*'Q4 Data'!$F$4:$F$207))</f>
      </c>
      <c r="AR123" s="34">
        <f>IF(OR($B123&lt;&gt;"Entry",Z123=""),FALSE,AND((SUMPRODUCT(('Q1 Data'!$D$4:$D$207=D123)*('Q1 Data'!$B$4:$B$207="Challan")*('Q1 Data'!$H$4:$H$207&lt;&gt;""))+SUMPRODUCT(('Q2 Data'!$D$4:$D$207=D123)*('Q2 Data'!$B$4:$B$207="Challan")*('Q2 Data'!$H$4:$H$207&lt;&gt;""))+SUMPRODUCT(('Q3 Data'!$D$4:$D$207=D123)*('Q3 Data'!$B$4:$B$207="Challan")*('Q3 Data'!$H$4:$H$207&lt;&gt;""))+SUMPRODUCT(('Q4 Data'!$D$4:$D$207=D123)*('Q4 Data'!$B$4:$B$207="Challan")*('Q4 Data'!$H$4:$H$207&lt;&gt;"")))&gt;0,(SUMPRODUCT(('Q1 Data'!$D$4:$D$207=D123)*('Q1 Data'!$B$4:$B$207="Challan")*('Q1 Data'!$H$4:$H$207=Z123))+SUMPRODUCT(('Q2 Data'!$D$4:$D$207=D123)*('Q2 Data'!$B$4:$B$207="Challan")*('Q2 Data'!$H$4:$H$207=Z123))+SUMPRODUCT(('Q3 Data'!$D$4:$D$207=D123)*('Q3 Data'!$B$4:$B$207="Challan")*('Q3 Data'!$H$4:$H$207=Z123))+SUMPRODUCT(('Q4 Data'!$D$4:$D$207=D123)*('Q4 Data'!$B$4:$B$207="Challan")*('Q4 Data'!$H$4:$H$207=Z123)))=0))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IF($B124="Challan","",IF(W124&lt;&gt;"","◄ Set Row Type","")))</f>
      </c>
      <c r="Y124" s="23">
        <f>IF($B124="Entry",IF(LEN(W124)&lt;4,"",IF(UPPER(MID(W124,4,1))="P","Individual",IF(UPPER(MID(W124,4,1))="H","HUF",IF(UPPER(MID(W124,4,1))="C","Company",IF(UPPER(MID(W124,4,1))="F","Firm/LLP",IF(UPPER(MID(W124,4,1))="L","Local Authority",IF(UPPER(MID(W124,4,1))="T","Trust",IF(UPPER(MID(W124,4,1))="A","AOP",IF(UPPER(MID(W124,4,1))="B","BOI",IF(UPPER(MID(W124,4,1))="J","AJP",IF(UPPER(MID(W124,4,1))="G","Government",""))))))))))),IF($B124="Challan","",IF(W124&lt;&gt;"","◄ Set Row Type","")))</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IF($B124&lt;&gt;"Challan","",SUMIF('Q1 Data'!$D$4:$D$207,D124,'Q1 Data'!$AD$4:$AD$207)+SUMIF('Q1 Data'!$D$4:$D$207,D124,'Q1 Data'!$AG$4:$AG$207)+SUMIF('Q1 Data'!$D$4:$D$207,D124,'Q1 Data'!$AE$4:$AE$207)+SUMIF('Q2 Data'!$D$4:$D$207,D124,'Q2 Data'!$AD$4:$AD$207)+SUMIF('Q2 Data'!$D$4:$D$207,D124,'Q2 Data'!$AG$4:$AG$207)+SUMIF('Q2 Data'!$D$4:$D$207,D124,'Q2 Data'!$AE$4:$AE$207)+SUMIF('Q3 Data'!$D$4:$D$207,D124,'Q3 Data'!$AD$4:$AD$207)+SUMIF('Q3 Data'!$D$4:$D$207,D124,'Q3 Data'!$AG$4:$AG$207)+SUMIF('Q3 Data'!$D$4:$D$207,D124,'Q3 Data'!$AE$4:$AE$207)+SUMIF('Q4 Data'!$D$4:$D$207,D124,'Q4 Data'!$AD$4:$AD$207)+SUMIF('Q4 Data'!$D$4:$D$207,D124,'Q4 Data'!$AG$4:$AG$207)+SUMIF('Q4 Data'!$D$4:$D$207,D124,'Q4 Data'!$AE$4:$AE$207))</f>
      </c>
      <c r="AO124" s="27">
        <f>IF($B124&lt;&gt;"Challan","",P124-N124)</f>
      </c>
      <c r="AP124" s="27">
        <f>IF($B124&lt;&gt;"Challan","",MAX(0,AO124-AN124))</f>
      </c>
      <c r="AQ124" s="33">
        <f>IF($B124&lt;&gt;"Entry","",SUMPRODUCT(('Q1 Data'!$D$4:$D$207=D124)*('Q1 Data'!$B$4:$B$207="Challan")*'Q1 Data'!$F$4:$F$207)+SUMPRODUCT(('Q2 Data'!$D$4:$D$207=D124)*('Q2 Data'!$B$4:$B$207="Challan")*'Q2 Data'!$F$4:$F$207)+SUMPRODUCT(('Q3 Data'!$D$4:$D$207=D124)*('Q3 Data'!$B$4:$B$207="Challan")*'Q3 Data'!$F$4:$F$207)+SUMPRODUCT(('Q4 Data'!$D$4:$D$207=D124)*('Q4 Data'!$B$4:$B$207="Challan")*'Q4 Data'!$F$4:$F$207))</f>
      </c>
      <c r="AR124" s="34">
        <f>IF(OR($B124&lt;&gt;"Entry",Z124=""),FALSE,AND((SUMPRODUCT(('Q1 Data'!$D$4:$D$207=D124)*('Q1 Data'!$B$4:$B$207="Challan")*('Q1 Data'!$H$4:$H$207&lt;&gt;""))+SUMPRODUCT(('Q2 Data'!$D$4:$D$207=D124)*('Q2 Data'!$B$4:$B$207="Challan")*('Q2 Data'!$H$4:$H$207&lt;&gt;""))+SUMPRODUCT(('Q3 Data'!$D$4:$D$207=D124)*('Q3 Data'!$B$4:$B$207="Challan")*('Q3 Data'!$H$4:$H$207&lt;&gt;""))+SUMPRODUCT(('Q4 Data'!$D$4:$D$207=D124)*('Q4 Data'!$B$4:$B$207="Challan")*('Q4 Data'!$H$4:$H$207&lt;&gt;"")))&gt;0,(SUMPRODUCT(('Q1 Data'!$D$4:$D$207=D124)*('Q1 Data'!$B$4:$B$207="Challan")*('Q1 Data'!$H$4:$H$207=Z124))+SUMPRODUCT(('Q2 Data'!$D$4:$D$207=D124)*('Q2 Data'!$B$4:$B$207="Challan")*('Q2 Data'!$H$4:$H$207=Z124))+SUMPRODUCT(('Q3 Data'!$D$4:$D$207=D124)*('Q3 Data'!$B$4:$B$207="Challan")*('Q3 Data'!$H$4:$H$207=Z124))+SUMPRODUCT(('Q4 Data'!$D$4:$D$207=D124)*('Q4 Data'!$B$4:$B$207="Challan")*('Q4 Data'!$H$4:$H$207=Z124)))=0))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IF($B125="Challan","",IF(W125&lt;&gt;"","◄ Set Row Type","")))</f>
      </c>
      <c r="Y125" s="23">
        <f>IF($B125="Entry",IF(LEN(W125)&lt;4,"",IF(UPPER(MID(W125,4,1))="P","Individual",IF(UPPER(MID(W125,4,1))="H","HUF",IF(UPPER(MID(W125,4,1))="C","Company",IF(UPPER(MID(W125,4,1))="F","Firm/LLP",IF(UPPER(MID(W125,4,1))="L","Local Authority",IF(UPPER(MID(W125,4,1))="T","Trust",IF(UPPER(MID(W125,4,1))="A","AOP",IF(UPPER(MID(W125,4,1))="B","BOI",IF(UPPER(MID(W125,4,1))="J","AJP",IF(UPPER(MID(W125,4,1))="G","Government",""))))))))))),IF($B125="Challan","",IF(W125&lt;&gt;"","◄ Set Row Type","")))</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IF($B125&lt;&gt;"Challan","",SUMIF('Q1 Data'!$D$4:$D$207,D125,'Q1 Data'!$AD$4:$AD$207)+SUMIF('Q1 Data'!$D$4:$D$207,D125,'Q1 Data'!$AG$4:$AG$207)+SUMIF('Q1 Data'!$D$4:$D$207,D125,'Q1 Data'!$AE$4:$AE$207)+SUMIF('Q2 Data'!$D$4:$D$207,D125,'Q2 Data'!$AD$4:$AD$207)+SUMIF('Q2 Data'!$D$4:$D$207,D125,'Q2 Data'!$AG$4:$AG$207)+SUMIF('Q2 Data'!$D$4:$D$207,D125,'Q2 Data'!$AE$4:$AE$207)+SUMIF('Q3 Data'!$D$4:$D$207,D125,'Q3 Data'!$AD$4:$AD$207)+SUMIF('Q3 Data'!$D$4:$D$207,D125,'Q3 Data'!$AG$4:$AG$207)+SUMIF('Q3 Data'!$D$4:$D$207,D125,'Q3 Data'!$AE$4:$AE$207)+SUMIF('Q4 Data'!$D$4:$D$207,D125,'Q4 Data'!$AD$4:$AD$207)+SUMIF('Q4 Data'!$D$4:$D$207,D125,'Q4 Data'!$AG$4:$AG$207)+SUMIF('Q4 Data'!$D$4:$D$207,D125,'Q4 Data'!$AE$4:$AE$207))</f>
      </c>
      <c r="AO125" s="27">
        <f>IF($B125&lt;&gt;"Challan","",P125-N125)</f>
      </c>
      <c r="AP125" s="27">
        <f>IF($B125&lt;&gt;"Challan","",MAX(0,AO125-AN125))</f>
      </c>
      <c r="AQ125" s="33">
        <f>IF($B125&lt;&gt;"Entry","",SUMPRODUCT(('Q1 Data'!$D$4:$D$207=D125)*('Q1 Data'!$B$4:$B$207="Challan")*'Q1 Data'!$F$4:$F$207)+SUMPRODUCT(('Q2 Data'!$D$4:$D$207=D125)*('Q2 Data'!$B$4:$B$207="Challan")*'Q2 Data'!$F$4:$F$207)+SUMPRODUCT(('Q3 Data'!$D$4:$D$207=D125)*('Q3 Data'!$B$4:$B$207="Challan")*'Q3 Data'!$F$4:$F$207)+SUMPRODUCT(('Q4 Data'!$D$4:$D$207=D125)*('Q4 Data'!$B$4:$B$207="Challan")*'Q4 Data'!$F$4:$F$207))</f>
      </c>
      <c r="AR125" s="34">
        <f>IF(OR($B125&lt;&gt;"Entry",Z125=""),FALSE,AND((SUMPRODUCT(('Q1 Data'!$D$4:$D$207=D125)*('Q1 Data'!$B$4:$B$207="Challan")*('Q1 Data'!$H$4:$H$207&lt;&gt;""))+SUMPRODUCT(('Q2 Data'!$D$4:$D$207=D125)*('Q2 Data'!$B$4:$B$207="Challan")*('Q2 Data'!$H$4:$H$207&lt;&gt;""))+SUMPRODUCT(('Q3 Data'!$D$4:$D$207=D125)*('Q3 Data'!$B$4:$B$207="Challan")*('Q3 Data'!$H$4:$H$207&lt;&gt;""))+SUMPRODUCT(('Q4 Data'!$D$4:$D$207=D125)*('Q4 Data'!$B$4:$B$207="Challan")*('Q4 Data'!$H$4:$H$207&lt;&gt;"")))&gt;0,(SUMPRODUCT(('Q1 Data'!$D$4:$D$207=D125)*('Q1 Data'!$B$4:$B$207="Challan")*('Q1 Data'!$H$4:$H$207=Z125))+SUMPRODUCT(('Q2 Data'!$D$4:$D$207=D125)*('Q2 Data'!$B$4:$B$207="Challan")*('Q2 Data'!$H$4:$H$207=Z125))+SUMPRODUCT(('Q3 Data'!$D$4:$D$207=D125)*('Q3 Data'!$B$4:$B$207="Challan")*('Q3 Data'!$H$4:$H$207=Z125))+SUMPRODUCT(('Q4 Data'!$D$4:$D$207=D125)*('Q4 Data'!$B$4:$B$207="Challan")*('Q4 Data'!$H$4:$H$207=Z125)))=0))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IF($B126="Challan","",IF(W126&lt;&gt;"","◄ Set Row Type","")))</f>
      </c>
      <c r="Y126" s="23">
        <f>IF($B126="Entry",IF(LEN(W126)&lt;4,"",IF(UPPER(MID(W126,4,1))="P","Individual",IF(UPPER(MID(W126,4,1))="H","HUF",IF(UPPER(MID(W126,4,1))="C","Company",IF(UPPER(MID(W126,4,1))="F","Firm/LLP",IF(UPPER(MID(W126,4,1))="L","Local Authority",IF(UPPER(MID(W126,4,1))="T","Trust",IF(UPPER(MID(W126,4,1))="A","AOP",IF(UPPER(MID(W126,4,1))="B","BOI",IF(UPPER(MID(W126,4,1))="J","AJP",IF(UPPER(MID(W126,4,1))="G","Government",""))))))))))),IF($B126="Challan","",IF(W126&lt;&gt;"","◄ Set Row Type","")))</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IF($B126&lt;&gt;"Challan","",SUMIF('Q1 Data'!$D$4:$D$207,D126,'Q1 Data'!$AD$4:$AD$207)+SUMIF('Q1 Data'!$D$4:$D$207,D126,'Q1 Data'!$AG$4:$AG$207)+SUMIF('Q1 Data'!$D$4:$D$207,D126,'Q1 Data'!$AE$4:$AE$207)+SUMIF('Q2 Data'!$D$4:$D$207,D126,'Q2 Data'!$AD$4:$AD$207)+SUMIF('Q2 Data'!$D$4:$D$207,D126,'Q2 Data'!$AG$4:$AG$207)+SUMIF('Q2 Data'!$D$4:$D$207,D126,'Q2 Data'!$AE$4:$AE$207)+SUMIF('Q3 Data'!$D$4:$D$207,D126,'Q3 Data'!$AD$4:$AD$207)+SUMIF('Q3 Data'!$D$4:$D$207,D126,'Q3 Data'!$AG$4:$AG$207)+SUMIF('Q3 Data'!$D$4:$D$207,D126,'Q3 Data'!$AE$4:$AE$207)+SUMIF('Q4 Data'!$D$4:$D$207,D126,'Q4 Data'!$AD$4:$AD$207)+SUMIF('Q4 Data'!$D$4:$D$207,D126,'Q4 Data'!$AG$4:$AG$207)+SUMIF('Q4 Data'!$D$4:$D$207,D126,'Q4 Data'!$AE$4:$AE$207))</f>
      </c>
      <c r="AO126" s="27">
        <f>IF($B126&lt;&gt;"Challan","",P126-N126)</f>
      </c>
      <c r="AP126" s="27">
        <f>IF($B126&lt;&gt;"Challan","",MAX(0,AO126-AN126))</f>
      </c>
      <c r="AQ126" s="33">
        <f>IF($B126&lt;&gt;"Entry","",SUMPRODUCT(('Q1 Data'!$D$4:$D$207=D126)*('Q1 Data'!$B$4:$B$207="Challan")*'Q1 Data'!$F$4:$F$207)+SUMPRODUCT(('Q2 Data'!$D$4:$D$207=D126)*('Q2 Data'!$B$4:$B$207="Challan")*'Q2 Data'!$F$4:$F$207)+SUMPRODUCT(('Q3 Data'!$D$4:$D$207=D126)*('Q3 Data'!$B$4:$B$207="Challan")*'Q3 Data'!$F$4:$F$207)+SUMPRODUCT(('Q4 Data'!$D$4:$D$207=D126)*('Q4 Data'!$B$4:$B$207="Challan")*'Q4 Data'!$F$4:$F$207))</f>
      </c>
      <c r="AR126" s="34">
        <f>IF(OR($B126&lt;&gt;"Entry",Z126=""),FALSE,AND((SUMPRODUCT(('Q1 Data'!$D$4:$D$207=D126)*('Q1 Data'!$B$4:$B$207="Challan")*('Q1 Data'!$H$4:$H$207&lt;&gt;""))+SUMPRODUCT(('Q2 Data'!$D$4:$D$207=D126)*('Q2 Data'!$B$4:$B$207="Challan")*('Q2 Data'!$H$4:$H$207&lt;&gt;""))+SUMPRODUCT(('Q3 Data'!$D$4:$D$207=D126)*('Q3 Data'!$B$4:$B$207="Challan")*('Q3 Data'!$H$4:$H$207&lt;&gt;""))+SUMPRODUCT(('Q4 Data'!$D$4:$D$207=D126)*('Q4 Data'!$B$4:$B$207="Challan")*('Q4 Data'!$H$4:$H$207&lt;&gt;"")))&gt;0,(SUMPRODUCT(('Q1 Data'!$D$4:$D$207=D126)*('Q1 Data'!$B$4:$B$207="Challan")*('Q1 Data'!$H$4:$H$207=Z126))+SUMPRODUCT(('Q2 Data'!$D$4:$D$207=D126)*('Q2 Data'!$B$4:$B$207="Challan")*('Q2 Data'!$H$4:$H$207=Z126))+SUMPRODUCT(('Q3 Data'!$D$4:$D$207=D126)*('Q3 Data'!$B$4:$B$207="Challan")*('Q3 Data'!$H$4:$H$207=Z126))+SUMPRODUCT(('Q4 Data'!$D$4:$D$207=D126)*('Q4 Data'!$B$4:$B$207="Challan")*('Q4 Data'!$H$4:$H$207=Z126)))=0))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IF($B127="Challan","",IF(W127&lt;&gt;"","◄ Set Row Type","")))</f>
      </c>
      <c r="Y127" s="23">
        <f>IF($B127="Entry",IF(LEN(W127)&lt;4,"",IF(UPPER(MID(W127,4,1))="P","Individual",IF(UPPER(MID(W127,4,1))="H","HUF",IF(UPPER(MID(W127,4,1))="C","Company",IF(UPPER(MID(W127,4,1))="F","Firm/LLP",IF(UPPER(MID(W127,4,1))="L","Local Authority",IF(UPPER(MID(W127,4,1))="T","Trust",IF(UPPER(MID(W127,4,1))="A","AOP",IF(UPPER(MID(W127,4,1))="B","BOI",IF(UPPER(MID(W127,4,1))="J","AJP",IF(UPPER(MID(W127,4,1))="G","Government",""))))))))))),IF($B127="Challan","",IF(W127&lt;&gt;"","◄ Set Row Type","")))</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IF($B127&lt;&gt;"Challan","",SUMIF('Q1 Data'!$D$4:$D$207,D127,'Q1 Data'!$AD$4:$AD$207)+SUMIF('Q1 Data'!$D$4:$D$207,D127,'Q1 Data'!$AG$4:$AG$207)+SUMIF('Q1 Data'!$D$4:$D$207,D127,'Q1 Data'!$AE$4:$AE$207)+SUMIF('Q2 Data'!$D$4:$D$207,D127,'Q2 Data'!$AD$4:$AD$207)+SUMIF('Q2 Data'!$D$4:$D$207,D127,'Q2 Data'!$AG$4:$AG$207)+SUMIF('Q2 Data'!$D$4:$D$207,D127,'Q2 Data'!$AE$4:$AE$207)+SUMIF('Q3 Data'!$D$4:$D$207,D127,'Q3 Data'!$AD$4:$AD$207)+SUMIF('Q3 Data'!$D$4:$D$207,D127,'Q3 Data'!$AG$4:$AG$207)+SUMIF('Q3 Data'!$D$4:$D$207,D127,'Q3 Data'!$AE$4:$AE$207)+SUMIF('Q4 Data'!$D$4:$D$207,D127,'Q4 Data'!$AD$4:$AD$207)+SUMIF('Q4 Data'!$D$4:$D$207,D127,'Q4 Data'!$AG$4:$AG$207)+SUMIF('Q4 Data'!$D$4:$D$207,D127,'Q4 Data'!$AE$4:$AE$207))</f>
      </c>
      <c r="AO127" s="27">
        <f>IF($B127&lt;&gt;"Challan","",P127-N127)</f>
      </c>
      <c r="AP127" s="27">
        <f>IF($B127&lt;&gt;"Challan","",MAX(0,AO127-AN127))</f>
      </c>
      <c r="AQ127" s="33">
        <f>IF($B127&lt;&gt;"Entry","",SUMPRODUCT(('Q1 Data'!$D$4:$D$207=D127)*('Q1 Data'!$B$4:$B$207="Challan")*'Q1 Data'!$F$4:$F$207)+SUMPRODUCT(('Q2 Data'!$D$4:$D$207=D127)*('Q2 Data'!$B$4:$B$207="Challan")*'Q2 Data'!$F$4:$F$207)+SUMPRODUCT(('Q3 Data'!$D$4:$D$207=D127)*('Q3 Data'!$B$4:$B$207="Challan")*'Q3 Data'!$F$4:$F$207)+SUMPRODUCT(('Q4 Data'!$D$4:$D$207=D127)*('Q4 Data'!$B$4:$B$207="Challan")*'Q4 Data'!$F$4:$F$207))</f>
      </c>
      <c r="AR127" s="34">
        <f>IF(OR($B127&lt;&gt;"Entry",Z127=""),FALSE,AND((SUMPRODUCT(('Q1 Data'!$D$4:$D$207=D127)*('Q1 Data'!$B$4:$B$207="Challan")*('Q1 Data'!$H$4:$H$207&lt;&gt;""))+SUMPRODUCT(('Q2 Data'!$D$4:$D$207=D127)*('Q2 Data'!$B$4:$B$207="Challan")*('Q2 Data'!$H$4:$H$207&lt;&gt;""))+SUMPRODUCT(('Q3 Data'!$D$4:$D$207=D127)*('Q3 Data'!$B$4:$B$207="Challan")*('Q3 Data'!$H$4:$H$207&lt;&gt;""))+SUMPRODUCT(('Q4 Data'!$D$4:$D$207=D127)*('Q4 Data'!$B$4:$B$207="Challan")*('Q4 Data'!$H$4:$H$207&lt;&gt;"")))&gt;0,(SUMPRODUCT(('Q1 Data'!$D$4:$D$207=D127)*('Q1 Data'!$B$4:$B$207="Challan")*('Q1 Data'!$H$4:$H$207=Z127))+SUMPRODUCT(('Q2 Data'!$D$4:$D$207=D127)*('Q2 Data'!$B$4:$B$207="Challan")*('Q2 Data'!$H$4:$H$207=Z127))+SUMPRODUCT(('Q3 Data'!$D$4:$D$207=D127)*('Q3 Data'!$B$4:$B$207="Challan")*('Q3 Data'!$H$4:$H$207=Z127))+SUMPRODUCT(('Q4 Data'!$D$4:$D$207=D127)*('Q4 Data'!$B$4:$B$207="Challan")*('Q4 Data'!$H$4:$H$207=Z127)))=0))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IF($B128="Challan","",IF(W128&lt;&gt;"","◄ Set Row Type","")))</f>
      </c>
      <c r="Y128" s="23">
        <f>IF($B128="Entry",IF(LEN(W128)&lt;4,"",IF(UPPER(MID(W128,4,1))="P","Individual",IF(UPPER(MID(W128,4,1))="H","HUF",IF(UPPER(MID(W128,4,1))="C","Company",IF(UPPER(MID(W128,4,1))="F","Firm/LLP",IF(UPPER(MID(W128,4,1))="L","Local Authority",IF(UPPER(MID(W128,4,1))="T","Trust",IF(UPPER(MID(W128,4,1))="A","AOP",IF(UPPER(MID(W128,4,1))="B","BOI",IF(UPPER(MID(W128,4,1))="J","AJP",IF(UPPER(MID(W128,4,1))="G","Government",""))))))))))),IF($B128="Challan","",IF(W128&lt;&gt;"","◄ Set Row Type","")))</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IF($B128&lt;&gt;"Challan","",SUMIF('Q1 Data'!$D$4:$D$207,D128,'Q1 Data'!$AD$4:$AD$207)+SUMIF('Q1 Data'!$D$4:$D$207,D128,'Q1 Data'!$AG$4:$AG$207)+SUMIF('Q1 Data'!$D$4:$D$207,D128,'Q1 Data'!$AE$4:$AE$207)+SUMIF('Q2 Data'!$D$4:$D$207,D128,'Q2 Data'!$AD$4:$AD$207)+SUMIF('Q2 Data'!$D$4:$D$207,D128,'Q2 Data'!$AG$4:$AG$207)+SUMIF('Q2 Data'!$D$4:$D$207,D128,'Q2 Data'!$AE$4:$AE$207)+SUMIF('Q3 Data'!$D$4:$D$207,D128,'Q3 Data'!$AD$4:$AD$207)+SUMIF('Q3 Data'!$D$4:$D$207,D128,'Q3 Data'!$AG$4:$AG$207)+SUMIF('Q3 Data'!$D$4:$D$207,D128,'Q3 Data'!$AE$4:$AE$207)+SUMIF('Q4 Data'!$D$4:$D$207,D128,'Q4 Data'!$AD$4:$AD$207)+SUMIF('Q4 Data'!$D$4:$D$207,D128,'Q4 Data'!$AG$4:$AG$207)+SUMIF('Q4 Data'!$D$4:$D$207,D128,'Q4 Data'!$AE$4:$AE$207))</f>
      </c>
      <c r="AO128" s="27">
        <f>IF($B128&lt;&gt;"Challan","",P128-N128)</f>
      </c>
      <c r="AP128" s="27">
        <f>IF($B128&lt;&gt;"Challan","",MAX(0,AO128-AN128))</f>
      </c>
      <c r="AQ128" s="33">
        <f>IF($B128&lt;&gt;"Entry","",SUMPRODUCT(('Q1 Data'!$D$4:$D$207=D128)*('Q1 Data'!$B$4:$B$207="Challan")*'Q1 Data'!$F$4:$F$207)+SUMPRODUCT(('Q2 Data'!$D$4:$D$207=D128)*('Q2 Data'!$B$4:$B$207="Challan")*'Q2 Data'!$F$4:$F$207)+SUMPRODUCT(('Q3 Data'!$D$4:$D$207=D128)*('Q3 Data'!$B$4:$B$207="Challan")*'Q3 Data'!$F$4:$F$207)+SUMPRODUCT(('Q4 Data'!$D$4:$D$207=D128)*('Q4 Data'!$B$4:$B$207="Challan")*'Q4 Data'!$F$4:$F$207))</f>
      </c>
      <c r="AR128" s="34">
        <f>IF(OR($B128&lt;&gt;"Entry",Z128=""),FALSE,AND((SUMPRODUCT(('Q1 Data'!$D$4:$D$207=D128)*('Q1 Data'!$B$4:$B$207="Challan")*('Q1 Data'!$H$4:$H$207&lt;&gt;""))+SUMPRODUCT(('Q2 Data'!$D$4:$D$207=D128)*('Q2 Data'!$B$4:$B$207="Challan")*('Q2 Data'!$H$4:$H$207&lt;&gt;""))+SUMPRODUCT(('Q3 Data'!$D$4:$D$207=D128)*('Q3 Data'!$B$4:$B$207="Challan")*('Q3 Data'!$H$4:$H$207&lt;&gt;""))+SUMPRODUCT(('Q4 Data'!$D$4:$D$207=D128)*('Q4 Data'!$B$4:$B$207="Challan")*('Q4 Data'!$H$4:$H$207&lt;&gt;"")))&gt;0,(SUMPRODUCT(('Q1 Data'!$D$4:$D$207=D128)*('Q1 Data'!$B$4:$B$207="Challan")*('Q1 Data'!$H$4:$H$207=Z128))+SUMPRODUCT(('Q2 Data'!$D$4:$D$207=D128)*('Q2 Data'!$B$4:$B$207="Challan")*('Q2 Data'!$H$4:$H$207=Z128))+SUMPRODUCT(('Q3 Data'!$D$4:$D$207=D128)*('Q3 Data'!$B$4:$B$207="Challan")*('Q3 Data'!$H$4:$H$207=Z128))+SUMPRODUCT(('Q4 Data'!$D$4:$D$207=D128)*('Q4 Data'!$B$4:$B$207="Challan")*('Q4 Data'!$H$4:$H$207=Z128)))=0))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IF($B129="Challan","",IF(W129&lt;&gt;"","◄ Set Row Type","")))</f>
      </c>
      <c r="Y129" s="23">
        <f>IF($B129="Entry",IF(LEN(W129)&lt;4,"",IF(UPPER(MID(W129,4,1))="P","Individual",IF(UPPER(MID(W129,4,1))="H","HUF",IF(UPPER(MID(W129,4,1))="C","Company",IF(UPPER(MID(W129,4,1))="F","Firm/LLP",IF(UPPER(MID(W129,4,1))="L","Local Authority",IF(UPPER(MID(W129,4,1))="T","Trust",IF(UPPER(MID(W129,4,1))="A","AOP",IF(UPPER(MID(W129,4,1))="B","BOI",IF(UPPER(MID(W129,4,1))="J","AJP",IF(UPPER(MID(W129,4,1))="G","Government",""))))))))))),IF($B129="Challan","",IF(W129&lt;&gt;"","◄ Set Row Type","")))</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IF($B129&lt;&gt;"Challan","",SUMIF('Q1 Data'!$D$4:$D$207,D129,'Q1 Data'!$AD$4:$AD$207)+SUMIF('Q1 Data'!$D$4:$D$207,D129,'Q1 Data'!$AG$4:$AG$207)+SUMIF('Q1 Data'!$D$4:$D$207,D129,'Q1 Data'!$AE$4:$AE$207)+SUMIF('Q2 Data'!$D$4:$D$207,D129,'Q2 Data'!$AD$4:$AD$207)+SUMIF('Q2 Data'!$D$4:$D$207,D129,'Q2 Data'!$AG$4:$AG$207)+SUMIF('Q2 Data'!$D$4:$D$207,D129,'Q2 Data'!$AE$4:$AE$207)+SUMIF('Q3 Data'!$D$4:$D$207,D129,'Q3 Data'!$AD$4:$AD$207)+SUMIF('Q3 Data'!$D$4:$D$207,D129,'Q3 Data'!$AG$4:$AG$207)+SUMIF('Q3 Data'!$D$4:$D$207,D129,'Q3 Data'!$AE$4:$AE$207)+SUMIF('Q4 Data'!$D$4:$D$207,D129,'Q4 Data'!$AD$4:$AD$207)+SUMIF('Q4 Data'!$D$4:$D$207,D129,'Q4 Data'!$AG$4:$AG$207)+SUMIF('Q4 Data'!$D$4:$D$207,D129,'Q4 Data'!$AE$4:$AE$207))</f>
      </c>
      <c r="AO129" s="27">
        <f>IF($B129&lt;&gt;"Challan","",P129-N129)</f>
      </c>
      <c r="AP129" s="27">
        <f>IF($B129&lt;&gt;"Challan","",MAX(0,AO129-AN129))</f>
      </c>
      <c r="AQ129" s="33">
        <f>IF($B129&lt;&gt;"Entry","",SUMPRODUCT(('Q1 Data'!$D$4:$D$207=D129)*('Q1 Data'!$B$4:$B$207="Challan")*'Q1 Data'!$F$4:$F$207)+SUMPRODUCT(('Q2 Data'!$D$4:$D$207=D129)*('Q2 Data'!$B$4:$B$207="Challan")*'Q2 Data'!$F$4:$F$207)+SUMPRODUCT(('Q3 Data'!$D$4:$D$207=D129)*('Q3 Data'!$B$4:$B$207="Challan")*'Q3 Data'!$F$4:$F$207)+SUMPRODUCT(('Q4 Data'!$D$4:$D$207=D129)*('Q4 Data'!$B$4:$B$207="Challan")*'Q4 Data'!$F$4:$F$207))</f>
      </c>
      <c r="AR129" s="34">
        <f>IF(OR($B129&lt;&gt;"Entry",Z129=""),FALSE,AND((SUMPRODUCT(('Q1 Data'!$D$4:$D$207=D129)*('Q1 Data'!$B$4:$B$207="Challan")*('Q1 Data'!$H$4:$H$207&lt;&gt;""))+SUMPRODUCT(('Q2 Data'!$D$4:$D$207=D129)*('Q2 Data'!$B$4:$B$207="Challan")*('Q2 Data'!$H$4:$H$207&lt;&gt;""))+SUMPRODUCT(('Q3 Data'!$D$4:$D$207=D129)*('Q3 Data'!$B$4:$B$207="Challan")*('Q3 Data'!$H$4:$H$207&lt;&gt;""))+SUMPRODUCT(('Q4 Data'!$D$4:$D$207=D129)*('Q4 Data'!$B$4:$B$207="Challan")*('Q4 Data'!$H$4:$H$207&lt;&gt;"")))&gt;0,(SUMPRODUCT(('Q1 Data'!$D$4:$D$207=D129)*('Q1 Data'!$B$4:$B$207="Challan")*('Q1 Data'!$H$4:$H$207=Z129))+SUMPRODUCT(('Q2 Data'!$D$4:$D$207=D129)*('Q2 Data'!$B$4:$B$207="Challan")*('Q2 Data'!$H$4:$H$207=Z129))+SUMPRODUCT(('Q3 Data'!$D$4:$D$207=D129)*('Q3 Data'!$B$4:$B$207="Challan")*('Q3 Data'!$H$4:$H$207=Z129))+SUMPRODUCT(('Q4 Data'!$D$4:$D$207=D129)*('Q4 Data'!$B$4:$B$207="Challan")*('Q4 Data'!$H$4:$H$207=Z129)))=0))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IF($B130="Challan","",IF(W130&lt;&gt;"","◄ Set Row Type","")))</f>
      </c>
      <c r="Y130" s="23">
        <f>IF($B130="Entry",IF(LEN(W130)&lt;4,"",IF(UPPER(MID(W130,4,1))="P","Individual",IF(UPPER(MID(W130,4,1))="H","HUF",IF(UPPER(MID(W130,4,1))="C","Company",IF(UPPER(MID(W130,4,1))="F","Firm/LLP",IF(UPPER(MID(W130,4,1))="L","Local Authority",IF(UPPER(MID(W130,4,1))="T","Trust",IF(UPPER(MID(W130,4,1))="A","AOP",IF(UPPER(MID(W130,4,1))="B","BOI",IF(UPPER(MID(W130,4,1))="J","AJP",IF(UPPER(MID(W130,4,1))="G","Government",""))))))))))),IF($B130="Challan","",IF(W130&lt;&gt;"","◄ Set Row Type","")))</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IF($B130&lt;&gt;"Challan","",SUMIF('Q1 Data'!$D$4:$D$207,D130,'Q1 Data'!$AD$4:$AD$207)+SUMIF('Q1 Data'!$D$4:$D$207,D130,'Q1 Data'!$AG$4:$AG$207)+SUMIF('Q1 Data'!$D$4:$D$207,D130,'Q1 Data'!$AE$4:$AE$207)+SUMIF('Q2 Data'!$D$4:$D$207,D130,'Q2 Data'!$AD$4:$AD$207)+SUMIF('Q2 Data'!$D$4:$D$207,D130,'Q2 Data'!$AG$4:$AG$207)+SUMIF('Q2 Data'!$D$4:$D$207,D130,'Q2 Data'!$AE$4:$AE$207)+SUMIF('Q3 Data'!$D$4:$D$207,D130,'Q3 Data'!$AD$4:$AD$207)+SUMIF('Q3 Data'!$D$4:$D$207,D130,'Q3 Data'!$AG$4:$AG$207)+SUMIF('Q3 Data'!$D$4:$D$207,D130,'Q3 Data'!$AE$4:$AE$207)+SUMIF('Q4 Data'!$D$4:$D$207,D130,'Q4 Data'!$AD$4:$AD$207)+SUMIF('Q4 Data'!$D$4:$D$207,D130,'Q4 Data'!$AG$4:$AG$207)+SUMIF('Q4 Data'!$D$4:$D$207,D130,'Q4 Data'!$AE$4:$AE$207))</f>
      </c>
      <c r="AO130" s="27">
        <f>IF($B130&lt;&gt;"Challan","",P130-N130)</f>
      </c>
      <c r="AP130" s="27">
        <f>IF($B130&lt;&gt;"Challan","",MAX(0,AO130-AN130))</f>
      </c>
      <c r="AQ130" s="33">
        <f>IF($B130&lt;&gt;"Entry","",SUMPRODUCT(('Q1 Data'!$D$4:$D$207=D130)*('Q1 Data'!$B$4:$B$207="Challan")*'Q1 Data'!$F$4:$F$207)+SUMPRODUCT(('Q2 Data'!$D$4:$D$207=D130)*('Q2 Data'!$B$4:$B$207="Challan")*'Q2 Data'!$F$4:$F$207)+SUMPRODUCT(('Q3 Data'!$D$4:$D$207=D130)*('Q3 Data'!$B$4:$B$207="Challan")*'Q3 Data'!$F$4:$F$207)+SUMPRODUCT(('Q4 Data'!$D$4:$D$207=D130)*('Q4 Data'!$B$4:$B$207="Challan")*'Q4 Data'!$F$4:$F$207))</f>
      </c>
      <c r="AR130" s="34">
        <f>IF(OR($B130&lt;&gt;"Entry",Z130=""),FALSE,AND((SUMPRODUCT(('Q1 Data'!$D$4:$D$207=D130)*('Q1 Data'!$B$4:$B$207="Challan")*('Q1 Data'!$H$4:$H$207&lt;&gt;""))+SUMPRODUCT(('Q2 Data'!$D$4:$D$207=D130)*('Q2 Data'!$B$4:$B$207="Challan")*('Q2 Data'!$H$4:$H$207&lt;&gt;""))+SUMPRODUCT(('Q3 Data'!$D$4:$D$207=D130)*('Q3 Data'!$B$4:$B$207="Challan")*('Q3 Data'!$H$4:$H$207&lt;&gt;""))+SUMPRODUCT(('Q4 Data'!$D$4:$D$207=D130)*('Q4 Data'!$B$4:$B$207="Challan")*('Q4 Data'!$H$4:$H$207&lt;&gt;"")))&gt;0,(SUMPRODUCT(('Q1 Data'!$D$4:$D$207=D130)*('Q1 Data'!$B$4:$B$207="Challan")*('Q1 Data'!$H$4:$H$207=Z130))+SUMPRODUCT(('Q2 Data'!$D$4:$D$207=D130)*('Q2 Data'!$B$4:$B$207="Challan")*('Q2 Data'!$H$4:$H$207=Z130))+SUMPRODUCT(('Q3 Data'!$D$4:$D$207=D130)*('Q3 Data'!$B$4:$B$207="Challan")*('Q3 Data'!$H$4:$H$207=Z130))+SUMPRODUCT(('Q4 Data'!$D$4:$D$207=D130)*('Q4 Data'!$B$4:$B$207="Challan")*('Q4 Data'!$H$4:$H$207=Z130)))=0))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IF($B131="Challan","",IF(W131&lt;&gt;"","◄ Set Row Type","")))</f>
      </c>
      <c r="Y131" s="23">
        <f>IF($B131="Entry",IF(LEN(W131)&lt;4,"",IF(UPPER(MID(W131,4,1))="P","Individual",IF(UPPER(MID(W131,4,1))="H","HUF",IF(UPPER(MID(W131,4,1))="C","Company",IF(UPPER(MID(W131,4,1))="F","Firm/LLP",IF(UPPER(MID(W131,4,1))="L","Local Authority",IF(UPPER(MID(W131,4,1))="T","Trust",IF(UPPER(MID(W131,4,1))="A","AOP",IF(UPPER(MID(W131,4,1))="B","BOI",IF(UPPER(MID(W131,4,1))="J","AJP",IF(UPPER(MID(W131,4,1))="G","Government",""))))))))))),IF($B131="Challan","",IF(W131&lt;&gt;"","◄ Set Row Type","")))</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IF($B131&lt;&gt;"Challan","",SUMIF('Q1 Data'!$D$4:$D$207,D131,'Q1 Data'!$AD$4:$AD$207)+SUMIF('Q1 Data'!$D$4:$D$207,D131,'Q1 Data'!$AG$4:$AG$207)+SUMIF('Q1 Data'!$D$4:$D$207,D131,'Q1 Data'!$AE$4:$AE$207)+SUMIF('Q2 Data'!$D$4:$D$207,D131,'Q2 Data'!$AD$4:$AD$207)+SUMIF('Q2 Data'!$D$4:$D$207,D131,'Q2 Data'!$AG$4:$AG$207)+SUMIF('Q2 Data'!$D$4:$D$207,D131,'Q2 Data'!$AE$4:$AE$207)+SUMIF('Q3 Data'!$D$4:$D$207,D131,'Q3 Data'!$AD$4:$AD$207)+SUMIF('Q3 Data'!$D$4:$D$207,D131,'Q3 Data'!$AG$4:$AG$207)+SUMIF('Q3 Data'!$D$4:$D$207,D131,'Q3 Data'!$AE$4:$AE$207)+SUMIF('Q4 Data'!$D$4:$D$207,D131,'Q4 Data'!$AD$4:$AD$207)+SUMIF('Q4 Data'!$D$4:$D$207,D131,'Q4 Data'!$AG$4:$AG$207)+SUMIF('Q4 Data'!$D$4:$D$207,D131,'Q4 Data'!$AE$4:$AE$207))</f>
      </c>
      <c r="AO131" s="27">
        <f>IF($B131&lt;&gt;"Challan","",P131-N131)</f>
      </c>
      <c r="AP131" s="27">
        <f>IF($B131&lt;&gt;"Challan","",MAX(0,AO131-AN131))</f>
      </c>
      <c r="AQ131" s="33">
        <f>IF($B131&lt;&gt;"Entry","",SUMPRODUCT(('Q1 Data'!$D$4:$D$207=D131)*('Q1 Data'!$B$4:$B$207="Challan")*'Q1 Data'!$F$4:$F$207)+SUMPRODUCT(('Q2 Data'!$D$4:$D$207=D131)*('Q2 Data'!$B$4:$B$207="Challan")*'Q2 Data'!$F$4:$F$207)+SUMPRODUCT(('Q3 Data'!$D$4:$D$207=D131)*('Q3 Data'!$B$4:$B$207="Challan")*'Q3 Data'!$F$4:$F$207)+SUMPRODUCT(('Q4 Data'!$D$4:$D$207=D131)*('Q4 Data'!$B$4:$B$207="Challan")*'Q4 Data'!$F$4:$F$207))</f>
      </c>
      <c r="AR131" s="34">
        <f>IF(OR($B131&lt;&gt;"Entry",Z131=""),FALSE,AND((SUMPRODUCT(('Q1 Data'!$D$4:$D$207=D131)*('Q1 Data'!$B$4:$B$207="Challan")*('Q1 Data'!$H$4:$H$207&lt;&gt;""))+SUMPRODUCT(('Q2 Data'!$D$4:$D$207=D131)*('Q2 Data'!$B$4:$B$207="Challan")*('Q2 Data'!$H$4:$H$207&lt;&gt;""))+SUMPRODUCT(('Q3 Data'!$D$4:$D$207=D131)*('Q3 Data'!$B$4:$B$207="Challan")*('Q3 Data'!$H$4:$H$207&lt;&gt;""))+SUMPRODUCT(('Q4 Data'!$D$4:$D$207=D131)*('Q4 Data'!$B$4:$B$207="Challan")*('Q4 Data'!$H$4:$H$207&lt;&gt;"")))&gt;0,(SUMPRODUCT(('Q1 Data'!$D$4:$D$207=D131)*('Q1 Data'!$B$4:$B$207="Challan")*('Q1 Data'!$H$4:$H$207=Z131))+SUMPRODUCT(('Q2 Data'!$D$4:$D$207=D131)*('Q2 Data'!$B$4:$B$207="Challan")*('Q2 Data'!$H$4:$H$207=Z131))+SUMPRODUCT(('Q3 Data'!$D$4:$D$207=D131)*('Q3 Data'!$B$4:$B$207="Challan")*('Q3 Data'!$H$4:$H$207=Z131))+SUMPRODUCT(('Q4 Data'!$D$4:$D$207=D131)*('Q4 Data'!$B$4:$B$207="Challan")*('Q4 Data'!$H$4:$H$207=Z131)))=0))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IF($B132="Challan","",IF(W132&lt;&gt;"","◄ Set Row Type","")))</f>
      </c>
      <c r="Y132" s="23">
        <f>IF($B132="Entry",IF(LEN(W132)&lt;4,"",IF(UPPER(MID(W132,4,1))="P","Individual",IF(UPPER(MID(W132,4,1))="H","HUF",IF(UPPER(MID(W132,4,1))="C","Company",IF(UPPER(MID(W132,4,1))="F","Firm/LLP",IF(UPPER(MID(W132,4,1))="L","Local Authority",IF(UPPER(MID(W132,4,1))="T","Trust",IF(UPPER(MID(W132,4,1))="A","AOP",IF(UPPER(MID(W132,4,1))="B","BOI",IF(UPPER(MID(W132,4,1))="J","AJP",IF(UPPER(MID(W132,4,1))="G","Government",""))))))))))),IF($B132="Challan","",IF(W132&lt;&gt;"","◄ Set Row Type","")))</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IF($B132&lt;&gt;"Challan","",SUMIF('Q1 Data'!$D$4:$D$207,D132,'Q1 Data'!$AD$4:$AD$207)+SUMIF('Q1 Data'!$D$4:$D$207,D132,'Q1 Data'!$AG$4:$AG$207)+SUMIF('Q1 Data'!$D$4:$D$207,D132,'Q1 Data'!$AE$4:$AE$207)+SUMIF('Q2 Data'!$D$4:$D$207,D132,'Q2 Data'!$AD$4:$AD$207)+SUMIF('Q2 Data'!$D$4:$D$207,D132,'Q2 Data'!$AG$4:$AG$207)+SUMIF('Q2 Data'!$D$4:$D$207,D132,'Q2 Data'!$AE$4:$AE$207)+SUMIF('Q3 Data'!$D$4:$D$207,D132,'Q3 Data'!$AD$4:$AD$207)+SUMIF('Q3 Data'!$D$4:$D$207,D132,'Q3 Data'!$AG$4:$AG$207)+SUMIF('Q3 Data'!$D$4:$D$207,D132,'Q3 Data'!$AE$4:$AE$207)+SUMIF('Q4 Data'!$D$4:$D$207,D132,'Q4 Data'!$AD$4:$AD$207)+SUMIF('Q4 Data'!$D$4:$D$207,D132,'Q4 Data'!$AG$4:$AG$207)+SUMIF('Q4 Data'!$D$4:$D$207,D132,'Q4 Data'!$AE$4:$AE$207))</f>
      </c>
      <c r="AO132" s="27">
        <f>IF($B132&lt;&gt;"Challan","",P132-N132)</f>
      </c>
      <c r="AP132" s="27">
        <f>IF($B132&lt;&gt;"Challan","",MAX(0,AO132-AN132))</f>
      </c>
      <c r="AQ132" s="33">
        <f>IF($B132&lt;&gt;"Entry","",SUMPRODUCT(('Q1 Data'!$D$4:$D$207=D132)*('Q1 Data'!$B$4:$B$207="Challan")*'Q1 Data'!$F$4:$F$207)+SUMPRODUCT(('Q2 Data'!$D$4:$D$207=D132)*('Q2 Data'!$B$4:$B$207="Challan")*'Q2 Data'!$F$4:$F$207)+SUMPRODUCT(('Q3 Data'!$D$4:$D$207=D132)*('Q3 Data'!$B$4:$B$207="Challan")*'Q3 Data'!$F$4:$F$207)+SUMPRODUCT(('Q4 Data'!$D$4:$D$207=D132)*('Q4 Data'!$B$4:$B$207="Challan")*'Q4 Data'!$F$4:$F$207))</f>
      </c>
      <c r="AR132" s="34">
        <f>IF(OR($B132&lt;&gt;"Entry",Z132=""),FALSE,AND((SUMPRODUCT(('Q1 Data'!$D$4:$D$207=D132)*('Q1 Data'!$B$4:$B$207="Challan")*('Q1 Data'!$H$4:$H$207&lt;&gt;""))+SUMPRODUCT(('Q2 Data'!$D$4:$D$207=D132)*('Q2 Data'!$B$4:$B$207="Challan")*('Q2 Data'!$H$4:$H$207&lt;&gt;""))+SUMPRODUCT(('Q3 Data'!$D$4:$D$207=D132)*('Q3 Data'!$B$4:$B$207="Challan")*('Q3 Data'!$H$4:$H$207&lt;&gt;""))+SUMPRODUCT(('Q4 Data'!$D$4:$D$207=D132)*('Q4 Data'!$B$4:$B$207="Challan")*('Q4 Data'!$H$4:$H$207&lt;&gt;"")))&gt;0,(SUMPRODUCT(('Q1 Data'!$D$4:$D$207=D132)*('Q1 Data'!$B$4:$B$207="Challan")*('Q1 Data'!$H$4:$H$207=Z132))+SUMPRODUCT(('Q2 Data'!$D$4:$D$207=D132)*('Q2 Data'!$B$4:$B$207="Challan")*('Q2 Data'!$H$4:$H$207=Z132))+SUMPRODUCT(('Q3 Data'!$D$4:$D$207=D132)*('Q3 Data'!$B$4:$B$207="Challan")*('Q3 Data'!$H$4:$H$207=Z132))+SUMPRODUCT(('Q4 Data'!$D$4:$D$207=D132)*('Q4 Data'!$B$4:$B$207="Challan")*('Q4 Data'!$H$4:$H$207=Z132)))=0))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IF($B133="Challan","",IF(W133&lt;&gt;"","◄ Set Row Type","")))</f>
      </c>
      <c r="Y133" s="23">
        <f>IF($B133="Entry",IF(LEN(W133)&lt;4,"",IF(UPPER(MID(W133,4,1))="P","Individual",IF(UPPER(MID(W133,4,1))="H","HUF",IF(UPPER(MID(W133,4,1))="C","Company",IF(UPPER(MID(W133,4,1))="F","Firm/LLP",IF(UPPER(MID(W133,4,1))="L","Local Authority",IF(UPPER(MID(W133,4,1))="T","Trust",IF(UPPER(MID(W133,4,1))="A","AOP",IF(UPPER(MID(W133,4,1))="B","BOI",IF(UPPER(MID(W133,4,1))="J","AJP",IF(UPPER(MID(W133,4,1))="G","Government",""))))))))))),IF($B133="Challan","",IF(W133&lt;&gt;"","◄ Set Row Type","")))</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IF($B133&lt;&gt;"Challan","",SUMIF('Q1 Data'!$D$4:$D$207,D133,'Q1 Data'!$AD$4:$AD$207)+SUMIF('Q1 Data'!$D$4:$D$207,D133,'Q1 Data'!$AG$4:$AG$207)+SUMIF('Q1 Data'!$D$4:$D$207,D133,'Q1 Data'!$AE$4:$AE$207)+SUMIF('Q2 Data'!$D$4:$D$207,D133,'Q2 Data'!$AD$4:$AD$207)+SUMIF('Q2 Data'!$D$4:$D$207,D133,'Q2 Data'!$AG$4:$AG$207)+SUMIF('Q2 Data'!$D$4:$D$207,D133,'Q2 Data'!$AE$4:$AE$207)+SUMIF('Q3 Data'!$D$4:$D$207,D133,'Q3 Data'!$AD$4:$AD$207)+SUMIF('Q3 Data'!$D$4:$D$207,D133,'Q3 Data'!$AG$4:$AG$207)+SUMIF('Q3 Data'!$D$4:$D$207,D133,'Q3 Data'!$AE$4:$AE$207)+SUMIF('Q4 Data'!$D$4:$D$207,D133,'Q4 Data'!$AD$4:$AD$207)+SUMIF('Q4 Data'!$D$4:$D$207,D133,'Q4 Data'!$AG$4:$AG$207)+SUMIF('Q4 Data'!$D$4:$D$207,D133,'Q4 Data'!$AE$4:$AE$207))</f>
      </c>
      <c r="AO133" s="27">
        <f>IF($B133&lt;&gt;"Challan","",P133-N133)</f>
      </c>
      <c r="AP133" s="27">
        <f>IF($B133&lt;&gt;"Challan","",MAX(0,AO133-AN133))</f>
      </c>
      <c r="AQ133" s="33">
        <f>IF($B133&lt;&gt;"Entry","",SUMPRODUCT(('Q1 Data'!$D$4:$D$207=D133)*('Q1 Data'!$B$4:$B$207="Challan")*'Q1 Data'!$F$4:$F$207)+SUMPRODUCT(('Q2 Data'!$D$4:$D$207=D133)*('Q2 Data'!$B$4:$B$207="Challan")*'Q2 Data'!$F$4:$F$207)+SUMPRODUCT(('Q3 Data'!$D$4:$D$207=D133)*('Q3 Data'!$B$4:$B$207="Challan")*'Q3 Data'!$F$4:$F$207)+SUMPRODUCT(('Q4 Data'!$D$4:$D$207=D133)*('Q4 Data'!$B$4:$B$207="Challan")*'Q4 Data'!$F$4:$F$207))</f>
      </c>
      <c r="AR133" s="34">
        <f>IF(OR($B133&lt;&gt;"Entry",Z133=""),FALSE,AND((SUMPRODUCT(('Q1 Data'!$D$4:$D$207=D133)*('Q1 Data'!$B$4:$B$207="Challan")*('Q1 Data'!$H$4:$H$207&lt;&gt;""))+SUMPRODUCT(('Q2 Data'!$D$4:$D$207=D133)*('Q2 Data'!$B$4:$B$207="Challan")*('Q2 Data'!$H$4:$H$207&lt;&gt;""))+SUMPRODUCT(('Q3 Data'!$D$4:$D$207=D133)*('Q3 Data'!$B$4:$B$207="Challan")*('Q3 Data'!$H$4:$H$207&lt;&gt;""))+SUMPRODUCT(('Q4 Data'!$D$4:$D$207=D133)*('Q4 Data'!$B$4:$B$207="Challan")*('Q4 Data'!$H$4:$H$207&lt;&gt;"")))&gt;0,(SUMPRODUCT(('Q1 Data'!$D$4:$D$207=D133)*('Q1 Data'!$B$4:$B$207="Challan")*('Q1 Data'!$H$4:$H$207=Z133))+SUMPRODUCT(('Q2 Data'!$D$4:$D$207=D133)*('Q2 Data'!$B$4:$B$207="Challan")*('Q2 Data'!$H$4:$H$207=Z133))+SUMPRODUCT(('Q3 Data'!$D$4:$D$207=D133)*('Q3 Data'!$B$4:$B$207="Challan")*('Q3 Data'!$H$4:$H$207=Z133))+SUMPRODUCT(('Q4 Data'!$D$4:$D$207=D133)*('Q4 Data'!$B$4:$B$207="Challan")*('Q4 Data'!$H$4:$H$207=Z133)))=0))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IF($B134="Challan","",IF(W134&lt;&gt;"","◄ Set Row Type","")))</f>
      </c>
      <c r="Y134" s="23">
        <f>IF($B134="Entry",IF(LEN(W134)&lt;4,"",IF(UPPER(MID(W134,4,1))="P","Individual",IF(UPPER(MID(W134,4,1))="H","HUF",IF(UPPER(MID(W134,4,1))="C","Company",IF(UPPER(MID(W134,4,1))="F","Firm/LLP",IF(UPPER(MID(W134,4,1))="L","Local Authority",IF(UPPER(MID(W134,4,1))="T","Trust",IF(UPPER(MID(W134,4,1))="A","AOP",IF(UPPER(MID(W134,4,1))="B","BOI",IF(UPPER(MID(W134,4,1))="J","AJP",IF(UPPER(MID(W134,4,1))="G","Government",""))))))))))),IF($B134="Challan","",IF(W134&lt;&gt;"","◄ Set Row Type","")))</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IF($B134&lt;&gt;"Challan","",SUMIF('Q1 Data'!$D$4:$D$207,D134,'Q1 Data'!$AD$4:$AD$207)+SUMIF('Q1 Data'!$D$4:$D$207,D134,'Q1 Data'!$AG$4:$AG$207)+SUMIF('Q1 Data'!$D$4:$D$207,D134,'Q1 Data'!$AE$4:$AE$207)+SUMIF('Q2 Data'!$D$4:$D$207,D134,'Q2 Data'!$AD$4:$AD$207)+SUMIF('Q2 Data'!$D$4:$D$207,D134,'Q2 Data'!$AG$4:$AG$207)+SUMIF('Q2 Data'!$D$4:$D$207,D134,'Q2 Data'!$AE$4:$AE$207)+SUMIF('Q3 Data'!$D$4:$D$207,D134,'Q3 Data'!$AD$4:$AD$207)+SUMIF('Q3 Data'!$D$4:$D$207,D134,'Q3 Data'!$AG$4:$AG$207)+SUMIF('Q3 Data'!$D$4:$D$207,D134,'Q3 Data'!$AE$4:$AE$207)+SUMIF('Q4 Data'!$D$4:$D$207,D134,'Q4 Data'!$AD$4:$AD$207)+SUMIF('Q4 Data'!$D$4:$D$207,D134,'Q4 Data'!$AG$4:$AG$207)+SUMIF('Q4 Data'!$D$4:$D$207,D134,'Q4 Data'!$AE$4:$AE$207))</f>
      </c>
      <c r="AO134" s="27">
        <f>IF($B134&lt;&gt;"Challan","",P134-N134)</f>
      </c>
      <c r="AP134" s="27">
        <f>IF($B134&lt;&gt;"Challan","",MAX(0,AO134-AN134))</f>
      </c>
      <c r="AQ134" s="33">
        <f>IF($B134&lt;&gt;"Entry","",SUMPRODUCT(('Q1 Data'!$D$4:$D$207=D134)*('Q1 Data'!$B$4:$B$207="Challan")*'Q1 Data'!$F$4:$F$207)+SUMPRODUCT(('Q2 Data'!$D$4:$D$207=D134)*('Q2 Data'!$B$4:$B$207="Challan")*'Q2 Data'!$F$4:$F$207)+SUMPRODUCT(('Q3 Data'!$D$4:$D$207=D134)*('Q3 Data'!$B$4:$B$207="Challan")*'Q3 Data'!$F$4:$F$207)+SUMPRODUCT(('Q4 Data'!$D$4:$D$207=D134)*('Q4 Data'!$B$4:$B$207="Challan")*'Q4 Data'!$F$4:$F$207))</f>
      </c>
      <c r="AR134" s="34">
        <f>IF(OR($B134&lt;&gt;"Entry",Z134=""),FALSE,AND((SUMPRODUCT(('Q1 Data'!$D$4:$D$207=D134)*('Q1 Data'!$B$4:$B$207="Challan")*('Q1 Data'!$H$4:$H$207&lt;&gt;""))+SUMPRODUCT(('Q2 Data'!$D$4:$D$207=D134)*('Q2 Data'!$B$4:$B$207="Challan")*('Q2 Data'!$H$4:$H$207&lt;&gt;""))+SUMPRODUCT(('Q3 Data'!$D$4:$D$207=D134)*('Q3 Data'!$B$4:$B$207="Challan")*('Q3 Data'!$H$4:$H$207&lt;&gt;""))+SUMPRODUCT(('Q4 Data'!$D$4:$D$207=D134)*('Q4 Data'!$B$4:$B$207="Challan")*('Q4 Data'!$H$4:$H$207&lt;&gt;"")))&gt;0,(SUMPRODUCT(('Q1 Data'!$D$4:$D$207=D134)*('Q1 Data'!$B$4:$B$207="Challan")*('Q1 Data'!$H$4:$H$207=Z134))+SUMPRODUCT(('Q2 Data'!$D$4:$D$207=D134)*('Q2 Data'!$B$4:$B$207="Challan")*('Q2 Data'!$H$4:$H$207=Z134))+SUMPRODUCT(('Q3 Data'!$D$4:$D$207=D134)*('Q3 Data'!$B$4:$B$207="Challan")*('Q3 Data'!$H$4:$H$207=Z134))+SUMPRODUCT(('Q4 Data'!$D$4:$D$207=D134)*('Q4 Data'!$B$4:$B$207="Challan")*('Q4 Data'!$H$4:$H$207=Z134)))=0))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IF($B135="Challan","",IF(W135&lt;&gt;"","◄ Set Row Type","")))</f>
      </c>
      <c r="Y135" s="23">
        <f>IF($B135="Entry",IF(LEN(W135)&lt;4,"",IF(UPPER(MID(W135,4,1))="P","Individual",IF(UPPER(MID(W135,4,1))="H","HUF",IF(UPPER(MID(W135,4,1))="C","Company",IF(UPPER(MID(W135,4,1))="F","Firm/LLP",IF(UPPER(MID(W135,4,1))="L","Local Authority",IF(UPPER(MID(W135,4,1))="T","Trust",IF(UPPER(MID(W135,4,1))="A","AOP",IF(UPPER(MID(W135,4,1))="B","BOI",IF(UPPER(MID(W135,4,1))="J","AJP",IF(UPPER(MID(W135,4,1))="G","Government",""))))))))))),IF($B135="Challan","",IF(W135&lt;&gt;"","◄ Set Row Type","")))</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IF($B135&lt;&gt;"Challan","",SUMIF('Q1 Data'!$D$4:$D$207,D135,'Q1 Data'!$AD$4:$AD$207)+SUMIF('Q1 Data'!$D$4:$D$207,D135,'Q1 Data'!$AG$4:$AG$207)+SUMIF('Q1 Data'!$D$4:$D$207,D135,'Q1 Data'!$AE$4:$AE$207)+SUMIF('Q2 Data'!$D$4:$D$207,D135,'Q2 Data'!$AD$4:$AD$207)+SUMIF('Q2 Data'!$D$4:$D$207,D135,'Q2 Data'!$AG$4:$AG$207)+SUMIF('Q2 Data'!$D$4:$D$207,D135,'Q2 Data'!$AE$4:$AE$207)+SUMIF('Q3 Data'!$D$4:$D$207,D135,'Q3 Data'!$AD$4:$AD$207)+SUMIF('Q3 Data'!$D$4:$D$207,D135,'Q3 Data'!$AG$4:$AG$207)+SUMIF('Q3 Data'!$D$4:$D$207,D135,'Q3 Data'!$AE$4:$AE$207)+SUMIF('Q4 Data'!$D$4:$D$207,D135,'Q4 Data'!$AD$4:$AD$207)+SUMIF('Q4 Data'!$D$4:$D$207,D135,'Q4 Data'!$AG$4:$AG$207)+SUMIF('Q4 Data'!$D$4:$D$207,D135,'Q4 Data'!$AE$4:$AE$207))</f>
      </c>
      <c r="AO135" s="27">
        <f>IF($B135&lt;&gt;"Challan","",P135-N135)</f>
      </c>
      <c r="AP135" s="27">
        <f>IF($B135&lt;&gt;"Challan","",MAX(0,AO135-AN135))</f>
      </c>
      <c r="AQ135" s="33">
        <f>IF($B135&lt;&gt;"Entry","",SUMPRODUCT(('Q1 Data'!$D$4:$D$207=D135)*('Q1 Data'!$B$4:$B$207="Challan")*'Q1 Data'!$F$4:$F$207)+SUMPRODUCT(('Q2 Data'!$D$4:$D$207=D135)*('Q2 Data'!$B$4:$B$207="Challan")*'Q2 Data'!$F$4:$F$207)+SUMPRODUCT(('Q3 Data'!$D$4:$D$207=D135)*('Q3 Data'!$B$4:$B$207="Challan")*'Q3 Data'!$F$4:$F$207)+SUMPRODUCT(('Q4 Data'!$D$4:$D$207=D135)*('Q4 Data'!$B$4:$B$207="Challan")*'Q4 Data'!$F$4:$F$207))</f>
      </c>
      <c r="AR135" s="34">
        <f>IF(OR($B135&lt;&gt;"Entry",Z135=""),FALSE,AND((SUMPRODUCT(('Q1 Data'!$D$4:$D$207=D135)*('Q1 Data'!$B$4:$B$207="Challan")*('Q1 Data'!$H$4:$H$207&lt;&gt;""))+SUMPRODUCT(('Q2 Data'!$D$4:$D$207=D135)*('Q2 Data'!$B$4:$B$207="Challan")*('Q2 Data'!$H$4:$H$207&lt;&gt;""))+SUMPRODUCT(('Q3 Data'!$D$4:$D$207=D135)*('Q3 Data'!$B$4:$B$207="Challan")*('Q3 Data'!$H$4:$H$207&lt;&gt;""))+SUMPRODUCT(('Q4 Data'!$D$4:$D$207=D135)*('Q4 Data'!$B$4:$B$207="Challan")*('Q4 Data'!$H$4:$H$207&lt;&gt;"")))&gt;0,(SUMPRODUCT(('Q1 Data'!$D$4:$D$207=D135)*('Q1 Data'!$B$4:$B$207="Challan")*('Q1 Data'!$H$4:$H$207=Z135))+SUMPRODUCT(('Q2 Data'!$D$4:$D$207=D135)*('Q2 Data'!$B$4:$B$207="Challan")*('Q2 Data'!$H$4:$H$207=Z135))+SUMPRODUCT(('Q3 Data'!$D$4:$D$207=D135)*('Q3 Data'!$B$4:$B$207="Challan")*('Q3 Data'!$H$4:$H$207=Z135))+SUMPRODUCT(('Q4 Data'!$D$4:$D$207=D135)*('Q4 Data'!$B$4:$B$207="Challan")*('Q4 Data'!$H$4:$H$207=Z135)))=0))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IF($B136="Challan","",IF(W136&lt;&gt;"","◄ Set Row Type","")))</f>
      </c>
      <c r="Y136" s="23">
        <f>IF($B136="Entry",IF(LEN(W136)&lt;4,"",IF(UPPER(MID(W136,4,1))="P","Individual",IF(UPPER(MID(W136,4,1))="H","HUF",IF(UPPER(MID(W136,4,1))="C","Company",IF(UPPER(MID(W136,4,1))="F","Firm/LLP",IF(UPPER(MID(W136,4,1))="L","Local Authority",IF(UPPER(MID(W136,4,1))="T","Trust",IF(UPPER(MID(W136,4,1))="A","AOP",IF(UPPER(MID(W136,4,1))="B","BOI",IF(UPPER(MID(W136,4,1))="J","AJP",IF(UPPER(MID(W136,4,1))="G","Government",""))))))))))),IF($B136="Challan","",IF(W136&lt;&gt;"","◄ Set Row Type","")))</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IF($B136&lt;&gt;"Challan","",SUMIF('Q1 Data'!$D$4:$D$207,D136,'Q1 Data'!$AD$4:$AD$207)+SUMIF('Q1 Data'!$D$4:$D$207,D136,'Q1 Data'!$AG$4:$AG$207)+SUMIF('Q1 Data'!$D$4:$D$207,D136,'Q1 Data'!$AE$4:$AE$207)+SUMIF('Q2 Data'!$D$4:$D$207,D136,'Q2 Data'!$AD$4:$AD$207)+SUMIF('Q2 Data'!$D$4:$D$207,D136,'Q2 Data'!$AG$4:$AG$207)+SUMIF('Q2 Data'!$D$4:$D$207,D136,'Q2 Data'!$AE$4:$AE$207)+SUMIF('Q3 Data'!$D$4:$D$207,D136,'Q3 Data'!$AD$4:$AD$207)+SUMIF('Q3 Data'!$D$4:$D$207,D136,'Q3 Data'!$AG$4:$AG$207)+SUMIF('Q3 Data'!$D$4:$D$207,D136,'Q3 Data'!$AE$4:$AE$207)+SUMIF('Q4 Data'!$D$4:$D$207,D136,'Q4 Data'!$AD$4:$AD$207)+SUMIF('Q4 Data'!$D$4:$D$207,D136,'Q4 Data'!$AG$4:$AG$207)+SUMIF('Q4 Data'!$D$4:$D$207,D136,'Q4 Data'!$AE$4:$AE$207))</f>
      </c>
      <c r="AO136" s="27">
        <f>IF($B136&lt;&gt;"Challan","",P136-N136)</f>
      </c>
      <c r="AP136" s="27">
        <f>IF($B136&lt;&gt;"Challan","",MAX(0,AO136-AN136))</f>
      </c>
      <c r="AQ136" s="33">
        <f>IF($B136&lt;&gt;"Entry","",SUMPRODUCT(('Q1 Data'!$D$4:$D$207=D136)*('Q1 Data'!$B$4:$B$207="Challan")*'Q1 Data'!$F$4:$F$207)+SUMPRODUCT(('Q2 Data'!$D$4:$D$207=D136)*('Q2 Data'!$B$4:$B$207="Challan")*'Q2 Data'!$F$4:$F$207)+SUMPRODUCT(('Q3 Data'!$D$4:$D$207=D136)*('Q3 Data'!$B$4:$B$207="Challan")*'Q3 Data'!$F$4:$F$207)+SUMPRODUCT(('Q4 Data'!$D$4:$D$207=D136)*('Q4 Data'!$B$4:$B$207="Challan")*'Q4 Data'!$F$4:$F$207))</f>
      </c>
      <c r="AR136" s="34">
        <f>IF(OR($B136&lt;&gt;"Entry",Z136=""),FALSE,AND((SUMPRODUCT(('Q1 Data'!$D$4:$D$207=D136)*('Q1 Data'!$B$4:$B$207="Challan")*('Q1 Data'!$H$4:$H$207&lt;&gt;""))+SUMPRODUCT(('Q2 Data'!$D$4:$D$207=D136)*('Q2 Data'!$B$4:$B$207="Challan")*('Q2 Data'!$H$4:$H$207&lt;&gt;""))+SUMPRODUCT(('Q3 Data'!$D$4:$D$207=D136)*('Q3 Data'!$B$4:$B$207="Challan")*('Q3 Data'!$H$4:$H$207&lt;&gt;""))+SUMPRODUCT(('Q4 Data'!$D$4:$D$207=D136)*('Q4 Data'!$B$4:$B$207="Challan")*('Q4 Data'!$H$4:$H$207&lt;&gt;"")))&gt;0,(SUMPRODUCT(('Q1 Data'!$D$4:$D$207=D136)*('Q1 Data'!$B$4:$B$207="Challan")*('Q1 Data'!$H$4:$H$207=Z136))+SUMPRODUCT(('Q2 Data'!$D$4:$D$207=D136)*('Q2 Data'!$B$4:$B$207="Challan")*('Q2 Data'!$H$4:$H$207=Z136))+SUMPRODUCT(('Q3 Data'!$D$4:$D$207=D136)*('Q3 Data'!$B$4:$B$207="Challan")*('Q3 Data'!$H$4:$H$207=Z136))+SUMPRODUCT(('Q4 Data'!$D$4:$D$207=D136)*('Q4 Data'!$B$4:$B$207="Challan")*('Q4 Data'!$H$4:$H$207=Z136)))=0))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IF($B137="Challan","",IF(W137&lt;&gt;"","◄ Set Row Type","")))</f>
      </c>
      <c r="Y137" s="23">
        <f>IF($B137="Entry",IF(LEN(W137)&lt;4,"",IF(UPPER(MID(W137,4,1))="P","Individual",IF(UPPER(MID(W137,4,1))="H","HUF",IF(UPPER(MID(W137,4,1))="C","Company",IF(UPPER(MID(W137,4,1))="F","Firm/LLP",IF(UPPER(MID(W137,4,1))="L","Local Authority",IF(UPPER(MID(W137,4,1))="T","Trust",IF(UPPER(MID(W137,4,1))="A","AOP",IF(UPPER(MID(W137,4,1))="B","BOI",IF(UPPER(MID(W137,4,1))="J","AJP",IF(UPPER(MID(W137,4,1))="G","Government",""))))))))))),IF($B137="Challan","",IF(W137&lt;&gt;"","◄ Set Row Type","")))</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IF($B137&lt;&gt;"Challan","",SUMIF('Q1 Data'!$D$4:$D$207,D137,'Q1 Data'!$AD$4:$AD$207)+SUMIF('Q1 Data'!$D$4:$D$207,D137,'Q1 Data'!$AG$4:$AG$207)+SUMIF('Q1 Data'!$D$4:$D$207,D137,'Q1 Data'!$AE$4:$AE$207)+SUMIF('Q2 Data'!$D$4:$D$207,D137,'Q2 Data'!$AD$4:$AD$207)+SUMIF('Q2 Data'!$D$4:$D$207,D137,'Q2 Data'!$AG$4:$AG$207)+SUMIF('Q2 Data'!$D$4:$D$207,D137,'Q2 Data'!$AE$4:$AE$207)+SUMIF('Q3 Data'!$D$4:$D$207,D137,'Q3 Data'!$AD$4:$AD$207)+SUMIF('Q3 Data'!$D$4:$D$207,D137,'Q3 Data'!$AG$4:$AG$207)+SUMIF('Q3 Data'!$D$4:$D$207,D137,'Q3 Data'!$AE$4:$AE$207)+SUMIF('Q4 Data'!$D$4:$D$207,D137,'Q4 Data'!$AD$4:$AD$207)+SUMIF('Q4 Data'!$D$4:$D$207,D137,'Q4 Data'!$AG$4:$AG$207)+SUMIF('Q4 Data'!$D$4:$D$207,D137,'Q4 Data'!$AE$4:$AE$207))</f>
      </c>
      <c r="AO137" s="27">
        <f>IF($B137&lt;&gt;"Challan","",P137-N137)</f>
      </c>
      <c r="AP137" s="27">
        <f>IF($B137&lt;&gt;"Challan","",MAX(0,AO137-AN137))</f>
      </c>
      <c r="AQ137" s="33">
        <f>IF($B137&lt;&gt;"Entry","",SUMPRODUCT(('Q1 Data'!$D$4:$D$207=D137)*('Q1 Data'!$B$4:$B$207="Challan")*'Q1 Data'!$F$4:$F$207)+SUMPRODUCT(('Q2 Data'!$D$4:$D$207=D137)*('Q2 Data'!$B$4:$B$207="Challan")*'Q2 Data'!$F$4:$F$207)+SUMPRODUCT(('Q3 Data'!$D$4:$D$207=D137)*('Q3 Data'!$B$4:$B$207="Challan")*'Q3 Data'!$F$4:$F$207)+SUMPRODUCT(('Q4 Data'!$D$4:$D$207=D137)*('Q4 Data'!$B$4:$B$207="Challan")*'Q4 Data'!$F$4:$F$207))</f>
      </c>
      <c r="AR137" s="34">
        <f>IF(OR($B137&lt;&gt;"Entry",Z137=""),FALSE,AND((SUMPRODUCT(('Q1 Data'!$D$4:$D$207=D137)*('Q1 Data'!$B$4:$B$207="Challan")*('Q1 Data'!$H$4:$H$207&lt;&gt;""))+SUMPRODUCT(('Q2 Data'!$D$4:$D$207=D137)*('Q2 Data'!$B$4:$B$207="Challan")*('Q2 Data'!$H$4:$H$207&lt;&gt;""))+SUMPRODUCT(('Q3 Data'!$D$4:$D$207=D137)*('Q3 Data'!$B$4:$B$207="Challan")*('Q3 Data'!$H$4:$H$207&lt;&gt;""))+SUMPRODUCT(('Q4 Data'!$D$4:$D$207=D137)*('Q4 Data'!$B$4:$B$207="Challan")*('Q4 Data'!$H$4:$H$207&lt;&gt;"")))&gt;0,(SUMPRODUCT(('Q1 Data'!$D$4:$D$207=D137)*('Q1 Data'!$B$4:$B$207="Challan")*('Q1 Data'!$H$4:$H$207=Z137))+SUMPRODUCT(('Q2 Data'!$D$4:$D$207=D137)*('Q2 Data'!$B$4:$B$207="Challan")*('Q2 Data'!$H$4:$H$207=Z137))+SUMPRODUCT(('Q3 Data'!$D$4:$D$207=D137)*('Q3 Data'!$B$4:$B$207="Challan")*('Q3 Data'!$H$4:$H$207=Z137))+SUMPRODUCT(('Q4 Data'!$D$4:$D$207=D137)*('Q4 Data'!$B$4:$B$207="Challan")*('Q4 Data'!$H$4:$H$207=Z137)))=0))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IF($B138="Challan","",IF(W138&lt;&gt;"","◄ Set Row Type","")))</f>
      </c>
      <c r="Y138" s="23">
        <f>IF($B138="Entry",IF(LEN(W138)&lt;4,"",IF(UPPER(MID(W138,4,1))="P","Individual",IF(UPPER(MID(W138,4,1))="H","HUF",IF(UPPER(MID(W138,4,1))="C","Company",IF(UPPER(MID(W138,4,1))="F","Firm/LLP",IF(UPPER(MID(W138,4,1))="L","Local Authority",IF(UPPER(MID(W138,4,1))="T","Trust",IF(UPPER(MID(W138,4,1))="A","AOP",IF(UPPER(MID(W138,4,1))="B","BOI",IF(UPPER(MID(W138,4,1))="J","AJP",IF(UPPER(MID(W138,4,1))="G","Government",""))))))))))),IF($B138="Challan","",IF(W138&lt;&gt;"","◄ Set Row Type","")))</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IF($B138&lt;&gt;"Challan","",SUMIF('Q1 Data'!$D$4:$D$207,D138,'Q1 Data'!$AD$4:$AD$207)+SUMIF('Q1 Data'!$D$4:$D$207,D138,'Q1 Data'!$AG$4:$AG$207)+SUMIF('Q1 Data'!$D$4:$D$207,D138,'Q1 Data'!$AE$4:$AE$207)+SUMIF('Q2 Data'!$D$4:$D$207,D138,'Q2 Data'!$AD$4:$AD$207)+SUMIF('Q2 Data'!$D$4:$D$207,D138,'Q2 Data'!$AG$4:$AG$207)+SUMIF('Q2 Data'!$D$4:$D$207,D138,'Q2 Data'!$AE$4:$AE$207)+SUMIF('Q3 Data'!$D$4:$D$207,D138,'Q3 Data'!$AD$4:$AD$207)+SUMIF('Q3 Data'!$D$4:$D$207,D138,'Q3 Data'!$AG$4:$AG$207)+SUMIF('Q3 Data'!$D$4:$D$207,D138,'Q3 Data'!$AE$4:$AE$207)+SUMIF('Q4 Data'!$D$4:$D$207,D138,'Q4 Data'!$AD$4:$AD$207)+SUMIF('Q4 Data'!$D$4:$D$207,D138,'Q4 Data'!$AG$4:$AG$207)+SUMIF('Q4 Data'!$D$4:$D$207,D138,'Q4 Data'!$AE$4:$AE$207))</f>
      </c>
      <c r="AO138" s="27">
        <f>IF($B138&lt;&gt;"Challan","",P138-N138)</f>
      </c>
      <c r="AP138" s="27">
        <f>IF($B138&lt;&gt;"Challan","",MAX(0,AO138-AN138))</f>
      </c>
      <c r="AQ138" s="33">
        <f>IF($B138&lt;&gt;"Entry","",SUMPRODUCT(('Q1 Data'!$D$4:$D$207=D138)*('Q1 Data'!$B$4:$B$207="Challan")*'Q1 Data'!$F$4:$F$207)+SUMPRODUCT(('Q2 Data'!$D$4:$D$207=D138)*('Q2 Data'!$B$4:$B$207="Challan")*'Q2 Data'!$F$4:$F$207)+SUMPRODUCT(('Q3 Data'!$D$4:$D$207=D138)*('Q3 Data'!$B$4:$B$207="Challan")*'Q3 Data'!$F$4:$F$207)+SUMPRODUCT(('Q4 Data'!$D$4:$D$207=D138)*('Q4 Data'!$B$4:$B$207="Challan")*'Q4 Data'!$F$4:$F$207))</f>
      </c>
      <c r="AR138" s="34">
        <f>IF(OR($B138&lt;&gt;"Entry",Z138=""),FALSE,AND((SUMPRODUCT(('Q1 Data'!$D$4:$D$207=D138)*('Q1 Data'!$B$4:$B$207="Challan")*('Q1 Data'!$H$4:$H$207&lt;&gt;""))+SUMPRODUCT(('Q2 Data'!$D$4:$D$207=D138)*('Q2 Data'!$B$4:$B$207="Challan")*('Q2 Data'!$H$4:$H$207&lt;&gt;""))+SUMPRODUCT(('Q3 Data'!$D$4:$D$207=D138)*('Q3 Data'!$B$4:$B$207="Challan")*('Q3 Data'!$H$4:$H$207&lt;&gt;""))+SUMPRODUCT(('Q4 Data'!$D$4:$D$207=D138)*('Q4 Data'!$B$4:$B$207="Challan")*('Q4 Data'!$H$4:$H$207&lt;&gt;"")))&gt;0,(SUMPRODUCT(('Q1 Data'!$D$4:$D$207=D138)*('Q1 Data'!$B$4:$B$207="Challan")*('Q1 Data'!$H$4:$H$207=Z138))+SUMPRODUCT(('Q2 Data'!$D$4:$D$207=D138)*('Q2 Data'!$B$4:$B$207="Challan")*('Q2 Data'!$H$4:$H$207=Z138))+SUMPRODUCT(('Q3 Data'!$D$4:$D$207=D138)*('Q3 Data'!$B$4:$B$207="Challan")*('Q3 Data'!$H$4:$H$207=Z138))+SUMPRODUCT(('Q4 Data'!$D$4:$D$207=D138)*('Q4 Data'!$B$4:$B$207="Challan")*('Q4 Data'!$H$4:$H$207=Z138)))=0))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IF($B139="Challan","",IF(W139&lt;&gt;"","◄ Set Row Type","")))</f>
      </c>
      <c r="Y139" s="23">
        <f>IF($B139="Entry",IF(LEN(W139)&lt;4,"",IF(UPPER(MID(W139,4,1))="P","Individual",IF(UPPER(MID(W139,4,1))="H","HUF",IF(UPPER(MID(W139,4,1))="C","Company",IF(UPPER(MID(W139,4,1))="F","Firm/LLP",IF(UPPER(MID(W139,4,1))="L","Local Authority",IF(UPPER(MID(W139,4,1))="T","Trust",IF(UPPER(MID(W139,4,1))="A","AOP",IF(UPPER(MID(W139,4,1))="B","BOI",IF(UPPER(MID(W139,4,1))="J","AJP",IF(UPPER(MID(W139,4,1))="G","Government",""))))))))))),IF($B139="Challan","",IF(W139&lt;&gt;"","◄ Set Row Type","")))</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IF($B139&lt;&gt;"Challan","",SUMIF('Q1 Data'!$D$4:$D$207,D139,'Q1 Data'!$AD$4:$AD$207)+SUMIF('Q1 Data'!$D$4:$D$207,D139,'Q1 Data'!$AG$4:$AG$207)+SUMIF('Q1 Data'!$D$4:$D$207,D139,'Q1 Data'!$AE$4:$AE$207)+SUMIF('Q2 Data'!$D$4:$D$207,D139,'Q2 Data'!$AD$4:$AD$207)+SUMIF('Q2 Data'!$D$4:$D$207,D139,'Q2 Data'!$AG$4:$AG$207)+SUMIF('Q2 Data'!$D$4:$D$207,D139,'Q2 Data'!$AE$4:$AE$207)+SUMIF('Q3 Data'!$D$4:$D$207,D139,'Q3 Data'!$AD$4:$AD$207)+SUMIF('Q3 Data'!$D$4:$D$207,D139,'Q3 Data'!$AG$4:$AG$207)+SUMIF('Q3 Data'!$D$4:$D$207,D139,'Q3 Data'!$AE$4:$AE$207)+SUMIF('Q4 Data'!$D$4:$D$207,D139,'Q4 Data'!$AD$4:$AD$207)+SUMIF('Q4 Data'!$D$4:$D$207,D139,'Q4 Data'!$AG$4:$AG$207)+SUMIF('Q4 Data'!$D$4:$D$207,D139,'Q4 Data'!$AE$4:$AE$207))</f>
      </c>
      <c r="AO139" s="27">
        <f>IF($B139&lt;&gt;"Challan","",P139-N139)</f>
      </c>
      <c r="AP139" s="27">
        <f>IF($B139&lt;&gt;"Challan","",MAX(0,AO139-AN139))</f>
      </c>
      <c r="AQ139" s="33">
        <f>IF($B139&lt;&gt;"Entry","",SUMPRODUCT(('Q1 Data'!$D$4:$D$207=D139)*('Q1 Data'!$B$4:$B$207="Challan")*'Q1 Data'!$F$4:$F$207)+SUMPRODUCT(('Q2 Data'!$D$4:$D$207=D139)*('Q2 Data'!$B$4:$B$207="Challan")*'Q2 Data'!$F$4:$F$207)+SUMPRODUCT(('Q3 Data'!$D$4:$D$207=D139)*('Q3 Data'!$B$4:$B$207="Challan")*'Q3 Data'!$F$4:$F$207)+SUMPRODUCT(('Q4 Data'!$D$4:$D$207=D139)*('Q4 Data'!$B$4:$B$207="Challan")*'Q4 Data'!$F$4:$F$207))</f>
      </c>
      <c r="AR139" s="34">
        <f>IF(OR($B139&lt;&gt;"Entry",Z139=""),FALSE,AND((SUMPRODUCT(('Q1 Data'!$D$4:$D$207=D139)*('Q1 Data'!$B$4:$B$207="Challan")*('Q1 Data'!$H$4:$H$207&lt;&gt;""))+SUMPRODUCT(('Q2 Data'!$D$4:$D$207=D139)*('Q2 Data'!$B$4:$B$207="Challan")*('Q2 Data'!$H$4:$H$207&lt;&gt;""))+SUMPRODUCT(('Q3 Data'!$D$4:$D$207=D139)*('Q3 Data'!$B$4:$B$207="Challan")*('Q3 Data'!$H$4:$H$207&lt;&gt;""))+SUMPRODUCT(('Q4 Data'!$D$4:$D$207=D139)*('Q4 Data'!$B$4:$B$207="Challan")*('Q4 Data'!$H$4:$H$207&lt;&gt;"")))&gt;0,(SUMPRODUCT(('Q1 Data'!$D$4:$D$207=D139)*('Q1 Data'!$B$4:$B$207="Challan")*('Q1 Data'!$H$4:$H$207=Z139))+SUMPRODUCT(('Q2 Data'!$D$4:$D$207=D139)*('Q2 Data'!$B$4:$B$207="Challan")*('Q2 Data'!$H$4:$H$207=Z139))+SUMPRODUCT(('Q3 Data'!$D$4:$D$207=D139)*('Q3 Data'!$B$4:$B$207="Challan")*('Q3 Data'!$H$4:$H$207=Z139))+SUMPRODUCT(('Q4 Data'!$D$4:$D$207=D139)*('Q4 Data'!$B$4:$B$207="Challan")*('Q4 Data'!$H$4:$H$207=Z139)))=0))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IF($B140="Challan","",IF(W140&lt;&gt;"","◄ Set Row Type","")))</f>
      </c>
      <c r="Y140" s="23">
        <f>IF($B140="Entry",IF(LEN(W140)&lt;4,"",IF(UPPER(MID(W140,4,1))="P","Individual",IF(UPPER(MID(W140,4,1))="H","HUF",IF(UPPER(MID(W140,4,1))="C","Company",IF(UPPER(MID(W140,4,1))="F","Firm/LLP",IF(UPPER(MID(W140,4,1))="L","Local Authority",IF(UPPER(MID(W140,4,1))="T","Trust",IF(UPPER(MID(W140,4,1))="A","AOP",IF(UPPER(MID(W140,4,1))="B","BOI",IF(UPPER(MID(W140,4,1))="J","AJP",IF(UPPER(MID(W140,4,1))="G","Government",""))))))))))),IF($B140="Challan","",IF(W140&lt;&gt;"","◄ Set Row Type","")))</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IF($B140&lt;&gt;"Challan","",SUMIF('Q1 Data'!$D$4:$D$207,D140,'Q1 Data'!$AD$4:$AD$207)+SUMIF('Q1 Data'!$D$4:$D$207,D140,'Q1 Data'!$AG$4:$AG$207)+SUMIF('Q1 Data'!$D$4:$D$207,D140,'Q1 Data'!$AE$4:$AE$207)+SUMIF('Q2 Data'!$D$4:$D$207,D140,'Q2 Data'!$AD$4:$AD$207)+SUMIF('Q2 Data'!$D$4:$D$207,D140,'Q2 Data'!$AG$4:$AG$207)+SUMIF('Q2 Data'!$D$4:$D$207,D140,'Q2 Data'!$AE$4:$AE$207)+SUMIF('Q3 Data'!$D$4:$D$207,D140,'Q3 Data'!$AD$4:$AD$207)+SUMIF('Q3 Data'!$D$4:$D$207,D140,'Q3 Data'!$AG$4:$AG$207)+SUMIF('Q3 Data'!$D$4:$D$207,D140,'Q3 Data'!$AE$4:$AE$207)+SUMIF('Q4 Data'!$D$4:$D$207,D140,'Q4 Data'!$AD$4:$AD$207)+SUMIF('Q4 Data'!$D$4:$D$207,D140,'Q4 Data'!$AG$4:$AG$207)+SUMIF('Q4 Data'!$D$4:$D$207,D140,'Q4 Data'!$AE$4:$AE$207))</f>
      </c>
      <c r="AO140" s="27">
        <f>IF($B140&lt;&gt;"Challan","",P140-N140)</f>
      </c>
      <c r="AP140" s="27">
        <f>IF($B140&lt;&gt;"Challan","",MAX(0,AO140-AN140))</f>
      </c>
      <c r="AQ140" s="33">
        <f>IF($B140&lt;&gt;"Entry","",SUMPRODUCT(('Q1 Data'!$D$4:$D$207=D140)*('Q1 Data'!$B$4:$B$207="Challan")*'Q1 Data'!$F$4:$F$207)+SUMPRODUCT(('Q2 Data'!$D$4:$D$207=D140)*('Q2 Data'!$B$4:$B$207="Challan")*'Q2 Data'!$F$4:$F$207)+SUMPRODUCT(('Q3 Data'!$D$4:$D$207=D140)*('Q3 Data'!$B$4:$B$207="Challan")*'Q3 Data'!$F$4:$F$207)+SUMPRODUCT(('Q4 Data'!$D$4:$D$207=D140)*('Q4 Data'!$B$4:$B$207="Challan")*'Q4 Data'!$F$4:$F$207))</f>
      </c>
      <c r="AR140" s="34">
        <f>IF(OR($B140&lt;&gt;"Entry",Z140=""),FALSE,AND((SUMPRODUCT(('Q1 Data'!$D$4:$D$207=D140)*('Q1 Data'!$B$4:$B$207="Challan")*('Q1 Data'!$H$4:$H$207&lt;&gt;""))+SUMPRODUCT(('Q2 Data'!$D$4:$D$207=D140)*('Q2 Data'!$B$4:$B$207="Challan")*('Q2 Data'!$H$4:$H$207&lt;&gt;""))+SUMPRODUCT(('Q3 Data'!$D$4:$D$207=D140)*('Q3 Data'!$B$4:$B$207="Challan")*('Q3 Data'!$H$4:$H$207&lt;&gt;""))+SUMPRODUCT(('Q4 Data'!$D$4:$D$207=D140)*('Q4 Data'!$B$4:$B$207="Challan")*('Q4 Data'!$H$4:$H$207&lt;&gt;"")))&gt;0,(SUMPRODUCT(('Q1 Data'!$D$4:$D$207=D140)*('Q1 Data'!$B$4:$B$207="Challan")*('Q1 Data'!$H$4:$H$207=Z140))+SUMPRODUCT(('Q2 Data'!$D$4:$D$207=D140)*('Q2 Data'!$B$4:$B$207="Challan")*('Q2 Data'!$H$4:$H$207=Z140))+SUMPRODUCT(('Q3 Data'!$D$4:$D$207=D140)*('Q3 Data'!$B$4:$B$207="Challan")*('Q3 Data'!$H$4:$H$207=Z140))+SUMPRODUCT(('Q4 Data'!$D$4:$D$207=D140)*('Q4 Data'!$B$4:$B$207="Challan")*('Q4 Data'!$H$4:$H$207=Z140)))=0))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IF($B141="Challan","",IF(W141&lt;&gt;"","◄ Set Row Type","")))</f>
      </c>
      <c r="Y141" s="23">
        <f>IF($B141="Entry",IF(LEN(W141)&lt;4,"",IF(UPPER(MID(W141,4,1))="P","Individual",IF(UPPER(MID(W141,4,1))="H","HUF",IF(UPPER(MID(W141,4,1))="C","Company",IF(UPPER(MID(W141,4,1))="F","Firm/LLP",IF(UPPER(MID(W141,4,1))="L","Local Authority",IF(UPPER(MID(W141,4,1))="T","Trust",IF(UPPER(MID(W141,4,1))="A","AOP",IF(UPPER(MID(W141,4,1))="B","BOI",IF(UPPER(MID(W141,4,1))="J","AJP",IF(UPPER(MID(W141,4,1))="G","Government",""))))))))))),IF($B141="Challan","",IF(W141&lt;&gt;"","◄ Set Row Type","")))</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IF($B141&lt;&gt;"Challan","",SUMIF('Q1 Data'!$D$4:$D$207,D141,'Q1 Data'!$AD$4:$AD$207)+SUMIF('Q1 Data'!$D$4:$D$207,D141,'Q1 Data'!$AG$4:$AG$207)+SUMIF('Q1 Data'!$D$4:$D$207,D141,'Q1 Data'!$AE$4:$AE$207)+SUMIF('Q2 Data'!$D$4:$D$207,D141,'Q2 Data'!$AD$4:$AD$207)+SUMIF('Q2 Data'!$D$4:$D$207,D141,'Q2 Data'!$AG$4:$AG$207)+SUMIF('Q2 Data'!$D$4:$D$207,D141,'Q2 Data'!$AE$4:$AE$207)+SUMIF('Q3 Data'!$D$4:$D$207,D141,'Q3 Data'!$AD$4:$AD$207)+SUMIF('Q3 Data'!$D$4:$D$207,D141,'Q3 Data'!$AG$4:$AG$207)+SUMIF('Q3 Data'!$D$4:$D$207,D141,'Q3 Data'!$AE$4:$AE$207)+SUMIF('Q4 Data'!$D$4:$D$207,D141,'Q4 Data'!$AD$4:$AD$207)+SUMIF('Q4 Data'!$D$4:$D$207,D141,'Q4 Data'!$AG$4:$AG$207)+SUMIF('Q4 Data'!$D$4:$D$207,D141,'Q4 Data'!$AE$4:$AE$207))</f>
      </c>
      <c r="AO141" s="27">
        <f>IF($B141&lt;&gt;"Challan","",P141-N141)</f>
      </c>
      <c r="AP141" s="27">
        <f>IF($B141&lt;&gt;"Challan","",MAX(0,AO141-AN141))</f>
      </c>
      <c r="AQ141" s="33">
        <f>IF($B141&lt;&gt;"Entry","",SUMPRODUCT(('Q1 Data'!$D$4:$D$207=D141)*('Q1 Data'!$B$4:$B$207="Challan")*'Q1 Data'!$F$4:$F$207)+SUMPRODUCT(('Q2 Data'!$D$4:$D$207=D141)*('Q2 Data'!$B$4:$B$207="Challan")*'Q2 Data'!$F$4:$F$207)+SUMPRODUCT(('Q3 Data'!$D$4:$D$207=D141)*('Q3 Data'!$B$4:$B$207="Challan")*'Q3 Data'!$F$4:$F$207)+SUMPRODUCT(('Q4 Data'!$D$4:$D$207=D141)*('Q4 Data'!$B$4:$B$207="Challan")*'Q4 Data'!$F$4:$F$207))</f>
      </c>
      <c r="AR141" s="34">
        <f>IF(OR($B141&lt;&gt;"Entry",Z141=""),FALSE,AND((SUMPRODUCT(('Q1 Data'!$D$4:$D$207=D141)*('Q1 Data'!$B$4:$B$207="Challan")*('Q1 Data'!$H$4:$H$207&lt;&gt;""))+SUMPRODUCT(('Q2 Data'!$D$4:$D$207=D141)*('Q2 Data'!$B$4:$B$207="Challan")*('Q2 Data'!$H$4:$H$207&lt;&gt;""))+SUMPRODUCT(('Q3 Data'!$D$4:$D$207=D141)*('Q3 Data'!$B$4:$B$207="Challan")*('Q3 Data'!$H$4:$H$207&lt;&gt;""))+SUMPRODUCT(('Q4 Data'!$D$4:$D$207=D141)*('Q4 Data'!$B$4:$B$207="Challan")*('Q4 Data'!$H$4:$H$207&lt;&gt;"")))&gt;0,(SUMPRODUCT(('Q1 Data'!$D$4:$D$207=D141)*('Q1 Data'!$B$4:$B$207="Challan")*('Q1 Data'!$H$4:$H$207=Z141))+SUMPRODUCT(('Q2 Data'!$D$4:$D$207=D141)*('Q2 Data'!$B$4:$B$207="Challan")*('Q2 Data'!$H$4:$H$207=Z141))+SUMPRODUCT(('Q3 Data'!$D$4:$D$207=D141)*('Q3 Data'!$B$4:$B$207="Challan")*('Q3 Data'!$H$4:$H$207=Z141))+SUMPRODUCT(('Q4 Data'!$D$4:$D$207=D141)*('Q4 Data'!$B$4:$B$207="Challan")*('Q4 Data'!$H$4:$H$207=Z141)))=0))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IF($B142="Challan","",IF(W142&lt;&gt;"","◄ Set Row Type","")))</f>
      </c>
      <c r="Y142" s="23">
        <f>IF($B142="Entry",IF(LEN(W142)&lt;4,"",IF(UPPER(MID(W142,4,1))="P","Individual",IF(UPPER(MID(W142,4,1))="H","HUF",IF(UPPER(MID(W142,4,1))="C","Company",IF(UPPER(MID(W142,4,1))="F","Firm/LLP",IF(UPPER(MID(W142,4,1))="L","Local Authority",IF(UPPER(MID(W142,4,1))="T","Trust",IF(UPPER(MID(W142,4,1))="A","AOP",IF(UPPER(MID(W142,4,1))="B","BOI",IF(UPPER(MID(W142,4,1))="J","AJP",IF(UPPER(MID(W142,4,1))="G","Government",""))))))))))),IF($B142="Challan","",IF(W142&lt;&gt;"","◄ Set Row Type","")))</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IF($B142&lt;&gt;"Challan","",SUMIF('Q1 Data'!$D$4:$D$207,D142,'Q1 Data'!$AD$4:$AD$207)+SUMIF('Q1 Data'!$D$4:$D$207,D142,'Q1 Data'!$AG$4:$AG$207)+SUMIF('Q1 Data'!$D$4:$D$207,D142,'Q1 Data'!$AE$4:$AE$207)+SUMIF('Q2 Data'!$D$4:$D$207,D142,'Q2 Data'!$AD$4:$AD$207)+SUMIF('Q2 Data'!$D$4:$D$207,D142,'Q2 Data'!$AG$4:$AG$207)+SUMIF('Q2 Data'!$D$4:$D$207,D142,'Q2 Data'!$AE$4:$AE$207)+SUMIF('Q3 Data'!$D$4:$D$207,D142,'Q3 Data'!$AD$4:$AD$207)+SUMIF('Q3 Data'!$D$4:$D$207,D142,'Q3 Data'!$AG$4:$AG$207)+SUMIF('Q3 Data'!$D$4:$D$207,D142,'Q3 Data'!$AE$4:$AE$207)+SUMIF('Q4 Data'!$D$4:$D$207,D142,'Q4 Data'!$AD$4:$AD$207)+SUMIF('Q4 Data'!$D$4:$D$207,D142,'Q4 Data'!$AG$4:$AG$207)+SUMIF('Q4 Data'!$D$4:$D$207,D142,'Q4 Data'!$AE$4:$AE$207))</f>
      </c>
      <c r="AO142" s="27">
        <f>IF($B142&lt;&gt;"Challan","",P142-N142)</f>
      </c>
      <c r="AP142" s="27">
        <f>IF($B142&lt;&gt;"Challan","",MAX(0,AO142-AN142))</f>
      </c>
      <c r="AQ142" s="33">
        <f>IF($B142&lt;&gt;"Entry","",SUMPRODUCT(('Q1 Data'!$D$4:$D$207=D142)*('Q1 Data'!$B$4:$B$207="Challan")*'Q1 Data'!$F$4:$F$207)+SUMPRODUCT(('Q2 Data'!$D$4:$D$207=D142)*('Q2 Data'!$B$4:$B$207="Challan")*'Q2 Data'!$F$4:$F$207)+SUMPRODUCT(('Q3 Data'!$D$4:$D$207=D142)*('Q3 Data'!$B$4:$B$207="Challan")*'Q3 Data'!$F$4:$F$207)+SUMPRODUCT(('Q4 Data'!$D$4:$D$207=D142)*('Q4 Data'!$B$4:$B$207="Challan")*'Q4 Data'!$F$4:$F$207))</f>
      </c>
      <c r="AR142" s="34">
        <f>IF(OR($B142&lt;&gt;"Entry",Z142=""),FALSE,AND((SUMPRODUCT(('Q1 Data'!$D$4:$D$207=D142)*('Q1 Data'!$B$4:$B$207="Challan")*('Q1 Data'!$H$4:$H$207&lt;&gt;""))+SUMPRODUCT(('Q2 Data'!$D$4:$D$207=D142)*('Q2 Data'!$B$4:$B$207="Challan")*('Q2 Data'!$H$4:$H$207&lt;&gt;""))+SUMPRODUCT(('Q3 Data'!$D$4:$D$207=D142)*('Q3 Data'!$B$4:$B$207="Challan")*('Q3 Data'!$H$4:$H$207&lt;&gt;""))+SUMPRODUCT(('Q4 Data'!$D$4:$D$207=D142)*('Q4 Data'!$B$4:$B$207="Challan")*('Q4 Data'!$H$4:$H$207&lt;&gt;"")))&gt;0,(SUMPRODUCT(('Q1 Data'!$D$4:$D$207=D142)*('Q1 Data'!$B$4:$B$207="Challan")*('Q1 Data'!$H$4:$H$207=Z142))+SUMPRODUCT(('Q2 Data'!$D$4:$D$207=D142)*('Q2 Data'!$B$4:$B$207="Challan")*('Q2 Data'!$H$4:$H$207=Z142))+SUMPRODUCT(('Q3 Data'!$D$4:$D$207=D142)*('Q3 Data'!$B$4:$B$207="Challan")*('Q3 Data'!$H$4:$H$207=Z142))+SUMPRODUCT(('Q4 Data'!$D$4:$D$207=D142)*('Q4 Data'!$B$4:$B$207="Challan")*('Q4 Data'!$H$4:$H$207=Z142)))=0))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IF($B143="Challan","",IF(W143&lt;&gt;"","◄ Set Row Type","")))</f>
      </c>
      <c r="Y143" s="23">
        <f>IF($B143="Entry",IF(LEN(W143)&lt;4,"",IF(UPPER(MID(W143,4,1))="P","Individual",IF(UPPER(MID(W143,4,1))="H","HUF",IF(UPPER(MID(W143,4,1))="C","Company",IF(UPPER(MID(W143,4,1))="F","Firm/LLP",IF(UPPER(MID(W143,4,1))="L","Local Authority",IF(UPPER(MID(W143,4,1))="T","Trust",IF(UPPER(MID(W143,4,1))="A","AOP",IF(UPPER(MID(W143,4,1))="B","BOI",IF(UPPER(MID(W143,4,1))="J","AJP",IF(UPPER(MID(W143,4,1))="G","Government",""))))))))))),IF($B143="Challan","",IF(W143&lt;&gt;"","◄ Set Row Type","")))</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IF($B143&lt;&gt;"Challan","",SUMIF('Q1 Data'!$D$4:$D$207,D143,'Q1 Data'!$AD$4:$AD$207)+SUMIF('Q1 Data'!$D$4:$D$207,D143,'Q1 Data'!$AG$4:$AG$207)+SUMIF('Q1 Data'!$D$4:$D$207,D143,'Q1 Data'!$AE$4:$AE$207)+SUMIF('Q2 Data'!$D$4:$D$207,D143,'Q2 Data'!$AD$4:$AD$207)+SUMIF('Q2 Data'!$D$4:$D$207,D143,'Q2 Data'!$AG$4:$AG$207)+SUMIF('Q2 Data'!$D$4:$D$207,D143,'Q2 Data'!$AE$4:$AE$207)+SUMIF('Q3 Data'!$D$4:$D$207,D143,'Q3 Data'!$AD$4:$AD$207)+SUMIF('Q3 Data'!$D$4:$D$207,D143,'Q3 Data'!$AG$4:$AG$207)+SUMIF('Q3 Data'!$D$4:$D$207,D143,'Q3 Data'!$AE$4:$AE$207)+SUMIF('Q4 Data'!$D$4:$D$207,D143,'Q4 Data'!$AD$4:$AD$207)+SUMIF('Q4 Data'!$D$4:$D$207,D143,'Q4 Data'!$AG$4:$AG$207)+SUMIF('Q4 Data'!$D$4:$D$207,D143,'Q4 Data'!$AE$4:$AE$207))</f>
      </c>
      <c r="AO143" s="27">
        <f>IF($B143&lt;&gt;"Challan","",P143-N143)</f>
      </c>
      <c r="AP143" s="27">
        <f>IF($B143&lt;&gt;"Challan","",MAX(0,AO143-AN143))</f>
      </c>
      <c r="AQ143" s="33">
        <f>IF($B143&lt;&gt;"Entry","",SUMPRODUCT(('Q1 Data'!$D$4:$D$207=D143)*('Q1 Data'!$B$4:$B$207="Challan")*'Q1 Data'!$F$4:$F$207)+SUMPRODUCT(('Q2 Data'!$D$4:$D$207=D143)*('Q2 Data'!$B$4:$B$207="Challan")*'Q2 Data'!$F$4:$F$207)+SUMPRODUCT(('Q3 Data'!$D$4:$D$207=D143)*('Q3 Data'!$B$4:$B$207="Challan")*'Q3 Data'!$F$4:$F$207)+SUMPRODUCT(('Q4 Data'!$D$4:$D$207=D143)*('Q4 Data'!$B$4:$B$207="Challan")*'Q4 Data'!$F$4:$F$207))</f>
      </c>
      <c r="AR143" s="34">
        <f>IF(OR($B143&lt;&gt;"Entry",Z143=""),FALSE,AND((SUMPRODUCT(('Q1 Data'!$D$4:$D$207=D143)*('Q1 Data'!$B$4:$B$207="Challan")*('Q1 Data'!$H$4:$H$207&lt;&gt;""))+SUMPRODUCT(('Q2 Data'!$D$4:$D$207=D143)*('Q2 Data'!$B$4:$B$207="Challan")*('Q2 Data'!$H$4:$H$207&lt;&gt;""))+SUMPRODUCT(('Q3 Data'!$D$4:$D$207=D143)*('Q3 Data'!$B$4:$B$207="Challan")*('Q3 Data'!$H$4:$H$207&lt;&gt;""))+SUMPRODUCT(('Q4 Data'!$D$4:$D$207=D143)*('Q4 Data'!$B$4:$B$207="Challan")*('Q4 Data'!$H$4:$H$207&lt;&gt;"")))&gt;0,(SUMPRODUCT(('Q1 Data'!$D$4:$D$207=D143)*('Q1 Data'!$B$4:$B$207="Challan")*('Q1 Data'!$H$4:$H$207=Z143))+SUMPRODUCT(('Q2 Data'!$D$4:$D$207=D143)*('Q2 Data'!$B$4:$B$207="Challan")*('Q2 Data'!$H$4:$H$207=Z143))+SUMPRODUCT(('Q3 Data'!$D$4:$D$207=D143)*('Q3 Data'!$B$4:$B$207="Challan")*('Q3 Data'!$H$4:$H$207=Z143))+SUMPRODUCT(('Q4 Data'!$D$4:$D$207=D143)*('Q4 Data'!$B$4:$B$207="Challan")*('Q4 Data'!$H$4:$H$207=Z143)))=0))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IF($B144="Challan","",IF(W144&lt;&gt;"","◄ Set Row Type","")))</f>
      </c>
      <c r="Y144" s="23">
        <f>IF($B144="Entry",IF(LEN(W144)&lt;4,"",IF(UPPER(MID(W144,4,1))="P","Individual",IF(UPPER(MID(W144,4,1))="H","HUF",IF(UPPER(MID(W144,4,1))="C","Company",IF(UPPER(MID(W144,4,1))="F","Firm/LLP",IF(UPPER(MID(W144,4,1))="L","Local Authority",IF(UPPER(MID(W144,4,1))="T","Trust",IF(UPPER(MID(W144,4,1))="A","AOP",IF(UPPER(MID(W144,4,1))="B","BOI",IF(UPPER(MID(W144,4,1))="J","AJP",IF(UPPER(MID(W144,4,1))="G","Government",""))))))))))),IF($B144="Challan","",IF(W144&lt;&gt;"","◄ Set Row Type","")))</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IF($B144&lt;&gt;"Challan","",SUMIF('Q1 Data'!$D$4:$D$207,D144,'Q1 Data'!$AD$4:$AD$207)+SUMIF('Q1 Data'!$D$4:$D$207,D144,'Q1 Data'!$AG$4:$AG$207)+SUMIF('Q1 Data'!$D$4:$D$207,D144,'Q1 Data'!$AE$4:$AE$207)+SUMIF('Q2 Data'!$D$4:$D$207,D144,'Q2 Data'!$AD$4:$AD$207)+SUMIF('Q2 Data'!$D$4:$D$207,D144,'Q2 Data'!$AG$4:$AG$207)+SUMIF('Q2 Data'!$D$4:$D$207,D144,'Q2 Data'!$AE$4:$AE$207)+SUMIF('Q3 Data'!$D$4:$D$207,D144,'Q3 Data'!$AD$4:$AD$207)+SUMIF('Q3 Data'!$D$4:$D$207,D144,'Q3 Data'!$AG$4:$AG$207)+SUMIF('Q3 Data'!$D$4:$D$207,D144,'Q3 Data'!$AE$4:$AE$207)+SUMIF('Q4 Data'!$D$4:$D$207,D144,'Q4 Data'!$AD$4:$AD$207)+SUMIF('Q4 Data'!$D$4:$D$207,D144,'Q4 Data'!$AG$4:$AG$207)+SUMIF('Q4 Data'!$D$4:$D$207,D144,'Q4 Data'!$AE$4:$AE$207))</f>
      </c>
      <c r="AO144" s="27">
        <f>IF($B144&lt;&gt;"Challan","",P144-N144)</f>
      </c>
      <c r="AP144" s="27">
        <f>IF($B144&lt;&gt;"Challan","",MAX(0,AO144-AN144))</f>
      </c>
      <c r="AQ144" s="33">
        <f>IF($B144&lt;&gt;"Entry","",SUMPRODUCT(('Q1 Data'!$D$4:$D$207=D144)*('Q1 Data'!$B$4:$B$207="Challan")*'Q1 Data'!$F$4:$F$207)+SUMPRODUCT(('Q2 Data'!$D$4:$D$207=D144)*('Q2 Data'!$B$4:$B$207="Challan")*'Q2 Data'!$F$4:$F$207)+SUMPRODUCT(('Q3 Data'!$D$4:$D$207=D144)*('Q3 Data'!$B$4:$B$207="Challan")*'Q3 Data'!$F$4:$F$207)+SUMPRODUCT(('Q4 Data'!$D$4:$D$207=D144)*('Q4 Data'!$B$4:$B$207="Challan")*'Q4 Data'!$F$4:$F$207))</f>
      </c>
      <c r="AR144" s="34">
        <f>IF(OR($B144&lt;&gt;"Entry",Z144=""),FALSE,AND((SUMPRODUCT(('Q1 Data'!$D$4:$D$207=D144)*('Q1 Data'!$B$4:$B$207="Challan")*('Q1 Data'!$H$4:$H$207&lt;&gt;""))+SUMPRODUCT(('Q2 Data'!$D$4:$D$207=D144)*('Q2 Data'!$B$4:$B$207="Challan")*('Q2 Data'!$H$4:$H$207&lt;&gt;""))+SUMPRODUCT(('Q3 Data'!$D$4:$D$207=D144)*('Q3 Data'!$B$4:$B$207="Challan")*('Q3 Data'!$H$4:$H$207&lt;&gt;""))+SUMPRODUCT(('Q4 Data'!$D$4:$D$207=D144)*('Q4 Data'!$B$4:$B$207="Challan")*('Q4 Data'!$H$4:$H$207&lt;&gt;"")))&gt;0,(SUMPRODUCT(('Q1 Data'!$D$4:$D$207=D144)*('Q1 Data'!$B$4:$B$207="Challan")*('Q1 Data'!$H$4:$H$207=Z144))+SUMPRODUCT(('Q2 Data'!$D$4:$D$207=D144)*('Q2 Data'!$B$4:$B$207="Challan")*('Q2 Data'!$H$4:$H$207=Z144))+SUMPRODUCT(('Q3 Data'!$D$4:$D$207=D144)*('Q3 Data'!$B$4:$B$207="Challan")*('Q3 Data'!$H$4:$H$207=Z144))+SUMPRODUCT(('Q4 Data'!$D$4:$D$207=D144)*('Q4 Data'!$B$4:$B$207="Challan")*('Q4 Data'!$H$4:$H$207=Z144)))=0))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IF($B145="Challan","",IF(W145&lt;&gt;"","◄ Set Row Type","")))</f>
      </c>
      <c r="Y145" s="23">
        <f>IF($B145="Entry",IF(LEN(W145)&lt;4,"",IF(UPPER(MID(W145,4,1))="P","Individual",IF(UPPER(MID(W145,4,1))="H","HUF",IF(UPPER(MID(W145,4,1))="C","Company",IF(UPPER(MID(W145,4,1))="F","Firm/LLP",IF(UPPER(MID(W145,4,1))="L","Local Authority",IF(UPPER(MID(W145,4,1))="T","Trust",IF(UPPER(MID(W145,4,1))="A","AOP",IF(UPPER(MID(W145,4,1))="B","BOI",IF(UPPER(MID(W145,4,1))="J","AJP",IF(UPPER(MID(W145,4,1))="G","Government",""))))))))))),IF($B145="Challan","",IF(W145&lt;&gt;"","◄ Set Row Type","")))</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IF($B145&lt;&gt;"Challan","",SUMIF('Q1 Data'!$D$4:$D$207,D145,'Q1 Data'!$AD$4:$AD$207)+SUMIF('Q1 Data'!$D$4:$D$207,D145,'Q1 Data'!$AG$4:$AG$207)+SUMIF('Q1 Data'!$D$4:$D$207,D145,'Q1 Data'!$AE$4:$AE$207)+SUMIF('Q2 Data'!$D$4:$D$207,D145,'Q2 Data'!$AD$4:$AD$207)+SUMIF('Q2 Data'!$D$4:$D$207,D145,'Q2 Data'!$AG$4:$AG$207)+SUMIF('Q2 Data'!$D$4:$D$207,D145,'Q2 Data'!$AE$4:$AE$207)+SUMIF('Q3 Data'!$D$4:$D$207,D145,'Q3 Data'!$AD$4:$AD$207)+SUMIF('Q3 Data'!$D$4:$D$207,D145,'Q3 Data'!$AG$4:$AG$207)+SUMIF('Q3 Data'!$D$4:$D$207,D145,'Q3 Data'!$AE$4:$AE$207)+SUMIF('Q4 Data'!$D$4:$D$207,D145,'Q4 Data'!$AD$4:$AD$207)+SUMIF('Q4 Data'!$D$4:$D$207,D145,'Q4 Data'!$AG$4:$AG$207)+SUMIF('Q4 Data'!$D$4:$D$207,D145,'Q4 Data'!$AE$4:$AE$207))</f>
      </c>
      <c r="AO145" s="27">
        <f>IF($B145&lt;&gt;"Challan","",P145-N145)</f>
      </c>
      <c r="AP145" s="27">
        <f>IF($B145&lt;&gt;"Challan","",MAX(0,AO145-AN145))</f>
      </c>
      <c r="AQ145" s="33">
        <f>IF($B145&lt;&gt;"Entry","",SUMPRODUCT(('Q1 Data'!$D$4:$D$207=D145)*('Q1 Data'!$B$4:$B$207="Challan")*'Q1 Data'!$F$4:$F$207)+SUMPRODUCT(('Q2 Data'!$D$4:$D$207=D145)*('Q2 Data'!$B$4:$B$207="Challan")*'Q2 Data'!$F$4:$F$207)+SUMPRODUCT(('Q3 Data'!$D$4:$D$207=D145)*('Q3 Data'!$B$4:$B$207="Challan")*'Q3 Data'!$F$4:$F$207)+SUMPRODUCT(('Q4 Data'!$D$4:$D$207=D145)*('Q4 Data'!$B$4:$B$207="Challan")*'Q4 Data'!$F$4:$F$207))</f>
      </c>
      <c r="AR145" s="34">
        <f>IF(OR($B145&lt;&gt;"Entry",Z145=""),FALSE,AND((SUMPRODUCT(('Q1 Data'!$D$4:$D$207=D145)*('Q1 Data'!$B$4:$B$207="Challan")*('Q1 Data'!$H$4:$H$207&lt;&gt;""))+SUMPRODUCT(('Q2 Data'!$D$4:$D$207=D145)*('Q2 Data'!$B$4:$B$207="Challan")*('Q2 Data'!$H$4:$H$207&lt;&gt;""))+SUMPRODUCT(('Q3 Data'!$D$4:$D$207=D145)*('Q3 Data'!$B$4:$B$207="Challan")*('Q3 Data'!$H$4:$H$207&lt;&gt;""))+SUMPRODUCT(('Q4 Data'!$D$4:$D$207=D145)*('Q4 Data'!$B$4:$B$207="Challan")*('Q4 Data'!$H$4:$H$207&lt;&gt;"")))&gt;0,(SUMPRODUCT(('Q1 Data'!$D$4:$D$207=D145)*('Q1 Data'!$B$4:$B$207="Challan")*('Q1 Data'!$H$4:$H$207=Z145))+SUMPRODUCT(('Q2 Data'!$D$4:$D$207=D145)*('Q2 Data'!$B$4:$B$207="Challan")*('Q2 Data'!$H$4:$H$207=Z145))+SUMPRODUCT(('Q3 Data'!$D$4:$D$207=D145)*('Q3 Data'!$B$4:$B$207="Challan")*('Q3 Data'!$H$4:$H$207=Z145))+SUMPRODUCT(('Q4 Data'!$D$4:$D$207=D145)*('Q4 Data'!$B$4:$B$207="Challan")*('Q4 Data'!$H$4:$H$207=Z145)))=0))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IF($B146="Challan","",IF(W146&lt;&gt;"","◄ Set Row Type","")))</f>
      </c>
      <c r="Y146" s="23">
        <f>IF($B146="Entry",IF(LEN(W146)&lt;4,"",IF(UPPER(MID(W146,4,1))="P","Individual",IF(UPPER(MID(W146,4,1))="H","HUF",IF(UPPER(MID(W146,4,1))="C","Company",IF(UPPER(MID(W146,4,1))="F","Firm/LLP",IF(UPPER(MID(W146,4,1))="L","Local Authority",IF(UPPER(MID(W146,4,1))="T","Trust",IF(UPPER(MID(W146,4,1))="A","AOP",IF(UPPER(MID(W146,4,1))="B","BOI",IF(UPPER(MID(W146,4,1))="J","AJP",IF(UPPER(MID(W146,4,1))="G","Government",""))))))))))),IF($B146="Challan","",IF(W146&lt;&gt;"","◄ Set Row Type","")))</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IF($B146&lt;&gt;"Challan","",SUMIF('Q1 Data'!$D$4:$D$207,D146,'Q1 Data'!$AD$4:$AD$207)+SUMIF('Q1 Data'!$D$4:$D$207,D146,'Q1 Data'!$AG$4:$AG$207)+SUMIF('Q1 Data'!$D$4:$D$207,D146,'Q1 Data'!$AE$4:$AE$207)+SUMIF('Q2 Data'!$D$4:$D$207,D146,'Q2 Data'!$AD$4:$AD$207)+SUMIF('Q2 Data'!$D$4:$D$207,D146,'Q2 Data'!$AG$4:$AG$207)+SUMIF('Q2 Data'!$D$4:$D$207,D146,'Q2 Data'!$AE$4:$AE$207)+SUMIF('Q3 Data'!$D$4:$D$207,D146,'Q3 Data'!$AD$4:$AD$207)+SUMIF('Q3 Data'!$D$4:$D$207,D146,'Q3 Data'!$AG$4:$AG$207)+SUMIF('Q3 Data'!$D$4:$D$207,D146,'Q3 Data'!$AE$4:$AE$207)+SUMIF('Q4 Data'!$D$4:$D$207,D146,'Q4 Data'!$AD$4:$AD$207)+SUMIF('Q4 Data'!$D$4:$D$207,D146,'Q4 Data'!$AG$4:$AG$207)+SUMIF('Q4 Data'!$D$4:$D$207,D146,'Q4 Data'!$AE$4:$AE$207))</f>
      </c>
      <c r="AO146" s="27">
        <f>IF($B146&lt;&gt;"Challan","",P146-N146)</f>
      </c>
      <c r="AP146" s="27">
        <f>IF($B146&lt;&gt;"Challan","",MAX(0,AO146-AN146))</f>
      </c>
      <c r="AQ146" s="33">
        <f>IF($B146&lt;&gt;"Entry","",SUMPRODUCT(('Q1 Data'!$D$4:$D$207=D146)*('Q1 Data'!$B$4:$B$207="Challan")*'Q1 Data'!$F$4:$F$207)+SUMPRODUCT(('Q2 Data'!$D$4:$D$207=D146)*('Q2 Data'!$B$4:$B$207="Challan")*'Q2 Data'!$F$4:$F$207)+SUMPRODUCT(('Q3 Data'!$D$4:$D$207=D146)*('Q3 Data'!$B$4:$B$207="Challan")*'Q3 Data'!$F$4:$F$207)+SUMPRODUCT(('Q4 Data'!$D$4:$D$207=D146)*('Q4 Data'!$B$4:$B$207="Challan")*'Q4 Data'!$F$4:$F$207))</f>
      </c>
      <c r="AR146" s="34">
        <f>IF(OR($B146&lt;&gt;"Entry",Z146=""),FALSE,AND((SUMPRODUCT(('Q1 Data'!$D$4:$D$207=D146)*('Q1 Data'!$B$4:$B$207="Challan")*('Q1 Data'!$H$4:$H$207&lt;&gt;""))+SUMPRODUCT(('Q2 Data'!$D$4:$D$207=D146)*('Q2 Data'!$B$4:$B$207="Challan")*('Q2 Data'!$H$4:$H$207&lt;&gt;""))+SUMPRODUCT(('Q3 Data'!$D$4:$D$207=D146)*('Q3 Data'!$B$4:$B$207="Challan")*('Q3 Data'!$H$4:$H$207&lt;&gt;""))+SUMPRODUCT(('Q4 Data'!$D$4:$D$207=D146)*('Q4 Data'!$B$4:$B$207="Challan")*('Q4 Data'!$H$4:$H$207&lt;&gt;"")))&gt;0,(SUMPRODUCT(('Q1 Data'!$D$4:$D$207=D146)*('Q1 Data'!$B$4:$B$207="Challan")*('Q1 Data'!$H$4:$H$207=Z146))+SUMPRODUCT(('Q2 Data'!$D$4:$D$207=D146)*('Q2 Data'!$B$4:$B$207="Challan")*('Q2 Data'!$H$4:$H$207=Z146))+SUMPRODUCT(('Q3 Data'!$D$4:$D$207=D146)*('Q3 Data'!$B$4:$B$207="Challan")*('Q3 Data'!$H$4:$H$207=Z146))+SUMPRODUCT(('Q4 Data'!$D$4:$D$207=D146)*('Q4 Data'!$B$4:$B$207="Challan")*('Q4 Data'!$H$4:$H$207=Z146)))=0))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IF($B147="Challan","",IF(W147&lt;&gt;"","◄ Set Row Type","")))</f>
      </c>
      <c r="Y147" s="23">
        <f>IF($B147="Entry",IF(LEN(W147)&lt;4,"",IF(UPPER(MID(W147,4,1))="P","Individual",IF(UPPER(MID(W147,4,1))="H","HUF",IF(UPPER(MID(W147,4,1))="C","Company",IF(UPPER(MID(W147,4,1))="F","Firm/LLP",IF(UPPER(MID(W147,4,1))="L","Local Authority",IF(UPPER(MID(W147,4,1))="T","Trust",IF(UPPER(MID(W147,4,1))="A","AOP",IF(UPPER(MID(W147,4,1))="B","BOI",IF(UPPER(MID(W147,4,1))="J","AJP",IF(UPPER(MID(W147,4,1))="G","Government",""))))))))))),IF($B147="Challan","",IF(W147&lt;&gt;"","◄ Set Row Type","")))</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IF($B147&lt;&gt;"Challan","",SUMIF('Q1 Data'!$D$4:$D$207,D147,'Q1 Data'!$AD$4:$AD$207)+SUMIF('Q1 Data'!$D$4:$D$207,D147,'Q1 Data'!$AG$4:$AG$207)+SUMIF('Q1 Data'!$D$4:$D$207,D147,'Q1 Data'!$AE$4:$AE$207)+SUMIF('Q2 Data'!$D$4:$D$207,D147,'Q2 Data'!$AD$4:$AD$207)+SUMIF('Q2 Data'!$D$4:$D$207,D147,'Q2 Data'!$AG$4:$AG$207)+SUMIF('Q2 Data'!$D$4:$D$207,D147,'Q2 Data'!$AE$4:$AE$207)+SUMIF('Q3 Data'!$D$4:$D$207,D147,'Q3 Data'!$AD$4:$AD$207)+SUMIF('Q3 Data'!$D$4:$D$207,D147,'Q3 Data'!$AG$4:$AG$207)+SUMIF('Q3 Data'!$D$4:$D$207,D147,'Q3 Data'!$AE$4:$AE$207)+SUMIF('Q4 Data'!$D$4:$D$207,D147,'Q4 Data'!$AD$4:$AD$207)+SUMIF('Q4 Data'!$D$4:$D$207,D147,'Q4 Data'!$AG$4:$AG$207)+SUMIF('Q4 Data'!$D$4:$D$207,D147,'Q4 Data'!$AE$4:$AE$207))</f>
      </c>
      <c r="AO147" s="27">
        <f>IF($B147&lt;&gt;"Challan","",P147-N147)</f>
      </c>
      <c r="AP147" s="27">
        <f>IF($B147&lt;&gt;"Challan","",MAX(0,AO147-AN147))</f>
      </c>
      <c r="AQ147" s="33">
        <f>IF($B147&lt;&gt;"Entry","",SUMPRODUCT(('Q1 Data'!$D$4:$D$207=D147)*('Q1 Data'!$B$4:$B$207="Challan")*'Q1 Data'!$F$4:$F$207)+SUMPRODUCT(('Q2 Data'!$D$4:$D$207=D147)*('Q2 Data'!$B$4:$B$207="Challan")*'Q2 Data'!$F$4:$F$207)+SUMPRODUCT(('Q3 Data'!$D$4:$D$207=D147)*('Q3 Data'!$B$4:$B$207="Challan")*'Q3 Data'!$F$4:$F$207)+SUMPRODUCT(('Q4 Data'!$D$4:$D$207=D147)*('Q4 Data'!$B$4:$B$207="Challan")*'Q4 Data'!$F$4:$F$207))</f>
      </c>
      <c r="AR147" s="34">
        <f>IF(OR($B147&lt;&gt;"Entry",Z147=""),FALSE,AND((SUMPRODUCT(('Q1 Data'!$D$4:$D$207=D147)*('Q1 Data'!$B$4:$B$207="Challan")*('Q1 Data'!$H$4:$H$207&lt;&gt;""))+SUMPRODUCT(('Q2 Data'!$D$4:$D$207=D147)*('Q2 Data'!$B$4:$B$207="Challan")*('Q2 Data'!$H$4:$H$207&lt;&gt;""))+SUMPRODUCT(('Q3 Data'!$D$4:$D$207=D147)*('Q3 Data'!$B$4:$B$207="Challan")*('Q3 Data'!$H$4:$H$207&lt;&gt;""))+SUMPRODUCT(('Q4 Data'!$D$4:$D$207=D147)*('Q4 Data'!$B$4:$B$207="Challan")*('Q4 Data'!$H$4:$H$207&lt;&gt;"")))&gt;0,(SUMPRODUCT(('Q1 Data'!$D$4:$D$207=D147)*('Q1 Data'!$B$4:$B$207="Challan")*('Q1 Data'!$H$4:$H$207=Z147))+SUMPRODUCT(('Q2 Data'!$D$4:$D$207=D147)*('Q2 Data'!$B$4:$B$207="Challan")*('Q2 Data'!$H$4:$H$207=Z147))+SUMPRODUCT(('Q3 Data'!$D$4:$D$207=D147)*('Q3 Data'!$B$4:$B$207="Challan")*('Q3 Data'!$H$4:$H$207=Z147))+SUMPRODUCT(('Q4 Data'!$D$4:$D$207=D147)*('Q4 Data'!$B$4:$B$207="Challan")*('Q4 Data'!$H$4:$H$207=Z147)))=0))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IF($B148="Challan","",IF(W148&lt;&gt;"","◄ Set Row Type","")))</f>
      </c>
      <c r="Y148" s="23">
        <f>IF($B148="Entry",IF(LEN(W148)&lt;4,"",IF(UPPER(MID(W148,4,1))="P","Individual",IF(UPPER(MID(W148,4,1))="H","HUF",IF(UPPER(MID(W148,4,1))="C","Company",IF(UPPER(MID(W148,4,1))="F","Firm/LLP",IF(UPPER(MID(W148,4,1))="L","Local Authority",IF(UPPER(MID(W148,4,1))="T","Trust",IF(UPPER(MID(W148,4,1))="A","AOP",IF(UPPER(MID(W148,4,1))="B","BOI",IF(UPPER(MID(W148,4,1))="J","AJP",IF(UPPER(MID(W148,4,1))="G","Government",""))))))))))),IF($B148="Challan","",IF(W148&lt;&gt;"","◄ Set Row Type","")))</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IF($B148&lt;&gt;"Challan","",SUMIF('Q1 Data'!$D$4:$D$207,D148,'Q1 Data'!$AD$4:$AD$207)+SUMIF('Q1 Data'!$D$4:$D$207,D148,'Q1 Data'!$AG$4:$AG$207)+SUMIF('Q1 Data'!$D$4:$D$207,D148,'Q1 Data'!$AE$4:$AE$207)+SUMIF('Q2 Data'!$D$4:$D$207,D148,'Q2 Data'!$AD$4:$AD$207)+SUMIF('Q2 Data'!$D$4:$D$207,D148,'Q2 Data'!$AG$4:$AG$207)+SUMIF('Q2 Data'!$D$4:$D$207,D148,'Q2 Data'!$AE$4:$AE$207)+SUMIF('Q3 Data'!$D$4:$D$207,D148,'Q3 Data'!$AD$4:$AD$207)+SUMIF('Q3 Data'!$D$4:$D$207,D148,'Q3 Data'!$AG$4:$AG$207)+SUMIF('Q3 Data'!$D$4:$D$207,D148,'Q3 Data'!$AE$4:$AE$207)+SUMIF('Q4 Data'!$D$4:$D$207,D148,'Q4 Data'!$AD$4:$AD$207)+SUMIF('Q4 Data'!$D$4:$D$207,D148,'Q4 Data'!$AG$4:$AG$207)+SUMIF('Q4 Data'!$D$4:$D$207,D148,'Q4 Data'!$AE$4:$AE$207))</f>
      </c>
      <c r="AO148" s="27">
        <f>IF($B148&lt;&gt;"Challan","",P148-N148)</f>
      </c>
      <c r="AP148" s="27">
        <f>IF($B148&lt;&gt;"Challan","",MAX(0,AO148-AN148))</f>
      </c>
      <c r="AQ148" s="33">
        <f>IF($B148&lt;&gt;"Entry","",SUMPRODUCT(('Q1 Data'!$D$4:$D$207=D148)*('Q1 Data'!$B$4:$B$207="Challan")*'Q1 Data'!$F$4:$F$207)+SUMPRODUCT(('Q2 Data'!$D$4:$D$207=D148)*('Q2 Data'!$B$4:$B$207="Challan")*'Q2 Data'!$F$4:$F$207)+SUMPRODUCT(('Q3 Data'!$D$4:$D$207=D148)*('Q3 Data'!$B$4:$B$207="Challan")*'Q3 Data'!$F$4:$F$207)+SUMPRODUCT(('Q4 Data'!$D$4:$D$207=D148)*('Q4 Data'!$B$4:$B$207="Challan")*'Q4 Data'!$F$4:$F$207))</f>
      </c>
      <c r="AR148" s="34">
        <f>IF(OR($B148&lt;&gt;"Entry",Z148=""),FALSE,AND((SUMPRODUCT(('Q1 Data'!$D$4:$D$207=D148)*('Q1 Data'!$B$4:$B$207="Challan")*('Q1 Data'!$H$4:$H$207&lt;&gt;""))+SUMPRODUCT(('Q2 Data'!$D$4:$D$207=D148)*('Q2 Data'!$B$4:$B$207="Challan")*('Q2 Data'!$H$4:$H$207&lt;&gt;""))+SUMPRODUCT(('Q3 Data'!$D$4:$D$207=D148)*('Q3 Data'!$B$4:$B$207="Challan")*('Q3 Data'!$H$4:$H$207&lt;&gt;""))+SUMPRODUCT(('Q4 Data'!$D$4:$D$207=D148)*('Q4 Data'!$B$4:$B$207="Challan")*('Q4 Data'!$H$4:$H$207&lt;&gt;"")))&gt;0,(SUMPRODUCT(('Q1 Data'!$D$4:$D$207=D148)*('Q1 Data'!$B$4:$B$207="Challan")*('Q1 Data'!$H$4:$H$207=Z148))+SUMPRODUCT(('Q2 Data'!$D$4:$D$207=D148)*('Q2 Data'!$B$4:$B$207="Challan")*('Q2 Data'!$H$4:$H$207=Z148))+SUMPRODUCT(('Q3 Data'!$D$4:$D$207=D148)*('Q3 Data'!$B$4:$B$207="Challan")*('Q3 Data'!$H$4:$H$207=Z148))+SUMPRODUCT(('Q4 Data'!$D$4:$D$207=D148)*('Q4 Data'!$B$4:$B$207="Challan")*('Q4 Data'!$H$4:$H$207=Z148)))=0))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IF($B149="Challan","",IF(W149&lt;&gt;"","◄ Set Row Type","")))</f>
      </c>
      <c r="Y149" s="23">
        <f>IF($B149="Entry",IF(LEN(W149)&lt;4,"",IF(UPPER(MID(W149,4,1))="P","Individual",IF(UPPER(MID(W149,4,1))="H","HUF",IF(UPPER(MID(W149,4,1))="C","Company",IF(UPPER(MID(W149,4,1))="F","Firm/LLP",IF(UPPER(MID(W149,4,1))="L","Local Authority",IF(UPPER(MID(W149,4,1))="T","Trust",IF(UPPER(MID(W149,4,1))="A","AOP",IF(UPPER(MID(W149,4,1))="B","BOI",IF(UPPER(MID(W149,4,1))="J","AJP",IF(UPPER(MID(W149,4,1))="G","Government",""))))))))))),IF($B149="Challan","",IF(W149&lt;&gt;"","◄ Set Row Type","")))</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IF($B149&lt;&gt;"Challan","",SUMIF('Q1 Data'!$D$4:$D$207,D149,'Q1 Data'!$AD$4:$AD$207)+SUMIF('Q1 Data'!$D$4:$D$207,D149,'Q1 Data'!$AG$4:$AG$207)+SUMIF('Q1 Data'!$D$4:$D$207,D149,'Q1 Data'!$AE$4:$AE$207)+SUMIF('Q2 Data'!$D$4:$D$207,D149,'Q2 Data'!$AD$4:$AD$207)+SUMIF('Q2 Data'!$D$4:$D$207,D149,'Q2 Data'!$AG$4:$AG$207)+SUMIF('Q2 Data'!$D$4:$D$207,D149,'Q2 Data'!$AE$4:$AE$207)+SUMIF('Q3 Data'!$D$4:$D$207,D149,'Q3 Data'!$AD$4:$AD$207)+SUMIF('Q3 Data'!$D$4:$D$207,D149,'Q3 Data'!$AG$4:$AG$207)+SUMIF('Q3 Data'!$D$4:$D$207,D149,'Q3 Data'!$AE$4:$AE$207)+SUMIF('Q4 Data'!$D$4:$D$207,D149,'Q4 Data'!$AD$4:$AD$207)+SUMIF('Q4 Data'!$D$4:$D$207,D149,'Q4 Data'!$AG$4:$AG$207)+SUMIF('Q4 Data'!$D$4:$D$207,D149,'Q4 Data'!$AE$4:$AE$207))</f>
      </c>
      <c r="AO149" s="27">
        <f>IF($B149&lt;&gt;"Challan","",P149-N149)</f>
      </c>
      <c r="AP149" s="27">
        <f>IF($B149&lt;&gt;"Challan","",MAX(0,AO149-AN149))</f>
      </c>
      <c r="AQ149" s="33">
        <f>IF($B149&lt;&gt;"Entry","",SUMPRODUCT(('Q1 Data'!$D$4:$D$207=D149)*('Q1 Data'!$B$4:$B$207="Challan")*'Q1 Data'!$F$4:$F$207)+SUMPRODUCT(('Q2 Data'!$D$4:$D$207=D149)*('Q2 Data'!$B$4:$B$207="Challan")*'Q2 Data'!$F$4:$F$207)+SUMPRODUCT(('Q3 Data'!$D$4:$D$207=D149)*('Q3 Data'!$B$4:$B$207="Challan")*'Q3 Data'!$F$4:$F$207)+SUMPRODUCT(('Q4 Data'!$D$4:$D$207=D149)*('Q4 Data'!$B$4:$B$207="Challan")*'Q4 Data'!$F$4:$F$207))</f>
      </c>
      <c r="AR149" s="34">
        <f>IF(OR($B149&lt;&gt;"Entry",Z149=""),FALSE,AND((SUMPRODUCT(('Q1 Data'!$D$4:$D$207=D149)*('Q1 Data'!$B$4:$B$207="Challan")*('Q1 Data'!$H$4:$H$207&lt;&gt;""))+SUMPRODUCT(('Q2 Data'!$D$4:$D$207=D149)*('Q2 Data'!$B$4:$B$207="Challan")*('Q2 Data'!$H$4:$H$207&lt;&gt;""))+SUMPRODUCT(('Q3 Data'!$D$4:$D$207=D149)*('Q3 Data'!$B$4:$B$207="Challan")*('Q3 Data'!$H$4:$H$207&lt;&gt;""))+SUMPRODUCT(('Q4 Data'!$D$4:$D$207=D149)*('Q4 Data'!$B$4:$B$207="Challan")*('Q4 Data'!$H$4:$H$207&lt;&gt;"")))&gt;0,(SUMPRODUCT(('Q1 Data'!$D$4:$D$207=D149)*('Q1 Data'!$B$4:$B$207="Challan")*('Q1 Data'!$H$4:$H$207=Z149))+SUMPRODUCT(('Q2 Data'!$D$4:$D$207=D149)*('Q2 Data'!$B$4:$B$207="Challan")*('Q2 Data'!$H$4:$H$207=Z149))+SUMPRODUCT(('Q3 Data'!$D$4:$D$207=D149)*('Q3 Data'!$B$4:$B$207="Challan")*('Q3 Data'!$H$4:$H$207=Z149))+SUMPRODUCT(('Q4 Data'!$D$4:$D$207=D149)*('Q4 Data'!$B$4:$B$207="Challan")*('Q4 Data'!$H$4:$H$207=Z149)))=0))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IF($B150="Challan","",IF(W150&lt;&gt;"","◄ Set Row Type","")))</f>
      </c>
      <c r="Y150" s="23">
        <f>IF($B150="Entry",IF(LEN(W150)&lt;4,"",IF(UPPER(MID(W150,4,1))="P","Individual",IF(UPPER(MID(W150,4,1))="H","HUF",IF(UPPER(MID(W150,4,1))="C","Company",IF(UPPER(MID(W150,4,1))="F","Firm/LLP",IF(UPPER(MID(W150,4,1))="L","Local Authority",IF(UPPER(MID(W150,4,1))="T","Trust",IF(UPPER(MID(W150,4,1))="A","AOP",IF(UPPER(MID(W150,4,1))="B","BOI",IF(UPPER(MID(W150,4,1))="J","AJP",IF(UPPER(MID(W150,4,1))="G","Government",""))))))))))),IF($B150="Challan","",IF(W150&lt;&gt;"","◄ Set Row Type","")))</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IF($B150&lt;&gt;"Challan","",SUMIF('Q1 Data'!$D$4:$D$207,D150,'Q1 Data'!$AD$4:$AD$207)+SUMIF('Q1 Data'!$D$4:$D$207,D150,'Q1 Data'!$AG$4:$AG$207)+SUMIF('Q1 Data'!$D$4:$D$207,D150,'Q1 Data'!$AE$4:$AE$207)+SUMIF('Q2 Data'!$D$4:$D$207,D150,'Q2 Data'!$AD$4:$AD$207)+SUMIF('Q2 Data'!$D$4:$D$207,D150,'Q2 Data'!$AG$4:$AG$207)+SUMIF('Q2 Data'!$D$4:$D$207,D150,'Q2 Data'!$AE$4:$AE$207)+SUMIF('Q3 Data'!$D$4:$D$207,D150,'Q3 Data'!$AD$4:$AD$207)+SUMIF('Q3 Data'!$D$4:$D$207,D150,'Q3 Data'!$AG$4:$AG$207)+SUMIF('Q3 Data'!$D$4:$D$207,D150,'Q3 Data'!$AE$4:$AE$207)+SUMIF('Q4 Data'!$D$4:$D$207,D150,'Q4 Data'!$AD$4:$AD$207)+SUMIF('Q4 Data'!$D$4:$D$207,D150,'Q4 Data'!$AG$4:$AG$207)+SUMIF('Q4 Data'!$D$4:$D$207,D150,'Q4 Data'!$AE$4:$AE$207))</f>
      </c>
      <c r="AO150" s="27">
        <f>IF($B150&lt;&gt;"Challan","",P150-N150)</f>
      </c>
      <c r="AP150" s="27">
        <f>IF($B150&lt;&gt;"Challan","",MAX(0,AO150-AN150))</f>
      </c>
      <c r="AQ150" s="33">
        <f>IF($B150&lt;&gt;"Entry","",SUMPRODUCT(('Q1 Data'!$D$4:$D$207=D150)*('Q1 Data'!$B$4:$B$207="Challan")*'Q1 Data'!$F$4:$F$207)+SUMPRODUCT(('Q2 Data'!$D$4:$D$207=D150)*('Q2 Data'!$B$4:$B$207="Challan")*'Q2 Data'!$F$4:$F$207)+SUMPRODUCT(('Q3 Data'!$D$4:$D$207=D150)*('Q3 Data'!$B$4:$B$207="Challan")*'Q3 Data'!$F$4:$F$207)+SUMPRODUCT(('Q4 Data'!$D$4:$D$207=D150)*('Q4 Data'!$B$4:$B$207="Challan")*'Q4 Data'!$F$4:$F$207))</f>
      </c>
      <c r="AR150" s="34">
        <f>IF(OR($B150&lt;&gt;"Entry",Z150=""),FALSE,AND((SUMPRODUCT(('Q1 Data'!$D$4:$D$207=D150)*('Q1 Data'!$B$4:$B$207="Challan")*('Q1 Data'!$H$4:$H$207&lt;&gt;""))+SUMPRODUCT(('Q2 Data'!$D$4:$D$207=D150)*('Q2 Data'!$B$4:$B$207="Challan")*('Q2 Data'!$H$4:$H$207&lt;&gt;""))+SUMPRODUCT(('Q3 Data'!$D$4:$D$207=D150)*('Q3 Data'!$B$4:$B$207="Challan")*('Q3 Data'!$H$4:$H$207&lt;&gt;""))+SUMPRODUCT(('Q4 Data'!$D$4:$D$207=D150)*('Q4 Data'!$B$4:$B$207="Challan")*('Q4 Data'!$H$4:$H$207&lt;&gt;"")))&gt;0,(SUMPRODUCT(('Q1 Data'!$D$4:$D$207=D150)*('Q1 Data'!$B$4:$B$207="Challan")*('Q1 Data'!$H$4:$H$207=Z150))+SUMPRODUCT(('Q2 Data'!$D$4:$D$207=D150)*('Q2 Data'!$B$4:$B$207="Challan")*('Q2 Data'!$H$4:$H$207=Z150))+SUMPRODUCT(('Q3 Data'!$D$4:$D$207=D150)*('Q3 Data'!$B$4:$B$207="Challan")*('Q3 Data'!$H$4:$H$207=Z150))+SUMPRODUCT(('Q4 Data'!$D$4:$D$207=D150)*('Q4 Data'!$B$4:$B$207="Challan")*('Q4 Data'!$H$4:$H$207=Z150)))=0))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IF($B151="Challan","",IF(W151&lt;&gt;"","◄ Set Row Type","")))</f>
      </c>
      <c r="Y151" s="23">
        <f>IF($B151="Entry",IF(LEN(W151)&lt;4,"",IF(UPPER(MID(W151,4,1))="P","Individual",IF(UPPER(MID(W151,4,1))="H","HUF",IF(UPPER(MID(W151,4,1))="C","Company",IF(UPPER(MID(W151,4,1))="F","Firm/LLP",IF(UPPER(MID(W151,4,1))="L","Local Authority",IF(UPPER(MID(W151,4,1))="T","Trust",IF(UPPER(MID(W151,4,1))="A","AOP",IF(UPPER(MID(W151,4,1))="B","BOI",IF(UPPER(MID(W151,4,1))="J","AJP",IF(UPPER(MID(W151,4,1))="G","Government",""))))))))))),IF($B151="Challan","",IF(W151&lt;&gt;"","◄ Set Row Type","")))</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IF($B151&lt;&gt;"Challan","",SUMIF('Q1 Data'!$D$4:$D$207,D151,'Q1 Data'!$AD$4:$AD$207)+SUMIF('Q1 Data'!$D$4:$D$207,D151,'Q1 Data'!$AG$4:$AG$207)+SUMIF('Q1 Data'!$D$4:$D$207,D151,'Q1 Data'!$AE$4:$AE$207)+SUMIF('Q2 Data'!$D$4:$D$207,D151,'Q2 Data'!$AD$4:$AD$207)+SUMIF('Q2 Data'!$D$4:$D$207,D151,'Q2 Data'!$AG$4:$AG$207)+SUMIF('Q2 Data'!$D$4:$D$207,D151,'Q2 Data'!$AE$4:$AE$207)+SUMIF('Q3 Data'!$D$4:$D$207,D151,'Q3 Data'!$AD$4:$AD$207)+SUMIF('Q3 Data'!$D$4:$D$207,D151,'Q3 Data'!$AG$4:$AG$207)+SUMIF('Q3 Data'!$D$4:$D$207,D151,'Q3 Data'!$AE$4:$AE$207)+SUMIF('Q4 Data'!$D$4:$D$207,D151,'Q4 Data'!$AD$4:$AD$207)+SUMIF('Q4 Data'!$D$4:$D$207,D151,'Q4 Data'!$AG$4:$AG$207)+SUMIF('Q4 Data'!$D$4:$D$207,D151,'Q4 Data'!$AE$4:$AE$207))</f>
      </c>
      <c r="AO151" s="27">
        <f>IF($B151&lt;&gt;"Challan","",P151-N151)</f>
      </c>
      <c r="AP151" s="27">
        <f>IF($B151&lt;&gt;"Challan","",MAX(0,AO151-AN151))</f>
      </c>
      <c r="AQ151" s="33">
        <f>IF($B151&lt;&gt;"Entry","",SUMPRODUCT(('Q1 Data'!$D$4:$D$207=D151)*('Q1 Data'!$B$4:$B$207="Challan")*'Q1 Data'!$F$4:$F$207)+SUMPRODUCT(('Q2 Data'!$D$4:$D$207=D151)*('Q2 Data'!$B$4:$B$207="Challan")*'Q2 Data'!$F$4:$F$207)+SUMPRODUCT(('Q3 Data'!$D$4:$D$207=D151)*('Q3 Data'!$B$4:$B$207="Challan")*'Q3 Data'!$F$4:$F$207)+SUMPRODUCT(('Q4 Data'!$D$4:$D$207=D151)*('Q4 Data'!$B$4:$B$207="Challan")*'Q4 Data'!$F$4:$F$207))</f>
      </c>
      <c r="AR151" s="34">
        <f>IF(OR($B151&lt;&gt;"Entry",Z151=""),FALSE,AND((SUMPRODUCT(('Q1 Data'!$D$4:$D$207=D151)*('Q1 Data'!$B$4:$B$207="Challan")*('Q1 Data'!$H$4:$H$207&lt;&gt;""))+SUMPRODUCT(('Q2 Data'!$D$4:$D$207=D151)*('Q2 Data'!$B$4:$B$207="Challan")*('Q2 Data'!$H$4:$H$207&lt;&gt;""))+SUMPRODUCT(('Q3 Data'!$D$4:$D$207=D151)*('Q3 Data'!$B$4:$B$207="Challan")*('Q3 Data'!$H$4:$H$207&lt;&gt;""))+SUMPRODUCT(('Q4 Data'!$D$4:$D$207=D151)*('Q4 Data'!$B$4:$B$207="Challan")*('Q4 Data'!$H$4:$H$207&lt;&gt;"")))&gt;0,(SUMPRODUCT(('Q1 Data'!$D$4:$D$207=D151)*('Q1 Data'!$B$4:$B$207="Challan")*('Q1 Data'!$H$4:$H$207=Z151))+SUMPRODUCT(('Q2 Data'!$D$4:$D$207=D151)*('Q2 Data'!$B$4:$B$207="Challan")*('Q2 Data'!$H$4:$H$207=Z151))+SUMPRODUCT(('Q3 Data'!$D$4:$D$207=D151)*('Q3 Data'!$B$4:$B$207="Challan")*('Q3 Data'!$H$4:$H$207=Z151))+SUMPRODUCT(('Q4 Data'!$D$4:$D$207=D151)*('Q4 Data'!$B$4:$B$207="Challan")*('Q4 Data'!$H$4:$H$207=Z151)))=0))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IF($B152="Challan","",IF(W152&lt;&gt;"","◄ Set Row Type","")))</f>
      </c>
      <c r="Y152" s="23">
        <f>IF($B152="Entry",IF(LEN(W152)&lt;4,"",IF(UPPER(MID(W152,4,1))="P","Individual",IF(UPPER(MID(W152,4,1))="H","HUF",IF(UPPER(MID(W152,4,1))="C","Company",IF(UPPER(MID(W152,4,1))="F","Firm/LLP",IF(UPPER(MID(W152,4,1))="L","Local Authority",IF(UPPER(MID(W152,4,1))="T","Trust",IF(UPPER(MID(W152,4,1))="A","AOP",IF(UPPER(MID(W152,4,1))="B","BOI",IF(UPPER(MID(W152,4,1))="J","AJP",IF(UPPER(MID(W152,4,1))="G","Government",""))))))))))),IF($B152="Challan","",IF(W152&lt;&gt;"","◄ Set Row Type","")))</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IF($B152&lt;&gt;"Challan","",SUMIF('Q1 Data'!$D$4:$D$207,D152,'Q1 Data'!$AD$4:$AD$207)+SUMIF('Q1 Data'!$D$4:$D$207,D152,'Q1 Data'!$AG$4:$AG$207)+SUMIF('Q1 Data'!$D$4:$D$207,D152,'Q1 Data'!$AE$4:$AE$207)+SUMIF('Q2 Data'!$D$4:$D$207,D152,'Q2 Data'!$AD$4:$AD$207)+SUMIF('Q2 Data'!$D$4:$D$207,D152,'Q2 Data'!$AG$4:$AG$207)+SUMIF('Q2 Data'!$D$4:$D$207,D152,'Q2 Data'!$AE$4:$AE$207)+SUMIF('Q3 Data'!$D$4:$D$207,D152,'Q3 Data'!$AD$4:$AD$207)+SUMIF('Q3 Data'!$D$4:$D$207,D152,'Q3 Data'!$AG$4:$AG$207)+SUMIF('Q3 Data'!$D$4:$D$207,D152,'Q3 Data'!$AE$4:$AE$207)+SUMIF('Q4 Data'!$D$4:$D$207,D152,'Q4 Data'!$AD$4:$AD$207)+SUMIF('Q4 Data'!$D$4:$D$207,D152,'Q4 Data'!$AG$4:$AG$207)+SUMIF('Q4 Data'!$D$4:$D$207,D152,'Q4 Data'!$AE$4:$AE$207))</f>
      </c>
      <c r="AO152" s="27">
        <f>IF($B152&lt;&gt;"Challan","",P152-N152)</f>
      </c>
      <c r="AP152" s="27">
        <f>IF($B152&lt;&gt;"Challan","",MAX(0,AO152-AN152))</f>
      </c>
      <c r="AQ152" s="33">
        <f>IF($B152&lt;&gt;"Entry","",SUMPRODUCT(('Q1 Data'!$D$4:$D$207=D152)*('Q1 Data'!$B$4:$B$207="Challan")*'Q1 Data'!$F$4:$F$207)+SUMPRODUCT(('Q2 Data'!$D$4:$D$207=D152)*('Q2 Data'!$B$4:$B$207="Challan")*'Q2 Data'!$F$4:$F$207)+SUMPRODUCT(('Q3 Data'!$D$4:$D$207=D152)*('Q3 Data'!$B$4:$B$207="Challan")*'Q3 Data'!$F$4:$F$207)+SUMPRODUCT(('Q4 Data'!$D$4:$D$207=D152)*('Q4 Data'!$B$4:$B$207="Challan")*'Q4 Data'!$F$4:$F$207))</f>
      </c>
      <c r="AR152" s="34">
        <f>IF(OR($B152&lt;&gt;"Entry",Z152=""),FALSE,AND((SUMPRODUCT(('Q1 Data'!$D$4:$D$207=D152)*('Q1 Data'!$B$4:$B$207="Challan")*('Q1 Data'!$H$4:$H$207&lt;&gt;""))+SUMPRODUCT(('Q2 Data'!$D$4:$D$207=D152)*('Q2 Data'!$B$4:$B$207="Challan")*('Q2 Data'!$H$4:$H$207&lt;&gt;""))+SUMPRODUCT(('Q3 Data'!$D$4:$D$207=D152)*('Q3 Data'!$B$4:$B$207="Challan")*('Q3 Data'!$H$4:$H$207&lt;&gt;""))+SUMPRODUCT(('Q4 Data'!$D$4:$D$207=D152)*('Q4 Data'!$B$4:$B$207="Challan")*('Q4 Data'!$H$4:$H$207&lt;&gt;"")))&gt;0,(SUMPRODUCT(('Q1 Data'!$D$4:$D$207=D152)*('Q1 Data'!$B$4:$B$207="Challan")*('Q1 Data'!$H$4:$H$207=Z152))+SUMPRODUCT(('Q2 Data'!$D$4:$D$207=D152)*('Q2 Data'!$B$4:$B$207="Challan")*('Q2 Data'!$H$4:$H$207=Z152))+SUMPRODUCT(('Q3 Data'!$D$4:$D$207=D152)*('Q3 Data'!$B$4:$B$207="Challan")*('Q3 Data'!$H$4:$H$207=Z152))+SUMPRODUCT(('Q4 Data'!$D$4:$D$207=D152)*('Q4 Data'!$B$4:$B$207="Challan")*('Q4 Data'!$H$4:$H$207=Z152)))=0))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IF($B153="Challan","",IF(W153&lt;&gt;"","◄ Set Row Type","")))</f>
      </c>
      <c r="Y153" s="23">
        <f>IF($B153="Entry",IF(LEN(W153)&lt;4,"",IF(UPPER(MID(W153,4,1))="P","Individual",IF(UPPER(MID(W153,4,1))="H","HUF",IF(UPPER(MID(W153,4,1))="C","Company",IF(UPPER(MID(W153,4,1))="F","Firm/LLP",IF(UPPER(MID(W153,4,1))="L","Local Authority",IF(UPPER(MID(W153,4,1))="T","Trust",IF(UPPER(MID(W153,4,1))="A","AOP",IF(UPPER(MID(W153,4,1))="B","BOI",IF(UPPER(MID(W153,4,1))="J","AJP",IF(UPPER(MID(W153,4,1))="G","Government",""))))))))))),IF($B153="Challan","",IF(W153&lt;&gt;"","◄ Set Row Type","")))</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IF($B153&lt;&gt;"Challan","",SUMIF('Q1 Data'!$D$4:$D$207,D153,'Q1 Data'!$AD$4:$AD$207)+SUMIF('Q1 Data'!$D$4:$D$207,D153,'Q1 Data'!$AG$4:$AG$207)+SUMIF('Q1 Data'!$D$4:$D$207,D153,'Q1 Data'!$AE$4:$AE$207)+SUMIF('Q2 Data'!$D$4:$D$207,D153,'Q2 Data'!$AD$4:$AD$207)+SUMIF('Q2 Data'!$D$4:$D$207,D153,'Q2 Data'!$AG$4:$AG$207)+SUMIF('Q2 Data'!$D$4:$D$207,D153,'Q2 Data'!$AE$4:$AE$207)+SUMIF('Q3 Data'!$D$4:$D$207,D153,'Q3 Data'!$AD$4:$AD$207)+SUMIF('Q3 Data'!$D$4:$D$207,D153,'Q3 Data'!$AG$4:$AG$207)+SUMIF('Q3 Data'!$D$4:$D$207,D153,'Q3 Data'!$AE$4:$AE$207)+SUMIF('Q4 Data'!$D$4:$D$207,D153,'Q4 Data'!$AD$4:$AD$207)+SUMIF('Q4 Data'!$D$4:$D$207,D153,'Q4 Data'!$AG$4:$AG$207)+SUMIF('Q4 Data'!$D$4:$D$207,D153,'Q4 Data'!$AE$4:$AE$207))</f>
      </c>
      <c r="AO153" s="27">
        <f>IF($B153&lt;&gt;"Challan","",P153-N153)</f>
      </c>
      <c r="AP153" s="27">
        <f>IF($B153&lt;&gt;"Challan","",MAX(0,AO153-AN153))</f>
      </c>
      <c r="AQ153" s="33">
        <f>IF($B153&lt;&gt;"Entry","",SUMPRODUCT(('Q1 Data'!$D$4:$D$207=D153)*('Q1 Data'!$B$4:$B$207="Challan")*'Q1 Data'!$F$4:$F$207)+SUMPRODUCT(('Q2 Data'!$D$4:$D$207=D153)*('Q2 Data'!$B$4:$B$207="Challan")*'Q2 Data'!$F$4:$F$207)+SUMPRODUCT(('Q3 Data'!$D$4:$D$207=D153)*('Q3 Data'!$B$4:$B$207="Challan")*'Q3 Data'!$F$4:$F$207)+SUMPRODUCT(('Q4 Data'!$D$4:$D$207=D153)*('Q4 Data'!$B$4:$B$207="Challan")*'Q4 Data'!$F$4:$F$207))</f>
      </c>
      <c r="AR153" s="34">
        <f>IF(OR($B153&lt;&gt;"Entry",Z153=""),FALSE,AND((SUMPRODUCT(('Q1 Data'!$D$4:$D$207=D153)*('Q1 Data'!$B$4:$B$207="Challan")*('Q1 Data'!$H$4:$H$207&lt;&gt;""))+SUMPRODUCT(('Q2 Data'!$D$4:$D$207=D153)*('Q2 Data'!$B$4:$B$207="Challan")*('Q2 Data'!$H$4:$H$207&lt;&gt;""))+SUMPRODUCT(('Q3 Data'!$D$4:$D$207=D153)*('Q3 Data'!$B$4:$B$207="Challan")*('Q3 Data'!$H$4:$H$207&lt;&gt;""))+SUMPRODUCT(('Q4 Data'!$D$4:$D$207=D153)*('Q4 Data'!$B$4:$B$207="Challan")*('Q4 Data'!$H$4:$H$207&lt;&gt;"")))&gt;0,(SUMPRODUCT(('Q1 Data'!$D$4:$D$207=D153)*('Q1 Data'!$B$4:$B$207="Challan")*('Q1 Data'!$H$4:$H$207=Z153))+SUMPRODUCT(('Q2 Data'!$D$4:$D$207=D153)*('Q2 Data'!$B$4:$B$207="Challan")*('Q2 Data'!$H$4:$H$207=Z153))+SUMPRODUCT(('Q3 Data'!$D$4:$D$207=D153)*('Q3 Data'!$B$4:$B$207="Challan")*('Q3 Data'!$H$4:$H$207=Z153))+SUMPRODUCT(('Q4 Data'!$D$4:$D$207=D153)*('Q4 Data'!$B$4:$B$207="Challan")*('Q4 Data'!$H$4:$H$207=Z153)))=0))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IF($B154="Challan","",IF(W154&lt;&gt;"","◄ Set Row Type","")))</f>
      </c>
      <c r="Y154" s="23">
        <f>IF($B154="Entry",IF(LEN(W154)&lt;4,"",IF(UPPER(MID(W154,4,1))="P","Individual",IF(UPPER(MID(W154,4,1))="H","HUF",IF(UPPER(MID(W154,4,1))="C","Company",IF(UPPER(MID(W154,4,1))="F","Firm/LLP",IF(UPPER(MID(W154,4,1))="L","Local Authority",IF(UPPER(MID(W154,4,1))="T","Trust",IF(UPPER(MID(W154,4,1))="A","AOP",IF(UPPER(MID(W154,4,1))="B","BOI",IF(UPPER(MID(W154,4,1))="J","AJP",IF(UPPER(MID(W154,4,1))="G","Government",""))))))))))),IF($B154="Challan","",IF(W154&lt;&gt;"","◄ Set Row Type","")))</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IF($B154&lt;&gt;"Challan","",SUMIF('Q1 Data'!$D$4:$D$207,D154,'Q1 Data'!$AD$4:$AD$207)+SUMIF('Q1 Data'!$D$4:$D$207,D154,'Q1 Data'!$AG$4:$AG$207)+SUMIF('Q1 Data'!$D$4:$D$207,D154,'Q1 Data'!$AE$4:$AE$207)+SUMIF('Q2 Data'!$D$4:$D$207,D154,'Q2 Data'!$AD$4:$AD$207)+SUMIF('Q2 Data'!$D$4:$D$207,D154,'Q2 Data'!$AG$4:$AG$207)+SUMIF('Q2 Data'!$D$4:$D$207,D154,'Q2 Data'!$AE$4:$AE$207)+SUMIF('Q3 Data'!$D$4:$D$207,D154,'Q3 Data'!$AD$4:$AD$207)+SUMIF('Q3 Data'!$D$4:$D$207,D154,'Q3 Data'!$AG$4:$AG$207)+SUMIF('Q3 Data'!$D$4:$D$207,D154,'Q3 Data'!$AE$4:$AE$207)+SUMIF('Q4 Data'!$D$4:$D$207,D154,'Q4 Data'!$AD$4:$AD$207)+SUMIF('Q4 Data'!$D$4:$D$207,D154,'Q4 Data'!$AG$4:$AG$207)+SUMIF('Q4 Data'!$D$4:$D$207,D154,'Q4 Data'!$AE$4:$AE$207))</f>
      </c>
      <c r="AO154" s="27">
        <f>IF($B154&lt;&gt;"Challan","",P154-N154)</f>
      </c>
      <c r="AP154" s="27">
        <f>IF($B154&lt;&gt;"Challan","",MAX(0,AO154-AN154))</f>
      </c>
      <c r="AQ154" s="33">
        <f>IF($B154&lt;&gt;"Entry","",SUMPRODUCT(('Q1 Data'!$D$4:$D$207=D154)*('Q1 Data'!$B$4:$B$207="Challan")*'Q1 Data'!$F$4:$F$207)+SUMPRODUCT(('Q2 Data'!$D$4:$D$207=D154)*('Q2 Data'!$B$4:$B$207="Challan")*'Q2 Data'!$F$4:$F$207)+SUMPRODUCT(('Q3 Data'!$D$4:$D$207=D154)*('Q3 Data'!$B$4:$B$207="Challan")*'Q3 Data'!$F$4:$F$207)+SUMPRODUCT(('Q4 Data'!$D$4:$D$207=D154)*('Q4 Data'!$B$4:$B$207="Challan")*'Q4 Data'!$F$4:$F$207))</f>
      </c>
      <c r="AR154" s="34">
        <f>IF(OR($B154&lt;&gt;"Entry",Z154=""),FALSE,AND((SUMPRODUCT(('Q1 Data'!$D$4:$D$207=D154)*('Q1 Data'!$B$4:$B$207="Challan")*('Q1 Data'!$H$4:$H$207&lt;&gt;""))+SUMPRODUCT(('Q2 Data'!$D$4:$D$207=D154)*('Q2 Data'!$B$4:$B$207="Challan")*('Q2 Data'!$H$4:$H$207&lt;&gt;""))+SUMPRODUCT(('Q3 Data'!$D$4:$D$207=D154)*('Q3 Data'!$B$4:$B$207="Challan")*('Q3 Data'!$H$4:$H$207&lt;&gt;""))+SUMPRODUCT(('Q4 Data'!$D$4:$D$207=D154)*('Q4 Data'!$B$4:$B$207="Challan")*('Q4 Data'!$H$4:$H$207&lt;&gt;"")))&gt;0,(SUMPRODUCT(('Q1 Data'!$D$4:$D$207=D154)*('Q1 Data'!$B$4:$B$207="Challan")*('Q1 Data'!$H$4:$H$207=Z154))+SUMPRODUCT(('Q2 Data'!$D$4:$D$207=D154)*('Q2 Data'!$B$4:$B$207="Challan")*('Q2 Data'!$H$4:$H$207=Z154))+SUMPRODUCT(('Q3 Data'!$D$4:$D$207=D154)*('Q3 Data'!$B$4:$B$207="Challan")*('Q3 Data'!$H$4:$H$207=Z154))+SUMPRODUCT(('Q4 Data'!$D$4:$D$207=D154)*('Q4 Data'!$B$4:$B$207="Challan")*('Q4 Data'!$H$4:$H$207=Z154)))=0))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IF($B155="Challan","",IF(W155&lt;&gt;"","◄ Set Row Type","")))</f>
      </c>
      <c r="Y155" s="23">
        <f>IF($B155="Entry",IF(LEN(W155)&lt;4,"",IF(UPPER(MID(W155,4,1))="P","Individual",IF(UPPER(MID(W155,4,1))="H","HUF",IF(UPPER(MID(W155,4,1))="C","Company",IF(UPPER(MID(W155,4,1))="F","Firm/LLP",IF(UPPER(MID(W155,4,1))="L","Local Authority",IF(UPPER(MID(W155,4,1))="T","Trust",IF(UPPER(MID(W155,4,1))="A","AOP",IF(UPPER(MID(W155,4,1))="B","BOI",IF(UPPER(MID(W155,4,1))="J","AJP",IF(UPPER(MID(W155,4,1))="G","Government",""))))))))))),IF($B155="Challan","",IF(W155&lt;&gt;"","◄ Set Row Type","")))</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IF($B155&lt;&gt;"Challan","",SUMIF('Q1 Data'!$D$4:$D$207,D155,'Q1 Data'!$AD$4:$AD$207)+SUMIF('Q1 Data'!$D$4:$D$207,D155,'Q1 Data'!$AG$4:$AG$207)+SUMIF('Q1 Data'!$D$4:$D$207,D155,'Q1 Data'!$AE$4:$AE$207)+SUMIF('Q2 Data'!$D$4:$D$207,D155,'Q2 Data'!$AD$4:$AD$207)+SUMIF('Q2 Data'!$D$4:$D$207,D155,'Q2 Data'!$AG$4:$AG$207)+SUMIF('Q2 Data'!$D$4:$D$207,D155,'Q2 Data'!$AE$4:$AE$207)+SUMIF('Q3 Data'!$D$4:$D$207,D155,'Q3 Data'!$AD$4:$AD$207)+SUMIF('Q3 Data'!$D$4:$D$207,D155,'Q3 Data'!$AG$4:$AG$207)+SUMIF('Q3 Data'!$D$4:$D$207,D155,'Q3 Data'!$AE$4:$AE$207)+SUMIF('Q4 Data'!$D$4:$D$207,D155,'Q4 Data'!$AD$4:$AD$207)+SUMIF('Q4 Data'!$D$4:$D$207,D155,'Q4 Data'!$AG$4:$AG$207)+SUMIF('Q4 Data'!$D$4:$D$207,D155,'Q4 Data'!$AE$4:$AE$207))</f>
      </c>
      <c r="AO155" s="27">
        <f>IF($B155&lt;&gt;"Challan","",P155-N155)</f>
      </c>
      <c r="AP155" s="27">
        <f>IF($B155&lt;&gt;"Challan","",MAX(0,AO155-AN155))</f>
      </c>
      <c r="AQ155" s="33">
        <f>IF($B155&lt;&gt;"Entry","",SUMPRODUCT(('Q1 Data'!$D$4:$D$207=D155)*('Q1 Data'!$B$4:$B$207="Challan")*'Q1 Data'!$F$4:$F$207)+SUMPRODUCT(('Q2 Data'!$D$4:$D$207=D155)*('Q2 Data'!$B$4:$B$207="Challan")*'Q2 Data'!$F$4:$F$207)+SUMPRODUCT(('Q3 Data'!$D$4:$D$207=D155)*('Q3 Data'!$B$4:$B$207="Challan")*'Q3 Data'!$F$4:$F$207)+SUMPRODUCT(('Q4 Data'!$D$4:$D$207=D155)*('Q4 Data'!$B$4:$B$207="Challan")*'Q4 Data'!$F$4:$F$207))</f>
      </c>
      <c r="AR155" s="34">
        <f>IF(OR($B155&lt;&gt;"Entry",Z155=""),FALSE,AND((SUMPRODUCT(('Q1 Data'!$D$4:$D$207=D155)*('Q1 Data'!$B$4:$B$207="Challan")*('Q1 Data'!$H$4:$H$207&lt;&gt;""))+SUMPRODUCT(('Q2 Data'!$D$4:$D$207=D155)*('Q2 Data'!$B$4:$B$207="Challan")*('Q2 Data'!$H$4:$H$207&lt;&gt;""))+SUMPRODUCT(('Q3 Data'!$D$4:$D$207=D155)*('Q3 Data'!$B$4:$B$207="Challan")*('Q3 Data'!$H$4:$H$207&lt;&gt;""))+SUMPRODUCT(('Q4 Data'!$D$4:$D$207=D155)*('Q4 Data'!$B$4:$B$207="Challan")*('Q4 Data'!$H$4:$H$207&lt;&gt;"")))&gt;0,(SUMPRODUCT(('Q1 Data'!$D$4:$D$207=D155)*('Q1 Data'!$B$4:$B$207="Challan")*('Q1 Data'!$H$4:$H$207=Z155))+SUMPRODUCT(('Q2 Data'!$D$4:$D$207=D155)*('Q2 Data'!$B$4:$B$207="Challan")*('Q2 Data'!$H$4:$H$207=Z155))+SUMPRODUCT(('Q3 Data'!$D$4:$D$207=D155)*('Q3 Data'!$B$4:$B$207="Challan")*('Q3 Data'!$H$4:$H$207=Z155))+SUMPRODUCT(('Q4 Data'!$D$4:$D$207=D155)*('Q4 Data'!$B$4:$B$207="Challan")*('Q4 Data'!$H$4:$H$207=Z155)))=0))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IF($B156="Challan","",IF(W156&lt;&gt;"","◄ Set Row Type","")))</f>
      </c>
      <c r="Y156" s="23">
        <f>IF($B156="Entry",IF(LEN(W156)&lt;4,"",IF(UPPER(MID(W156,4,1))="P","Individual",IF(UPPER(MID(W156,4,1))="H","HUF",IF(UPPER(MID(W156,4,1))="C","Company",IF(UPPER(MID(W156,4,1))="F","Firm/LLP",IF(UPPER(MID(W156,4,1))="L","Local Authority",IF(UPPER(MID(W156,4,1))="T","Trust",IF(UPPER(MID(W156,4,1))="A","AOP",IF(UPPER(MID(W156,4,1))="B","BOI",IF(UPPER(MID(W156,4,1))="J","AJP",IF(UPPER(MID(W156,4,1))="G","Government",""))))))))))),IF($B156="Challan","",IF(W156&lt;&gt;"","◄ Set Row Type","")))</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IF($B156&lt;&gt;"Challan","",SUMIF('Q1 Data'!$D$4:$D$207,D156,'Q1 Data'!$AD$4:$AD$207)+SUMIF('Q1 Data'!$D$4:$D$207,D156,'Q1 Data'!$AG$4:$AG$207)+SUMIF('Q1 Data'!$D$4:$D$207,D156,'Q1 Data'!$AE$4:$AE$207)+SUMIF('Q2 Data'!$D$4:$D$207,D156,'Q2 Data'!$AD$4:$AD$207)+SUMIF('Q2 Data'!$D$4:$D$207,D156,'Q2 Data'!$AG$4:$AG$207)+SUMIF('Q2 Data'!$D$4:$D$207,D156,'Q2 Data'!$AE$4:$AE$207)+SUMIF('Q3 Data'!$D$4:$D$207,D156,'Q3 Data'!$AD$4:$AD$207)+SUMIF('Q3 Data'!$D$4:$D$207,D156,'Q3 Data'!$AG$4:$AG$207)+SUMIF('Q3 Data'!$D$4:$D$207,D156,'Q3 Data'!$AE$4:$AE$207)+SUMIF('Q4 Data'!$D$4:$D$207,D156,'Q4 Data'!$AD$4:$AD$207)+SUMIF('Q4 Data'!$D$4:$D$207,D156,'Q4 Data'!$AG$4:$AG$207)+SUMIF('Q4 Data'!$D$4:$D$207,D156,'Q4 Data'!$AE$4:$AE$207))</f>
      </c>
      <c r="AO156" s="27">
        <f>IF($B156&lt;&gt;"Challan","",P156-N156)</f>
      </c>
      <c r="AP156" s="27">
        <f>IF($B156&lt;&gt;"Challan","",MAX(0,AO156-AN156))</f>
      </c>
      <c r="AQ156" s="33">
        <f>IF($B156&lt;&gt;"Entry","",SUMPRODUCT(('Q1 Data'!$D$4:$D$207=D156)*('Q1 Data'!$B$4:$B$207="Challan")*'Q1 Data'!$F$4:$F$207)+SUMPRODUCT(('Q2 Data'!$D$4:$D$207=D156)*('Q2 Data'!$B$4:$B$207="Challan")*'Q2 Data'!$F$4:$F$207)+SUMPRODUCT(('Q3 Data'!$D$4:$D$207=D156)*('Q3 Data'!$B$4:$B$207="Challan")*'Q3 Data'!$F$4:$F$207)+SUMPRODUCT(('Q4 Data'!$D$4:$D$207=D156)*('Q4 Data'!$B$4:$B$207="Challan")*'Q4 Data'!$F$4:$F$207))</f>
      </c>
      <c r="AR156" s="34">
        <f>IF(OR($B156&lt;&gt;"Entry",Z156=""),FALSE,AND((SUMPRODUCT(('Q1 Data'!$D$4:$D$207=D156)*('Q1 Data'!$B$4:$B$207="Challan")*('Q1 Data'!$H$4:$H$207&lt;&gt;""))+SUMPRODUCT(('Q2 Data'!$D$4:$D$207=D156)*('Q2 Data'!$B$4:$B$207="Challan")*('Q2 Data'!$H$4:$H$207&lt;&gt;""))+SUMPRODUCT(('Q3 Data'!$D$4:$D$207=D156)*('Q3 Data'!$B$4:$B$207="Challan")*('Q3 Data'!$H$4:$H$207&lt;&gt;""))+SUMPRODUCT(('Q4 Data'!$D$4:$D$207=D156)*('Q4 Data'!$B$4:$B$207="Challan")*('Q4 Data'!$H$4:$H$207&lt;&gt;"")))&gt;0,(SUMPRODUCT(('Q1 Data'!$D$4:$D$207=D156)*('Q1 Data'!$B$4:$B$207="Challan")*('Q1 Data'!$H$4:$H$207=Z156))+SUMPRODUCT(('Q2 Data'!$D$4:$D$207=D156)*('Q2 Data'!$B$4:$B$207="Challan")*('Q2 Data'!$H$4:$H$207=Z156))+SUMPRODUCT(('Q3 Data'!$D$4:$D$207=D156)*('Q3 Data'!$B$4:$B$207="Challan")*('Q3 Data'!$H$4:$H$207=Z156))+SUMPRODUCT(('Q4 Data'!$D$4:$D$207=D156)*('Q4 Data'!$B$4:$B$207="Challan")*('Q4 Data'!$H$4:$H$207=Z156)))=0))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IF($B157="Challan","",IF(W157&lt;&gt;"","◄ Set Row Type","")))</f>
      </c>
      <c r="Y157" s="23">
        <f>IF($B157="Entry",IF(LEN(W157)&lt;4,"",IF(UPPER(MID(W157,4,1))="P","Individual",IF(UPPER(MID(W157,4,1))="H","HUF",IF(UPPER(MID(W157,4,1))="C","Company",IF(UPPER(MID(W157,4,1))="F","Firm/LLP",IF(UPPER(MID(W157,4,1))="L","Local Authority",IF(UPPER(MID(W157,4,1))="T","Trust",IF(UPPER(MID(W157,4,1))="A","AOP",IF(UPPER(MID(W157,4,1))="B","BOI",IF(UPPER(MID(W157,4,1))="J","AJP",IF(UPPER(MID(W157,4,1))="G","Government",""))))))))))),IF($B157="Challan","",IF(W157&lt;&gt;"","◄ Set Row Type","")))</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IF($B157&lt;&gt;"Challan","",SUMIF('Q1 Data'!$D$4:$D$207,D157,'Q1 Data'!$AD$4:$AD$207)+SUMIF('Q1 Data'!$D$4:$D$207,D157,'Q1 Data'!$AG$4:$AG$207)+SUMIF('Q1 Data'!$D$4:$D$207,D157,'Q1 Data'!$AE$4:$AE$207)+SUMIF('Q2 Data'!$D$4:$D$207,D157,'Q2 Data'!$AD$4:$AD$207)+SUMIF('Q2 Data'!$D$4:$D$207,D157,'Q2 Data'!$AG$4:$AG$207)+SUMIF('Q2 Data'!$D$4:$D$207,D157,'Q2 Data'!$AE$4:$AE$207)+SUMIF('Q3 Data'!$D$4:$D$207,D157,'Q3 Data'!$AD$4:$AD$207)+SUMIF('Q3 Data'!$D$4:$D$207,D157,'Q3 Data'!$AG$4:$AG$207)+SUMIF('Q3 Data'!$D$4:$D$207,D157,'Q3 Data'!$AE$4:$AE$207)+SUMIF('Q4 Data'!$D$4:$D$207,D157,'Q4 Data'!$AD$4:$AD$207)+SUMIF('Q4 Data'!$D$4:$D$207,D157,'Q4 Data'!$AG$4:$AG$207)+SUMIF('Q4 Data'!$D$4:$D$207,D157,'Q4 Data'!$AE$4:$AE$207))</f>
      </c>
      <c r="AO157" s="27">
        <f>IF($B157&lt;&gt;"Challan","",P157-N157)</f>
      </c>
      <c r="AP157" s="27">
        <f>IF($B157&lt;&gt;"Challan","",MAX(0,AO157-AN157))</f>
      </c>
      <c r="AQ157" s="33">
        <f>IF($B157&lt;&gt;"Entry","",SUMPRODUCT(('Q1 Data'!$D$4:$D$207=D157)*('Q1 Data'!$B$4:$B$207="Challan")*'Q1 Data'!$F$4:$F$207)+SUMPRODUCT(('Q2 Data'!$D$4:$D$207=D157)*('Q2 Data'!$B$4:$B$207="Challan")*'Q2 Data'!$F$4:$F$207)+SUMPRODUCT(('Q3 Data'!$D$4:$D$207=D157)*('Q3 Data'!$B$4:$B$207="Challan")*'Q3 Data'!$F$4:$F$207)+SUMPRODUCT(('Q4 Data'!$D$4:$D$207=D157)*('Q4 Data'!$B$4:$B$207="Challan")*'Q4 Data'!$F$4:$F$207))</f>
      </c>
      <c r="AR157" s="34">
        <f>IF(OR($B157&lt;&gt;"Entry",Z157=""),FALSE,AND((SUMPRODUCT(('Q1 Data'!$D$4:$D$207=D157)*('Q1 Data'!$B$4:$B$207="Challan")*('Q1 Data'!$H$4:$H$207&lt;&gt;""))+SUMPRODUCT(('Q2 Data'!$D$4:$D$207=D157)*('Q2 Data'!$B$4:$B$207="Challan")*('Q2 Data'!$H$4:$H$207&lt;&gt;""))+SUMPRODUCT(('Q3 Data'!$D$4:$D$207=D157)*('Q3 Data'!$B$4:$B$207="Challan")*('Q3 Data'!$H$4:$H$207&lt;&gt;""))+SUMPRODUCT(('Q4 Data'!$D$4:$D$207=D157)*('Q4 Data'!$B$4:$B$207="Challan")*('Q4 Data'!$H$4:$H$207&lt;&gt;"")))&gt;0,(SUMPRODUCT(('Q1 Data'!$D$4:$D$207=D157)*('Q1 Data'!$B$4:$B$207="Challan")*('Q1 Data'!$H$4:$H$207=Z157))+SUMPRODUCT(('Q2 Data'!$D$4:$D$207=D157)*('Q2 Data'!$B$4:$B$207="Challan")*('Q2 Data'!$H$4:$H$207=Z157))+SUMPRODUCT(('Q3 Data'!$D$4:$D$207=D157)*('Q3 Data'!$B$4:$B$207="Challan")*('Q3 Data'!$H$4:$H$207=Z157))+SUMPRODUCT(('Q4 Data'!$D$4:$D$207=D157)*('Q4 Data'!$B$4:$B$207="Challan")*('Q4 Data'!$H$4:$H$207=Z157)))=0))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IF($B158="Challan","",IF(W158&lt;&gt;"","◄ Set Row Type","")))</f>
      </c>
      <c r="Y158" s="23">
        <f>IF($B158="Entry",IF(LEN(W158)&lt;4,"",IF(UPPER(MID(W158,4,1))="P","Individual",IF(UPPER(MID(W158,4,1))="H","HUF",IF(UPPER(MID(W158,4,1))="C","Company",IF(UPPER(MID(W158,4,1))="F","Firm/LLP",IF(UPPER(MID(W158,4,1))="L","Local Authority",IF(UPPER(MID(W158,4,1))="T","Trust",IF(UPPER(MID(W158,4,1))="A","AOP",IF(UPPER(MID(W158,4,1))="B","BOI",IF(UPPER(MID(W158,4,1))="J","AJP",IF(UPPER(MID(W158,4,1))="G","Government",""))))))))))),IF($B158="Challan","",IF(W158&lt;&gt;"","◄ Set Row Type","")))</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IF($B158&lt;&gt;"Challan","",SUMIF('Q1 Data'!$D$4:$D$207,D158,'Q1 Data'!$AD$4:$AD$207)+SUMIF('Q1 Data'!$D$4:$D$207,D158,'Q1 Data'!$AG$4:$AG$207)+SUMIF('Q1 Data'!$D$4:$D$207,D158,'Q1 Data'!$AE$4:$AE$207)+SUMIF('Q2 Data'!$D$4:$D$207,D158,'Q2 Data'!$AD$4:$AD$207)+SUMIF('Q2 Data'!$D$4:$D$207,D158,'Q2 Data'!$AG$4:$AG$207)+SUMIF('Q2 Data'!$D$4:$D$207,D158,'Q2 Data'!$AE$4:$AE$207)+SUMIF('Q3 Data'!$D$4:$D$207,D158,'Q3 Data'!$AD$4:$AD$207)+SUMIF('Q3 Data'!$D$4:$D$207,D158,'Q3 Data'!$AG$4:$AG$207)+SUMIF('Q3 Data'!$D$4:$D$207,D158,'Q3 Data'!$AE$4:$AE$207)+SUMIF('Q4 Data'!$D$4:$D$207,D158,'Q4 Data'!$AD$4:$AD$207)+SUMIF('Q4 Data'!$D$4:$D$207,D158,'Q4 Data'!$AG$4:$AG$207)+SUMIF('Q4 Data'!$D$4:$D$207,D158,'Q4 Data'!$AE$4:$AE$207))</f>
      </c>
      <c r="AO158" s="27">
        <f>IF($B158&lt;&gt;"Challan","",P158-N158)</f>
      </c>
      <c r="AP158" s="27">
        <f>IF($B158&lt;&gt;"Challan","",MAX(0,AO158-AN158))</f>
      </c>
      <c r="AQ158" s="33">
        <f>IF($B158&lt;&gt;"Entry","",SUMPRODUCT(('Q1 Data'!$D$4:$D$207=D158)*('Q1 Data'!$B$4:$B$207="Challan")*'Q1 Data'!$F$4:$F$207)+SUMPRODUCT(('Q2 Data'!$D$4:$D$207=D158)*('Q2 Data'!$B$4:$B$207="Challan")*'Q2 Data'!$F$4:$F$207)+SUMPRODUCT(('Q3 Data'!$D$4:$D$207=D158)*('Q3 Data'!$B$4:$B$207="Challan")*'Q3 Data'!$F$4:$F$207)+SUMPRODUCT(('Q4 Data'!$D$4:$D$207=D158)*('Q4 Data'!$B$4:$B$207="Challan")*'Q4 Data'!$F$4:$F$207))</f>
      </c>
      <c r="AR158" s="34">
        <f>IF(OR($B158&lt;&gt;"Entry",Z158=""),FALSE,AND((SUMPRODUCT(('Q1 Data'!$D$4:$D$207=D158)*('Q1 Data'!$B$4:$B$207="Challan")*('Q1 Data'!$H$4:$H$207&lt;&gt;""))+SUMPRODUCT(('Q2 Data'!$D$4:$D$207=D158)*('Q2 Data'!$B$4:$B$207="Challan")*('Q2 Data'!$H$4:$H$207&lt;&gt;""))+SUMPRODUCT(('Q3 Data'!$D$4:$D$207=D158)*('Q3 Data'!$B$4:$B$207="Challan")*('Q3 Data'!$H$4:$H$207&lt;&gt;""))+SUMPRODUCT(('Q4 Data'!$D$4:$D$207=D158)*('Q4 Data'!$B$4:$B$207="Challan")*('Q4 Data'!$H$4:$H$207&lt;&gt;"")))&gt;0,(SUMPRODUCT(('Q1 Data'!$D$4:$D$207=D158)*('Q1 Data'!$B$4:$B$207="Challan")*('Q1 Data'!$H$4:$H$207=Z158))+SUMPRODUCT(('Q2 Data'!$D$4:$D$207=D158)*('Q2 Data'!$B$4:$B$207="Challan")*('Q2 Data'!$H$4:$H$207=Z158))+SUMPRODUCT(('Q3 Data'!$D$4:$D$207=D158)*('Q3 Data'!$B$4:$B$207="Challan")*('Q3 Data'!$H$4:$H$207=Z158))+SUMPRODUCT(('Q4 Data'!$D$4:$D$207=D158)*('Q4 Data'!$B$4:$B$207="Challan")*('Q4 Data'!$H$4:$H$207=Z158)))=0))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IF($B159="Challan","",IF(W159&lt;&gt;"","◄ Set Row Type","")))</f>
      </c>
      <c r="Y159" s="23">
        <f>IF($B159="Entry",IF(LEN(W159)&lt;4,"",IF(UPPER(MID(W159,4,1))="P","Individual",IF(UPPER(MID(W159,4,1))="H","HUF",IF(UPPER(MID(W159,4,1))="C","Company",IF(UPPER(MID(W159,4,1))="F","Firm/LLP",IF(UPPER(MID(W159,4,1))="L","Local Authority",IF(UPPER(MID(W159,4,1))="T","Trust",IF(UPPER(MID(W159,4,1))="A","AOP",IF(UPPER(MID(W159,4,1))="B","BOI",IF(UPPER(MID(W159,4,1))="J","AJP",IF(UPPER(MID(W159,4,1))="G","Government",""))))))))))),IF($B159="Challan","",IF(W159&lt;&gt;"","◄ Set Row Type","")))</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IF($B159&lt;&gt;"Challan","",SUMIF('Q1 Data'!$D$4:$D$207,D159,'Q1 Data'!$AD$4:$AD$207)+SUMIF('Q1 Data'!$D$4:$D$207,D159,'Q1 Data'!$AG$4:$AG$207)+SUMIF('Q1 Data'!$D$4:$D$207,D159,'Q1 Data'!$AE$4:$AE$207)+SUMIF('Q2 Data'!$D$4:$D$207,D159,'Q2 Data'!$AD$4:$AD$207)+SUMIF('Q2 Data'!$D$4:$D$207,D159,'Q2 Data'!$AG$4:$AG$207)+SUMIF('Q2 Data'!$D$4:$D$207,D159,'Q2 Data'!$AE$4:$AE$207)+SUMIF('Q3 Data'!$D$4:$D$207,D159,'Q3 Data'!$AD$4:$AD$207)+SUMIF('Q3 Data'!$D$4:$D$207,D159,'Q3 Data'!$AG$4:$AG$207)+SUMIF('Q3 Data'!$D$4:$D$207,D159,'Q3 Data'!$AE$4:$AE$207)+SUMIF('Q4 Data'!$D$4:$D$207,D159,'Q4 Data'!$AD$4:$AD$207)+SUMIF('Q4 Data'!$D$4:$D$207,D159,'Q4 Data'!$AG$4:$AG$207)+SUMIF('Q4 Data'!$D$4:$D$207,D159,'Q4 Data'!$AE$4:$AE$207))</f>
      </c>
      <c r="AO159" s="27">
        <f>IF($B159&lt;&gt;"Challan","",P159-N159)</f>
      </c>
      <c r="AP159" s="27">
        <f>IF($B159&lt;&gt;"Challan","",MAX(0,AO159-AN159))</f>
      </c>
      <c r="AQ159" s="33">
        <f>IF($B159&lt;&gt;"Entry","",SUMPRODUCT(('Q1 Data'!$D$4:$D$207=D159)*('Q1 Data'!$B$4:$B$207="Challan")*'Q1 Data'!$F$4:$F$207)+SUMPRODUCT(('Q2 Data'!$D$4:$D$207=D159)*('Q2 Data'!$B$4:$B$207="Challan")*'Q2 Data'!$F$4:$F$207)+SUMPRODUCT(('Q3 Data'!$D$4:$D$207=D159)*('Q3 Data'!$B$4:$B$207="Challan")*'Q3 Data'!$F$4:$F$207)+SUMPRODUCT(('Q4 Data'!$D$4:$D$207=D159)*('Q4 Data'!$B$4:$B$207="Challan")*'Q4 Data'!$F$4:$F$207))</f>
      </c>
      <c r="AR159" s="34">
        <f>IF(OR($B159&lt;&gt;"Entry",Z159=""),FALSE,AND((SUMPRODUCT(('Q1 Data'!$D$4:$D$207=D159)*('Q1 Data'!$B$4:$B$207="Challan")*('Q1 Data'!$H$4:$H$207&lt;&gt;""))+SUMPRODUCT(('Q2 Data'!$D$4:$D$207=D159)*('Q2 Data'!$B$4:$B$207="Challan")*('Q2 Data'!$H$4:$H$207&lt;&gt;""))+SUMPRODUCT(('Q3 Data'!$D$4:$D$207=D159)*('Q3 Data'!$B$4:$B$207="Challan")*('Q3 Data'!$H$4:$H$207&lt;&gt;""))+SUMPRODUCT(('Q4 Data'!$D$4:$D$207=D159)*('Q4 Data'!$B$4:$B$207="Challan")*('Q4 Data'!$H$4:$H$207&lt;&gt;"")))&gt;0,(SUMPRODUCT(('Q1 Data'!$D$4:$D$207=D159)*('Q1 Data'!$B$4:$B$207="Challan")*('Q1 Data'!$H$4:$H$207=Z159))+SUMPRODUCT(('Q2 Data'!$D$4:$D$207=D159)*('Q2 Data'!$B$4:$B$207="Challan")*('Q2 Data'!$H$4:$H$207=Z159))+SUMPRODUCT(('Q3 Data'!$D$4:$D$207=D159)*('Q3 Data'!$B$4:$B$207="Challan")*('Q3 Data'!$H$4:$H$207=Z159))+SUMPRODUCT(('Q4 Data'!$D$4:$D$207=D159)*('Q4 Data'!$B$4:$B$207="Challan")*('Q4 Data'!$H$4:$H$207=Z159)))=0))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IF($B160="Challan","",IF(W160&lt;&gt;"","◄ Set Row Type","")))</f>
      </c>
      <c r="Y160" s="23">
        <f>IF($B160="Entry",IF(LEN(W160)&lt;4,"",IF(UPPER(MID(W160,4,1))="P","Individual",IF(UPPER(MID(W160,4,1))="H","HUF",IF(UPPER(MID(W160,4,1))="C","Company",IF(UPPER(MID(W160,4,1))="F","Firm/LLP",IF(UPPER(MID(W160,4,1))="L","Local Authority",IF(UPPER(MID(W160,4,1))="T","Trust",IF(UPPER(MID(W160,4,1))="A","AOP",IF(UPPER(MID(W160,4,1))="B","BOI",IF(UPPER(MID(W160,4,1))="J","AJP",IF(UPPER(MID(W160,4,1))="G","Government",""))))))))))),IF($B160="Challan","",IF(W160&lt;&gt;"","◄ Set Row Type","")))</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IF($B160&lt;&gt;"Challan","",SUMIF('Q1 Data'!$D$4:$D$207,D160,'Q1 Data'!$AD$4:$AD$207)+SUMIF('Q1 Data'!$D$4:$D$207,D160,'Q1 Data'!$AG$4:$AG$207)+SUMIF('Q1 Data'!$D$4:$D$207,D160,'Q1 Data'!$AE$4:$AE$207)+SUMIF('Q2 Data'!$D$4:$D$207,D160,'Q2 Data'!$AD$4:$AD$207)+SUMIF('Q2 Data'!$D$4:$D$207,D160,'Q2 Data'!$AG$4:$AG$207)+SUMIF('Q2 Data'!$D$4:$D$207,D160,'Q2 Data'!$AE$4:$AE$207)+SUMIF('Q3 Data'!$D$4:$D$207,D160,'Q3 Data'!$AD$4:$AD$207)+SUMIF('Q3 Data'!$D$4:$D$207,D160,'Q3 Data'!$AG$4:$AG$207)+SUMIF('Q3 Data'!$D$4:$D$207,D160,'Q3 Data'!$AE$4:$AE$207)+SUMIF('Q4 Data'!$D$4:$D$207,D160,'Q4 Data'!$AD$4:$AD$207)+SUMIF('Q4 Data'!$D$4:$D$207,D160,'Q4 Data'!$AG$4:$AG$207)+SUMIF('Q4 Data'!$D$4:$D$207,D160,'Q4 Data'!$AE$4:$AE$207))</f>
      </c>
      <c r="AO160" s="27">
        <f>IF($B160&lt;&gt;"Challan","",P160-N160)</f>
      </c>
      <c r="AP160" s="27">
        <f>IF($B160&lt;&gt;"Challan","",MAX(0,AO160-AN160))</f>
      </c>
      <c r="AQ160" s="33">
        <f>IF($B160&lt;&gt;"Entry","",SUMPRODUCT(('Q1 Data'!$D$4:$D$207=D160)*('Q1 Data'!$B$4:$B$207="Challan")*'Q1 Data'!$F$4:$F$207)+SUMPRODUCT(('Q2 Data'!$D$4:$D$207=D160)*('Q2 Data'!$B$4:$B$207="Challan")*'Q2 Data'!$F$4:$F$207)+SUMPRODUCT(('Q3 Data'!$D$4:$D$207=D160)*('Q3 Data'!$B$4:$B$207="Challan")*'Q3 Data'!$F$4:$F$207)+SUMPRODUCT(('Q4 Data'!$D$4:$D$207=D160)*('Q4 Data'!$B$4:$B$207="Challan")*'Q4 Data'!$F$4:$F$207))</f>
      </c>
      <c r="AR160" s="34">
        <f>IF(OR($B160&lt;&gt;"Entry",Z160=""),FALSE,AND((SUMPRODUCT(('Q1 Data'!$D$4:$D$207=D160)*('Q1 Data'!$B$4:$B$207="Challan")*('Q1 Data'!$H$4:$H$207&lt;&gt;""))+SUMPRODUCT(('Q2 Data'!$D$4:$D$207=D160)*('Q2 Data'!$B$4:$B$207="Challan")*('Q2 Data'!$H$4:$H$207&lt;&gt;""))+SUMPRODUCT(('Q3 Data'!$D$4:$D$207=D160)*('Q3 Data'!$B$4:$B$207="Challan")*('Q3 Data'!$H$4:$H$207&lt;&gt;""))+SUMPRODUCT(('Q4 Data'!$D$4:$D$207=D160)*('Q4 Data'!$B$4:$B$207="Challan")*('Q4 Data'!$H$4:$H$207&lt;&gt;"")))&gt;0,(SUMPRODUCT(('Q1 Data'!$D$4:$D$207=D160)*('Q1 Data'!$B$4:$B$207="Challan")*('Q1 Data'!$H$4:$H$207=Z160))+SUMPRODUCT(('Q2 Data'!$D$4:$D$207=D160)*('Q2 Data'!$B$4:$B$207="Challan")*('Q2 Data'!$H$4:$H$207=Z160))+SUMPRODUCT(('Q3 Data'!$D$4:$D$207=D160)*('Q3 Data'!$B$4:$B$207="Challan")*('Q3 Data'!$H$4:$H$207=Z160))+SUMPRODUCT(('Q4 Data'!$D$4:$D$207=D160)*('Q4 Data'!$B$4:$B$207="Challan")*('Q4 Data'!$H$4:$H$207=Z160)))=0))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IF($B161="Challan","",IF(W161&lt;&gt;"","◄ Set Row Type","")))</f>
      </c>
      <c r="Y161" s="23">
        <f>IF($B161="Entry",IF(LEN(W161)&lt;4,"",IF(UPPER(MID(W161,4,1))="P","Individual",IF(UPPER(MID(W161,4,1))="H","HUF",IF(UPPER(MID(W161,4,1))="C","Company",IF(UPPER(MID(W161,4,1))="F","Firm/LLP",IF(UPPER(MID(W161,4,1))="L","Local Authority",IF(UPPER(MID(W161,4,1))="T","Trust",IF(UPPER(MID(W161,4,1))="A","AOP",IF(UPPER(MID(W161,4,1))="B","BOI",IF(UPPER(MID(W161,4,1))="J","AJP",IF(UPPER(MID(W161,4,1))="G","Government",""))))))))))),IF($B161="Challan","",IF(W161&lt;&gt;"","◄ Set Row Type","")))</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IF($B161&lt;&gt;"Challan","",SUMIF('Q1 Data'!$D$4:$D$207,D161,'Q1 Data'!$AD$4:$AD$207)+SUMIF('Q1 Data'!$D$4:$D$207,D161,'Q1 Data'!$AG$4:$AG$207)+SUMIF('Q1 Data'!$D$4:$D$207,D161,'Q1 Data'!$AE$4:$AE$207)+SUMIF('Q2 Data'!$D$4:$D$207,D161,'Q2 Data'!$AD$4:$AD$207)+SUMIF('Q2 Data'!$D$4:$D$207,D161,'Q2 Data'!$AG$4:$AG$207)+SUMIF('Q2 Data'!$D$4:$D$207,D161,'Q2 Data'!$AE$4:$AE$207)+SUMIF('Q3 Data'!$D$4:$D$207,D161,'Q3 Data'!$AD$4:$AD$207)+SUMIF('Q3 Data'!$D$4:$D$207,D161,'Q3 Data'!$AG$4:$AG$207)+SUMIF('Q3 Data'!$D$4:$D$207,D161,'Q3 Data'!$AE$4:$AE$207)+SUMIF('Q4 Data'!$D$4:$D$207,D161,'Q4 Data'!$AD$4:$AD$207)+SUMIF('Q4 Data'!$D$4:$D$207,D161,'Q4 Data'!$AG$4:$AG$207)+SUMIF('Q4 Data'!$D$4:$D$207,D161,'Q4 Data'!$AE$4:$AE$207))</f>
      </c>
      <c r="AO161" s="27">
        <f>IF($B161&lt;&gt;"Challan","",P161-N161)</f>
      </c>
      <c r="AP161" s="27">
        <f>IF($B161&lt;&gt;"Challan","",MAX(0,AO161-AN161))</f>
      </c>
      <c r="AQ161" s="33">
        <f>IF($B161&lt;&gt;"Entry","",SUMPRODUCT(('Q1 Data'!$D$4:$D$207=D161)*('Q1 Data'!$B$4:$B$207="Challan")*'Q1 Data'!$F$4:$F$207)+SUMPRODUCT(('Q2 Data'!$D$4:$D$207=D161)*('Q2 Data'!$B$4:$B$207="Challan")*'Q2 Data'!$F$4:$F$207)+SUMPRODUCT(('Q3 Data'!$D$4:$D$207=D161)*('Q3 Data'!$B$4:$B$207="Challan")*'Q3 Data'!$F$4:$F$207)+SUMPRODUCT(('Q4 Data'!$D$4:$D$207=D161)*('Q4 Data'!$B$4:$B$207="Challan")*'Q4 Data'!$F$4:$F$207))</f>
      </c>
      <c r="AR161" s="34">
        <f>IF(OR($B161&lt;&gt;"Entry",Z161=""),FALSE,AND((SUMPRODUCT(('Q1 Data'!$D$4:$D$207=D161)*('Q1 Data'!$B$4:$B$207="Challan")*('Q1 Data'!$H$4:$H$207&lt;&gt;""))+SUMPRODUCT(('Q2 Data'!$D$4:$D$207=D161)*('Q2 Data'!$B$4:$B$207="Challan")*('Q2 Data'!$H$4:$H$207&lt;&gt;""))+SUMPRODUCT(('Q3 Data'!$D$4:$D$207=D161)*('Q3 Data'!$B$4:$B$207="Challan")*('Q3 Data'!$H$4:$H$207&lt;&gt;""))+SUMPRODUCT(('Q4 Data'!$D$4:$D$207=D161)*('Q4 Data'!$B$4:$B$207="Challan")*('Q4 Data'!$H$4:$H$207&lt;&gt;"")))&gt;0,(SUMPRODUCT(('Q1 Data'!$D$4:$D$207=D161)*('Q1 Data'!$B$4:$B$207="Challan")*('Q1 Data'!$H$4:$H$207=Z161))+SUMPRODUCT(('Q2 Data'!$D$4:$D$207=D161)*('Q2 Data'!$B$4:$B$207="Challan")*('Q2 Data'!$H$4:$H$207=Z161))+SUMPRODUCT(('Q3 Data'!$D$4:$D$207=D161)*('Q3 Data'!$B$4:$B$207="Challan")*('Q3 Data'!$H$4:$H$207=Z161))+SUMPRODUCT(('Q4 Data'!$D$4:$D$207=D161)*('Q4 Data'!$B$4:$B$207="Challan")*('Q4 Data'!$H$4:$H$207=Z161)))=0))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IF($B162="Challan","",IF(W162&lt;&gt;"","◄ Set Row Type","")))</f>
      </c>
      <c r="Y162" s="23">
        <f>IF($B162="Entry",IF(LEN(W162)&lt;4,"",IF(UPPER(MID(W162,4,1))="P","Individual",IF(UPPER(MID(W162,4,1))="H","HUF",IF(UPPER(MID(W162,4,1))="C","Company",IF(UPPER(MID(W162,4,1))="F","Firm/LLP",IF(UPPER(MID(W162,4,1))="L","Local Authority",IF(UPPER(MID(W162,4,1))="T","Trust",IF(UPPER(MID(W162,4,1))="A","AOP",IF(UPPER(MID(W162,4,1))="B","BOI",IF(UPPER(MID(W162,4,1))="J","AJP",IF(UPPER(MID(W162,4,1))="G","Government",""))))))))))),IF($B162="Challan","",IF(W162&lt;&gt;"","◄ Set Row Type","")))</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IF($B162&lt;&gt;"Challan","",SUMIF('Q1 Data'!$D$4:$D$207,D162,'Q1 Data'!$AD$4:$AD$207)+SUMIF('Q1 Data'!$D$4:$D$207,D162,'Q1 Data'!$AG$4:$AG$207)+SUMIF('Q1 Data'!$D$4:$D$207,D162,'Q1 Data'!$AE$4:$AE$207)+SUMIF('Q2 Data'!$D$4:$D$207,D162,'Q2 Data'!$AD$4:$AD$207)+SUMIF('Q2 Data'!$D$4:$D$207,D162,'Q2 Data'!$AG$4:$AG$207)+SUMIF('Q2 Data'!$D$4:$D$207,D162,'Q2 Data'!$AE$4:$AE$207)+SUMIF('Q3 Data'!$D$4:$D$207,D162,'Q3 Data'!$AD$4:$AD$207)+SUMIF('Q3 Data'!$D$4:$D$207,D162,'Q3 Data'!$AG$4:$AG$207)+SUMIF('Q3 Data'!$D$4:$D$207,D162,'Q3 Data'!$AE$4:$AE$207)+SUMIF('Q4 Data'!$D$4:$D$207,D162,'Q4 Data'!$AD$4:$AD$207)+SUMIF('Q4 Data'!$D$4:$D$207,D162,'Q4 Data'!$AG$4:$AG$207)+SUMIF('Q4 Data'!$D$4:$D$207,D162,'Q4 Data'!$AE$4:$AE$207))</f>
      </c>
      <c r="AO162" s="27">
        <f>IF($B162&lt;&gt;"Challan","",P162-N162)</f>
      </c>
      <c r="AP162" s="27">
        <f>IF($B162&lt;&gt;"Challan","",MAX(0,AO162-AN162))</f>
      </c>
      <c r="AQ162" s="33">
        <f>IF($B162&lt;&gt;"Entry","",SUMPRODUCT(('Q1 Data'!$D$4:$D$207=D162)*('Q1 Data'!$B$4:$B$207="Challan")*'Q1 Data'!$F$4:$F$207)+SUMPRODUCT(('Q2 Data'!$D$4:$D$207=D162)*('Q2 Data'!$B$4:$B$207="Challan")*'Q2 Data'!$F$4:$F$207)+SUMPRODUCT(('Q3 Data'!$D$4:$D$207=D162)*('Q3 Data'!$B$4:$B$207="Challan")*'Q3 Data'!$F$4:$F$207)+SUMPRODUCT(('Q4 Data'!$D$4:$D$207=D162)*('Q4 Data'!$B$4:$B$207="Challan")*'Q4 Data'!$F$4:$F$207))</f>
      </c>
      <c r="AR162" s="34">
        <f>IF(OR($B162&lt;&gt;"Entry",Z162=""),FALSE,AND((SUMPRODUCT(('Q1 Data'!$D$4:$D$207=D162)*('Q1 Data'!$B$4:$B$207="Challan")*('Q1 Data'!$H$4:$H$207&lt;&gt;""))+SUMPRODUCT(('Q2 Data'!$D$4:$D$207=D162)*('Q2 Data'!$B$4:$B$207="Challan")*('Q2 Data'!$H$4:$H$207&lt;&gt;""))+SUMPRODUCT(('Q3 Data'!$D$4:$D$207=D162)*('Q3 Data'!$B$4:$B$207="Challan")*('Q3 Data'!$H$4:$H$207&lt;&gt;""))+SUMPRODUCT(('Q4 Data'!$D$4:$D$207=D162)*('Q4 Data'!$B$4:$B$207="Challan")*('Q4 Data'!$H$4:$H$207&lt;&gt;"")))&gt;0,(SUMPRODUCT(('Q1 Data'!$D$4:$D$207=D162)*('Q1 Data'!$B$4:$B$207="Challan")*('Q1 Data'!$H$4:$H$207=Z162))+SUMPRODUCT(('Q2 Data'!$D$4:$D$207=D162)*('Q2 Data'!$B$4:$B$207="Challan")*('Q2 Data'!$H$4:$H$207=Z162))+SUMPRODUCT(('Q3 Data'!$D$4:$D$207=D162)*('Q3 Data'!$B$4:$B$207="Challan")*('Q3 Data'!$H$4:$H$207=Z162))+SUMPRODUCT(('Q4 Data'!$D$4:$D$207=D162)*('Q4 Data'!$B$4:$B$207="Challan")*('Q4 Data'!$H$4:$H$207=Z162)))=0))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IF($B163="Challan","",IF(W163&lt;&gt;"","◄ Set Row Type","")))</f>
      </c>
      <c r="Y163" s="23">
        <f>IF($B163="Entry",IF(LEN(W163)&lt;4,"",IF(UPPER(MID(W163,4,1))="P","Individual",IF(UPPER(MID(W163,4,1))="H","HUF",IF(UPPER(MID(W163,4,1))="C","Company",IF(UPPER(MID(W163,4,1))="F","Firm/LLP",IF(UPPER(MID(W163,4,1))="L","Local Authority",IF(UPPER(MID(W163,4,1))="T","Trust",IF(UPPER(MID(W163,4,1))="A","AOP",IF(UPPER(MID(W163,4,1))="B","BOI",IF(UPPER(MID(W163,4,1))="J","AJP",IF(UPPER(MID(W163,4,1))="G","Government",""))))))))))),IF($B163="Challan","",IF(W163&lt;&gt;"","◄ Set Row Type","")))</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IF($B163&lt;&gt;"Challan","",SUMIF('Q1 Data'!$D$4:$D$207,D163,'Q1 Data'!$AD$4:$AD$207)+SUMIF('Q1 Data'!$D$4:$D$207,D163,'Q1 Data'!$AG$4:$AG$207)+SUMIF('Q1 Data'!$D$4:$D$207,D163,'Q1 Data'!$AE$4:$AE$207)+SUMIF('Q2 Data'!$D$4:$D$207,D163,'Q2 Data'!$AD$4:$AD$207)+SUMIF('Q2 Data'!$D$4:$D$207,D163,'Q2 Data'!$AG$4:$AG$207)+SUMIF('Q2 Data'!$D$4:$D$207,D163,'Q2 Data'!$AE$4:$AE$207)+SUMIF('Q3 Data'!$D$4:$D$207,D163,'Q3 Data'!$AD$4:$AD$207)+SUMIF('Q3 Data'!$D$4:$D$207,D163,'Q3 Data'!$AG$4:$AG$207)+SUMIF('Q3 Data'!$D$4:$D$207,D163,'Q3 Data'!$AE$4:$AE$207)+SUMIF('Q4 Data'!$D$4:$D$207,D163,'Q4 Data'!$AD$4:$AD$207)+SUMIF('Q4 Data'!$D$4:$D$207,D163,'Q4 Data'!$AG$4:$AG$207)+SUMIF('Q4 Data'!$D$4:$D$207,D163,'Q4 Data'!$AE$4:$AE$207))</f>
      </c>
      <c r="AO163" s="27">
        <f>IF($B163&lt;&gt;"Challan","",P163-N163)</f>
      </c>
      <c r="AP163" s="27">
        <f>IF($B163&lt;&gt;"Challan","",MAX(0,AO163-AN163))</f>
      </c>
      <c r="AQ163" s="33">
        <f>IF($B163&lt;&gt;"Entry","",SUMPRODUCT(('Q1 Data'!$D$4:$D$207=D163)*('Q1 Data'!$B$4:$B$207="Challan")*'Q1 Data'!$F$4:$F$207)+SUMPRODUCT(('Q2 Data'!$D$4:$D$207=D163)*('Q2 Data'!$B$4:$B$207="Challan")*'Q2 Data'!$F$4:$F$207)+SUMPRODUCT(('Q3 Data'!$D$4:$D$207=D163)*('Q3 Data'!$B$4:$B$207="Challan")*'Q3 Data'!$F$4:$F$207)+SUMPRODUCT(('Q4 Data'!$D$4:$D$207=D163)*('Q4 Data'!$B$4:$B$207="Challan")*'Q4 Data'!$F$4:$F$207))</f>
      </c>
      <c r="AR163" s="34">
        <f>IF(OR($B163&lt;&gt;"Entry",Z163=""),FALSE,AND((SUMPRODUCT(('Q1 Data'!$D$4:$D$207=D163)*('Q1 Data'!$B$4:$B$207="Challan")*('Q1 Data'!$H$4:$H$207&lt;&gt;""))+SUMPRODUCT(('Q2 Data'!$D$4:$D$207=D163)*('Q2 Data'!$B$4:$B$207="Challan")*('Q2 Data'!$H$4:$H$207&lt;&gt;""))+SUMPRODUCT(('Q3 Data'!$D$4:$D$207=D163)*('Q3 Data'!$B$4:$B$207="Challan")*('Q3 Data'!$H$4:$H$207&lt;&gt;""))+SUMPRODUCT(('Q4 Data'!$D$4:$D$207=D163)*('Q4 Data'!$B$4:$B$207="Challan")*('Q4 Data'!$H$4:$H$207&lt;&gt;"")))&gt;0,(SUMPRODUCT(('Q1 Data'!$D$4:$D$207=D163)*('Q1 Data'!$B$4:$B$207="Challan")*('Q1 Data'!$H$4:$H$207=Z163))+SUMPRODUCT(('Q2 Data'!$D$4:$D$207=D163)*('Q2 Data'!$B$4:$B$207="Challan")*('Q2 Data'!$H$4:$H$207=Z163))+SUMPRODUCT(('Q3 Data'!$D$4:$D$207=D163)*('Q3 Data'!$B$4:$B$207="Challan")*('Q3 Data'!$H$4:$H$207=Z163))+SUMPRODUCT(('Q4 Data'!$D$4:$D$207=D163)*('Q4 Data'!$B$4:$B$207="Challan")*('Q4 Data'!$H$4:$H$207=Z163)))=0))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IF($B164="Challan","",IF(W164&lt;&gt;"","◄ Set Row Type","")))</f>
      </c>
      <c r="Y164" s="23">
        <f>IF($B164="Entry",IF(LEN(W164)&lt;4,"",IF(UPPER(MID(W164,4,1))="P","Individual",IF(UPPER(MID(W164,4,1))="H","HUF",IF(UPPER(MID(W164,4,1))="C","Company",IF(UPPER(MID(W164,4,1))="F","Firm/LLP",IF(UPPER(MID(W164,4,1))="L","Local Authority",IF(UPPER(MID(W164,4,1))="T","Trust",IF(UPPER(MID(W164,4,1))="A","AOP",IF(UPPER(MID(W164,4,1))="B","BOI",IF(UPPER(MID(W164,4,1))="J","AJP",IF(UPPER(MID(W164,4,1))="G","Government",""))))))))))),IF($B164="Challan","",IF(W164&lt;&gt;"","◄ Set Row Type","")))</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IF($B164&lt;&gt;"Challan","",SUMIF('Q1 Data'!$D$4:$D$207,D164,'Q1 Data'!$AD$4:$AD$207)+SUMIF('Q1 Data'!$D$4:$D$207,D164,'Q1 Data'!$AG$4:$AG$207)+SUMIF('Q1 Data'!$D$4:$D$207,D164,'Q1 Data'!$AE$4:$AE$207)+SUMIF('Q2 Data'!$D$4:$D$207,D164,'Q2 Data'!$AD$4:$AD$207)+SUMIF('Q2 Data'!$D$4:$D$207,D164,'Q2 Data'!$AG$4:$AG$207)+SUMIF('Q2 Data'!$D$4:$D$207,D164,'Q2 Data'!$AE$4:$AE$207)+SUMIF('Q3 Data'!$D$4:$D$207,D164,'Q3 Data'!$AD$4:$AD$207)+SUMIF('Q3 Data'!$D$4:$D$207,D164,'Q3 Data'!$AG$4:$AG$207)+SUMIF('Q3 Data'!$D$4:$D$207,D164,'Q3 Data'!$AE$4:$AE$207)+SUMIF('Q4 Data'!$D$4:$D$207,D164,'Q4 Data'!$AD$4:$AD$207)+SUMIF('Q4 Data'!$D$4:$D$207,D164,'Q4 Data'!$AG$4:$AG$207)+SUMIF('Q4 Data'!$D$4:$D$207,D164,'Q4 Data'!$AE$4:$AE$207))</f>
      </c>
      <c r="AO164" s="27">
        <f>IF($B164&lt;&gt;"Challan","",P164-N164)</f>
      </c>
      <c r="AP164" s="27">
        <f>IF($B164&lt;&gt;"Challan","",MAX(0,AO164-AN164))</f>
      </c>
      <c r="AQ164" s="33">
        <f>IF($B164&lt;&gt;"Entry","",SUMPRODUCT(('Q1 Data'!$D$4:$D$207=D164)*('Q1 Data'!$B$4:$B$207="Challan")*'Q1 Data'!$F$4:$F$207)+SUMPRODUCT(('Q2 Data'!$D$4:$D$207=D164)*('Q2 Data'!$B$4:$B$207="Challan")*'Q2 Data'!$F$4:$F$207)+SUMPRODUCT(('Q3 Data'!$D$4:$D$207=D164)*('Q3 Data'!$B$4:$B$207="Challan")*'Q3 Data'!$F$4:$F$207)+SUMPRODUCT(('Q4 Data'!$D$4:$D$207=D164)*('Q4 Data'!$B$4:$B$207="Challan")*'Q4 Data'!$F$4:$F$207))</f>
      </c>
      <c r="AR164" s="34">
        <f>IF(OR($B164&lt;&gt;"Entry",Z164=""),FALSE,AND((SUMPRODUCT(('Q1 Data'!$D$4:$D$207=D164)*('Q1 Data'!$B$4:$B$207="Challan")*('Q1 Data'!$H$4:$H$207&lt;&gt;""))+SUMPRODUCT(('Q2 Data'!$D$4:$D$207=D164)*('Q2 Data'!$B$4:$B$207="Challan")*('Q2 Data'!$H$4:$H$207&lt;&gt;""))+SUMPRODUCT(('Q3 Data'!$D$4:$D$207=D164)*('Q3 Data'!$B$4:$B$207="Challan")*('Q3 Data'!$H$4:$H$207&lt;&gt;""))+SUMPRODUCT(('Q4 Data'!$D$4:$D$207=D164)*('Q4 Data'!$B$4:$B$207="Challan")*('Q4 Data'!$H$4:$H$207&lt;&gt;"")))&gt;0,(SUMPRODUCT(('Q1 Data'!$D$4:$D$207=D164)*('Q1 Data'!$B$4:$B$207="Challan")*('Q1 Data'!$H$4:$H$207=Z164))+SUMPRODUCT(('Q2 Data'!$D$4:$D$207=D164)*('Q2 Data'!$B$4:$B$207="Challan")*('Q2 Data'!$H$4:$H$207=Z164))+SUMPRODUCT(('Q3 Data'!$D$4:$D$207=D164)*('Q3 Data'!$B$4:$B$207="Challan")*('Q3 Data'!$H$4:$H$207=Z164))+SUMPRODUCT(('Q4 Data'!$D$4:$D$207=D164)*('Q4 Data'!$B$4:$B$207="Challan")*('Q4 Data'!$H$4:$H$207=Z164)))=0))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IF($B165="Challan","",IF(W165&lt;&gt;"","◄ Set Row Type","")))</f>
      </c>
      <c r="Y165" s="23">
        <f>IF($B165="Entry",IF(LEN(W165)&lt;4,"",IF(UPPER(MID(W165,4,1))="P","Individual",IF(UPPER(MID(W165,4,1))="H","HUF",IF(UPPER(MID(W165,4,1))="C","Company",IF(UPPER(MID(W165,4,1))="F","Firm/LLP",IF(UPPER(MID(W165,4,1))="L","Local Authority",IF(UPPER(MID(W165,4,1))="T","Trust",IF(UPPER(MID(W165,4,1))="A","AOP",IF(UPPER(MID(W165,4,1))="B","BOI",IF(UPPER(MID(W165,4,1))="J","AJP",IF(UPPER(MID(W165,4,1))="G","Government",""))))))))))),IF($B165="Challan","",IF(W165&lt;&gt;"","◄ Set Row Type","")))</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IF($B165&lt;&gt;"Challan","",SUMIF('Q1 Data'!$D$4:$D$207,D165,'Q1 Data'!$AD$4:$AD$207)+SUMIF('Q1 Data'!$D$4:$D$207,D165,'Q1 Data'!$AG$4:$AG$207)+SUMIF('Q1 Data'!$D$4:$D$207,D165,'Q1 Data'!$AE$4:$AE$207)+SUMIF('Q2 Data'!$D$4:$D$207,D165,'Q2 Data'!$AD$4:$AD$207)+SUMIF('Q2 Data'!$D$4:$D$207,D165,'Q2 Data'!$AG$4:$AG$207)+SUMIF('Q2 Data'!$D$4:$D$207,D165,'Q2 Data'!$AE$4:$AE$207)+SUMIF('Q3 Data'!$D$4:$D$207,D165,'Q3 Data'!$AD$4:$AD$207)+SUMIF('Q3 Data'!$D$4:$D$207,D165,'Q3 Data'!$AG$4:$AG$207)+SUMIF('Q3 Data'!$D$4:$D$207,D165,'Q3 Data'!$AE$4:$AE$207)+SUMIF('Q4 Data'!$D$4:$D$207,D165,'Q4 Data'!$AD$4:$AD$207)+SUMIF('Q4 Data'!$D$4:$D$207,D165,'Q4 Data'!$AG$4:$AG$207)+SUMIF('Q4 Data'!$D$4:$D$207,D165,'Q4 Data'!$AE$4:$AE$207))</f>
      </c>
      <c r="AO165" s="27">
        <f>IF($B165&lt;&gt;"Challan","",P165-N165)</f>
      </c>
      <c r="AP165" s="27">
        <f>IF($B165&lt;&gt;"Challan","",MAX(0,AO165-AN165))</f>
      </c>
      <c r="AQ165" s="33">
        <f>IF($B165&lt;&gt;"Entry","",SUMPRODUCT(('Q1 Data'!$D$4:$D$207=D165)*('Q1 Data'!$B$4:$B$207="Challan")*'Q1 Data'!$F$4:$F$207)+SUMPRODUCT(('Q2 Data'!$D$4:$D$207=D165)*('Q2 Data'!$B$4:$B$207="Challan")*'Q2 Data'!$F$4:$F$207)+SUMPRODUCT(('Q3 Data'!$D$4:$D$207=D165)*('Q3 Data'!$B$4:$B$207="Challan")*'Q3 Data'!$F$4:$F$207)+SUMPRODUCT(('Q4 Data'!$D$4:$D$207=D165)*('Q4 Data'!$B$4:$B$207="Challan")*'Q4 Data'!$F$4:$F$207))</f>
      </c>
      <c r="AR165" s="34">
        <f>IF(OR($B165&lt;&gt;"Entry",Z165=""),FALSE,AND((SUMPRODUCT(('Q1 Data'!$D$4:$D$207=D165)*('Q1 Data'!$B$4:$B$207="Challan")*('Q1 Data'!$H$4:$H$207&lt;&gt;""))+SUMPRODUCT(('Q2 Data'!$D$4:$D$207=D165)*('Q2 Data'!$B$4:$B$207="Challan")*('Q2 Data'!$H$4:$H$207&lt;&gt;""))+SUMPRODUCT(('Q3 Data'!$D$4:$D$207=D165)*('Q3 Data'!$B$4:$B$207="Challan")*('Q3 Data'!$H$4:$H$207&lt;&gt;""))+SUMPRODUCT(('Q4 Data'!$D$4:$D$207=D165)*('Q4 Data'!$B$4:$B$207="Challan")*('Q4 Data'!$H$4:$H$207&lt;&gt;"")))&gt;0,(SUMPRODUCT(('Q1 Data'!$D$4:$D$207=D165)*('Q1 Data'!$B$4:$B$207="Challan")*('Q1 Data'!$H$4:$H$207=Z165))+SUMPRODUCT(('Q2 Data'!$D$4:$D$207=D165)*('Q2 Data'!$B$4:$B$207="Challan")*('Q2 Data'!$H$4:$H$207=Z165))+SUMPRODUCT(('Q3 Data'!$D$4:$D$207=D165)*('Q3 Data'!$B$4:$B$207="Challan")*('Q3 Data'!$H$4:$H$207=Z165))+SUMPRODUCT(('Q4 Data'!$D$4:$D$207=D165)*('Q4 Data'!$B$4:$B$207="Challan")*('Q4 Data'!$H$4:$H$207=Z165)))=0))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IF($B166="Challan","",IF(W166&lt;&gt;"","◄ Set Row Type","")))</f>
      </c>
      <c r="Y166" s="23">
        <f>IF($B166="Entry",IF(LEN(W166)&lt;4,"",IF(UPPER(MID(W166,4,1))="P","Individual",IF(UPPER(MID(W166,4,1))="H","HUF",IF(UPPER(MID(W166,4,1))="C","Company",IF(UPPER(MID(W166,4,1))="F","Firm/LLP",IF(UPPER(MID(W166,4,1))="L","Local Authority",IF(UPPER(MID(W166,4,1))="T","Trust",IF(UPPER(MID(W166,4,1))="A","AOP",IF(UPPER(MID(W166,4,1))="B","BOI",IF(UPPER(MID(W166,4,1))="J","AJP",IF(UPPER(MID(W166,4,1))="G","Government",""))))))))))),IF($B166="Challan","",IF(W166&lt;&gt;"","◄ Set Row Type","")))</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IF($B166&lt;&gt;"Challan","",SUMIF('Q1 Data'!$D$4:$D$207,D166,'Q1 Data'!$AD$4:$AD$207)+SUMIF('Q1 Data'!$D$4:$D$207,D166,'Q1 Data'!$AG$4:$AG$207)+SUMIF('Q1 Data'!$D$4:$D$207,D166,'Q1 Data'!$AE$4:$AE$207)+SUMIF('Q2 Data'!$D$4:$D$207,D166,'Q2 Data'!$AD$4:$AD$207)+SUMIF('Q2 Data'!$D$4:$D$207,D166,'Q2 Data'!$AG$4:$AG$207)+SUMIF('Q2 Data'!$D$4:$D$207,D166,'Q2 Data'!$AE$4:$AE$207)+SUMIF('Q3 Data'!$D$4:$D$207,D166,'Q3 Data'!$AD$4:$AD$207)+SUMIF('Q3 Data'!$D$4:$D$207,D166,'Q3 Data'!$AG$4:$AG$207)+SUMIF('Q3 Data'!$D$4:$D$207,D166,'Q3 Data'!$AE$4:$AE$207)+SUMIF('Q4 Data'!$D$4:$D$207,D166,'Q4 Data'!$AD$4:$AD$207)+SUMIF('Q4 Data'!$D$4:$D$207,D166,'Q4 Data'!$AG$4:$AG$207)+SUMIF('Q4 Data'!$D$4:$D$207,D166,'Q4 Data'!$AE$4:$AE$207))</f>
      </c>
      <c r="AO166" s="27">
        <f>IF($B166&lt;&gt;"Challan","",P166-N166)</f>
      </c>
      <c r="AP166" s="27">
        <f>IF($B166&lt;&gt;"Challan","",MAX(0,AO166-AN166))</f>
      </c>
      <c r="AQ166" s="33">
        <f>IF($B166&lt;&gt;"Entry","",SUMPRODUCT(('Q1 Data'!$D$4:$D$207=D166)*('Q1 Data'!$B$4:$B$207="Challan")*'Q1 Data'!$F$4:$F$207)+SUMPRODUCT(('Q2 Data'!$D$4:$D$207=D166)*('Q2 Data'!$B$4:$B$207="Challan")*'Q2 Data'!$F$4:$F$207)+SUMPRODUCT(('Q3 Data'!$D$4:$D$207=D166)*('Q3 Data'!$B$4:$B$207="Challan")*'Q3 Data'!$F$4:$F$207)+SUMPRODUCT(('Q4 Data'!$D$4:$D$207=D166)*('Q4 Data'!$B$4:$B$207="Challan")*'Q4 Data'!$F$4:$F$207))</f>
      </c>
      <c r="AR166" s="34">
        <f>IF(OR($B166&lt;&gt;"Entry",Z166=""),FALSE,AND((SUMPRODUCT(('Q1 Data'!$D$4:$D$207=D166)*('Q1 Data'!$B$4:$B$207="Challan")*('Q1 Data'!$H$4:$H$207&lt;&gt;""))+SUMPRODUCT(('Q2 Data'!$D$4:$D$207=D166)*('Q2 Data'!$B$4:$B$207="Challan")*('Q2 Data'!$H$4:$H$207&lt;&gt;""))+SUMPRODUCT(('Q3 Data'!$D$4:$D$207=D166)*('Q3 Data'!$B$4:$B$207="Challan")*('Q3 Data'!$H$4:$H$207&lt;&gt;""))+SUMPRODUCT(('Q4 Data'!$D$4:$D$207=D166)*('Q4 Data'!$B$4:$B$207="Challan")*('Q4 Data'!$H$4:$H$207&lt;&gt;"")))&gt;0,(SUMPRODUCT(('Q1 Data'!$D$4:$D$207=D166)*('Q1 Data'!$B$4:$B$207="Challan")*('Q1 Data'!$H$4:$H$207=Z166))+SUMPRODUCT(('Q2 Data'!$D$4:$D$207=D166)*('Q2 Data'!$B$4:$B$207="Challan")*('Q2 Data'!$H$4:$H$207=Z166))+SUMPRODUCT(('Q3 Data'!$D$4:$D$207=D166)*('Q3 Data'!$B$4:$B$207="Challan")*('Q3 Data'!$H$4:$H$207=Z166))+SUMPRODUCT(('Q4 Data'!$D$4:$D$207=D166)*('Q4 Data'!$B$4:$B$207="Challan")*('Q4 Data'!$H$4:$H$207=Z166)))=0))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IF($B167="Challan","",IF(W167&lt;&gt;"","◄ Set Row Type","")))</f>
      </c>
      <c r="Y167" s="23">
        <f>IF($B167="Entry",IF(LEN(W167)&lt;4,"",IF(UPPER(MID(W167,4,1))="P","Individual",IF(UPPER(MID(W167,4,1))="H","HUF",IF(UPPER(MID(W167,4,1))="C","Company",IF(UPPER(MID(W167,4,1))="F","Firm/LLP",IF(UPPER(MID(W167,4,1))="L","Local Authority",IF(UPPER(MID(W167,4,1))="T","Trust",IF(UPPER(MID(W167,4,1))="A","AOP",IF(UPPER(MID(W167,4,1))="B","BOI",IF(UPPER(MID(W167,4,1))="J","AJP",IF(UPPER(MID(W167,4,1))="G","Government",""))))))))))),IF($B167="Challan","",IF(W167&lt;&gt;"","◄ Set Row Type","")))</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IF($B167&lt;&gt;"Challan","",SUMIF('Q1 Data'!$D$4:$D$207,D167,'Q1 Data'!$AD$4:$AD$207)+SUMIF('Q1 Data'!$D$4:$D$207,D167,'Q1 Data'!$AG$4:$AG$207)+SUMIF('Q1 Data'!$D$4:$D$207,D167,'Q1 Data'!$AE$4:$AE$207)+SUMIF('Q2 Data'!$D$4:$D$207,D167,'Q2 Data'!$AD$4:$AD$207)+SUMIF('Q2 Data'!$D$4:$D$207,D167,'Q2 Data'!$AG$4:$AG$207)+SUMIF('Q2 Data'!$D$4:$D$207,D167,'Q2 Data'!$AE$4:$AE$207)+SUMIF('Q3 Data'!$D$4:$D$207,D167,'Q3 Data'!$AD$4:$AD$207)+SUMIF('Q3 Data'!$D$4:$D$207,D167,'Q3 Data'!$AG$4:$AG$207)+SUMIF('Q3 Data'!$D$4:$D$207,D167,'Q3 Data'!$AE$4:$AE$207)+SUMIF('Q4 Data'!$D$4:$D$207,D167,'Q4 Data'!$AD$4:$AD$207)+SUMIF('Q4 Data'!$D$4:$D$207,D167,'Q4 Data'!$AG$4:$AG$207)+SUMIF('Q4 Data'!$D$4:$D$207,D167,'Q4 Data'!$AE$4:$AE$207))</f>
      </c>
      <c r="AO167" s="27">
        <f>IF($B167&lt;&gt;"Challan","",P167-N167)</f>
      </c>
      <c r="AP167" s="27">
        <f>IF($B167&lt;&gt;"Challan","",MAX(0,AO167-AN167))</f>
      </c>
      <c r="AQ167" s="33">
        <f>IF($B167&lt;&gt;"Entry","",SUMPRODUCT(('Q1 Data'!$D$4:$D$207=D167)*('Q1 Data'!$B$4:$B$207="Challan")*'Q1 Data'!$F$4:$F$207)+SUMPRODUCT(('Q2 Data'!$D$4:$D$207=D167)*('Q2 Data'!$B$4:$B$207="Challan")*'Q2 Data'!$F$4:$F$207)+SUMPRODUCT(('Q3 Data'!$D$4:$D$207=D167)*('Q3 Data'!$B$4:$B$207="Challan")*'Q3 Data'!$F$4:$F$207)+SUMPRODUCT(('Q4 Data'!$D$4:$D$207=D167)*('Q4 Data'!$B$4:$B$207="Challan")*'Q4 Data'!$F$4:$F$207))</f>
      </c>
      <c r="AR167" s="34">
        <f>IF(OR($B167&lt;&gt;"Entry",Z167=""),FALSE,AND((SUMPRODUCT(('Q1 Data'!$D$4:$D$207=D167)*('Q1 Data'!$B$4:$B$207="Challan")*('Q1 Data'!$H$4:$H$207&lt;&gt;""))+SUMPRODUCT(('Q2 Data'!$D$4:$D$207=D167)*('Q2 Data'!$B$4:$B$207="Challan")*('Q2 Data'!$H$4:$H$207&lt;&gt;""))+SUMPRODUCT(('Q3 Data'!$D$4:$D$207=D167)*('Q3 Data'!$B$4:$B$207="Challan")*('Q3 Data'!$H$4:$H$207&lt;&gt;""))+SUMPRODUCT(('Q4 Data'!$D$4:$D$207=D167)*('Q4 Data'!$B$4:$B$207="Challan")*('Q4 Data'!$H$4:$H$207&lt;&gt;"")))&gt;0,(SUMPRODUCT(('Q1 Data'!$D$4:$D$207=D167)*('Q1 Data'!$B$4:$B$207="Challan")*('Q1 Data'!$H$4:$H$207=Z167))+SUMPRODUCT(('Q2 Data'!$D$4:$D$207=D167)*('Q2 Data'!$B$4:$B$207="Challan")*('Q2 Data'!$H$4:$H$207=Z167))+SUMPRODUCT(('Q3 Data'!$D$4:$D$207=D167)*('Q3 Data'!$B$4:$B$207="Challan")*('Q3 Data'!$H$4:$H$207=Z167))+SUMPRODUCT(('Q4 Data'!$D$4:$D$207=D167)*('Q4 Data'!$B$4:$B$207="Challan")*('Q4 Data'!$H$4:$H$207=Z167)))=0))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IF($B168="Challan","",IF(W168&lt;&gt;"","◄ Set Row Type","")))</f>
      </c>
      <c r="Y168" s="23">
        <f>IF($B168="Entry",IF(LEN(W168)&lt;4,"",IF(UPPER(MID(W168,4,1))="P","Individual",IF(UPPER(MID(W168,4,1))="H","HUF",IF(UPPER(MID(W168,4,1))="C","Company",IF(UPPER(MID(W168,4,1))="F","Firm/LLP",IF(UPPER(MID(W168,4,1))="L","Local Authority",IF(UPPER(MID(W168,4,1))="T","Trust",IF(UPPER(MID(W168,4,1))="A","AOP",IF(UPPER(MID(W168,4,1))="B","BOI",IF(UPPER(MID(W168,4,1))="J","AJP",IF(UPPER(MID(W168,4,1))="G","Government",""))))))))))),IF($B168="Challan","",IF(W168&lt;&gt;"","◄ Set Row Type","")))</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IF($B168&lt;&gt;"Challan","",SUMIF('Q1 Data'!$D$4:$D$207,D168,'Q1 Data'!$AD$4:$AD$207)+SUMIF('Q1 Data'!$D$4:$D$207,D168,'Q1 Data'!$AG$4:$AG$207)+SUMIF('Q1 Data'!$D$4:$D$207,D168,'Q1 Data'!$AE$4:$AE$207)+SUMIF('Q2 Data'!$D$4:$D$207,D168,'Q2 Data'!$AD$4:$AD$207)+SUMIF('Q2 Data'!$D$4:$D$207,D168,'Q2 Data'!$AG$4:$AG$207)+SUMIF('Q2 Data'!$D$4:$D$207,D168,'Q2 Data'!$AE$4:$AE$207)+SUMIF('Q3 Data'!$D$4:$D$207,D168,'Q3 Data'!$AD$4:$AD$207)+SUMIF('Q3 Data'!$D$4:$D$207,D168,'Q3 Data'!$AG$4:$AG$207)+SUMIF('Q3 Data'!$D$4:$D$207,D168,'Q3 Data'!$AE$4:$AE$207)+SUMIF('Q4 Data'!$D$4:$D$207,D168,'Q4 Data'!$AD$4:$AD$207)+SUMIF('Q4 Data'!$D$4:$D$207,D168,'Q4 Data'!$AG$4:$AG$207)+SUMIF('Q4 Data'!$D$4:$D$207,D168,'Q4 Data'!$AE$4:$AE$207))</f>
      </c>
      <c r="AO168" s="27">
        <f>IF($B168&lt;&gt;"Challan","",P168-N168)</f>
      </c>
      <c r="AP168" s="27">
        <f>IF($B168&lt;&gt;"Challan","",MAX(0,AO168-AN168))</f>
      </c>
      <c r="AQ168" s="33">
        <f>IF($B168&lt;&gt;"Entry","",SUMPRODUCT(('Q1 Data'!$D$4:$D$207=D168)*('Q1 Data'!$B$4:$B$207="Challan")*'Q1 Data'!$F$4:$F$207)+SUMPRODUCT(('Q2 Data'!$D$4:$D$207=D168)*('Q2 Data'!$B$4:$B$207="Challan")*'Q2 Data'!$F$4:$F$207)+SUMPRODUCT(('Q3 Data'!$D$4:$D$207=D168)*('Q3 Data'!$B$4:$B$207="Challan")*'Q3 Data'!$F$4:$F$207)+SUMPRODUCT(('Q4 Data'!$D$4:$D$207=D168)*('Q4 Data'!$B$4:$B$207="Challan")*'Q4 Data'!$F$4:$F$207))</f>
      </c>
      <c r="AR168" s="34">
        <f>IF(OR($B168&lt;&gt;"Entry",Z168=""),FALSE,AND((SUMPRODUCT(('Q1 Data'!$D$4:$D$207=D168)*('Q1 Data'!$B$4:$B$207="Challan")*('Q1 Data'!$H$4:$H$207&lt;&gt;""))+SUMPRODUCT(('Q2 Data'!$D$4:$D$207=D168)*('Q2 Data'!$B$4:$B$207="Challan")*('Q2 Data'!$H$4:$H$207&lt;&gt;""))+SUMPRODUCT(('Q3 Data'!$D$4:$D$207=D168)*('Q3 Data'!$B$4:$B$207="Challan")*('Q3 Data'!$H$4:$H$207&lt;&gt;""))+SUMPRODUCT(('Q4 Data'!$D$4:$D$207=D168)*('Q4 Data'!$B$4:$B$207="Challan")*('Q4 Data'!$H$4:$H$207&lt;&gt;"")))&gt;0,(SUMPRODUCT(('Q1 Data'!$D$4:$D$207=D168)*('Q1 Data'!$B$4:$B$207="Challan")*('Q1 Data'!$H$4:$H$207=Z168))+SUMPRODUCT(('Q2 Data'!$D$4:$D$207=D168)*('Q2 Data'!$B$4:$B$207="Challan")*('Q2 Data'!$H$4:$H$207=Z168))+SUMPRODUCT(('Q3 Data'!$D$4:$D$207=D168)*('Q3 Data'!$B$4:$B$207="Challan")*('Q3 Data'!$H$4:$H$207=Z168))+SUMPRODUCT(('Q4 Data'!$D$4:$D$207=D168)*('Q4 Data'!$B$4:$B$207="Challan")*('Q4 Data'!$H$4:$H$207=Z168)))=0))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IF($B169="Challan","",IF(W169&lt;&gt;"","◄ Set Row Type","")))</f>
      </c>
      <c r="Y169" s="23">
        <f>IF($B169="Entry",IF(LEN(W169)&lt;4,"",IF(UPPER(MID(W169,4,1))="P","Individual",IF(UPPER(MID(W169,4,1))="H","HUF",IF(UPPER(MID(W169,4,1))="C","Company",IF(UPPER(MID(W169,4,1))="F","Firm/LLP",IF(UPPER(MID(W169,4,1))="L","Local Authority",IF(UPPER(MID(W169,4,1))="T","Trust",IF(UPPER(MID(W169,4,1))="A","AOP",IF(UPPER(MID(W169,4,1))="B","BOI",IF(UPPER(MID(W169,4,1))="J","AJP",IF(UPPER(MID(W169,4,1))="G","Government",""))))))))))),IF($B169="Challan","",IF(W169&lt;&gt;"","◄ Set Row Type","")))</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IF($B169&lt;&gt;"Challan","",SUMIF('Q1 Data'!$D$4:$D$207,D169,'Q1 Data'!$AD$4:$AD$207)+SUMIF('Q1 Data'!$D$4:$D$207,D169,'Q1 Data'!$AG$4:$AG$207)+SUMIF('Q1 Data'!$D$4:$D$207,D169,'Q1 Data'!$AE$4:$AE$207)+SUMIF('Q2 Data'!$D$4:$D$207,D169,'Q2 Data'!$AD$4:$AD$207)+SUMIF('Q2 Data'!$D$4:$D$207,D169,'Q2 Data'!$AG$4:$AG$207)+SUMIF('Q2 Data'!$D$4:$D$207,D169,'Q2 Data'!$AE$4:$AE$207)+SUMIF('Q3 Data'!$D$4:$D$207,D169,'Q3 Data'!$AD$4:$AD$207)+SUMIF('Q3 Data'!$D$4:$D$207,D169,'Q3 Data'!$AG$4:$AG$207)+SUMIF('Q3 Data'!$D$4:$D$207,D169,'Q3 Data'!$AE$4:$AE$207)+SUMIF('Q4 Data'!$D$4:$D$207,D169,'Q4 Data'!$AD$4:$AD$207)+SUMIF('Q4 Data'!$D$4:$D$207,D169,'Q4 Data'!$AG$4:$AG$207)+SUMIF('Q4 Data'!$D$4:$D$207,D169,'Q4 Data'!$AE$4:$AE$207))</f>
      </c>
      <c r="AO169" s="27">
        <f>IF($B169&lt;&gt;"Challan","",P169-N169)</f>
      </c>
      <c r="AP169" s="27">
        <f>IF($B169&lt;&gt;"Challan","",MAX(0,AO169-AN169))</f>
      </c>
      <c r="AQ169" s="33">
        <f>IF($B169&lt;&gt;"Entry","",SUMPRODUCT(('Q1 Data'!$D$4:$D$207=D169)*('Q1 Data'!$B$4:$B$207="Challan")*'Q1 Data'!$F$4:$F$207)+SUMPRODUCT(('Q2 Data'!$D$4:$D$207=D169)*('Q2 Data'!$B$4:$B$207="Challan")*'Q2 Data'!$F$4:$F$207)+SUMPRODUCT(('Q3 Data'!$D$4:$D$207=D169)*('Q3 Data'!$B$4:$B$207="Challan")*'Q3 Data'!$F$4:$F$207)+SUMPRODUCT(('Q4 Data'!$D$4:$D$207=D169)*('Q4 Data'!$B$4:$B$207="Challan")*'Q4 Data'!$F$4:$F$207))</f>
      </c>
      <c r="AR169" s="34">
        <f>IF(OR($B169&lt;&gt;"Entry",Z169=""),FALSE,AND((SUMPRODUCT(('Q1 Data'!$D$4:$D$207=D169)*('Q1 Data'!$B$4:$B$207="Challan")*('Q1 Data'!$H$4:$H$207&lt;&gt;""))+SUMPRODUCT(('Q2 Data'!$D$4:$D$207=D169)*('Q2 Data'!$B$4:$B$207="Challan")*('Q2 Data'!$H$4:$H$207&lt;&gt;""))+SUMPRODUCT(('Q3 Data'!$D$4:$D$207=D169)*('Q3 Data'!$B$4:$B$207="Challan")*('Q3 Data'!$H$4:$H$207&lt;&gt;""))+SUMPRODUCT(('Q4 Data'!$D$4:$D$207=D169)*('Q4 Data'!$B$4:$B$207="Challan")*('Q4 Data'!$H$4:$H$207&lt;&gt;"")))&gt;0,(SUMPRODUCT(('Q1 Data'!$D$4:$D$207=D169)*('Q1 Data'!$B$4:$B$207="Challan")*('Q1 Data'!$H$4:$H$207=Z169))+SUMPRODUCT(('Q2 Data'!$D$4:$D$207=D169)*('Q2 Data'!$B$4:$B$207="Challan")*('Q2 Data'!$H$4:$H$207=Z169))+SUMPRODUCT(('Q3 Data'!$D$4:$D$207=D169)*('Q3 Data'!$B$4:$B$207="Challan")*('Q3 Data'!$H$4:$H$207=Z169))+SUMPRODUCT(('Q4 Data'!$D$4:$D$207=D169)*('Q4 Data'!$B$4:$B$207="Challan")*('Q4 Data'!$H$4:$H$207=Z169)))=0))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IF($B170="Challan","",IF(W170&lt;&gt;"","◄ Set Row Type","")))</f>
      </c>
      <c r="Y170" s="23">
        <f>IF($B170="Entry",IF(LEN(W170)&lt;4,"",IF(UPPER(MID(W170,4,1))="P","Individual",IF(UPPER(MID(W170,4,1))="H","HUF",IF(UPPER(MID(W170,4,1))="C","Company",IF(UPPER(MID(W170,4,1))="F","Firm/LLP",IF(UPPER(MID(W170,4,1))="L","Local Authority",IF(UPPER(MID(W170,4,1))="T","Trust",IF(UPPER(MID(W170,4,1))="A","AOP",IF(UPPER(MID(W170,4,1))="B","BOI",IF(UPPER(MID(W170,4,1))="J","AJP",IF(UPPER(MID(W170,4,1))="G","Government",""))))))))))),IF($B170="Challan","",IF(W170&lt;&gt;"","◄ Set Row Type","")))</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IF($B170&lt;&gt;"Challan","",SUMIF('Q1 Data'!$D$4:$D$207,D170,'Q1 Data'!$AD$4:$AD$207)+SUMIF('Q1 Data'!$D$4:$D$207,D170,'Q1 Data'!$AG$4:$AG$207)+SUMIF('Q1 Data'!$D$4:$D$207,D170,'Q1 Data'!$AE$4:$AE$207)+SUMIF('Q2 Data'!$D$4:$D$207,D170,'Q2 Data'!$AD$4:$AD$207)+SUMIF('Q2 Data'!$D$4:$D$207,D170,'Q2 Data'!$AG$4:$AG$207)+SUMIF('Q2 Data'!$D$4:$D$207,D170,'Q2 Data'!$AE$4:$AE$207)+SUMIF('Q3 Data'!$D$4:$D$207,D170,'Q3 Data'!$AD$4:$AD$207)+SUMIF('Q3 Data'!$D$4:$D$207,D170,'Q3 Data'!$AG$4:$AG$207)+SUMIF('Q3 Data'!$D$4:$D$207,D170,'Q3 Data'!$AE$4:$AE$207)+SUMIF('Q4 Data'!$D$4:$D$207,D170,'Q4 Data'!$AD$4:$AD$207)+SUMIF('Q4 Data'!$D$4:$D$207,D170,'Q4 Data'!$AG$4:$AG$207)+SUMIF('Q4 Data'!$D$4:$D$207,D170,'Q4 Data'!$AE$4:$AE$207))</f>
      </c>
      <c r="AO170" s="27">
        <f>IF($B170&lt;&gt;"Challan","",P170-N170)</f>
      </c>
      <c r="AP170" s="27">
        <f>IF($B170&lt;&gt;"Challan","",MAX(0,AO170-AN170))</f>
      </c>
      <c r="AQ170" s="33">
        <f>IF($B170&lt;&gt;"Entry","",SUMPRODUCT(('Q1 Data'!$D$4:$D$207=D170)*('Q1 Data'!$B$4:$B$207="Challan")*'Q1 Data'!$F$4:$F$207)+SUMPRODUCT(('Q2 Data'!$D$4:$D$207=D170)*('Q2 Data'!$B$4:$B$207="Challan")*'Q2 Data'!$F$4:$F$207)+SUMPRODUCT(('Q3 Data'!$D$4:$D$207=D170)*('Q3 Data'!$B$4:$B$207="Challan")*'Q3 Data'!$F$4:$F$207)+SUMPRODUCT(('Q4 Data'!$D$4:$D$207=D170)*('Q4 Data'!$B$4:$B$207="Challan")*'Q4 Data'!$F$4:$F$207))</f>
      </c>
      <c r="AR170" s="34">
        <f>IF(OR($B170&lt;&gt;"Entry",Z170=""),FALSE,AND((SUMPRODUCT(('Q1 Data'!$D$4:$D$207=D170)*('Q1 Data'!$B$4:$B$207="Challan")*('Q1 Data'!$H$4:$H$207&lt;&gt;""))+SUMPRODUCT(('Q2 Data'!$D$4:$D$207=D170)*('Q2 Data'!$B$4:$B$207="Challan")*('Q2 Data'!$H$4:$H$207&lt;&gt;""))+SUMPRODUCT(('Q3 Data'!$D$4:$D$207=D170)*('Q3 Data'!$B$4:$B$207="Challan")*('Q3 Data'!$H$4:$H$207&lt;&gt;""))+SUMPRODUCT(('Q4 Data'!$D$4:$D$207=D170)*('Q4 Data'!$B$4:$B$207="Challan")*('Q4 Data'!$H$4:$H$207&lt;&gt;"")))&gt;0,(SUMPRODUCT(('Q1 Data'!$D$4:$D$207=D170)*('Q1 Data'!$B$4:$B$207="Challan")*('Q1 Data'!$H$4:$H$207=Z170))+SUMPRODUCT(('Q2 Data'!$D$4:$D$207=D170)*('Q2 Data'!$B$4:$B$207="Challan")*('Q2 Data'!$H$4:$H$207=Z170))+SUMPRODUCT(('Q3 Data'!$D$4:$D$207=D170)*('Q3 Data'!$B$4:$B$207="Challan")*('Q3 Data'!$H$4:$H$207=Z170))+SUMPRODUCT(('Q4 Data'!$D$4:$D$207=D170)*('Q4 Data'!$B$4:$B$207="Challan")*('Q4 Data'!$H$4:$H$207=Z170)))=0))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IF($B171="Challan","",IF(W171&lt;&gt;"","◄ Set Row Type","")))</f>
      </c>
      <c r="Y171" s="23">
        <f>IF($B171="Entry",IF(LEN(W171)&lt;4,"",IF(UPPER(MID(W171,4,1))="P","Individual",IF(UPPER(MID(W171,4,1))="H","HUF",IF(UPPER(MID(W171,4,1))="C","Company",IF(UPPER(MID(W171,4,1))="F","Firm/LLP",IF(UPPER(MID(W171,4,1))="L","Local Authority",IF(UPPER(MID(W171,4,1))="T","Trust",IF(UPPER(MID(W171,4,1))="A","AOP",IF(UPPER(MID(W171,4,1))="B","BOI",IF(UPPER(MID(W171,4,1))="J","AJP",IF(UPPER(MID(W171,4,1))="G","Government",""))))))))))),IF($B171="Challan","",IF(W171&lt;&gt;"","◄ Set Row Type","")))</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IF($B171&lt;&gt;"Challan","",SUMIF('Q1 Data'!$D$4:$D$207,D171,'Q1 Data'!$AD$4:$AD$207)+SUMIF('Q1 Data'!$D$4:$D$207,D171,'Q1 Data'!$AG$4:$AG$207)+SUMIF('Q1 Data'!$D$4:$D$207,D171,'Q1 Data'!$AE$4:$AE$207)+SUMIF('Q2 Data'!$D$4:$D$207,D171,'Q2 Data'!$AD$4:$AD$207)+SUMIF('Q2 Data'!$D$4:$D$207,D171,'Q2 Data'!$AG$4:$AG$207)+SUMIF('Q2 Data'!$D$4:$D$207,D171,'Q2 Data'!$AE$4:$AE$207)+SUMIF('Q3 Data'!$D$4:$D$207,D171,'Q3 Data'!$AD$4:$AD$207)+SUMIF('Q3 Data'!$D$4:$D$207,D171,'Q3 Data'!$AG$4:$AG$207)+SUMIF('Q3 Data'!$D$4:$D$207,D171,'Q3 Data'!$AE$4:$AE$207)+SUMIF('Q4 Data'!$D$4:$D$207,D171,'Q4 Data'!$AD$4:$AD$207)+SUMIF('Q4 Data'!$D$4:$D$207,D171,'Q4 Data'!$AG$4:$AG$207)+SUMIF('Q4 Data'!$D$4:$D$207,D171,'Q4 Data'!$AE$4:$AE$207))</f>
      </c>
      <c r="AO171" s="27">
        <f>IF($B171&lt;&gt;"Challan","",P171-N171)</f>
      </c>
      <c r="AP171" s="27">
        <f>IF($B171&lt;&gt;"Challan","",MAX(0,AO171-AN171))</f>
      </c>
      <c r="AQ171" s="33">
        <f>IF($B171&lt;&gt;"Entry","",SUMPRODUCT(('Q1 Data'!$D$4:$D$207=D171)*('Q1 Data'!$B$4:$B$207="Challan")*'Q1 Data'!$F$4:$F$207)+SUMPRODUCT(('Q2 Data'!$D$4:$D$207=D171)*('Q2 Data'!$B$4:$B$207="Challan")*'Q2 Data'!$F$4:$F$207)+SUMPRODUCT(('Q3 Data'!$D$4:$D$207=D171)*('Q3 Data'!$B$4:$B$207="Challan")*'Q3 Data'!$F$4:$F$207)+SUMPRODUCT(('Q4 Data'!$D$4:$D$207=D171)*('Q4 Data'!$B$4:$B$207="Challan")*'Q4 Data'!$F$4:$F$207))</f>
      </c>
      <c r="AR171" s="34">
        <f>IF(OR($B171&lt;&gt;"Entry",Z171=""),FALSE,AND((SUMPRODUCT(('Q1 Data'!$D$4:$D$207=D171)*('Q1 Data'!$B$4:$B$207="Challan")*('Q1 Data'!$H$4:$H$207&lt;&gt;""))+SUMPRODUCT(('Q2 Data'!$D$4:$D$207=D171)*('Q2 Data'!$B$4:$B$207="Challan")*('Q2 Data'!$H$4:$H$207&lt;&gt;""))+SUMPRODUCT(('Q3 Data'!$D$4:$D$207=D171)*('Q3 Data'!$B$4:$B$207="Challan")*('Q3 Data'!$H$4:$H$207&lt;&gt;""))+SUMPRODUCT(('Q4 Data'!$D$4:$D$207=D171)*('Q4 Data'!$B$4:$B$207="Challan")*('Q4 Data'!$H$4:$H$207&lt;&gt;"")))&gt;0,(SUMPRODUCT(('Q1 Data'!$D$4:$D$207=D171)*('Q1 Data'!$B$4:$B$207="Challan")*('Q1 Data'!$H$4:$H$207=Z171))+SUMPRODUCT(('Q2 Data'!$D$4:$D$207=D171)*('Q2 Data'!$B$4:$B$207="Challan")*('Q2 Data'!$H$4:$H$207=Z171))+SUMPRODUCT(('Q3 Data'!$D$4:$D$207=D171)*('Q3 Data'!$B$4:$B$207="Challan")*('Q3 Data'!$H$4:$H$207=Z171))+SUMPRODUCT(('Q4 Data'!$D$4:$D$207=D171)*('Q4 Data'!$B$4:$B$207="Challan")*('Q4 Data'!$H$4:$H$207=Z171)))=0))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IF($B172="Challan","",IF(W172&lt;&gt;"","◄ Set Row Type","")))</f>
      </c>
      <c r="Y172" s="23">
        <f>IF($B172="Entry",IF(LEN(W172)&lt;4,"",IF(UPPER(MID(W172,4,1))="P","Individual",IF(UPPER(MID(W172,4,1))="H","HUF",IF(UPPER(MID(W172,4,1))="C","Company",IF(UPPER(MID(W172,4,1))="F","Firm/LLP",IF(UPPER(MID(W172,4,1))="L","Local Authority",IF(UPPER(MID(W172,4,1))="T","Trust",IF(UPPER(MID(W172,4,1))="A","AOP",IF(UPPER(MID(W172,4,1))="B","BOI",IF(UPPER(MID(W172,4,1))="J","AJP",IF(UPPER(MID(W172,4,1))="G","Government",""))))))))))),IF($B172="Challan","",IF(W172&lt;&gt;"","◄ Set Row Type","")))</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IF($B172&lt;&gt;"Challan","",SUMIF('Q1 Data'!$D$4:$D$207,D172,'Q1 Data'!$AD$4:$AD$207)+SUMIF('Q1 Data'!$D$4:$D$207,D172,'Q1 Data'!$AG$4:$AG$207)+SUMIF('Q1 Data'!$D$4:$D$207,D172,'Q1 Data'!$AE$4:$AE$207)+SUMIF('Q2 Data'!$D$4:$D$207,D172,'Q2 Data'!$AD$4:$AD$207)+SUMIF('Q2 Data'!$D$4:$D$207,D172,'Q2 Data'!$AG$4:$AG$207)+SUMIF('Q2 Data'!$D$4:$D$207,D172,'Q2 Data'!$AE$4:$AE$207)+SUMIF('Q3 Data'!$D$4:$D$207,D172,'Q3 Data'!$AD$4:$AD$207)+SUMIF('Q3 Data'!$D$4:$D$207,D172,'Q3 Data'!$AG$4:$AG$207)+SUMIF('Q3 Data'!$D$4:$D$207,D172,'Q3 Data'!$AE$4:$AE$207)+SUMIF('Q4 Data'!$D$4:$D$207,D172,'Q4 Data'!$AD$4:$AD$207)+SUMIF('Q4 Data'!$D$4:$D$207,D172,'Q4 Data'!$AG$4:$AG$207)+SUMIF('Q4 Data'!$D$4:$D$207,D172,'Q4 Data'!$AE$4:$AE$207))</f>
      </c>
      <c r="AO172" s="27">
        <f>IF($B172&lt;&gt;"Challan","",P172-N172)</f>
      </c>
      <c r="AP172" s="27">
        <f>IF($B172&lt;&gt;"Challan","",MAX(0,AO172-AN172))</f>
      </c>
      <c r="AQ172" s="33">
        <f>IF($B172&lt;&gt;"Entry","",SUMPRODUCT(('Q1 Data'!$D$4:$D$207=D172)*('Q1 Data'!$B$4:$B$207="Challan")*'Q1 Data'!$F$4:$F$207)+SUMPRODUCT(('Q2 Data'!$D$4:$D$207=D172)*('Q2 Data'!$B$4:$B$207="Challan")*'Q2 Data'!$F$4:$F$207)+SUMPRODUCT(('Q3 Data'!$D$4:$D$207=D172)*('Q3 Data'!$B$4:$B$207="Challan")*'Q3 Data'!$F$4:$F$207)+SUMPRODUCT(('Q4 Data'!$D$4:$D$207=D172)*('Q4 Data'!$B$4:$B$207="Challan")*'Q4 Data'!$F$4:$F$207))</f>
      </c>
      <c r="AR172" s="34">
        <f>IF(OR($B172&lt;&gt;"Entry",Z172=""),FALSE,AND((SUMPRODUCT(('Q1 Data'!$D$4:$D$207=D172)*('Q1 Data'!$B$4:$B$207="Challan")*('Q1 Data'!$H$4:$H$207&lt;&gt;""))+SUMPRODUCT(('Q2 Data'!$D$4:$D$207=D172)*('Q2 Data'!$B$4:$B$207="Challan")*('Q2 Data'!$H$4:$H$207&lt;&gt;""))+SUMPRODUCT(('Q3 Data'!$D$4:$D$207=D172)*('Q3 Data'!$B$4:$B$207="Challan")*('Q3 Data'!$H$4:$H$207&lt;&gt;""))+SUMPRODUCT(('Q4 Data'!$D$4:$D$207=D172)*('Q4 Data'!$B$4:$B$207="Challan")*('Q4 Data'!$H$4:$H$207&lt;&gt;"")))&gt;0,(SUMPRODUCT(('Q1 Data'!$D$4:$D$207=D172)*('Q1 Data'!$B$4:$B$207="Challan")*('Q1 Data'!$H$4:$H$207=Z172))+SUMPRODUCT(('Q2 Data'!$D$4:$D$207=D172)*('Q2 Data'!$B$4:$B$207="Challan")*('Q2 Data'!$H$4:$H$207=Z172))+SUMPRODUCT(('Q3 Data'!$D$4:$D$207=D172)*('Q3 Data'!$B$4:$B$207="Challan")*('Q3 Data'!$H$4:$H$207=Z172))+SUMPRODUCT(('Q4 Data'!$D$4:$D$207=D172)*('Q4 Data'!$B$4:$B$207="Challan")*('Q4 Data'!$H$4:$H$207=Z172)))=0))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IF($B173="Challan","",IF(W173&lt;&gt;"","◄ Set Row Type","")))</f>
      </c>
      <c r="Y173" s="23">
        <f>IF($B173="Entry",IF(LEN(W173)&lt;4,"",IF(UPPER(MID(W173,4,1))="P","Individual",IF(UPPER(MID(W173,4,1))="H","HUF",IF(UPPER(MID(W173,4,1))="C","Company",IF(UPPER(MID(W173,4,1))="F","Firm/LLP",IF(UPPER(MID(W173,4,1))="L","Local Authority",IF(UPPER(MID(W173,4,1))="T","Trust",IF(UPPER(MID(W173,4,1))="A","AOP",IF(UPPER(MID(W173,4,1))="B","BOI",IF(UPPER(MID(W173,4,1))="J","AJP",IF(UPPER(MID(W173,4,1))="G","Government",""))))))))))),IF($B173="Challan","",IF(W173&lt;&gt;"","◄ Set Row Type","")))</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IF($B173&lt;&gt;"Challan","",SUMIF('Q1 Data'!$D$4:$D$207,D173,'Q1 Data'!$AD$4:$AD$207)+SUMIF('Q1 Data'!$D$4:$D$207,D173,'Q1 Data'!$AG$4:$AG$207)+SUMIF('Q1 Data'!$D$4:$D$207,D173,'Q1 Data'!$AE$4:$AE$207)+SUMIF('Q2 Data'!$D$4:$D$207,D173,'Q2 Data'!$AD$4:$AD$207)+SUMIF('Q2 Data'!$D$4:$D$207,D173,'Q2 Data'!$AG$4:$AG$207)+SUMIF('Q2 Data'!$D$4:$D$207,D173,'Q2 Data'!$AE$4:$AE$207)+SUMIF('Q3 Data'!$D$4:$D$207,D173,'Q3 Data'!$AD$4:$AD$207)+SUMIF('Q3 Data'!$D$4:$D$207,D173,'Q3 Data'!$AG$4:$AG$207)+SUMIF('Q3 Data'!$D$4:$D$207,D173,'Q3 Data'!$AE$4:$AE$207)+SUMIF('Q4 Data'!$D$4:$D$207,D173,'Q4 Data'!$AD$4:$AD$207)+SUMIF('Q4 Data'!$D$4:$D$207,D173,'Q4 Data'!$AG$4:$AG$207)+SUMIF('Q4 Data'!$D$4:$D$207,D173,'Q4 Data'!$AE$4:$AE$207))</f>
      </c>
      <c r="AO173" s="27">
        <f>IF($B173&lt;&gt;"Challan","",P173-N173)</f>
      </c>
      <c r="AP173" s="27">
        <f>IF($B173&lt;&gt;"Challan","",MAX(0,AO173-AN173))</f>
      </c>
      <c r="AQ173" s="33">
        <f>IF($B173&lt;&gt;"Entry","",SUMPRODUCT(('Q1 Data'!$D$4:$D$207=D173)*('Q1 Data'!$B$4:$B$207="Challan")*'Q1 Data'!$F$4:$F$207)+SUMPRODUCT(('Q2 Data'!$D$4:$D$207=D173)*('Q2 Data'!$B$4:$B$207="Challan")*'Q2 Data'!$F$4:$F$207)+SUMPRODUCT(('Q3 Data'!$D$4:$D$207=D173)*('Q3 Data'!$B$4:$B$207="Challan")*'Q3 Data'!$F$4:$F$207)+SUMPRODUCT(('Q4 Data'!$D$4:$D$207=D173)*('Q4 Data'!$B$4:$B$207="Challan")*'Q4 Data'!$F$4:$F$207))</f>
      </c>
      <c r="AR173" s="34">
        <f>IF(OR($B173&lt;&gt;"Entry",Z173=""),FALSE,AND((SUMPRODUCT(('Q1 Data'!$D$4:$D$207=D173)*('Q1 Data'!$B$4:$B$207="Challan")*('Q1 Data'!$H$4:$H$207&lt;&gt;""))+SUMPRODUCT(('Q2 Data'!$D$4:$D$207=D173)*('Q2 Data'!$B$4:$B$207="Challan")*('Q2 Data'!$H$4:$H$207&lt;&gt;""))+SUMPRODUCT(('Q3 Data'!$D$4:$D$207=D173)*('Q3 Data'!$B$4:$B$207="Challan")*('Q3 Data'!$H$4:$H$207&lt;&gt;""))+SUMPRODUCT(('Q4 Data'!$D$4:$D$207=D173)*('Q4 Data'!$B$4:$B$207="Challan")*('Q4 Data'!$H$4:$H$207&lt;&gt;"")))&gt;0,(SUMPRODUCT(('Q1 Data'!$D$4:$D$207=D173)*('Q1 Data'!$B$4:$B$207="Challan")*('Q1 Data'!$H$4:$H$207=Z173))+SUMPRODUCT(('Q2 Data'!$D$4:$D$207=D173)*('Q2 Data'!$B$4:$B$207="Challan")*('Q2 Data'!$H$4:$H$207=Z173))+SUMPRODUCT(('Q3 Data'!$D$4:$D$207=D173)*('Q3 Data'!$B$4:$B$207="Challan")*('Q3 Data'!$H$4:$H$207=Z173))+SUMPRODUCT(('Q4 Data'!$D$4:$D$207=D173)*('Q4 Data'!$B$4:$B$207="Challan")*('Q4 Data'!$H$4:$H$207=Z173)))=0))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IF($B174="Challan","",IF(W174&lt;&gt;"","◄ Set Row Type","")))</f>
      </c>
      <c r="Y174" s="23">
        <f>IF($B174="Entry",IF(LEN(W174)&lt;4,"",IF(UPPER(MID(W174,4,1))="P","Individual",IF(UPPER(MID(W174,4,1))="H","HUF",IF(UPPER(MID(W174,4,1))="C","Company",IF(UPPER(MID(W174,4,1))="F","Firm/LLP",IF(UPPER(MID(W174,4,1))="L","Local Authority",IF(UPPER(MID(W174,4,1))="T","Trust",IF(UPPER(MID(W174,4,1))="A","AOP",IF(UPPER(MID(W174,4,1))="B","BOI",IF(UPPER(MID(W174,4,1))="J","AJP",IF(UPPER(MID(W174,4,1))="G","Government",""))))))))))),IF($B174="Challan","",IF(W174&lt;&gt;"","◄ Set Row Type","")))</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IF($B174&lt;&gt;"Challan","",SUMIF('Q1 Data'!$D$4:$D$207,D174,'Q1 Data'!$AD$4:$AD$207)+SUMIF('Q1 Data'!$D$4:$D$207,D174,'Q1 Data'!$AG$4:$AG$207)+SUMIF('Q1 Data'!$D$4:$D$207,D174,'Q1 Data'!$AE$4:$AE$207)+SUMIF('Q2 Data'!$D$4:$D$207,D174,'Q2 Data'!$AD$4:$AD$207)+SUMIF('Q2 Data'!$D$4:$D$207,D174,'Q2 Data'!$AG$4:$AG$207)+SUMIF('Q2 Data'!$D$4:$D$207,D174,'Q2 Data'!$AE$4:$AE$207)+SUMIF('Q3 Data'!$D$4:$D$207,D174,'Q3 Data'!$AD$4:$AD$207)+SUMIF('Q3 Data'!$D$4:$D$207,D174,'Q3 Data'!$AG$4:$AG$207)+SUMIF('Q3 Data'!$D$4:$D$207,D174,'Q3 Data'!$AE$4:$AE$207)+SUMIF('Q4 Data'!$D$4:$D$207,D174,'Q4 Data'!$AD$4:$AD$207)+SUMIF('Q4 Data'!$D$4:$D$207,D174,'Q4 Data'!$AG$4:$AG$207)+SUMIF('Q4 Data'!$D$4:$D$207,D174,'Q4 Data'!$AE$4:$AE$207))</f>
      </c>
      <c r="AO174" s="27">
        <f>IF($B174&lt;&gt;"Challan","",P174-N174)</f>
      </c>
      <c r="AP174" s="27">
        <f>IF($B174&lt;&gt;"Challan","",MAX(0,AO174-AN174))</f>
      </c>
      <c r="AQ174" s="33">
        <f>IF($B174&lt;&gt;"Entry","",SUMPRODUCT(('Q1 Data'!$D$4:$D$207=D174)*('Q1 Data'!$B$4:$B$207="Challan")*'Q1 Data'!$F$4:$F$207)+SUMPRODUCT(('Q2 Data'!$D$4:$D$207=D174)*('Q2 Data'!$B$4:$B$207="Challan")*'Q2 Data'!$F$4:$F$207)+SUMPRODUCT(('Q3 Data'!$D$4:$D$207=D174)*('Q3 Data'!$B$4:$B$207="Challan")*'Q3 Data'!$F$4:$F$207)+SUMPRODUCT(('Q4 Data'!$D$4:$D$207=D174)*('Q4 Data'!$B$4:$B$207="Challan")*'Q4 Data'!$F$4:$F$207))</f>
      </c>
      <c r="AR174" s="34">
        <f>IF(OR($B174&lt;&gt;"Entry",Z174=""),FALSE,AND((SUMPRODUCT(('Q1 Data'!$D$4:$D$207=D174)*('Q1 Data'!$B$4:$B$207="Challan")*('Q1 Data'!$H$4:$H$207&lt;&gt;""))+SUMPRODUCT(('Q2 Data'!$D$4:$D$207=D174)*('Q2 Data'!$B$4:$B$207="Challan")*('Q2 Data'!$H$4:$H$207&lt;&gt;""))+SUMPRODUCT(('Q3 Data'!$D$4:$D$207=D174)*('Q3 Data'!$B$4:$B$207="Challan")*('Q3 Data'!$H$4:$H$207&lt;&gt;""))+SUMPRODUCT(('Q4 Data'!$D$4:$D$207=D174)*('Q4 Data'!$B$4:$B$207="Challan")*('Q4 Data'!$H$4:$H$207&lt;&gt;"")))&gt;0,(SUMPRODUCT(('Q1 Data'!$D$4:$D$207=D174)*('Q1 Data'!$B$4:$B$207="Challan")*('Q1 Data'!$H$4:$H$207=Z174))+SUMPRODUCT(('Q2 Data'!$D$4:$D$207=D174)*('Q2 Data'!$B$4:$B$207="Challan")*('Q2 Data'!$H$4:$H$207=Z174))+SUMPRODUCT(('Q3 Data'!$D$4:$D$207=D174)*('Q3 Data'!$B$4:$B$207="Challan")*('Q3 Data'!$H$4:$H$207=Z174))+SUMPRODUCT(('Q4 Data'!$D$4:$D$207=D174)*('Q4 Data'!$B$4:$B$207="Challan")*('Q4 Data'!$H$4:$H$207=Z174)))=0))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IF($B175="Challan","",IF(W175&lt;&gt;"","◄ Set Row Type","")))</f>
      </c>
      <c r="Y175" s="23">
        <f>IF($B175="Entry",IF(LEN(W175)&lt;4,"",IF(UPPER(MID(W175,4,1))="P","Individual",IF(UPPER(MID(W175,4,1))="H","HUF",IF(UPPER(MID(W175,4,1))="C","Company",IF(UPPER(MID(W175,4,1))="F","Firm/LLP",IF(UPPER(MID(W175,4,1))="L","Local Authority",IF(UPPER(MID(W175,4,1))="T","Trust",IF(UPPER(MID(W175,4,1))="A","AOP",IF(UPPER(MID(W175,4,1))="B","BOI",IF(UPPER(MID(W175,4,1))="J","AJP",IF(UPPER(MID(W175,4,1))="G","Government",""))))))))))),IF($B175="Challan","",IF(W175&lt;&gt;"","◄ Set Row Type","")))</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IF($B175&lt;&gt;"Challan","",SUMIF('Q1 Data'!$D$4:$D$207,D175,'Q1 Data'!$AD$4:$AD$207)+SUMIF('Q1 Data'!$D$4:$D$207,D175,'Q1 Data'!$AG$4:$AG$207)+SUMIF('Q1 Data'!$D$4:$D$207,D175,'Q1 Data'!$AE$4:$AE$207)+SUMIF('Q2 Data'!$D$4:$D$207,D175,'Q2 Data'!$AD$4:$AD$207)+SUMIF('Q2 Data'!$D$4:$D$207,D175,'Q2 Data'!$AG$4:$AG$207)+SUMIF('Q2 Data'!$D$4:$D$207,D175,'Q2 Data'!$AE$4:$AE$207)+SUMIF('Q3 Data'!$D$4:$D$207,D175,'Q3 Data'!$AD$4:$AD$207)+SUMIF('Q3 Data'!$D$4:$D$207,D175,'Q3 Data'!$AG$4:$AG$207)+SUMIF('Q3 Data'!$D$4:$D$207,D175,'Q3 Data'!$AE$4:$AE$207)+SUMIF('Q4 Data'!$D$4:$D$207,D175,'Q4 Data'!$AD$4:$AD$207)+SUMIF('Q4 Data'!$D$4:$D$207,D175,'Q4 Data'!$AG$4:$AG$207)+SUMIF('Q4 Data'!$D$4:$D$207,D175,'Q4 Data'!$AE$4:$AE$207))</f>
      </c>
      <c r="AO175" s="27">
        <f>IF($B175&lt;&gt;"Challan","",P175-N175)</f>
      </c>
      <c r="AP175" s="27">
        <f>IF($B175&lt;&gt;"Challan","",MAX(0,AO175-AN175))</f>
      </c>
      <c r="AQ175" s="33">
        <f>IF($B175&lt;&gt;"Entry","",SUMPRODUCT(('Q1 Data'!$D$4:$D$207=D175)*('Q1 Data'!$B$4:$B$207="Challan")*'Q1 Data'!$F$4:$F$207)+SUMPRODUCT(('Q2 Data'!$D$4:$D$207=D175)*('Q2 Data'!$B$4:$B$207="Challan")*'Q2 Data'!$F$4:$F$207)+SUMPRODUCT(('Q3 Data'!$D$4:$D$207=D175)*('Q3 Data'!$B$4:$B$207="Challan")*'Q3 Data'!$F$4:$F$207)+SUMPRODUCT(('Q4 Data'!$D$4:$D$207=D175)*('Q4 Data'!$B$4:$B$207="Challan")*'Q4 Data'!$F$4:$F$207))</f>
      </c>
      <c r="AR175" s="34">
        <f>IF(OR($B175&lt;&gt;"Entry",Z175=""),FALSE,AND((SUMPRODUCT(('Q1 Data'!$D$4:$D$207=D175)*('Q1 Data'!$B$4:$B$207="Challan")*('Q1 Data'!$H$4:$H$207&lt;&gt;""))+SUMPRODUCT(('Q2 Data'!$D$4:$D$207=D175)*('Q2 Data'!$B$4:$B$207="Challan")*('Q2 Data'!$H$4:$H$207&lt;&gt;""))+SUMPRODUCT(('Q3 Data'!$D$4:$D$207=D175)*('Q3 Data'!$B$4:$B$207="Challan")*('Q3 Data'!$H$4:$H$207&lt;&gt;""))+SUMPRODUCT(('Q4 Data'!$D$4:$D$207=D175)*('Q4 Data'!$B$4:$B$207="Challan")*('Q4 Data'!$H$4:$H$207&lt;&gt;"")))&gt;0,(SUMPRODUCT(('Q1 Data'!$D$4:$D$207=D175)*('Q1 Data'!$B$4:$B$207="Challan")*('Q1 Data'!$H$4:$H$207=Z175))+SUMPRODUCT(('Q2 Data'!$D$4:$D$207=D175)*('Q2 Data'!$B$4:$B$207="Challan")*('Q2 Data'!$H$4:$H$207=Z175))+SUMPRODUCT(('Q3 Data'!$D$4:$D$207=D175)*('Q3 Data'!$B$4:$B$207="Challan")*('Q3 Data'!$H$4:$H$207=Z175))+SUMPRODUCT(('Q4 Data'!$D$4:$D$207=D175)*('Q4 Data'!$B$4:$B$207="Challan")*('Q4 Data'!$H$4:$H$207=Z175)))=0))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IF($B176="Challan","",IF(W176&lt;&gt;"","◄ Set Row Type","")))</f>
      </c>
      <c r="Y176" s="23">
        <f>IF($B176="Entry",IF(LEN(W176)&lt;4,"",IF(UPPER(MID(W176,4,1))="P","Individual",IF(UPPER(MID(W176,4,1))="H","HUF",IF(UPPER(MID(W176,4,1))="C","Company",IF(UPPER(MID(W176,4,1))="F","Firm/LLP",IF(UPPER(MID(W176,4,1))="L","Local Authority",IF(UPPER(MID(W176,4,1))="T","Trust",IF(UPPER(MID(W176,4,1))="A","AOP",IF(UPPER(MID(W176,4,1))="B","BOI",IF(UPPER(MID(W176,4,1))="J","AJP",IF(UPPER(MID(W176,4,1))="G","Government",""))))))))))),IF($B176="Challan","",IF(W176&lt;&gt;"","◄ Set Row Type","")))</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IF($B176&lt;&gt;"Challan","",SUMIF('Q1 Data'!$D$4:$D$207,D176,'Q1 Data'!$AD$4:$AD$207)+SUMIF('Q1 Data'!$D$4:$D$207,D176,'Q1 Data'!$AG$4:$AG$207)+SUMIF('Q1 Data'!$D$4:$D$207,D176,'Q1 Data'!$AE$4:$AE$207)+SUMIF('Q2 Data'!$D$4:$D$207,D176,'Q2 Data'!$AD$4:$AD$207)+SUMIF('Q2 Data'!$D$4:$D$207,D176,'Q2 Data'!$AG$4:$AG$207)+SUMIF('Q2 Data'!$D$4:$D$207,D176,'Q2 Data'!$AE$4:$AE$207)+SUMIF('Q3 Data'!$D$4:$D$207,D176,'Q3 Data'!$AD$4:$AD$207)+SUMIF('Q3 Data'!$D$4:$D$207,D176,'Q3 Data'!$AG$4:$AG$207)+SUMIF('Q3 Data'!$D$4:$D$207,D176,'Q3 Data'!$AE$4:$AE$207)+SUMIF('Q4 Data'!$D$4:$D$207,D176,'Q4 Data'!$AD$4:$AD$207)+SUMIF('Q4 Data'!$D$4:$D$207,D176,'Q4 Data'!$AG$4:$AG$207)+SUMIF('Q4 Data'!$D$4:$D$207,D176,'Q4 Data'!$AE$4:$AE$207))</f>
      </c>
      <c r="AO176" s="27">
        <f>IF($B176&lt;&gt;"Challan","",P176-N176)</f>
      </c>
      <c r="AP176" s="27">
        <f>IF($B176&lt;&gt;"Challan","",MAX(0,AO176-AN176))</f>
      </c>
      <c r="AQ176" s="33">
        <f>IF($B176&lt;&gt;"Entry","",SUMPRODUCT(('Q1 Data'!$D$4:$D$207=D176)*('Q1 Data'!$B$4:$B$207="Challan")*'Q1 Data'!$F$4:$F$207)+SUMPRODUCT(('Q2 Data'!$D$4:$D$207=D176)*('Q2 Data'!$B$4:$B$207="Challan")*'Q2 Data'!$F$4:$F$207)+SUMPRODUCT(('Q3 Data'!$D$4:$D$207=D176)*('Q3 Data'!$B$4:$B$207="Challan")*'Q3 Data'!$F$4:$F$207)+SUMPRODUCT(('Q4 Data'!$D$4:$D$207=D176)*('Q4 Data'!$B$4:$B$207="Challan")*'Q4 Data'!$F$4:$F$207))</f>
      </c>
      <c r="AR176" s="34">
        <f>IF(OR($B176&lt;&gt;"Entry",Z176=""),FALSE,AND((SUMPRODUCT(('Q1 Data'!$D$4:$D$207=D176)*('Q1 Data'!$B$4:$B$207="Challan")*('Q1 Data'!$H$4:$H$207&lt;&gt;""))+SUMPRODUCT(('Q2 Data'!$D$4:$D$207=D176)*('Q2 Data'!$B$4:$B$207="Challan")*('Q2 Data'!$H$4:$H$207&lt;&gt;""))+SUMPRODUCT(('Q3 Data'!$D$4:$D$207=D176)*('Q3 Data'!$B$4:$B$207="Challan")*('Q3 Data'!$H$4:$H$207&lt;&gt;""))+SUMPRODUCT(('Q4 Data'!$D$4:$D$207=D176)*('Q4 Data'!$B$4:$B$207="Challan")*('Q4 Data'!$H$4:$H$207&lt;&gt;"")))&gt;0,(SUMPRODUCT(('Q1 Data'!$D$4:$D$207=D176)*('Q1 Data'!$B$4:$B$207="Challan")*('Q1 Data'!$H$4:$H$207=Z176))+SUMPRODUCT(('Q2 Data'!$D$4:$D$207=D176)*('Q2 Data'!$B$4:$B$207="Challan")*('Q2 Data'!$H$4:$H$207=Z176))+SUMPRODUCT(('Q3 Data'!$D$4:$D$207=D176)*('Q3 Data'!$B$4:$B$207="Challan")*('Q3 Data'!$H$4:$H$207=Z176))+SUMPRODUCT(('Q4 Data'!$D$4:$D$207=D176)*('Q4 Data'!$B$4:$B$207="Challan")*('Q4 Data'!$H$4:$H$207=Z176)))=0))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IF($B177="Challan","",IF(W177&lt;&gt;"","◄ Set Row Type","")))</f>
      </c>
      <c r="Y177" s="23">
        <f>IF($B177="Entry",IF(LEN(W177)&lt;4,"",IF(UPPER(MID(W177,4,1))="P","Individual",IF(UPPER(MID(W177,4,1))="H","HUF",IF(UPPER(MID(W177,4,1))="C","Company",IF(UPPER(MID(W177,4,1))="F","Firm/LLP",IF(UPPER(MID(W177,4,1))="L","Local Authority",IF(UPPER(MID(W177,4,1))="T","Trust",IF(UPPER(MID(W177,4,1))="A","AOP",IF(UPPER(MID(W177,4,1))="B","BOI",IF(UPPER(MID(W177,4,1))="J","AJP",IF(UPPER(MID(W177,4,1))="G","Government",""))))))))))),IF($B177="Challan","",IF(W177&lt;&gt;"","◄ Set Row Type","")))</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IF($B177&lt;&gt;"Challan","",SUMIF('Q1 Data'!$D$4:$D$207,D177,'Q1 Data'!$AD$4:$AD$207)+SUMIF('Q1 Data'!$D$4:$D$207,D177,'Q1 Data'!$AG$4:$AG$207)+SUMIF('Q1 Data'!$D$4:$D$207,D177,'Q1 Data'!$AE$4:$AE$207)+SUMIF('Q2 Data'!$D$4:$D$207,D177,'Q2 Data'!$AD$4:$AD$207)+SUMIF('Q2 Data'!$D$4:$D$207,D177,'Q2 Data'!$AG$4:$AG$207)+SUMIF('Q2 Data'!$D$4:$D$207,D177,'Q2 Data'!$AE$4:$AE$207)+SUMIF('Q3 Data'!$D$4:$D$207,D177,'Q3 Data'!$AD$4:$AD$207)+SUMIF('Q3 Data'!$D$4:$D$207,D177,'Q3 Data'!$AG$4:$AG$207)+SUMIF('Q3 Data'!$D$4:$D$207,D177,'Q3 Data'!$AE$4:$AE$207)+SUMIF('Q4 Data'!$D$4:$D$207,D177,'Q4 Data'!$AD$4:$AD$207)+SUMIF('Q4 Data'!$D$4:$D$207,D177,'Q4 Data'!$AG$4:$AG$207)+SUMIF('Q4 Data'!$D$4:$D$207,D177,'Q4 Data'!$AE$4:$AE$207))</f>
      </c>
      <c r="AO177" s="27">
        <f>IF($B177&lt;&gt;"Challan","",P177-N177)</f>
      </c>
      <c r="AP177" s="27">
        <f>IF($B177&lt;&gt;"Challan","",MAX(0,AO177-AN177))</f>
      </c>
      <c r="AQ177" s="33">
        <f>IF($B177&lt;&gt;"Entry","",SUMPRODUCT(('Q1 Data'!$D$4:$D$207=D177)*('Q1 Data'!$B$4:$B$207="Challan")*'Q1 Data'!$F$4:$F$207)+SUMPRODUCT(('Q2 Data'!$D$4:$D$207=D177)*('Q2 Data'!$B$4:$B$207="Challan")*'Q2 Data'!$F$4:$F$207)+SUMPRODUCT(('Q3 Data'!$D$4:$D$207=D177)*('Q3 Data'!$B$4:$B$207="Challan")*'Q3 Data'!$F$4:$F$207)+SUMPRODUCT(('Q4 Data'!$D$4:$D$207=D177)*('Q4 Data'!$B$4:$B$207="Challan")*'Q4 Data'!$F$4:$F$207))</f>
      </c>
      <c r="AR177" s="34">
        <f>IF(OR($B177&lt;&gt;"Entry",Z177=""),FALSE,AND((SUMPRODUCT(('Q1 Data'!$D$4:$D$207=D177)*('Q1 Data'!$B$4:$B$207="Challan")*('Q1 Data'!$H$4:$H$207&lt;&gt;""))+SUMPRODUCT(('Q2 Data'!$D$4:$D$207=D177)*('Q2 Data'!$B$4:$B$207="Challan")*('Q2 Data'!$H$4:$H$207&lt;&gt;""))+SUMPRODUCT(('Q3 Data'!$D$4:$D$207=D177)*('Q3 Data'!$B$4:$B$207="Challan")*('Q3 Data'!$H$4:$H$207&lt;&gt;""))+SUMPRODUCT(('Q4 Data'!$D$4:$D$207=D177)*('Q4 Data'!$B$4:$B$207="Challan")*('Q4 Data'!$H$4:$H$207&lt;&gt;"")))&gt;0,(SUMPRODUCT(('Q1 Data'!$D$4:$D$207=D177)*('Q1 Data'!$B$4:$B$207="Challan")*('Q1 Data'!$H$4:$H$207=Z177))+SUMPRODUCT(('Q2 Data'!$D$4:$D$207=D177)*('Q2 Data'!$B$4:$B$207="Challan")*('Q2 Data'!$H$4:$H$207=Z177))+SUMPRODUCT(('Q3 Data'!$D$4:$D$207=D177)*('Q3 Data'!$B$4:$B$207="Challan")*('Q3 Data'!$H$4:$H$207=Z177))+SUMPRODUCT(('Q4 Data'!$D$4:$D$207=D177)*('Q4 Data'!$B$4:$B$207="Challan")*('Q4 Data'!$H$4:$H$207=Z177)))=0))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IF($B178="Challan","",IF(W178&lt;&gt;"","◄ Set Row Type","")))</f>
      </c>
      <c r="Y178" s="23">
        <f>IF($B178="Entry",IF(LEN(W178)&lt;4,"",IF(UPPER(MID(W178,4,1))="P","Individual",IF(UPPER(MID(W178,4,1))="H","HUF",IF(UPPER(MID(W178,4,1))="C","Company",IF(UPPER(MID(W178,4,1))="F","Firm/LLP",IF(UPPER(MID(W178,4,1))="L","Local Authority",IF(UPPER(MID(W178,4,1))="T","Trust",IF(UPPER(MID(W178,4,1))="A","AOP",IF(UPPER(MID(W178,4,1))="B","BOI",IF(UPPER(MID(W178,4,1))="J","AJP",IF(UPPER(MID(W178,4,1))="G","Government",""))))))))))),IF($B178="Challan","",IF(W178&lt;&gt;"","◄ Set Row Type","")))</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IF($B178&lt;&gt;"Challan","",SUMIF('Q1 Data'!$D$4:$D$207,D178,'Q1 Data'!$AD$4:$AD$207)+SUMIF('Q1 Data'!$D$4:$D$207,D178,'Q1 Data'!$AG$4:$AG$207)+SUMIF('Q1 Data'!$D$4:$D$207,D178,'Q1 Data'!$AE$4:$AE$207)+SUMIF('Q2 Data'!$D$4:$D$207,D178,'Q2 Data'!$AD$4:$AD$207)+SUMIF('Q2 Data'!$D$4:$D$207,D178,'Q2 Data'!$AG$4:$AG$207)+SUMIF('Q2 Data'!$D$4:$D$207,D178,'Q2 Data'!$AE$4:$AE$207)+SUMIF('Q3 Data'!$D$4:$D$207,D178,'Q3 Data'!$AD$4:$AD$207)+SUMIF('Q3 Data'!$D$4:$D$207,D178,'Q3 Data'!$AG$4:$AG$207)+SUMIF('Q3 Data'!$D$4:$D$207,D178,'Q3 Data'!$AE$4:$AE$207)+SUMIF('Q4 Data'!$D$4:$D$207,D178,'Q4 Data'!$AD$4:$AD$207)+SUMIF('Q4 Data'!$D$4:$D$207,D178,'Q4 Data'!$AG$4:$AG$207)+SUMIF('Q4 Data'!$D$4:$D$207,D178,'Q4 Data'!$AE$4:$AE$207))</f>
      </c>
      <c r="AO178" s="27">
        <f>IF($B178&lt;&gt;"Challan","",P178-N178)</f>
      </c>
      <c r="AP178" s="27">
        <f>IF($B178&lt;&gt;"Challan","",MAX(0,AO178-AN178))</f>
      </c>
      <c r="AQ178" s="33">
        <f>IF($B178&lt;&gt;"Entry","",SUMPRODUCT(('Q1 Data'!$D$4:$D$207=D178)*('Q1 Data'!$B$4:$B$207="Challan")*'Q1 Data'!$F$4:$F$207)+SUMPRODUCT(('Q2 Data'!$D$4:$D$207=D178)*('Q2 Data'!$B$4:$B$207="Challan")*'Q2 Data'!$F$4:$F$207)+SUMPRODUCT(('Q3 Data'!$D$4:$D$207=D178)*('Q3 Data'!$B$4:$B$207="Challan")*'Q3 Data'!$F$4:$F$207)+SUMPRODUCT(('Q4 Data'!$D$4:$D$207=D178)*('Q4 Data'!$B$4:$B$207="Challan")*'Q4 Data'!$F$4:$F$207))</f>
      </c>
      <c r="AR178" s="34">
        <f>IF(OR($B178&lt;&gt;"Entry",Z178=""),FALSE,AND((SUMPRODUCT(('Q1 Data'!$D$4:$D$207=D178)*('Q1 Data'!$B$4:$B$207="Challan")*('Q1 Data'!$H$4:$H$207&lt;&gt;""))+SUMPRODUCT(('Q2 Data'!$D$4:$D$207=D178)*('Q2 Data'!$B$4:$B$207="Challan")*('Q2 Data'!$H$4:$H$207&lt;&gt;""))+SUMPRODUCT(('Q3 Data'!$D$4:$D$207=D178)*('Q3 Data'!$B$4:$B$207="Challan")*('Q3 Data'!$H$4:$H$207&lt;&gt;""))+SUMPRODUCT(('Q4 Data'!$D$4:$D$207=D178)*('Q4 Data'!$B$4:$B$207="Challan")*('Q4 Data'!$H$4:$H$207&lt;&gt;"")))&gt;0,(SUMPRODUCT(('Q1 Data'!$D$4:$D$207=D178)*('Q1 Data'!$B$4:$B$207="Challan")*('Q1 Data'!$H$4:$H$207=Z178))+SUMPRODUCT(('Q2 Data'!$D$4:$D$207=D178)*('Q2 Data'!$B$4:$B$207="Challan")*('Q2 Data'!$H$4:$H$207=Z178))+SUMPRODUCT(('Q3 Data'!$D$4:$D$207=D178)*('Q3 Data'!$B$4:$B$207="Challan")*('Q3 Data'!$H$4:$H$207=Z178))+SUMPRODUCT(('Q4 Data'!$D$4:$D$207=D178)*('Q4 Data'!$B$4:$B$207="Challan")*('Q4 Data'!$H$4:$H$207=Z178)))=0))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IF($B179="Challan","",IF(W179&lt;&gt;"","◄ Set Row Type","")))</f>
      </c>
      <c r="Y179" s="23">
        <f>IF($B179="Entry",IF(LEN(W179)&lt;4,"",IF(UPPER(MID(W179,4,1))="P","Individual",IF(UPPER(MID(W179,4,1))="H","HUF",IF(UPPER(MID(W179,4,1))="C","Company",IF(UPPER(MID(W179,4,1))="F","Firm/LLP",IF(UPPER(MID(W179,4,1))="L","Local Authority",IF(UPPER(MID(W179,4,1))="T","Trust",IF(UPPER(MID(W179,4,1))="A","AOP",IF(UPPER(MID(W179,4,1))="B","BOI",IF(UPPER(MID(W179,4,1))="J","AJP",IF(UPPER(MID(W179,4,1))="G","Government",""))))))))))),IF($B179="Challan","",IF(W179&lt;&gt;"","◄ Set Row Type","")))</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IF($B179&lt;&gt;"Challan","",SUMIF('Q1 Data'!$D$4:$D$207,D179,'Q1 Data'!$AD$4:$AD$207)+SUMIF('Q1 Data'!$D$4:$D$207,D179,'Q1 Data'!$AG$4:$AG$207)+SUMIF('Q1 Data'!$D$4:$D$207,D179,'Q1 Data'!$AE$4:$AE$207)+SUMIF('Q2 Data'!$D$4:$D$207,D179,'Q2 Data'!$AD$4:$AD$207)+SUMIF('Q2 Data'!$D$4:$D$207,D179,'Q2 Data'!$AG$4:$AG$207)+SUMIF('Q2 Data'!$D$4:$D$207,D179,'Q2 Data'!$AE$4:$AE$207)+SUMIF('Q3 Data'!$D$4:$D$207,D179,'Q3 Data'!$AD$4:$AD$207)+SUMIF('Q3 Data'!$D$4:$D$207,D179,'Q3 Data'!$AG$4:$AG$207)+SUMIF('Q3 Data'!$D$4:$D$207,D179,'Q3 Data'!$AE$4:$AE$207)+SUMIF('Q4 Data'!$D$4:$D$207,D179,'Q4 Data'!$AD$4:$AD$207)+SUMIF('Q4 Data'!$D$4:$D$207,D179,'Q4 Data'!$AG$4:$AG$207)+SUMIF('Q4 Data'!$D$4:$D$207,D179,'Q4 Data'!$AE$4:$AE$207))</f>
      </c>
      <c r="AO179" s="27">
        <f>IF($B179&lt;&gt;"Challan","",P179-N179)</f>
      </c>
      <c r="AP179" s="27">
        <f>IF($B179&lt;&gt;"Challan","",MAX(0,AO179-AN179))</f>
      </c>
      <c r="AQ179" s="33">
        <f>IF($B179&lt;&gt;"Entry","",SUMPRODUCT(('Q1 Data'!$D$4:$D$207=D179)*('Q1 Data'!$B$4:$B$207="Challan")*'Q1 Data'!$F$4:$F$207)+SUMPRODUCT(('Q2 Data'!$D$4:$D$207=D179)*('Q2 Data'!$B$4:$B$207="Challan")*'Q2 Data'!$F$4:$F$207)+SUMPRODUCT(('Q3 Data'!$D$4:$D$207=D179)*('Q3 Data'!$B$4:$B$207="Challan")*'Q3 Data'!$F$4:$F$207)+SUMPRODUCT(('Q4 Data'!$D$4:$D$207=D179)*('Q4 Data'!$B$4:$B$207="Challan")*'Q4 Data'!$F$4:$F$207))</f>
      </c>
      <c r="AR179" s="34">
        <f>IF(OR($B179&lt;&gt;"Entry",Z179=""),FALSE,AND((SUMPRODUCT(('Q1 Data'!$D$4:$D$207=D179)*('Q1 Data'!$B$4:$B$207="Challan")*('Q1 Data'!$H$4:$H$207&lt;&gt;""))+SUMPRODUCT(('Q2 Data'!$D$4:$D$207=D179)*('Q2 Data'!$B$4:$B$207="Challan")*('Q2 Data'!$H$4:$H$207&lt;&gt;""))+SUMPRODUCT(('Q3 Data'!$D$4:$D$207=D179)*('Q3 Data'!$B$4:$B$207="Challan")*('Q3 Data'!$H$4:$H$207&lt;&gt;""))+SUMPRODUCT(('Q4 Data'!$D$4:$D$207=D179)*('Q4 Data'!$B$4:$B$207="Challan")*('Q4 Data'!$H$4:$H$207&lt;&gt;"")))&gt;0,(SUMPRODUCT(('Q1 Data'!$D$4:$D$207=D179)*('Q1 Data'!$B$4:$B$207="Challan")*('Q1 Data'!$H$4:$H$207=Z179))+SUMPRODUCT(('Q2 Data'!$D$4:$D$207=D179)*('Q2 Data'!$B$4:$B$207="Challan")*('Q2 Data'!$H$4:$H$207=Z179))+SUMPRODUCT(('Q3 Data'!$D$4:$D$207=D179)*('Q3 Data'!$B$4:$B$207="Challan")*('Q3 Data'!$H$4:$H$207=Z179))+SUMPRODUCT(('Q4 Data'!$D$4:$D$207=D179)*('Q4 Data'!$B$4:$B$207="Challan")*('Q4 Data'!$H$4:$H$207=Z179)))=0))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IF($B180="Challan","",IF(W180&lt;&gt;"","◄ Set Row Type","")))</f>
      </c>
      <c r="Y180" s="23">
        <f>IF($B180="Entry",IF(LEN(W180)&lt;4,"",IF(UPPER(MID(W180,4,1))="P","Individual",IF(UPPER(MID(W180,4,1))="H","HUF",IF(UPPER(MID(W180,4,1))="C","Company",IF(UPPER(MID(W180,4,1))="F","Firm/LLP",IF(UPPER(MID(W180,4,1))="L","Local Authority",IF(UPPER(MID(W180,4,1))="T","Trust",IF(UPPER(MID(W180,4,1))="A","AOP",IF(UPPER(MID(W180,4,1))="B","BOI",IF(UPPER(MID(W180,4,1))="J","AJP",IF(UPPER(MID(W180,4,1))="G","Government",""))))))))))),IF($B180="Challan","",IF(W180&lt;&gt;"","◄ Set Row Type","")))</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IF($B180&lt;&gt;"Challan","",SUMIF('Q1 Data'!$D$4:$D$207,D180,'Q1 Data'!$AD$4:$AD$207)+SUMIF('Q1 Data'!$D$4:$D$207,D180,'Q1 Data'!$AG$4:$AG$207)+SUMIF('Q1 Data'!$D$4:$D$207,D180,'Q1 Data'!$AE$4:$AE$207)+SUMIF('Q2 Data'!$D$4:$D$207,D180,'Q2 Data'!$AD$4:$AD$207)+SUMIF('Q2 Data'!$D$4:$D$207,D180,'Q2 Data'!$AG$4:$AG$207)+SUMIF('Q2 Data'!$D$4:$D$207,D180,'Q2 Data'!$AE$4:$AE$207)+SUMIF('Q3 Data'!$D$4:$D$207,D180,'Q3 Data'!$AD$4:$AD$207)+SUMIF('Q3 Data'!$D$4:$D$207,D180,'Q3 Data'!$AG$4:$AG$207)+SUMIF('Q3 Data'!$D$4:$D$207,D180,'Q3 Data'!$AE$4:$AE$207)+SUMIF('Q4 Data'!$D$4:$D$207,D180,'Q4 Data'!$AD$4:$AD$207)+SUMIF('Q4 Data'!$D$4:$D$207,D180,'Q4 Data'!$AG$4:$AG$207)+SUMIF('Q4 Data'!$D$4:$D$207,D180,'Q4 Data'!$AE$4:$AE$207))</f>
      </c>
      <c r="AO180" s="27">
        <f>IF($B180&lt;&gt;"Challan","",P180-N180)</f>
      </c>
      <c r="AP180" s="27">
        <f>IF($B180&lt;&gt;"Challan","",MAX(0,AO180-AN180))</f>
      </c>
      <c r="AQ180" s="33">
        <f>IF($B180&lt;&gt;"Entry","",SUMPRODUCT(('Q1 Data'!$D$4:$D$207=D180)*('Q1 Data'!$B$4:$B$207="Challan")*'Q1 Data'!$F$4:$F$207)+SUMPRODUCT(('Q2 Data'!$D$4:$D$207=D180)*('Q2 Data'!$B$4:$B$207="Challan")*'Q2 Data'!$F$4:$F$207)+SUMPRODUCT(('Q3 Data'!$D$4:$D$207=D180)*('Q3 Data'!$B$4:$B$207="Challan")*'Q3 Data'!$F$4:$F$207)+SUMPRODUCT(('Q4 Data'!$D$4:$D$207=D180)*('Q4 Data'!$B$4:$B$207="Challan")*'Q4 Data'!$F$4:$F$207))</f>
      </c>
      <c r="AR180" s="34">
        <f>IF(OR($B180&lt;&gt;"Entry",Z180=""),FALSE,AND((SUMPRODUCT(('Q1 Data'!$D$4:$D$207=D180)*('Q1 Data'!$B$4:$B$207="Challan")*('Q1 Data'!$H$4:$H$207&lt;&gt;""))+SUMPRODUCT(('Q2 Data'!$D$4:$D$207=D180)*('Q2 Data'!$B$4:$B$207="Challan")*('Q2 Data'!$H$4:$H$207&lt;&gt;""))+SUMPRODUCT(('Q3 Data'!$D$4:$D$207=D180)*('Q3 Data'!$B$4:$B$207="Challan")*('Q3 Data'!$H$4:$H$207&lt;&gt;""))+SUMPRODUCT(('Q4 Data'!$D$4:$D$207=D180)*('Q4 Data'!$B$4:$B$207="Challan")*('Q4 Data'!$H$4:$H$207&lt;&gt;"")))&gt;0,(SUMPRODUCT(('Q1 Data'!$D$4:$D$207=D180)*('Q1 Data'!$B$4:$B$207="Challan")*('Q1 Data'!$H$4:$H$207=Z180))+SUMPRODUCT(('Q2 Data'!$D$4:$D$207=D180)*('Q2 Data'!$B$4:$B$207="Challan")*('Q2 Data'!$H$4:$H$207=Z180))+SUMPRODUCT(('Q3 Data'!$D$4:$D$207=D180)*('Q3 Data'!$B$4:$B$207="Challan")*('Q3 Data'!$H$4:$H$207=Z180))+SUMPRODUCT(('Q4 Data'!$D$4:$D$207=D180)*('Q4 Data'!$B$4:$B$207="Challan")*('Q4 Data'!$H$4:$H$207=Z180)))=0))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IF($B181="Challan","",IF(W181&lt;&gt;"","◄ Set Row Type","")))</f>
      </c>
      <c r="Y181" s="23">
        <f>IF($B181="Entry",IF(LEN(W181)&lt;4,"",IF(UPPER(MID(W181,4,1))="P","Individual",IF(UPPER(MID(W181,4,1))="H","HUF",IF(UPPER(MID(W181,4,1))="C","Company",IF(UPPER(MID(W181,4,1))="F","Firm/LLP",IF(UPPER(MID(W181,4,1))="L","Local Authority",IF(UPPER(MID(W181,4,1))="T","Trust",IF(UPPER(MID(W181,4,1))="A","AOP",IF(UPPER(MID(W181,4,1))="B","BOI",IF(UPPER(MID(W181,4,1))="J","AJP",IF(UPPER(MID(W181,4,1))="G","Government",""))))))))))),IF($B181="Challan","",IF(W181&lt;&gt;"","◄ Set Row Type","")))</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IF($B181&lt;&gt;"Challan","",SUMIF('Q1 Data'!$D$4:$D$207,D181,'Q1 Data'!$AD$4:$AD$207)+SUMIF('Q1 Data'!$D$4:$D$207,D181,'Q1 Data'!$AG$4:$AG$207)+SUMIF('Q1 Data'!$D$4:$D$207,D181,'Q1 Data'!$AE$4:$AE$207)+SUMIF('Q2 Data'!$D$4:$D$207,D181,'Q2 Data'!$AD$4:$AD$207)+SUMIF('Q2 Data'!$D$4:$D$207,D181,'Q2 Data'!$AG$4:$AG$207)+SUMIF('Q2 Data'!$D$4:$D$207,D181,'Q2 Data'!$AE$4:$AE$207)+SUMIF('Q3 Data'!$D$4:$D$207,D181,'Q3 Data'!$AD$4:$AD$207)+SUMIF('Q3 Data'!$D$4:$D$207,D181,'Q3 Data'!$AG$4:$AG$207)+SUMIF('Q3 Data'!$D$4:$D$207,D181,'Q3 Data'!$AE$4:$AE$207)+SUMIF('Q4 Data'!$D$4:$D$207,D181,'Q4 Data'!$AD$4:$AD$207)+SUMIF('Q4 Data'!$D$4:$D$207,D181,'Q4 Data'!$AG$4:$AG$207)+SUMIF('Q4 Data'!$D$4:$D$207,D181,'Q4 Data'!$AE$4:$AE$207))</f>
      </c>
      <c r="AO181" s="27">
        <f>IF($B181&lt;&gt;"Challan","",P181-N181)</f>
      </c>
      <c r="AP181" s="27">
        <f>IF($B181&lt;&gt;"Challan","",MAX(0,AO181-AN181))</f>
      </c>
      <c r="AQ181" s="33">
        <f>IF($B181&lt;&gt;"Entry","",SUMPRODUCT(('Q1 Data'!$D$4:$D$207=D181)*('Q1 Data'!$B$4:$B$207="Challan")*'Q1 Data'!$F$4:$F$207)+SUMPRODUCT(('Q2 Data'!$D$4:$D$207=D181)*('Q2 Data'!$B$4:$B$207="Challan")*'Q2 Data'!$F$4:$F$207)+SUMPRODUCT(('Q3 Data'!$D$4:$D$207=D181)*('Q3 Data'!$B$4:$B$207="Challan")*'Q3 Data'!$F$4:$F$207)+SUMPRODUCT(('Q4 Data'!$D$4:$D$207=D181)*('Q4 Data'!$B$4:$B$207="Challan")*'Q4 Data'!$F$4:$F$207))</f>
      </c>
      <c r="AR181" s="34">
        <f>IF(OR($B181&lt;&gt;"Entry",Z181=""),FALSE,AND((SUMPRODUCT(('Q1 Data'!$D$4:$D$207=D181)*('Q1 Data'!$B$4:$B$207="Challan")*('Q1 Data'!$H$4:$H$207&lt;&gt;""))+SUMPRODUCT(('Q2 Data'!$D$4:$D$207=D181)*('Q2 Data'!$B$4:$B$207="Challan")*('Q2 Data'!$H$4:$H$207&lt;&gt;""))+SUMPRODUCT(('Q3 Data'!$D$4:$D$207=D181)*('Q3 Data'!$B$4:$B$207="Challan")*('Q3 Data'!$H$4:$H$207&lt;&gt;""))+SUMPRODUCT(('Q4 Data'!$D$4:$D$207=D181)*('Q4 Data'!$B$4:$B$207="Challan")*('Q4 Data'!$H$4:$H$207&lt;&gt;"")))&gt;0,(SUMPRODUCT(('Q1 Data'!$D$4:$D$207=D181)*('Q1 Data'!$B$4:$B$207="Challan")*('Q1 Data'!$H$4:$H$207=Z181))+SUMPRODUCT(('Q2 Data'!$D$4:$D$207=D181)*('Q2 Data'!$B$4:$B$207="Challan")*('Q2 Data'!$H$4:$H$207=Z181))+SUMPRODUCT(('Q3 Data'!$D$4:$D$207=D181)*('Q3 Data'!$B$4:$B$207="Challan")*('Q3 Data'!$H$4:$H$207=Z181))+SUMPRODUCT(('Q4 Data'!$D$4:$D$207=D181)*('Q4 Data'!$B$4:$B$207="Challan")*('Q4 Data'!$H$4:$H$207=Z181)))=0))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IF($B182="Challan","",IF(W182&lt;&gt;"","◄ Set Row Type","")))</f>
      </c>
      <c r="Y182" s="23">
        <f>IF($B182="Entry",IF(LEN(W182)&lt;4,"",IF(UPPER(MID(W182,4,1))="P","Individual",IF(UPPER(MID(W182,4,1))="H","HUF",IF(UPPER(MID(W182,4,1))="C","Company",IF(UPPER(MID(W182,4,1))="F","Firm/LLP",IF(UPPER(MID(W182,4,1))="L","Local Authority",IF(UPPER(MID(W182,4,1))="T","Trust",IF(UPPER(MID(W182,4,1))="A","AOP",IF(UPPER(MID(W182,4,1))="B","BOI",IF(UPPER(MID(W182,4,1))="J","AJP",IF(UPPER(MID(W182,4,1))="G","Government",""))))))))))),IF($B182="Challan","",IF(W182&lt;&gt;"","◄ Set Row Type","")))</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IF($B182&lt;&gt;"Challan","",SUMIF('Q1 Data'!$D$4:$D$207,D182,'Q1 Data'!$AD$4:$AD$207)+SUMIF('Q1 Data'!$D$4:$D$207,D182,'Q1 Data'!$AG$4:$AG$207)+SUMIF('Q1 Data'!$D$4:$D$207,D182,'Q1 Data'!$AE$4:$AE$207)+SUMIF('Q2 Data'!$D$4:$D$207,D182,'Q2 Data'!$AD$4:$AD$207)+SUMIF('Q2 Data'!$D$4:$D$207,D182,'Q2 Data'!$AG$4:$AG$207)+SUMIF('Q2 Data'!$D$4:$D$207,D182,'Q2 Data'!$AE$4:$AE$207)+SUMIF('Q3 Data'!$D$4:$D$207,D182,'Q3 Data'!$AD$4:$AD$207)+SUMIF('Q3 Data'!$D$4:$D$207,D182,'Q3 Data'!$AG$4:$AG$207)+SUMIF('Q3 Data'!$D$4:$D$207,D182,'Q3 Data'!$AE$4:$AE$207)+SUMIF('Q4 Data'!$D$4:$D$207,D182,'Q4 Data'!$AD$4:$AD$207)+SUMIF('Q4 Data'!$D$4:$D$207,D182,'Q4 Data'!$AG$4:$AG$207)+SUMIF('Q4 Data'!$D$4:$D$207,D182,'Q4 Data'!$AE$4:$AE$207))</f>
      </c>
      <c r="AO182" s="27">
        <f>IF($B182&lt;&gt;"Challan","",P182-N182)</f>
      </c>
      <c r="AP182" s="27">
        <f>IF($B182&lt;&gt;"Challan","",MAX(0,AO182-AN182))</f>
      </c>
      <c r="AQ182" s="33">
        <f>IF($B182&lt;&gt;"Entry","",SUMPRODUCT(('Q1 Data'!$D$4:$D$207=D182)*('Q1 Data'!$B$4:$B$207="Challan")*'Q1 Data'!$F$4:$F$207)+SUMPRODUCT(('Q2 Data'!$D$4:$D$207=D182)*('Q2 Data'!$B$4:$B$207="Challan")*'Q2 Data'!$F$4:$F$207)+SUMPRODUCT(('Q3 Data'!$D$4:$D$207=D182)*('Q3 Data'!$B$4:$B$207="Challan")*'Q3 Data'!$F$4:$F$207)+SUMPRODUCT(('Q4 Data'!$D$4:$D$207=D182)*('Q4 Data'!$B$4:$B$207="Challan")*'Q4 Data'!$F$4:$F$207))</f>
      </c>
      <c r="AR182" s="34">
        <f>IF(OR($B182&lt;&gt;"Entry",Z182=""),FALSE,AND((SUMPRODUCT(('Q1 Data'!$D$4:$D$207=D182)*('Q1 Data'!$B$4:$B$207="Challan")*('Q1 Data'!$H$4:$H$207&lt;&gt;""))+SUMPRODUCT(('Q2 Data'!$D$4:$D$207=D182)*('Q2 Data'!$B$4:$B$207="Challan")*('Q2 Data'!$H$4:$H$207&lt;&gt;""))+SUMPRODUCT(('Q3 Data'!$D$4:$D$207=D182)*('Q3 Data'!$B$4:$B$207="Challan")*('Q3 Data'!$H$4:$H$207&lt;&gt;""))+SUMPRODUCT(('Q4 Data'!$D$4:$D$207=D182)*('Q4 Data'!$B$4:$B$207="Challan")*('Q4 Data'!$H$4:$H$207&lt;&gt;"")))&gt;0,(SUMPRODUCT(('Q1 Data'!$D$4:$D$207=D182)*('Q1 Data'!$B$4:$B$207="Challan")*('Q1 Data'!$H$4:$H$207=Z182))+SUMPRODUCT(('Q2 Data'!$D$4:$D$207=D182)*('Q2 Data'!$B$4:$B$207="Challan")*('Q2 Data'!$H$4:$H$207=Z182))+SUMPRODUCT(('Q3 Data'!$D$4:$D$207=D182)*('Q3 Data'!$B$4:$B$207="Challan")*('Q3 Data'!$H$4:$H$207=Z182))+SUMPRODUCT(('Q4 Data'!$D$4:$D$207=D182)*('Q4 Data'!$B$4:$B$207="Challan")*('Q4 Data'!$H$4:$H$207=Z182)))=0))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IF($B183="Challan","",IF(W183&lt;&gt;"","◄ Set Row Type","")))</f>
      </c>
      <c r="Y183" s="23">
        <f>IF($B183="Entry",IF(LEN(W183)&lt;4,"",IF(UPPER(MID(W183,4,1))="P","Individual",IF(UPPER(MID(W183,4,1))="H","HUF",IF(UPPER(MID(W183,4,1))="C","Company",IF(UPPER(MID(W183,4,1))="F","Firm/LLP",IF(UPPER(MID(W183,4,1))="L","Local Authority",IF(UPPER(MID(W183,4,1))="T","Trust",IF(UPPER(MID(W183,4,1))="A","AOP",IF(UPPER(MID(W183,4,1))="B","BOI",IF(UPPER(MID(W183,4,1))="J","AJP",IF(UPPER(MID(W183,4,1))="G","Government",""))))))))))),IF($B183="Challan","",IF(W183&lt;&gt;"","◄ Set Row Type","")))</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IF($B183&lt;&gt;"Challan","",SUMIF('Q1 Data'!$D$4:$D$207,D183,'Q1 Data'!$AD$4:$AD$207)+SUMIF('Q1 Data'!$D$4:$D$207,D183,'Q1 Data'!$AG$4:$AG$207)+SUMIF('Q1 Data'!$D$4:$D$207,D183,'Q1 Data'!$AE$4:$AE$207)+SUMIF('Q2 Data'!$D$4:$D$207,D183,'Q2 Data'!$AD$4:$AD$207)+SUMIF('Q2 Data'!$D$4:$D$207,D183,'Q2 Data'!$AG$4:$AG$207)+SUMIF('Q2 Data'!$D$4:$D$207,D183,'Q2 Data'!$AE$4:$AE$207)+SUMIF('Q3 Data'!$D$4:$D$207,D183,'Q3 Data'!$AD$4:$AD$207)+SUMIF('Q3 Data'!$D$4:$D$207,D183,'Q3 Data'!$AG$4:$AG$207)+SUMIF('Q3 Data'!$D$4:$D$207,D183,'Q3 Data'!$AE$4:$AE$207)+SUMIF('Q4 Data'!$D$4:$D$207,D183,'Q4 Data'!$AD$4:$AD$207)+SUMIF('Q4 Data'!$D$4:$D$207,D183,'Q4 Data'!$AG$4:$AG$207)+SUMIF('Q4 Data'!$D$4:$D$207,D183,'Q4 Data'!$AE$4:$AE$207))</f>
      </c>
      <c r="AO183" s="27">
        <f>IF($B183&lt;&gt;"Challan","",P183-N183)</f>
      </c>
      <c r="AP183" s="27">
        <f>IF($B183&lt;&gt;"Challan","",MAX(0,AO183-AN183))</f>
      </c>
      <c r="AQ183" s="33">
        <f>IF($B183&lt;&gt;"Entry","",SUMPRODUCT(('Q1 Data'!$D$4:$D$207=D183)*('Q1 Data'!$B$4:$B$207="Challan")*'Q1 Data'!$F$4:$F$207)+SUMPRODUCT(('Q2 Data'!$D$4:$D$207=D183)*('Q2 Data'!$B$4:$B$207="Challan")*'Q2 Data'!$F$4:$F$207)+SUMPRODUCT(('Q3 Data'!$D$4:$D$207=D183)*('Q3 Data'!$B$4:$B$207="Challan")*'Q3 Data'!$F$4:$F$207)+SUMPRODUCT(('Q4 Data'!$D$4:$D$207=D183)*('Q4 Data'!$B$4:$B$207="Challan")*'Q4 Data'!$F$4:$F$207))</f>
      </c>
      <c r="AR183" s="34">
        <f>IF(OR($B183&lt;&gt;"Entry",Z183=""),FALSE,AND((SUMPRODUCT(('Q1 Data'!$D$4:$D$207=D183)*('Q1 Data'!$B$4:$B$207="Challan")*('Q1 Data'!$H$4:$H$207&lt;&gt;""))+SUMPRODUCT(('Q2 Data'!$D$4:$D$207=D183)*('Q2 Data'!$B$4:$B$207="Challan")*('Q2 Data'!$H$4:$H$207&lt;&gt;""))+SUMPRODUCT(('Q3 Data'!$D$4:$D$207=D183)*('Q3 Data'!$B$4:$B$207="Challan")*('Q3 Data'!$H$4:$H$207&lt;&gt;""))+SUMPRODUCT(('Q4 Data'!$D$4:$D$207=D183)*('Q4 Data'!$B$4:$B$207="Challan")*('Q4 Data'!$H$4:$H$207&lt;&gt;"")))&gt;0,(SUMPRODUCT(('Q1 Data'!$D$4:$D$207=D183)*('Q1 Data'!$B$4:$B$207="Challan")*('Q1 Data'!$H$4:$H$207=Z183))+SUMPRODUCT(('Q2 Data'!$D$4:$D$207=D183)*('Q2 Data'!$B$4:$B$207="Challan")*('Q2 Data'!$H$4:$H$207=Z183))+SUMPRODUCT(('Q3 Data'!$D$4:$D$207=D183)*('Q3 Data'!$B$4:$B$207="Challan")*('Q3 Data'!$H$4:$H$207=Z183))+SUMPRODUCT(('Q4 Data'!$D$4:$D$207=D183)*('Q4 Data'!$B$4:$B$207="Challan")*('Q4 Data'!$H$4:$H$207=Z183)))=0))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IF($B184="Challan","",IF(W184&lt;&gt;"","◄ Set Row Type","")))</f>
      </c>
      <c r="Y184" s="23">
        <f>IF($B184="Entry",IF(LEN(W184)&lt;4,"",IF(UPPER(MID(W184,4,1))="P","Individual",IF(UPPER(MID(W184,4,1))="H","HUF",IF(UPPER(MID(W184,4,1))="C","Company",IF(UPPER(MID(W184,4,1))="F","Firm/LLP",IF(UPPER(MID(W184,4,1))="L","Local Authority",IF(UPPER(MID(W184,4,1))="T","Trust",IF(UPPER(MID(W184,4,1))="A","AOP",IF(UPPER(MID(W184,4,1))="B","BOI",IF(UPPER(MID(W184,4,1))="J","AJP",IF(UPPER(MID(W184,4,1))="G","Government",""))))))))))),IF($B184="Challan","",IF(W184&lt;&gt;"","◄ Set Row Type","")))</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IF($B184&lt;&gt;"Challan","",SUMIF('Q1 Data'!$D$4:$D$207,D184,'Q1 Data'!$AD$4:$AD$207)+SUMIF('Q1 Data'!$D$4:$D$207,D184,'Q1 Data'!$AG$4:$AG$207)+SUMIF('Q1 Data'!$D$4:$D$207,D184,'Q1 Data'!$AE$4:$AE$207)+SUMIF('Q2 Data'!$D$4:$D$207,D184,'Q2 Data'!$AD$4:$AD$207)+SUMIF('Q2 Data'!$D$4:$D$207,D184,'Q2 Data'!$AG$4:$AG$207)+SUMIF('Q2 Data'!$D$4:$D$207,D184,'Q2 Data'!$AE$4:$AE$207)+SUMIF('Q3 Data'!$D$4:$D$207,D184,'Q3 Data'!$AD$4:$AD$207)+SUMIF('Q3 Data'!$D$4:$D$207,D184,'Q3 Data'!$AG$4:$AG$207)+SUMIF('Q3 Data'!$D$4:$D$207,D184,'Q3 Data'!$AE$4:$AE$207)+SUMIF('Q4 Data'!$D$4:$D$207,D184,'Q4 Data'!$AD$4:$AD$207)+SUMIF('Q4 Data'!$D$4:$D$207,D184,'Q4 Data'!$AG$4:$AG$207)+SUMIF('Q4 Data'!$D$4:$D$207,D184,'Q4 Data'!$AE$4:$AE$207))</f>
      </c>
      <c r="AO184" s="27">
        <f>IF($B184&lt;&gt;"Challan","",P184-N184)</f>
      </c>
      <c r="AP184" s="27">
        <f>IF($B184&lt;&gt;"Challan","",MAX(0,AO184-AN184))</f>
      </c>
      <c r="AQ184" s="33">
        <f>IF($B184&lt;&gt;"Entry","",SUMPRODUCT(('Q1 Data'!$D$4:$D$207=D184)*('Q1 Data'!$B$4:$B$207="Challan")*'Q1 Data'!$F$4:$F$207)+SUMPRODUCT(('Q2 Data'!$D$4:$D$207=D184)*('Q2 Data'!$B$4:$B$207="Challan")*'Q2 Data'!$F$4:$F$207)+SUMPRODUCT(('Q3 Data'!$D$4:$D$207=D184)*('Q3 Data'!$B$4:$B$207="Challan")*'Q3 Data'!$F$4:$F$207)+SUMPRODUCT(('Q4 Data'!$D$4:$D$207=D184)*('Q4 Data'!$B$4:$B$207="Challan")*'Q4 Data'!$F$4:$F$207))</f>
      </c>
      <c r="AR184" s="34">
        <f>IF(OR($B184&lt;&gt;"Entry",Z184=""),FALSE,AND((SUMPRODUCT(('Q1 Data'!$D$4:$D$207=D184)*('Q1 Data'!$B$4:$B$207="Challan")*('Q1 Data'!$H$4:$H$207&lt;&gt;""))+SUMPRODUCT(('Q2 Data'!$D$4:$D$207=D184)*('Q2 Data'!$B$4:$B$207="Challan")*('Q2 Data'!$H$4:$H$207&lt;&gt;""))+SUMPRODUCT(('Q3 Data'!$D$4:$D$207=D184)*('Q3 Data'!$B$4:$B$207="Challan")*('Q3 Data'!$H$4:$H$207&lt;&gt;""))+SUMPRODUCT(('Q4 Data'!$D$4:$D$207=D184)*('Q4 Data'!$B$4:$B$207="Challan")*('Q4 Data'!$H$4:$H$207&lt;&gt;"")))&gt;0,(SUMPRODUCT(('Q1 Data'!$D$4:$D$207=D184)*('Q1 Data'!$B$4:$B$207="Challan")*('Q1 Data'!$H$4:$H$207=Z184))+SUMPRODUCT(('Q2 Data'!$D$4:$D$207=D184)*('Q2 Data'!$B$4:$B$207="Challan")*('Q2 Data'!$H$4:$H$207=Z184))+SUMPRODUCT(('Q3 Data'!$D$4:$D$207=D184)*('Q3 Data'!$B$4:$B$207="Challan")*('Q3 Data'!$H$4:$H$207=Z184))+SUMPRODUCT(('Q4 Data'!$D$4:$D$207=D184)*('Q4 Data'!$B$4:$B$207="Challan")*('Q4 Data'!$H$4:$H$207=Z184)))=0))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IF($B185="Challan","",IF(W185&lt;&gt;"","◄ Set Row Type","")))</f>
      </c>
      <c r="Y185" s="23">
        <f>IF($B185="Entry",IF(LEN(W185)&lt;4,"",IF(UPPER(MID(W185,4,1))="P","Individual",IF(UPPER(MID(W185,4,1))="H","HUF",IF(UPPER(MID(W185,4,1))="C","Company",IF(UPPER(MID(W185,4,1))="F","Firm/LLP",IF(UPPER(MID(W185,4,1))="L","Local Authority",IF(UPPER(MID(W185,4,1))="T","Trust",IF(UPPER(MID(W185,4,1))="A","AOP",IF(UPPER(MID(W185,4,1))="B","BOI",IF(UPPER(MID(W185,4,1))="J","AJP",IF(UPPER(MID(W185,4,1))="G","Government",""))))))))))),IF($B185="Challan","",IF(W185&lt;&gt;"","◄ Set Row Type","")))</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IF($B185&lt;&gt;"Challan","",SUMIF('Q1 Data'!$D$4:$D$207,D185,'Q1 Data'!$AD$4:$AD$207)+SUMIF('Q1 Data'!$D$4:$D$207,D185,'Q1 Data'!$AG$4:$AG$207)+SUMIF('Q1 Data'!$D$4:$D$207,D185,'Q1 Data'!$AE$4:$AE$207)+SUMIF('Q2 Data'!$D$4:$D$207,D185,'Q2 Data'!$AD$4:$AD$207)+SUMIF('Q2 Data'!$D$4:$D$207,D185,'Q2 Data'!$AG$4:$AG$207)+SUMIF('Q2 Data'!$D$4:$D$207,D185,'Q2 Data'!$AE$4:$AE$207)+SUMIF('Q3 Data'!$D$4:$D$207,D185,'Q3 Data'!$AD$4:$AD$207)+SUMIF('Q3 Data'!$D$4:$D$207,D185,'Q3 Data'!$AG$4:$AG$207)+SUMIF('Q3 Data'!$D$4:$D$207,D185,'Q3 Data'!$AE$4:$AE$207)+SUMIF('Q4 Data'!$D$4:$D$207,D185,'Q4 Data'!$AD$4:$AD$207)+SUMIF('Q4 Data'!$D$4:$D$207,D185,'Q4 Data'!$AG$4:$AG$207)+SUMIF('Q4 Data'!$D$4:$D$207,D185,'Q4 Data'!$AE$4:$AE$207))</f>
      </c>
      <c r="AO185" s="27">
        <f>IF($B185&lt;&gt;"Challan","",P185-N185)</f>
      </c>
      <c r="AP185" s="27">
        <f>IF($B185&lt;&gt;"Challan","",MAX(0,AO185-AN185))</f>
      </c>
      <c r="AQ185" s="33">
        <f>IF($B185&lt;&gt;"Entry","",SUMPRODUCT(('Q1 Data'!$D$4:$D$207=D185)*('Q1 Data'!$B$4:$B$207="Challan")*'Q1 Data'!$F$4:$F$207)+SUMPRODUCT(('Q2 Data'!$D$4:$D$207=D185)*('Q2 Data'!$B$4:$B$207="Challan")*'Q2 Data'!$F$4:$F$207)+SUMPRODUCT(('Q3 Data'!$D$4:$D$207=D185)*('Q3 Data'!$B$4:$B$207="Challan")*'Q3 Data'!$F$4:$F$207)+SUMPRODUCT(('Q4 Data'!$D$4:$D$207=D185)*('Q4 Data'!$B$4:$B$207="Challan")*'Q4 Data'!$F$4:$F$207))</f>
      </c>
      <c r="AR185" s="34">
        <f>IF(OR($B185&lt;&gt;"Entry",Z185=""),FALSE,AND((SUMPRODUCT(('Q1 Data'!$D$4:$D$207=D185)*('Q1 Data'!$B$4:$B$207="Challan")*('Q1 Data'!$H$4:$H$207&lt;&gt;""))+SUMPRODUCT(('Q2 Data'!$D$4:$D$207=D185)*('Q2 Data'!$B$4:$B$207="Challan")*('Q2 Data'!$H$4:$H$207&lt;&gt;""))+SUMPRODUCT(('Q3 Data'!$D$4:$D$207=D185)*('Q3 Data'!$B$4:$B$207="Challan")*('Q3 Data'!$H$4:$H$207&lt;&gt;""))+SUMPRODUCT(('Q4 Data'!$D$4:$D$207=D185)*('Q4 Data'!$B$4:$B$207="Challan")*('Q4 Data'!$H$4:$H$207&lt;&gt;"")))&gt;0,(SUMPRODUCT(('Q1 Data'!$D$4:$D$207=D185)*('Q1 Data'!$B$4:$B$207="Challan")*('Q1 Data'!$H$4:$H$207=Z185))+SUMPRODUCT(('Q2 Data'!$D$4:$D$207=D185)*('Q2 Data'!$B$4:$B$207="Challan")*('Q2 Data'!$H$4:$H$207=Z185))+SUMPRODUCT(('Q3 Data'!$D$4:$D$207=D185)*('Q3 Data'!$B$4:$B$207="Challan")*('Q3 Data'!$H$4:$H$207=Z185))+SUMPRODUCT(('Q4 Data'!$D$4:$D$207=D185)*('Q4 Data'!$B$4:$B$207="Challan")*('Q4 Data'!$H$4:$H$207=Z185)))=0))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IF($B186="Challan","",IF(W186&lt;&gt;"","◄ Set Row Type","")))</f>
      </c>
      <c r="Y186" s="23">
        <f>IF($B186="Entry",IF(LEN(W186)&lt;4,"",IF(UPPER(MID(W186,4,1))="P","Individual",IF(UPPER(MID(W186,4,1))="H","HUF",IF(UPPER(MID(W186,4,1))="C","Company",IF(UPPER(MID(W186,4,1))="F","Firm/LLP",IF(UPPER(MID(W186,4,1))="L","Local Authority",IF(UPPER(MID(W186,4,1))="T","Trust",IF(UPPER(MID(W186,4,1))="A","AOP",IF(UPPER(MID(W186,4,1))="B","BOI",IF(UPPER(MID(W186,4,1))="J","AJP",IF(UPPER(MID(W186,4,1))="G","Government",""))))))))))),IF($B186="Challan","",IF(W186&lt;&gt;"","◄ Set Row Type","")))</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IF($B186&lt;&gt;"Challan","",SUMIF('Q1 Data'!$D$4:$D$207,D186,'Q1 Data'!$AD$4:$AD$207)+SUMIF('Q1 Data'!$D$4:$D$207,D186,'Q1 Data'!$AG$4:$AG$207)+SUMIF('Q1 Data'!$D$4:$D$207,D186,'Q1 Data'!$AE$4:$AE$207)+SUMIF('Q2 Data'!$D$4:$D$207,D186,'Q2 Data'!$AD$4:$AD$207)+SUMIF('Q2 Data'!$D$4:$D$207,D186,'Q2 Data'!$AG$4:$AG$207)+SUMIF('Q2 Data'!$D$4:$D$207,D186,'Q2 Data'!$AE$4:$AE$207)+SUMIF('Q3 Data'!$D$4:$D$207,D186,'Q3 Data'!$AD$4:$AD$207)+SUMIF('Q3 Data'!$D$4:$D$207,D186,'Q3 Data'!$AG$4:$AG$207)+SUMIF('Q3 Data'!$D$4:$D$207,D186,'Q3 Data'!$AE$4:$AE$207)+SUMIF('Q4 Data'!$D$4:$D$207,D186,'Q4 Data'!$AD$4:$AD$207)+SUMIF('Q4 Data'!$D$4:$D$207,D186,'Q4 Data'!$AG$4:$AG$207)+SUMIF('Q4 Data'!$D$4:$D$207,D186,'Q4 Data'!$AE$4:$AE$207))</f>
      </c>
      <c r="AO186" s="27">
        <f>IF($B186&lt;&gt;"Challan","",P186-N186)</f>
      </c>
      <c r="AP186" s="27">
        <f>IF($B186&lt;&gt;"Challan","",MAX(0,AO186-AN186))</f>
      </c>
      <c r="AQ186" s="33">
        <f>IF($B186&lt;&gt;"Entry","",SUMPRODUCT(('Q1 Data'!$D$4:$D$207=D186)*('Q1 Data'!$B$4:$B$207="Challan")*'Q1 Data'!$F$4:$F$207)+SUMPRODUCT(('Q2 Data'!$D$4:$D$207=D186)*('Q2 Data'!$B$4:$B$207="Challan")*'Q2 Data'!$F$4:$F$207)+SUMPRODUCT(('Q3 Data'!$D$4:$D$207=D186)*('Q3 Data'!$B$4:$B$207="Challan")*'Q3 Data'!$F$4:$F$207)+SUMPRODUCT(('Q4 Data'!$D$4:$D$207=D186)*('Q4 Data'!$B$4:$B$207="Challan")*'Q4 Data'!$F$4:$F$207))</f>
      </c>
      <c r="AR186" s="34">
        <f>IF(OR($B186&lt;&gt;"Entry",Z186=""),FALSE,AND((SUMPRODUCT(('Q1 Data'!$D$4:$D$207=D186)*('Q1 Data'!$B$4:$B$207="Challan")*('Q1 Data'!$H$4:$H$207&lt;&gt;""))+SUMPRODUCT(('Q2 Data'!$D$4:$D$207=D186)*('Q2 Data'!$B$4:$B$207="Challan")*('Q2 Data'!$H$4:$H$207&lt;&gt;""))+SUMPRODUCT(('Q3 Data'!$D$4:$D$207=D186)*('Q3 Data'!$B$4:$B$207="Challan")*('Q3 Data'!$H$4:$H$207&lt;&gt;""))+SUMPRODUCT(('Q4 Data'!$D$4:$D$207=D186)*('Q4 Data'!$B$4:$B$207="Challan")*('Q4 Data'!$H$4:$H$207&lt;&gt;"")))&gt;0,(SUMPRODUCT(('Q1 Data'!$D$4:$D$207=D186)*('Q1 Data'!$B$4:$B$207="Challan")*('Q1 Data'!$H$4:$H$207=Z186))+SUMPRODUCT(('Q2 Data'!$D$4:$D$207=D186)*('Q2 Data'!$B$4:$B$207="Challan")*('Q2 Data'!$H$4:$H$207=Z186))+SUMPRODUCT(('Q3 Data'!$D$4:$D$207=D186)*('Q3 Data'!$B$4:$B$207="Challan")*('Q3 Data'!$H$4:$H$207=Z186))+SUMPRODUCT(('Q4 Data'!$D$4:$D$207=D186)*('Q4 Data'!$B$4:$B$207="Challan")*('Q4 Data'!$H$4:$H$207=Z186)))=0))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IF($B187="Challan","",IF(W187&lt;&gt;"","◄ Set Row Type","")))</f>
      </c>
      <c r="Y187" s="23">
        <f>IF($B187="Entry",IF(LEN(W187)&lt;4,"",IF(UPPER(MID(W187,4,1))="P","Individual",IF(UPPER(MID(W187,4,1))="H","HUF",IF(UPPER(MID(W187,4,1))="C","Company",IF(UPPER(MID(W187,4,1))="F","Firm/LLP",IF(UPPER(MID(W187,4,1))="L","Local Authority",IF(UPPER(MID(W187,4,1))="T","Trust",IF(UPPER(MID(W187,4,1))="A","AOP",IF(UPPER(MID(W187,4,1))="B","BOI",IF(UPPER(MID(W187,4,1))="J","AJP",IF(UPPER(MID(W187,4,1))="G","Government",""))))))))))),IF($B187="Challan","",IF(W187&lt;&gt;"","◄ Set Row Type","")))</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IF($B187&lt;&gt;"Challan","",SUMIF('Q1 Data'!$D$4:$D$207,D187,'Q1 Data'!$AD$4:$AD$207)+SUMIF('Q1 Data'!$D$4:$D$207,D187,'Q1 Data'!$AG$4:$AG$207)+SUMIF('Q1 Data'!$D$4:$D$207,D187,'Q1 Data'!$AE$4:$AE$207)+SUMIF('Q2 Data'!$D$4:$D$207,D187,'Q2 Data'!$AD$4:$AD$207)+SUMIF('Q2 Data'!$D$4:$D$207,D187,'Q2 Data'!$AG$4:$AG$207)+SUMIF('Q2 Data'!$D$4:$D$207,D187,'Q2 Data'!$AE$4:$AE$207)+SUMIF('Q3 Data'!$D$4:$D$207,D187,'Q3 Data'!$AD$4:$AD$207)+SUMIF('Q3 Data'!$D$4:$D$207,D187,'Q3 Data'!$AG$4:$AG$207)+SUMIF('Q3 Data'!$D$4:$D$207,D187,'Q3 Data'!$AE$4:$AE$207)+SUMIF('Q4 Data'!$D$4:$D$207,D187,'Q4 Data'!$AD$4:$AD$207)+SUMIF('Q4 Data'!$D$4:$D$207,D187,'Q4 Data'!$AG$4:$AG$207)+SUMIF('Q4 Data'!$D$4:$D$207,D187,'Q4 Data'!$AE$4:$AE$207))</f>
      </c>
      <c r="AO187" s="27">
        <f>IF($B187&lt;&gt;"Challan","",P187-N187)</f>
      </c>
      <c r="AP187" s="27">
        <f>IF($B187&lt;&gt;"Challan","",MAX(0,AO187-AN187))</f>
      </c>
      <c r="AQ187" s="33">
        <f>IF($B187&lt;&gt;"Entry","",SUMPRODUCT(('Q1 Data'!$D$4:$D$207=D187)*('Q1 Data'!$B$4:$B$207="Challan")*'Q1 Data'!$F$4:$F$207)+SUMPRODUCT(('Q2 Data'!$D$4:$D$207=D187)*('Q2 Data'!$B$4:$B$207="Challan")*'Q2 Data'!$F$4:$F$207)+SUMPRODUCT(('Q3 Data'!$D$4:$D$207=D187)*('Q3 Data'!$B$4:$B$207="Challan")*'Q3 Data'!$F$4:$F$207)+SUMPRODUCT(('Q4 Data'!$D$4:$D$207=D187)*('Q4 Data'!$B$4:$B$207="Challan")*'Q4 Data'!$F$4:$F$207))</f>
      </c>
      <c r="AR187" s="34">
        <f>IF(OR($B187&lt;&gt;"Entry",Z187=""),FALSE,AND((SUMPRODUCT(('Q1 Data'!$D$4:$D$207=D187)*('Q1 Data'!$B$4:$B$207="Challan")*('Q1 Data'!$H$4:$H$207&lt;&gt;""))+SUMPRODUCT(('Q2 Data'!$D$4:$D$207=D187)*('Q2 Data'!$B$4:$B$207="Challan")*('Q2 Data'!$H$4:$H$207&lt;&gt;""))+SUMPRODUCT(('Q3 Data'!$D$4:$D$207=D187)*('Q3 Data'!$B$4:$B$207="Challan")*('Q3 Data'!$H$4:$H$207&lt;&gt;""))+SUMPRODUCT(('Q4 Data'!$D$4:$D$207=D187)*('Q4 Data'!$B$4:$B$207="Challan")*('Q4 Data'!$H$4:$H$207&lt;&gt;"")))&gt;0,(SUMPRODUCT(('Q1 Data'!$D$4:$D$207=D187)*('Q1 Data'!$B$4:$B$207="Challan")*('Q1 Data'!$H$4:$H$207=Z187))+SUMPRODUCT(('Q2 Data'!$D$4:$D$207=D187)*('Q2 Data'!$B$4:$B$207="Challan")*('Q2 Data'!$H$4:$H$207=Z187))+SUMPRODUCT(('Q3 Data'!$D$4:$D$207=D187)*('Q3 Data'!$B$4:$B$207="Challan")*('Q3 Data'!$H$4:$H$207=Z187))+SUMPRODUCT(('Q4 Data'!$D$4:$D$207=D187)*('Q4 Data'!$B$4:$B$207="Challan")*('Q4 Data'!$H$4:$H$207=Z187)))=0))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IF($B188="Challan","",IF(W188&lt;&gt;"","◄ Set Row Type","")))</f>
      </c>
      <c r="Y188" s="23">
        <f>IF($B188="Entry",IF(LEN(W188)&lt;4,"",IF(UPPER(MID(W188,4,1))="P","Individual",IF(UPPER(MID(W188,4,1))="H","HUF",IF(UPPER(MID(W188,4,1))="C","Company",IF(UPPER(MID(W188,4,1))="F","Firm/LLP",IF(UPPER(MID(W188,4,1))="L","Local Authority",IF(UPPER(MID(W188,4,1))="T","Trust",IF(UPPER(MID(W188,4,1))="A","AOP",IF(UPPER(MID(W188,4,1))="B","BOI",IF(UPPER(MID(W188,4,1))="J","AJP",IF(UPPER(MID(W188,4,1))="G","Government",""))))))))))),IF($B188="Challan","",IF(W188&lt;&gt;"","◄ Set Row Type","")))</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IF($B188&lt;&gt;"Challan","",SUMIF('Q1 Data'!$D$4:$D$207,D188,'Q1 Data'!$AD$4:$AD$207)+SUMIF('Q1 Data'!$D$4:$D$207,D188,'Q1 Data'!$AG$4:$AG$207)+SUMIF('Q1 Data'!$D$4:$D$207,D188,'Q1 Data'!$AE$4:$AE$207)+SUMIF('Q2 Data'!$D$4:$D$207,D188,'Q2 Data'!$AD$4:$AD$207)+SUMIF('Q2 Data'!$D$4:$D$207,D188,'Q2 Data'!$AG$4:$AG$207)+SUMIF('Q2 Data'!$D$4:$D$207,D188,'Q2 Data'!$AE$4:$AE$207)+SUMIF('Q3 Data'!$D$4:$D$207,D188,'Q3 Data'!$AD$4:$AD$207)+SUMIF('Q3 Data'!$D$4:$D$207,D188,'Q3 Data'!$AG$4:$AG$207)+SUMIF('Q3 Data'!$D$4:$D$207,D188,'Q3 Data'!$AE$4:$AE$207)+SUMIF('Q4 Data'!$D$4:$D$207,D188,'Q4 Data'!$AD$4:$AD$207)+SUMIF('Q4 Data'!$D$4:$D$207,D188,'Q4 Data'!$AG$4:$AG$207)+SUMIF('Q4 Data'!$D$4:$D$207,D188,'Q4 Data'!$AE$4:$AE$207))</f>
      </c>
      <c r="AO188" s="27">
        <f>IF($B188&lt;&gt;"Challan","",P188-N188)</f>
      </c>
      <c r="AP188" s="27">
        <f>IF($B188&lt;&gt;"Challan","",MAX(0,AO188-AN188))</f>
      </c>
      <c r="AQ188" s="33">
        <f>IF($B188&lt;&gt;"Entry","",SUMPRODUCT(('Q1 Data'!$D$4:$D$207=D188)*('Q1 Data'!$B$4:$B$207="Challan")*'Q1 Data'!$F$4:$F$207)+SUMPRODUCT(('Q2 Data'!$D$4:$D$207=D188)*('Q2 Data'!$B$4:$B$207="Challan")*'Q2 Data'!$F$4:$F$207)+SUMPRODUCT(('Q3 Data'!$D$4:$D$207=D188)*('Q3 Data'!$B$4:$B$207="Challan")*'Q3 Data'!$F$4:$F$207)+SUMPRODUCT(('Q4 Data'!$D$4:$D$207=D188)*('Q4 Data'!$B$4:$B$207="Challan")*'Q4 Data'!$F$4:$F$207))</f>
      </c>
      <c r="AR188" s="34">
        <f>IF(OR($B188&lt;&gt;"Entry",Z188=""),FALSE,AND((SUMPRODUCT(('Q1 Data'!$D$4:$D$207=D188)*('Q1 Data'!$B$4:$B$207="Challan")*('Q1 Data'!$H$4:$H$207&lt;&gt;""))+SUMPRODUCT(('Q2 Data'!$D$4:$D$207=D188)*('Q2 Data'!$B$4:$B$207="Challan")*('Q2 Data'!$H$4:$H$207&lt;&gt;""))+SUMPRODUCT(('Q3 Data'!$D$4:$D$207=D188)*('Q3 Data'!$B$4:$B$207="Challan")*('Q3 Data'!$H$4:$H$207&lt;&gt;""))+SUMPRODUCT(('Q4 Data'!$D$4:$D$207=D188)*('Q4 Data'!$B$4:$B$207="Challan")*('Q4 Data'!$H$4:$H$207&lt;&gt;"")))&gt;0,(SUMPRODUCT(('Q1 Data'!$D$4:$D$207=D188)*('Q1 Data'!$B$4:$B$207="Challan")*('Q1 Data'!$H$4:$H$207=Z188))+SUMPRODUCT(('Q2 Data'!$D$4:$D$207=D188)*('Q2 Data'!$B$4:$B$207="Challan")*('Q2 Data'!$H$4:$H$207=Z188))+SUMPRODUCT(('Q3 Data'!$D$4:$D$207=D188)*('Q3 Data'!$B$4:$B$207="Challan")*('Q3 Data'!$H$4:$H$207=Z188))+SUMPRODUCT(('Q4 Data'!$D$4:$D$207=D188)*('Q4 Data'!$B$4:$B$207="Challan")*('Q4 Data'!$H$4:$H$207=Z188)))=0))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IF($B189="Challan","",IF(W189&lt;&gt;"","◄ Set Row Type","")))</f>
      </c>
      <c r="Y189" s="23">
        <f>IF($B189="Entry",IF(LEN(W189)&lt;4,"",IF(UPPER(MID(W189,4,1))="P","Individual",IF(UPPER(MID(W189,4,1))="H","HUF",IF(UPPER(MID(W189,4,1))="C","Company",IF(UPPER(MID(W189,4,1))="F","Firm/LLP",IF(UPPER(MID(W189,4,1))="L","Local Authority",IF(UPPER(MID(W189,4,1))="T","Trust",IF(UPPER(MID(W189,4,1))="A","AOP",IF(UPPER(MID(W189,4,1))="B","BOI",IF(UPPER(MID(W189,4,1))="J","AJP",IF(UPPER(MID(W189,4,1))="G","Government",""))))))))))),IF($B189="Challan","",IF(W189&lt;&gt;"","◄ Set Row Type","")))</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IF($B189&lt;&gt;"Challan","",SUMIF('Q1 Data'!$D$4:$D$207,D189,'Q1 Data'!$AD$4:$AD$207)+SUMIF('Q1 Data'!$D$4:$D$207,D189,'Q1 Data'!$AG$4:$AG$207)+SUMIF('Q1 Data'!$D$4:$D$207,D189,'Q1 Data'!$AE$4:$AE$207)+SUMIF('Q2 Data'!$D$4:$D$207,D189,'Q2 Data'!$AD$4:$AD$207)+SUMIF('Q2 Data'!$D$4:$D$207,D189,'Q2 Data'!$AG$4:$AG$207)+SUMIF('Q2 Data'!$D$4:$D$207,D189,'Q2 Data'!$AE$4:$AE$207)+SUMIF('Q3 Data'!$D$4:$D$207,D189,'Q3 Data'!$AD$4:$AD$207)+SUMIF('Q3 Data'!$D$4:$D$207,D189,'Q3 Data'!$AG$4:$AG$207)+SUMIF('Q3 Data'!$D$4:$D$207,D189,'Q3 Data'!$AE$4:$AE$207)+SUMIF('Q4 Data'!$D$4:$D$207,D189,'Q4 Data'!$AD$4:$AD$207)+SUMIF('Q4 Data'!$D$4:$D$207,D189,'Q4 Data'!$AG$4:$AG$207)+SUMIF('Q4 Data'!$D$4:$D$207,D189,'Q4 Data'!$AE$4:$AE$207))</f>
      </c>
      <c r="AO189" s="27">
        <f>IF($B189&lt;&gt;"Challan","",P189-N189)</f>
      </c>
      <c r="AP189" s="27">
        <f>IF($B189&lt;&gt;"Challan","",MAX(0,AO189-AN189))</f>
      </c>
      <c r="AQ189" s="33">
        <f>IF($B189&lt;&gt;"Entry","",SUMPRODUCT(('Q1 Data'!$D$4:$D$207=D189)*('Q1 Data'!$B$4:$B$207="Challan")*'Q1 Data'!$F$4:$F$207)+SUMPRODUCT(('Q2 Data'!$D$4:$D$207=D189)*('Q2 Data'!$B$4:$B$207="Challan")*'Q2 Data'!$F$4:$F$207)+SUMPRODUCT(('Q3 Data'!$D$4:$D$207=D189)*('Q3 Data'!$B$4:$B$207="Challan")*'Q3 Data'!$F$4:$F$207)+SUMPRODUCT(('Q4 Data'!$D$4:$D$207=D189)*('Q4 Data'!$B$4:$B$207="Challan")*'Q4 Data'!$F$4:$F$207))</f>
      </c>
      <c r="AR189" s="34">
        <f>IF(OR($B189&lt;&gt;"Entry",Z189=""),FALSE,AND((SUMPRODUCT(('Q1 Data'!$D$4:$D$207=D189)*('Q1 Data'!$B$4:$B$207="Challan")*('Q1 Data'!$H$4:$H$207&lt;&gt;""))+SUMPRODUCT(('Q2 Data'!$D$4:$D$207=D189)*('Q2 Data'!$B$4:$B$207="Challan")*('Q2 Data'!$H$4:$H$207&lt;&gt;""))+SUMPRODUCT(('Q3 Data'!$D$4:$D$207=D189)*('Q3 Data'!$B$4:$B$207="Challan")*('Q3 Data'!$H$4:$H$207&lt;&gt;""))+SUMPRODUCT(('Q4 Data'!$D$4:$D$207=D189)*('Q4 Data'!$B$4:$B$207="Challan")*('Q4 Data'!$H$4:$H$207&lt;&gt;"")))&gt;0,(SUMPRODUCT(('Q1 Data'!$D$4:$D$207=D189)*('Q1 Data'!$B$4:$B$207="Challan")*('Q1 Data'!$H$4:$H$207=Z189))+SUMPRODUCT(('Q2 Data'!$D$4:$D$207=D189)*('Q2 Data'!$B$4:$B$207="Challan")*('Q2 Data'!$H$4:$H$207=Z189))+SUMPRODUCT(('Q3 Data'!$D$4:$D$207=D189)*('Q3 Data'!$B$4:$B$207="Challan")*('Q3 Data'!$H$4:$H$207=Z189))+SUMPRODUCT(('Q4 Data'!$D$4:$D$207=D189)*('Q4 Data'!$B$4:$B$207="Challan")*('Q4 Data'!$H$4:$H$207=Z189)))=0))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IF($B190="Challan","",IF(W190&lt;&gt;"","◄ Set Row Type","")))</f>
      </c>
      <c r="Y190" s="23">
        <f>IF($B190="Entry",IF(LEN(W190)&lt;4,"",IF(UPPER(MID(W190,4,1))="P","Individual",IF(UPPER(MID(W190,4,1))="H","HUF",IF(UPPER(MID(W190,4,1))="C","Company",IF(UPPER(MID(W190,4,1))="F","Firm/LLP",IF(UPPER(MID(W190,4,1))="L","Local Authority",IF(UPPER(MID(W190,4,1))="T","Trust",IF(UPPER(MID(W190,4,1))="A","AOP",IF(UPPER(MID(W190,4,1))="B","BOI",IF(UPPER(MID(W190,4,1))="J","AJP",IF(UPPER(MID(W190,4,1))="G","Government",""))))))))))),IF($B190="Challan","",IF(W190&lt;&gt;"","◄ Set Row Type","")))</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IF($B190&lt;&gt;"Challan","",SUMIF('Q1 Data'!$D$4:$D$207,D190,'Q1 Data'!$AD$4:$AD$207)+SUMIF('Q1 Data'!$D$4:$D$207,D190,'Q1 Data'!$AG$4:$AG$207)+SUMIF('Q1 Data'!$D$4:$D$207,D190,'Q1 Data'!$AE$4:$AE$207)+SUMIF('Q2 Data'!$D$4:$D$207,D190,'Q2 Data'!$AD$4:$AD$207)+SUMIF('Q2 Data'!$D$4:$D$207,D190,'Q2 Data'!$AG$4:$AG$207)+SUMIF('Q2 Data'!$D$4:$D$207,D190,'Q2 Data'!$AE$4:$AE$207)+SUMIF('Q3 Data'!$D$4:$D$207,D190,'Q3 Data'!$AD$4:$AD$207)+SUMIF('Q3 Data'!$D$4:$D$207,D190,'Q3 Data'!$AG$4:$AG$207)+SUMIF('Q3 Data'!$D$4:$D$207,D190,'Q3 Data'!$AE$4:$AE$207)+SUMIF('Q4 Data'!$D$4:$D$207,D190,'Q4 Data'!$AD$4:$AD$207)+SUMIF('Q4 Data'!$D$4:$D$207,D190,'Q4 Data'!$AG$4:$AG$207)+SUMIF('Q4 Data'!$D$4:$D$207,D190,'Q4 Data'!$AE$4:$AE$207))</f>
      </c>
      <c r="AO190" s="27">
        <f>IF($B190&lt;&gt;"Challan","",P190-N190)</f>
      </c>
      <c r="AP190" s="27">
        <f>IF($B190&lt;&gt;"Challan","",MAX(0,AO190-AN190))</f>
      </c>
      <c r="AQ190" s="33">
        <f>IF($B190&lt;&gt;"Entry","",SUMPRODUCT(('Q1 Data'!$D$4:$D$207=D190)*('Q1 Data'!$B$4:$B$207="Challan")*'Q1 Data'!$F$4:$F$207)+SUMPRODUCT(('Q2 Data'!$D$4:$D$207=D190)*('Q2 Data'!$B$4:$B$207="Challan")*'Q2 Data'!$F$4:$F$207)+SUMPRODUCT(('Q3 Data'!$D$4:$D$207=D190)*('Q3 Data'!$B$4:$B$207="Challan")*'Q3 Data'!$F$4:$F$207)+SUMPRODUCT(('Q4 Data'!$D$4:$D$207=D190)*('Q4 Data'!$B$4:$B$207="Challan")*'Q4 Data'!$F$4:$F$207))</f>
      </c>
      <c r="AR190" s="34">
        <f>IF(OR($B190&lt;&gt;"Entry",Z190=""),FALSE,AND((SUMPRODUCT(('Q1 Data'!$D$4:$D$207=D190)*('Q1 Data'!$B$4:$B$207="Challan")*('Q1 Data'!$H$4:$H$207&lt;&gt;""))+SUMPRODUCT(('Q2 Data'!$D$4:$D$207=D190)*('Q2 Data'!$B$4:$B$207="Challan")*('Q2 Data'!$H$4:$H$207&lt;&gt;""))+SUMPRODUCT(('Q3 Data'!$D$4:$D$207=D190)*('Q3 Data'!$B$4:$B$207="Challan")*('Q3 Data'!$H$4:$H$207&lt;&gt;""))+SUMPRODUCT(('Q4 Data'!$D$4:$D$207=D190)*('Q4 Data'!$B$4:$B$207="Challan")*('Q4 Data'!$H$4:$H$207&lt;&gt;"")))&gt;0,(SUMPRODUCT(('Q1 Data'!$D$4:$D$207=D190)*('Q1 Data'!$B$4:$B$207="Challan")*('Q1 Data'!$H$4:$H$207=Z190))+SUMPRODUCT(('Q2 Data'!$D$4:$D$207=D190)*('Q2 Data'!$B$4:$B$207="Challan")*('Q2 Data'!$H$4:$H$207=Z190))+SUMPRODUCT(('Q3 Data'!$D$4:$D$207=D190)*('Q3 Data'!$B$4:$B$207="Challan")*('Q3 Data'!$H$4:$H$207=Z190))+SUMPRODUCT(('Q4 Data'!$D$4:$D$207=D190)*('Q4 Data'!$B$4:$B$207="Challan")*('Q4 Data'!$H$4:$H$207=Z190)))=0))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IF($B191="Challan","",IF(W191&lt;&gt;"","◄ Set Row Type","")))</f>
      </c>
      <c r="Y191" s="23">
        <f>IF($B191="Entry",IF(LEN(W191)&lt;4,"",IF(UPPER(MID(W191,4,1))="P","Individual",IF(UPPER(MID(W191,4,1))="H","HUF",IF(UPPER(MID(W191,4,1))="C","Company",IF(UPPER(MID(W191,4,1))="F","Firm/LLP",IF(UPPER(MID(W191,4,1))="L","Local Authority",IF(UPPER(MID(W191,4,1))="T","Trust",IF(UPPER(MID(W191,4,1))="A","AOP",IF(UPPER(MID(W191,4,1))="B","BOI",IF(UPPER(MID(W191,4,1))="J","AJP",IF(UPPER(MID(W191,4,1))="G","Government",""))))))))))),IF($B191="Challan","",IF(W191&lt;&gt;"","◄ Set Row Type","")))</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IF($B191&lt;&gt;"Challan","",SUMIF('Q1 Data'!$D$4:$D$207,D191,'Q1 Data'!$AD$4:$AD$207)+SUMIF('Q1 Data'!$D$4:$D$207,D191,'Q1 Data'!$AG$4:$AG$207)+SUMIF('Q1 Data'!$D$4:$D$207,D191,'Q1 Data'!$AE$4:$AE$207)+SUMIF('Q2 Data'!$D$4:$D$207,D191,'Q2 Data'!$AD$4:$AD$207)+SUMIF('Q2 Data'!$D$4:$D$207,D191,'Q2 Data'!$AG$4:$AG$207)+SUMIF('Q2 Data'!$D$4:$D$207,D191,'Q2 Data'!$AE$4:$AE$207)+SUMIF('Q3 Data'!$D$4:$D$207,D191,'Q3 Data'!$AD$4:$AD$207)+SUMIF('Q3 Data'!$D$4:$D$207,D191,'Q3 Data'!$AG$4:$AG$207)+SUMIF('Q3 Data'!$D$4:$D$207,D191,'Q3 Data'!$AE$4:$AE$207)+SUMIF('Q4 Data'!$D$4:$D$207,D191,'Q4 Data'!$AD$4:$AD$207)+SUMIF('Q4 Data'!$D$4:$D$207,D191,'Q4 Data'!$AG$4:$AG$207)+SUMIF('Q4 Data'!$D$4:$D$207,D191,'Q4 Data'!$AE$4:$AE$207))</f>
      </c>
      <c r="AO191" s="27">
        <f>IF($B191&lt;&gt;"Challan","",P191-N191)</f>
      </c>
      <c r="AP191" s="27">
        <f>IF($B191&lt;&gt;"Challan","",MAX(0,AO191-AN191))</f>
      </c>
      <c r="AQ191" s="33">
        <f>IF($B191&lt;&gt;"Entry","",SUMPRODUCT(('Q1 Data'!$D$4:$D$207=D191)*('Q1 Data'!$B$4:$B$207="Challan")*'Q1 Data'!$F$4:$F$207)+SUMPRODUCT(('Q2 Data'!$D$4:$D$207=D191)*('Q2 Data'!$B$4:$B$207="Challan")*'Q2 Data'!$F$4:$F$207)+SUMPRODUCT(('Q3 Data'!$D$4:$D$207=D191)*('Q3 Data'!$B$4:$B$207="Challan")*'Q3 Data'!$F$4:$F$207)+SUMPRODUCT(('Q4 Data'!$D$4:$D$207=D191)*('Q4 Data'!$B$4:$B$207="Challan")*'Q4 Data'!$F$4:$F$207))</f>
      </c>
      <c r="AR191" s="34">
        <f>IF(OR($B191&lt;&gt;"Entry",Z191=""),FALSE,AND((SUMPRODUCT(('Q1 Data'!$D$4:$D$207=D191)*('Q1 Data'!$B$4:$B$207="Challan")*('Q1 Data'!$H$4:$H$207&lt;&gt;""))+SUMPRODUCT(('Q2 Data'!$D$4:$D$207=D191)*('Q2 Data'!$B$4:$B$207="Challan")*('Q2 Data'!$H$4:$H$207&lt;&gt;""))+SUMPRODUCT(('Q3 Data'!$D$4:$D$207=D191)*('Q3 Data'!$B$4:$B$207="Challan")*('Q3 Data'!$H$4:$H$207&lt;&gt;""))+SUMPRODUCT(('Q4 Data'!$D$4:$D$207=D191)*('Q4 Data'!$B$4:$B$207="Challan")*('Q4 Data'!$H$4:$H$207&lt;&gt;"")))&gt;0,(SUMPRODUCT(('Q1 Data'!$D$4:$D$207=D191)*('Q1 Data'!$B$4:$B$207="Challan")*('Q1 Data'!$H$4:$H$207=Z191))+SUMPRODUCT(('Q2 Data'!$D$4:$D$207=D191)*('Q2 Data'!$B$4:$B$207="Challan")*('Q2 Data'!$H$4:$H$207=Z191))+SUMPRODUCT(('Q3 Data'!$D$4:$D$207=D191)*('Q3 Data'!$B$4:$B$207="Challan")*('Q3 Data'!$H$4:$H$207=Z191))+SUMPRODUCT(('Q4 Data'!$D$4:$D$207=D191)*('Q4 Data'!$B$4:$B$207="Challan")*('Q4 Data'!$H$4:$H$207=Z191)))=0))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IF($B192="Challan","",IF(W192&lt;&gt;"","◄ Set Row Type","")))</f>
      </c>
      <c r="Y192" s="23">
        <f>IF($B192="Entry",IF(LEN(W192)&lt;4,"",IF(UPPER(MID(W192,4,1))="P","Individual",IF(UPPER(MID(W192,4,1))="H","HUF",IF(UPPER(MID(W192,4,1))="C","Company",IF(UPPER(MID(W192,4,1))="F","Firm/LLP",IF(UPPER(MID(W192,4,1))="L","Local Authority",IF(UPPER(MID(W192,4,1))="T","Trust",IF(UPPER(MID(W192,4,1))="A","AOP",IF(UPPER(MID(W192,4,1))="B","BOI",IF(UPPER(MID(W192,4,1))="J","AJP",IF(UPPER(MID(W192,4,1))="G","Government",""))))))))))),IF($B192="Challan","",IF(W192&lt;&gt;"","◄ Set Row Type","")))</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IF($B192&lt;&gt;"Challan","",SUMIF('Q1 Data'!$D$4:$D$207,D192,'Q1 Data'!$AD$4:$AD$207)+SUMIF('Q1 Data'!$D$4:$D$207,D192,'Q1 Data'!$AG$4:$AG$207)+SUMIF('Q1 Data'!$D$4:$D$207,D192,'Q1 Data'!$AE$4:$AE$207)+SUMIF('Q2 Data'!$D$4:$D$207,D192,'Q2 Data'!$AD$4:$AD$207)+SUMIF('Q2 Data'!$D$4:$D$207,D192,'Q2 Data'!$AG$4:$AG$207)+SUMIF('Q2 Data'!$D$4:$D$207,D192,'Q2 Data'!$AE$4:$AE$207)+SUMIF('Q3 Data'!$D$4:$D$207,D192,'Q3 Data'!$AD$4:$AD$207)+SUMIF('Q3 Data'!$D$4:$D$207,D192,'Q3 Data'!$AG$4:$AG$207)+SUMIF('Q3 Data'!$D$4:$D$207,D192,'Q3 Data'!$AE$4:$AE$207)+SUMIF('Q4 Data'!$D$4:$D$207,D192,'Q4 Data'!$AD$4:$AD$207)+SUMIF('Q4 Data'!$D$4:$D$207,D192,'Q4 Data'!$AG$4:$AG$207)+SUMIF('Q4 Data'!$D$4:$D$207,D192,'Q4 Data'!$AE$4:$AE$207))</f>
      </c>
      <c r="AO192" s="27">
        <f>IF($B192&lt;&gt;"Challan","",P192-N192)</f>
      </c>
      <c r="AP192" s="27">
        <f>IF($B192&lt;&gt;"Challan","",MAX(0,AO192-AN192))</f>
      </c>
      <c r="AQ192" s="33">
        <f>IF($B192&lt;&gt;"Entry","",SUMPRODUCT(('Q1 Data'!$D$4:$D$207=D192)*('Q1 Data'!$B$4:$B$207="Challan")*'Q1 Data'!$F$4:$F$207)+SUMPRODUCT(('Q2 Data'!$D$4:$D$207=D192)*('Q2 Data'!$B$4:$B$207="Challan")*'Q2 Data'!$F$4:$F$207)+SUMPRODUCT(('Q3 Data'!$D$4:$D$207=D192)*('Q3 Data'!$B$4:$B$207="Challan")*'Q3 Data'!$F$4:$F$207)+SUMPRODUCT(('Q4 Data'!$D$4:$D$207=D192)*('Q4 Data'!$B$4:$B$207="Challan")*'Q4 Data'!$F$4:$F$207))</f>
      </c>
      <c r="AR192" s="34">
        <f>IF(OR($B192&lt;&gt;"Entry",Z192=""),FALSE,AND((SUMPRODUCT(('Q1 Data'!$D$4:$D$207=D192)*('Q1 Data'!$B$4:$B$207="Challan")*('Q1 Data'!$H$4:$H$207&lt;&gt;""))+SUMPRODUCT(('Q2 Data'!$D$4:$D$207=D192)*('Q2 Data'!$B$4:$B$207="Challan")*('Q2 Data'!$H$4:$H$207&lt;&gt;""))+SUMPRODUCT(('Q3 Data'!$D$4:$D$207=D192)*('Q3 Data'!$B$4:$B$207="Challan")*('Q3 Data'!$H$4:$H$207&lt;&gt;""))+SUMPRODUCT(('Q4 Data'!$D$4:$D$207=D192)*('Q4 Data'!$B$4:$B$207="Challan")*('Q4 Data'!$H$4:$H$207&lt;&gt;"")))&gt;0,(SUMPRODUCT(('Q1 Data'!$D$4:$D$207=D192)*('Q1 Data'!$B$4:$B$207="Challan")*('Q1 Data'!$H$4:$H$207=Z192))+SUMPRODUCT(('Q2 Data'!$D$4:$D$207=D192)*('Q2 Data'!$B$4:$B$207="Challan")*('Q2 Data'!$H$4:$H$207=Z192))+SUMPRODUCT(('Q3 Data'!$D$4:$D$207=D192)*('Q3 Data'!$B$4:$B$207="Challan")*('Q3 Data'!$H$4:$H$207=Z192))+SUMPRODUCT(('Q4 Data'!$D$4:$D$207=D192)*('Q4 Data'!$B$4:$B$207="Challan")*('Q4 Data'!$H$4:$H$207=Z192)))=0))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IF($B193="Challan","",IF(W193&lt;&gt;"","◄ Set Row Type","")))</f>
      </c>
      <c r="Y193" s="23">
        <f>IF($B193="Entry",IF(LEN(W193)&lt;4,"",IF(UPPER(MID(W193,4,1))="P","Individual",IF(UPPER(MID(W193,4,1))="H","HUF",IF(UPPER(MID(W193,4,1))="C","Company",IF(UPPER(MID(W193,4,1))="F","Firm/LLP",IF(UPPER(MID(W193,4,1))="L","Local Authority",IF(UPPER(MID(W193,4,1))="T","Trust",IF(UPPER(MID(W193,4,1))="A","AOP",IF(UPPER(MID(W193,4,1))="B","BOI",IF(UPPER(MID(W193,4,1))="J","AJP",IF(UPPER(MID(W193,4,1))="G","Government",""))))))))))),IF($B193="Challan","",IF(W193&lt;&gt;"","◄ Set Row Type","")))</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IF($B193&lt;&gt;"Challan","",SUMIF('Q1 Data'!$D$4:$D$207,D193,'Q1 Data'!$AD$4:$AD$207)+SUMIF('Q1 Data'!$D$4:$D$207,D193,'Q1 Data'!$AG$4:$AG$207)+SUMIF('Q1 Data'!$D$4:$D$207,D193,'Q1 Data'!$AE$4:$AE$207)+SUMIF('Q2 Data'!$D$4:$D$207,D193,'Q2 Data'!$AD$4:$AD$207)+SUMIF('Q2 Data'!$D$4:$D$207,D193,'Q2 Data'!$AG$4:$AG$207)+SUMIF('Q2 Data'!$D$4:$D$207,D193,'Q2 Data'!$AE$4:$AE$207)+SUMIF('Q3 Data'!$D$4:$D$207,D193,'Q3 Data'!$AD$4:$AD$207)+SUMIF('Q3 Data'!$D$4:$D$207,D193,'Q3 Data'!$AG$4:$AG$207)+SUMIF('Q3 Data'!$D$4:$D$207,D193,'Q3 Data'!$AE$4:$AE$207)+SUMIF('Q4 Data'!$D$4:$D$207,D193,'Q4 Data'!$AD$4:$AD$207)+SUMIF('Q4 Data'!$D$4:$D$207,D193,'Q4 Data'!$AG$4:$AG$207)+SUMIF('Q4 Data'!$D$4:$D$207,D193,'Q4 Data'!$AE$4:$AE$207))</f>
      </c>
      <c r="AO193" s="27">
        <f>IF($B193&lt;&gt;"Challan","",P193-N193)</f>
      </c>
      <c r="AP193" s="27">
        <f>IF($B193&lt;&gt;"Challan","",MAX(0,AO193-AN193))</f>
      </c>
      <c r="AQ193" s="33">
        <f>IF($B193&lt;&gt;"Entry","",SUMPRODUCT(('Q1 Data'!$D$4:$D$207=D193)*('Q1 Data'!$B$4:$B$207="Challan")*'Q1 Data'!$F$4:$F$207)+SUMPRODUCT(('Q2 Data'!$D$4:$D$207=D193)*('Q2 Data'!$B$4:$B$207="Challan")*'Q2 Data'!$F$4:$F$207)+SUMPRODUCT(('Q3 Data'!$D$4:$D$207=D193)*('Q3 Data'!$B$4:$B$207="Challan")*'Q3 Data'!$F$4:$F$207)+SUMPRODUCT(('Q4 Data'!$D$4:$D$207=D193)*('Q4 Data'!$B$4:$B$207="Challan")*'Q4 Data'!$F$4:$F$207))</f>
      </c>
      <c r="AR193" s="34">
        <f>IF(OR($B193&lt;&gt;"Entry",Z193=""),FALSE,AND((SUMPRODUCT(('Q1 Data'!$D$4:$D$207=D193)*('Q1 Data'!$B$4:$B$207="Challan")*('Q1 Data'!$H$4:$H$207&lt;&gt;""))+SUMPRODUCT(('Q2 Data'!$D$4:$D$207=D193)*('Q2 Data'!$B$4:$B$207="Challan")*('Q2 Data'!$H$4:$H$207&lt;&gt;""))+SUMPRODUCT(('Q3 Data'!$D$4:$D$207=D193)*('Q3 Data'!$B$4:$B$207="Challan")*('Q3 Data'!$H$4:$H$207&lt;&gt;""))+SUMPRODUCT(('Q4 Data'!$D$4:$D$207=D193)*('Q4 Data'!$B$4:$B$207="Challan")*('Q4 Data'!$H$4:$H$207&lt;&gt;"")))&gt;0,(SUMPRODUCT(('Q1 Data'!$D$4:$D$207=D193)*('Q1 Data'!$B$4:$B$207="Challan")*('Q1 Data'!$H$4:$H$207=Z193))+SUMPRODUCT(('Q2 Data'!$D$4:$D$207=D193)*('Q2 Data'!$B$4:$B$207="Challan")*('Q2 Data'!$H$4:$H$207=Z193))+SUMPRODUCT(('Q3 Data'!$D$4:$D$207=D193)*('Q3 Data'!$B$4:$B$207="Challan")*('Q3 Data'!$H$4:$H$207=Z193))+SUMPRODUCT(('Q4 Data'!$D$4:$D$207=D193)*('Q4 Data'!$B$4:$B$207="Challan")*('Q4 Data'!$H$4:$H$207=Z193)))=0))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IF($B194="Challan","",IF(W194&lt;&gt;"","◄ Set Row Type","")))</f>
      </c>
      <c r="Y194" s="23">
        <f>IF($B194="Entry",IF(LEN(W194)&lt;4,"",IF(UPPER(MID(W194,4,1))="P","Individual",IF(UPPER(MID(W194,4,1))="H","HUF",IF(UPPER(MID(W194,4,1))="C","Company",IF(UPPER(MID(W194,4,1))="F","Firm/LLP",IF(UPPER(MID(W194,4,1))="L","Local Authority",IF(UPPER(MID(W194,4,1))="T","Trust",IF(UPPER(MID(W194,4,1))="A","AOP",IF(UPPER(MID(W194,4,1))="B","BOI",IF(UPPER(MID(W194,4,1))="J","AJP",IF(UPPER(MID(W194,4,1))="G","Government",""))))))))))),IF($B194="Challan","",IF(W194&lt;&gt;"","◄ Set Row Type","")))</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IF($B194&lt;&gt;"Challan","",SUMIF('Q1 Data'!$D$4:$D$207,D194,'Q1 Data'!$AD$4:$AD$207)+SUMIF('Q1 Data'!$D$4:$D$207,D194,'Q1 Data'!$AG$4:$AG$207)+SUMIF('Q1 Data'!$D$4:$D$207,D194,'Q1 Data'!$AE$4:$AE$207)+SUMIF('Q2 Data'!$D$4:$D$207,D194,'Q2 Data'!$AD$4:$AD$207)+SUMIF('Q2 Data'!$D$4:$D$207,D194,'Q2 Data'!$AG$4:$AG$207)+SUMIF('Q2 Data'!$D$4:$D$207,D194,'Q2 Data'!$AE$4:$AE$207)+SUMIF('Q3 Data'!$D$4:$D$207,D194,'Q3 Data'!$AD$4:$AD$207)+SUMIF('Q3 Data'!$D$4:$D$207,D194,'Q3 Data'!$AG$4:$AG$207)+SUMIF('Q3 Data'!$D$4:$D$207,D194,'Q3 Data'!$AE$4:$AE$207)+SUMIF('Q4 Data'!$D$4:$D$207,D194,'Q4 Data'!$AD$4:$AD$207)+SUMIF('Q4 Data'!$D$4:$D$207,D194,'Q4 Data'!$AG$4:$AG$207)+SUMIF('Q4 Data'!$D$4:$D$207,D194,'Q4 Data'!$AE$4:$AE$207))</f>
      </c>
      <c r="AO194" s="27">
        <f>IF($B194&lt;&gt;"Challan","",P194-N194)</f>
      </c>
      <c r="AP194" s="27">
        <f>IF($B194&lt;&gt;"Challan","",MAX(0,AO194-AN194))</f>
      </c>
      <c r="AQ194" s="33">
        <f>IF($B194&lt;&gt;"Entry","",SUMPRODUCT(('Q1 Data'!$D$4:$D$207=D194)*('Q1 Data'!$B$4:$B$207="Challan")*'Q1 Data'!$F$4:$F$207)+SUMPRODUCT(('Q2 Data'!$D$4:$D$207=D194)*('Q2 Data'!$B$4:$B$207="Challan")*'Q2 Data'!$F$4:$F$207)+SUMPRODUCT(('Q3 Data'!$D$4:$D$207=D194)*('Q3 Data'!$B$4:$B$207="Challan")*'Q3 Data'!$F$4:$F$207)+SUMPRODUCT(('Q4 Data'!$D$4:$D$207=D194)*('Q4 Data'!$B$4:$B$207="Challan")*'Q4 Data'!$F$4:$F$207))</f>
      </c>
      <c r="AR194" s="34">
        <f>IF(OR($B194&lt;&gt;"Entry",Z194=""),FALSE,AND((SUMPRODUCT(('Q1 Data'!$D$4:$D$207=D194)*('Q1 Data'!$B$4:$B$207="Challan")*('Q1 Data'!$H$4:$H$207&lt;&gt;""))+SUMPRODUCT(('Q2 Data'!$D$4:$D$207=D194)*('Q2 Data'!$B$4:$B$207="Challan")*('Q2 Data'!$H$4:$H$207&lt;&gt;""))+SUMPRODUCT(('Q3 Data'!$D$4:$D$207=D194)*('Q3 Data'!$B$4:$B$207="Challan")*('Q3 Data'!$H$4:$H$207&lt;&gt;""))+SUMPRODUCT(('Q4 Data'!$D$4:$D$207=D194)*('Q4 Data'!$B$4:$B$207="Challan")*('Q4 Data'!$H$4:$H$207&lt;&gt;"")))&gt;0,(SUMPRODUCT(('Q1 Data'!$D$4:$D$207=D194)*('Q1 Data'!$B$4:$B$207="Challan")*('Q1 Data'!$H$4:$H$207=Z194))+SUMPRODUCT(('Q2 Data'!$D$4:$D$207=D194)*('Q2 Data'!$B$4:$B$207="Challan")*('Q2 Data'!$H$4:$H$207=Z194))+SUMPRODUCT(('Q3 Data'!$D$4:$D$207=D194)*('Q3 Data'!$B$4:$B$207="Challan")*('Q3 Data'!$H$4:$H$207=Z194))+SUMPRODUCT(('Q4 Data'!$D$4:$D$207=D194)*('Q4 Data'!$B$4:$B$207="Challan")*('Q4 Data'!$H$4:$H$207=Z194)))=0))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IF($B195="Challan","",IF(W195&lt;&gt;"","◄ Set Row Type","")))</f>
      </c>
      <c r="Y195" s="23">
        <f>IF($B195="Entry",IF(LEN(W195)&lt;4,"",IF(UPPER(MID(W195,4,1))="P","Individual",IF(UPPER(MID(W195,4,1))="H","HUF",IF(UPPER(MID(W195,4,1))="C","Company",IF(UPPER(MID(W195,4,1))="F","Firm/LLP",IF(UPPER(MID(W195,4,1))="L","Local Authority",IF(UPPER(MID(W195,4,1))="T","Trust",IF(UPPER(MID(W195,4,1))="A","AOP",IF(UPPER(MID(W195,4,1))="B","BOI",IF(UPPER(MID(W195,4,1))="J","AJP",IF(UPPER(MID(W195,4,1))="G","Government",""))))))))))),IF($B195="Challan","",IF(W195&lt;&gt;"","◄ Set Row Type","")))</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IF($B195&lt;&gt;"Challan","",SUMIF('Q1 Data'!$D$4:$D$207,D195,'Q1 Data'!$AD$4:$AD$207)+SUMIF('Q1 Data'!$D$4:$D$207,D195,'Q1 Data'!$AG$4:$AG$207)+SUMIF('Q1 Data'!$D$4:$D$207,D195,'Q1 Data'!$AE$4:$AE$207)+SUMIF('Q2 Data'!$D$4:$D$207,D195,'Q2 Data'!$AD$4:$AD$207)+SUMIF('Q2 Data'!$D$4:$D$207,D195,'Q2 Data'!$AG$4:$AG$207)+SUMIF('Q2 Data'!$D$4:$D$207,D195,'Q2 Data'!$AE$4:$AE$207)+SUMIF('Q3 Data'!$D$4:$D$207,D195,'Q3 Data'!$AD$4:$AD$207)+SUMIF('Q3 Data'!$D$4:$D$207,D195,'Q3 Data'!$AG$4:$AG$207)+SUMIF('Q3 Data'!$D$4:$D$207,D195,'Q3 Data'!$AE$4:$AE$207)+SUMIF('Q4 Data'!$D$4:$D$207,D195,'Q4 Data'!$AD$4:$AD$207)+SUMIF('Q4 Data'!$D$4:$D$207,D195,'Q4 Data'!$AG$4:$AG$207)+SUMIF('Q4 Data'!$D$4:$D$207,D195,'Q4 Data'!$AE$4:$AE$207))</f>
      </c>
      <c r="AO195" s="27">
        <f>IF($B195&lt;&gt;"Challan","",P195-N195)</f>
      </c>
      <c r="AP195" s="27">
        <f>IF($B195&lt;&gt;"Challan","",MAX(0,AO195-AN195))</f>
      </c>
      <c r="AQ195" s="33">
        <f>IF($B195&lt;&gt;"Entry","",SUMPRODUCT(('Q1 Data'!$D$4:$D$207=D195)*('Q1 Data'!$B$4:$B$207="Challan")*'Q1 Data'!$F$4:$F$207)+SUMPRODUCT(('Q2 Data'!$D$4:$D$207=D195)*('Q2 Data'!$B$4:$B$207="Challan")*'Q2 Data'!$F$4:$F$207)+SUMPRODUCT(('Q3 Data'!$D$4:$D$207=D195)*('Q3 Data'!$B$4:$B$207="Challan")*'Q3 Data'!$F$4:$F$207)+SUMPRODUCT(('Q4 Data'!$D$4:$D$207=D195)*('Q4 Data'!$B$4:$B$207="Challan")*'Q4 Data'!$F$4:$F$207))</f>
      </c>
      <c r="AR195" s="34">
        <f>IF(OR($B195&lt;&gt;"Entry",Z195=""),FALSE,AND((SUMPRODUCT(('Q1 Data'!$D$4:$D$207=D195)*('Q1 Data'!$B$4:$B$207="Challan")*('Q1 Data'!$H$4:$H$207&lt;&gt;""))+SUMPRODUCT(('Q2 Data'!$D$4:$D$207=D195)*('Q2 Data'!$B$4:$B$207="Challan")*('Q2 Data'!$H$4:$H$207&lt;&gt;""))+SUMPRODUCT(('Q3 Data'!$D$4:$D$207=D195)*('Q3 Data'!$B$4:$B$207="Challan")*('Q3 Data'!$H$4:$H$207&lt;&gt;""))+SUMPRODUCT(('Q4 Data'!$D$4:$D$207=D195)*('Q4 Data'!$B$4:$B$207="Challan")*('Q4 Data'!$H$4:$H$207&lt;&gt;"")))&gt;0,(SUMPRODUCT(('Q1 Data'!$D$4:$D$207=D195)*('Q1 Data'!$B$4:$B$207="Challan")*('Q1 Data'!$H$4:$H$207=Z195))+SUMPRODUCT(('Q2 Data'!$D$4:$D$207=D195)*('Q2 Data'!$B$4:$B$207="Challan")*('Q2 Data'!$H$4:$H$207=Z195))+SUMPRODUCT(('Q3 Data'!$D$4:$D$207=D195)*('Q3 Data'!$B$4:$B$207="Challan")*('Q3 Data'!$H$4:$H$207=Z195))+SUMPRODUCT(('Q4 Data'!$D$4:$D$207=D195)*('Q4 Data'!$B$4:$B$207="Challan")*('Q4 Data'!$H$4:$H$207=Z195)))=0))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IF($B196="Challan","",IF(W196&lt;&gt;"","◄ Set Row Type","")))</f>
      </c>
      <c r="Y196" s="23">
        <f>IF($B196="Entry",IF(LEN(W196)&lt;4,"",IF(UPPER(MID(W196,4,1))="P","Individual",IF(UPPER(MID(W196,4,1))="H","HUF",IF(UPPER(MID(W196,4,1))="C","Company",IF(UPPER(MID(W196,4,1))="F","Firm/LLP",IF(UPPER(MID(W196,4,1))="L","Local Authority",IF(UPPER(MID(W196,4,1))="T","Trust",IF(UPPER(MID(W196,4,1))="A","AOP",IF(UPPER(MID(W196,4,1))="B","BOI",IF(UPPER(MID(W196,4,1))="J","AJP",IF(UPPER(MID(W196,4,1))="G","Government",""))))))))))),IF($B196="Challan","",IF(W196&lt;&gt;"","◄ Set Row Type","")))</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IF($B196&lt;&gt;"Challan","",SUMIF('Q1 Data'!$D$4:$D$207,D196,'Q1 Data'!$AD$4:$AD$207)+SUMIF('Q1 Data'!$D$4:$D$207,D196,'Q1 Data'!$AG$4:$AG$207)+SUMIF('Q1 Data'!$D$4:$D$207,D196,'Q1 Data'!$AE$4:$AE$207)+SUMIF('Q2 Data'!$D$4:$D$207,D196,'Q2 Data'!$AD$4:$AD$207)+SUMIF('Q2 Data'!$D$4:$D$207,D196,'Q2 Data'!$AG$4:$AG$207)+SUMIF('Q2 Data'!$D$4:$D$207,D196,'Q2 Data'!$AE$4:$AE$207)+SUMIF('Q3 Data'!$D$4:$D$207,D196,'Q3 Data'!$AD$4:$AD$207)+SUMIF('Q3 Data'!$D$4:$D$207,D196,'Q3 Data'!$AG$4:$AG$207)+SUMIF('Q3 Data'!$D$4:$D$207,D196,'Q3 Data'!$AE$4:$AE$207)+SUMIF('Q4 Data'!$D$4:$D$207,D196,'Q4 Data'!$AD$4:$AD$207)+SUMIF('Q4 Data'!$D$4:$D$207,D196,'Q4 Data'!$AG$4:$AG$207)+SUMIF('Q4 Data'!$D$4:$D$207,D196,'Q4 Data'!$AE$4:$AE$207))</f>
      </c>
      <c r="AO196" s="27">
        <f>IF($B196&lt;&gt;"Challan","",P196-N196)</f>
      </c>
      <c r="AP196" s="27">
        <f>IF($B196&lt;&gt;"Challan","",MAX(0,AO196-AN196))</f>
      </c>
      <c r="AQ196" s="33">
        <f>IF($B196&lt;&gt;"Entry","",SUMPRODUCT(('Q1 Data'!$D$4:$D$207=D196)*('Q1 Data'!$B$4:$B$207="Challan")*'Q1 Data'!$F$4:$F$207)+SUMPRODUCT(('Q2 Data'!$D$4:$D$207=D196)*('Q2 Data'!$B$4:$B$207="Challan")*'Q2 Data'!$F$4:$F$207)+SUMPRODUCT(('Q3 Data'!$D$4:$D$207=D196)*('Q3 Data'!$B$4:$B$207="Challan")*'Q3 Data'!$F$4:$F$207)+SUMPRODUCT(('Q4 Data'!$D$4:$D$207=D196)*('Q4 Data'!$B$4:$B$207="Challan")*'Q4 Data'!$F$4:$F$207))</f>
      </c>
      <c r="AR196" s="34">
        <f>IF(OR($B196&lt;&gt;"Entry",Z196=""),FALSE,AND((SUMPRODUCT(('Q1 Data'!$D$4:$D$207=D196)*('Q1 Data'!$B$4:$B$207="Challan")*('Q1 Data'!$H$4:$H$207&lt;&gt;""))+SUMPRODUCT(('Q2 Data'!$D$4:$D$207=D196)*('Q2 Data'!$B$4:$B$207="Challan")*('Q2 Data'!$H$4:$H$207&lt;&gt;""))+SUMPRODUCT(('Q3 Data'!$D$4:$D$207=D196)*('Q3 Data'!$B$4:$B$207="Challan")*('Q3 Data'!$H$4:$H$207&lt;&gt;""))+SUMPRODUCT(('Q4 Data'!$D$4:$D$207=D196)*('Q4 Data'!$B$4:$B$207="Challan")*('Q4 Data'!$H$4:$H$207&lt;&gt;"")))&gt;0,(SUMPRODUCT(('Q1 Data'!$D$4:$D$207=D196)*('Q1 Data'!$B$4:$B$207="Challan")*('Q1 Data'!$H$4:$H$207=Z196))+SUMPRODUCT(('Q2 Data'!$D$4:$D$207=D196)*('Q2 Data'!$B$4:$B$207="Challan")*('Q2 Data'!$H$4:$H$207=Z196))+SUMPRODUCT(('Q3 Data'!$D$4:$D$207=D196)*('Q3 Data'!$B$4:$B$207="Challan")*('Q3 Data'!$H$4:$H$207=Z196))+SUMPRODUCT(('Q4 Data'!$D$4:$D$207=D196)*('Q4 Data'!$B$4:$B$207="Challan")*('Q4 Data'!$H$4:$H$207=Z196)))=0))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IF($B197="Challan","",IF(W197&lt;&gt;"","◄ Set Row Type","")))</f>
      </c>
      <c r="Y197" s="23">
        <f>IF($B197="Entry",IF(LEN(W197)&lt;4,"",IF(UPPER(MID(W197,4,1))="P","Individual",IF(UPPER(MID(W197,4,1))="H","HUF",IF(UPPER(MID(W197,4,1))="C","Company",IF(UPPER(MID(W197,4,1))="F","Firm/LLP",IF(UPPER(MID(W197,4,1))="L","Local Authority",IF(UPPER(MID(W197,4,1))="T","Trust",IF(UPPER(MID(W197,4,1))="A","AOP",IF(UPPER(MID(W197,4,1))="B","BOI",IF(UPPER(MID(W197,4,1))="J","AJP",IF(UPPER(MID(W197,4,1))="G","Government",""))))))))))),IF($B197="Challan","",IF(W197&lt;&gt;"","◄ Set Row Type","")))</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IF($B197&lt;&gt;"Challan","",SUMIF('Q1 Data'!$D$4:$D$207,D197,'Q1 Data'!$AD$4:$AD$207)+SUMIF('Q1 Data'!$D$4:$D$207,D197,'Q1 Data'!$AG$4:$AG$207)+SUMIF('Q1 Data'!$D$4:$D$207,D197,'Q1 Data'!$AE$4:$AE$207)+SUMIF('Q2 Data'!$D$4:$D$207,D197,'Q2 Data'!$AD$4:$AD$207)+SUMIF('Q2 Data'!$D$4:$D$207,D197,'Q2 Data'!$AG$4:$AG$207)+SUMIF('Q2 Data'!$D$4:$D$207,D197,'Q2 Data'!$AE$4:$AE$207)+SUMIF('Q3 Data'!$D$4:$D$207,D197,'Q3 Data'!$AD$4:$AD$207)+SUMIF('Q3 Data'!$D$4:$D$207,D197,'Q3 Data'!$AG$4:$AG$207)+SUMIF('Q3 Data'!$D$4:$D$207,D197,'Q3 Data'!$AE$4:$AE$207)+SUMIF('Q4 Data'!$D$4:$D$207,D197,'Q4 Data'!$AD$4:$AD$207)+SUMIF('Q4 Data'!$D$4:$D$207,D197,'Q4 Data'!$AG$4:$AG$207)+SUMIF('Q4 Data'!$D$4:$D$207,D197,'Q4 Data'!$AE$4:$AE$207))</f>
      </c>
      <c r="AO197" s="27">
        <f>IF($B197&lt;&gt;"Challan","",P197-N197)</f>
      </c>
      <c r="AP197" s="27">
        <f>IF($B197&lt;&gt;"Challan","",MAX(0,AO197-AN197))</f>
      </c>
      <c r="AQ197" s="33">
        <f>IF($B197&lt;&gt;"Entry","",SUMPRODUCT(('Q1 Data'!$D$4:$D$207=D197)*('Q1 Data'!$B$4:$B$207="Challan")*'Q1 Data'!$F$4:$F$207)+SUMPRODUCT(('Q2 Data'!$D$4:$D$207=D197)*('Q2 Data'!$B$4:$B$207="Challan")*'Q2 Data'!$F$4:$F$207)+SUMPRODUCT(('Q3 Data'!$D$4:$D$207=D197)*('Q3 Data'!$B$4:$B$207="Challan")*'Q3 Data'!$F$4:$F$207)+SUMPRODUCT(('Q4 Data'!$D$4:$D$207=D197)*('Q4 Data'!$B$4:$B$207="Challan")*'Q4 Data'!$F$4:$F$207))</f>
      </c>
      <c r="AR197" s="34">
        <f>IF(OR($B197&lt;&gt;"Entry",Z197=""),FALSE,AND((SUMPRODUCT(('Q1 Data'!$D$4:$D$207=D197)*('Q1 Data'!$B$4:$B$207="Challan")*('Q1 Data'!$H$4:$H$207&lt;&gt;""))+SUMPRODUCT(('Q2 Data'!$D$4:$D$207=D197)*('Q2 Data'!$B$4:$B$207="Challan")*('Q2 Data'!$H$4:$H$207&lt;&gt;""))+SUMPRODUCT(('Q3 Data'!$D$4:$D$207=D197)*('Q3 Data'!$B$4:$B$207="Challan")*('Q3 Data'!$H$4:$H$207&lt;&gt;""))+SUMPRODUCT(('Q4 Data'!$D$4:$D$207=D197)*('Q4 Data'!$B$4:$B$207="Challan")*('Q4 Data'!$H$4:$H$207&lt;&gt;"")))&gt;0,(SUMPRODUCT(('Q1 Data'!$D$4:$D$207=D197)*('Q1 Data'!$B$4:$B$207="Challan")*('Q1 Data'!$H$4:$H$207=Z197))+SUMPRODUCT(('Q2 Data'!$D$4:$D$207=D197)*('Q2 Data'!$B$4:$B$207="Challan")*('Q2 Data'!$H$4:$H$207=Z197))+SUMPRODUCT(('Q3 Data'!$D$4:$D$207=D197)*('Q3 Data'!$B$4:$B$207="Challan")*('Q3 Data'!$H$4:$H$207=Z197))+SUMPRODUCT(('Q4 Data'!$D$4:$D$207=D197)*('Q4 Data'!$B$4:$B$207="Challan")*('Q4 Data'!$H$4:$H$207=Z197)))=0))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IF($B198="Challan","",IF(W198&lt;&gt;"","◄ Set Row Type","")))</f>
      </c>
      <c r="Y198" s="23">
        <f>IF($B198="Entry",IF(LEN(W198)&lt;4,"",IF(UPPER(MID(W198,4,1))="P","Individual",IF(UPPER(MID(W198,4,1))="H","HUF",IF(UPPER(MID(W198,4,1))="C","Company",IF(UPPER(MID(W198,4,1))="F","Firm/LLP",IF(UPPER(MID(W198,4,1))="L","Local Authority",IF(UPPER(MID(W198,4,1))="T","Trust",IF(UPPER(MID(W198,4,1))="A","AOP",IF(UPPER(MID(W198,4,1))="B","BOI",IF(UPPER(MID(W198,4,1))="J","AJP",IF(UPPER(MID(W198,4,1))="G","Government",""))))))))))),IF($B198="Challan","",IF(W198&lt;&gt;"","◄ Set Row Type","")))</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IF($B198&lt;&gt;"Challan","",SUMIF('Q1 Data'!$D$4:$D$207,D198,'Q1 Data'!$AD$4:$AD$207)+SUMIF('Q1 Data'!$D$4:$D$207,D198,'Q1 Data'!$AG$4:$AG$207)+SUMIF('Q1 Data'!$D$4:$D$207,D198,'Q1 Data'!$AE$4:$AE$207)+SUMIF('Q2 Data'!$D$4:$D$207,D198,'Q2 Data'!$AD$4:$AD$207)+SUMIF('Q2 Data'!$D$4:$D$207,D198,'Q2 Data'!$AG$4:$AG$207)+SUMIF('Q2 Data'!$D$4:$D$207,D198,'Q2 Data'!$AE$4:$AE$207)+SUMIF('Q3 Data'!$D$4:$D$207,D198,'Q3 Data'!$AD$4:$AD$207)+SUMIF('Q3 Data'!$D$4:$D$207,D198,'Q3 Data'!$AG$4:$AG$207)+SUMIF('Q3 Data'!$D$4:$D$207,D198,'Q3 Data'!$AE$4:$AE$207)+SUMIF('Q4 Data'!$D$4:$D$207,D198,'Q4 Data'!$AD$4:$AD$207)+SUMIF('Q4 Data'!$D$4:$D$207,D198,'Q4 Data'!$AG$4:$AG$207)+SUMIF('Q4 Data'!$D$4:$D$207,D198,'Q4 Data'!$AE$4:$AE$207))</f>
      </c>
      <c r="AO198" s="27">
        <f>IF($B198&lt;&gt;"Challan","",P198-N198)</f>
      </c>
      <c r="AP198" s="27">
        <f>IF($B198&lt;&gt;"Challan","",MAX(0,AO198-AN198))</f>
      </c>
      <c r="AQ198" s="33">
        <f>IF($B198&lt;&gt;"Entry","",SUMPRODUCT(('Q1 Data'!$D$4:$D$207=D198)*('Q1 Data'!$B$4:$B$207="Challan")*'Q1 Data'!$F$4:$F$207)+SUMPRODUCT(('Q2 Data'!$D$4:$D$207=D198)*('Q2 Data'!$B$4:$B$207="Challan")*'Q2 Data'!$F$4:$F$207)+SUMPRODUCT(('Q3 Data'!$D$4:$D$207=D198)*('Q3 Data'!$B$4:$B$207="Challan")*'Q3 Data'!$F$4:$F$207)+SUMPRODUCT(('Q4 Data'!$D$4:$D$207=D198)*('Q4 Data'!$B$4:$B$207="Challan")*'Q4 Data'!$F$4:$F$207))</f>
      </c>
      <c r="AR198" s="34">
        <f>IF(OR($B198&lt;&gt;"Entry",Z198=""),FALSE,AND((SUMPRODUCT(('Q1 Data'!$D$4:$D$207=D198)*('Q1 Data'!$B$4:$B$207="Challan")*('Q1 Data'!$H$4:$H$207&lt;&gt;""))+SUMPRODUCT(('Q2 Data'!$D$4:$D$207=D198)*('Q2 Data'!$B$4:$B$207="Challan")*('Q2 Data'!$H$4:$H$207&lt;&gt;""))+SUMPRODUCT(('Q3 Data'!$D$4:$D$207=D198)*('Q3 Data'!$B$4:$B$207="Challan")*('Q3 Data'!$H$4:$H$207&lt;&gt;""))+SUMPRODUCT(('Q4 Data'!$D$4:$D$207=D198)*('Q4 Data'!$B$4:$B$207="Challan")*('Q4 Data'!$H$4:$H$207&lt;&gt;"")))&gt;0,(SUMPRODUCT(('Q1 Data'!$D$4:$D$207=D198)*('Q1 Data'!$B$4:$B$207="Challan")*('Q1 Data'!$H$4:$H$207=Z198))+SUMPRODUCT(('Q2 Data'!$D$4:$D$207=D198)*('Q2 Data'!$B$4:$B$207="Challan")*('Q2 Data'!$H$4:$H$207=Z198))+SUMPRODUCT(('Q3 Data'!$D$4:$D$207=D198)*('Q3 Data'!$B$4:$B$207="Challan")*('Q3 Data'!$H$4:$H$207=Z198))+SUMPRODUCT(('Q4 Data'!$D$4:$D$207=D198)*('Q4 Data'!$B$4:$B$207="Challan")*('Q4 Data'!$H$4:$H$207=Z198)))=0))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IF($B199="Challan","",IF(W199&lt;&gt;"","◄ Set Row Type","")))</f>
      </c>
      <c r="Y199" s="23">
        <f>IF($B199="Entry",IF(LEN(W199)&lt;4,"",IF(UPPER(MID(W199,4,1))="P","Individual",IF(UPPER(MID(W199,4,1))="H","HUF",IF(UPPER(MID(W199,4,1))="C","Company",IF(UPPER(MID(W199,4,1))="F","Firm/LLP",IF(UPPER(MID(W199,4,1))="L","Local Authority",IF(UPPER(MID(W199,4,1))="T","Trust",IF(UPPER(MID(W199,4,1))="A","AOP",IF(UPPER(MID(W199,4,1))="B","BOI",IF(UPPER(MID(W199,4,1))="J","AJP",IF(UPPER(MID(W199,4,1))="G","Government",""))))))))))),IF($B199="Challan","",IF(W199&lt;&gt;"","◄ Set Row Type","")))</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IF($B199&lt;&gt;"Challan","",SUMIF('Q1 Data'!$D$4:$D$207,D199,'Q1 Data'!$AD$4:$AD$207)+SUMIF('Q1 Data'!$D$4:$D$207,D199,'Q1 Data'!$AG$4:$AG$207)+SUMIF('Q1 Data'!$D$4:$D$207,D199,'Q1 Data'!$AE$4:$AE$207)+SUMIF('Q2 Data'!$D$4:$D$207,D199,'Q2 Data'!$AD$4:$AD$207)+SUMIF('Q2 Data'!$D$4:$D$207,D199,'Q2 Data'!$AG$4:$AG$207)+SUMIF('Q2 Data'!$D$4:$D$207,D199,'Q2 Data'!$AE$4:$AE$207)+SUMIF('Q3 Data'!$D$4:$D$207,D199,'Q3 Data'!$AD$4:$AD$207)+SUMIF('Q3 Data'!$D$4:$D$207,D199,'Q3 Data'!$AG$4:$AG$207)+SUMIF('Q3 Data'!$D$4:$D$207,D199,'Q3 Data'!$AE$4:$AE$207)+SUMIF('Q4 Data'!$D$4:$D$207,D199,'Q4 Data'!$AD$4:$AD$207)+SUMIF('Q4 Data'!$D$4:$D$207,D199,'Q4 Data'!$AG$4:$AG$207)+SUMIF('Q4 Data'!$D$4:$D$207,D199,'Q4 Data'!$AE$4:$AE$207))</f>
      </c>
      <c r="AO199" s="27">
        <f>IF($B199&lt;&gt;"Challan","",P199-N199)</f>
      </c>
      <c r="AP199" s="27">
        <f>IF($B199&lt;&gt;"Challan","",MAX(0,AO199-AN199))</f>
      </c>
      <c r="AQ199" s="33">
        <f>IF($B199&lt;&gt;"Entry","",SUMPRODUCT(('Q1 Data'!$D$4:$D$207=D199)*('Q1 Data'!$B$4:$B$207="Challan")*'Q1 Data'!$F$4:$F$207)+SUMPRODUCT(('Q2 Data'!$D$4:$D$207=D199)*('Q2 Data'!$B$4:$B$207="Challan")*'Q2 Data'!$F$4:$F$207)+SUMPRODUCT(('Q3 Data'!$D$4:$D$207=D199)*('Q3 Data'!$B$4:$B$207="Challan")*'Q3 Data'!$F$4:$F$207)+SUMPRODUCT(('Q4 Data'!$D$4:$D$207=D199)*('Q4 Data'!$B$4:$B$207="Challan")*'Q4 Data'!$F$4:$F$207))</f>
      </c>
      <c r="AR199" s="34">
        <f>IF(OR($B199&lt;&gt;"Entry",Z199=""),FALSE,AND((SUMPRODUCT(('Q1 Data'!$D$4:$D$207=D199)*('Q1 Data'!$B$4:$B$207="Challan")*('Q1 Data'!$H$4:$H$207&lt;&gt;""))+SUMPRODUCT(('Q2 Data'!$D$4:$D$207=D199)*('Q2 Data'!$B$4:$B$207="Challan")*('Q2 Data'!$H$4:$H$207&lt;&gt;""))+SUMPRODUCT(('Q3 Data'!$D$4:$D$207=D199)*('Q3 Data'!$B$4:$B$207="Challan")*('Q3 Data'!$H$4:$H$207&lt;&gt;""))+SUMPRODUCT(('Q4 Data'!$D$4:$D$207=D199)*('Q4 Data'!$B$4:$B$207="Challan")*('Q4 Data'!$H$4:$H$207&lt;&gt;"")))&gt;0,(SUMPRODUCT(('Q1 Data'!$D$4:$D$207=D199)*('Q1 Data'!$B$4:$B$207="Challan")*('Q1 Data'!$H$4:$H$207=Z199))+SUMPRODUCT(('Q2 Data'!$D$4:$D$207=D199)*('Q2 Data'!$B$4:$B$207="Challan")*('Q2 Data'!$H$4:$H$207=Z199))+SUMPRODUCT(('Q3 Data'!$D$4:$D$207=D199)*('Q3 Data'!$B$4:$B$207="Challan")*('Q3 Data'!$H$4:$H$207=Z199))+SUMPRODUCT(('Q4 Data'!$D$4:$D$207=D199)*('Q4 Data'!$B$4:$B$207="Challan")*('Q4 Data'!$H$4:$H$207=Z199)))=0))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IF($B200="Challan","",IF(W200&lt;&gt;"","◄ Set Row Type","")))</f>
      </c>
      <c r="Y200" s="23">
        <f>IF($B200="Entry",IF(LEN(W200)&lt;4,"",IF(UPPER(MID(W200,4,1))="P","Individual",IF(UPPER(MID(W200,4,1))="H","HUF",IF(UPPER(MID(W200,4,1))="C","Company",IF(UPPER(MID(W200,4,1))="F","Firm/LLP",IF(UPPER(MID(W200,4,1))="L","Local Authority",IF(UPPER(MID(W200,4,1))="T","Trust",IF(UPPER(MID(W200,4,1))="A","AOP",IF(UPPER(MID(W200,4,1))="B","BOI",IF(UPPER(MID(W200,4,1))="J","AJP",IF(UPPER(MID(W200,4,1))="G","Government",""))))))))))),IF($B200="Challan","",IF(W200&lt;&gt;"","◄ Set Row Type","")))</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IF($B200&lt;&gt;"Challan","",SUMIF('Q1 Data'!$D$4:$D$207,D200,'Q1 Data'!$AD$4:$AD$207)+SUMIF('Q1 Data'!$D$4:$D$207,D200,'Q1 Data'!$AG$4:$AG$207)+SUMIF('Q1 Data'!$D$4:$D$207,D200,'Q1 Data'!$AE$4:$AE$207)+SUMIF('Q2 Data'!$D$4:$D$207,D200,'Q2 Data'!$AD$4:$AD$207)+SUMIF('Q2 Data'!$D$4:$D$207,D200,'Q2 Data'!$AG$4:$AG$207)+SUMIF('Q2 Data'!$D$4:$D$207,D200,'Q2 Data'!$AE$4:$AE$207)+SUMIF('Q3 Data'!$D$4:$D$207,D200,'Q3 Data'!$AD$4:$AD$207)+SUMIF('Q3 Data'!$D$4:$D$207,D200,'Q3 Data'!$AG$4:$AG$207)+SUMIF('Q3 Data'!$D$4:$D$207,D200,'Q3 Data'!$AE$4:$AE$207)+SUMIF('Q4 Data'!$D$4:$D$207,D200,'Q4 Data'!$AD$4:$AD$207)+SUMIF('Q4 Data'!$D$4:$D$207,D200,'Q4 Data'!$AG$4:$AG$207)+SUMIF('Q4 Data'!$D$4:$D$207,D200,'Q4 Data'!$AE$4:$AE$207))</f>
      </c>
      <c r="AO200" s="27">
        <f>IF($B200&lt;&gt;"Challan","",P200-N200)</f>
      </c>
      <c r="AP200" s="27">
        <f>IF($B200&lt;&gt;"Challan","",MAX(0,AO200-AN200))</f>
      </c>
      <c r="AQ200" s="33">
        <f>IF($B200&lt;&gt;"Entry","",SUMPRODUCT(('Q1 Data'!$D$4:$D$207=D200)*('Q1 Data'!$B$4:$B$207="Challan")*'Q1 Data'!$F$4:$F$207)+SUMPRODUCT(('Q2 Data'!$D$4:$D$207=D200)*('Q2 Data'!$B$4:$B$207="Challan")*'Q2 Data'!$F$4:$F$207)+SUMPRODUCT(('Q3 Data'!$D$4:$D$207=D200)*('Q3 Data'!$B$4:$B$207="Challan")*'Q3 Data'!$F$4:$F$207)+SUMPRODUCT(('Q4 Data'!$D$4:$D$207=D200)*('Q4 Data'!$B$4:$B$207="Challan")*'Q4 Data'!$F$4:$F$207))</f>
      </c>
      <c r="AR200" s="34">
        <f>IF(OR($B200&lt;&gt;"Entry",Z200=""),FALSE,AND((SUMPRODUCT(('Q1 Data'!$D$4:$D$207=D200)*('Q1 Data'!$B$4:$B$207="Challan")*('Q1 Data'!$H$4:$H$207&lt;&gt;""))+SUMPRODUCT(('Q2 Data'!$D$4:$D$207=D200)*('Q2 Data'!$B$4:$B$207="Challan")*('Q2 Data'!$H$4:$H$207&lt;&gt;""))+SUMPRODUCT(('Q3 Data'!$D$4:$D$207=D200)*('Q3 Data'!$B$4:$B$207="Challan")*('Q3 Data'!$H$4:$H$207&lt;&gt;""))+SUMPRODUCT(('Q4 Data'!$D$4:$D$207=D200)*('Q4 Data'!$B$4:$B$207="Challan")*('Q4 Data'!$H$4:$H$207&lt;&gt;"")))&gt;0,(SUMPRODUCT(('Q1 Data'!$D$4:$D$207=D200)*('Q1 Data'!$B$4:$B$207="Challan")*('Q1 Data'!$H$4:$H$207=Z200))+SUMPRODUCT(('Q2 Data'!$D$4:$D$207=D200)*('Q2 Data'!$B$4:$B$207="Challan")*('Q2 Data'!$H$4:$H$207=Z200))+SUMPRODUCT(('Q3 Data'!$D$4:$D$207=D200)*('Q3 Data'!$B$4:$B$207="Challan")*('Q3 Data'!$H$4:$H$207=Z200))+SUMPRODUCT(('Q4 Data'!$D$4:$D$207=D200)*('Q4 Data'!$B$4:$B$207="Challan")*('Q4 Data'!$H$4:$H$207=Z200)))=0))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IF($B201="Challan","",IF(W201&lt;&gt;"","◄ Set Row Type","")))</f>
      </c>
      <c r="Y201" s="23">
        <f>IF($B201="Entry",IF(LEN(W201)&lt;4,"",IF(UPPER(MID(W201,4,1))="P","Individual",IF(UPPER(MID(W201,4,1))="H","HUF",IF(UPPER(MID(W201,4,1))="C","Company",IF(UPPER(MID(W201,4,1))="F","Firm/LLP",IF(UPPER(MID(W201,4,1))="L","Local Authority",IF(UPPER(MID(W201,4,1))="T","Trust",IF(UPPER(MID(W201,4,1))="A","AOP",IF(UPPER(MID(W201,4,1))="B","BOI",IF(UPPER(MID(W201,4,1))="J","AJP",IF(UPPER(MID(W201,4,1))="G","Government",""))))))))))),IF($B201="Challan","",IF(W201&lt;&gt;"","◄ Set Row Type","")))</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IF($B201&lt;&gt;"Challan","",SUMIF('Q1 Data'!$D$4:$D$207,D201,'Q1 Data'!$AD$4:$AD$207)+SUMIF('Q1 Data'!$D$4:$D$207,D201,'Q1 Data'!$AG$4:$AG$207)+SUMIF('Q1 Data'!$D$4:$D$207,D201,'Q1 Data'!$AE$4:$AE$207)+SUMIF('Q2 Data'!$D$4:$D$207,D201,'Q2 Data'!$AD$4:$AD$207)+SUMIF('Q2 Data'!$D$4:$D$207,D201,'Q2 Data'!$AG$4:$AG$207)+SUMIF('Q2 Data'!$D$4:$D$207,D201,'Q2 Data'!$AE$4:$AE$207)+SUMIF('Q3 Data'!$D$4:$D$207,D201,'Q3 Data'!$AD$4:$AD$207)+SUMIF('Q3 Data'!$D$4:$D$207,D201,'Q3 Data'!$AG$4:$AG$207)+SUMIF('Q3 Data'!$D$4:$D$207,D201,'Q3 Data'!$AE$4:$AE$207)+SUMIF('Q4 Data'!$D$4:$D$207,D201,'Q4 Data'!$AD$4:$AD$207)+SUMIF('Q4 Data'!$D$4:$D$207,D201,'Q4 Data'!$AG$4:$AG$207)+SUMIF('Q4 Data'!$D$4:$D$207,D201,'Q4 Data'!$AE$4:$AE$207))</f>
      </c>
      <c r="AO201" s="27">
        <f>IF($B201&lt;&gt;"Challan","",P201-N201)</f>
      </c>
      <c r="AP201" s="27">
        <f>IF($B201&lt;&gt;"Challan","",MAX(0,AO201-AN201))</f>
      </c>
      <c r="AQ201" s="33">
        <f>IF($B201&lt;&gt;"Entry","",SUMPRODUCT(('Q1 Data'!$D$4:$D$207=D201)*('Q1 Data'!$B$4:$B$207="Challan")*'Q1 Data'!$F$4:$F$207)+SUMPRODUCT(('Q2 Data'!$D$4:$D$207=D201)*('Q2 Data'!$B$4:$B$207="Challan")*'Q2 Data'!$F$4:$F$207)+SUMPRODUCT(('Q3 Data'!$D$4:$D$207=D201)*('Q3 Data'!$B$4:$B$207="Challan")*'Q3 Data'!$F$4:$F$207)+SUMPRODUCT(('Q4 Data'!$D$4:$D$207=D201)*('Q4 Data'!$B$4:$B$207="Challan")*'Q4 Data'!$F$4:$F$207))</f>
      </c>
      <c r="AR201" s="34">
        <f>IF(OR($B201&lt;&gt;"Entry",Z201=""),FALSE,AND((SUMPRODUCT(('Q1 Data'!$D$4:$D$207=D201)*('Q1 Data'!$B$4:$B$207="Challan")*('Q1 Data'!$H$4:$H$207&lt;&gt;""))+SUMPRODUCT(('Q2 Data'!$D$4:$D$207=D201)*('Q2 Data'!$B$4:$B$207="Challan")*('Q2 Data'!$H$4:$H$207&lt;&gt;""))+SUMPRODUCT(('Q3 Data'!$D$4:$D$207=D201)*('Q3 Data'!$B$4:$B$207="Challan")*('Q3 Data'!$H$4:$H$207&lt;&gt;""))+SUMPRODUCT(('Q4 Data'!$D$4:$D$207=D201)*('Q4 Data'!$B$4:$B$207="Challan")*('Q4 Data'!$H$4:$H$207&lt;&gt;"")))&gt;0,(SUMPRODUCT(('Q1 Data'!$D$4:$D$207=D201)*('Q1 Data'!$B$4:$B$207="Challan")*('Q1 Data'!$H$4:$H$207=Z201))+SUMPRODUCT(('Q2 Data'!$D$4:$D$207=D201)*('Q2 Data'!$B$4:$B$207="Challan")*('Q2 Data'!$H$4:$H$207=Z201))+SUMPRODUCT(('Q3 Data'!$D$4:$D$207=D201)*('Q3 Data'!$B$4:$B$207="Challan")*('Q3 Data'!$H$4:$H$207=Z201))+SUMPRODUCT(('Q4 Data'!$D$4:$D$207=D201)*('Q4 Data'!$B$4:$B$207="Challan")*('Q4 Data'!$H$4:$H$207=Z201)))=0))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IF($B202="Challan","",IF(W202&lt;&gt;"","◄ Set Row Type","")))</f>
      </c>
      <c r="Y202" s="23">
        <f>IF($B202="Entry",IF(LEN(W202)&lt;4,"",IF(UPPER(MID(W202,4,1))="P","Individual",IF(UPPER(MID(W202,4,1))="H","HUF",IF(UPPER(MID(W202,4,1))="C","Company",IF(UPPER(MID(W202,4,1))="F","Firm/LLP",IF(UPPER(MID(W202,4,1))="L","Local Authority",IF(UPPER(MID(W202,4,1))="T","Trust",IF(UPPER(MID(W202,4,1))="A","AOP",IF(UPPER(MID(W202,4,1))="B","BOI",IF(UPPER(MID(W202,4,1))="J","AJP",IF(UPPER(MID(W202,4,1))="G","Government",""))))))))))),IF($B202="Challan","",IF(W202&lt;&gt;"","◄ Set Row Type","")))</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IF($B202&lt;&gt;"Challan","",SUMIF('Q1 Data'!$D$4:$D$207,D202,'Q1 Data'!$AD$4:$AD$207)+SUMIF('Q1 Data'!$D$4:$D$207,D202,'Q1 Data'!$AG$4:$AG$207)+SUMIF('Q1 Data'!$D$4:$D$207,D202,'Q1 Data'!$AE$4:$AE$207)+SUMIF('Q2 Data'!$D$4:$D$207,D202,'Q2 Data'!$AD$4:$AD$207)+SUMIF('Q2 Data'!$D$4:$D$207,D202,'Q2 Data'!$AG$4:$AG$207)+SUMIF('Q2 Data'!$D$4:$D$207,D202,'Q2 Data'!$AE$4:$AE$207)+SUMIF('Q3 Data'!$D$4:$D$207,D202,'Q3 Data'!$AD$4:$AD$207)+SUMIF('Q3 Data'!$D$4:$D$207,D202,'Q3 Data'!$AG$4:$AG$207)+SUMIF('Q3 Data'!$D$4:$D$207,D202,'Q3 Data'!$AE$4:$AE$207)+SUMIF('Q4 Data'!$D$4:$D$207,D202,'Q4 Data'!$AD$4:$AD$207)+SUMIF('Q4 Data'!$D$4:$D$207,D202,'Q4 Data'!$AG$4:$AG$207)+SUMIF('Q4 Data'!$D$4:$D$207,D202,'Q4 Data'!$AE$4:$AE$207))</f>
      </c>
      <c r="AO202" s="27">
        <f>IF($B202&lt;&gt;"Challan","",P202-N202)</f>
      </c>
      <c r="AP202" s="27">
        <f>IF($B202&lt;&gt;"Challan","",MAX(0,AO202-AN202))</f>
      </c>
      <c r="AQ202" s="33">
        <f>IF($B202&lt;&gt;"Entry","",SUMPRODUCT(('Q1 Data'!$D$4:$D$207=D202)*('Q1 Data'!$B$4:$B$207="Challan")*'Q1 Data'!$F$4:$F$207)+SUMPRODUCT(('Q2 Data'!$D$4:$D$207=D202)*('Q2 Data'!$B$4:$B$207="Challan")*'Q2 Data'!$F$4:$F$207)+SUMPRODUCT(('Q3 Data'!$D$4:$D$207=D202)*('Q3 Data'!$B$4:$B$207="Challan")*'Q3 Data'!$F$4:$F$207)+SUMPRODUCT(('Q4 Data'!$D$4:$D$207=D202)*('Q4 Data'!$B$4:$B$207="Challan")*'Q4 Data'!$F$4:$F$207))</f>
      </c>
      <c r="AR202" s="34">
        <f>IF(OR($B202&lt;&gt;"Entry",Z202=""),FALSE,AND((SUMPRODUCT(('Q1 Data'!$D$4:$D$207=D202)*('Q1 Data'!$B$4:$B$207="Challan")*('Q1 Data'!$H$4:$H$207&lt;&gt;""))+SUMPRODUCT(('Q2 Data'!$D$4:$D$207=D202)*('Q2 Data'!$B$4:$B$207="Challan")*('Q2 Data'!$H$4:$H$207&lt;&gt;""))+SUMPRODUCT(('Q3 Data'!$D$4:$D$207=D202)*('Q3 Data'!$B$4:$B$207="Challan")*('Q3 Data'!$H$4:$H$207&lt;&gt;""))+SUMPRODUCT(('Q4 Data'!$D$4:$D$207=D202)*('Q4 Data'!$B$4:$B$207="Challan")*('Q4 Data'!$H$4:$H$207&lt;&gt;"")))&gt;0,(SUMPRODUCT(('Q1 Data'!$D$4:$D$207=D202)*('Q1 Data'!$B$4:$B$207="Challan")*('Q1 Data'!$H$4:$H$207=Z202))+SUMPRODUCT(('Q2 Data'!$D$4:$D$207=D202)*('Q2 Data'!$B$4:$B$207="Challan")*('Q2 Data'!$H$4:$H$207=Z202))+SUMPRODUCT(('Q3 Data'!$D$4:$D$207=D202)*('Q3 Data'!$B$4:$B$207="Challan")*('Q3 Data'!$H$4:$H$207=Z202))+SUMPRODUCT(('Q4 Data'!$D$4:$D$207=D202)*('Q4 Data'!$B$4:$B$207="Challan")*('Q4 Data'!$H$4:$H$207=Z202)))=0))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IF($B203="Challan","",IF(W203&lt;&gt;"","◄ Set Row Type","")))</f>
      </c>
      <c r="Y203" s="23">
        <f>IF($B203="Entry",IF(LEN(W203)&lt;4,"",IF(UPPER(MID(W203,4,1))="P","Individual",IF(UPPER(MID(W203,4,1))="H","HUF",IF(UPPER(MID(W203,4,1))="C","Company",IF(UPPER(MID(W203,4,1))="F","Firm/LLP",IF(UPPER(MID(W203,4,1))="L","Local Authority",IF(UPPER(MID(W203,4,1))="T","Trust",IF(UPPER(MID(W203,4,1))="A","AOP",IF(UPPER(MID(W203,4,1))="B","BOI",IF(UPPER(MID(W203,4,1))="J","AJP",IF(UPPER(MID(W203,4,1))="G","Government",""))))))))))),IF($B203="Challan","",IF(W203&lt;&gt;"","◄ Set Row Type","")))</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IF($B203&lt;&gt;"Challan","",SUMIF('Q1 Data'!$D$4:$D$207,D203,'Q1 Data'!$AD$4:$AD$207)+SUMIF('Q1 Data'!$D$4:$D$207,D203,'Q1 Data'!$AG$4:$AG$207)+SUMIF('Q1 Data'!$D$4:$D$207,D203,'Q1 Data'!$AE$4:$AE$207)+SUMIF('Q2 Data'!$D$4:$D$207,D203,'Q2 Data'!$AD$4:$AD$207)+SUMIF('Q2 Data'!$D$4:$D$207,D203,'Q2 Data'!$AG$4:$AG$207)+SUMIF('Q2 Data'!$D$4:$D$207,D203,'Q2 Data'!$AE$4:$AE$207)+SUMIF('Q3 Data'!$D$4:$D$207,D203,'Q3 Data'!$AD$4:$AD$207)+SUMIF('Q3 Data'!$D$4:$D$207,D203,'Q3 Data'!$AG$4:$AG$207)+SUMIF('Q3 Data'!$D$4:$D$207,D203,'Q3 Data'!$AE$4:$AE$207)+SUMIF('Q4 Data'!$D$4:$D$207,D203,'Q4 Data'!$AD$4:$AD$207)+SUMIF('Q4 Data'!$D$4:$D$207,D203,'Q4 Data'!$AG$4:$AG$207)+SUMIF('Q4 Data'!$D$4:$D$207,D203,'Q4 Data'!$AE$4:$AE$207))</f>
      </c>
      <c r="AO203" s="27">
        <f>IF($B203&lt;&gt;"Challan","",P203-N203)</f>
      </c>
      <c r="AP203" s="27">
        <f>IF($B203&lt;&gt;"Challan","",MAX(0,AO203-AN203))</f>
      </c>
      <c r="AQ203" s="33">
        <f>IF($B203&lt;&gt;"Entry","",SUMPRODUCT(('Q1 Data'!$D$4:$D$207=D203)*('Q1 Data'!$B$4:$B$207="Challan")*'Q1 Data'!$F$4:$F$207)+SUMPRODUCT(('Q2 Data'!$D$4:$D$207=D203)*('Q2 Data'!$B$4:$B$207="Challan")*'Q2 Data'!$F$4:$F$207)+SUMPRODUCT(('Q3 Data'!$D$4:$D$207=D203)*('Q3 Data'!$B$4:$B$207="Challan")*'Q3 Data'!$F$4:$F$207)+SUMPRODUCT(('Q4 Data'!$D$4:$D$207=D203)*('Q4 Data'!$B$4:$B$207="Challan")*'Q4 Data'!$F$4:$F$207))</f>
      </c>
      <c r="AR203" s="34">
        <f>IF(OR($B203&lt;&gt;"Entry",Z203=""),FALSE,AND((SUMPRODUCT(('Q1 Data'!$D$4:$D$207=D203)*('Q1 Data'!$B$4:$B$207="Challan")*('Q1 Data'!$H$4:$H$207&lt;&gt;""))+SUMPRODUCT(('Q2 Data'!$D$4:$D$207=D203)*('Q2 Data'!$B$4:$B$207="Challan")*('Q2 Data'!$H$4:$H$207&lt;&gt;""))+SUMPRODUCT(('Q3 Data'!$D$4:$D$207=D203)*('Q3 Data'!$B$4:$B$207="Challan")*('Q3 Data'!$H$4:$H$207&lt;&gt;""))+SUMPRODUCT(('Q4 Data'!$D$4:$D$207=D203)*('Q4 Data'!$B$4:$B$207="Challan")*('Q4 Data'!$H$4:$H$207&lt;&gt;"")))&gt;0,(SUMPRODUCT(('Q1 Data'!$D$4:$D$207=D203)*('Q1 Data'!$B$4:$B$207="Challan")*('Q1 Data'!$H$4:$H$207=Z203))+SUMPRODUCT(('Q2 Data'!$D$4:$D$207=D203)*('Q2 Data'!$B$4:$B$207="Challan")*('Q2 Data'!$H$4:$H$207=Z203))+SUMPRODUCT(('Q3 Data'!$D$4:$D$207=D203)*('Q3 Data'!$B$4:$B$207="Challan")*('Q3 Data'!$H$4:$H$207=Z203))+SUMPRODUCT(('Q4 Data'!$D$4:$D$207=D203)*('Q4 Data'!$B$4:$B$207="Challan")*('Q4 Data'!$H$4:$H$207=Z203)))=0))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IF($B204="Challan","",IF(W204&lt;&gt;"","◄ Set Row Type","")))</f>
      </c>
      <c r="Y204" s="23">
        <f>IF($B204="Entry",IF(LEN(W204)&lt;4,"",IF(UPPER(MID(W204,4,1))="P","Individual",IF(UPPER(MID(W204,4,1))="H","HUF",IF(UPPER(MID(W204,4,1))="C","Company",IF(UPPER(MID(W204,4,1))="F","Firm/LLP",IF(UPPER(MID(W204,4,1))="L","Local Authority",IF(UPPER(MID(W204,4,1))="T","Trust",IF(UPPER(MID(W204,4,1))="A","AOP",IF(UPPER(MID(W204,4,1))="B","BOI",IF(UPPER(MID(W204,4,1))="J","AJP",IF(UPPER(MID(W204,4,1))="G","Government",""))))))))))),IF($B204="Challan","",IF(W204&lt;&gt;"","◄ Set Row Type","")))</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IF($B204&lt;&gt;"Challan","",SUMIF('Q1 Data'!$D$4:$D$207,D204,'Q1 Data'!$AD$4:$AD$207)+SUMIF('Q1 Data'!$D$4:$D$207,D204,'Q1 Data'!$AG$4:$AG$207)+SUMIF('Q1 Data'!$D$4:$D$207,D204,'Q1 Data'!$AE$4:$AE$207)+SUMIF('Q2 Data'!$D$4:$D$207,D204,'Q2 Data'!$AD$4:$AD$207)+SUMIF('Q2 Data'!$D$4:$D$207,D204,'Q2 Data'!$AG$4:$AG$207)+SUMIF('Q2 Data'!$D$4:$D$207,D204,'Q2 Data'!$AE$4:$AE$207)+SUMIF('Q3 Data'!$D$4:$D$207,D204,'Q3 Data'!$AD$4:$AD$207)+SUMIF('Q3 Data'!$D$4:$D$207,D204,'Q3 Data'!$AG$4:$AG$207)+SUMIF('Q3 Data'!$D$4:$D$207,D204,'Q3 Data'!$AE$4:$AE$207)+SUMIF('Q4 Data'!$D$4:$D$207,D204,'Q4 Data'!$AD$4:$AD$207)+SUMIF('Q4 Data'!$D$4:$D$207,D204,'Q4 Data'!$AG$4:$AG$207)+SUMIF('Q4 Data'!$D$4:$D$207,D204,'Q4 Data'!$AE$4:$AE$207))</f>
      </c>
      <c r="AO204" s="27">
        <f>IF($B204&lt;&gt;"Challan","",P204-N204)</f>
      </c>
      <c r="AP204" s="27">
        <f>IF($B204&lt;&gt;"Challan","",MAX(0,AO204-AN204))</f>
      </c>
      <c r="AQ204" s="33">
        <f>IF($B204&lt;&gt;"Entry","",SUMPRODUCT(('Q1 Data'!$D$4:$D$207=D204)*('Q1 Data'!$B$4:$B$207="Challan")*'Q1 Data'!$F$4:$F$207)+SUMPRODUCT(('Q2 Data'!$D$4:$D$207=D204)*('Q2 Data'!$B$4:$B$207="Challan")*'Q2 Data'!$F$4:$F$207)+SUMPRODUCT(('Q3 Data'!$D$4:$D$207=D204)*('Q3 Data'!$B$4:$B$207="Challan")*'Q3 Data'!$F$4:$F$207)+SUMPRODUCT(('Q4 Data'!$D$4:$D$207=D204)*('Q4 Data'!$B$4:$B$207="Challan")*'Q4 Data'!$F$4:$F$207))</f>
      </c>
      <c r="AR204" s="34">
        <f>IF(OR($B204&lt;&gt;"Entry",Z204=""),FALSE,AND((SUMPRODUCT(('Q1 Data'!$D$4:$D$207=D204)*('Q1 Data'!$B$4:$B$207="Challan")*('Q1 Data'!$H$4:$H$207&lt;&gt;""))+SUMPRODUCT(('Q2 Data'!$D$4:$D$207=D204)*('Q2 Data'!$B$4:$B$207="Challan")*('Q2 Data'!$H$4:$H$207&lt;&gt;""))+SUMPRODUCT(('Q3 Data'!$D$4:$D$207=D204)*('Q3 Data'!$B$4:$B$207="Challan")*('Q3 Data'!$H$4:$H$207&lt;&gt;""))+SUMPRODUCT(('Q4 Data'!$D$4:$D$207=D204)*('Q4 Data'!$B$4:$B$207="Challan")*('Q4 Data'!$H$4:$H$207&lt;&gt;"")))&gt;0,(SUMPRODUCT(('Q1 Data'!$D$4:$D$207=D204)*('Q1 Data'!$B$4:$B$207="Challan")*('Q1 Data'!$H$4:$H$207=Z204))+SUMPRODUCT(('Q2 Data'!$D$4:$D$207=D204)*('Q2 Data'!$B$4:$B$207="Challan")*('Q2 Data'!$H$4:$H$207=Z204))+SUMPRODUCT(('Q3 Data'!$D$4:$D$207=D204)*('Q3 Data'!$B$4:$B$207="Challan")*('Q3 Data'!$H$4:$H$207=Z204))+SUMPRODUCT(('Q4 Data'!$D$4:$D$207=D204)*('Q4 Data'!$B$4:$B$207="Challan")*('Q4 Data'!$H$4:$H$207=Z204)))=0))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IF($B205="Challan","",IF(W205&lt;&gt;"","◄ Set Row Type","")))</f>
      </c>
      <c r="Y205" s="23">
        <f>IF($B205="Entry",IF(LEN(W205)&lt;4,"",IF(UPPER(MID(W205,4,1))="P","Individual",IF(UPPER(MID(W205,4,1))="H","HUF",IF(UPPER(MID(W205,4,1))="C","Company",IF(UPPER(MID(W205,4,1))="F","Firm/LLP",IF(UPPER(MID(W205,4,1))="L","Local Authority",IF(UPPER(MID(W205,4,1))="T","Trust",IF(UPPER(MID(W205,4,1))="A","AOP",IF(UPPER(MID(W205,4,1))="B","BOI",IF(UPPER(MID(W205,4,1))="J","AJP",IF(UPPER(MID(W205,4,1))="G","Government",""))))))))))),IF($B205="Challan","",IF(W205&lt;&gt;"","◄ Set Row Type","")))</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IF($B205&lt;&gt;"Challan","",SUMIF('Q1 Data'!$D$4:$D$207,D205,'Q1 Data'!$AD$4:$AD$207)+SUMIF('Q1 Data'!$D$4:$D$207,D205,'Q1 Data'!$AG$4:$AG$207)+SUMIF('Q1 Data'!$D$4:$D$207,D205,'Q1 Data'!$AE$4:$AE$207)+SUMIF('Q2 Data'!$D$4:$D$207,D205,'Q2 Data'!$AD$4:$AD$207)+SUMIF('Q2 Data'!$D$4:$D$207,D205,'Q2 Data'!$AG$4:$AG$207)+SUMIF('Q2 Data'!$D$4:$D$207,D205,'Q2 Data'!$AE$4:$AE$207)+SUMIF('Q3 Data'!$D$4:$D$207,D205,'Q3 Data'!$AD$4:$AD$207)+SUMIF('Q3 Data'!$D$4:$D$207,D205,'Q3 Data'!$AG$4:$AG$207)+SUMIF('Q3 Data'!$D$4:$D$207,D205,'Q3 Data'!$AE$4:$AE$207)+SUMIF('Q4 Data'!$D$4:$D$207,D205,'Q4 Data'!$AD$4:$AD$207)+SUMIF('Q4 Data'!$D$4:$D$207,D205,'Q4 Data'!$AG$4:$AG$207)+SUMIF('Q4 Data'!$D$4:$D$207,D205,'Q4 Data'!$AE$4:$AE$207))</f>
      </c>
      <c r="AO205" s="27">
        <f>IF($B205&lt;&gt;"Challan","",P205-N205)</f>
      </c>
      <c r="AP205" s="27">
        <f>IF($B205&lt;&gt;"Challan","",MAX(0,AO205-AN205))</f>
      </c>
      <c r="AQ205" s="33">
        <f>IF($B205&lt;&gt;"Entry","",SUMPRODUCT(('Q1 Data'!$D$4:$D$207=D205)*('Q1 Data'!$B$4:$B$207="Challan")*'Q1 Data'!$F$4:$F$207)+SUMPRODUCT(('Q2 Data'!$D$4:$D$207=D205)*('Q2 Data'!$B$4:$B$207="Challan")*'Q2 Data'!$F$4:$F$207)+SUMPRODUCT(('Q3 Data'!$D$4:$D$207=D205)*('Q3 Data'!$B$4:$B$207="Challan")*'Q3 Data'!$F$4:$F$207)+SUMPRODUCT(('Q4 Data'!$D$4:$D$207=D205)*('Q4 Data'!$B$4:$B$207="Challan")*'Q4 Data'!$F$4:$F$207))</f>
      </c>
      <c r="AR205" s="34">
        <f>IF(OR($B205&lt;&gt;"Entry",Z205=""),FALSE,AND((SUMPRODUCT(('Q1 Data'!$D$4:$D$207=D205)*('Q1 Data'!$B$4:$B$207="Challan")*('Q1 Data'!$H$4:$H$207&lt;&gt;""))+SUMPRODUCT(('Q2 Data'!$D$4:$D$207=D205)*('Q2 Data'!$B$4:$B$207="Challan")*('Q2 Data'!$H$4:$H$207&lt;&gt;""))+SUMPRODUCT(('Q3 Data'!$D$4:$D$207=D205)*('Q3 Data'!$B$4:$B$207="Challan")*('Q3 Data'!$H$4:$H$207&lt;&gt;""))+SUMPRODUCT(('Q4 Data'!$D$4:$D$207=D205)*('Q4 Data'!$B$4:$B$207="Challan")*('Q4 Data'!$H$4:$H$207&lt;&gt;"")))&gt;0,(SUMPRODUCT(('Q1 Data'!$D$4:$D$207=D205)*('Q1 Data'!$B$4:$B$207="Challan")*('Q1 Data'!$H$4:$H$207=Z205))+SUMPRODUCT(('Q2 Data'!$D$4:$D$207=D205)*('Q2 Data'!$B$4:$B$207="Challan")*('Q2 Data'!$H$4:$H$207=Z205))+SUMPRODUCT(('Q3 Data'!$D$4:$D$207=D205)*('Q3 Data'!$B$4:$B$207="Challan")*('Q3 Data'!$H$4:$H$207=Z205))+SUMPRODUCT(('Q4 Data'!$D$4:$D$207=D205)*('Q4 Data'!$B$4:$B$207="Challan")*('Q4 Data'!$H$4:$H$207=Z205)))=0))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IF($B206="Challan","",IF(W206&lt;&gt;"","◄ Set Row Type","")))</f>
      </c>
      <c r="Y206" s="23">
        <f>IF($B206="Entry",IF(LEN(W206)&lt;4,"",IF(UPPER(MID(W206,4,1))="P","Individual",IF(UPPER(MID(W206,4,1))="H","HUF",IF(UPPER(MID(W206,4,1))="C","Company",IF(UPPER(MID(W206,4,1))="F","Firm/LLP",IF(UPPER(MID(W206,4,1))="L","Local Authority",IF(UPPER(MID(W206,4,1))="T","Trust",IF(UPPER(MID(W206,4,1))="A","AOP",IF(UPPER(MID(W206,4,1))="B","BOI",IF(UPPER(MID(W206,4,1))="J","AJP",IF(UPPER(MID(W206,4,1))="G","Government",""))))))))))),IF($B206="Challan","",IF(W206&lt;&gt;"","◄ Set Row Type","")))</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IF($B206&lt;&gt;"Challan","",SUMIF('Q1 Data'!$D$4:$D$207,D206,'Q1 Data'!$AD$4:$AD$207)+SUMIF('Q1 Data'!$D$4:$D$207,D206,'Q1 Data'!$AG$4:$AG$207)+SUMIF('Q1 Data'!$D$4:$D$207,D206,'Q1 Data'!$AE$4:$AE$207)+SUMIF('Q2 Data'!$D$4:$D$207,D206,'Q2 Data'!$AD$4:$AD$207)+SUMIF('Q2 Data'!$D$4:$D$207,D206,'Q2 Data'!$AG$4:$AG$207)+SUMIF('Q2 Data'!$D$4:$D$207,D206,'Q2 Data'!$AE$4:$AE$207)+SUMIF('Q3 Data'!$D$4:$D$207,D206,'Q3 Data'!$AD$4:$AD$207)+SUMIF('Q3 Data'!$D$4:$D$207,D206,'Q3 Data'!$AG$4:$AG$207)+SUMIF('Q3 Data'!$D$4:$D$207,D206,'Q3 Data'!$AE$4:$AE$207)+SUMIF('Q4 Data'!$D$4:$D$207,D206,'Q4 Data'!$AD$4:$AD$207)+SUMIF('Q4 Data'!$D$4:$D$207,D206,'Q4 Data'!$AG$4:$AG$207)+SUMIF('Q4 Data'!$D$4:$D$207,D206,'Q4 Data'!$AE$4:$AE$207))</f>
      </c>
      <c r="AO206" s="27">
        <f>IF($B206&lt;&gt;"Challan","",P206-N206)</f>
      </c>
      <c r="AP206" s="27">
        <f>IF($B206&lt;&gt;"Challan","",MAX(0,AO206-AN206))</f>
      </c>
      <c r="AQ206" s="33">
        <f>IF($B206&lt;&gt;"Entry","",SUMPRODUCT(('Q1 Data'!$D$4:$D$207=D206)*('Q1 Data'!$B$4:$B$207="Challan")*'Q1 Data'!$F$4:$F$207)+SUMPRODUCT(('Q2 Data'!$D$4:$D$207=D206)*('Q2 Data'!$B$4:$B$207="Challan")*'Q2 Data'!$F$4:$F$207)+SUMPRODUCT(('Q3 Data'!$D$4:$D$207=D206)*('Q3 Data'!$B$4:$B$207="Challan")*'Q3 Data'!$F$4:$F$207)+SUMPRODUCT(('Q4 Data'!$D$4:$D$207=D206)*('Q4 Data'!$B$4:$B$207="Challan")*'Q4 Data'!$F$4:$F$207))</f>
      </c>
      <c r="AR206" s="34">
        <f>IF(OR($B206&lt;&gt;"Entry",Z206=""),FALSE,AND((SUMPRODUCT(('Q1 Data'!$D$4:$D$207=D206)*('Q1 Data'!$B$4:$B$207="Challan")*('Q1 Data'!$H$4:$H$207&lt;&gt;""))+SUMPRODUCT(('Q2 Data'!$D$4:$D$207=D206)*('Q2 Data'!$B$4:$B$207="Challan")*('Q2 Data'!$H$4:$H$207&lt;&gt;""))+SUMPRODUCT(('Q3 Data'!$D$4:$D$207=D206)*('Q3 Data'!$B$4:$B$207="Challan")*('Q3 Data'!$H$4:$H$207&lt;&gt;""))+SUMPRODUCT(('Q4 Data'!$D$4:$D$207=D206)*('Q4 Data'!$B$4:$B$207="Challan")*('Q4 Data'!$H$4:$H$207&lt;&gt;"")))&gt;0,(SUMPRODUCT(('Q1 Data'!$D$4:$D$207=D206)*('Q1 Data'!$B$4:$B$207="Challan")*('Q1 Data'!$H$4:$H$207=Z206))+SUMPRODUCT(('Q2 Data'!$D$4:$D$207=D206)*('Q2 Data'!$B$4:$B$207="Challan")*('Q2 Data'!$H$4:$H$207=Z206))+SUMPRODUCT(('Q3 Data'!$D$4:$D$207=D206)*('Q3 Data'!$B$4:$B$207="Challan")*('Q3 Data'!$H$4:$H$207=Z206))+SUMPRODUCT(('Q4 Data'!$D$4:$D$207=D206)*('Q4 Data'!$B$4:$B$207="Challan")*('Q4 Data'!$H$4:$H$207=Z206)))=0))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IF($B207="Challan","",IF(W207&lt;&gt;"","◄ Set Row Type","")))</f>
      </c>
      <c r="Y207" s="23">
        <f>IF($B207="Entry",IF(LEN(W207)&lt;4,"",IF(UPPER(MID(W207,4,1))="P","Individual",IF(UPPER(MID(W207,4,1))="H","HUF",IF(UPPER(MID(W207,4,1))="C","Company",IF(UPPER(MID(W207,4,1))="F","Firm/LLP",IF(UPPER(MID(W207,4,1))="L","Local Authority",IF(UPPER(MID(W207,4,1))="T","Trust",IF(UPPER(MID(W207,4,1))="A","AOP",IF(UPPER(MID(W207,4,1))="B","BOI",IF(UPPER(MID(W207,4,1))="J","AJP",IF(UPPER(MID(W207,4,1))="G","Government",""))))))))))),IF($B207="Challan","",IF(W207&lt;&gt;"","◄ Set Row Type","")))</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IF($B207&lt;&gt;"Challan","",SUMIF('Q1 Data'!$D$4:$D$207,D207,'Q1 Data'!$AD$4:$AD$207)+SUMIF('Q1 Data'!$D$4:$D$207,D207,'Q1 Data'!$AG$4:$AG$207)+SUMIF('Q1 Data'!$D$4:$D$207,D207,'Q1 Data'!$AE$4:$AE$207)+SUMIF('Q2 Data'!$D$4:$D$207,D207,'Q2 Data'!$AD$4:$AD$207)+SUMIF('Q2 Data'!$D$4:$D$207,D207,'Q2 Data'!$AG$4:$AG$207)+SUMIF('Q2 Data'!$D$4:$D$207,D207,'Q2 Data'!$AE$4:$AE$207)+SUMIF('Q3 Data'!$D$4:$D$207,D207,'Q3 Data'!$AD$4:$AD$207)+SUMIF('Q3 Data'!$D$4:$D$207,D207,'Q3 Data'!$AG$4:$AG$207)+SUMIF('Q3 Data'!$D$4:$D$207,D207,'Q3 Data'!$AE$4:$AE$207)+SUMIF('Q4 Data'!$D$4:$D$207,D207,'Q4 Data'!$AD$4:$AD$207)+SUMIF('Q4 Data'!$D$4:$D$207,D207,'Q4 Data'!$AG$4:$AG$207)+SUMIF('Q4 Data'!$D$4:$D$207,D207,'Q4 Data'!$AE$4:$AE$207))</f>
      </c>
      <c r="AO207" s="27">
        <f>IF($B207&lt;&gt;"Challan","",P207-N207)</f>
      </c>
      <c r="AP207" s="27">
        <f>IF($B207&lt;&gt;"Challan","",MAX(0,AO207-AN207))</f>
      </c>
      <c r="AQ207" s="33">
        <f>IF($B207&lt;&gt;"Entry","",SUMPRODUCT(('Q1 Data'!$D$4:$D$207=D207)*('Q1 Data'!$B$4:$B$207="Challan")*'Q1 Data'!$F$4:$F$207)+SUMPRODUCT(('Q2 Data'!$D$4:$D$207=D207)*('Q2 Data'!$B$4:$B$207="Challan")*'Q2 Data'!$F$4:$F$207)+SUMPRODUCT(('Q3 Data'!$D$4:$D$207=D207)*('Q3 Data'!$B$4:$B$207="Challan")*'Q3 Data'!$F$4:$F$207)+SUMPRODUCT(('Q4 Data'!$D$4:$D$207=D207)*('Q4 Data'!$B$4:$B$207="Challan")*'Q4 Data'!$F$4:$F$207))</f>
      </c>
      <c r="AR207" s="34">
        <f>IF(OR($B207&lt;&gt;"Entry",Z207=""),FALSE,AND((SUMPRODUCT(('Q1 Data'!$D$4:$D$207=D207)*('Q1 Data'!$B$4:$B$207="Challan")*('Q1 Data'!$H$4:$H$207&lt;&gt;""))+SUMPRODUCT(('Q2 Data'!$D$4:$D$207=D207)*('Q2 Data'!$B$4:$B$207="Challan")*('Q2 Data'!$H$4:$H$207&lt;&gt;""))+SUMPRODUCT(('Q3 Data'!$D$4:$D$207=D207)*('Q3 Data'!$B$4:$B$207="Challan")*('Q3 Data'!$H$4:$H$207&lt;&gt;""))+SUMPRODUCT(('Q4 Data'!$D$4:$D$207=D207)*('Q4 Data'!$B$4:$B$207="Challan")*('Q4 Data'!$H$4:$H$207&lt;&gt;"")))&gt;0,(SUMPRODUCT(('Q1 Data'!$D$4:$D$207=D207)*('Q1 Data'!$B$4:$B$207="Challan")*('Q1 Data'!$H$4:$H$207=Z207))+SUMPRODUCT(('Q2 Data'!$D$4:$D$207=D207)*('Q2 Data'!$B$4:$B$207="Challan")*('Q2 Data'!$H$4:$H$207=Z207))+SUMPRODUCT(('Q3 Data'!$D$4:$D$207=D207)*('Q3 Data'!$B$4:$B$207="Challan")*('Q3 Data'!$H$4:$H$207=Z207))+SUMPRODUCT(('Q4 Data'!$D$4:$D$207=D207)*('Q4 Data'!$B$4:$B$207="Challan")*('Q4 Data'!$H$4:$H$207=Z207)))=0))</f>
      </c>
    </row>
  </sheetData>
  <sheetProtection sheet="1" formatCells="0" formatColumns="0" formatRows="0"/>
  <mergeCells count="2">
    <mergeCell ref="A1:AP1"/>
    <mergeCell ref="A2:AP2"/>
  </mergeCells>
  <conditionalFormatting sqref="A4:AP207">
    <cfRule type="expression" dxfId="27" priority="4">
      <formula>$B4="Challan"</formula>
    </cfRule>
  </conditionalFormatting>
  <conditionalFormatting sqref="A4:AP207">
    <cfRule type="expression" dxfId="28" priority="1">
      <formula>E4="Over-applied"</formula>
    </cfRule>
    <cfRule type="expression" dxfId="29" priority="2">
      <formula>E4="Fully Utilised"</formula>
    </cfRule>
    <cfRule type="expression" dxfId="30" priority="3">
      <formula>E4="Unconsumed"</formula>
    </cfRule>
  </conditionalFormatting>
  <conditionalFormatting sqref="Z4:Z207">
    <cfRule type="expression" dxfId="31" priority="5">
      <formula>AR4=TRUE</formula>
    </cfRule>
  </conditionalFormatting>
  <conditionalFormatting sqref="W4:W207">
    <cfRule type="expression" dxfId="32" priority="6">
      <formula>X4="Y"</formula>
    </cfRule>
  </conditionalFormatting>
  <conditionalFormatting sqref="X4:X207">
    <cfRule type="expression" dxfId="33" priority="7">
      <formula>X4="Y"</formula>
    </cfRule>
  </conditionalFormatting>
  <conditionalFormatting sqref="A2:AP2">
    <cfRule type="expression" dxfId="34" priority="8">
      <formula>ISNUMBER(SEARCH("VALIDATION FAILED",A2))</formula>
    </cfRule>
    <cfRule type="expression" dxfId="35"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across ALL FOUR quarter tabs — the same challan can only be entered once, in the quarter it was actually deposited." sqref="D4:D207">
      <formula1>OR($B4&lt;&gt;"Challan",AND(LEN(D4)=5,(COUNTIFS('Q1 Data'!$B$4:$B$207,"Challan",'Q1 Data'!$D$4:$D$207,D4)+COUNTIFS('Q2 Data'!$B$4:$B$207,"Challan",'Q2 Data'!$D$4:$D$207,D4)+COUNTIFS('Q3 Data'!$B$4:$B$207,"Challan",'Q3 Data'!$D$4:$D$207,D4)+COUNTIFS('Q4 Data'!$B$4:$B$207,"Challan",'Q4 Data'!$D$4:$D$207,D4))=1))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for this Deductee Type" error="194C(a) is Individual/HUF only; 194C(b) is for every other deductee type. Pick the option matching this row's own Deductee Type (column Y)." sqref="Z4:Z207">
      <formula1>IF(OR($Y4="Individual",$Y4="HUF"),'Rate Lookup'!$F$1:$F$36,'Rate Lookup'!$G$1:$G$36)</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Rate Lookup</vt:lpstr>
      <vt:lpstr>Q1 Data</vt:lpstr>
      <vt:lpstr>Q2 Data</vt:lpstr>
      <vt:lpstr>Q3 Data</vt:lpstr>
      <vt:lpstr>Q4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2026-07-30T14:13:06Z</dcterms:created>
  <dcterms:modified xsi:type="dcterms:W3CDTF">2026-07-30T14:13:06Z</dcterms:modified>
</cp:coreProperties>
</file>