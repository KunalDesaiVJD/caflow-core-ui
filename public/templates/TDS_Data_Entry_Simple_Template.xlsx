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TDS Data" state="visible" r:id="rId5"/>
  </sheets>
  <calcPr calcId="171027"/>
</workbook>
</file>

<file path=xl/sharedStrings.xml><?xml version="1.0" encoding="utf-8"?>
<sst xmlns="http://schemas.openxmlformats.org/spreadsheetml/2006/main" count="115" uniqueCount="76">
  <si>
    <t>TDS DATA ENTRY TEMPLATE (SIMPLE, CHALLAN-WISE)</t>
  </si>
  <si>
    <t>For client use — one sheet, each challan's full details followed by its entries.</t>
  </si>
  <si>
    <t>How This Template Works</t>
  </si>
  <si>
    <t>•</t>
  </si>
  <si>
    <t>This workbook has TWO sheets: this Instructions sheet, and "TDS Data" — the only sheet you fill in.</t>
  </si>
  <si>
    <t>Every row is tagged using the "Row Type" dropdown: either CHALLAN or ENTRY.</t>
  </si>
  <si>
    <t>For each challan: first add ONE Challan row with its full details (BSR Code, Serial No., Date of Deposit, Total Amount, Bank). Then add ONE Entry row directly below it for every deductee paid under that challan.</t>
  </si>
  <si>
    <t>Every Entry row must repeat the SAME Challan ID as the Challan row it belongs to — that is what links them, not their position, so the software still gets it right even if a row ends up out of order.</t>
  </si>
  <si>
    <t>One challan can have MANY entries. Just keep adding Entry rows with that Challan ID before moving to the next challan.</t>
  </si>
  <si>
    <t>Rows 4–7 are a WORKED EXAMPLE (one Challan row + THREE linked Entry rows — showing one challan covering several deductees), shown in gray. You may delete them, overwrite them, or leave them — the software recognises the example Challan ID (EXAMPLE-DO-NOT-IMPORT) and always excludes all four rows from import.</t>
  </si>
  <si>
    <t>Columns D–H (blue) are Challan-only fields — leave them blank on Entry rows. Columns I–P (yellow) are Entry-only fields — leave them blank on Challan rows.</t>
  </si>
  <si>
    <t>"Total TDS Entries Linked" and "Match Status" (green, on Challan rows only) calculate automatically — they add up every Entry row sharing that Challan ID and flag if it doesn't match the challan's Total Amount, so you catch mistakes before submitting.</t>
  </si>
  <si>
    <t>Do not rename the sheet tab, insert/delete columns, or change the header row (row 3) — the software matches columns by these exact header names.</t>
  </si>
  <si>
    <t>Field Guide — Challan Rows (blue columns)</t>
  </si>
  <si>
    <t>Challan ID*</t>
  </si>
  <si>
    <t>A short, unique code you invent to identify this challan, e.g. CH-001, CH-002. Repeat it on every Entry row linked to this challan.  Example: CH-001</t>
  </si>
  <si>
    <t>BSR Code*</t>
  </si>
  <si>
    <t>7-digit bank branch code printed on your challan receipt.  Example: 0510002</t>
  </si>
  <si>
    <t>Challan Serial No.*</t>
  </si>
  <si>
    <t>The serial number printed on the challan receipt.  Example: 24894</t>
  </si>
  <si>
    <t>Date of Deposit*</t>
  </si>
  <si>
    <t>The date you deposited this challan with the bank. Use the date picker — not typed as plain text.  Example: 04-06-2026</t>
  </si>
  <si>
    <t>Total Challan Amount (₹)*</t>
  </si>
  <si>
    <t>The total amount (TDS + interest, if any) actually deposited via this challan.  Example: 6,558</t>
  </si>
  <si>
    <t>Bank Name</t>
  </si>
  <si>
    <t>Optional — the bank where the challan was deposited.  Example: HDFC Bank</t>
  </si>
  <si>
    <t>Field Guide — Entry Rows (yellow columns)</t>
  </si>
  <si>
    <t>Must match a Challan ID you already entered on a Challan row above.  Example: CH-001</t>
  </si>
  <si>
    <t>Deductee Name*</t>
  </si>
  <si>
    <t>Full legal name of the person/entity the payment was made to.  Example: ABC Traders Pvt. Ltd.</t>
  </si>
  <si>
    <t>PAN*</t>
  </si>
  <si>
    <t>10-character PAN, e.g. 5 letters + 4 digits + 1 letter, in UPPERCASE. No spaces.  Example: AACCP6899F</t>
  </si>
  <si>
    <t>Section*</t>
  </si>
  <si>
    <t>Pick from the dropdown — the TDS section under which this deduction was made.  Example: 194C</t>
  </si>
  <si>
    <t>Date of Payment/Credit*</t>
  </si>
  <si>
    <t>The date the deductee was paid or credited (whichever is earlier), as a real Excel date.  Example: 31-05-2026</t>
  </si>
  <si>
    <t>Amount Paid/Credited (₹)*</t>
  </si>
  <si>
    <t>The gross amount paid or credited to the deductee, before TDS.  Example: 55,58,172</t>
  </si>
  <si>
    <t>Rate of TDS (%)*</t>
  </si>
  <si>
    <t>The TDS rate applied, as a plain percentage number (e.g. enter 1 for 1%, not 0.01).  Example: 0.10</t>
  </si>
  <si>
    <t>TDS Amount (₹)*</t>
  </si>
  <si>
    <t>The actual amount of tax deducted.  Example: 5,558</t>
  </si>
  <si>
    <t>Interest (₹)</t>
  </si>
  <si>
    <t>Interest amount, if any, for late deduction/deposit. Leave blank or 0 if none.  Example: 0</t>
  </si>
  <si>
    <t>Format Standards (apply throughout)</t>
  </si>
  <si>
    <t>Name: full legal name, avoid abbreviations where possible (e.g. "Private Limited" or "Pvt Ltd" — either is fine, just be consistent).</t>
  </si>
  <si>
    <t>PAN: uppercase letters and digits only, no spaces or dashes.</t>
  </si>
  <si>
    <t>Dates: use Excel's own date entry (type dd-mm-yyyy or use the calendar picker) — never type a date as a plain sentence or leave it as text.</t>
  </si>
  <si>
    <t>Amounts (₹): plain numbers only — no currency symbols, no commas typed in manually (Excel will display them; typing "₹55,58,172" yourself turns the cell into text and breaks the totals).</t>
  </si>
  <si>
    <t>Percentages (Rate): enter as a plain number, e.g. 10 for 10%, not 0.10.</t>
  </si>
  <si>
    <t>Rows marked with * are required for that row's type — do not leave them blank.</t>
  </si>
  <si>
    <t>TDS DATA  —  each Challan row's full details, followed by its Entry rows</t>
  </si>
  <si>
    <t>Rows 4–7 (gray) are a worked example — one Challan with THREE linked entries — the example Challan ID is auto-excluded on import, so delete them, overwrite them, or leave them as-is.</t>
  </si>
  <si>
    <t>Sr. No.</t>
  </si>
  <si>
    <t>Row Type*</t>
  </si>
  <si>
    <t>Remarks</t>
  </si>
  <si>
    <t>Total TDS Entries Linked (₹)</t>
  </si>
  <si>
    <t>Match Status</t>
  </si>
  <si>
    <t>Challan</t>
  </si>
  <si>
    <t>EXAMPLE-DO-NOT-IMPORT</t>
  </si>
  <si>
    <t>0510002</t>
  </si>
  <si>
    <t>24894</t>
  </si>
  <si>
    <t>HDFC Bank</t>
  </si>
  <si>
    <t>Worked example — see Instructions</t>
  </si>
  <si>
    <t>(auto)</t>
  </si>
  <si>
    <t>Entry</t>
  </si>
  <si>
    <t>ADINATH PROCESSING INDUSTRIES PRIVATE LIMITED</t>
  </si>
  <si>
    <t>AACCP6899F</t>
  </si>
  <si>
    <t>194C</t>
  </si>
  <si>
    <t/>
  </si>
  <si>
    <t>A-ONE CHEM TRADE PVT. LTD.</t>
  </si>
  <si>
    <t>AAGCA2480D</t>
  </si>
  <si>
    <t>KHYATI CHEMICALS PRIVATE LIMITED</t>
  </si>
  <si>
    <t>AAACK6277E</t>
  </si>
  <si>
    <t>194J</t>
  </si>
  <si>
    <t>NIL rate, LDC on file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</si>
</sst>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yy"/>
  </numFmts>
  <fonts count="9" x14ac:knownFonts="1">
    <font>
      <color theme="1"/>
      <family val="2"/>
      <scheme val="minor"/>
      <sz val="11"/>
      <name val="Calibri"/>
    </font>
    <font>
      <b/>
      <color rgb="FF1F3864"/>
      <sz val="16"/>
      <name val="Arial"/>
    </font>
    <font>
      <i/>
      <color rgb="FF595959"/>
      <sz val="10"/>
      <name val="Arial"/>
    </font>
    <font>
      <b/>
      <color rgb="FF1F3864"/>
      <sz val="12"/>
      <name val="Arial"/>
    </font>
    <font>
      <sz val="10"/>
      <name val="Arial"/>
    </font>
    <font>
      <b/>
      <sz val="10"/>
      <name val="Arial"/>
    </font>
    <font>
      <b/>
      <color rgb="FF1F3864"/>
      <sz val="13"/>
      <name val="Arial"/>
    </font>
    <font>
      <b/>
      <color rgb="FFFFFFFF"/>
      <sz val="10"/>
      <name val="Arial"/>
    </font>
    <font>
      <i/>
      <color rgb="FF808080"/>
      <sz val="10"/>
      <name val="Arial"/>
    </font>
  </fonts>
  <fills count="9">
    <fill>
      <patternFill patternType="none"/>
    </fill>
    <fill>
      <patternFill patternType="gray125"/>
    </fill>
    <fill>
      <patternFill patternType="solid">
        <fgColor rgb="FF1F3864"/>
      </patternFill>
    </fill>
    <fill>
      <patternFill patternType="solid">
        <fgColor rgb="FFF2F2F2"/>
      </patternFill>
    </fill>
    <fill>
      <patternFill patternType="solid">
        <fgColor rgb="FFFCE4D6"/>
      </patternFill>
    </fill>
    <fill>
      <patternFill patternType="solid">
        <fgColor rgb="FFE4DFEC"/>
      </patternFill>
    </fill>
    <fill>
      <patternFill patternType="solid">
        <fgColor rgb="FFDDEBF7"/>
      </patternFill>
    </fill>
    <fill>
      <patternFill patternType="solid">
        <fgColor rgb="FFFFF2CC"/>
      </patternFill>
    </fill>
    <fill>
      <patternFill patternType="solid">
        <fgColor rgb="FFE2EFDA"/>
      </patternFill>
    </fill>
  </fills>
  <borders count="3">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8">
    <xf numFmtId="0" fontId="0" fillId="0" borderId="0" xfId="0"/>
    <xf numFmtId="0" fontId="0" fillId="0" borderId="0" xfId="0" applyAlignment="1">
      <alignment vertical="top" wrapText="1"/>
    </xf>
    <xf numFmtId="0" fontId="1" fillId="0" borderId="0" xfId="0" applyFont="1" applyAlignment="1">
      <alignment vertical="top" wrapText="1"/>
    </xf>
    <xf numFmtId="0" fontId="2" fillId="0" borderId="0" xfId="0" applyFont="1" applyAlignment="1">
      <alignment vertical="top" wrapText="1"/>
    </xf>
    <xf numFmtId="0" fontId="3" fillId="0" borderId="1" xfId="0" applyFont="1" applyBorder="1" applyAlignment="1">
      <alignment vertical="top" wrapText="1"/>
    </xf>
    <xf numFmtId="0" fontId="4" fillId="0" borderId="0" xfId="0" applyFont="1" applyAlignment="1">
      <alignment vertical="top" wrapText="1"/>
    </xf>
    <xf numFmtId="0" fontId="5" fillId="0" borderId="0" xfId="0" applyFont="1" applyAlignment="1">
      <alignment vertical="top" wrapText="1"/>
    </xf>
    <xf numFmtId="0" fontId="6" fillId="0" borderId="0" xfId="0" applyFont="1"/>
    <xf numFmtId="0" fontId="2" fillId="0" borderId="0" xfId="0" applyFont="1"/>
    <xf numFmtId="0" fontId="7" fillId="2" borderId="2" xfId="0" applyFont="1" applyFill="1" applyBorder="1" applyAlignment="1">
      <alignment horizontal="center" vertical="center" wrapText="1"/>
    </xf>
    <xf numFmtId="0" fontId="8" fillId="3" borderId="2" xfId="0" applyFont="1" applyFill="1" applyBorder="1"/>
    <xf numFmtId="49" fontId="8" fillId="3" borderId="2" xfId="0" applyNumberFormat="1" applyFont="1" applyFill="1" applyBorder="1"/>
    <xf numFmtId="164" fontId="8" fillId="3" borderId="2" xfId="0" applyNumberFormat="1" applyFont="1" applyFill="1" applyBorder="1"/>
    <xf numFmtId="3" fontId="8" fillId="3" borderId="2" xfId="0" applyNumberFormat="1" applyFont="1" applyFill="1" applyBorder="1"/>
    <xf numFmtId="2" fontId="8" fillId="3" borderId="2" xfId="0" applyNumberFormat="1" applyFont="1" applyFill="1" applyBorder="1"/>
    <xf numFmtId="0" fontId="4" fillId="0" borderId="2" xfId="0" applyFont="1" applyBorder="1" applyAlignment="1">
      <alignment horizontal="center" vertical="center"/>
    </xf>
    <xf numFmtId="0" fontId="4" fillId="4" borderId="2" xfId="0" applyFont="1" applyFill="1" applyBorder="1" applyAlignment="1">
      <alignment horizontal="left" vertical="center"/>
    </xf>
    <xf numFmtId="0" fontId="4" fillId="5" borderId="2" xfId="0" applyFont="1" applyFill="1" applyBorder="1" applyAlignment="1">
      <alignment horizontal="left" vertical="center"/>
    </xf>
    <xf numFmtId="49" fontId="4" fillId="6" borderId="2" xfId="0" applyNumberFormat="1" applyFont="1" applyFill="1" applyBorder="1" applyAlignment="1">
      <alignment horizontal="left" vertical="center"/>
    </xf>
    <xf numFmtId="164" fontId="4" fillId="6" borderId="2" xfId="0" applyNumberFormat="1" applyFont="1" applyFill="1" applyBorder="1" applyAlignment="1">
      <alignment horizontal="left" vertical="center"/>
    </xf>
    <xf numFmtId="3" fontId="4" fillId="6" borderId="2" xfId="0" applyNumberFormat="1" applyFont="1" applyFill="1" applyBorder="1" applyAlignment="1">
      <alignment horizontal="left" vertical="center"/>
    </xf>
    <xf numFmtId="0" fontId="4" fillId="6" borderId="2" xfId="0" applyFont="1" applyFill="1" applyBorder="1" applyAlignment="1">
      <alignment horizontal="left" vertical="center"/>
    </xf>
    <xf numFmtId="0" fontId="4" fillId="7" borderId="2" xfId="0" applyFont="1" applyFill="1" applyBorder="1" applyAlignment="1">
      <alignment horizontal="left" vertical="center"/>
    </xf>
    <xf numFmtId="164" fontId="4" fillId="7" borderId="2" xfId="0" applyNumberFormat="1" applyFont="1" applyFill="1" applyBorder="1" applyAlignment="1">
      <alignment horizontal="left" vertical="center"/>
    </xf>
    <xf numFmtId="3" fontId="4" fillId="7" borderId="2" xfId="0" applyNumberFormat="1" applyFont="1" applyFill="1" applyBorder="1" applyAlignment="1">
      <alignment horizontal="left" vertical="center"/>
    </xf>
    <xf numFmtId="2" fontId="4" fillId="7" borderId="2" xfId="0" applyNumberFormat="1" applyFont="1" applyFill="1" applyBorder="1" applyAlignment="1">
      <alignment horizontal="left" vertical="center"/>
    </xf>
    <xf numFmtId="0" fontId="4" fillId="0" borderId="2" xfId="0" applyFont="1" applyBorder="1" applyAlignment="1">
      <alignment horizontal="left" vertical="center"/>
    </xf>
    <xf numFmtId="0" fontId="4" fillId="8" borderId="2" xfId="0" applyFont="1" applyFill="1" applyBorder="1" applyAlignment="1">
      <alignment horizontal="left" vertical="center"/>
    </xf>
  </cellXfs>
  <cellStyles count="1">
    <cellStyle name="Normal" xfId="0" builtinId="0"/>
  </cellStyles>
  <dxfs count="1">
    <dxf>
      <font>
        <b/>
      </font>
      <fill>
        <patternFill patternType="solid">
          <bgColor rgb="FFEAF1F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C42"/>
  <sheetViews>
    <sheetView workbookViewId="0" showGridLines="0"/>
  </sheetViews>
  <sheetFormatPr defaultRowHeight="15" outlineLevelRow="0" outlineLevelCol="0" x14ac:dyDescent="55"/>
  <cols>
    <col min="1" max="1" width="3" customWidth="1"/>
    <col min="2" max="2" width="26" style="1" customWidth="1"/>
    <col min="3" max="3" width="64" style="1" customWidth="1"/>
    <col min="4" max="4" width="3" customWidth="1"/>
  </cols>
  <sheetData>
    <row r="2" spans="2:3" x14ac:dyDescent="0.25">
      <c r="B2" s="2" t="s">
        <v>0</v>
      </c>
      <c r="C2" s="2"/>
    </row>
    <row r="3" spans="2:3" x14ac:dyDescent="0.25">
      <c r="B3" s="3" t="s">
        <v>1</v>
      </c>
      <c r="C3" s="3"/>
    </row>
    <row r="5" spans="2:3" x14ac:dyDescent="0.25">
      <c r="B5" s="4" t="s">
        <v>2</v>
      </c>
      <c r="C5" s="4"/>
    </row>
    <row r="6" spans="2:3" x14ac:dyDescent="0.25">
      <c r="B6" s="5" t="s">
        <v>3</v>
      </c>
      <c r="C6" s="5" t="s">
        <v>4</v>
      </c>
    </row>
    <row r="7" spans="2:3" x14ac:dyDescent="0.25">
      <c r="B7" s="5" t="s">
        <v>3</v>
      </c>
      <c r="C7" s="5" t="s">
        <v>5</v>
      </c>
    </row>
    <row r="8" spans="2:3" x14ac:dyDescent="0.25">
      <c r="B8" s="5" t="s">
        <v>3</v>
      </c>
      <c r="C8" s="5" t="s">
        <v>6</v>
      </c>
    </row>
    <row r="9" spans="2:3" x14ac:dyDescent="0.25">
      <c r="B9" s="5" t="s">
        <v>3</v>
      </c>
      <c r="C9" s="5" t="s">
        <v>7</v>
      </c>
    </row>
    <row r="10" spans="2:3" x14ac:dyDescent="0.25">
      <c r="B10" s="5" t="s">
        <v>3</v>
      </c>
      <c r="C10" s="5" t="s">
        <v>8</v>
      </c>
    </row>
    <row r="11" spans="2:3" x14ac:dyDescent="0.25">
      <c r="B11" s="5" t="s">
        <v>3</v>
      </c>
      <c r="C11" s="5" t="s">
        <v>9</v>
      </c>
    </row>
    <row r="12" spans="2:3" x14ac:dyDescent="0.25">
      <c r="B12" s="5" t="s">
        <v>3</v>
      </c>
      <c r="C12" s="5" t="s">
        <v>10</v>
      </c>
    </row>
    <row r="13" spans="2:3" x14ac:dyDescent="0.25">
      <c r="B13" s="5" t="s">
        <v>3</v>
      </c>
      <c r="C13" s="5" t="s">
        <v>11</v>
      </c>
    </row>
    <row r="14" spans="2:3" x14ac:dyDescent="0.25">
      <c r="B14" s="5" t="s">
        <v>3</v>
      </c>
      <c r="C14" s="5" t="s">
        <v>12</v>
      </c>
    </row>
    <row r="16" spans="2:3" x14ac:dyDescent="0.25">
      <c r="B16" s="4" t="s">
        <v>13</v>
      </c>
      <c r="C16" s="4"/>
    </row>
    <row r="17" spans="2:3" x14ac:dyDescent="0.25">
      <c r="B17" s="6" t="s">
        <v>14</v>
      </c>
      <c r="C17" s="5" t="s">
        <v>15</v>
      </c>
    </row>
    <row r="18" spans="2:3" x14ac:dyDescent="0.25">
      <c r="B18" s="6" t="s">
        <v>16</v>
      </c>
      <c r="C18" s="5" t="s">
        <v>17</v>
      </c>
    </row>
    <row r="19" spans="2:3" x14ac:dyDescent="0.25">
      <c r="B19" s="6" t="s">
        <v>18</v>
      </c>
      <c r="C19" s="5" t="s">
        <v>19</v>
      </c>
    </row>
    <row r="20" spans="2:3" x14ac:dyDescent="0.25">
      <c r="B20" s="6" t="s">
        <v>20</v>
      </c>
      <c r="C20" s="5" t="s">
        <v>21</v>
      </c>
    </row>
    <row r="21" spans="2:3" x14ac:dyDescent="0.25">
      <c r="B21" s="6" t="s">
        <v>22</v>
      </c>
      <c r="C21" s="5" t="s">
        <v>23</v>
      </c>
    </row>
    <row r="22" spans="2:3" x14ac:dyDescent="0.25">
      <c r="B22" s="6" t="s">
        <v>24</v>
      </c>
      <c r="C22" s="5" t="s">
        <v>25</v>
      </c>
    </row>
    <row r="24" spans="2:3" x14ac:dyDescent="0.25">
      <c r="B24" s="4" t="s">
        <v>26</v>
      </c>
      <c r="C24" s="4"/>
    </row>
    <row r="25" spans="2:3" x14ac:dyDescent="0.25">
      <c r="B25" s="6" t="s">
        <v>14</v>
      </c>
      <c r="C25" s="5" t="s">
        <v>27</v>
      </c>
    </row>
    <row r="26" spans="2:3" x14ac:dyDescent="0.25">
      <c r="B26" s="6" t="s">
        <v>28</v>
      </c>
      <c r="C26" s="5" t="s">
        <v>29</v>
      </c>
    </row>
    <row r="27" spans="2:3" x14ac:dyDescent="0.25">
      <c r="B27" s="6" t="s">
        <v>30</v>
      </c>
      <c r="C27" s="5" t="s">
        <v>31</v>
      </c>
    </row>
    <row r="28" spans="2:3" x14ac:dyDescent="0.25">
      <c r="B28" s="6" t="s">
        <v>32</v>
      </c>
      <c r="C28" s="5" t="s">
        <v>33</v>
      </c>
    </row>
    <row r="29" spans="2:3" x14ac:dyDescent="0.25">
      <c r="B29" s="6" t="s">
        <v>34</v>
      </c>
      <c r="C29" s="5" t="s">
        <v>35</v>
      </c>
    </row>
    <row r="30" spans="2:3" x14ac:dyDescent="0.25">
      <c r="B30" s="6" t="s">
        <v>36</v>
      </c>
      <c r="C30" s="5" t="s">
        <v>37</v>
      </c>
    </row>
    <row r="31" spans="2:3" x14ac:dyDescent="0.25">
      <c r="B31" s="6" t="s">
        <v>38</v>
      </c>
      <c r="C31" s="5" t="s">
        <v>39</v>
      </c>
    </row>
    <row r="32" spans="2:3" x14ac:dyDescent="0.25">
      <c r="B32" s="6" t="s">
        <v>40</v>
      </c>
      <c r="C32" s="5" t="s">
        <v>41</v>
      </c>
    </row>
    <row r="33" spans="2:3" x14ac:dyDescent="0.25">
      <c r="B33" s="6" t="s">
        <v>42</v>
      </c>
      <c r="C33" s="5" t="s">
        <v>43</v>
      </c>
    </row>
    <row r="35" spans="2:3" x14ac:dyDescent="0.25">
      <c r="B35" s="4" t="s">
        <v>44</v>
      </c>
      <c r="C35" s="4"/>
    </row>
    <row r="36" spans="2:3" x14ac:dyDescent="0.25">
      <c r="B36" s="5" t="s">
        <v>3</v>
      </c>
      <c r="C36" s="5" t="s">
        <v>45</v>
      </c>
    </row>
    <row r="37" spans="2:3" x14ac:dyDescent="0.25">
      <c r="B37" s="5" t="s">
        <v>3</v>
      </c>
      <c r="C37" s="5" t="s">
        <v>46</v>
      </c>
    </row>
    <row r="38" spans="2:3" x14ac:dyDescent="0.25">
      <c r="B38" s="5" t="s">
        <v>3</v>
      </c>
      <c r="C38" s="5" t="s">
        <v>47</v>
      </c>
    </row>
    <row r="39" spans="2:3" x14ac:dyDescent="0.25">
      <c r="B39" s="5" t="s">
        <v>3</v>
      </c>
      <c r="C39" s="5" t="s">
        <v>48</v>
      </c>
    </row>
    <row r="40" spans="2:3" x14ac:dyDescent="0.25">
      <c r="B40" s="5" t="s">
        <v>3</v>
      </c>
      <c r="C40" s="5" t="s">
        <v>49</v>
      </c>
    </row>
    <row r="42" spans="2:3" x14ac:dyDescent="0.25">
      <c r="B42" s="4" t="s">
        <v>50</v>
      </c>
      <c r="C42" s="4"/>
    </row>
  </sheetData>
  <mergeCells count="7">
    <mergeCell ref="B2:C2"/>
    <mergeCell ref="B3:C3"/>
    <mergeCell ref="B5:C5"/>
    <mergeCell ref="B16:C16"/>
    <mergeCell ref="B24:C24"/>
    <mergeCell ref="B35:C35"/>
    <mergeCell ref="B42:C4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207"/>
  <sheetViews>
    <sheetView workbookViewId="0" showGridLines="0">
      <pane ySplit="3" topLeftCell="A4" activePane="bottomLeft" state="frozen"/>
      <selection pane="bottomLeft"/>
    </sheetView>
  </sheetViews>
  <sheetFormatPr defaultRowHeight="15" outlineLevelRow="0" outlineLevelCol="0" x14ac:dyDescent="55"/>
  <cols>
    <col min="1" max="1" width="7" customWidth="1"/>
    <col min="2" max="2" width="11" customWidth="1"/>
    <col min="3" max="3" width="15" customWidth="1"/>
    <col min="4" max="4" width="12" customWidth="1"/>
    <col min="5" max="6" width="14" customWidth="1"/>
    <col min="7" max="7" width="16" customWidth="1"/>
    <col min="8" max="8" width="14" customWidth="1"/>
    <col min="9" max="9" width="26" customWidth="1"/>
    <col min="10" max="10" width="13" customWidth="1"/>
    <col min="11" max="11" width="10" customWidth="1"/>
    <col min="12" max="12" width="15" customWidth="1"/>
    <col min="13" max="13" width="16" customWidth="1"/>
    <col min="14" max="14" width="12" customWidth="1"/>
    <col min="15" max="15" width="13" customWidth="1"/>
    <col min="16" max="16" width="11" customWidth="1"/>
    <col min="17" max="17" width="18" customWidth="1"/>
    <col min="18" max="18" width="16" customWidth="1"/>
    <col min="19" max="19" width="13" customWidth="1"/>
  </cols>
  <sheetData>
    <row r="1" ht="22" customHeight="1" spans="1:19" x14ac:dyDescent="0.25">
      <c r="A1" s="7" t="s">
        <v>51</v>
      </c>
      <c r="B1" s="7"/>
      <c r="C1" s="7"/>
      <c r="D1" s="7"/>
      <c r="E1" s="7"/>
      <c r="F1" s="7"/>
      <c r="G1" s="7"/>
      <c r="H1" s="7"/>
      <c r="I1" s="7"/>
      <c r="J1" s="7"/>
      <c r="K1" s="7"/>
      <c r="L1" s="7"/>
      <c r="M1" s="7"/>
      <c r="N1" s="7"/>
      <c r="O1" s="7"/>
      <c r="P1" s="7"/>
      <c r="Q1" s="7"/>
      <c r="R1" s="7"/>
      <c r="S1" s="7"/>
    </row>
    <row r="2" spans="1:1" x14ac:dyDescent="0.25">
      <c r="A2" s="8" t="s">
        <v>52</v>
      </c>
    </row>
    <row r="3" ht="34" customHeight="1" spans="1:19" x14ac:dyDescent="0.25">
      <c r="A3" s="9" t="s">
        <v>53</v>
      </c>
      <c r="B3" s="9" t="s">
        <v>54</v>
      </c>
      <c r="C3" s="9" t="s">
        <v>14</v>
      </c>
      <c r="D3" s="9" t="s">
        <v>16</v>
      </c>
      <c r="E3" s="9" t="s">
        <v>18</v>
      </c>
      <c r="F3" s="9" t="s">
        <v>20</v>
      </c>
      <c r="G3" s="9" t="s">
        <v>22</v>
      </c>
      <c r="H3" s="9" t="s">
        <v>24</v>
      </c>
      <c r="I3" s="9" t="s">
        <v>28</v>
      </c>
      <c r="J3" s="9" t="s">
        <v>30</v>
      </c>
      <c r="K3" s="9" t="s">
        <v>32</v>
      </c>
      <c r="L3" s="9" t="s">
        <v>34</v>
      </c>
      <c r="M3" s="9" t="s">
        <v>36</v>
      </c>
      <c r="N3" s="9" t="s">
        <v>38</v>
      </c>
      <c r="O3" s="9" t="s">
        <v>40</v>
      </c>
      <c r="P3" s="9" t="s">
        <v>42</v>
      </c>
      <c r="Q3" s="9" t="s">
        <v>55</v>
      </c>
      <c r="R3" s="9" t="s">
        <v>56</v>
      </c>
      <c r="S3" s="9" t="s">
        <v>57</v>
      </c>
    </row>
    <row r="4" spans="1:19" x14ac:dyDescent="0.25">
      <c r="A4" s="10"/>
      <c r="B4" s="10" t="s">
        <v>58</v>
      </c>
      <c r="C4" s="10" t="s">
        <v>59</v>
      </c>
      <c r="D4" s="11" t="s">
        <v>60</v>
      </c>
      <c r="E4" s="11" t="s">
        <v>61</v>
      </c>
      <c r="F4" s="12">
        <v>46177</v>
      </c>
      <c r="G4" s="13">
        <v>6558</v>
      </c>
      <c r="H4" s="10" t="s">
        <v>62</v>
      </c>
      <c r="I4" s="10"/>
      <c r="J4" s="10"/>
      <c r="K4" s="10"/>
      <c r="L4" s="10"/>
      <c r="M4" s="10"/>
      <c r="N4" s="10"/>
      <c r="O4" s="10"/>
      <c r="P4" s="10"/>
      <c r="Q4" s="10" t="s">
        <v>63</v>
      </c>
      <c r="R4" s="10" t="s">
        <v>64</v>
      </c>
      <c r="S4" s="10" t="s">
        <v>64</v>
      </c>
    </row>
    <row r="5" spans="1:19" x14ac:dyDescent="0.25">
      <c r="A5" s="10" t="s">
        <v>64</v>
      </c>
      <c r="B5" s="10" t="s">
        <v>65</v>
      </c>
      <c r="C5" s="10" t="s">
        <v>59</v>
      </c>
      <c r="D5" s="10"/>
      <c r="E5" s="10"/>
      <c r="F5" s="10"/>
      <c r="G5" s="10"/>
      <c r="H5" s="10"/>
      <c r="I5" s="10" t="s">
        <v>66</v>
      </c>
      <c r="J5" s="10" t="s">
        <v>67</v>
      </c>
      <c r="K5" s="10" t="s">
        <v>68</v>
      </c>
      <c r="L5" s="12">
        <v>46173</v>
      </c>
      <c r="M5" s="13">
        <v>5558172</v>
      </c>
      <c r="N5" s="14">
        <v>0.1</v>
      </c>
      <c r="O5" s="13">
        <v>5558</v>
      </c>
      <c r="P5" s="13">
        <v>0</v>
      </c>
      <c r="Q5" s="10" t="s">
        <v>69</v>
      </c>
      <c r="R5" s="10"/>
      <c r="S5" s="10"/>
    </row>
    <row r="6" spans="1:19" x14ac:dyDescent="0.25">
      <c r="A6" s="10" t="s">
        <v>64</v>
      </c>
      <c r="B6" s="10" t="s">
        <v>65</v>
      </c>
      <c r="C6" s="10" t="s">
        <v>59</v>
      </c>
      <c r="D6" s="10"/>
      <c r="E6" s="10"/>
      <c r="F6" s="10"/>
      <c r="G6" s="10"/>
      <c r="H6" s="10"/>
      <c r="I6" s="10" t="s">
        <v>70</v>
      </c>
      <c r="J6" s="10" t="s">
        <v>71</v>
      </c>
      <c r="K6" s="10" t="s">
        <v>68</v>
      </c>
      <c r="L6" s="12">
        <v>46173</v>
      </c>
      <c r="M6" s="13">
        <v>500000</v>
      </c>
      <c r="N6" s="14">
        <v>0.2</v>
      </c>
      <c r="O6" s="13">
        <v>1000</v>
      </c>
      <c r="P6" s="13">
        <v>0</v>
      </c>
      <c r="Q6" s="10" t="s">
        <v>69</v>
      </c>
      <c r="R6" s="10"/>
      <c r="S6" s="10"/>
    </row>
    <row r="7" spans="1:19" x14ac:dyDescent="0.25">
      <c r="A7" s="10" t="s">
        <v>64</v>
      </c>
      <c r="B7" s="10" t="s">
        <v>65</v>
      </c>
      <c r="C7" s="10" t="s">
        <v>59</v>
      </c>
      <c r="D7" s="10"/>
      <c r="E7" s="10"/>
      <c r="F7" s="10"/>
      <c r="G7" s="10"/>
      <c r="H7" s="10"/>
      <c r="I7" s="10" t="s">
        <v>72</v>
      </c>
      <c r="J7" s="10" t="s">
        <v>73</v>
      </c>
      <c r="K7" s="10" t="s">
        <v>74</v>
      </c>
      <c r="L7" s="12">
        <v>46173</v>
      </c>
      <c r="M7" s="13">
        <v>100000</v>
      </c>
      <c r="N7" s="14">
        <v>0</v>
      </c>
      <c r="O7" s="13">
        <v>0</v>
      </c>
      <c r="P7" s="13">
        <v>0</v>
      </c>
      <c r="Q7" s="10" t="s">
        <v>75</v>
      </c>
      <c r="R7" s="10"/>
      <c r="S7" s="10"/>
    </row>
    <row r="8" spans="1:19" x14ac:dyDescent="0.25">
      <c r="A8" s="15">
        <f>IF($B8="Entry",COUNTIF($B$8:$B8,"Entry"),"")</f>
      </c>
      <c r="B8" s="16"/>
      <c r="C8" s="17"/>
      <c r="D8" s="18"/>
      <c r="E8" s="18"/>
      <c r="F8" s="19"/>
      <c r="G8" s="20"/>
      <c r="H8" s="21"/>
      <c r="I8" s="22"/>
      <c r="J8" s="22"/>
      <c r="K8" s="22"/>
      <c r="L8" s="23"/>
      <c r="M8" s="24"/>
      <c r="N8" s="25"/>
      <c r="O8" s="24"/>
      <c r="P8" s="24"/>
      <c r="Q8" s="26"/>
      <c r="R8" s="27">
        <f>IF($B8&lt;&gt;"Challan","",SUMIF($C$8:$C$207,$C8,$O$8:$O$207)+SUMIF($C$8:$C$207,$C8,$P$8:$P$207))</f>
      </c>
      <c r="S8" s="27">
        <f>IF(OR($B8&lt;&gt;"Challan",$C8="",G8=0),"",IF(ROUND(G8-R8,2)=0,"Matches","Check Entries"))</f>
      </c>
    </row>
    <row r="9" spans="1:19" x14ac:dyDescent="0.25">
      <c r="A9" s="15">
        <f>IF($B9="Entry",COUNTIF($B$8:$B9,"Entry"),"")</f>
      </c>
      <c r="B9" s="16"/>
      <c r="C9" s="17"/>
      <c r="D9" s="18"/>
      <c r="E9" s="18"/>
      <c r="F9" s="19"/>
      <c r="G9" s="20"/>
      <c r="H9" s="21"/>
      <c r="I9" s="22"/>
      <c r="J9" s="22"/>
      <c r="K9" s="22"/>
      <c r="L9" s="23"/>
      <c r="M9" s="24"/>
      <c r="N9" s="25"/>
      <c r="O9" s="24"/>
      <c r="P9" s="24"/>
      <c r="Q9" s="26"/>
      <c r="R9" s="27">
        <f>IF($B9&lt;&gt;"Challan","",SUMIF($C$8:$C$207,$C9,$O$8:$O$207)+SUMIF($C$8:$C$207,$C9,$P$8:$P$207))</f>
      </c>
      <c r="S9" s="27">
        <f>IF(OR($B9&lt;&gt;"Challan",$C9="",G9=0),"",IF(ROUND(G9-R9,2)=0,"Matches","Check Entries"))</f>
      </c>
    </row>
    <row r="10" spans="1:19" x14ac:dyDescent="0.25">
      <c r="A10" s="15">
        <f>IF($B10="Entry",COUNTIF($B$8:$B10,"Entry"),"")</f>
      </c>
      <c r="B10" s="16"/>
      <c r="C10" s="17"/>
      <c r="D10" s="18"/>
      <c r="E10" s="18"/>
      <c r="F10" s="19"/>
      <c r="G10" s="20"/>
      <c r="H10" s="21"/>
      <c r="I10" s="22"/>
      <c r="J10" s="22"/>
      <c r="K10" s="22"/>
      <c r="L10" s="23"/>
      <c r="M10" s="24"/>
      <c r="N10" s="25"/>
      <c r="O10" s="24"/>
      <c r="P10" s="24"/>
      <c r="Q10" s="26"/>
      <c r="R10" s="27">
        <f>IF($B10&lt;&gt;"Challan","",SUMIF($C$8:$C$207,$C10,$O$8:$O$207)+SUMIF($C$8:$C$207,$C10,$P$8:$P$207))</f>
      </c>
      <c r="S10" s="27">
        <f>IF(OR($B10&lt;&gt;"Challan",$C10="",G10=0),"",IF(ROUND(G10-R10,2)=0,"Matches","Check Entries"))</f>
      </c>
    </row>
    <row r="11" spans="1:19" x14ac:dyDescent="0.25">
      <c r="A11" s="15">
        <f>IF($B11="Entry",COUNTIF($B$8:$B11,"Entry"),"")</f>
      </c>
      <c r="B11" s="16"/>
      <c r="C11" s="17"/>
      <c r="D11" s="18"/>
      <c r="E11" s="18"/>
      <c r="F11" s="19"/>
      <c r="G11" s="20"/>
      <c r="H11" s="21"/>
      <c r="I11" s="22"/>
      <c r="J11" s="22"/>
      <c r="K11" s="22"/>
      <c r="L11" s="23"/>
      <c r="M11" s="24"/>
      <c r="N11" s="25"/>
      <c r="O11" s="24"/>
      <c r="P11" s="24"/>
      <c r="Q11" s="26"/>
      <c r="R11" s="27">
        <f>IF($B11&lt;&gt;"Challan","",SUMIF($C$8:$C$207,$C11,$O$8:$O$207)+SUMIF($C$8:$C$207,$C11,$P$8:$P$207))</f>
      </c>
      <c r="S11" s="27">
        <f>IF(OR($B11&lt;&gt;"Challan",$C11="",G11=0),"",IF(ROUND(G11-R11,2)=0,"Matches","Check Entries"))</f>
      </c>
    </row>
    <row r="12" spans="1:19" x14ac:dyDescent="0.25">
      <c r="A12" s="15">
        <f>IF($B12="Entry",COUNTIF($B$8:$B12,"Entry"),"")</f>
      </c>
      <c r="B12" s="16"/>
      <c r="C12" s="17"/>
      <c r="D12" s="18"/>
      <c r="E12" s="18"/>
      <c r="F12" s="19"/>
      <c r="G12" s="20"/>
      <c r="H12" s="21"/>
      <c r="I12" s="22"/>
      <c r="J12" s="22"/>
      <c r="K12" s="22"/>
      <c r="L12" s="23"/>
      <c r="M12" s="24"/>
      <c r="N12" s="25"/>
      <c r="O12" s="24"/>
      <c r="P12" s="24"/>
      <c r="Q12" s="26"/>
      <c r="R12" s="27">
        <f>IF($B12&lt;&gt;"Challan","",SUMIF($C$8:$C$207,$C12,$O$8:$O$207)+SUMIF($C$8:$C$207,$C12,$P$8:$P$207))</f>
      </c>
      <c r="S12" s="27">
        <f>IF(OR($B12&lt;&gt;"Challan",$C12="",G12=0),"",IF(ROUND(G12-R12,2)=0,"Matches","Check Entries"))</f>
      </c>
    </row>
    <row r="13" spans="1:19" x14ac:dyDescent="0.25">
      <c r="A13" s="15">
        <f>IF($B13="Entry",COUNTIF($B$8:$B13,"Entry"),"")</f>
      </c>
      <c r="B13" s="16"/>
      <c r="C13" s="17"/>
      <c r="D13" s="18"/>
      <c r="E13" s="18"/>
      <c r="F13" s="19"/>
      <c r="G13" s="20"/>
      <c r="H13" s="21"/>
      <c r="I13" s="22"/>
      <c r="J13" s="22"/>
      <c r="K13" s="22"/>
      <c r="L13" s="23"/>
      <c r="M13" s="24"/>
      <c r="N13" s="25"/>
      <c r="O13" s="24"/>
      <c r="P13" s="24"/>
      <c r="Q13" s="26"/>
      <c r="R13" s="27">
        <f>IF($B13&lt;&gt;"Challan","",SUMIF($C$8:$C$207,$C13,$O$8:$O$207)+SUMIF($C$8:$C$207,$C13,$P$8:$P$207))</f>
      </c>
      <c r="S13" s="27">
        <f>IF(OR($B13&lt;&gt;"Challan",$C13="",G13=0),"",IF(ROUND(G13-R13,2)=0,"Matches","Check Entries"))</f>
      </c>
    </row>
    <row r="14" spans="1:19" x14ac:dyDescent="0.25">
      <c r="A14" s="15">
        <f>IF($B14="Entry",COUNTIF($B$8:$B14,"Entry"),"")</f>
      </c>
      <c r="B14" s="16"/>
      <c r="C14" s="17"/>
      <c r="D14" s="18"/>
      <c r="E14" s="18"/>
      <c r="F14" s="19"/>
      <c r="G14" s="20"/>
      <c r="H14" s="21"/>
      <c r="I14" s="22"/>
      <c r="J14" s="22"/>
      <c r="K14" s="22"/>
      <c r="L14" s="23"/>
      <c r="M14" s="24"/>
      <c r="N14" s="25"/>
      <c r="O14" s="24"/>
      <c r="P14" s="24"/>
      <c r="Q14" s="26"/>
      <c r="R14" s="27">
        <f>IF($B14&lt;&gt;"Challan","",SUMIF($C$8:$C$207,$C14,$O$8:$O$207)+SUMIF($C$8:$C$207,$C14,$P$8:$P$207))</f>
      </c>
      <c r="S14" s="27">
        <f>IF(OR($B14&lt;&gt;"Challan",$C14="",G14=0),"",IF(ROUND(G14-R14,2)=0,"Matches","Check Entries"))</f>
      </c>
    </row>
    <row r="15" spans="1:19" x14ac:dyDescent="0.25">
      <c r="A15" s="15">
        <f>IF($B15="Entry",COUNTIF($B$8:$B15,"Entry"),"")</f>
      </c>
      <c r="B15" s="16"/>
      <c r="C15" s="17"/>
      <c r="D15" s="18"/>
      <c r="E15" s="18"/>
      <c r="F15" s="19"/>
      <c r="G15" s="20"/>
      <c r="H15" s="21"/>
      <c r="I15" s="22"/>
      <c r="J15" s="22"/>
      <c r="K15" s="22"/>
      <c r="L15" s="23"/>
      <c r="M15" s="24"/>
      <c r="N15" s="25"/>
      <c r="O15" s="24"/>
      <c r="P15" s="24"/>
      <c r="Q15" s="26"/>
      <c r="R15" s="27">
        <f>IF($B15&lt;&gt;"Challan","",SUMIF($C$8:$C$207,$C15,$O$8:$O$207)+SUMIF($C$8:$C$207,$C15,$P$8:$P$207))</f>
      </c>
      <c r="S15" s="27">
        <f>IF(OR($B15&lt;&gt;"Challan",$C15="",G15=0),"",IF(ROUND(G15-R15,2)=0,"Matches","Check Entries"))</f>
      </c>
    </row>
    <row r="16" spans="1:19" x14ac:dyDescent="0.25">
      <c r="A16" s="15">
        <f>IF($B16="Entry",COUNTIF($B$8:$B16,"Entry"),"")</f>
      </c>
      <c r="B16" s="16"/>
      <c r="C16" s="17"/>
      <c r="D16" s="18"/>
      <c r="E16" s="18"/>
      <c r="F16" s="19"/>
      <c r="G16" s="20"/>
      <c r="H16" s="21"/>
      <c r="I16" s="22"/>
      <c r="J16" s="22"/>
      <c r="K16" s="22"/>
      <c r="L16" s="23"/>
      <c r="M16" s="24"/>
      <c r="N16" s="25"/>
      <c r="O16" s="24"/>
      <c r="P16" s="24"/>
      <c r="Q16" s="26"/>
      <c r="R16" s="27">
        <f>IF($B16&lt;&gt;"Challan","",SUMIF($C$8:$C$207,$C16,$O$8:$O$207)+SUMIF($C$8:$C$207,$C16,$P$8:$P$207))</f>
      </c>
      <c r="S16" s="27">
        <f>IF(OR($B16&lt;&gt;"Challan",$C16="",G16=0),"",IF(ROUND(G16-R16,2)=0,"Matches","Check Entries"))</f>
      </c>
    </row>
    <row r="17" spans="1:19" x14ac:dyDescent="0.25">
      <c r="A17" s="15">
        <f>IF($B17="Entry",COUNTIF($B$8:$B17,"Entry"),"")</f>
      </c>
      <c r="B17" s="16"/>
      <c r="C17" s="17"/>
      <c r="D17" s="18"/>
      <c r="E17" s="18"/>
      <c r="F17" s="19"/>
      <c r="G17" s="20"/>
      <c r="H17" s="21"/>
      <c r="I17" s="22"/>
      <c r="J17" s="22"/>
      <c r="K17" s="22"/>
      <c r="L17" s="23"/>
      <c r="M17" s="24"/>
      <c r="N17" s="25"/>
      <c r="O17" s="24"/>
      <c r="P17" s="24"/>
      <c r="Q17" s="26"/>
      <c r="R17" s="27">
        <f>IF($B17&lt;&gt;"Challan","",SUMIF($C$8:$C$207,$C17,$O$8:$O$207)+SUMIF($C$8:$C$207,$C17,$P$8:$P$207))</f>
      </c>
      <c r="S17" s="27">
        <f>IF(OR($B17&lt;&gt;"Challan",$C17="",G17=0),"",IF(ROUND(G17-R17,2)=0,"Matches","Check Entries"))</f>
      </c>
    </row>
    <row r="18" spans="1:19" x14ac:dyDescent="0.25">
      <c r="A18" s="15">
        <f>IF($B18="Entry",COUNTIF($B$8:$B18,"Entry"),"")</f>
      </c>
      <c r="B18" s="16"/>
      <c r="C18" s="17"/>
      <c r="D18" s="18"/>
      <c r="E18" s="18"/>
      <c r="F18" s="19"/>
      <c r="G18" s="20"/>
      <c r="H18" s="21"/>
      <c r="I18" s="22"/>
      <c r="J18" s="22"/>
      <c r="K18" s="22"/>
      <c r="L18" s="23"/>
      <c r="M18" s="24"/>
      <c r="N18" s="25"/>
      <c r="O18" s="24"/>
      <c r="P18" s="24"/>
      <c r="Q18" s="26"/>
      <c r="R18" s="27">
        <f>IF($B18&lt;&gt;"Challan","",SUMIF($C$8:$C$207,$C18,$O$8:$O$207)+SUMIF($C$8:$C$207,$C18,$P$8:$P$207))</f>
      </c>
      <c r="S18" s="27">
        <f>IF(OR($B18&lt;&gt;"Challan",$C18="",G18=0),"",IF(ROUND(G18-R18,2)=0,"Matches","Check Entries"))</f>
      </c>
    </row>
    <row r="19" spans="1:19" x14ac:dyDescent="0.25">
      <c r="A19" s="15">
        <f>IF($B19="Entry",COUNTIF($B$8:$B19,"Entry"),"")</f>
      </c>
      <c r="B19" s="16"/>
      <c r="C19" s="17"/>
      <c r="D19" s="18"/>
      <c r="E19" s="18"/>
      <c r="F19" s="19"/>
      <c r="G19" s="20"/>
      <c r="H19" s="21"/>
      <c r="I19" s="22"/>
      <c r="J19" s="22"/>
      <c r="K19" s="22"/>
      <c r="L19" s="23"/>
      <c r="M19" s="24"/>
      <c r="N19" s="25"/>
      <c r="O19" s="24"/>
      <c r="P19" s="24"/>
      <c r="Q19" s="26"/>
      <c r="R19" s="27">
        <f>IF($B19&lt;&gt;"Challan","",SUMIF($C$8:$C$207,$C19,$O$8:$O$207)+SUMIF($C$8:$C$207,$C19,$P$8:$P$207))</f>
      </c>
      <c r="S19" s="27">
        <f>IF(OR($B19&lt;&gt;"Challan",$C19="",G19=0),"",IF(ROUND(G19-R19,2)=0,"Matches","Check Entries"))</f>
      </c>
    </row>
    <row r="20" spans="1:19" x14ac:dyDescent="0.25">
      <c r="A20" s="15">
        <f>IF($B20="Entry",COUNTIF($B$8:$B20,"Entry"),"")</f>
      </c>
      <c r="B20" s="16"/>
      <c r="C20" s="17"/>
      <c r="D20" s="18"/>
      <c r="E20" s="18"/>
      <c r="F20" s="19"/>
      <c r="G20" s="20"/>
      <c r="H20" s="21"/>
      <c r="I20" s="22"/>
      <c r="J20" s="22"/>
      <c r="K20" s="22"/>
      <c r="L20" s="23"/>
      <c r="M20" s="24"/>
      <c r="N20" s="25"/>
      <c r="O20" s="24"/>
      <c r="P20" s="24"/>
      <c r="Q20" s="26"/>
      <c r="R20" s="27">
        <f>IF($B20&lt;&gt;"Challan","",SUMIF($C$8:$C$207,$C20,$O$8:$O$207)+SUMIF($C$8:$C$207,$C20,$P$8:$P$207))</f>
      </c>
      <c r="S20" s="27">
        <f>IF(OR($B20&lt;&gt;"Challan",$C20="",G20=0),"",IF(ROUND(G20-R20,2)=0,"Matches","Check Entries"))</f>
      </c>
    </row>
    <row r="21" spans="1:19" x14ac:dyDescent="0.25">
      <c r="A21" s="15">
        <f>IF($B21="Entry",COUNTIF($B$8:$B21,"Entry"),"")</f>
      </c>
      <c r="B21" s="16"/>
      <c r="C21" s="17"/>
      <c r="D21" s="18"/>
      <c r="E21" s="18"/>
      <c r="F21" s="19"/>
      <c r="G21" s="20"/>
      <c r="H21" s="21"/>
      <c r="I21" s="22"/>
      <c r="J21" s="22"/>
      <c r="K21" s="22"/>
      <c r="L21" s="23"/>
      <c r="M21" s="24"/>
      <c r="N21" s="25"/>
      <c r="O21" s="24"/>
      <c r="P21" s="24"/>
      <c r="Q21" s="26"/>
      <c r="R21" s="27">
        <f>IF($B21&lt;&gt;"Challan","",SUMIF($C$8:$C$207,$C21,$O$8:$O$207)+SUMIF($C$8:$C$207,$C21,$P$8:$P$207))</f>
      </c>
      <c r="S21" s="27">
        <f>IF(OR($B21&lt;&gt;"Challan",$C21="",G21=0),"",IF(ROUND(G21-R21,2)=0,"Matches","Check Entries"))</f>
      </c>
    </row>
    <row r="22" spans="1:19" x14ac:dyDescent="0.25">
      <c r="A22" s="15">
        <f>IF($B22="Entry",COUNTIF($B$8:$B22,"Entry"),"")</f>
      </c>
      <c r="B22" s="16"/>
      <c r="C22" s="17"/>
      <c r="D22" s="18"/>
      <c r="E22" s="18"/>
      <c r="F22" s="19"/>
      <c r="G22" s="20"/>
      <c r="H22" s="21"/>
      <c r="I22" s="22"/>
      <c r="J22" s="22"/>
      <c r="K22" s="22"/>
      <c r="L22" s="23"/>
      <c r="M22" s="24"/>
      <c r="N22" s="25"/>
      <c r="O22" s="24"/>
      <c r="P22" s="24"/>
      <c r="Q22" s="26"/>
      <c r="R22" s="27">
        <f>IF($B22&lt;&gt;"Challan","",SUMIF($C$8:$C$207,$C22,$O$8:$O$207)+SUMIF($C$8:$C$207,$C22,$P$8:$P$207))</f>
      </c>
      <c r="S22" s="27">
        <f>IF(OR($B22&lt;&gt;"Challan",$C22="",G22=0),"",IF(ROUND(G22-R22,2)=0,"Matches","Check Entries"))</f>
      </c>
    </row>
    <row r="23" spans="1:19" x14ac:dyDescent="0.25">
      <c r="A23" s="15">
        <f>IF($B23="Entry",COUNTIF($B$8:$B23,"Entry"),"")</f>
      </c>
      <c r="B23" s="16"/>
      <c r="C23" s="17"/>
      <c r="D23" s="18"/>
      <c r="E23" s="18"/>
      <c r="F23" s="19"/>
      <c r="G23" s="20"/>
      <c r="H23" s="21"/>
      <c r="I23" s="22"/>
      <c r="J23" s="22"/>
      <c r="K23" s="22"/>
      <c r="L23" s="23"/>
      <c r="M23" s="24"/>
      <c r="N23" s="25"/>
      <c r="O23" s="24"/>
      <c r="P23" s="24"/>
      <c r="Q23" s="26"/>
      <c r="R23" s="27">
        <f>IF($B23&lt;&gt;"Challan","",SUMIF($C$8:$C$207,$C23,$O$8:$O$207)+SUMIF($C$8:$C$207,$C23,$P$8:$P$207))</f>
      </c>
      <c r="S23" s="27">
        <f>IF(OR($B23&lt;&gt;"Challan",$C23="",G23=0),"",IF(ROUND(G23-R23,2)=0,"Matches","Check Entries"))</f>
      </c>
    </row>
    <row r="24" spans="1:19" x14ac:dyDescent="0.25">
      <c r="A24" s="15">
        <f>IF($B24="Entry",COUNTIF($B$8:$B24,"Entry"),"")</f>
      </c>
      <c r="B24" s="16"/>
      <c r="C24" s="17"/>
      <c r="D24" s="18"/>
      <c r="E24" s="18"/>
      <c r="F24" s="19"/>
      <c r="G24" s="20"/>
      <c r="H24" s="21"/>
      <c r="I24" s="22"/>
      <c r="J24" s="22"/>
      <c r="K24" s="22"/>
      <c r="L24" s="23"/>
      <c r="M24" s="24"/>
      <c r="N24" s="25"/>
      <c r="O24" s="24"/>
      <c r="P24" s="24"/>
      <c r="Q24" s="26"/>
      <c r="R24" s="27">
        <f>IF($B24&lt;&gt;"Challan","",SUMIF($C$8:$C$207,$C24,$O$8:$O$207)+SUMIF($C$8:$C$207,$C24,$P$8:$P$207))</f>
      </c>
      <c r="S24" s="27">
        <f>IF(OR($B24&lt;&gt;"Challan",$C24="",G24=0),"",IF(ROUND(G24-R24,2)=0,"Matches","Check Entries"))</f>
      </c>
    </row>
    <row r="25" spans="1:19" x14ac:dyDescent="0.25">
      <c r="A25" s="15">
        <f>IF($B25="Entry",COUNTIF($B$8:$B25,"Entry"),"")</f>
      </c>
      <c r="B25" s="16"/>
      <c r="C25" s="17"/>
      <c r="D25" s="18"/>
      <c r="E25" s="18"/>
      <c r="F25" s="19"/>
      <c r="G25" s="20"/>
      <c r="H25" s="21"/>
      <c r="I25" s="22"/>
      <c r="J25" s="22"/>
      <c r="K25" s="22"/>
      <c r="L25" s="23"/>
      <c r="M25" s="24"/>
      <c r="N25" s="25"/>
      <c r="O25" s="24"/>
      <c r="P25" s="24"/>
      <c r="Q25" s="26"/>
      <c r="R25" s="27">
        <f>IF($B25&lt;&gt;"Challan","",SUMIF($C$8:$C$207,$C25,$O$8:$O$207)+SUMIF($C$8:$C$207,$C25,$P$8:$P$207))</f>
      </c>
      <c r="S25" s="27">
        <f>IF(OR($B25&lt;&gt;"Challan",$C25="",G25=0),"",IF(ROUND(G25-R25,2)=0,"Matches","Check Entries"))</f>
      </c>
    </row>
    <row r="26" spans="1:19" x14ac:dyDescent="0.25">
      <c r="A26" s="15">
        <f>IF($B26="Entry",COUNTIF($B$8:$B26,"Entry"),"")</f>
      </c>
      <c r="B26" s="16"/>
      <c r="C26" s="17"/>
      <c r="D26" s="18"/>
      <c r="E26" s="18"/>
      <c r="F26" s="19"/>
      <c r="G26" s="20"/>
      <c r="H26" s="21"/>
      <c r="I26" s="22"/>
      <c r="J26" s="22"/>
      <c r="K26" s="22"/>
      <c r="L26" s="23"/>
      <c r="M26" s="24"/>
      <c r="N26" s="25"/>
      <c r="O26" s="24"/>
      <c r="P26" s="24"/>
      <c r="Q26" s="26"/>
      <c r="R26" s="27">
        <f>IF($B26&lt;&gt;"Challan","",SUMIF($C$8:$C$207,$C26,$O$8:$O$207)+SUMIF($C$8:$C$207,$C26,$P$8:$P$207))</f>
      </c>
      <c r="S26" s="27">
        <f>IF(OR($B26&lt;&gt;"Challan",$C26="",G26=0),"",IF(ROUND(G26-R26,2)=0,"Matches","Check Entries"))</f>
      </c>
    </row>
    <row r="27" spans="1:19" x14ac:dyDescent="0.25">
      <c r="A27" s="15">
        <f>IF($B27="Entry",COUNTIF($B$8:$B27,"Entry"),"")</f>
      </c>
      <c r="B27" s="16"/>
      <c r="C27" s="17"/>
      <c r="D27" s="18"/>
      <c r="E27" s="18"/>
      <c r="F27" s="19"/>
      <c r="G27" s="20"/>
      <c r="H27" s="21"/>
      <c r="I27" s="22"/>
      <c r="J27" s="22"/>
      <c r="K27" s="22"/>
      <c r="L27" s="23"/>
      <c r="M27" s="24"/>
      <c r="N27" s="25"/>
      <c r="O27" s="24"/>
      <c r="P27" s="24"/>
      <c r="Q27" s="26"/>
      <c r="R27" s="27">
        <f>IF($B27&lt;&gt;"Challan","",SUMIF($C$8:$C$207,$C27,$O$8:$O$207)+SUMIF($C$8:$C$207,$C27,$P$8:$P$207))</f>
      </c>
      <c r="S27" s="27">
        <f>IF(OR($B27&lt;&gt;"Challan",$C27="",G27=0),"",IF(ROUND(G27-R27,2)=0,"Matches","Check Entries"))</f>
      </c>
    </row>
    <row r="28" spans="1:19" x14ac:dyDescent="0.25">
      <c r="A28" s="15">
        <f>IF($B28="Entry",COUNTIF($B$8:$B28,"Entry"),"")</f>
      </c>
      <c r="B28" s="16"/>
      <c r="C28" s="17"/>
      <c r="D28" s="18"/>
      <c r="E28" s="18"/>
      <c r="F28" s="19"/>
      <c r="G28" s="20"/>
      <c r="H28" s="21"/>
      <c r="I28" s="22"/>
      <c r="J28" s="22"/>
      <c r="K28" s="22"/>
      <c r="L28" s="23"/>
      <c r="M28" s="24"/>
      <c r="N28" s="25"/>
      <c r="O28" s="24"/>
      <c r="P28" s="24"/>
      <c r="Q28" s="26"/>
      <c r="R28" s="27">
        <f>IF($B28&lt;&gt;"Challan","",SUMIF($C$8:$C$207,$C28,$O$8:$O$207)+SUMIF($C$8:$C$207,$C28,$P$8:$P$207))</f>
      </c>
      <c r="S28" s="27">
        <f>IF(OR($B28&lt;&gt;"Challan",$C28="",G28=0),"",IF(ROUND(G28-R28,2)=0,"Matches","Check Entries"))</f>
      </c>
    </row>
    <row r="29" spans="1:19" x14ac:dyDescent="0.25">
      <c r="A29" s="15">
        <f>IF($B29="Entry",COUNTIF($B$8:$B29,"Entry"),"")</f>
      </c>
      <c r="B29" s="16"/>
      <c r="C29" s="17"/>
      <c r="D29" s="18"/>
      <c r="E29" s="18"/>
      <c r="F29" s="19"/>
      <c r="G29" s="20"/>
      <c r="H29" s="21"/>
      <c r="I29" s="22"/>
      <c r="J29" s="22"/>
      <c r="K29" s="22"/>
      <c r="L29" s="23"/>
      <c r="M29" s="24"/>
      <c r="N29" s="25"/>
      <c r="O29" s="24"/>
      <c r="P29" s="24"/>
      <c r="Q29" s="26"/>
      <c r="R29" s="27">
        <f>IF($B29&lt;&gt;"Challan","",SUMIF($C$8:$C$207,$C29,$O$8:$O$207)+SUMIF($C$8:$C$207,$C29,$P$8:$P$207))</f>
      </c>
      <c r="S29" s="27">
        <f>IF(OR($B29&lt;&gt;"Challan",$C29="",G29=0),"",IF(ROUND(G29-R29,2)=0,"Matches","Check Entries"))</f>
      </c>
    </row>
    <row r="30" spans="1:19" x14ac:dyDescent="0.25">
      <c r="A30" s="15">
        <f>IF($B30="Entry",COUNTIF($B$8:$B30,"Entry"),"")</f>
      </c>
      <c r="B30" s="16"/>
      <c r="C30" s="17"/>
      <c r="D30" s="18"/>
      <c r="E30" s="18"/>
      <c r="F30" s="19"/>
      <c r="G30" s="20"/>
      <c r="H30" s="21"/>
      <c r="I30" s="22"/>
      <c r="J30" s="22"/>
      <c r="K30" s="22"/>
      <c r="L30" s="23"/>
      <c r="M30" s="24"/>
      <c r="N30" s="25"/>
      <c r="O30" s="24"/>
      <c r="P30" s="24"/>
      <c r="Q30" s="26"/>
      <c r="R30" s="27">
        <f>IF($B30&lt;&gt;"Challan","",SUMIF($C$8:$C$207,$C30,$O$8:$O$207)+SUMIF($C$8:$C$207,$C30,$P$8:$P$207))</f>
      </c>
      <c r="S30" s="27">
        <f>IF(OR($B30&lt;&gt;"Challan",$C30="",G30=0),"",IF(ROUND(G30-R30,2)=0,"Matches","Check Entries"))</f>
      </c>
    </row>
    <row r="31" spans="1:19" x14ac:dyDescent="0.25">
      <c r="A31" s="15">
        <f>IF($B31="Entry",COUNTIF($B$8:$B31,"Entry"),"")</f>
      </c>
      <c r="B31" s="16"/>
      <c r="C31" s="17"/>
      <c r="D31" s="18"/>
      <c r="E31" s="18"/>
      <c r="F31" s="19"/>
      <c r="G31" s="20"/>
      <c r="H31" s="21"/>
      <c r="I31" s="22"/>
      <c r="J31" s="22"/>
      <c r="K31" s="22"/>
      <c r="L31" s="23"/>
      <c r="M31" s="24"/>
      <c r="N31" s="25"/>
      <c r="O31" s="24"/>
      <c r="P31" s="24"/>
      <c r="Q31" s="26"/>
      <c r="R31" s="27">
        <f>IF($B31&lt;&gt;"Challan","",SUMIF($C$8:$C$207,$C31,$O$8:$O$207)+SUMIF($C$8:$C$207,$C31,$P$8:$P$207))</f>
      </c>
      <c r="S31" s="27">
        <f>IF(OR($B31&lt;&gt;"Challan",$C31="",G31=0),"",IF(ROUND(G31-R31,2)=0,"Matches","Check Entries"))</f>
      </c>
    </row>
    <row r="32" spans="1:19" x14ac:dyDescent="0.25">
      <c r="A32" s="15">
        <f>IF($B32="Entry",COUNTIF($B$8:$B32,"Entry"),"")</f>
      </c>
      <c r="B32" s="16"/>
      <c r="C32" s="17"/>
      <c r="D32" s="18"/>
      <c r="E32" s="18"/>
      <c r="F32" s="19"/>
      <c r="G32" s="20"/>
      <c r="H32" s="21"/>
      <c r="I32" s="22"/>
      <c r="J32" s="22"/>
      <c r="K32" s="22"/>
      <c r="L32" s="23"/>
      <c r="M32" s="24"/>
      <c r="N32" s="25"/>
      <c r="O32" s="24"/>
      <c r="P32" s="24"/>
      <c r="Q32" s="26"/>
      <c r="R32" s="27">
        <f>IF($B32&lt;&gt;"Challan","",SUMIF($C$8:$C$207,$C32,$O$8:$O$207)+SUMIF($C$8:$C$207,$C32,$P$8:$P$207))</f>
      </c>
      <c r="S32" s="27">
        <f>IF(OR($B32&lt;&gt;"Challan",$C32="",G32=0),"",IF(ROUND(G32-R32,2)=0,"Matches","Check Entries"))</f>
      </c>
    </row>
    <row r="33" spans="1:19" x14ac:dyDescent="0.25">
      <c r="A33" s="15">
        <f>IF($B33="Entry",COUNTIF($B$8:$B33,"Entry"),"")</f>
      </c>
      <c r="B33" s="16"/>
      <c r="C33" s="17"/>
      <c r="D33" s="18"/>
      <c r="E33" s="18"/>
      <c r="F33" s="19"/>
      <c r="G33" s="20"/>
      <c r="H33" s="21"/>
      <c r="I33" s="22"/>
      <c r="J33" s="22"/>
      <c r="K33" s="22"/>
      <c r="L33" s="23"/>
      <c r="M33" s="24"/>
      <c r="N33" s="25"/>
      <c r="O33" s="24"/>
      <c r="P33" s="24"/>
      <c r="Q33" s="26"/>
      <c r="R33" s="27">
        <f>IF($B33&lt;&gt;"Challan","",SUMIF($C$8:$C$207,$C33,$O$8:$O$207)+SUMIF($C$8:$C$207,$C33,$P$8:$P$207))</f>
      </c>
      <c r="S33" s="27">
        <f>IF(OR($B33&lt;&gt;"Challan",$C33="",G33=0),"",IF(ROUND(G33-R33,2)=0,"Matches","Check Entries"))</f>
      </c>
    </row>
    <row r="34" spans="1:19" x14ac:dyDescent="0.25">
      <c r="A34" s="15">
        <f>IF($B34="Entry",COUNTIF($B$8:$B34,"Entry"),"")</f>
      </c>
      <c r="B34" s="16"/>
      <c r="C34" s="17"/>
      <c r="D34" s="18"/>
      <c r="E34" s="18"/>
      <c r="F34" s="19"/>
      <c r="G34" s="20"/>
      <c r="H34" s="21"/>
      <c r="I34" s="22"/>
      <c r="J34" s="22"/>
      <c r="K34" s="22"/>
      <c r="L34" s="23"/>
      <c r="M34" s="24"/>
      <c r="N34" s="25"/>
      <c r="O34" s="24"/>
      <c r="P34" s="24"/>
      <c r="Q34" s="26"/>
      <c r="R34" s="27">
        <f>IF($B34&lt;&gt;"Challan","",SUMIF($C$8:$C$207,$C34,$O$8:$O$207)+SUMIF($C$8:$C$207,$C34,$P$8:$P$207))</f>
      </c>
      <c r="S34" s="27">
        <f>IF(OR($B34&lt;&gt;"Challan",$C34="",G34=0),"",IF(ROUND(G34-R34,2)=0,"Matches","Check Entries"))</f>
      </c>
    </row>
    <row r="35" spans="1:19" x14ac:dyDescent="0.25">
      <c r="A35" s="15">
        <f>IF($B35="Entry",COUNTIF($B$8:$B35,"Entry"),"")</f>
      </c>
      <c r="B35" s="16"/>
      <c r="C35" s="17"/>
      <c r="D35" s="18"/>
      <c r="E35" s="18"/>
      <c r="F35" s="19"/>
      <c r="G35" s="20"/>
      <c r="H35" s="21"/>
      <c r="I35" s="22"/>
      <c r="J35" s="22"/>
      <c r="K35" s="22"/>
      <c r="L35" s="23"/>
      <c r="M35" s="24"/>
      <c r="N35" s="25"/>
      <c r="O35" s="24"/>
      <c r="P35" s="24"/>
      <c r="Q35" s="26"/>
      <c r="R35" s="27">
        <f>IF($B35&lt;&gt;"Challan","",SUMIF($C$8:$C$207,$C35,$O$8:$O$207)+SUMIF($C$8:$C$207,$C35,$P$8:$P$207))</f>
      </c>
      <c r="S35" s="27">
        <f>IF(OR($B35&lt;&gt;"Challan",$C35="",G35=0),"",IF(ROUND(G35-R35,2)=0,"Matches","Check Entries"))</f>
      </c>
    </row>
    <row r="36" spans="1:19" x14ac:dyDescent="0.25">
      <c r="A36" s="15">
        <f>IF($B36="Entry",COUNTIF($B$8:$B36,"Entry"),"")</f>
      </c>
      <c r="B36" s="16"/>
      <c r="C36" s="17"/>
      <c r="D36" s="18"/>
      <c r="E36" s="18"/>
      <c r="F36" s="19"/>
      <c r="G36" s="20"/>
      <c r="H36" s="21"/>
      <c r="I36" s="22"/>
      <c r="J36" s="22"/>
      <c r="K36" s="22"/>
      <c r="L36" s="23"/>
      <c r="M36" s="24"/>
      <c r="N36" s="25"/>
      <c r="O36" s="24"/>
      <c r="P36" s="24"/>
      <c r="Q36" s="26"/>
      <c r="R36" s="27">
        <f>IF($B36&lt;&gt;"Challan","",SUMIF($C$8:$C$207,$C36,$O$8:$O$207)+SUMIF($C$8:$C$207,$C36,$P$8:$P$207))</f>
      </c>
      <c r="S36" s="27">
        <f>IF(OR($B36&lt;&gt;"Challan",$C36="",G36=0),"",IF(ROUND(G36-R36,2)=0,"Matches","Check Entries"))</f>
      </c>
    </row>
    <row r="37" spans="1:19" x14ac:dyDescent="0.25">
      <c r="A37" s="15">
        <f>IF($B37="Entry",COUNTIF($B$8:$B37,"Entry"),"")</f>
      </c>
      <c r="B37" s="16"/>
      <c r="C37" s="17"/>
      <c r="D37" s="18"/>
      <c r="E37" s="18"/>
      <c r="F37" s="19"/>
      <c r="G37" s="20"/>
      <c r="H37" s="21"/>
      <c r="I37" s="22"/>
      <c r="J37" s="22"/>
      <c r="K37" s="22"/>
      <c r="L37" s="23"/>
      <c r="M37" s="24"/>
      <c r="N37" s="25"/>
      <c r="O37" s="24"/>
      <c r="P37" s="24"/>
      <c r="Q37" s="26"/>
      <c r="R37" s="27">
        <f>IF($B37&lt;&gt;"Challan","",SUMIF($C$8:$C$207,$C37,$O$8:$O$207)+SUMIF($C$8:$C$207,$C37,$P$8:$P$207))</f>
      </c>
      <c r="S37" s="27">
        <f>IF(OR($B37&lt;&gt;"Challan",$C37="",G37=0),"",IF(ROUND(G37-R37,2)=0,"Matches","Check Entries"))</f>
      </c>
    </row>
    <row r="38" spans="1:19" x14ac:dyDescent="0.25">
      <c r="A38" s="15">
        <f>IF($B38="Entry",COUNTIF($B$8:$B38,"Entry"),"")</f>
      </c>
      <c r="B38" s="16"/>
      <c r="C38" s="17"/>
      <c r="D38" s="18"/>
      <c r="E38" s="18"/>
      <c r="F38" s="19"/>
      <c r="G38" s="20"/>
      <c r="H38" s="21"/>
      <c r="I38" s="22"/>
      <c r="J38" s="22"/>
      <c r="K38" s="22"/>
      <c r="L38" s="23"/>
      <c r="M38" s="24"/>
      <c r="N38" s="25"/>
      <c r="O38" s="24"/>
      <c r="P38" s="24"/>
      <c r="Q38" s="26"/>
      <c r="R38" s="27">
        <f>IF($B38&lt;&gt;"Challan","",SUMIF($C$8:$C$207,$C38,$O$8:$O$207)+SUMIF($C$8:$C$207,$C38,$P$8:$P$207))</f>
      </c>
      <c r="S38" s="27">
        <f>IF(OR($B38&lt;&gt;"Challan",$C38="",G38=0),"",IF(ROUND(G38-R38,2)=0,"Matches","Check Entries"))</f>
      </c>
    </row>
    <row r="39" spans="1:19" x14ac:dyDescent="0.25">
      <c r="A39" s="15">
        <f>IF($B39="Entry",COUNTIF($B$8:$B39,"Entry"),"")</f>
      </c>
      <c r="B39" s="16"/>
      <c r="C39" s="17"/>
      <c r="D39" s="18"/>
      <c r="E39" s="18"/>
      <c r="F39" s="19"/>
      <c r="G39" s="20"/>
      <c r="H39" s="21"/>
      <c r="I39" s="22"/>
      <c r="J39" s="22"/>
      <c r="K39" s="22"/>
      <c r="L39" s="23"/>
      <c r="M39" s="24"/>
      <c r="N39" s="25"/>
      <c r="O39" s="24"/>
      <c r="P39" s="24"/>
      <c r="Q39" s="26"/>
      <c r="R39" s="27">
        <f>IF($B39&lt;&gt;"Challan","",SUMIF($C$8:$C$207,$C39,$O$8:$O$207)+SUMIF($C$8:$C$207,$C39,$P$8:$P$207))</f>
      </c>
      <c r="S39" s="27">
        <f>IF(OR($B39&lt;&gt;"Challan",$C39="",G39=0),"",IF(ROUND(G39-R39,2)=0,"Matches","Check Entries"))</f>
      </c>
    </row>
    <row r="40" spans="1:19" x14ac:dyDescent="0.25">
      <c r="A40" s="15">
        <f>IF($B40="Entry",COUNTIF($B$8:$B40,"Entry"),"")</f>
      </c>
      <c r="B40" s="16"/>
      <c r="C40" s="17"/>
      <c r="D40" s="18"/>
      <c r="E40" s="18"/>
      <c r="F40" s="19"/>
      <c r="G40" s="20"/>
      <c r="H40" s="21"/>
      <c r="I40" s="22"/>
      <c r="J40" s="22"/>
      <c r="K40" s="22"/>
      <c r="L40" s="23"/>
      <c r="M40" s="24"/>
      <c r="N40" s="25"/>
      <c r="O40" s="24"/>
      <c r="P40" s="24"/>
      <c r="Q40" s="26"/>
      <c r="R40" s="27">
        <f>IF($B40&lt;&gt;"Challan","",SUMIF($C$8:$C$207,$C40,$O$8:$O$207)+SUMIF($C$8:$C$207,$C40,$P$8:$P$207))</f>
      </c>
      <c r="S40" s="27">
        <f>IF(OR($B40&lt;&gt;"Challan",$C40="",G40=0),"",IF(ROUND(G40-R40,2)=0,"Matches","Check Entries"))</f>
      </c>
    </row>
    <row r="41" spans="1:19" x14ac:dyDescent="0.25">
      <c r="A41" s="15">
        <f>IF($B41="Entry",COUNTIF($B$8:$B41,"Entry"),"")</f>
      </c>
      <c r="B41" s="16"/>
      <c r="C41" s="17"/>
      <c r="D41" s="18"/>
      <c r="E41" s="18"/>
      <c r="F41" s="19"/>
      <c r="G41" s="20"/>
      <c r="H41" s="21"/>
      <c r="I41" s="22"/>
      <c r="J41" s="22"/>
      <c r="K41" s="22"/>
      <c r="L41" s="23"/>
      <c r="M41" s="24"/>
      <c r="N41" s="25"/>
      <c r="O41" s="24"/>
      <c r="P41" s="24"/>
      <c r="Q41" s="26"/>
      <c r="R41" s="27">
        <f>IF($B41&lt;&gt;"Challan","",SUMIF($C$8:$C$207,$C41,$O$8:$O$207)+SUMIF($C$8:$C$207,$C41,$P$8:$P$207))</f>
      </c>
      <c r="S41" s="27">
        <f>IF(OR($B41&lt;&gt;"Challan",$C41="",G41=0),"",IF(ROUND(G41-R41,2)=0,"Matches","Check Entries"))</f>
      </c>
    </row>
    <row r="42" spans="1:19" x14ac:dyDescent="0.25">
      <c r="A42" s="15">
        <f>IF($B42="Entry",COUNTIF($B$8:$B42,"Entry"),"")</f>
      </c>
      <c r="B42" s="16"/>
      <c r="C42" s="17"/>
      <c r="D42" s="18"/>
      <c r="E42" s="18"/>
      <c r="F42" s="19"/>
      <c r="G42" s="20"/>
      <c r="H42" s="21"/>
      <c r="I42" s="22"/>
      <c r="J42" s="22"/>
      <c r="K42" s="22"/>
      <c r="L42" s="23"/>
      <c r="M42" s="24"/>
      <c r="N42" s="25"/>
      <c r="O42" s="24"/>
      <c r="P42" s="24"/>
      <c r="Q42" s="26"/>
      <c r="R42" s="27">
        <f>IF($B42&lt;&gt;"Challan","",SUMIF($C$8:$C$207,$C42,$O$8:$O$207)+SUMIF($C$8:$C$207,$C42,$P$8:$P$207))</f>
      </c>
      <c r="S42" s="27">
        <f>IF(OR($B42&lt;&gt;"Challan",$C42="",G42=0),"",IF(ROUND(G42-R42,2)=0,"Matches","Check Entries"))</f>
      </c>
    </row>
    <row r="43" spans="1:19" x14ac:dyDescent="0.25">
      <c r="A43" s="15">
        <f>IF($B43="Entry",COUNTIF($B$8:$B43,"Entry"),"")</f>
      </c>
      <c r="B43" s="16"/>
      <c r="C43" s="17"/>
      <c r="D43" s="18"/>
      <c r="E43" s="18"/>
      <c r="F43" s="19"/>
      <c r="G43" s="20"/>
      <c r="H43" s="21"/>
      <c r="I43" s="22"/>
      <c r="J43" s="22"/>
      <c r="K43" s="22"/>
      <c r="L43" s="23"/>
      <c r="M43" s="24"/>
      <c r="N43" s="25"/>
      <c r="O43" s="24"/>
      <c r="P43" s="24"/>
      <c r="Q43" s="26"/>
      <c r="R43" s="27">
        <f>IF($B43&lt;&gt;"Challan","",SUMIF($C$8:$C$207,$C43,$O$8:$O$207)+SUMIF($C$8:$C$207,$C43,$P$8:$P$207))</f>
      </c>
      <c r="S43" s="27">
        <f>IF(OR($B43&lt;&gt;"Challan",$C43="",G43=0),"",IF(ROUND(G43-R43,2)=0,"Matches","Check Entries"))</f>
      </c>
    </row>
    <row r="44" spans="1:19" x14ac:dyDescent="0.25">
      <c r="A44" s="15">
        <f>IF($B44="Entry",COUNTIF($B$8:$B44,"Entry"),"")</f>
      </c>
      <c r="B44" s="16"/>
      <c r="C44" s="17"/>
      <c r="D44" s="18"/>
      <c r="E44" s="18"/>
      <c r="F44" s="19"/>
      <c r="G44" s="20"/>
      <c r="H44" s="21"/>
      <c r="I44" s="22"/>
      <c r="J44" s="22"/>
      <c r="K44" s="22"/>
      <c r="L44" s="23"/>
      <c r="M44" s="24"/>
      <c r="N44" s="25"/>
      <c r="O44" s="24"/>
      <c r="P44" s="24"/>
      <c r="Q44" s="26"/>
      <c r="R44" s="27">
        <f>IF($B44&lt;&gt;"Challan","",SUMIF($C$8:$C$207,$C44,$O$8:$O$207)+SUMIF($C$8:$C$207,$C44,$P$8:$P$207))</f>
      </c>
      <c r="S44" s="27">
        <f>IF(OR($B44&lt;&gt;"Challan",$C44="",G44=0),"",IF(ROUND(G44-R44,2)=0,"Matches","Check Entries"))</f>
      </c>
    </row>
    <row r="45" spans="1:19" x14ac:dyDescent="0.25">
      <c r="A45" s="15">
        <f>IF($B45="Entry",COUNTIF($B$8:$B45,"Entry"),"")</f>
      </c>
      <c r="B45" s="16"/>
      <c r="C45" s="17"/>
      <c r="D45" s="18"/>
      <c r="E45" s="18"/>
      <c r="F45" s="19"/>
      <c r="G45" s="20"/>
      <c r="H45" s="21"/>
      <c r="I45" s="22"/>
      <c r="J45" s="22"/>
      <c r="K45" s="22"/>
      <c r="L45" s="23"/>
      <c r="M45" s="24"/>
      <c r="N45" s="25"/>
      <c r="O45" s="24"/>
      <c r="P45" s="24"/>
      <c r="Q45" s="26"/>
      <c r="R45" s="27">
        <f>IF($B45&lt;&gt;"Challan","",SUMIF($C$8:$C$207,$C45,$O$8:$O$207)+SUMIF($C$8:$C$207,$C45,$P$8:$P$207))</f>
      </c>
      <c r="S45" s="27">
        <f>IF(OR($B45&lt;&gt;"Challan",$C45="",G45=0),"",IF(ROUND(G45-R45,2)=0,"Matches","Check Entries"))</f>
      </c>
    </row>
    <row r="46" spans="1:19" x14ac:dyDescent="0.25">
      <c r="A46" s="15">
        <f>IF($B46="Entry",COUNTIF($B$8:$B46,"Entry"),"")</f>
      </c>
      <c r="B46" s="16"/>
      <c r="C46" s="17"/>
      <c r="D46" s="18"/>
      <c r="E46" s="18"/>
      <c r="F46" s="19"/>
      <c r="G46" s="20"/>
      <c r="H46" s="21"/>
      <c r="I46" s="22"/>
      <c r="J46" s="22"/>
      <c r="K46" s="22"/>
      <c r="L46" s="23"/>
      <c r="M46" s="24"/>
      <c r="N46" s="25"/>
      <c r="O46" s="24"/>
      <c r="P46" s="24"/>
      <c r="Q46" s="26"/>
      <c r="R46" s="27">
        <f>IF($B46&lt;&gt;"Challan","",SUMIF($C$8:$C$207,$C46,$O$8:$O$207)+SUMIF($C$8:$C$207,$C46,$P$8:$P$207))</f>
      </c>
      <c r="S46" s="27">
        <f>IF(OR($B46&lt;&gt;"Challan",$C46="",G46=0),"",IF(ROUND(G46-R46,2)=0,"Matches","Check Entries"))</f>
      </c>
    </row>
    <row r="47" spans="1:19" x14ac:dyDescent="0.25">
      <c r="A47" s="15">
        <f>IF($B47="Entry",COUNTIF($B$8:$B47,"Entry"),"")</f>
      </c>
      <c r="B47" s="16"/>
      <c r="C47" s="17"/>
      <c r="D47" s="18"/>
      <c r="E47" s="18"/>
      <c r="F47" s="19"/>
      <c r="G47" s="20"/>
      <c r="H47" s="21"/>
      <c r="I47" s="22"/>
      <c r="J47" s="22"/>
      <c r="K47" s="22"/>
      <c r="L47" s="23"/>
      <c r="M47" s="24"/>
      <c r="N47" s="25"/>
      <c r="O47" s="24"/>
      <c r="P47" s="24"/>
      <c r="Q47" s="26"/>
      <c r="R47" s="27">
        <f>IF($B47&lt;&gt;"Challan","",SUMIF($C$8:$C$207,$C47,$O$8:$O$207)+SUMIF($C$8:$C$207,$C47,$P$8:$P$207))</f>
      </c>
      <c r="S47" s="27">
        <f>IF(OR($B47&lt;&gt;"Challan",$C47="",G47=0),"",IF(ROUND(G47-R47,2)=0,"Matches","Check Entries"))</f>
      </c>
    </row>
    <row r="48" spans="1:19" x14ac:dyDescent="0.25">
      <c r="A48" s="15">
        <f>IF($B48="Entry",COUNTIF($B$8:$B48,"Entry"),"")</f>
      </c>
      <c r="B48" s="16"/>
      <c r="C48" s="17"/>
      <c r="D48" s="18"/>
      <c r="E48" s="18"/>
      <c r="F48" s="19"/>
      <c r="G48" s="20"/>
      <c r="H48" s="21"/>
      <c r="I48" s="22"/>
      <c r="J48" s="22"/>
      <c r="K48" s="22"/>
      <c r="L48" s="23"/>
      <c r="M48" s="24"/>
      <c r="N48" s="25"/>
      <c r="O48" s="24"/>
      <c r="P48" s="24"/>
      <c r="Q48" s="26"/>
      <c r="R48" s="27">
        <f>IF($B48&lt;&gt;"Challan","",SUMIF($C$8:$C$207,$C48,$O$8:$O$207)+SUMIF($C$8:$C$207,$C48,$P$8:$P$207))</f>
      </c>
      <c r="S48" s="27">
        <f>IF(OR($B48&lt;&gt;"Challan",$C48="",G48=0),"",IF(ROUND(G48-R48,2)=0,"Matches","Check Entries"))</f>
      </c>
    </row>
    <row r="49" spans="1:19" x14ac:dyDescent="0.25">
      <c r="A49" s="15">
        <f>IF($B49="Entry",COUNTIF($B$8:$B49,"Entry"),"")</f>
      </c>
      <c r="B49" s="16"/>
      <c r="C49" s="17"/>
      <c r="D49" s="18"/>
      <c r="E49" s="18"/>
      <c r="F49" s="19"/>
      <c r="G49" s="20"/>
      <c r="H49" s="21"/>
      <c r="I49" s="22"/>
      <c r="J49" s="22"/>
      <c r="K49" s="22"/>
      <c r="L49" s="23"/>
      <c r="M49" s="24"/>
      <c r="N49" s="25"/>
      <c r="O49" s="24"/>
      <c r="P49" s="24"/>
      <c r="Q49" s="26"/>
      <c r="R49" s="27">
        <f>IF($B49&lt;&gt;"Challan","",SUMIF($C$8:$C$207,$C49,$O$8:$O$207)+SUMIF($C$8:$C$207,$C49,$P$8:$P$207))</f>
      </c>
      <c r="S49" s="27">
        <f>IF(OR($B49&lt;&gt;"Challan",$C49="",G49=0),"",IF(ROUND(G49-R49,2)=0,"Matches","Check Entries"))</f>
      </c>
    </row>
    <row r="50" spans="1:19" x14ac:dyDescent="0.25">
      <c r="A50" s="15">
        <f>IF($B50="Entry",COUNTIF($B$8:$B50,"Entry"),"")</f>
      </c>
      <c r="B50" s="16"/>
      <c r="C50" s="17"/>
      <c r="D50" s="18"/>
      <c r="E50" s="18"/>
      <c r="F50" s="19"/>
      <c r="G50" s="20"/>
      <c r="H50" s="21"/>
      <c r="I50" s="22"/>
      <c r="J50" s="22"/>
      <c r="K50" s="22"/>
      <c r="L50" s="23"/>
      <c r="M50" s="24"/>
      <c r="N50" s="25"/>
      <c r="O50" s="24"/>
      <c r="P50" s="24"/>
      <c r="Q50" s="26"/>
      <c r="R50" s="27">
        <f>IF($B50&lt;&gt;"Challan","",SUMIF($C$8:$C$207,$C50,$O$8:$O$207)+SUMIF($C$8:$C$207,$C50,$P$8:$P$207))</f>
      </c>
      <c r="S50" s="27">
        <f>IF(OR($B50&lt;&gt;"Challan",$C50="",G50=0),"",IF(ROUND(G50-R50,2)=0,"Matches","Check Entries"))</f>
      </c>
    </row>
    <row r="51" spans="1:19" x14ac:dyDescent="0.25">
      <c r="A51" s="15">
        <f>IF($B51="Entry",COUNTIF($B$8:$B51,"Entry"),"")</f>
      </c>
      <c r="B51" s="16"/>
      <c r="C51" s="17"/>
      <c r="D51" s="18"/>
      <c r="E51" s="18"/>
      <c r="F51" s="19"/>
      <c r="G51" s="20"/>
      <c r="H51" s="21"/>
      <c r="I51" s="22"/>
      <c r="J51" s="22"/>
      <c r="K51" s="22"/>
      <c r="L51" s="23"/>
      <c r="M51" s="24"/>
      <c r="N51" s="25"/>
      <c r="O51" s="24"/>
      <c r="P51" s="24"/>
      <c r="Q51" s="26"/>
      <c r="R51" s="27">
        <f>IF($B51&lt;&gt;"Challan","",SUMIF($C$8:$C$207,$C51,$O$8:$O$207)+SUMIF($C$8:$C$207,$C51,$P$8:$P$207))</f>
      </c>
      <c r="S51" s="27">
        <f>IF(OR($B51&lt;&gt;"Challan",$C51="",G51=0),"",IF(ROUND(G51-R51,2)=0,"Matches","Check Entries"))</f>
      </c>
    </row>
    <row r="52" spans="1:19" x14ac:dyDescent="0.25">
      <c r="A52" s="15">
        <f>IF($B52="Entry",COUNTIF($B$8:$B52,"Entry"),"")</f>
      </c>
      <c r="B52" s="16"/>
      <c r="C52" s="17"/>
      <c r="D52" s="18"/>
      <c r="E52" s="18"/>
      <c r="F52" s="19"/>
      <c r="G52" s="20"/>
      <c r="H52" s="21"/>
      <c r="I52" s="22"/>
      <c r="J52" s="22"/>
      <c r="K52" s="22"/>
      <c r="L52" s="23"/>
      <c r="M52" s="24"/>
      <c r="N52" s="25"/>
      <c r="O52" s="24"/>
      <c r="P52" s="24"/>
      <c r="Q52" s="26"/>
      <c r="R52" s="27">
        <f>IF($B52&lt;&gt;"Challan","",SUMIF($C$8:$C$207,$C52,$O$8:$O$207)+SUMIF($C$8:$C$207,$C52,$P$8:$P$207))</f>
      </c>
      <c r="S52" s="27">
        <f>IF(OR($B52&lt;&gt;"Challan",$C52="",G52=0),"",IF(ROUND(G52-R52,2)=0,"Matches","Check Entries"))</f>
      </c>
    </row>
    <row r="53" spans="1:19" x14ac:dyDescent="0.25">
      <c r="A53" s="15">
        <f>IF($B53="Entry",COUNTIF($B$8:$B53,"Entry"),"")</f>
      </c>
      <c r="B53" s="16"/>
      <c r="C53" s="17"/>
      <c r="D53" s="18"/>
      <c r="E53" s="18"/>
      <c r="F53" s="19"/>
      <c r="G53" s="20"/>
      <c r="H53" s="21"/>
      <c r="I53" s="22"/>
      <c r="J53" s="22"/>
      <c r="K53" s="22"/>
      <c r="L53" s="23"/>
      <c r="M53" s="24"/>
      <c r="N53" s="25"/>
      <c r="O53" s="24"/>
      <c r="P53" s="24"/>
      <c r="Q53" s="26"/>
      <c r="R53" s="27">
        <f>IF($B53&lt;&gt;"Challan","",SUMIF($C$8:$C$207,$C53,$O$8:$O$207)+SUMIF($C$8:$C$207,$C53,$P$8:$P$207))</f>
      </c>
      <c r="S53" s="27">
        <f>IF(OR($B53&lt;&gt;"Challan",$C53="",G53=0),"",IF(ROUND(G53-R53,2)=0,"Matches","Check Entries"))</f>
      </c>
    </row>
    <row r="54" spans="1:19" x14ac:dyDescent="0.25">
      <c r="A54" s="15">
        <f>IF($B54="Entry",COUNTIF($B$8:$B54,"Entry"),"")</f>
      </c>
      <c r="B54" s="16"/>
      <c r="C54" s="17"/>
      <c r="D54" s="18"/>
      <c r="E54" s="18"/>
      <c r="F54" s="19"/>
      <c r="G54" s="20"/>
      <c r="H54" s="21"/>
      <c r="I54" s="22"/>
      <c r="J54" s="22"/>
      <c r="K54" s="22"/>
      <c r="L54" s="23"/>
      <c r="M54" s="24"/>
      <c r="N54" s="25"/>
      <c r="O54" s="24"/>
      <c r="P54" s="24"/>
      <c r="Q54" s="26"/>
      <c r="R54" s="27">
        <f>IF($B54&lt;&gt;"Challan","",SUMIF($C$8:$C$207,$C54,$O$8:$O$207)+SUMIF($C$8:$C$207,$C54,$P$8:$P$207))</f>
      </c>
      <c r="S54" s="27">
        <f>IF(OR($B54&lt;&gt;"Challan",$C54="",G54=0),"",IF(ROUND(G54-R54,2)=0,"Matches","Check Entries"))</f>
      </c>
    </row>
    <row r="55" spans="1:19" x14ac:dyDescent="0.25">
      <c r="A55" s="15">
        <f>IF($B55="Entry",COUNTIF($B$8:$B55,"Entry"),"")</f>
      </c>
      <c r="B55" s="16"/>
      <c r="C55" s="17"/>
      <c r="D55" s="18"/>
      <c r="E55" s="18"/>
      <c r="F55" s="19"/>
      <c r="G55" s="20"/>
      <c r="H55" s="21"/>
      <c r="I55" s="22"/>
      <c r="J55" s="22"/>
      <c r="K55" s="22"/>
      <c r="L55" s="23"/>
      <c r="M55" s="24"/>
      <c r="N55" s="25"/>
      <c r="O55" s="24"/>
      <c r="P55" s="24"/>
      <c r="Q55" s="26"/>
      <c r="R55" s="27">
        <f>IF($B55&lt;&gt;"Challan","",SUMIF($C$8:$C$207,$C55,$O$8:$O$207)+SUMIF($C$8:$C$207,$C55,$P$8:$P$207))</f>
      </c>
      <c r="S55" s="27">
        <f>IF(OR($B55&lt;&gt;"Challan",$C55="",G55=0),"",IF(ROUND(G55-R55,2)=0,"Matches","Check Entries"))</f>
      </c>
    </row>
    <row r="56" spans="1:19" x14ac:dyDescent="0.25">
      <c r="A56" s="15">
        <f>IF($B56="Entry",COUNTIF($B$8:$B56,"Entry"),"")</f>
      </c>
      <c r="B56" s="16"/>
      <c r="C56" s="17"/>
      <c r="D56" s="18"/>
      <c r="E56" s="18"/>
      <c r="F56" s="19"/>
      <c r="G56" s="20"/>
      <c r="H56" s="21"/>
      <c r="I56" s="22"/>
      <c r="J56" s="22"/>
      <c r="K56" s="22"/>
      <c r="L56" s="23"/>
      <c r="M56" s="24"/>
      <c r="N56" s="25"/>
      <c r="O56" s="24"/>
      <c r="P56" s="24"/>
      <c r="Q56" s="26"/>
      <c r="R56" s="27">
        <f>IF($B56&lt;&gt;"Challan","",SUMIF($C$8:$C$207,$C56,$O$8:$O$207)+SUMIF($C$8:$C$207,$C56,$P$8:$P$207))</f>
      </c>
      <c r="S56" s="27">
        <f>IF(OR($B56&lt;&gt;"Challan",$C56="",G56=0),"",IF(ROUND(G56-R56,2)=0,"Matches","Check Entries"))</f>
      </c>
    </row>
    <row r="57" spans="1:19" x14ac:dyDescent="0.25">
      <c r="A57" s="15">
        <f>IF($B57="Entry",COUNTIF($B$8:$B57,"Entry"),"")</f>
      </c>
      <c r="B57" s="16"/>
      <c r="C57" s="17"/>
      <c r="D57" s="18"/>
      <c r="E57" s="18"/>
      <c r="F57" s="19"/>
      <c r="G57" s="20"/>
      <c r="H57" s="21"/>
      <c r="I57" s="22"/>
      <c r="J57" s="22"/>
      <c r="K57" s="22"/>
      <c r="L57" s="23"/>
      <c r="M57" s="24"/>
      <c r="N57" s="25"/>
      <c r="O57" s="24"/>
      <c r="P57" s="24"/>
      <c r="Q57" s="26"/>
      <c r="R57" s="27">
        <f>IF($B57&lt;&gt;"Challan","",SUMIF($C$8:$C$207,$C57,$O$8:$O$207)+SUMIF($C$8:$C$207,$C57,$P$8:$P$207))</f>
      </c>
      <c r="S57" s="27">
        <f>IF(OR($B57&lt;&gt;"Challan",$C57="",G57=0),"",IF(ROUND(G57-R57,2)=0,"Matches","Check Entries"))</f>
      </c>
    </row>
    <row r="58" spans="1:19" x14ac:dyDescent="0.25">
      <c r="A58" s="15">
        <f>IF($B58="Entry",COUNTIF($B$8:$B58,"Entry"),"")</f>
      </c>
      <c r="B58" s="16"/>
      <c r="C58" s="17"/>
      <c r="D58" s="18"/>
      <c r="E58" s="18"/>
      <c r="F58" s="19"/>
      <c r="G58" s="20"/>
      <c r="H58" s="21"/>
      <c r="I58" s="22"/>
      <c r="J58" s="22"/>
      <c r="K58" s="22"/>
      <c r="L58" s="23"/>
      <c r="M58" s="24"/>
      <c r="N58" s="25"/>
      <c r="O58" s="24"/>
      <c r="P58" s="24"/>
      <c r="Q58" s="26"/>
      <c r="R58" s="27">
        <f>IF($B58&lt;&gt;"Challan","",SUMIF($C$8:$C$207,$C58,$O$8:$O$207)+SUMIF($C$8:$C$207,$C58,$P$8:$P$207))</f>
      </c>
      <c r="S58" s="27">
        <f>IF(OR($B58&lt;&gt;"Challan",$C58="",G58=0),"",IF(ROUND(G58-R58,2)=0,"Matches","Check Entries"))</f>
      </c>
    </row>
    <row r="59" spans="1:19" x14ac:dyDescent="0.25">
      <c r="A59" s="15">
        <f>IF($B59="Entry",COUNTIF($B$8:$B59,"Entry"),"")</f>
      </c>
      <c r="B59" s="16"/>
      <c r="C59" s="17"/>
      <c r="D59" s="18"/>
      <c r="E59" s="18"/>
      <c r="F59" s="19"/>
      <c r="G59" s="20"/>
      <c r="H59" s="21"/>
      <c r="I59" s="22"/>
      <c r="J59" s="22"/>
      <c r="K59" s="22"/>
      <c r="L59" s="23"/>
      <c r="M59" s="24"/>
      <c r="N59" s="25"/>
      <c r="O59" s="24"/>
      <c r="P59" s="24"/>
      <c r="Q59" s="26"/>
      <c r="R59" s="27">
        <f>IF($B59&lt;&gt;"Challan","",SUMIF($C$8:$C$207,$C59,$O$8:$O$207)+SUMIF($C$8:$C$207,$C59,$P$8:$P$207))</f>
      </c>
      <c r="S59" s="27">
        <f>IF(OR($B59&lt;&gt;"Challan",$C59="",G59=0),"",IF(ROUND(G59-R59,2)=0,"Matches","Check Entries"))</f>
      </c>
    </row>
    <row r="60" spans="1:19" x14ac:dyDescent="0.25">
      <c r="A60" s="15">
        <f>IF($B60="Entry",COUNTIF($B$8:$B60,"Entry"),"")</f>
      </c>
      <c r="B60" s="16"/>
      <c r="C60" s="17"/>
      <c r="D60" s="18"/>
      <c r="E60" s="18"/>
      <c r="F60" s="19"/>
      <c r="G60" s="20"/>
      <c r="H60" s="21"/>
      <c r="I60" s="22"/>
      <c r="J60" s="22"/>
      <c r="K60" s="22"/>
      <c r="L60" s="23"/>
      <c r="M60" s="24"/>
      <c r="N60" s="25"/>
      <c r="O60" s="24"/>
      <c r="P60" s="24"/>
      <c r="Q60" s="26"/>
      <c r="R60" s="27">
        <f>IF($B60&lt;&gt;"Challan","",SUMIF($C$8:$C$207,$C60,$O$8:$O$207)+SUMIF($C$8:$C$207,$C60,$P$8:$P$207))</f>
      </c>
      <c r="S60" s="27">
        <f>IF(OR($B60&lt;&gt;"Challan",$C60="",G60=0),"",IF(ROUND(G60-R60,2)=0,"Matches","Check Entries"))</f>
      </c>
    </row>
    <row r="61" spans="1:19" x14ac:dyDescent="0.25">
      <c r="A61" s="15">
        <f>IF($B61="Entry",COUNTIF($B$8:$B61,"Entry"),"")</f>
      </c>
      <c r="B61" s="16"/>
      <c r="C61" s="17"/>
      <c r="D61" s="18"/>
      <c r="E61" s="18"/>
      <c r="F61" s="19"/>
      <c r="G61" s="20"/>
      <c r="H61" s="21"/>
      <c r="I61" s="22"/>
      <c r="J61" s="22"/>
      <c r="K61" s="22"/>
      <c r="L61" s="23"/>
      <c r="M61" s="24"/>
      <c r="N61" s="25"/>
      <c r="O61" s="24"/>
      <c r="P61" s="24"/>
      <c r="Q61" s="26"/>
      <c r="R61" s="27">
        <f>IF($B61&lt;&gt;"Challan","",SUMIF($C$8:$C$207,$C61,$O$8:$O$207)+SUMIF($C$8:$C$207,$C61,$P$8:$P$207))</f>
      </c>
      <c r="S61" s="27">
        <f>IF(OR($B61&lt;&gt;"Challan",$C61="",G61=0),"",IF(ROUND(G61-R61,2)=0,"Matches","Check Entries"))</f>
      </c>
    </row>
    <row r="62" spans="1:19" x14ac:dyDescent="0.25">
      <c r="A62" s="15">
        <f>IF($B62="Entry",COUNTIF($B$8:$B62,"Entry"),"")</f>
      </c>
      <c r="B62" s="16"/>
      <c r="C62" s="17"/>
      <c r="D62" s="18"/>
      <c r="E62" s="18"/>
      <c r="F62" s="19"/>
      <c r="G62" s="20"/>
      <c r="H62" s="21"/>
      <c r="I62" s="22"/>
      <c r="J62" s="22"/>
      <c r="K62" s="22"/>
      <c r="L62" s="23"/>
      <c r="M62" s="24"/>
      <c r="N62" s="25"/>
      <c r="O62" s="24"/>
      <c r="P62" s="24"/>
      <c r="Q62" s="26"/>
      <c r="R62" s="27">
        <f>IF($B62&lt;&gt;"Challan","",SUMIF($C$8:$C$207,$C62,$O$8:$O$207)+SUMIF($C$8:$C$207,$C62,$P$8:$P$207))</f>
      </c>
      <c r="S62" s="27">
        <f>IF(OR($B62&lt;&gt;"Challan",$C62="",G62=0),"",IF(ROUND(G62-R62,2)=0,"Matches","Check Entries"))</f>
      </c>
    </row>
    <row r="63" spans="1:19" x14ac:dyDescent="0.25">
      <c r="A63" s="15">
        <f>IF($B63="Entry",COUNTIF($B$8:$B63,"Entry"),"")</f>
      </c>
      <c r="B63" s="16"/>
      <c r="C63" s="17"/>
      <c r="D63" s="18"/>
      <c r="E63" s="18"/>
      <c r="F63" s="19"/>
      <c r="G63" s="20"/>
      <c r="H63" s="21"/>
      <c r="I63" s="22"/>
      <c r="J63" s="22"/>
      <c r="K63" s="22"/>
      <c r="L63" s="23"/>
      <c r="M63" s="24"/>
      <c r="N63" s="25"/>
      <c r="O63" s="24"/>
      <c r="P63" s="24"/>
      <c r="Q63" s="26"/>
      <c r="R63" s="27">
        <f>IF($B63&lt;&gt;"Challan","",SUMIF($C$8:$C$207,$C63,$O$8:$O$207)+SUMIF($C$8:$C$207,$C63,$P$8:$P$207))</f>
      </c>
      <c r="S63" s="27">
        <f>IF(OR($B63&lt;&gt;"Challan",$C63="",G63=0),"",IF(ROUND(G63-R63,2)=0,"Matches","Check Entries"))</f>
      </c>
    </row>
    <row r="64" spans="1:19" x14ac:dyDescent="0.25">
      <c r="A64" s="15">
        <f>IF($B64="Entry",COUNTIF($B$8:$B64,"Entry"),"")</f>
      </c>
      <c r="B64" s="16"/>
      <c r="C64" s="17"/>
      <c r="D64" s="18"/>
      <c r="E64" s="18"/>
      <c r="F64" s="19"/>
      <c r="G64" s="20"/>
      <c r="H64" s="21"/>
      <c r="I64" s="22"/>
      <c r="J64" s="22"/>
      <c r="K64" s="22"/>
      <c r="L64" s="23"/>
      <c r="M64" s="24"/>
      <c r="N64" s="25"/>
      <c r="O64" s="24"/>
      <c r="P64" s="24"/>
      <c r="Q64" s="26"/>
      <c r="R64" s="27">
        <f>IF($B64&lt;&gt;"Challan","",SUMIF($C$8:$C$207,$C64,$O$8:$O$207)+SUMIF($C$8:$C$207,$C64,$P$8:$P$207))</f>
      </c>
      <c r="S64" s="27">
        <f>IF(OR($B64&lt;&gt;"Challan",$C64="",G64=0),"",IF(ROUND(G64-R64,2)=0,"Matches","Check Entries"))</f>
      </c>
    </row>
    <row r="65" spans="1:19" x14ac:dyDescent="0.25">
      <c r="A65" s="15">
        <f>IF($B65="Entry",COUNTIF($B$8:$B65,"Entry"),"")</f>
      </c>
      <c r="B65" s="16"/>
      <c r="C65" s="17"/>
      <c r="D65" s="18"/>
      <c r="E65" s="18"/>
      <c r="F65" s="19"/>
      <c r="G65" s="20"/>
      <c r="H65" s="21"/>
      <c r="I65" s="22"/>
      <c r="J65" s="22"/>
      <c r="K65" s="22"/>
      <c r="L65" s="23"/>
      <c r="M65" s="24"/>
      <c r="N65" s="25"/>
      <c r="O65" s="24"/>
      <c r="P65" s="24"/>
      <c r="Q65" s="26"/>
      <c r="R65" s="27">
        <f>IF($B65&lt;&gt;"Challan","",SUMIF($C$8:$C$207,$C65,$O$8:$O$207)+SUMIF($C$8:$C$207,$C65,$P$8:$P$207))</f>
      </c>
      <c r="S65" s="27">
        <f>IF(OR($B65&lt;&gt;"Challan",$C65="",G65=0),"",IF(ROUND(G65-R65,2)=0,"Matches","Check Entries"))</f>
      </c>
    </row>
    <row r="66" spans="1:19" x14ac:dyDescent="0.25">
      <c r="A66" s="15">
        <f>IF($B66="Entry",COUNTIF($B$8:$B66,"Entry"),"")</f>
      </c>
      <c r="B66" s="16"/>
      <c r="C66" s="17"/>
      <c r="D66" s="18"/>
      <c r="E66" s="18"/>
      <c r="F66" s="19"/>
      <c r="G66" s="20"/>
      <c r="H66" s="21"/>
      <c r="I66" s="22"/>
      <c r="J66" s="22"/>
      <c r="K66" s="22"/>
      <c r="L66" s="23"/>
      <c r="M66" s="24"/>
      <c r="N66" s="25"/>
      <c r="O66" s="24"/>
      <c r="P66" s="24"/>
      <c r="Q66" s="26"/>
      <c r="R66" s="27">
        <f>IF($B66&lt;&gt;"Challan","",SUMIF($C$8:$C$207,$C66,$O$8:$O$207)+SUMIF($C$8:$C$207,$C66,$P$8:$P$207))</f>
      </c>
      <c r="S66" s="27">
        <f>IF(OR($B66&lt;&gt;"Challan",$C66="",G66=0),"",IF(ROUND(G66-R66,2)=0,"Matches","Check Entries"))</f>
      </c>
    </row>
    <row r="67" spans="1:19" x14ac:dyDescent="0.25">
      <c r="A67" s="15">
        <f>IF($B67="Entry",COUNTIF($B$8:$B67,"Entry"),"")</f>
      </c>
      <c r="B67" s="16"/>
      <c r="C67" s="17"/>
      <c r="D67" s="18"/>
      <c r="E67" s="18"/>
      <c r="F67" s="19"/>
      <c r="G67" s="20"/>
      <c r="H67" s="21"/>
      <c r="I67" s="22"/>
      <c r="J67" s="22"/>
      <c r="K67" s="22"/>
      <c r="L67" s="23"/>
      <c r="M67" s="24"/>
      <c r="N67" s="25"/>
      <c r="O67" s="24"/>
      <c r="P67" s="24"/>
      <c r="Q67" s="26"/>
      <c r="R67" s="27">
        <f>IF($B67&lt;&gt;"Challan","",SUMIF($C$8:$C$207,$C67,$O$8:$O$207)+SUMIF($C$8:$C$207,$C67,$P$8:$P$207))</f>
      </c>
      <c r="S67" s="27">
        <f>IF(OR($B67&lt;&gt;"Challan",$C67="",G67=0),"",IF(ROUND(G67-R67,2)=0,"Matches","Check Entries"))</f>
      </c>
    </row>
    <row r="68" spans="1:19" x14ac:dyDescent="0.25">
      <c r="A68" s="15">
        <f>IF($B68="Entry",COUNTIF($B$8:$B68,"Entry"),"")</f>
      </c>
      <c r="B68" s="16"/>
      <c r="C68" s="17"/>
      <c r="D68" s="18"/>
      <c r="E68" s="18"/>
      <c r="F68" s="19"/>
      <c r="G68" s="20"/>
      <c r="H68" s="21"/>
      <c r="I68" s="22"/>
      <c r="J68" s="22"/>
      <c r="K68" s="22"/>
      <c r="L68" s="23"/>
      <c r="M68" s="24"/>
      <c r="N68" s="25"/>
      <c r="O68" s="24"/>
      <c r="P68" s="24"/>
      <c r="Q68" s="26"/>
      <c r="R68" s="27">
        <f>IF($B68&lt;&gt;"Challan","",SUMIF($C$8:$C$207,$C68,$O$8:$O$207)+SUMIF($C$8:$C$207,$C68,$P$8:$P$207))</f>
      </c>
      <c r="S68" s="27">
        <f>IF(OR($B68&lt;&gt;"Challan",$C68="",G68=0),"",IF(ROUND(G68-R68,2)=0,"Matches","Check Entries"))</f>
      </c>
    </row>
    <row r="69" spans="1:19" x14ac:dyDescent="0.25">
      <c r="A69" s="15">
        <f>IF($B69="Entry",COUNTIF($B$8:$B69,"Entry"),"")</f>
      </c>
      <c r="B69" s="16"/>
      <c r="C69" s="17"/>
      <c r="D69" s="18"/>
      <c r="E69" s="18"/>
      <c r="F69" s="19"/>
      <c r="G69" s="20"/>
      <c r="H69" s="21"/>
      <c r="I69" s="22"/>
      <c r="J69" s="22"/>
      <c r="K69" s="22"/>
      <c r="L69" s="23"/>
      <c r="M69" s="24"/>
      <c r="N69" s="25"/>
      <c r="O69" s="24"/>
      <c r="P69" s="24"/>
      <c r="Q69" s="26"/>
      <c r="R69" s="27">
        <f>IF($B69&lt;&gt;"Challan","",SUMIF($C$8:$C$207,$C69,$O$8:$O$207)+SUMIF($C$8:$C$207,$C69,$P$8:$P$207))</f>
      </c>
      <c r="S69" s="27">
        <f>IF(OR($B69&lt;&gt;"Challan",$C69="",G69=0),"",IF(ROUND(G69-R69,2)=0,"Matches","Check Entries"))</f>
      </c>
    </row>
    <row r="70" spans="1:19" x14ac:dyDescent="0.25">
      <c r="A70" s="15">
        <f>IF($B70="Entry",COUNTIF($B$8:$B70,"Entry"),"")</f>
      </c>
      <c r="B70" s="16"/>
      <c r="C70" s="17"/>
      <c r="D70" s="18"/>
      <c r="E70" s="18"/>
      <c r="F70" s="19"/>
      <c r="G70" s="20"/>
      <c r="H70" s="21"/>
      <c r="I70" s="22"/>
      <c r="J70" s="22"/>
      <c r="K70" s="22"/>
      <c r="L70" s="23"/>
      <c r="M70" s="24"/>
      <c r="N70" s="25"/>
      <c r="O70" s="24"/>
      <c r="P70" s="24"/>
      <c r="Q70" s="26"/>
      <c r="R70" s="27">
        <f>IF($B70&lt;&gt;"Challan","",SUMIF($C$8:$C$207,$C70,$O$8:$O$207)+SUMIF($C$8:$C$207,$C70,$P$8:$P$207))</f>
      </c>
      <c r="S70" s="27">
        <f>IF(OR($B70&lt;&gt;"Challan",$C70="",G70=0),"",IF(ROUND(G70-R70,2)=0,"Matches","Check Entries"))</f>
      </c>
    </row>
    <row r="71" spans="1:19" x14ac:dyDescent="0.25">
      <c r="A71" s="15">
        <f>IF($B71="Entry",COUNTIF($B$8:$B71,"Entry"),"")</f>
      </c>
      <c r="B71" s="16"/>
      <c r="C71" s="17"/>
      <c r="D71" s="18"/>
      <c r="E71" s="18"/>
      <c r="F71" s="19"/>
      <c r="G71" s="20"/>
      <c r="H71" s="21"/>
      <c r="I71" s="22"/>
      <c r="J71" s="22"/>
      <c r="K71" s="22"/>
      <c r="L71" s="23"/>
      <c r="M71" s="24"/>
      <c r="N71" s="25"/>
      <c r="O71" s="24"/>
      <c r="P71" s="24"/>
      <c r="Q71" s="26"/>
      <c r="R71" s="27">
        <f>IF($B71&lt;&gt;"Challan","",SUMIF($C$8:$C$207,$C71,$O$8:$O$207)+SUMIF($C$8:$C$207,$C71,$P$8:$P$207))</f>
      </c>
      <c r="S71" s="27">
        <f>IF(OR($B71&lt;&gt;"Challan",$C71="",G71=0),"",IF(ROUND(G71-R71,2)=0,"Matches","Check Entries"))</f>
      </c>
    </row>
    <row r="72" spans="1:19" x14ac:dyDescent="0.25">
      <c r="A72" s="15">
        <f>IF($B72="Entry",COUNTIF($B$8:$B72,"Entry"),"")</f>
      </c>
      <c r="B72" s="16"/>
      <c r="C72" s="17"/>
      <c r="D72" s="18"/>
      <c r="E72" s="18"/>
      <c r="F72" s="19"/>
      <c r="G72" s="20"/>
      <c r="H72" s="21"/>
      <c r="I72" s="22"/>
      <c r="J72" s="22"/>
      <c r="K72" s="22"/>
      <c r="L72" s="23"/>
      <c r="M72" s="24"/>
      <c r="N72" s="25"/>
      <c r="O72" s="24"/>
      <c r="P72" s="24"/>
      <c r="Q72" s="26"/>
      <c r="R72" s="27">
        <f>IF($B72&lt;&gt;"Challan","",SUMIF($C$8:$C$207,$C72,$O$8:$O$207)+SUMIF($C$8:$C$207,$C72,$P$8:$P$207))</f>
      </c>
      <c r="S72" s="27">
        <f>IF(OR($B72&lt;&gt;"Challan",$C72="",G72=0),"",IF(ROUND(G72-R72,2)=0,"Matches","Check Entries"))</f>
      </c>
    </row>
    <row r="73" spans="1:19" x14ac:dyDescent="0.25">
      <c r="A73" s="15">
        <f>IF($B73="Entry",COUNTIF($B$8:$B73,"Entry"),"")</f>
      </c>
      <c r="B73" s="16"/>
      <c r="C73" s="17"/>
      <c r="D73" s="18"/>
      <c r="E73" s="18"/>
      <c r="F73" s="19"/>
      <c r="G73" s="20"/>
      <c r="H73" s="21"/>
      <c r="I73" s="22"/>
      <c r="J73" s="22"/>
      <c r="K73" s="22"/>
      <c r="L73" s="23"/>
      <c r="M73" s="24"/>
      <c r="N73" s="25"/>
      <c r="O73" s="24"/>
      <c r="P73" s="24"/>
      <c r="Q73" s="26"/>
      <c r="R73" s="27">
        <f>IF($B73&lt;&gt;"Challan","",SUMIF($C$8:$C$207,$C73,$O$8:$O$207)+SUMIF($C$8:$C$207,$C73,$P$8:$P$207))</f>
      </c>
      <c r="S73" s="27">
        <f>IF(OR($B73&lt;&gt;"Challan",$C73="",G73=0),"",IF(ROUND(G73-R73,2)=0,"Matches","Check Entries"))</f>
      </c>
    </row>
    <row r="74" spans="1:19" x14ac:dyDescent="0.25">
      <c r="A74" s="15">
        <f>IF($B74="Entry",COUNTIF($B$8:$B74,"Entry"),"")</f>
      </c>
      <c r="B74" s="16"/>
      <c r="C74" s="17"/>
      <c r="D74" s="18"/>
      <c r="E74" s="18"/>
      <c r="F74" s="19"/>
      <c r="G74" s="20"/>
      <c r="H74" s="21"/>
      <c r="I74" s="22"/>
      <c r="J74" s="22"/>
      <c r="K74" s="22"/>
      <c r="L74" s="23"/>
      <c r="M74" s="24"/>
      <c r="N74" s="25"/>
      <c r="O74" s="24"/>
      <c r="P74" s="24"/>
      <c r="Q74" s="26"/>
      <c r="R74" s="27">
        <f>IF($B74&lt;&gt;"Challan","",SUMIF($C$8:$C$207,$C74,$O$8:$O$207)+SUMIF($C$8:$C$207,$C74,$P$8:$P$207))</f>
      </c>
      <c r="S74" s="27">
        <f>IF(OR($B74&lt;&gt;"Challan",$C74="",G74=0),"",IF(ROUND(G74-R74,2)=0,"Matches","Check Entries"))</f>
      </c>
    </row>
    <row r="75" spans="1:19" x14ac:dyDescent="0.25">
      <c r="A75" s="15">
        <f>IF($B75="Entry",COUNTIF($B$8:$B75,"Entry"),"")</f>
      </c>
      <c r="B75" s="16"/>
      <c r="C75" s="17"/>
      <c r="D75" s="18"/>
      <c r="E75" s="18"/>
      <c r="F75" s="19"/>
      <c r="G75" s="20"/>
      <c r="H75" s="21"/>
      <c r="I75" s="22"/>
      <c r="J75" s="22"/>
      <c r="K75" s="22"/>
      <c r="L75" s="23"/>
      <c r="M75" s="24"/>
      <c r="N75" s="25"/>
      <c r="O75" s="24"/>
      <c r="P75" s="24"/>
      <c r="Q75" s="26"/>
      <c r="R75" s="27">
        <f>IF($B75&lt;&gt;"Challan","",SUMIF($C$8:$C$207,$C75,$O$8:$O$207)+SUMIF($C$8:$C$207,$C75,$P$8:$P$207))</f>
      </c>
      <c r="S75" s="27">
        <f>IF(OR($B75&lt;&gt;"Challan",$C75="",G75=0),"",IF(ROUND(G75-R75,2)=0,"Matches","Check Entries"))</f>
      </c>
    </row>
    <row r="76" spans="1:19" x14ac:dyDescent="0.25">
      <c r="A76" s="15">
        <f>IF($B76="Entry",COUNTIF($B$8:$B76,"Entry"),"")</f>
      </c>
      <c r="B76" s="16"/>
      <c r="C76" s="17"/>
      <c r="D76" s="18"/>
      <c r="E76" s="18"/>
      <c r="F76" s="19"/>
      <c r="G76" s="20"/>
      <c r="H76" s="21"/>
      <c r="I76" s="22"/>
      <c r="J76" s="22"/>
      <c r="K76" s="22"/>
      <c r="L76" s="23"/>
      <c r="M76" s="24"/>
      <c r="N76" s="25"/>
      <c r="O76" s="24"/>
      <c r="P76" s="24"/>
      <c r="Q76" s="26"/>
      <c r="R76" s="27">
        <f>IF($B76&lt;&gt;"Challan","",SUMIF($C$8:$C$207,$C76,$O$8:$O$207)+SUMIF($C$8:$C$207,$C76,$P$8:$P$207))</f>
      </c>
      <c r="S76" s="27">
        <f>IF(OR($B76&lt;&gt;"Challan",$C76="",G76=0),"",IF(ROUND(G76-R76,2)=0,"Matches","Check Entries"))</f>
      </c>
    </row>
    <row r="77" spans="1:19" x14ac:dyDescent="0.25">
      <c r="A77" s="15">
        <f>IF($B77="Entry",COUNTIF($B$8:$B77,"Entry"),"")</f>
      </c>
      <c r="B77" s="16"/>
      <c r="C77" s="17"/>
      <c r="D77" s="18"/>
      <c r="E77" s="18"/>
      <c r="F77" s="19"/>
      <c r="G77" s="20"/>
      <c r="H77" s="21"/>
      <c r="I77" s="22"/>
      <c r="J77" s="22"/>
      <c r="K77" s="22"/>
      <c r="L77" s="23"/>
      <c r="M77" s="24"/>
      <c r="N77" s="25"/>
      <c r="O77" s="24"/>
      <c r="P77" s="24"/>
      <c r="Q77" s="26"/>
      <c r="R77" s="27">
        <f>IF($B77&lt;&gt;"Challan","",SUMIF($C$8:$C$207,$C77,$O$8:$O$207)+SUMIF($C$8:$C$207,$C77,$P$8:$P$207))</f>
      </c>
      <c r="S77" s="27">
        <f>IF(OR($B77&lt;&gt;"Challan",$C77="",G77=0),"",IF(ROUND(G77-R77,2)=0,"Matches","Check Entries"))</f>
      </c>
    </row>
    <row r="78" spans="1:19" x14ac:dyDescent="0.25">
      <c r="A78" s="15">
        <f>IF($B78="Entry",COUNTIF($B$8:$B78,"Entry"),"")</f>
      </c>
      <c r="B78" s="16"/>
      <c r="C78" s="17"/>
      <c r="D78" s="18"/>
      <c r="E78" s="18"/>
      <c r="F78" s="19"/>
      <c r="G78" s="20"/>
      <c r="H78" s="21"/>
      <c r="I78" s="22"/>
      <c r="J78" s="22"/>
      <c r="K78" s="22"/>
      <c r="L78" s="23"/>
      <c r="M78" s="24"/>
      <c r="N78" s="25"/>
      <c r="O78" s="24"/>
      <c r="P78" s="24"/>
      <c r="Q78" s="26"/>
      <c r="R78" s="27">
        <f>IF($B78&lt;&gt;"Challan","",SUMIF($C$8:$C$207,$C78,$O$8:$O$207)+SUMIF($C$8:$C$207,$C78,$P$8:$P$207))</f>
      </c>
      <c r="S78" s="27">
        <f>IF(OR($B78&lt;&gt;"Challan",$C78="",G78=0),"",IF(ROUND(G78-R78,2)=0,"Matches","Check Entries"))</f>
      </c>
    </row>
    <row r="79" spans="1:19" x14ac:dyDescent="0.25">
      <c r="A79" s="15">
        <f>IF($B79="Entry",COUNTIF($B$8:$B79,"Entry"),"")</f>
      </c>
      <c r="B79" s="16"/>
      <c r="C79" s="17"/>
      <c r="D79" s="18"/>
      <c r="E79" s="18"/>
      <c r="F79" s="19"/>
      <c r="G79" s="20"/>
      <c r="H79" s="21"/>
      <c r="I79" s="22"/>
      <c r="J79" s="22"/>
      <c r="K79" s="22"/>
      <c r="L79" s="23"/>
      <c r="M79" s="24"/>
      <c r="N79" s="25"/>
      <c r="O79" s="24"/>
      <c r="P79" s="24"/>
      <c r="Q79" s="26"/>
      <c r="R79" s="27">
        <f>IF($B79&lt;&gt;"Challan","",SUMIF($C$8:$C$207,$C79,$O$8:$O$207)+SUMIF($C$8:$C$207,$C79,$P$8:$P$207))</f>
      </c>
      <c r="S79" s="27">
        <f>IF(OR($B79&lt;&gt;"Challan",$C79="",G79=0),"",IF(ROUND(G79-R79,2)=0,"Matches","Check Entries"))</f>
      </c>
    </row>
    <row r="80" spans="1:19" x14ac:dyDescent="0.25">
      <c r="A80" s="15">
        <f>IF($B80="Entry",COUNTIF($B$8:$B80,"Entry"),"")</f>
      </c>
      <c r="B80" s="16"/>
      <c r="C80" s="17"/>
      <c r="D80" s="18"/>
      <c r="E80" s="18"/>
      <c r="F80" s="19"/>
      <c r="G80" s="20"/>
      <c r="H80" s="21"/>
      <c r="I80" s="22"/>
      <c r="J80" s="22"/>
      <c r="K80" s="22"/>
      <c r="L80" s="23"/>
      <c r="M80" s="24"/>
      <c r="N80" s="25"/>
      <c r="O80" s="24"/>
      <c r="P80" s="24"/>
      <c r="Q80" s="26"/>
      <c r="R80" s="27">
        <f>IF($B80&lt;&gt;"Challan","",SUMIF($C$8:$C$207,$C80,$O$8:$O$207)+SUMIF($C$8:$C$207,$C80,$P$8:$P$207))</f>
      </c>
      <c r="S80" s="27">
        <f>IF(OR($B80&lt;&gt;"Challan",$C80="",G80=0),"",IF(ROUND(G80-R80,2)=0,"Matches","Check Entries"))</f>
      </c>
    </row>
    <row r="81" spans="1:19" x14ac:dyDescent="0.25">
      <c r="A81" s="15">
        <f>IF($B81="Entry",COUNTIF($B$8:$B81,"Entry"),"")</f>
      </c>
      <c r="B81" s="16"/>
      <c r="C81" s="17"/>
      <c r="D81" s="18"/>
      <c r="E81" s="18"/>
      <c r="F81" s="19"/>
      <c r="G81" s="20"/>
      <c r="H81" s="21"/>
      <c r="I81" s="22"/>
      <c r="J81" s="22"/>
      <c r="K81" s="22"/>
      <c r="L81" s="23"/>
      <c r="M81" s="24"/>
      <c r="N81" s="25"/>
      <c r="O81" s="24"/>
      <c r="P81" s="24"/>
      <c r="Q81" s="26"/>
      <c r="R81" s="27">
        <f>IF($B81&lt;&gt;"Challan","",SUMIF($C$8:$C$207,$C81,$O$8:$O$207)+SUMIF($C$8:$C$207,$C81,$P$8:$P$207))</f>
      </c>
      <c r="S81" s="27">
        <f>IF(OR($B81&lt;&gt;"Challan",$C81="",G81=0),"",IF(ROUND(G81-R81,2)=0,"Matches","Check Entries"))</f>
      </c>
    </row>
    <row r="82" spans="1:19" x14ac:dyDescent="0.25">
      <c r="A82" s="15">
        <f>IF($B82="Entry",COUNTIF($B$8:$B82,"Entry"),"")</f>
      </c>
      <c r="B82" s="16"/>
      <c r="C82" s="17"/>
      <c r="D82" s="18"/>
      <c r="E82" s="18"/>
      <c r="F82" s="19"/>
      <c r="G82" s="20"/>
      <c r="H82" s="21"/>
      <c r="I82" s="22"/>
      <c r="J82" s="22"/>
      <c r="K82" s="22"/>
      <c r="L82" s="23"/>
      <c r="M82" s="24"/>
      <c r="N82" s="25"/>
      <c r="O82" s="24"/>
      <c r="P82" s="24"/>
      <c r="Q82" s="26"/>
      <c r="R82" s="27">
        <f>IF($B82&lt;&gt;"Challan","",SUMIF($C$8:$C$207,$C82,$O$8:$O$207)+SUMIF($C$8:$C$207,$C82,$P$8:$P$207))</f>
      </c>
      <c r="S82" s="27">
        <f>IF(OR($B82&lt;&gt;"Challan",$C82="",G82=0),"",IF(ROUND(G82-R82,2)=0,"Matches","Check Entries"))</f>
      </c>
    </row>
    <row r="83" spans="1:19" x14ac:dyDescent="0.25">
      <c r="A83" s="15">
        <f>IF($B83="Entry",COUNTIF($B$8:$B83,"Entry"),"")</f>
      </c>
      <c r="B83" s="16"/>
      <c r="C83" s="17"/>
      <c r="D83" s="18"/>
      <c r="E83" s="18"/>
      <c r="F83" s="19"/>
      <c r="G83" s="20"/>
      <c r="H83" s="21"/>
      <c r="I83" s="22"/>
      <c r="J83" s="22"/>
      <c r="K83" s="22"/>
      <c r="L83" s="23"/>
      <c r="M83" s="24"/>
      <c r="N83" s="25"/>
      <c r="O83" s="24"/>
      <c r="P83" s="24"/>
      <c r="Q83" s="26"/>
      <c r="R83" s="27">
        <f>IF($B83&lt;&gt;"Challan","",SUMIF($C$8:$C$207,$C83,$O$8:$O$207)+SUMIF($C$8:$C$207,$C83,$P$8:$P$207))</f>
      </c>
      <c r="S83" s="27">
        <f>IF(OR($B83&lt;&gt;"Challan",$C83="",G83=0),"",IF(ROUND(G83-R83,2)=0,"Matches","Check Entries"))</f>
      </c>
    </row>
    <row r="84" spans="1:19" x14ac:dyDescent="0.25">
      <c r="A84" s="15">
        <f>IF($B84="Entry",COUNTIF($B$8:$B84,"Entry"),"")</f>
      </c>
      <c r="B84" s="16"/>
      <c r="C84" s="17"/>
      <c r="D84" s="18"/>
      <c r="E84" s="18"/>
      <c r="F84" s="19"/>
      <c r="G84" s="20"/>
      <c r="H84" s="21"/>
      <c r="I84" s="22"/>
      <c r="J84" s="22"/>
      <c r="K84" s="22"/>
      <c r="L84" s="23"/>
      <c r="M84" s="24"/>
      <c r="N84" s="25"/>
      <c r="O84" s="24"/>
      <c r="P84" s="24"/>
      <c r="Q84" s="26"/>
      <c r="R84" s="27">
        <f>IF($B84&lt;&gt;"Challan","",SUMIF($C$8:$C$207,$C84,$O$8:$O$207)+SUMIF($C$8:$C$207,$C84,$P$8:$P$207))</f>
      </c>
      <c r="S84" s="27">
        <f>IF(OR($B84&lt;&gt;"Challan",$C84="",G84=0),"",IF(ROUND(G84-R84,2)=0,"Matches","Check Entries"))</f>
      </c>
    </row>
    <row r="85" spans="1:19" x14ac:dyDescent="0.25">
      <c r="A85" s="15">
        <f>IF($B85="Entry",COUNTIF($B$8:$B85,"Entry"),"")</f>
      </c>
      <c r="B85" s="16"/>
      <c r="C85" s="17"/>
      <c r="D85" s="18"/>
      <c r="E85" s="18"/>
      <c r="F85" s="19"/>
      <c r="G85" s="20"/>
      <c r="H85" s="21"/>
      <c r="I85" s="22"/>
      <c r="J85" s="22"/>
      <c r="K85" s="22"/>
      <c r="L85" s="23"/>
      <c r="M85" s="24"/>
      <c r="N85" s="25"/>
      <c r="O85" s="24"/>
      <c r="P85" s="24"/>
      <c r="Q85" s="26"/>
      <c r="R85" s="27">
        <f>IF($B85&lt;&gt;"Challan","",SUMIF($C$8:$C$207,$C85,$O$8:$O$207)+SUMIF($C$8:$C$207,$C85,$P$8:$P$207))</f>
      </c>
      <c r="S85" s="27">
        <f>IF(OR($B85&lt;&gt;"Challan",$C85="",G85=0),"",IF(ROUND(G85-R85,2)=0,"Matches","Check Entries"))</f>
      </c>
    </row>
    <row r="86" spans="1:19" x14ac:dyDescent="0.25">
      <c r="A86" s="15">
        <f>IF($B86="Entry",COUNTIF($B$8:$B86,"Entry"),"")</f>
      </c>
      <c r="B86" s="16"/>
      <c r="C86" s="17"/>
      <c r="D86" s="18"/>
      <c r="E86" s="18"/>
      <c r="F86" s="19"/>
      <c r="G86" s="20"/>
      <c r="H86" s="21"/>
      <c r="I86" s="22"/>
      <c r="J86" s="22"/>
      <c r="K86" s="22"/>
      <c r="L86" s="23"/>
      <c r="M86" s="24"/>
      <c r="N86" s="25"/>
      <c r="O86" s="24"/>
      <c r="P86" s="24"/>
      <c r="Q86" s="26"/>
      <c r="R86" s="27">
        <f>IF($B86&lt;&gt;"Challan","",SUMIF($C$8:$C$207,$C86,$O$8:$O$207)+SUMIF($C$8:$C$207,$C86,$P$8:$P$207))</f>
      </c>
      <c r="S86" s="27">
        <f>IF(OR($B86&lt;&gt;"Challan",$C86="",G86=0),"",IF(ROUND(G86-R86,2)=0,"Matches","Check Entries"))</f>
      </c>
    </row>
    <row r="87" spans="1:19" x14ac:dyDescent="0.25">
      <c r="A87" s="15">
        <f>IF($B87="Entry",COUNTIF($B$8:$B87,"Entry"),"")</f>
      </c>
      <c r="B87" s="16"/>
      <c r="C87" s="17"/>
      <c r="D87" s="18"/>
      <c r="E87" s="18"/>
      <c r="F87" s="19"/>
      <c r="G87" s="20"/>
      <c r="H87" s="21"/>
      <c r="I87" s="22"/>
      <c r="J87" s="22"/>
      <c r="K87" s="22"/>
      <c r="L87" s="23"/>
      <c r="M87" s="24"/>
      <c r="N87" s="25"/>
      <c r="O87" s="24"/>
      <c r="P87" s="24"/>
      <c r="Q87" s="26"/>
      <c r="R87" s="27">
        <f>IF($B87&lt;&gt;"Challan","",SUMIF($C$8:$C$207,$C87,$O$8:$O$207)+SUMIF($C$8:$C$207,$C87,$P$8:$P$207))</f>
      </c>
      <c r="S87" s="27">
        <f>IF(OR($B87&lt;&gt;"Challan",$C87="",G87=0),"",IF(ROUND(G87-R87,2)=0,"Matches","Check Entries"))</f>
      </c>
    </row>
    <row r="88" spans="1:19" x14ac:dyDescent="0.25">
      <c r="A88" s="15">
        <f>IF($B88="Entry",COUNTIF($B$8:$B88,"Entry"),"")</f>
      </c>
      <c r="B88" s="16"/>
      <c r="C88" s="17"/>
      <c r="D88" s="18"/>
      <c r="E88" s="18"/>
      <c r="F88" s="19"/>
      <c r="G88" s="20"/>
      <c r="H88" s="21"/>
      <c r="I88" s="22"/>
      <c r="J88" s="22"/>
      <c r="K88" s="22"/>
      <c r="L88" s="23"/>
      <c r="M88" s="24"/>
      <c r="N88" s="25"/>
      <c r="O88" s="24"/>
      <c r="P88" s="24"/>
      <c r="Q88" s="26"/>
      <c r="R88" s="27">
        <f>IF($B88&lt;&gt;"Challan","",SUMIF($C$8:$C$207,$C88,$O$8:$O$207)+SUMIF($C$8:$C$207,$C88,$P$8:$P$207))</f>
      </c>
      <c r="S88" s="27">
        <f>IF(OR($B88&lt;&gt;"Challan",$C88="",G88=0),"",IF(ROUND(G88-R88,2)=0,"Matches","Check Entries"))</f>
      </c>
    </row>
    <row r="89" spans="1:19" x14ac:dyDescent="0.25">
      <c r="A89" s="15">
        <f>IF($B89="Entry",COUNTIF($B$8:$B89,"Entry"),"")</f>
      </c>
      <c r="B89" s="16"/>
      <c r="C89" s="17"/>
      <c r="D89" s="18"/>
      <c r="E89" s="18"/>
      <c r="F89" s="19"/>
      <c r="G89" s="20"/>
      <c r="H89" s="21"/>
      <c r="I89" s="22"/>
      <c r="J89" s="22"/>
      <c r="K89" s="22"/>
      <c r="L89" s="23"/>
      <c r="M89" s="24"/>
      <c r="N89" s="25"/>
      <c r="O89" s="24"/>
      <c r="P89" s="24"/>
      <c r="Q89" s="26"/>
      <c r="R89" s="27">
        <f>IF($B89&lt;&gt;"Challan","",SUMIF($C$8:$C$207,$C89,$O$8:$O$207)+SUMIF($C$8:$C$207,$C89,$P$8:$P$207))</f>
      </c>
      <c r="S89" s="27">
        <f>IF(OR($B89&lt;&gt;"Challan",$C89="",G89=0),"",IF(ROUND(G89-R89,2)=0,"Matches","Check Entries"))</f>
      </c>
    </row>
    <row r="90" spans="1:19" x14ac:dyDescent="0.25">
      <c r="A90" s="15">
        <f>IF($B90="Entry",COUNTIF($B$8:$B90,"Entry"),"")</f>
      </c>
      <c r="B90" s="16"/>
      <c r="C90" s="17"/>
      <c r="D90" s="18"/>
      <c r="E90" s="18"/>
      <c r="F90" s="19"/>
      <c r="G90" s="20"/>
      <c r="H90" s="21"/>
      <c r="I90" s="22"/>
      <c r="J90" s="22"/>
      <c r="K90" s="22"/>
      <c r="L90" s="23"/>
      <c r="M90" s="24"/>
      <c r="N90" s="25"/>
      <c r="O90" s="24"/>
      <c r="P90" s="24"/>
      <c r="Q90" s="26"/>
      <c r="R90" s="27">
        <f>IF($B90&lt;&gt;"Challan","",SUMIF($C$8:$C$207,$C90,$O$8:$O$207)+SUMIF($C$8:$C$207,$C90,$P$8:$P$207))</f>
      </c>
      <c r="S90" s="27">
        <f>IF(OR($B90&lt;&gt;"Challan",$C90="",G90=0),"",IF(ROUND(G90-R90,2)=0,"Matches","Check Entries"))</f>
      </c>
    </row>
    <row r="91" spans="1:19" x14ac:dyDescent="0.25">
      <c r="A91" s="15">
        <f>IF($B91="Entry",COUNTIF($B$8:$B91,"Entry"),"")</f>
      </c>
      <c r="B91" s="16"/>
      <c r="C91" s="17"/>
      <c r="D91" s="18"/>
      <c r="E91" s="18"/>
      <c r="F91" s="19"/>
      <c r="G91" s="20"/>
      <c r="H91" s="21"/>
      <c r="I91" s="22"/>
      <c r="J91" s="22"/>
      <c r="K91" s="22"/>
      <c r="L91" s="23"/>
      <c r="M91" s="24"/>
      <c r="N91" s="25"/>
      <c r="O91" s="24"/>
      <c r="P91" s="24"/>
      <c r="Q91" s="26"/>
      <c r="R91" s="27">
        <f>IF($B91&lt;&gt;"Challan","",SUMIF($C$8:$C$207,$C91,$O$8:$O$207)+SUMIF($C$8:$C$207,$C91,$P$8:$P$207))</f>
      </c>
      <c r="S91" s="27">
        <f>IF(OR($B91&lt;&gt;"Challan",$C91="",G91=0),"",IF(ROUND(G91-R91,2)=0,"Matches","Check Entries"))</f>
      </c>
    </row>
    <row r="92" spans="1:19" x14ac:dyDescent="0.25">
      <c r="A92" s="15">
        <f>IF($B92="Entry",COUNTIF($B$8:$B92,"Entry"),"")</f>
      </c>
      <c r="B92" s="16"/>
      <c r="C92" s="17"/>
      <c r="D92" s="18"/>
      <c r="E92" s="18"/>
      <c r="F92" s="19"/>
      <c r="G92" s="20"/>
      <c r="H92" s="21"/>
      <c r="I92" s="22"/>
      <c r="J92" s="22"/>
      <c r="K92" s="22"/>
      <c r="L92" s="23"/>
      <c r="M92" s="24"/>
      <c r="N92" s="25"/>
      <c r="O92" s="24"/>
      <c r="P92" s="24"/>
      <c r="Q92" s="26"/>
      <c r="R92" s="27">
        <f>IF($B92&lt;&gt;"Challan","",SUMIF($C$8:$C$207,$C92,$O$8:$O$207)+SUMIF($C$8:$C$207,$C92,$P$8:$P$207))</f>
      </c>
      <c r="S92" s="27">
        <f>IF(OR($B92&lt;&gt;"Challan",$C92="",G92=0),"",IF(ROUND(G92-R92,2)=0,"Matches","Check Entries"))</f>
      </c>
    </row>
    <row r="93" spans="1:19" x14ac:dyDescent="0.25">
      <c r="A93" s="15">
        <f>IF($B93="Entry",COUNTIF($B$8:$B93,"Entry"),"")</f>
      </c>
      <c r="B93" s="16"/>
      <c r="C93" s="17"/>
      <c r="D93" s="18"/>
      <c r="E93" s="18"/>
      <c r="F93" s="19"/>
      <c r="G93" s="20"/>
      <c r="H93" s="21"/>
      <c r="I93" s="22"/>
      <c r="J93" s="22"/>
      <c r="K93" s="22"/>
      <c r="L93" s="23"/>
      <c r="M93" s="24"/>
      <c r="N93" s="25"/>
      <c r="O93" s="24"/>
      <c r="P93" s="24"/>
      <c r="Q93" s="26"/>
      <c r="R93" s="27">
        <f>IF($B93&lt;&gt;"Challan","",SUMIF($C$8:$C$207,$C93,$O$8:$O$207)+SUMIF($C$8:$C$207,$C93,$P$8:$P$207))</f>
      </c>
      <c r="S93" s="27">
        <f>IF(OR($B93&lt;&gt;"Challan",$C93="",G93=0),"",IF(ROUND(G93-R93,2)=0,"Matches","Check Entries"))</f>
      </c>
    </row>
    <row r="94" spans="1:19" x14ac:dyDescent="0.25">
      <c r="A94" s="15">
        <f>IF($B94="Entry",COUNTIF($B$8:$B94,"Entry"),"")</f>
      </c>
      <c r="B94" s="16"/>
      <c r="C94" s="17"/>
      <c r="D94" s="18"/>
      <c r="E94" s="18"/>
      <c r="F94" s="19"/>
      <c r="G94" s="20"/>
      <c r="H94" s="21"/>
      <c r="I94" s="22"/>
      <c r="J94" s="22"/>
      <c r="K94" s="22"/>
      <c r="L94" s="23"/>
      <c r="M94" s="24"/>
      <c r="N94" s="25"/>
      <c r="O94" s="24"/>
      <c r="P94" s="24"/>
      <c r="Q94" s="26"/>
      <c r="R94" s="27">
        <f>IF($B94&lt;&gt;"Challan","",SUMIF($C$8:$C$207,$C94,$O$8:$O$207)+SUMIF($C$8:$C$207,$C94,$P$8:$P$207))</f>
      </c>
      <c r="S94" s="27">
        <f>IF(OR($B94&lt;&gt;"Challan",$C94="",G94=0),"",IF(ROUND(G94-R94,2)=0,"Matches","Check Entries"))</f>
      </c>
    </row>
    <row r="95" spans="1:19" x14ac:dyDescent="0.25">
      <c r="A95" s="15">
        <f>IF($B95="Entry",COUNTIF($B$8:$B95,"Entry"),"")</f>
      </c>
      <c r="B95" s="16"/>
      <c r="C95" s="17"/>
      <c r="D95" s="18"/>
      <c r="E95" s="18"/>
      <c r="F95" s="19"/>
      <c r="G95" s="20"/>
      <c r="H95" s="21"/>
      <c r="I95" s="22"/>
      <c r="J95" s="22"/>
      <c r="K95" s="22"/>
      <c r="L95" s="23"/>
      <c r="M95" s="24"/>
      <c r="N95" s="25"/>
      <c r="O95" s="24"/>
      <c r="P95" s="24"/>
      <c r="Q95" s="26"/>
      <c r="R95" s="27">
        <f>IF($B95&lt;&gt;"Challan","",SUMIF($C$8:$C$207,$C95,$O$8:$O$207)+SUMIF($C$8:$C$207,$C95,$P$8:$P$207))</f>
      </c>
      <c r="S95" s="27">
        <f>IF(OR($B95&lt;&gt;"Challan",$C95="",G95=0),"",IF(ROUND(G95-R95,2)=0,"Matches","Check Entries"))</f>
      </c>
    </row>
    <row r="96" spans="1:19" x14ac:dyDescent="0.25">
      <c r="A96" s="15">
        <f>IF($B96="Entry",COUNTIF($B$8:$B96,"Entry"),"")</f>
      </c>
      <c r="B96" s="16"/>
      <c r="C96" s="17"/>
      <c r="D96" s="18"/>
      <c r="E96" s="18"/>
      <c r="F96" s="19"/>
      <c r="G96" s="20"/>
      <c r="H96" s="21"/>
      <c r="I96" s="22"/>
      <c r="J96" s="22"/>
      <c r="K96" s="22"/>
      <c r="L96" s="23"/>
      <c r="M96" s="24"/>
      <c r="N96" s="25"/>
      <c r="O96" s="24"/>
      <c r="P96" s="24"/>
      <c r="Q96" s="26"/>
      <c r="R96" s="27">
        <f>IF($B96&lt;&gt;"Challan","",SUMIF($C$8:$C$207,$C96,$O$8:$O$207)+SUMIF($C$8:$C$207,$C96,$P$8:$P$207))</f>
      </c>
      <c r="S96" s="27">
        <f>IF(OR($B96&lt;&gt;"Challan",$C96="",G96=0),"",IF(ROUND(G96-R96,2)=0,"Matches","Check Entries"))</f>
      </c>
    </row>
    <row r="97" spans="1:19" x14ac:dyDescent="0.25">
      <c r="A97" s="15">
        <f>IF($B97="Entry",COUNTIF($B$8:$B97,"Entry"),"")</f>
      </c>
      <c r="B97" s="16"/>
      <c r="C97" s="17"/>
      <c r="D97" s="18"/>
      <c r="E97" s="18"/>
      <c r="F97" s="19"/>
      <c r="G97" s="20"/>
      <c r="H97" s="21"/>
      <c r="I97" s="22"/>
      <c r="J97" s="22"/>
      <c r="K97" s="22"/>
      <c r="L97" s="23"/>
      <c r="M97" s="24"/>
      <c r="N97" s="25"/>
      <c r="O97" s="24"/>
      <c r="P97" s="24"/>
      <c r="Q97" s="26"/>
      <c r="R97" s="27">
        <f>IF($B97&lt;&gt;"Challan","",SUMIF($C$8:$C$207,$C97,$O$8:$O$207)+SUMIF($C$8:$C$207,$C97,$P$8:$P$207))</f>
      </c>
      <c r="S97" s="27">
        <f>IF(OR($B97&lt;&gt;"Challan",$C97="",G97=0),"",IF(ROUND(G97-R97,2)=0,"Matches","Check Entries"))</f>
      </c>
    </row>
    <row r="98" spans="1:19" x14ac:dyDescent="0.25">
      <c r="A98" s="15">
        <f>IF($B98="Entry",COUNTIF($B$8:$B98,"Entry"),"")</f>
      </c>
      <c r="B98" s="16"/>
      <c r="C98" s="17"/>
      <c r="D98" s="18"/>
      <c r="E98" s="18"/>
      <c r="F98" s="19"/>
      <c r="G98" s="20"/>
      <c r="H98" s="21"/>
      <c r="I98" s="22"/>
      <c r="J98" s="22"/>
      <c r="K98" s="22"/>
      <c r="L98" s="23"/>
      <c r="M98" s="24"/>
      <c r="N98" s="25"/>
      <c r="O98" s="24"/>
      <c r="P98" s="24"/>
      <c r="Q98" s="26"/>
      <c r="R98" s="27">
        <f>IF($B98&lt;&gt;"Challan","",SUMIF($C$8:$C$207,$C98,$O$8:$O$207)+SUMIF($C$8:$C$207,$C98,$P$8:$P$207))</f>
      </c>
      <c r="S98" s="27">
        <f>IF(OR($B98&lt;&gt;"Challan",$C98="",G98=0),"",IF(ROUND(G98-R98,2)=0,"Matches","Check Entries"))</f>
      </c>
    </row>
    <row r="99" spans="1:19" x14ac:dyDescent="0.25">
      <c r="A99" s="15">
        <f>IF($B99="Entry",COUNTIF($B$8:$B99,"Entry"),"")</f>
      </c>
      <c r="B99" s="16"/>
      <c r="C99" s="17"/>
      <c r="D99" s="18"/>
      <c r="E99" s="18"/>
      <c r="F99" s="19"/>
      <c r="G99" s="20"/>
      <c r="H99" s="21"/>
      <c r="I99" s="22"/>
      <c r="J99" s="22"/>
      <c r="K99" s="22"/>
      <c r="L99" s="23"/>
      <c r="M99" s="24"/>
      <c r="N99" s="25"/>
      <c r="O99" s="24"/>
      <c r="P99" s="24"/>
      <c r="Q99" s="26"/>
      <c r="R99" s="27">
        <f>IF($B99&lt;&gt;"Challan","",SUMIF($C$8:$C$207,$C99,$O$8:$O$207)+SUMIF($C$8:$C$207,$C99,$P$8:$P$207))</f>
      </c>
      <c r="S99" s="27">
        <f>IF(OR($B99&lt;&gt;"Challan",$C99="",G99=0),"",IF(ROUND(G99-R99,2)=0,"Matches","Check Entries"))</f>
      </c>
    </row>
    <row r="100" spans="1:19" x14ac:dyDescent="0.25">
      <c r="A100" s="15">
        <f>IF($B100="Entry",COUNTIF($B$8:$B100,"Entry"),"")</f>
      </c>
      <c r="B100" s="16"/>
      <c r="C100" s="17"/>
      <c r="D100" s="18"/>
      <c r="E100" s="18"/>
      <c r="F100" s="19"/>
      <c r="G100" s="20"/>
      <c r="H100" s="21"/>
      <c r="I100" s="22"/>
      <c r="J100" s="22"/>
      <c r="K100" s="22"/>
      <c r="L100" s="23"/>
      <c r="M100" s="24"/>
      <c r="N100" s="25"/>
      <c r="O100" s="24"/>
      <c r="P100" s="24"/>
      <c r="Q100" s="26"/>
      <c r="R100" s="27">
        <f>IF($B100&lt;&gt;"Challan","",SUMIF($C$8:$C$207,$C100,$O$8:$O$207)+SUMIF($C$8:$C$207,$C100,$P$8:$P$207))</f>
      </c>
      <c r="S100" s="27">
        <f>IF(OR($B100&lt;&gt;"Challan",$C100="",G100=0),"",IF(ROUND(G100-R100,2)=0,"Matches","Check Entries"))</f>
      </c>
    </row>
    <row r="101" spans="1:19" x14ac:dyDescent="0.25">
      <c r="A101" s="15">
        <f>IF($B101="Entry",COUNTIF($B$8:$B101,"Entry"),"")</f>
      </c>
      <c r="B101" s="16"/>
      <c r="C101" s="17"/>
      <c r="D101" s="18"/>
      <c r="E101" s="18"/>
      <c r="F101" s="19"/>
      <c r="G101" s="20"/>
      <c r="H101" s="21"/>
      <c r="I101" s="22"/>
      <c r="J101" s="22"/>
      <c r="K101" s="22"/>
      <c r="L101" s="23"/>
      <c r="M101" s="24"/>
      <c r="N101" s="25"/>
      <c r="O101" s="24"/>
      <c r="P101" s="24"/>
      <c r="Q101" s="26"/>
      <c r="R101" s="27">
        <f>IF($B101&lt;&gt;"Challan","",SUMIF($C$8:$C$207,$C101,$O$8:$O$207)+SUMIF($C$8:$C$207,$C101,$P$8:$P$207))</f>
      </c>
      <c r="S101" s="27">
        <f>IF(OR($B101&lt;&gt;"Challan",$C101="",G101=0),"",IF(ROUND(G101-R101,2)=0,"Matches","Check Entries"))</f>
      </c>
    </row>
    <row r="102" spans="1:19" x14ac:dyDescent="0.25">
      <c r="A102" s="15">
        <f>IF($B102="Entry",COUNTIF($B$8:$B102,"Entry"),"")</f>
      </c>
      <c r="B102" s="16"/>
      <c r="C102" s="17"/>
      <c r="D102" s="18"/>
      <c r="E102" s="18"/>
      <c r="F102" s="19"/>
      <c r="G102" s="20"/>
      <c r="H102" s="21"/>
      <c r="I102" s="22"/>
      <c r="J102" s="22"/>
      <c r="K102" s="22"/>
      <c r="L102" s="23"/>
      <c r="M102" s="24"/>
      <c r="N102" s="25"/>
      <c r="O102" s="24"/>
      <c r="P102" s="24"/>
      <c r="Q102" s="26"/>
      <c r="R102" s="27">
        <f>IF($B102&lt;&gt;"Challan","",SUMIF($C$8:$C$207,$C102,$O$8:$O$207)+SUMIF($C$8:$C$207,$C102,$P$8:$P$207))</f>
      </c>
      <c r="S102" s="27">
        <f>IF(OR($B102&lt;&gt;"Challan",$C102="",G102=0),"",IF(ROUND(G102-R102,2)=0,"Matches","Check Entries"))</f>
      </c>
    </row>
    <row r="103" spans="1:19" x14ac:dyDescent="0.25">
      <c r="A103" s="15">
        <f>IF($B103="Entry",COUNTIF($B$8:$B103,"Entry"),"")</f>
      </c>
      <c r="B103" s="16"/>
      <c r="C103" s="17"/>
      <c r="D103" s="18"/>
      <c r="E103" s="18"/>
      <c r="F103" s="19"/>
      <c r="G103" s="20"/>
      <c r="H103" s="21"/>
      <c r="I103" s="22"/>
      <c r="J103" s="22"/>
      <c r="K103" s="22"/>
      <c r="L103" s="23"/>
      <c r="M103" s="24"/>
      <c r="N103" s="25"/>
      <c r="O103" s="24"/>
      <c r="P103" s="24"/>
      <c r="Q103" s="26"/>
      <c r="R103" s="27">
        <f>IF($B103&lt;&gt;"Challan","",SUMIF($C$8:$C$207,$C103,$O$8:$O$207)+SUMIF($C$8:$C$207,$C103,$P$8:$P$207))</f>
      </c>
      <c r="S103" s="27">
        <f>IF(OR($B103&lt;&gt;"Challan",$C103="",G103=0),"",IF(ROUND(G103-R103,2)=0,"Matches","Check Entries"))</f>
      </c>
    </row>
    <row r="104" spans="1:19" x14ac:dyDescent="0.25">
      <c r="A104" s="15">
        <f>IF($B104="Entry",COUNTIF($B$8:$B104,"Entry"),"")</f>
      </c>
      <c r="B104" s="16"/>
      <c r="C104" s="17"/>
      <c r="D104" s="18"/>
      <c r="E104" s="18"/>
      <c r="F104" s="19"/>
      <c r="G104" s="20"/>
      <c r="H104" s="21"/>
      <c r="I104" s="22"/>
      <c r="J104" s="22"/>
      <c r="K104" s="22"/>
      <c r="L104" s="23"/>
      <c r="M104" s="24"/>
      <c r="N104" s="25"/>
      <c r="O104" s="24"/>
      <c r="P104" s="24"/>
      <c r="Q104" s="26"/>
      <c r="R104" s="27">
        <f>IF($B104&lt;&gt;"Challan","",SUMIF($C$8:$C$207,$C104,$O$8:$O$207)+SUMIF($C$8:$C$207,$C104,$P$8:$P$207))</f>
      </c>
      <c r="S104" s="27">
        <f>IF(OR($B104&lt;&gt;"Challan",$C104="",G104=0),"",IF(ROUND(G104-R104,2)=0,"Matches","Check Entries"))</f>
      </c>
    </row>
    <row r="105" spans="1:19" x14ac:dyDescent="0.25">
      <c r="A105" s="15">
        <f>IF($B105="Entry",COUNTIF($B$8:$B105,"Entry"),"")</f>
      </c>
      <c r="B105" s="16"/>
      <c r="C105" s="17"/>
      <c r="D105" s="18"/>
      <c r="E105" s="18"/>
      <c r="F105" s="19"/>
      <c r="G105" s="20"/>
      <c r="H105" s="21"/>
      <c r="I105" s="22"/>
      <c r="J105" s="22"/>
      <c r="K105" s="22"/>
      <c r="L105" s="23"/>
      <c r="M105" s="24"/>
      <c r="N105" s="25"/>
      <c r="O105" s="24"/>
      <c r="P105" s="24"/>
      <c r="Q105" s="26"/>
      <c r="R105" s="27">
        <f>IF($B105&lt;&gt;"Challan","",SUMIF($C$8:$C$207,$C105,$O$8:$O$207)+SUMIF($C$8:$C$207,$C105,$P$8:$P$207))</f>
      </c>
      <c r="S105" s="27">
        <f>IF(OR($B105&lt;&gt;"Challan",$C105="",G105=0),"",IF(ROUND(G105-R105,2)=0,"Matches","Check Entries"))</f>
      </c>
    </row>
    <row r="106" spans="1:19" x14ac:dyDescent="0.25">
      <c r="A106" s="15">
        <f>IF($B106="Entry",COUNTIF($B$8:$B106,"Entry"),"")</f>
      </c>
      <c r="B106" s="16"/>
      <c r="C106" s="17"/>
      <c r="D106" s="18"/>
      <c r="E106" s="18"/>
      <c r="F106" s="19"/>
      <c r="G106" s="20"/>
      <c r="H106" s="21"/>
      <c r="I106" s="22"/>
      <c r="J106" s="22"/>
      <c r="K106" s="22"/>
      <c r="L106" s="23"/>
      <c r="M106" s="24"/>
      <c r="N106" s="25"/>
      <c r="O106" s="24"/>
      <c r="P106" s="24"/>
      <c r="Q106" s="26"/>
      <c r="R106" s="27">
        <f>IF($B106&lt;&gt;"Challan","",SUMIF($C$8:$C$207,$C106,$O$8:$O$207)+SUMIF($C$8:$C$207,$C106,$P$8:$P$207))</f>
      </c>
      <c r="S106" s="27">
        <f>IF(OR($B106&lt;&gt;"Challan",$C106="",G106=0),"",IF(ROUND(G106-R106,2)=0,"Matches","Check Entries"))</f>
      </c>
    </row>
    <row r="107" spans="1:19" x14ac:dyDescent="0.25">
      <c r="A107" s="15">
        <f>IF($B107="Entry",COUNTIF($B$8:$B107,"Entry"),"")</f>
      </c>
      <c r="B107" s="16"/>
      <c r="C107" s="17"/>
      <c r="D107" s="18"/>
      <c r="E107" s="18"/>
      <c r="F107" s="19"/>
      <c r="G107" s="20"/>
      <c r="H107" s="21"/>
      <c r="I107" s="22"/>
      <c r="J107" s="22"/>
      <c r="K107" s="22"/>
      <c r="L107" s="23"/>
      <c r="M107" s="24"/>
      <c r="N107" s="25"/>
      <c r="O107" s="24"/>
      <c r="P107" s="24"/>
      <c r="Q107" s="26"/>
      <c r="R107" s="27">
        <f>IF($B107&lt;&gt;"Challan","",SUMIF($C$8:$C$207,$C107,$O$8:$O$207)+SUMIF($C$8:$C$207,$C107,$P$8:$P$207))</f>
      </c>
      <c r="S107" s="27">
        <f>IF(OR($B107&lt;&gt;"Challan",$C107="",G107=0),"",IF(ROUND(G107-R107,2)=0,"Matches","Check Entries"))</f>
      </c>
    </row>
    <row r="108" spans="1:19" x14ac:dyDescent="0.25">
      <c r="A108" s="15">
        <f>IF($B108="Entry",COUNTIF($B$8:$B108,"Entry"),"")</f>
      </c>
      <c r="B108" s="16"/>
      <c r="C108" s="17"/>
      <c r="D108" s="18"/>
      <c r="E108" s="18"/>
      <c r="F108" s="19"/>
      <c r="G108" s="20"/>
      <c r="H108" s="21"/>
      <c r="I108" s="22"/>
      <c r="J108" s="22"/>
      <c r="K108" s="22"/>
      <c r="L108" s="23"/>
      <c r="M108" s="24"/>
      <c r="N108" s="25"/>
      <c r="O108" s="24"/>
      <c r="P108" s="24"/>
      <c r="Q108" s="26"/>
      <c r="R108" s="27">
        <f>IF($B108&lt;&gt;"Challan","",SUMIF($C$8:$C$207,$C108,$O$8:$O$207)+SUMIF($C$8:$C$207,$C108,$P$8:$P$207))</f>
      </c>
      <c r="S108" s="27">
        <f>IF(OR($B108&lt;&gt;"Challan",$C108="",G108=0),"",IF(ROUND(G108-R108,2)=0,"Matches","Check Entries"))</f>
      </c>
    </row>
    <row r="109" spans="1:19" x14ac:dyDescent="0.25">
      <c r="A109" s="15">
        <f>IF($B109="Entry",COUNTIF($B$8:$B109,"Entry"),"")</f>
      </c>
      <c r="B109" s="16"/>
      <c r="C109" s="17"/>
      <c r="D109" s="18"/>
      <c r="E109" s="18"/>
      <c r="F109" s="19"/>
      <c r="G109" s="20"/>
      <c r="H109" s="21"/>
      <c r="I109" s="22"/>
      <c r="J109" s="22"/>
      <c r="K109" s="22"/>
      <c r="L109" s="23"/>
      <c r="M109" s="24"/>
      <c r="N109" s="25"/>
      <c r="O109" s="24"/>
      <c r="P109" s="24"/>
      <c r="Q109" s="26"/>
      <c r="R109" s="27">
        <f>IF($B109&lt;&gt;"Challan","",SUMIF($C$8:$C$207,$C109,$O$8:$O$207)+SUMIF($C$8:$C$207,$C109,$P$8:$P$207))</f>
      </c>
      <c r="S109" s="27">
        <f>IF(OR($B109&lt;&gt;"Challan",$C109="",G109=0),"",IF(ROUND(G109-R109,2)=0,"Matches","Check Entries"))</f>
      </c>
    </row>
    <row r="110" spans="1:19" x14ac:dyDescent="0.25">
      <c r="A110" s="15">
        <f>IF($B110="Entry",COUNTIF($B$8:$B110,"Entry"),"")</f>
      </c>
      <c r="B110" s="16"/>
      <c r="C110" s="17"/>
      <c r="D110" s="18"/>
      <c r="E110" s="18"/>
      <c r="F110" s="19"/>
      <c r="G110" s="20"/>
      <c r="H110" s="21"/>
      <c r="I110" s="22"/>
      <c r="J110" s="22"/>
      <c r="K110" s="22"/>
      <c r="L110" s="23"/>
      <c r="M110" s="24"/>
      <c r="N110" s="25"/>
      <c r="O110" s="24"/>
      <c r="P110" s="24"/>
      <c r="Q110" s="26"/>
      <c r="R110" s="27">
        <f>IF($B110&lt;&gt;"Challan","",SUMIF($C$8:$C$207,$C110,$O$8:$O$207)+SUMIF($C$8:$C$207,$C110,$P$8:$P$207))</f>
      </c>
      <c r="S110" s="27">
        <f>IF(OR($B110&lt;&gt;"Challan",$C110="",G110=0),"",IF(ROUND(G110-R110,2)=0,"Matches","Check Entries"))</f>
      </c>
    </row>
    <row r="111" spans="1:19" x14ac:dyDescent="0.25">
      <c r="A111" s="15">
        <f>IF($B111="Entry",COUNTIF($B$8:$B111,"Entry"),"")</f>
      </c>
      <c r="B111" s="16"/>
      <c r="C111" s="17"/>
      <c r="D111" s="18"/>
      <c r="E111" s="18"/>
      <c r="F111" s="19"/>
      <c r="G111" s="20"/>
      <c r="H111" s="21"/>
      <c r="I111" s="22"/>
      <c r="J111" s="22"/>
      <c r="K111" s="22"/>
      <c r="L111" s="23"/>
      <c r="M111" s="24"/>
      <c r="N111" s="25"/>
      <c r="O111" s="24"/>
      <c r="P111" s="24"/>
      <c r="Q111" s="26"/>
      <c r="R111" s="27">
        <f>IF($B111&lt;&gt;"Challan","",SUMIF($C$8:$C$207,$C111,$O$8:$O$207)+SUMIF($C$8:$C$207,$C111,$P$8:$P$207))</f>
      </c>
      <c r="S111" s="27">
        <f>IF(OR($B111&lt;&gt;"Challan",$C111="",G111=0),"",IF(ROUND(G111-R111,2)=0,"Matches","Check Entries"))</f>
      </c>
    </row>
    <row r="112" spans="1:19" x14ac:dyDescent="0.25">
      <c r="A112" s="15">
        <f>IF($B112="Entry",COUNTIF($B$8:$B112,"Entry"),"")</f>
      </c>
      <c r="B112" s="16"/>
      <c r="C112" s="17"/>
      <c r="D112" s="18"/>
      <c r="E112" s="18"/>
      <c r="F112" s="19"/>
      <c r="G112" s="20"/>
      <c r="H112" s="21"/>
      <c r="I112" s="22"/>
      <c r="J112" s="22"/>
      <c r="K112" s="22"/>
      <c r="L112" s="23"/>
      <c r="M112" s="24"/>
      <c r="N112" s="25"/>
      <c r="O112" s="24"/>
      <c r="P112" s="24"/>
      <c r="Q112" s="26"/>
      <c r="R112" s="27">
        <f>IF($B112&lt;&gt;"Challan","",SUMIF($C$8:$C$207,$C112,$O$8:$O$207)+SUMIF($C$8:$C$207,$C112,$P$8:$P$207))</f>
      </c>
      <c r="S112" s="27">
        <f>IF(OR($B112&lt;&gt;"Challan",$C112="",G112=0),"",IF(ROUND(G112-R112,2)=0,"Matches","Check Entries"))</f>
      </c>
    </row>
    <row r="113" spans="1:19" x14ac:dyDescent="0.25">
      <c r="A113" s="15">
        <f>IF($B113="Entry",COUNTIF($B$8:$B113,"Entry"),"")</f>
      </c>
      <c r="B113" s="16"/>
      <c r="C113" s="17"/>
      <c r="D113" s="18"/>
      <c r="E113" s="18"/>
      <c r="F113" s="19"/>
      <c r="G113" s="20"/>
      <c r="H113" s="21"/>
      <c r="I113" s="22"/>
      <c r="J113" s="22"/>
      <c r="K113" s="22"/>
      <c r="L113" s="23"/>
      <c r="M113" s="24"/>
      <c r="N113" s="25"/>
      <c r="O113" s="24"/>
      <c r="P113" s="24"/>
      <c r="Q113" s="26"/>
      <c r="R113" s="27">
        <f>IF($B113&lt;&gt;"Challan","",SUMIF($C$8:$C$207,$C113,$O$8:$O$207)+SUMIF($C$8:$C$207,$C113,$P$8:$P$207))</f>
      </c>
      <c r="S113" s="27">
        <f>IF(OR($B113&lt;&gt;"Challan",$C113="",G113=0),"",IF(ROUND(G113-R113,2)=0,"Matches","Check Entries"))</f>
      </c>
    </row>
    <row r="114" spans="1:19" x14ac:dyDescent="0.25">
      <c r="A114" s="15">
        <f>IF($B114="Entry",COUNTIF($B$8:$B114,"Entry"),"")</f>
      </c>
      <c r="B114" s="16"/>
      <c r="C114" s="17"/>
      <c r="D114" s="18"/>
      <c r="E114" s="18"/>
      <c r="F114" s="19"/>
      <c r="G114" s="20"/>
      <c r="H114" s="21"/>
      <c r="I114" s="22"/>
      <c r="J114" s="22"/>
      <c r="K114" s="22"/>
      <c r="L114" s="23"/>
      <c r="M114" s="24"/>
      <c r="N114" s="25"/>
      <c r="O114" s="24"/>
      <c r="P114" s="24"/>
      <c r="Q114" s="26"/>
      <c r="R114" s="27">
        <f>IF($B114&lt;&gt;"Challan","",SUMIF($C$8:$C$207,$C114,$O$8:$O$207)+SUMIF($C$8:$C$207,$C114,$P$8:$P$207))</f>
      </c>
      <c r="S114" s="27">
        <f>IF(OR($B114&lt;&gt;"Challan",$C114="",G114=0),"",IF(ROUND(G114-R114,2)=0,"Matches","Check Entries"))</f>
      </c>
    </row>
    <row r="115" spans="1:19" x14ac:dyDescent="0.25">
      <c r="A115" s="15">
        <f>IF($B115="Entry",COUNTIF($B$8:$B115,"Entry"),"")</f>
      </c>
      <c r="B115" s="16"/>
      <c r="C115" s="17"/>
      <c r="D115" s="18"/>
      <c r="E115" s="18"/>
      <c r="F115" s="19"/>
      <c r="G115" s="20"/>
      <c r="H115" s="21"/>
      <c r="I115" s="22"/>
      <c r="J115" s="22"/>
      <c r="K115" s="22"/>
      <c r="L115" s="23"/>
      <c r="M115" s="24"/>
      <c r="N115" s="25"/>
      <c r="O115" s="24"/>
      <c r="P115" s="24"/>
      <c r="Q115" s="26"/>
      <c r="R115" s="27">
        <f>IF($B115&lt;&gt;"Challan","",SUMIF($C$8:$C$207,$C115,$O$8:$O$207)+SUMIF($C$8:$C$207,$C115,$P$8:$P$207))</f>
      </c>
      <c r="S115" s="27">
        <f>IF(OR($B115&lt;&gt;"Challan",$C115="",G115=0),"",IF(ROUND(G115-R115,2)=0,"Matches","Check Entries"))</f>
      </c>
    </row>
    <row r="116" spans="1:19" x14ac:dyDescent="0.25">
      <c r="A116" s="15">
        <f>IF($B116="Entry",COUNTIF($B$8:$B116,"Entry"),"")</f>
      </c>
      <c r="B116" s="16"/>
      <c r="C116" s="17"/>
      <c r="D116" s="18"/>
      <c r="E116" s="18"/>
      <c r="F116" s="19"/>
      <c r="G116" s="20"/>
      <c r="H116" s="21"/>
      <c r="I116" s="22"/>
      <c r="J116" s="22"/>
      <c r="K116" s="22"/>
      <c r="L116" s="23"/>
      <c r="M116" s="24"/>
      <c r="N116" s="25"/>
      <c r="O116" s="24"/>
      <c r="P116" s="24"/>
      <c r="Q116" s="26"/>
      <c r="R116" s="27">
        <f>IF($B116&lt;&gt;"Challan","",SUMIF($C$8:$C$207,$C116,$O$8:$O$207)+SUMIF($C$8:$C$207,$C116,$P$8:$P$207))</f>
      </c>
      <c r="S116" s="27">
        <f>IF(OR($B116&lt;&gt;"Challan",$C116="",G116=0),"",IF(ROUND(G116-R116,2)=0,"Matches","Check Entries"))</f>
      </c>
    </row>
    <row r="117" spans="1:19" x14ac:dyDescent="0.25">
      <c r="A117" s="15">
        <f>IF($B117="Entry",COUNTIF($B$8:$B117,"Entry"),"")</f>
      </c>
      <c r="B117" s="16"/>
      <c r="C117" s="17"/>
      <c r="D117" s="18"/>
      <c r="E117" s="18"/>
      <c r="F117" s="19"/>
      <c r="G117" s="20"/>
      <c r="H117" s="21"/>
      <c r="I117" s="22"/>
      <c r="J117" s="22"/>
      <c r="K117" s="22"/>
      <c r="L117" s="23"/>
      <c r="M117" s="24"/>
      <c r="N117" s="25"/>
      <c r="O117" s="24"/>
      <c r="P117" s="24"/>
      <c r="Q117" s="26"/>
      <c r="R117" s="27">
        <f>IF($B117&lt;&gt;"Challan","",SUMIF($C$8:$C$207,$C117,$O$8:$O$207)+SUMIF($C$8:$C$207,$C117,$P$8:$P$207))</f>
      </c>
      <c r="S117" s="27">
        <f>IF(OR($B117&lt;&gt;"Challan",$C117="",G117=0),"",IF(ROUND(G117-R117,2)=0,"Matches","Check Entries"))</f>
      </c>
    </row>
    <row r="118" spans="1:19" x14ac:dyDescent="0.25">
      <c r="A118" s="15">
        <f>IF($B118="Entry",COUNTIF($B$8:$B118,"Entry"),"")</f>
      </c>
      <c r="B118" s="16"/>
      <c r="C118" s="17"/>
      <c r="D118" s="18"/>
      <c r="E118" s="18"/>
      <c r="F118" s="19"/>
      <c r="G118" s="20"/>
      <c r="H118" s="21"/>
      <c r="I118" s="22"/>
      <c r="J118" s="22"/>
      <c r="K118" s="22"/>
      <c r="L118" s="23"/>
      <c r="M118" s="24"/>
      <c r="N118" s="25"/>
      <c r="O118" s="24"/>
      <c r="P118" s="24"/>
      <c r="Q118" s="26"/>
      <c r="R118" s="27">
        <f>IF($B118&lt;&gt;"Challan","",SUMIF($C$8:$C$207,$C118,$O$8:$O$207)+SUMIF($C$8:$C$207,$C118,$P$8:$P$207))</f>
      </c>
      <c r="S118" s="27">
        <f>IF(OR($B118&lt;&gt;"Challan",$C118="",G118=0),"",IF(ROUND(G118-R118,2)=0,"Matches","Check Entries"))</f>
      </c>
    </row>
    <row r="119" spans="1:19" x14ac:dyDescent="0.25">
      <c r="A119" s="15">
        <f>IF($B119="Entry",COUNTIF($B$8:$B119,"Entry"),"")</f>
      </c>
      <c r="B119" s="16"/>
      <c r="C119" s="17"/>
      <c r="D119" s="18"/>
      <c r="E119" s="18"/>
      <c r="F119" s="19"/>
      <c r="G119" s="20"/>
      <c r="H119" s="21"/>
      <c r="I119" s="22"/>
      <c r="J119" s="22"/>
      <c r="K119" s="22"/>
      <c r="L119" s="23"/>
      <c r="M119" s="24"/>
      <c r="N119" s="25"/>
      <c r="O119" s="24"/>
      <c r="P119" s="24"/>
      <c r="Q119" s="26"/>
      <c r="R119" s="27">
        <f>IF($B119&lt;&gt;"Challan","",SUMIF($C$8:$C$207,$C119,$O$8:$O$207)+SUMIF($C$8:$C$207,$C119,$P$8:$P$207))</f>
      </c>
      <c r="S119" s="27">
        <f>IF(OR($B119&lt;&gt;"Challan",$C119="",G119=0),"",IF(ROUND(G119-R119,2)=0,"Matches","Check Entries"))</f>
      </c>
    </row>
    <row r="120" spans="1:19" x14ac:dyDescent="0.25">
      <c r="A120" s="15">
        <f>IF($B120="Entry",COUNTIF($B$8:$B120,"Entry"),"")</f>
      </c>
      <c r="B120" s="16"/>
      <c r="C120" s="17"/>
      <c r="D120" s="18"/>
      <c r="E120" s="18"/>
      <c r="F120" s="19"/>
      <c r="G120" s="20"/>
      <c r="H120" s="21"/>
      <c r="I120" s="22"/>
      <c r="J120" s="22"/>
      <c r="K120" s="22"/>
      <c r="L120" s="23"/>
      <c r="M120" s="24"/>
      <c r="N120" s="25"/>
      <c r="O120" s="24"/>
      <c r="P120" s="24"/>
      <c r="Q120" s="26"/>
      <c r="R120" s="27">
        <f>IF($B120&lt;&gt;"Challan","",SUMIF($C$8:$C$207,$C120,$O$8:$O$207)+SUMIF($C$8:$C$207,$C120,$P$8:$P$207))</f>
      </c>
      <c r="S120" s="27">
        <f>IF(OR($B120&lt;&gt;"Challan",$C120="",G120=0),"",IF(ROUND(G120-R120,2)=0,"Matches","Check Entries"))</f>
      </c>
    </row>
    <row r="121" spans="1:19" x14ac:dyDescent="0.25">
      <c r="A121" s="15">
        <f>IF($B121="Entry",COUNTIF($B$8:$B121,"Entry"),"")</f>
      </c>
      <c r="B121" s="16"/>
      <c r="C121" s="17"/>
      <c r="D121" s="18"/>
      <c r="E121" s="18"/>
      <c r="F121" s="19"/>
      <c r="G121" s="20"/>
      <c r="H121" s="21"/>
      <c r="I121" s="22"/>
      <c r="J121" s="22"/>
      <c r="K121" s="22"/>
      <c r="L121" s="23"/>
      <c r="M121" s="24"/>
      <c r="N121" s="25"/>
      <c r="O121" s="24"/>
      <c r="P121" s="24"/>
      <c r="Q121" s="26"/>
      <c r="R121" s="27">
        <f>IF($B121&lt;&gt;"Challan","",SUMIF($C$8:$C$207,$C121,$O$8:$O$207)+SUMIF($C$8:$C$207,$C121,$P$8:$P$207))</f>
      </c>
      <c r="S121" s="27">
        <f>IF(OR($B121&lt;&gt;"Challan",$C121="",G121=0),"",IF(ROUND(G121-R121,2)=0,"Matches","Check Entries"))</f>
      </c>
    </row>
    <row r="122" spans="1:19" x14ac:dyDescent="0.25">
      <c r="A122" s="15">
        <f>IF($B122="Entry",COUNTIF($B$8:$B122,"Entry"),"")</f>
      </c>
      <c r="B122" s="16"/>
      <c r="C122" s="17"/>
      <c r="D122" s="18"/>
      <c r="E122" s="18"/>
      <c r="F122" s="19"/>
      <c r="G122" s="20"/>
      <c r="H122" s="21"/>
      <c r="I122" s="22"/>
      <c r="J122" s="22"/>
      <c r="K122" s="22"/>
      <c r="L122" s="23"/>
      <c r="M122" s="24"/>
      <c r="N122" s="25"/>
      <c r="O122" s="24"/>
      <c r="P122" s="24"/>
      <c r="Q122" s="26"/>
      <c r="R122" s="27">
        <f>IF($B122&lt;&gt;"Challan","",SUMIF($C$8:$C$207,$C122,$O$8:$O$207)+SUMIF($C$8:$C$207,$C122,$P$8:$P$207))</f>
      </c>
      <c r="S122" s="27">
        <f>IF(OR($B122&lt;&gt;"Challan",$C122="",G122=0),"",IF(ROUND(G122-R122,2)=0,"Matches","Check Entries"))</f>
      </c>
    </row>
    <row r="123" spans="1:19" x14ac:dyDescent="0.25">
      <c r="A123" s="15">
        <f>IF($B123="Entry",COUNTIF($B$8:$B123,"Entry"),"")</f>
      </c>
      <c r="B123" s="16"/>
      <c r="C123" s="17"/>
      <c r="D123" s="18"/>
      <c r="E123" s="18"/>
      <c r="F123" s="19"/>
      <c r="G123" s="20"/>
      <c r="H123" s="21"/>
      <c r="I123" s="22"/>
      <c r="J123" s="22"/>
      <c r="K123" s="22"/>
      <c r="L123" s="23"/>
      <c r="M123" s="24"/>
      <c r="N123" s="25"/>
      <c r="O123" s="24"/>
      <c r="P123" s="24"/>
      <c r="Q123" s="26"/>
      <c r="R123" s="27">
        <f>IF($B123&lt;&gt;"Challan","",SUMIF($C$8:$C$207,$C123,$O$8:$O$207)+SUMIF($C$8:$C$207,$C123,$P$8:$P$207))</f>
      </c>
      <c r="S123" s="27">
        <f>IF(OR($B123&lt;&gt;"Challan",$C123="",G123=0),"",IF(ROUND(G123-R123,2)=0,"Matches","Check Entries"))</f>
      </c>
    </row>
    <row r="124" spans="1:19" x14ac:dyDescent="0.25">
      <c r="A124" s="15">
        <f>IF($B124="Entry",COUNTIF($B$8:$B124,"Entry"),"")</f>
      </c>
      <c r="B124" s="16"/>
      <c r="C124" s="17"/>
      <c r="D124" s="18"/>
      <c r="E124" s="18"/>
      <c r="F124" s="19"/>
      <c r="G124" s="20"/>
      <c r="H124" s="21"/>
      <c r="I124" s="22"/>
      <c r="J124" s="22"/>
      <c r="K124" s="22"/>
      <c r="L124" s="23"/>
      <c r="M124" s="24"/>
      <c r="N124" s="25"/>
      <c r="O124" s="24"/>
      <c r="P124" s="24"/>
      <c r="Q124" s="26"/>
      <c r="R124" s="27">
        <f>IF($B124&lt;&gt;"Challan","",SUMIF($C$8:$C$207,$C124,$O$8:$O$207)+SUMIF($C$8:$C$207,$C124,$P$8:$P$207))</f>
      </c>
      <c r="S124" s="27">
        <f>IF(OR($B124&lt;&gt;"Challan",$C124="",G124=0),"",IF(ROUND(G124-R124,2)=0,"Matches","Check Entries"))</f>
      </c>
    </row>
    <row r="125" spans="1:19" x14ac:dyDescent="0.25">
      <c r="A125" s="15">
        <f>IF($B125="Entry",COUNTIF($B$8:$B125,"Entry"),"")</f>
      </c>
      <c r="B125" s="16"/>
      <c r="C125" s="17"/>
      <c r="D125" s="18"/>
      <c r="E125" s="18"/>
      <c r="F125" s="19"/>
      <c r="G125" s="20"/>
      <c r="H125" s="21"/>
      <c r="I125" s="22"/>
      <c r="J125" s="22"/>
      <c r="K125" s="22"/>
      <c r="L125" s="23"/>
      <c r="M125" s="24"/>
      <c r="N125" s="25"/>
      <c r="O125" s="24"/>
      <c r="P125" s="24"/>
      <c r="Q125" s="26"/>
      <c r="R125" s="27">
        <f>IF($B125&lt;&gt;"Challan","",SUMIF($C$8:$C$207,$C125,$O$8:$O$207)+SUMIF($C$8:$C$207,$C125,$P$8:$P$207))</f>
      </c>
      <c r="S125" s="27">
        <f>IF(OR($B125&lt;&gt;"Challan",$C125="",G125=0),"",IF(ROUND(G125-R125,2)=0,"Matches","Check Entries"))</f>
      </c>
    </row>
    <row r="126" spans="1:19" x14ac:dyDescent="0.25">
      <c r="A126" s="15">
        <f>IF($B126="Entry",COUNTIF($B$8:$B126,"Entry"),"")</f>
      </c>
      <c r="B126" s="16"/>
      <c r="C126" s="17"/>
      <c r="D126" s="18"/>
      <c r="E126" s="18"/>
      <c r="F126" s="19"/>
      <c r="G126" s="20"/>
      <c r="H126" s="21"/>
      <c r="I126" s="22"/>
      <c r="J126" s="22"/>
      <c r="K126" s="22"/>
      <c r="L126" s="23"/>
      <c r="M126" s="24"/>
      <c r="N126" s="25"/>
      <c r="O126" s="24"/>
      <c r="P126" s="24"/>
      <c r="Q126" s="26"/>
      <c r="R126" s="27">
        <f>IF($B126&lt;&gt;"Challan","",SUMIF($C$8:$C$207,$C126,$O$8:$O$207)+SUMIF($C$8:$C$207,$C126,$P$8:$P$207))</f>
      </c>
      <c r="S126" s="27">
        <f>IF(OR($B126&lt;&gt;"Challan",$C126="",G126=0),"",IF(ROUND(G126-R126,2)=0,"Matches","Check Entries"))</f>
      </c>
    </row>
    <row r="127" spans="1:19" x14ac:dyDescent="0.25">
      <c r="A127" s="15">
        <f>IF($B127="Entry",COUNTIF($B$8:$B127,"Entry"),"")</f>
      </c>
      <c r="B127" s="16"/>
      <c r="C127" s="17"/>
      <c r="D127" s="18"/>
      <c r="E127" s="18"/>
      <c r="F127" s="19"/>
      <c r="G127" s="20"/>
      <c r="H127" s="21"/>
      <c r="I127" s="22"/>
      <c r="J127" s="22"/>
      <c r="K127" s="22"/>
      <c r="L127" s="23"/>
      <c r="M127" s="24"/>
      <c r="N127" s="25"/>
      <c r="O127" s="24"/>
      <c r="P127" s="24"/>
      <c r="Q127" s="26"/>
      <c r="R127" s="27">
        <f>IF($B127&lt;&gt;"Challan","",SUMIF($C$8:$C$207,$C127,$O$8:$O$207)+SUMIF($C$8:$C$207,$C127,$P$8:$P$207))</f>
      </c>
      <c r="S127" s="27">
        <f>IF(OR($B127&lt;&gt;"Challan",$C127="",G127=0),"",IF(ROUND(G127-R127,2)=0,"Matches","Check Entries"))</f>
      </c>
    </row>
    <row r="128" spans="1:19" x14ac:dyDescent="0.25">
      <c r="A128" s="15">
        <f>IF($B128="Entry",COUNTIF($B$8:$B128,"Entry"),"")</f>
      </c>
      <c r="B128" s="16"/>
      <c r="C128" s="17"/>
      <c r="D128" s="18"/>
      <c r="E128" s="18"/>
      <c r="F128" s="19"/>
      <c r="G128" s="20"/>
      <c r="H128" s="21"/>
      <c r="I128" s="22"/>
      <c r="J128" s="22"/>
      <c r="K128" s="22"/>
      <c r="L128" s="23"/>
      <c r="M128" s="24"/>
      <c r="N128" s="25"/>
      <c r="O128" s="24"/>
      <c r="P128" s="24"/>
      <c r="Q128" s="26"/>
      <c r="R128" s="27">
        <f>IF($B128&lt;&gt;"Challan","",SUMIF($C$8:$C$207,$C128,$O$8:$O$207)+SUMIF($C$8:$C$207,$C128,$P$8:$P$207))</f>
      </c>
      <c r="S128" s="27">
        <f>IF(OR($B128&lt;&gt;"Challan",$C128="",G128=0),"",IF(ROUND(G128-R128,2)=0,"Matches","Check Entries"))</f>
      </c>
    </row>
    <row r="129" spans="1:19" x14ac:dyDescent="0.25">
      <c r="A129" s="15">
        <f>IF($B129="Entry",COUNTIF($B$8:$B129,"Entry"),"")</f>
      </c>
      <c r="B129" s="16"/>
      <c r="C129" s="17"/>
      <c r="D129" s="18"/>
      <c r="E129" s="18"/>
      <c r="F129" s="19"/>
      <c r="G129" s="20"/>
      <c r="H129" s="21"/>
      <c r="I129" s="22"/>
      <c r="J129" s="22"/>
      <c r="K129" s="22"/>
      <c r="L129" s="23"/>
      <c r="M129" s="24"/>
      <c r="N129" s="25"/>
      <c r="O129" s="24"/>
      <c r="P129" s="24"/>
      <c r="Q129" s="26"/>
      <c r="R129" s="27">
        <f>IF($B129&lt;&gt;"Challan","",SUMIF($C$8:$C$207,$C129,$O$8:$O$207)+SUMIF($C$8:$C$207,$C129,$P$8:$P$207))</f>
      </c>
      <c r="S129" s="27">
        <f>IF(OR($B129&lt;&gt;"Challan",$C129="",G129=0),"",IF(ROUND(G129-R129,2)=0,"Matches","Check Entries"))</f>
      </c>
    </row>
    <row r="130" spans="1:19" x14ac:dyDescent="0.25">
      <c r="A130" s="15">
        <f>IF($B130="Entry",COUNTIF($B$8:$B130,"Entry"),"")</f>
      </c>
      <c r="B130" s="16"/>
      <c r="C130" s="17"/>
      <c r="D130" s="18"/>
      <c r="E130" s="18"/>
      <c r="F130" s="19"/>
      <c r="G130" s="20"/>
      <c r="H130" s="21"/>
      <c r="I130" s="22"/>
      <c r="J130" s="22"/>
      <c r="K130" s="22"/>
      <c r="L130" s="23"/>
      <c r="M130" s="24"/>
      <c r="N130" s="25"/>
      <c r="O130" s="24"/>
      <c r="P130" s="24"/>
      <c r="Q130" s="26"/>
      <c r="R130" s="27">
        <f>IF($B130&lt;&gt;"Challan","",SUMIF($C$8:$C$207,$C130,$O$8:$O$207)+SUMIF($C$8:$C$207,$C130,$P$8:$P$207))</f>
      </c>
      <c r="S130" s="27">
        <f>IF(OR($B130&lt;&gt;"Challan",$C130="",G130=0),"",IF(ROUND(G130-R130,2)=0,"Matches","Check Entries"))</f>
      </c>
    </row>
    <row r="131" spans="1:19" x14ac:dyDescent="0.25">
      <c r="A131" s="15">
        <f>IF($B131="Entry",COUNTIF($B$8:$B131,"Entry"),"")</f>
      </c>
      <c r="B131" s="16"/>
      <c r="C131" s="17"/>
      <c r="D131" s="18"/>
      <c r="E131" s="18"/>
      <c r="F131" s="19"/>
      <c r="G131" s="20"/>
      <c r="H131" s="21"/>
      <c r="I131" s="22"/>
      <c r="J131" s="22"/>
      <c r="K131" s="22"/>
      <c r="L131" s="23"/>
      <c r="M131" s="24"/>
      <c r="N131" s="25"/>
      <c r="O131" s="24"/>
      <c r="P131" s="24"/>
      <c r="Q131" s="26"/>
      <c r="R131" s="27">
        <f>IF($B131&lt;&gt;"Challan","",SUMIF($C$8:$C$207,$C131,$O$8:$O$207)+SUMIF($C$8:$C$207,$C131,$P$8:$P$207))</f>
      </c>
      <c r="S131" s="27">
        <f>IF(OR($B131&lt;&gt;"Challan",$C131="",G131=0),"",IF(ROUND(G131-R131,2)=0,"Matches","Check Entries"))</f>
      </c>
    </row>
    <row r="132" spans="1:19" x14ac:dyDescent="0.25">
      <c r="A132" s="15">
        <f>IF($B132="Entry",COUNTIF($B$8:$B132,"Entry"),"")</f>
      </c>
      <c r="B132" s="16"/>
      <c r="C132" s="17"/>
      <c r="D132" s="18"/>
      <c r="E132" s="18"/>
      <c r="F132" s="19"/>
      <c r="G132" s="20"/>
      <c r="H132" s="21"/>
      <c r="I132" s="22"/>
      <c r="J132" s="22"/>
      <c r="K132" s="22"/>
      <c r="L132" s="23"/>
      <c r="M132" s="24"/>
      <c r="N132" s="25"/>
      <c r="O132" s="24"/>
      <c r="P132" s="24"/>
      <c r="Q132" s="26"/>
      <c r="R132" s="27">
        <f>IF($B132&lt;&gt;"Challan","",SUMIF($C$8:$C$207,$C132,$O$8:$O$207)+SUMIF($C$8:$C$207,$C132,$P$8:$P$207))</f>
      </c>
      <c r="S132" s="27">
        <f>IF(OR($B132&lt;&gt;"Challan",$C132="",G132=0),"",IF(ROUND(G132-R132,2)=0,"Matches","Check Entries"))</f>
      </c>
    </row>
    <row r="133" spans="1:19" x14ac:dyDescent="0.25">
      <c r="A133" s="15">
        <f>IF($B133="Entry",COUNTIF($B$8:$B133,"Entry"),"")</f>
      </c>
      <c r="B133" s="16"/>
      <c r="C133" s="17"/>
      <c r="D133" s="18"/>
      <c r="E133" s="18"/>
      <c r="F133" s="19"/>
      <c r="G133" s="20"/>
      <c r="H133" s="21"/>
      <c r="I133" s="22"/>
      <c r="J133" s="22"/>
      <c r="K133" s="22"/>
      <c r="L133" s="23"/>
      <c r="M133" s="24"/>
      <c r="N133" s="25"/>
      <c r="O133" s="24"/>
      <c r="P133" s="24"/>
      <c r="Q133" s="26"/>
      <c r="R133" s="27">
        <f>IF($B133&lt;&gt;"Challan","",SUMIF($C$8:$C$207,$C133,$O$8:$O$207)+SUMIF($C$8:$C$207,$C133,$P$8:$P$207))</f>
      </c>
      <c r="S133" s="27">
        <f>IF(OR($B133&lt;&gt;"Challan",$C133="",G133=0),"",IF(ROUND(G133-R133,2)=0,"Matches","Check Entries"))</f>
      </c>
    </row>
    <row r="134" spans="1:19" x14ac:dyDescent="0.25">
      <c r="A134" s="15">
        <f>IF($B134="Entry",COUNTIF($B$8:$B134,"Entry"),"")</f>
      </c>
      <c r="B134" s="16"/>
      <c r="C134" s="17"/>
      <c r="D134" s="18"/>
      <c r="E134" s="18"/>
      <c r="F134" s="19"/>
      <c r="G134" s="20"/>
      <c r="H134" s="21"/>
      <c r="I134" s="22"/>
      <c r="J134" s="22"/>
      <c r="K134" s="22"/>
      <c r="L134" s="23"/>
      <c r="M134" s="24"/>
      <c r="N134" s="25"/>
      <c r="O134" s="24"/>
      <c r="P134" s="24"/>
      <c r="Q134" s="26"/>
      <c r="R134" s="27">
        <f>IF($B134&lt;&gt;"Challan","",SUMIF($C$8:$C$207,$C134,$O$8:$O$207)+SUMIF($C$8:$C$207,$C134,$P$8:$P$207))</f>
      </c>
      <c r="S134" s="27">
        <f>IF(OR($B134&lt;&gt;"Challan",$C134="",G134=0),"",IF(ROUND(G134-R134,2)=0,"Matches","Check Entries"))</f>
      </c>
    </row>
    <row r="135" spans="1:19" x14ac:dyDescent="0.25">
      <c r="A135" s="15">
        <f>IF($B135="Entry",COUNTIF($B$8:$B135,"Entry"),"")</f>
      </c>
      <c r="B135" s="16"/>
      <c r="C135" s="17"/>
      <c r="D135" s="18"/>
      <c r="E135" s="18"/>
      <c r="F135" s="19"/>
      <c r="G135" s="20"/>
      <c r="H135" s="21"/>
      <c r="I135" s="22"/>
      <c r="J135" s="22"/>
      <c r="K135" s="22"/>
      <c r="L135" s="23"/>
      <c r="M135" s="24"/>
      <c r="N135" s="25"/>
      <c r="O135" s="24"/>
      <c r="P135" s="24"/>
      <c r="Q135" s="26"/>
      <c r="R135" s="27">
        <f>IF($B135&lt;&gt;"Challan","",SUMIF($C$8:$C$207,$C135,$O$8:$O$207)+SUMIF($C$8:$C$207,$C135,$P$8:$P$207))</f>
      </c>
      <c r="S135" s="27">
        <f>IF(OR($B135&lt;&gt;"Challan",$C135="",G135=0),"",IF(ROUND(G135-R135,2)=0,"Matches","Check Entries"))</f>
      </c>
    </row>
    <row r="136" spans="1:19" x14ac:dyDescent="0.25">
      <c r="A136" s="15">
        <f>IF($B136="Entry",COUNTIF($B$8:$B136,"Entry"),"")</f>
      </c>
      <c r="B136" s="16"/>
      <c r="C136" s="17"/>
      <c r="D136" s="18"/>
      <c r="E136" s="18"/>
      <c r="F136" s="19"/>
      <c r="G136" s="20"/>
      <c r="H136" s="21"/>
      <c r="I136" s="22"/>
      <c r="J136" s="22"/>
      <c r="K136" s="22"/>
      <c r="L136" s="23"/>
      <c r="M136" s="24"/>
      <c r="N136" s="25"/>
      <c r="O136" s="24"/>
      <c r="P136" s="24"/>
      <c r="Q136" s="26"/>
      <c r="R136" s="27">
        <f>IF($B136&lt;&gt;"Challan","",SUMIF($C$8:$C$207,$C136,$O$8:$O$207)+SUMIF($C$8:$C$207,$C136,$P$8:$P$207))</f>
      </c>
      <c r="S136" s="27">
        <f>IF(OR($B136&lt;&gt;"Challan",$C136="",G136=0),"",IF(ROUND(G136-R136,2)=0,"Matches","Check Entries"))</f>
      </c>
    </row>
    <row r="137" spans="1:19" x14ac:dyDescent="0.25">
      <c r="A137" s="15">
        <f>IF($B137="Entry",COUNTIF($B$8:$B137,"Entry"),"")</f>
      </c>
      <c r="B137" s="16"/>
      <c r="C137" s="17"/>
      <c r="D137" s="18"/>
      <c r="E137" s="18"/>
      <c r="F137" s="19"/>
      <c r="G137" s="20"/>
      <c r="H137" s="21"/>
      <c r="I137" s="22"/>
      <c r="J137" s="22"/>
      <c r="K137" s="22"/>
      <c r="L137" s="23"/>
      <c r="M137" s="24"/>
      <c r="N137" s="25"/>
      <c r="O137" s="24"/>
      <c r="P137" s="24"/>
      <c r="Q137" s="26"/>
      <c r="R137" s="27">
        <f>IF($B137&lt;&gt;"Challan","",SUMIF($C$8:$C$207,$C137,$O$8:$O$207)+SUMIF($C$8:$C$207,$C137,$P$8:$P$207))</f>
      </c>
      <c r="S137" s="27">
        <f>IF(OR($B137&lt;&gt;"Challan",$C137="",G137=0),"",IF(ROUND(G137-R137,2)=0,"Matches","Check Entries"))</f>
      </c>
    </row>
    <row r="138" spans="1:19" x14ac:dyDescent="0.25">
      <c r="A138" s="15">
        <f>IF($B138="Entry",COUNTIF($B$8:$B138,"Entry"),"")</f>
      </c>
      <c r="B138" s="16"/>
      <c r="C138" s="17"/>
      <c r="D138" s="18"/>
      <c r="E138" s="18"/>
      <c r="F138" s="19"/>
      <c r="G138" s="20"/>
      <c r="H138" s="21"/>
      <c r="I138" s="22"/>
      <c r="J138" s="22"/>
      <c r="K138" s="22"/>
      <c r="L138" s="23"/>
      <c r="M138" s="24"/>
      <c r="N138" s="25"/>
      <c r="O138" s="24"/>
      <c r="P138" s="24"/>
      <c r="Q138" s="26"/>
      <c r="R138" s="27">
        <f>IF($B138&lt;&gt;"Challan","",SUMIF($C$8:$C$207,$C138,$O$8:$O$207)+SUMIF($C$8:$C$207,$C138,$P$8:$P$207))</f>
      </c>
      <c r="S138" s="27">
        <f>IF(OR($B138&lt;&gt;"Challan",$C138="",G138=0),"",IF(ROUND(G138-R138,2)=0,"Matches","Check Entries"))</f>
      </c>
    </row>
    <row r="139" spans="1:19" x14ac:dyDescent="0.25">
      <c r="A139" s="15">
        <f>IF($B139="Entry",COUNTIF($B$8:$B139,"Entry"),"")</f>
      </c>
      <c r="B139" s="16"/>
      <c r="C139" s="17"/>
      <c r="D139" s="18"/>
      <c r="E139" s="18"/>
      <c r="F139" s="19"/>
      <c r="G139" s="20"/>
      <c r="H139" s="21"/>
      <c r="I139" s="22"/>
      <c r="J139" s="22"/>
      <c r="K139" s="22"/>
      <c r="L139" s="23"/>
      <c r="M139" s="24"/>
      <c r="N139" s="25"/>
      <c r="O139" s="24"/>
      <c r="P139" s="24"/>
      <c r="Q139" s="26"/>
      <c r="R139" s="27">
        <f>IF($B139&lt;&gt;"Challan","",SUMIF($C$8:$C$207,$C139,$O$8:$O$207)+SUMIF($C$8:$C$207,$C139,$P$8:$P$207))</f>
      </c>
      <c r="S139" s="27">
        <f>IF(OR($B139&lt;&gt;"Challan",$C139="",G139=0),"",IF(ROUND(G139-R139,2)=0,"Matches","Check Entries"))</f>
      </c>
    </row>
    <row r="140" spans="1:19" x14ac:dyDescent="0.25">
      <c r="A140" s="15">
        <f>IF($B140="Entry",COUNTIF($B$8:$B140,"Entry"),"")</f>
      </c>
      <c r="B140" s="16"/>
      <c r="C140" s="17"/>
      <c r="D140" s="18"/>
      <c r="E140" s="18"/>
      <c r="F140" s="19"/>
      <c r="G140" s="20"/>
      <c r="H140" s="21"/>
      <c r="I140" s="22"/>
      <c r="J140" s="22"/>
      <c r="K140" s="22"/>
      <c r="L140" s="23"/>
      <c r="M140" s="24"/>
      <c r="N140" s="25"/>
      <c r="O140" s="24"/>
      <c r="P140" s="24"/>
      <c r="Q140" s="26"/>
      <c r="R140" s="27">
        <f>IF($B140&lt;&gt;"Challan","",SUMIF($C$8:$C$207,$C140,$O$8:$O$207)+SUMIF($C$8:$C$207,$C140,$P$8:$P$207))</f>
      </c>
      <c r="S140" s="27">
        <f>IF(OR($B140&lt;&gt;"Challan",$C140="",G140=0),"",IF(ROUND(G140-R140,2)=0,"Matches","Check Entries"))</f>
      </c>
    </row>
    <row r="141" spans="1:19" x14ac:dyDescent="0.25">
      <c r="A141" s="15">
        <f>IF($B141="Entry",COUNTIF($B$8:$B141,"Entry"),"")</f>
      </c>
      <c r="B141" s="16"/>
      <c r="C141" s="17"/>
      <c r="D141" s="18"/>
      <c r="E141" s="18"/>
      <c r="F141" s="19"/>
      <c r="G141" s="20"/>
      <c r="H141" s="21"/>
      <c r="I141" s="22"/>
      <c r="J141" s="22"/>
      <c r="K141" s="22"/>
      <c r="L141" s="23"/>
      <c r="M141" s="24"/>
      <c r="N141" s="25"/>
      <c r="O141" s="24"/>
      <c r="P141" s="24"/>
      <c r="Q141" s="26"/>
      <c r="R141" s="27">
        <f>IF($B141&lt;&gt;"Challan","",SUMIF($C$8:$C$207,$C141,$O$8:$O$207)+SUMIF($C$8:$C$207,$C141,$P$8:$P$207))</f>
      </c>
      <c r="S141" s="27">
        <f>IF(OR($B141&lt;&gt;"Challan",$C141="",G141=0),"",IF(ROUND(G141-R141,2)=0,"Matches","Check Entries"))</f>
      </c>
    </row>
    <row r="142" spans="1:19" x14ac:dyDescent="0.25">
      <c r="A142" s="15">
        <f>IF($B142="Entry",COUNTIF($B$8:$B142,"Entry"),"")</f>
      </c>
      <c r="B142" s="16"/>
      <c r="C142" s="17"/>
      <c r="D142" s="18"/>
      <c r="E142" s="18"/>
      <c r="F142" s="19"/>
      <c r="G142" s="20"/>
      <c r="H142" s="21"/>
      <c r="I142" s="22"/>
      <c r="J142" s="22"/>
      <c r="K142" s="22"/>
      <c r="L142" s="23"/>
      <c r="M142" s="24"/>
      <c r="N142" s="25"/>
      <c r="O142" s="24"/>
      <c r="P142" s="24"/>
      <c r="Q142" s="26"/>
      <c r="R142" s="27">
        <f>IF($B142&lt;&gt;"Challan","",SUMIF($C$8:$C$207,$C142,$O$8:$O$207)+SUMIF($C$8:$C$207,$C142,$P$8:$P$207))</f>
      </c>
      <c r="S142" s="27">
        <f>IF(OR($B142&lt;&gt;"Challan",$C142="",G142=0),"",IF(ROUND(G142-R142,2)=0,"Matches","Check Entries"))</f>
      </c>
    </row>
    <row r="143" spans="1:19" x14ac:dyDescent="0.25">
      <c r="A143" s="15">
        <f>IF($B143="Entry",COUNTIF($B$8:$B143,"Entry"),"")</f>
      </c>
      <c r="B143" s="16"/>
      <c r="C143" s="17"/>
      <c r="D143" s="18"/>
      <c r="E143" s="18"/>
      <c r="F143" s="19"/>
      <c r="G143" s="20"/>
      <c r="H143" s="21"/>
      <c r="I143" s="22"/>
      <c r="J143" s="22"/>
      <c r="K143" s="22"/>
      <c r="L143" s="23"/>
      <c r="M143" s="24"/>
      <c r="N143" s="25"/>
      <c r="O143" s="24"/>
      <c r="P143" s="24"/>
      <c r="Q143" s="26"/>
      <c r="R143" s="27">
        <f>IF($B143&lt;&gt;"Challan","",SUMIF($C$8:$C$207,$C143,$O$8:$O$207)+SUMIF($C$8:$C$207,$C143,$P$8:$P$207))</f>
      </c>
      <c r="S143" s="27">
        <f>IF(OR($B143&lt;&gt;"Challan",$C143="",G143=0),"",IF(ROUND(G143-R143,2)=0,"Matches","Check Entries"))</f>
      </c>
    </row>
    <row r="144" spans="1:19" x14ac:dyDescent="0.25">
      <c r="A144" s="15">
        <f>IF($B144="Entry",COUNTIF($B$8:$B144,"Entry"),"")</f>
      </c>
      <c r="B144" s="16"/>
      <c r="C144" s="17"/>
      <c r="D144" s="18"/>
      <c r="E144" s="18"/>
      <c r="F144" s="19"/>
      <c r="G144" s="20"/>
      <c r="H144" s="21"/>
      <c r="I144" s="22"/>
      <c r="J144" s="22"/>
      <c r="K144" s="22"/>
      <c r="L144" s="23"/>
      <c r="M144" s="24"/>
      <c r="N144" s="25"/>
      <c r="O144" s="24"/>
      <c r="P144" s="24"/>
      <c r="Q144" s="26"/>
      <c r="R144" s="27">
        <f>IF($B144&lt;&gt;"Challan","",SUMIF($C$8:$C$207,$C144,$O$8:$O$207)+SUMIF($C$8:$C$207,$C144,$P$8:$P$207))</f>
      </c>
      <c r="S144" s="27">
        <f>IF(OR($B144&lt;&gt;"Challan",$C144="",G144=0),"",IF(ROUND(G144-R144,2)=0,"Matches","Check Entries"))</f>
      </c>
    </row>
    <row r="145" spans="1:19" x14ac:dyDescent="0.25">
      <c r="A145" s="15">
        <f>IF($B145="Entry",COUNTIF($B$8:$B145,"Entry"),"")</f>
      </c>
      <c r="B145" s="16"/>
      <c r="C145" s="17"/>
      <c r="D145" s="18"/>
      <c r="E145" s="18"/>
      <c r="F145" s="19"/>
      <c r="G145" s="20"/>
      <c r="H145" s="21"/>
      <c r="I145" s="22"/>
      <c r="J145" s="22"/>
      <c r="K145" s="22"/>
      <c r="L145" s="23"/>
      <c r="M145" s="24"/>
      <c r="N145" s="25"/>
      <c r="O145" s="24"/>
      <c r="P145" s="24"/>
      <c r="Q145" s="26"/>
      <c r="R145" s="27">
        <f>IF($B145&lt;&gt;"Challan","",SUMIF($C$8:$C$207,$C145,$O$8:$O$207)+SUMIF($C$8:$C$207,$C145,$P$8:$P$207))</f>
      </c>
      <c r="S145" s="27">
        <f>IF(OR($B145&lt;&gt;"Challan",$C145="",G145=0),"",IF(ROUND(G145-R145,2)=0,"Matches","Check Entries"))</f>
      </c>
    </row>
    <row r="146" spans="1:19" x14ac:dyDescent="0.25">
      <c r="A146" s="15">
        <f>IF($B146="Entry",COUNTIF($B$8:$B146,"Entry"),"")</f>
      </c>
      <c r="B146" s="16"/>
      <c r="C146" s="17"/>
      <c r="D146" s="18"/>
      <c r="E146" s="18"/>
      <c r="F146" s="19"/>
      <c r="G146" s="20"/>
      <c r="H146" s="21"/>
      <c r="I146" s="22"/>
      <c r="J146" s="22"/>
      <c r="K146" s="22"/>
      <c r="L146" s="23"/>
      <c r="M146" s="24"/>
      <c r="N146" s="25"/>
      <c r="O146" s="24"/>
      <c r="P146" s="24"/>
      <c r="Q146" s="26"/>
      <c r="R146" s="27">
        <f>IF($B146&lt;&gt;"Challan","",SUMIF($C$8:$C$207,$C146,$O$8:$O$207)+SUMIF($C$8:$C$207,$C146,$P$8:$P$207))</f>
      </c>
      <c r="S146" s="27">
        <f>IF(OR($B146&lt;&gt;"Challan",$C146="",G146=0),"",IF(ROUND(G146-R146,2)=0,"Matches","Check Entries"))</f>
      </c>
    </row>
    <row r="147" spans="1:19" x14ac:dyDescent="0.25">
      <c r="A147" s="15">
        <f>IF($B147="Entry",COUNTIF($B$8:$B147,"Entry"),"")</f>
      </c>
      <c r="B147" s="16"/>
      <c r="C147" s="17"/>
      <c r="D147" s="18"/>
      <c r="E147" s="18"/>
      <c r="F147" s="19"/>
      <c r="G147" s="20"/>
      <c r="H147" s="21"/>
      <c r="I147" s="22"/>
      <c r="J147" s="22"/>
      <c r="K147" s="22"/>
      <c r="L147" s="23"/>
      <c r="M147" s="24"/>
      <c r="N147" s="25"/>
      <c r="O147" s="24"/>
      <c r="P147" s="24"/>
      <c r="Q147" s="26"/>
      <c r="R147" s="27">
        <f>IF($B147&lt;&gt;"Challan","",SUMIF($C$8:$C$207,$C147,$O$8:$O$207)+SUMIF($C$8:$C$207,$C147,$P$8:$P$207))</f>
      </c>
      <c r="S147" s="27">
        <f>IF(OR($B147&lt;&gt;"Challan",$C147="",G147=0),"",IF(ROUND(G147-R147,2)=0,"Matches","Check Entries"))</f>
      </c>
    </row>
    <row r="148" spans="1:19" x14ac:dyDescent="0.25">
      <c r="A148" s="15">
        <f>IF($B148="Entry",COUNTIF($B$8:$B148,"Entry"),"")</f>
      </c>
      <c r="B148" s="16"/>
      <c r="C148" s="17"/>
      <c r="D148" s="18"/>
      <c r="E148" s="18"/>
      <c r="F148" s="19"/>
      <c r="G148" s="20"/>
      <c r="H148" s="21"/>
      <c r="I148" s="22"/>
      <c r="J148" s="22"/>
      <c r="K148" s="22"/>
      <c r="L148" s="23"/>
      <c r="M148" s="24"/>
      <c r="N148" s="25"/>
      <c r="O148" s="24"/>
      <c r="P148" s="24"/>
      <c r="Q148" s="26"/>
      <c r="R148" s="27">
        <f>IF($B148&lt;&gt;"Challan","",SUMIF($C$8:$C$207,$C148,$O$8:$O$207)+SUMIF($C$8:$C$207,$C148,$P$8:$P$207))</f>
      </c>
      <c r="S148" s="27">
        <f>IF(OR($B148&lt;&gt;"Challan",$C148="",G148=0),"",IF(ROUND(G148-R148,2)=0,"Matches","Check Entries"))</f>
      </c>
    </row>
    <row r="149" spans="1:19" x14ac:dyDescent="0.25">
      <c r="A149" s="15">
        <f>IF($B149="Entry",COUNTIF($B$8:$B149,"Entry"),"")</f>
      </c>
      <c r="B149" s="16"/>
      <c r="C149" s="17"/>
      <c r="D149" s="18"/>
      <c r="E149" s="18"/>
      <c r="F149" s="19"/>
      <c r="G149" s="20"/>
      <c r="H149" s="21"/>
      <c r="I149" s="22"/>
      <c r="J149" s="22"/>
      <c r="K149" s="22"/>
      <c r="L149" s="23"/>
      <c r="M149" s="24"/>
      <c r="N149" s="25"/>
      <c r="O149" s="24"/>
      <c r="P149" s="24"/>
      <c r="Q149" s="26"/>
      <c r="R149" s="27">
        <f>IF($B149&lt;&gt;"Challan","",SUMIF($C$8:$C$207,$C149,$O$8:$O$207)+SUMIF($C$8:$C$207,$C149,$P$8:$P$207))</f>
      </c>
      <c r="S149" s="27">
        <f>IF(OR($B149&lt;&gt;"Challan",$C149="",G149=0),"",IF(ROUND(G149-R149,2)=0,"Matches","Check Entries"))</f>
      </c>
    </row>
    <row r="150" spans="1:19" x14ac:dyDescent="0.25">
      <c r="A150" s="15">
        <f>IF($B150="Entry",COUNTIF($B$8:$B150,"Entry"),"")</f>
      </c>
      <c r="B150" s="16"/>
      <c r="C150" s="17"/>
      <c r="D150" s="18"/>
      <c r="E150" s="18"/>
      <c r="F150" s="19"/>
      <c r="G150" s="20"/>
      <c r="H150" s="21"/>
      <c r="I150" s="22"/>
      <c r="J150" s="22"/>
      <c r="K150" s="22"/>
      <c r="L150" s="23"/>
      <c r="M150" s="24"/>
      <c r="N150" s="25"/>
      <c r="O150" s="24"/>
      <c r="P150" s="24"/>
      <c r="Q150" s="26"/>
      <c r="R150" s="27">
        <f>IF($B150&lt;&gt;"Challan","",SUMIF($C$8:$C$207,$C150,$O$8:$O$207)+SUMIF($C$8:$C$207,$C150,$P$8:$P$207))</f>
      </c>
      <c r="S150" s="27">
        <f>IF(OR($B150&lt;&gt;"Challan",$C150="",G150=0),"",IF(ROUND(G150-R150,2)=0,"Matches","Check Entries"))</f>
      </c>
    </row>
    <row r="151" spans="1:19" x14ac:dyDescent="0.25">
      <c r="A151" s="15">
        <f>IF($B151="Entry",COUNTIF($B$8:$B151,"Entry"),"")</f>
      </c>
      <c r="B151" s="16"/>
      <c r="C151" s="17"/>
      <c r="D151" s="18"/>
      <c r="E151" s="18"/>
      <c r="F151" s="19"/>
      <c r="G151" s="20"/>
      <c r="H151" s="21"/>
      <c r="I151" s="22"/>
      <c r="J151" s="22"/>
      <c r="K151" s="22"/>
      <c r="L151" s="23"/>
      <c r="M151" s="24"/>
      <c r="N151" s="25"/>
      <c r="O151" s="24"/>
      <c r="P151" s="24"/>
      <c r="Q151" s="26"/>
      <c r="R151" s="27">
        <f>IF($B151&lt;&gt;"Challan","",SUMIF($C$8:$C$207,$C151,$O$8:$O$207)+SUMIF($C$8:$C$207,$C151,$P$8:$P$207))</f>
      </c>
      <c r="S151" s="27">
        <f>IF(OR($B151&lt;&gt;"Challan",$C151="",G151=0),"",IF(ROUND(G151-R151,2)=0,"Matches","Check Entries"))</f>
      </c>
    </row>
    <row r="152" spans="1:19" x14ac:dyDescent="0.25">
      <c r="A152" s="15">
        <f>IF($B152="Entry",COUNTIF($B$8:$B152,"Entry"),"")</f>
      </c>
      <c r="B152" s="16"/>
      <c r="C152" s="17"/>
      <c r="D152" s="18"/>
      <c r="E152" s="18"/>
      <c r="F152" s="19"/>
      <c r="G152" s="20"/>
      <c r="H152" s="21"/>
      <c r="I152" s="22"/>
      <c r="J152" s="22"/>
      <c r="K152" s="22"/>
      <c r="L152" s="23"/>
      <c r="M152" s="24"/>
      <c r="N152" s="25"/>
      <c r="O152" s="24"/>
      <c r="P152" s="24"/>
      <c r="Q152" s="26"/>
      <c r="R152" s="27">
        <f>IF($B152&lt;&gt;"Challan","",SUMIF($C$8:$C$207,$C152,$O$8:$O$207)+SUMIF($C$8:$C$207,$C152,$P$8:$P$207))</f>
      </c>
      <c r="S152" s="27">
        <f>IF(OR($B152&lt;&gt;"Challan",$C152="",G152=0),"",IF(ROUND(G152-R152,2)=0,"Matches","Check Entries"))</f>
      </c>
    </row>
    <row r="153" spans="1:19" x14ac:dyDescent="0.25">
      <c r="A153" s="15">
        <f>IF($B153="Entry",COUNTIF($B$8:$B153,"Entry"),"")</f>
      </c>
      <c r="B153" s="16"/>
      <c r="C153" s="17"/>
      <c r="D153" s="18"/>
      <c r="E153" s="18"/>
      <c r="F153" s="19"/>
      <c r="G153" s="20"/>
      <c r="H153" s="21"/>
      <c r="I153" s="22"/>
      <c r="J153" s="22"/>
      <c r="K153" s="22"/>
      <c r="L153" s="23"/>
      <c r="M153" s="24"/>
      <c r="N153" s="25"/>
      <c r="O153" s="24"/>
      <c r="P153" s="24"/>
      <c r="Q153" s="26"/>
      <c r="R153" s="27">
        <f>IF($B153&lt;&gt;"Challan","",SUMIF($C$8:$C$207,$C153,$O$8:$O$207)+SUMIF($C$8:$C$207,$C153,$P$8:$P$207))</f>
      </c>
      <c r="S153" s="27">
        <f>IF(OR($B153&lt;&gt;"Challan",$C153="",G153=0),"",IF(ROUND(G153-R153,2)=0,"Matches","Check Entries"))</f>
      </c>
    </row>
    <row r="154" spans="1:19" x14ac:dyDescent="0.25">
      <c r="A154" s="15">
        <f>IF($B154="Entry",COUNTIF($B$8:$B154,"Entry"),"")</f>
      </c>
      <c r="B154" s="16"/>
      <c r="C154" s="17"/>
      <c r="D154" s="18"/>
      <c r="E154" s="18"/>
      <c r="F154" s="19"/>
      <c r="G154" s="20"/>
      <c r="H154" s="21"/>
      <c r="I154" s="22"/>
      <c r="J154" s="22"/>
      <c r="K154" s="22"/>
      <c r="L154" s="23"/>
      <c r="M154" s="24"/>
      <c r="N154" s="25"/>
      <c r="O154" s="24"/>
      <c r="P154" s="24"/>
      <c r="Q154" s="26"/>
      <c r="R154" s="27">
        <f>IF($B154&lt;&gt;"Challan","",SUMIF($C$8:$C$207,$C154,$O$8:$O$207)+SUMIF($C$8:$C$207,$C154,$P$8:$P$207))</f>
      </c>
      <c r="S154" s="27">
        <f>IF(OR($B154&lt;&gt;"Challan",$C154="",G154=0),"",IF(ROUND(G154-R154,2)=0,"Matches","Check Entries"))</f>
      </c>
    </row>
    <row r="155" spans="1:19" x14ac:dyDescent="0.25">
      <c r="A155" s="15">
        <f>IF($B155="Entry",COUNTIF($B$8:$B155,"Entry"),"")</f>
      </c>
      <c r="B155" s="16"/>
      <c r="C155" s="17"/>
      <c r="D155" s="18"/>
      <c r="E155" s="18"/>
      <c r="F155" s="19"/>
      <c r="G155" s="20"/>
      <c r="H155" s="21"/>
      <c r="I155" s="22"/>
      <c r="J155" s="22"/>
      <c r="K155" s="22"/>
      <c r="L155" s="23"/>
      <c r="M155" s="24"/>
      <c r="N155" s="25"/>
      <c r="O155" s="24"/>
      <c r="P155" s="24"/>
      <c r="Q155" s="26"/>
      <c r="R155" s="27">
        <f>IF($B155&lt;&gt;"Challan","",SUMIF($C$8:$C$207,$C155,$O$8:$O$207)+SUMIF($C$8:$C$207,$C155,$P$8:$P$207))</f>
      </c>
      <c r="S155" s="27">
        <f>IF(OR($B155&lt;&gt;"Challan",$C155="",G155=0),"",IF(ROUND(G155-R155,2)=0,"Matches","Check Entries"))</f>
      </c>
    </row>
    <row r="156" spans="1:19" x14ac:dyDescent="0.25">
      <c r="A156" s="15">
        <f>IF($B156="Entry",COUNTIF($B$8:$B156,"Entry"),"")</f>
      </c>
      <c r="B156" s="16"/>
      <c r="C156" s="17"/>
      <c r="D156" s="18"/>
      <c r="E156" s="18"/>
      <c r="F156" s="19"/>
      <c r="G156" s="20"/>
      <c r="H156" s="21"/>
      <c r="I156" s="22"/>
      <c r="J156" s="22"/>
      <c r="K156" s="22"/>
      <c r="L156" s="23"/>
      <c r="M156" s="24"/>
      <c r="N156" s="25"/>
      <c r="O156" s="24"/>
      <c r="P156" s="24"/>
      <c r="Q156" s="26"/>
      <c r="R156" s="27">
        <f>IF($B156&lt;&gt;"Challan","",SUMIF($C$8:$C$207,$C156,$O$8:$O$207)+SUMIF($C$8:$C$207,$C156,$P$8:$P$207))</f>
      </c>
      <c r="S156" s="27">
        <f>IF(OR($B156&lt;&gt;"Challan",$C156="",G156=0),"",IF(ROUND(G156-R156,2)=0,"Matches","Check Entries"))</f>
      </c>
    </row>
    <row r="157" spans="1:19" x14ac:dyDescent="0.25">
      <c r="A157" s="15">
        <f>IF($B157="Entry",COUNTIF($B$8:$B157,"Entry"),"")</f>
      </c>
      <c r="B157" s="16"/>
      <c r="C157" s="17"/>
      <c r="D157" s="18"/>
      <c r="E157" s="18"/>
      <c r="F157" s="19"/>
      <c r="G157" s="20"/>
      <c r="H157" s="21"/>
      <c r="I157" s="22"/>
      <c r="J157" s="22"/>
      <c r="K157" s="22"/>
      <c r="L157" s="23"/>
      <c r="M157" s="24"/>
      <c r="N157" s="25"/>
      <c r="O157" s="24"/>
      <c r="P157" s="24"/>
      <c r="Q157" s="26"/>
      <c r="R157" s="27">
        <f>IF($B157&lt;&gt;"Challan","",SUMIF($C$8:$C$207,$C157,$O$8:$O$207)+SUMIF($C$8:$C$207,$C157,$P$8:$P$207))</f>
      </c>
      <c r="S157" s="27">
        <f>IF(OR($B157&lt;&gt;"Challan",$C157="",G157=0),"",IF(ROUND(G157-R157,2)=0,"Matches","Check Entries"))</f>
      </c>
    </row>
    <row r="158" spans="1:19" x14ac:dyDescent="0.25">
      <c r="A158" s="15">
        <f>IF($B158="Entry",COUNTIF($B$8:$B158,"Entry"),"")</f>
      </c>
      <c r="B158" s="16"/>
      <c r="C158" s="17"/>
      <c r="D158" s="18"/>
      <c r="E158" s="18"/>
      <c r="F158" s="19"/>
      <c r="G158" s="20"/>
      <c r="H158" s="21"/>
      <c r="I158" s="22"/>
      <c r="J158" s="22"/>
      <c r="K158" s="22"/>
      <c r="L158" s="23"/>
      <c r="M158" s="24"/>
      <c r="N158" s="25"/>
      <c r="O158" s="24"/>
      <c r="P158" s="24"/>
      <c r="Q158" s="26"/>
      <c r="R158" s="27">
        <f>IF($B158&lt;&gt;"Challan","",SUMIF($C$8:$C$207,$C158,$O$8:$O$207)+SUMIF($C$8:$C$207,$C158,$P$8:$P$207))</f>
      </c>
      <c r="S158" s="27">
        <f>IF(OR($B158&lt;&gt;"Challan",$C158="",G158=0),"",IF(ROUND(G158-R158,2)=0,"Matches","Check Entries"))</f>
      </c>
    </row>
    <row r="159" spans="1:19" x14ac:dyDescent="0.25">
      <c r="A159" s="15">
        <f>IF($B159="Entry",COUNTIF($B$8:$B159,"Entry"),"")</f>
      </c>
      <c r="B159" s="16"/>
      <c r="C159" s="17"/>
      <c r="D159" s="18"/>
      <c r="E159" s="18"/>
      <c r="F159" s="19"/>
      <c r="G159" s="20"/>
      <c r="H159" s="21"/>
      <c r="I159" s="22"/>
      <c r="J159" s="22"/>
      <c r="K159" s="22"/>
      <c r="L159" s="23"/>
      <c r="M159" s="24"/>
      <c r="N159" s="25"/>
      <c r="O159" s="24"/>
      <c r="P159" s="24"/>
      <c r="Q159" s="26"/>
      <c r="R159" s="27">
        <f>IF($B159&lt;&gt;"Challan","",SUMIF($C$8:$C$207,$C159,$O$8:$O$207)+SUMIF($C$8:$C$207,$C159,$P$8:$P$207))</f>
      </c>
      <c r="S159" s="27">
        <f>IF(OR($B159&lt;&gt;"Challan",$C159="",G159=0),"",IF(ROUND(G159-R159,2)=0,"Matches","Check Entries"))</f>
      </c>
    </row>
    <row r="160" spans="1:19" x14ac:dyDescent="0.25">
      <c r="A160" s="15">
        <f>IF($B160="Entry",COUNTIF($B$8:$B160,"Entry"),"")</f>
      </c>
      <c r="B160" s="16"/>
      <c r="C160" s="17"/>
      <c r="D160" s="18"/>
      <c r="E160" s="18"/>
      <c r="F160" s="19"/>
      <c r="G160" s="20"/>
      <c r="H160" s="21"/>
      <c r="I160" s="22"/>
      <c r="J160" s="22"/>
      <c r="K160" s="22"/>
      <c r="L160" s="23"/>
      <c r="M160" s="24"/>
      <c r="N160" s="25"/>
      <c r="O160" s="24"/>
      <c r="P160" s="24"/>
      <c r="Q160" s="26"/>
      <c r="R160" s="27">
        <f>IF($B160&lt;&gt;"Challan","",SUMIF($C$8:$C$207,$C160,$O$8:$O$207)+SUMIF($C$8:$C$207,$C160,$P$8:$P$207))</f>
      </c>
      <c r="S160" s="27">
        <f>IF(OR($B160&lt;&gt;"Challan",$C160="",G160=0),"",IF(ROUND(G160-R160,2)=0,"Matches","Check Entries"))</f>
      </c>
    </row>
    <row r="161" spans="1:19" x14ac:dyDescent="0.25">
      <c r="A161" s="15">
        <f>IF($B161="Entry",COUNTIF($B$8:$B161,"Entry"),"")</f>
      </c>
      <c r="B161" s="16"/>
      <c r="C161" s="17"/>
      <c r="D161" s="18"/>
      <c r="E161" s="18"/>
      <c r="F161" s="19"/>
      <c r="G161" s="20"/>
      <c r="H161" s="21"/>
      <c r="I161" s="22"/>
      <c r="J161" s="22"/>
      <c r="K161" s="22"/>
      <c r="L161" s="23"/>
      <c r="M161" s="24"/>
      <c r="N161" s="25"/>
      <c r="O161" s="24"/>
      <c r="P161" s="24"/>
      <c r="Q161" s="26"/>
      <c r="R161" s="27">
        <f>IF($B161&lt;&gt;"Challan","",SUMIF($C$8:$C$207,$C161,$O$8:$O$207)+SUMIF($C$8:$C$207,$C161,$P$8:$P$207))</f>
      </c>
      <c r="S161" s="27">
        <f>IF(OR($B161&lt;&gt;"Challan",$C161="",G161=0),"",IF(ROUND(G161-R161,2)=0,"Matches","Check Entries"))</f>
      </c>
    </row>
    <row r="162" spans="1:19" x14ac:dyDescent="0.25">
      <c r="A162" s="15">
        <f>IF($B162="Entry",COUNTIF($B$8:$B162,"Entry"),"")</f>
      </c>
      <c r="B162" s="16"/>
      <c r="C162" s="17"/>
      <c r="D162" s="18"/>
      <c r="E162" s="18"/>
      <c r="F162" s="19"/>
      <c r="G162" s="20"/>
      <c r="H162" s="21"/>
      <c r="I162" s="22"/>
      <c r="J162" s="22"/>
      <c r="K162" s="22"/>
      <c r="L162" s="23"/>
      <c r="M162" s="24"/>
      <c r="N162" s="25"/>
      <c r="O162" s="24"/>
      <c r="P162" s="24"/>
      <c r="Q162" s="26"/>
      <c r="R162" s="27">
        <f>IF($B162&lt;&gt;"Challan","",SUMIF($C$8:$C$207,$C162,$O$8:$O$207)+SUMIF($C$8:$C$207,$C162,$P$8:$P$207))</f>
      </c>
      <c r="S162" s="27">
        <f>IF(OR($B162&lt;&gt;"Challan",$C162="",G162=0),"",IF(ROUND(G162-R162,2)=0,"Matches","Check Entries"))</f>
      </c>
    </row>
    <row r="163" spans="1:19" x14ac:dyDescent="0.25">
      <c r="A163" s="15">
        <f>IF($B163="Entry",COUNTIF($B$8:$B163,"Entry"),"")</f>
      </c>
      <c r="B163" s="16"/>
      <c r="C163" s="17"/>
      <c r="D163" s="18"/>
      <c r="E163" s="18"/>
      <c r="F163" s="19"/>
      <c r="G163" s="20"/>
      <c r="H163" s="21"/>
      <c r="I163" s="22"/>
      <c r="J163" s="22"/>
      <c r="K163" s="22"/>
      <c r="L163" s="23"/>
      <c r="M163" s="24"/>
      <c r="N163" s="25"/>
      <c r="O163" s="24"/>
      <c r="P163" s="24"/>
      <c r="Q163" s="26"/>
      <c r="R163" s="27">
        <f>IF($B163&lt;&gt;"Challan","",SUMIF($C$8:$C$207,$C163,$O$8:$O$207)+SUMIF($C$8:$C$207,$C163,$P$8:$P$207))</f>
      </c>
      <c r="S163" s="27">
        <f>IF(OR($B163&lt;&gt;"Challan",$C163="",G163=0),"",IF(ROUND(G163-R163,2)=0,"Matches","Check Entries"))</f>
      </c>
    </row>
    <row r="164" spans="1:19" x14ac:dyDescent="0.25">
      <c r="A164" s="15">
        <f>IF($B164="Entry",COUNTIF($B$8:$B164,"Entry"),"")</f>
      </c>
      <c r="B164" s="16"/>
      <c r="C164" s="17"/>
      <c r="D164" s="18"/>
      <c r="E164" s="18"/>
      <c r="F164" s="19"/>
      <c r="G164" s="20"/>
      <c r="H164" s="21"/>
      <c r="I164" s="22"/>
      <c r="J164" s="22"/>
      <c r="K164" s="22"/>
      <c r="L164" s="23"/>
      <c r="M164" s="24"/>
      <c r="N164" s="25"/>
      <c r="O164" s="24"/>
      <c r="P164" s="24"/>
      <c r="Q164" s="26"/>
      <c r="R164" s="27">
        <f>IF($B164&lt;&gt;"Challan","",SUMIF($C$8:$C$207,$C164,$O$8:$O$207)+SUMIF($C$8:$C$207,$C164,$P$8:$P$207))</f>
      </c>
      <c r="S164" s="27">
        <f>IF(OR($B164&lt;&gt;"Challan",$C164="",G164=0),"",IF(ROUND(G164-R164,2)=0,"Matches","Check Entries"))</f>
      </c>
    </row>
    <row r="165" spans="1:19" x14ac:dyDescent="0.25">
      <c r="A165" s="15">
        <f>IF($B165="Entry",COUNTIF($B$8:$B165,"Entry"),"")</f>
      </c>
      <c r="B165" s="16"/>
      <c r="C165" s="17"/>
      <c r="D165" s="18"/>
      <c r="E165" s="18"/>
      <c r="F165" s="19"/>
      <c r="G165" s="20"/>
      <c r="H165" s="21"/>
      <c r="I165" s="22"/>
      <c r="J165" s="22"/>
      <c r="K165" s="22"/>
      <c r="L165" s="23"/>
      <c r="M165" s="24"/>
      <c r="N165" s="25"/>
      <c r="O165" s="24"/>
      <c r="P165" s="24"/>
      <c r="Q165" s="26"/>
      <c r="R165" s="27">
        <f>IF($B165&lt;&gt;"Challan","",SUMIF($C$8:$C$207,$C165,$O$8:$O$207)+SUMIF($C$8:$C$207,$C165,$P$8:$P$207))</f>
      </c>
      <c r="S165" s="27">
        <f>IF(OR($B165&lt;&gt;"Challan",$C165="",G165=0),"",IF(ROUND(G165-R165,2)=0,"Matches","Check Entries"))</f>
      </c>
    </row>
    <row r="166" spans="1:19" x14ac:dyDescent="0.25">
      <c r="A166" s="15">
        <f>IF($B166="Entry",COUNTIF($B$8:$B166,"Entry"),"")</f>
      </c>
      <c r="B166" s="16"/>
      <c r="C166" s="17"/>
      <c r="D166" s="18"/>
      <c r="E166" s="18"/>
      <c r="F166" s="19"/>
      <c r="G166" s="20"/>
      <c r="H166" s="21"/>
      <c r="I166" s="22"/>
      <c r="J166" s="22"/>
      <c r="K166" s="22"/>
      <c r="L166" s="23"/>
      <c r="M166" s="24"/>
      <c r="N166" s="25"/>
      <c r="O166" s="24"/>
      <c r="P166" s="24"/>
      <c r="Q166" s="26"/>
      <c r="R166" s="27">
        <f>IF($B166&lt;&gt;"Challan","",SUMIF($C$8:$C$207,$C166,$O$8:$O$207)+SUMIF($C$8:$C$207,$C166,$P$8:$P$207))</f>
      </c>
      <c r="S166" s="27">
        <f>IF(OR($B166&lt;&gt;"Challan",$C166="",G166=0),"",IF(ROUND(G166-R166,2)=0,"Matches","Check Entries"))</f>
      </c>
    </row>
    <row r="167" spans="1:19" x14ac:dyDescent="0.25">
      <c r="A167" s="15">
        <f>IF($B167="Entry",COUNTIF($B$8:$B167,"Entry"),"")</f>
      </c>
      <c r="B167" s="16"/>
      <c r="C167" s="17"/>
      <c r="D167" s="18"/>
      <c r="E167" s="18"/>
      <c r="F167" s="19"/>
      <c r="G167" s="20"/>
      <c r="H167" s="21"/>
      <c r="I167" s="22"/>
      <c r="J167" s="22"/>
      <c r="K167" s="22"/>
      <c r="L167" s="23"/>
      <c r="M167" s="24"/>
      <c r="N167" s="25"/>
      <c r="O167" s="24"/>
      <c r="P167" s="24"/>
      <c r="Q167" s="26"/>
      <c r="R167" s="27">
        <f>IF($B167&lt;&gt;"Challan","",SUMIF($C$8:$C$207,$C167,$O$8:$O$207)+SUMIF($C$8:$C$207,$C167,$P$8:$P$207))</f>
      </c>
      <c r="S167" s="27">
        <f>IF(OR($B167&lt;&gt;"Challan",$C167="",G167=0),"",IF(ROUND(G167-R167,2)=0,"Matches","Check Entries"))</f>
      </c>
    </row>
    <row r="168" spans="1:19" x14ac:dyDescent="0.25">
      <c r="A168" s="15">
        <f>IF($B168="Entry",COUNTIF($B$8:$B168,"Entry"),"")</f>
      </c>
      <c r="B168" s="16"/>
      <c r="C168" s="17"/>
      <c r="D168" s="18"/>
      <c r="E168" s="18"/>
      <c r="F168" s="19"/>
      <c r="G168" s="20"/>
      <c r="H168" s="21"/>
      <c r="I168" s="22"/>
      <c r="J168" s="22"/>
      <c r="K168" s="22"/>
      <c r="L168" s="23"/>
      <c r="M168" s="24"/>
      <c r="N168" s="25"/>
      <c r="O168" s="24"/>
      <c r="P168" s="24"/>
      <c r="Q168" s="26"/>
      <c r="R168" s="27">
        <f>IF($B168&lt;&gt;"Challan","",SUMIF($C$8:$C$207,$C168,$O$8:$O$207)+SUMIF($C$8:$C$207,$C168,$P$8:$P$207))</f>
      </c>
      <c r="S168" s="27">
        <f>IF(OR($B168&lt;&gt;"Challan",$C168="",G168=0),"",IF(ROUND(G168-R168,2)=0,"Matches","Check Entries"))</f>
      </c>
    </row>
    <row r="169" spans="1:19" x14ac:dyDescent="0.25">
      <c r="A169" s="15">
        <f>IF($B169="Entry",COUNTIF($B$8:$B169,"Entry"),"")</f>
      </c>
      <c r="B169" s="16"/>
      <c r="C169" s="17"/>
      <c r="D169" s="18"/>
      <c r="E169" s="18"/>
      <c r="F169" s="19"/>
      <c r="G169" s="20"/>
      <c r="H169" s="21"/>
      <c r="I169" s="22"/>
      <c r="J169" s="22"/>
      <c r="K169" s="22"/>
      <c r="L169" s="23"/>
      <c r="M169" s="24"/>
      <c r="N169" s="25"/>
      <c r="O169" s="24"/>
      <c r="P169" s="24"/>
      <c r="Q169" s="26"/>
      <c r="R169" s="27">
        <f>IF($B169&lt;&gt;"Challan","",SUMIF($C$8:$C$207,$C169,$O$8:$O$207)+SUMIF($C$8:$C$207,$C169,$P$8:$P$207))</f>
      </c>
      <c r="S169" s="27">
        <f>IF(OR($B169&lt;&gt;"Challan",$C169="",G169=0),"",IF(ROUND(G169-R169,2)=0,"Matches","Check Entries"))</f>
      </c>
    </row>
    <row r="170" spans="1:19" x14ac:dyDescent="0.25">
      <c r="A170" s="15">
        <f>IF($B170="Entry",COUNTIF($B$8:$B170,"Entry"),"")</f>
      </c>
      <c r="B170" s="16"/>
      <c r="C170" s="17"/>
      <c r="D170" s="18"/>
      <c r="E170" s="18"/>
      <c r="F170" s="19"/>
      <c r="G170" s="20"/>
      <c r="H170" s="21"/>
      <c r="I170" s="22"/>
      <c r="J170" s="22"/>
      <c r="K170" s="22"/>
      <c r="L170" s="23"/>
      <c r="M170" s="24"/>
      <c r="N170" s="25"/>
      <c r="O170" s="24"/>
      <c r="P170" s="24"/>
      <c r="Q170" s="26"/>
      <c r="R170" s="27">
        <f>IF($B170&lt;&gt;"Challan","",SUMIF($C$8:$C$207,$C170,$O$8:$O$207)+SUMIF($C$8:$C$207,$C170,$P$8:$P$207))</f>
      </c>
      <c r="S170" s="27">
        <f>IF(OR($B170&lt;&gt;"Challan",$C170="",G170=0),"",IF(ROUND(G170-R170,2)=0,"Matches","Check Entries"))</f>
      </c>
    </row>
    <row r="171" spans="1:19" x14ac:dyDescent="0.25">
      <c r="A171" s="15">
        <f>IF($B171="Entry",COUNTIF($B$8:$B171,"Entry"),"")</f>
      </c>
      <c r="B171" s="16"/>
      <c r="C171" s="17"/>
      <c r="D171" s="18"/>
      <c r="E171" s="18"/>
      <c r="F171" s="19"/>
      <c r="G171" s="20"/>
      <c r="H171" s="21"/>
      <c r="I171" s="22"/>
      <c r="J171" s="22"/>
      <c r="K171" s="22"/>
      <c r="L171" s="23"/>
      <c r="M171" s="24"/>
      <c r="N171" s="25"/>
      <c r="O171" s="24"/>
      <c r="P171" s="24"/>
      <c r="Q171" s="26"/>
      <c r="R171" s="27">
        <f>IF($B171&lt;&gt;"Challan","",SUMIF($C$8:$C$207,$C171,$O$8:$O$207)+SUMIF($C$8:$C$207,$C171,$P$8:$P$207))</f>
      </c>
      <c r="S171" s="27">
        <f>IF(OR($B171&lt;&gt;"Challan",$C171="",G171=0),"",IF(ROUND(G171-R171,2)=0,"Matches","Check Entries"))</f>
      </c>
    </row>
    <row r="172" spans="1:19" x14ac:dyDescent="0.25">
      <c r="A172" s="15">
        <f>IF($B172="Entry",COUNTIF($B$8:$B172,"Entry"),"")</f>
      </c>
      <c r="B172" s="16"/>
      <c r="C172" s="17"/>
      <c r="D172" s="18"/>
      <c r="E172" s="18"/>
      <c r="F172" s="19"/>
      <c r="G172" s="20"/>
      <c r="H172" s="21"/>
      <c r="I172" s="22"/>
      <c r="J172" s="22"/>
      <c r="K172" s="22"/>
      <c r="L172" s="23"/>
      <c r="M172" s="24"/>
      <c r="N172" s="25"/>
      <c r="O172" s="24"/>
      <c r="P172" s="24"/>
      <c r="Q172" s="26"/>
      <c r="R172" s="27">
        <f>IF($B172&lt;&gt;"Challan","",SUMIF($C$8:$C$207,$C172,$O$8:$O$207)+SUMIF($C$8:$C$207,$C172,$P$8:$P$207))</f>
      </c>
      <c r="S172" s="27">
        <f>IF(OR($B172&lt;&gt;"Challan",$C172="",G172=0),"",IF(ROUND(G172-R172,2)=0,"Matches","Check Entries"))</f>
      </c>
    </row>
    <row r="173" spans="1:19" x14ac:dyDescent="0.25">
      <c r="A173" s="15">
        <f>IF($B173="Entry",COUNTIF($B$8:$B173,"Entry"),"")</f>
      </c>
      <c r="B173" s="16"/>
      <c r="C173" s="17"/>
      <c r="D173" s="18"/>
      <c r="E173" s="18"/>
      <c r="F173" s="19"/>
      <c r="G173" s="20"/>
      <c r="H173" s="21"/>
      <c r="I173" s="22"/>
      <c r="J173" s="22"/>
      <c r="K173" s="22"/>
      <c r="L173" s="23"/>
      <c r="M173" s="24"/>
      <c r="N173" s="25"/>
      <c r="O173" s="24"/>
      <c r="P173" s="24"/>
      <c r="Q173" s="26"/>
      <c r="R173" s="27">
        <f>IF($B173&lt;&gt;"Challan","",SUMIF($C$8:$C$207,$C173,$O$8:$O$207)+SUMIF($C$8:$C$207,$C173,$P$8:$P$207))</f>
      </c>
      <c r="S173" s="27">
        <f>IF(OR($B173&lt;&gt;"Challan",$C173="",G173=0),"",IF(ROUND(G173-R173,2)=0,"Matches","Check Entries"))</f>
      </c>
    </row>
    <row r="174" spans="1:19" x14ac:dyDescent="0.25">
      <c r="A174" s="15">
        <f>IF($B174="Entry",COUNTIF($B$8:$B174,"Entry"),"")</f>
      </c>
      <c r="B174" s="16"/>
      <c r="C174" s="17"/>
      <c r="D174" s="18"/>
      <c r="E174" s="18"/>
      <c r="F174" s="19"/>
      <c r="G174" s="20"/>
      <c r="H174" s="21"/>
      <c r="I174" s="22"/>
      <c r="J174" s="22"/>
      <c r="K174" s="22"/>
      <c r="L174" s="23"/>
      <c r="M174" s="24"/>
      <c r="N174" s="25"/>
      <c r="O174" s="24"/>
      <c r="P174" s="24"/>
      <c r="Q174" s="26"/>
      <c r="R174" s="27">
        <f>IF($B174&lt;&gt;"Challan","",SUMIF($C$8:$C$207,$C174,$O$8:$O$207)+SUMIF($C$8:$C$207,$C174,$P$8:$P$207))</f>
      </c>
      <c r="S174" s="27">
        <f>IF(OR($B174&lt;&gt;"Challan",$C174="",G174=0),"",IF(ROUND(G174-R174,2)=0,"Matches","Check Entries"))</f>
      </c>
    </row>
    <row r="175" spans="1:19" x14ac:dyDescent="0.25">
      <c r="A175" s="15">
        <f>IF($B175="Entry",COUNTIF($B$8:$B175,"Entry"),"")</f>
      </c>
      <c r="B175" s="16"/>
      <c r="C175" s="17"/>
      <c r="D175" s="18"/>
      <c r="E175" s="18"/>
      <c r="F175" s="19"/>
      <c r="G175" s="20"/>
      <c r="H175" s="21"/>
      <c r="I175" s="22"/>
      <c r="J175" s="22"/>
      <c r="K175" s="22"/>
      <c r="L175" s="23"/>
      <c r="M175" s="24"/>
      <c r="N175" s="25"/>
      <c r="O175" s="24"/>
      <c r="P175" s="24"/>
      <c r="Q175" s="26"/>
      <c r="R175" s="27">
        <f>IF($B175&lt;&gt;"Challan","",SUMIF($C$8:$C$207,$C175,$O$8:$O$207)+SUMIF($C$8:$C$207,$C175,$P$8:$P$207))</f>
      </c>
      <c r="S175" s="27">
        <f>IF(OR($B175&lt;&gt;"Challan",$C175="",G175=0),"",IF(ROUND(G175-R175,2)=0,"Matches","Check Entries"))</f>
      </c>
    </row>
    <row r="176" spans="1:19" x14ac:dyDescent="0.25">
      <c r="A176" s="15">
        <f>IF($B176="Entry",COUNTIF($B$8:$B176,"Entry"),"")</f>
      </c>
      <c r="B176" s="16"/>
      <c r="C176" s="17"/>
      <c r="D176" s="18"/>
      <c r="E176" s="18"/>
      <c r="F176" s="19"/>
      <c r="G176" s="20"/>
      <c r="H176" s="21"/>
      <c r="I176" s="22"/>
      <c r="J176" s="22"/>
      <c r="K176" s="22"/>
      <c r="L176" s="23"/>
      <c r="M176" s="24"/>
      <c r="N176" s="25"/>
      <c r="O176" s="24"/>
      <c r="P176" s="24"/>
      <c r="Q176" s="26"/>
      <c r="R176" s="27">
        <f>IF($B176&lt;&gt;"Challan","",SUMIF($C$8:$C$207,$C176,$O$8:$O$207)+SUMIF($C$8:$C$207,$C176,$P$8:$P$207))</f>
      </c>
      <c r="S176" s="27">
        <f>IF(OR($B176&lt;&gt;"Challan",$C176="",G176=0),"",IF(ROUND(G176-R176,2)=0,"Matches","Check Entries"))</f>
      </c>
    </row>
    <row r="177" spans="1:19" x14ac:dyDescent="0.25">
      <c r="A177" s="15">
        <f>IF($B177="Entry",COUNTIF($B$8:$B177,"Entry"),"")</f>
      </c>
      <c r="B177" s="16"/>
      <c r="C177" s="17"/>
      <c r="D177" s="18"/>
      <c r="E177" s="18"/>
      <c r="F177" s="19"/>
      <c r="G177" s="20"/>
      <c r="H177" s="21"/>
      <c r="I177" s="22"/>
      <c r="J177" s="22"/>
      <c r="K177" s="22"/>
      <c r="L177" s="23"/>
      <c r="M177" s="24"/>
      <c r="N177" s="25"/>
      <c r="O177" s="24"/>
      <c r="P177" s="24"/>
      <c r="Q177" s="26"/>
      <c r="R177" s="27">
        <f>IF($B177&lt;&gt;"Challan","",SUMIF($C$8:$C$207,$C177,$O$8:$O$207)+SUMIF($C$8:$C$207,$C177,$P$8:$P$207))</f>
      </c>
      <c r="S177" s="27">
        <f>IF(OR($B177&lt;&gt;"Challan",$C177="",G177=0),"",IF(ROUND(G177-R177,2)=0,"Matches","Check Entries"))</f>
      </c>
    </row>
    <row r="178" spans="1:19" x14ac:dyDescent="0.25">
      <c r="A178" s="15">
        <f>IF($B178="Entry",COUNTIF($B$8:$B178,"Entry"),"")</f>
      </c>
      <c r="B178" s="16"/>
      <c r="C178" s="17"/>
      <c r="D178" s="18"/>
      <c r="E178" s="18"/>
      <c r="F178" s="19"/>
      <c r="G178" s="20"/>
      <c r="H178" s="21"/>
      <c r="I178" s="22"/>
      <c r="J178" s="22"/>
      <c r="K178" s="22"/>
      <c r="L178" s="23"/>
      <c r="M178" s="24"/>
      <c r="N178" s="25"/>
      <c r="O178" s="24"/>
      <c r="P178" s="24"/>
      <c r="Q178" s="26"/>
      <c r="R178" s="27">
        <f>IF($B178&lt;&gt;"Challan","",SUMIF($C$8:$C$207,$C178,$O$8:$O$207)+SUMIF($C$8:$C$207,$C178,$P$8:$P$207))</f>
      </c>
      <c r="S178" s="27">
        <f>IF(OR($B178&lt;&gt;"Challan",$C178="",G178=0),"",IF(ROUND(G178-R178,2)=0,"Matches","Check Entries"))</f>
      </c>
    </row>
    <row r="179" spans="1:19" x14ac:dyDescent="0.25">
      <c r="A179" s="15">
        <f>IF($B179="Entry",COUNTIF($B$8:$B179,"Entry"),"")</f>
      </c>
      <c r="B179" s="16"/>
      <c r="C179" s="17"/>
      <c r="D179" s="18"/>
      <c r="E179" s="18"/>
      <c r="F179" s="19"/>
      <c r="G179" s="20"/>
      <c r="H179" s="21"/>
      <c r="I179" s="22"/>
      <c r="J179" s="22"/>
      <c r="K179" s="22"/>
      <c r="L179" s="23"/>
      <c r="M179" s="24"/>
      <c r="N179" s="25"/>
      <c r="O179" s="24"/>
      <c r="P179" s="24"/>
      <c r="Q179" s="26"/>
      <c r="R179" s="27">
        <f>IF($B179&lt;&gt;"Challan","",SUMIF($C$8:$C$207,$C179,$O$8:$O$207)+SUMIF($C$8:$C$207,$C179,$P$8:$P$207))</f>
      </c>
      <c r="S179" s="27">
        <f>IF(OR($B179&lt;&gt;"Challan",$C179="",G179=0),"",IF(ROUND(G179-R179,2)=0,"Matches","Check Entries"))</f>
      </c>
    </row>
    <row r="180" spans="1:19" x14ac:dyDescent="0.25">
      <c r="A180" s="15">
        <f>IF($B180="Entry",COUNTIF($B$8:$B180,"Entry"),"")</f>
      </c>
      <c r="B180" s="16"/>
      <c r="C180" s="17"/>
      <c r="D180" s="18"/>
      <c r="E180" s="18"/>
      <c r="F180" s="19"/>
      <c r="G180" s="20"/>
      <c r="H180" s="21"/>
      <c r="I180" s="22"/>
      <c r="J180" s="22"/>
      <c r="K180" s="22"/>
      <c r="L180" s="23"/>
      <c r="M180" s="24"/>
      <c r="N180" s="25"/>
      <c r="O180" s="24"/>
      <c r="P180" s="24"/>
      <c r="Q180" s="26"/>
      <c r="R180" s="27">
        <f>IF($B180&lt;&gt;"Challan","",SUMIF($C$8:$C$207,$C180,$O$8:$O$207)+SUMIF($C$8:$C$207,$C180,$P$8:$P$207))</f>
      </c>
      <c r="S180" s="27">
        <f>IF(OR($B180&lt;&gt;"Challan",$C180="",G180=0),"",IF(ROUND(G180-R180,2)=0,"Matches","Check Entries"))</f>
      </c>
    </row>
    <row r="181" spans="1:19" x14ac:dyDescent="0.25">
      <c r="A181" s="15">
        <f>IF($B181="Entry",COUNTIF($B$8:$B181,"Entry"),"")</f>
      </c>
      <c r="B181" s="16"/>
      <c r="C181" s="17"/>
      <c r="D181" s="18"/>
      <c r="E181" s="18"/>
      <c r="F181" s="19"/>
      <c r="G181" s="20"/>
      <c r="H181" s="21"/>
      <c r="I181" s="22"/>
      <c r="J181" s="22"/>
      <c r="K181" s="22"/>
      <c r="L181" s="23"/>
      <c r="M181" s="24"/>
      <c r="N181" s="25"/>
      <c r="O181" s="24"/>
      <c r="P181" s="24"/>
      <c r="Q181" s="26"/>
      <c r="R181" s="27">
        <f>IF($B181&lt;&gt;"Challan","",SUMIF($C$8:$C$207,$C181,$O$8:$O$207)+SUMIF($C$8:$C$207,$C181,$P$8:$P$207))</f>
      </c>
      <c r="S181" s="27">
        <f>IF(OR($B181&lt;&gt;"Challan",$C181="",G181=0),"",IF(ROUND(G181-R181,2)=0,"Matches","Check Entries"))</f>
      </c>
    </row>
    <row r="182" spans="1:19" x14ac:dyDescent="0.25">
      <c r="A182" s="15">
        <f>IF($B182="Entry",COUNTIF($B$8:$B182,"Entry"),"")</f>
      </c>
      <c r="B182" s="16"/>
      <c r="C182" s="17"/>
      <c r="D182" s="18"/>
      <c r="E182" s="18"/>
      <c r="F182" s="19"/>
      <c r="G182" s="20"/>
      <c r="H182" s="21"/>
      <c r="I182" s="22"/>
      <c r="J182" s="22"/>
      <c r="K182" s="22"/>
      <c r="L182" s="23"/>
      <c r="M182" s="24"/>
      <c r="N182" s="25"/>
      <c r="O182" s="24"/>
      <c r="P182" s="24"/>
      <c r="Q182" s="26"/>
      <c r="R182" s="27">
        <f>IF($B182&lt;&gt;"Challan","",SUMIF($C$8:$C$207,$C182,$O$8:$O$207)+SUMIF($C$8:$C$207,$C182,$P$8:$P$207))</f>
      </c>
      <c r="S182" s="27">
        <f>IF(OR($B182&lt;&gt;"Challan",$C182="",G182=0),"",IF(ROUND(G182-R182,2)=0,"Matches","Check Entries"))</f>
      </c>
    </row>
    <row r="183" spans="1:19" x14ac:dyDescent="0.25">
      <c r="A183" s="15">
        <f>IF($B183="Entry",COUNTIF($B$8:$B183,"Entry"),"")</f>
      </c>
      <c r="B183" s="16"/>
      <c r="C183" s="17"/>
      <c r="D183" s="18"/>
      <c r="E183" s="18"/>
      <c r="F183" s="19"/>
      <c r="G183" s="20"/>
      <c r="H183" s="21"/>
      <c r="I183" s="22"/>
      <c r="J183" s="22"/>
      <c r="K183" s="22"/>
      <c r="L183" s="23"/>
      <c r="M183" s="24"/>
      <c r="N183" s="25"/>
      <c r="O183" s="24"/>
      <c r="P183" s="24"/>
      <c r="Q183" s="26"/>
      <c r="R183" s="27">
        <f>IF($B183&lt;&gt;"Challan","",SUMIF($C$8:$C$207,$C183,$O$8:$O$207)+SUMIF($C$8:$C$207,$C183,$P$8:$P$207))</f>
      </c>
      <c r="S183" s="27">
        <f>IF(OR($B183&lt;&gt;"Challan",$C183="",G183=0),"",IF(ROUND(G183-R183,2)=0,"Matches","Check Entries"))</f>
      </c>
    </row>
    <row r="184" spans="1:19" x14ac:dyDescent="0.25">
      <c r="A184" s="15">
        <f>IF($B184="Entry",COUNTIF($B$8:$B184,"Entry"),"")</f>
      </c>
      <c r="B184" s="16"/>
      <c r="C184" s="17"/>
      <c r="D184" s="18"/>
      <c r="E184" s="18"/>
      <c r="F184" s="19"/>
      <c r="G184" s="20"/>
      <c r="H184" s="21"/>
      <c r="I184" s="22"/>
      <c r="J184" s="22"/>
      <c r="K184" s="22"/>
      <c r="L184" s="23"/>
      <c r="M184" s="24"/>
      <c r="N184" s="25"/>
      <c r="O184" s="24"/>
      <c r="P184" s="24"/>
      <c r="Q184" s="26"/>
      <c r="R184" s="27">
        <f>IF($B184&lt;&gt;"Challan","",SUMIF($C$8:$C$207,$C184,$O$8:$O$207)+SUMIF($C$8:$C$207,$C184,$P$8:$P$207))</f>
      </c>
      <c r="S184" s="27">
        <f>IF(OR($B184&lt;&gt;"Challan",$C184="",G184=0),"",IF(ROUND(G184-R184,2)=0,"Matches","Check Entries"))</f>
      </c>
    </row>
    <row r="185" spans="1:19" x14ac:dyDescent="0.25">
      <c r="A185" s="15">
        <f>IF($B185="Entry",COUNTIF($B$8:$B185,"Entry"),"")</f>
      </c>
      <c r="B185" s="16"/>
      <c r="C185" s="17"/>
      <c r="D185" s="18"/>
      <c r="E185" s="18"/>
      <c r="F185" s="19"/>
      <c r="G185" s="20"/>
      <c r="H185" s="21"/>
      <c r="I185" s="22"/>
      <c r="J185" s="22"/>
      <c r="K185" s="22"/>
      <c r="L185" s="23"/>
      <c r="M185" s="24"/>
      <c r="N185" s="25"/>
      <c r="O185" s="24"/>
      <c r="P185" s="24"/>
      <c r="Q185" s="26"/>
      <c r="R185" s="27">
        <f>IF($B185&lt;&gt;"Challan","",SUMIF($C$8:$C$207,$C185,$O$8:$O$207)+SUMIF($C$8:$C$207,$C185,$P$8:$P$207))</f>
      </c>
      <c r="S185" s="27">
        <f>IF(OR($B185&lt;&gt;"Challan",$C185="",G185=0),"",IF(ROUND(G185-R185,2)=0,"Matches","Check Entries"))</f>
      </c>
    </row>
    <row r="186" spans="1:19" x14ac:dyDescent="0.25">
      <c r="A186" s="15">
        <f>IF($B186="Entry",COUNTIF($B$8:$B186,"Entry"),"")</f>
      </c>
      <c r="B186" s="16"/>
      <c r="C186" s="17"/>
      <c r="D186" s="18"/>
      <c r="E186" s="18"/>
      <c r="F186" s="19"/>
      <c r="G186" s="20"/>
      <c r="H186" s="21"/>
      <c r="I186" s="22"/>
      <c r="J186" s="22"/>
      <c r="K186" s="22"/>
      <c r="L186" s="23"/>
      <c r="M186" s="24"/>
      <c r="N186" s="25"/>
      <c r="O186" s="24"/>
      <c r="P186" s="24"/>
      <c r="Q186" s="26"/>
      <c r="R186" s="27">
        <f>IF($B186&lt;&gt;"Challan","",SUMIF($C$8:$C$207,$C186,$O$8:$O$207)+SUMIF($C$8:$C$207,$C186,$P$8:$P$207))</f>
      </c>
      <c r="S186" s="27">
        <f>IF(OR($B186&lt;&gt;"Challan",$C186="",G186=0),"",IF(ROUND(G186-R186,2)=0,"Matches","Check Entries"))</f>
      </c>
    </row>
    <row r="187" spans="1:19" x14ac:dyDescent="0.25">
      <c r="A187" s="15">
        <f>IF($B187="Entry",COUNTIF($B$8:$B187,"Entry"),"")</f>
      </c>
      <c r="B187" s="16"/>
      <c r="C187" s="17"/>
      <c r="D187" s="18"/>
      <c r="E187" s="18"/>
      <c r="F187" s="19"/>
      <c r="G187" s="20"/>
      <c r="H187" s="21"/>
      <c r="I187" s="22"/>
      <c r="J187" s="22"/>
      <c r="K187" s="22"/>
      <c r="L187" s="23"/>
      <c r="M187" s="24"/>
      <c r="N187" s="25"/>
      <c r="O187" s="24"/>
      <c r="P187" s="24"/>
      <c r="Q187" s="26"/>
      <c r="R187" s="27">
        <f>IF($B187&lt;&gt;"Challan","",SUMIF($C$8:$C$207,$C187,$O$8:$O$207)+SUMIF($C$8:$C$207,$C187,$P$8:$P$207))</f>
      </c>
      <c r="S187" s="27">
        <f>IF(OR($B187&lt;&gt;"Challan",$C187="",G187=0),"",IF(ROUND(G187-R187,2)=0,"Matches","Check Entries"))</f>
      </c>
    </row>
    <row r="188" spans="1:19" x14ac:dyDescent="0.25">
      <c r="A188" s="15">
        <f>IF($B188="Entry",COUNTIF($B$8:$B188,"Entry"),"")</f>
      </c>
      <c r="B188" s="16"/>
      <c r="C188" s="17"/>
      <c r="D188" s="18"/>
      <c r="E188" s="18"/>
      <c r="F188" s="19"/>
      <c r="G188" s="20"/>
      <c r="H188" s="21"/>
      <c r="I188" s="22"/>
      <c r="J188" s="22"/>
      <c r="K188" s="22"/>
      <c r="L188" s="23"/>
      <c r="M188" s="24"/>
      <c r="N188" s="25"/>
      <c r="O188" s="24"/>
      <c r="P188" s="24"/>
      <c r="Q188" s="26"/>
      <c r="R188" s="27">
        <f>IF($B188&lt;&gt;"Challan","",SUMIF($C$8:$C$207,$C188,$O$8:$O$207)+SUMIF($C$8:$C$207,$C188,$P$8:$P$207))</f>
      </c>
      <c r="S188" s="27">
        <f>IF(OR($B188&lt;&gt;"Challan",$C188="",G188=0),"",IF(ROUND(G188-R188,2)=0,"Matches","Check Entries"))</f>
      </c>
    </row>
    <row r="189" spans="1:19" x14ac:dyDescent="0.25">
      <c r="A189" s="15">
        <f>IF($B189="Entry",COUNTIF($B$8:$B189,"Entry"),"")</f>
      </c>
      <c r="B189" s="16"/>
      <c r="C189" s="17"/>
      <c r="D189" s="18"/>
      <c r="E189" s="18"/>
      <c r="F189" s="19"/>
      <c r="G189" s="20"/>
      <c r="H189" s="21"/>
      <c r="I189" s="22"/>
      <c r="J189" s="22"/>
      <c r="K189" s="22"/>
      <c r="L189" s="23"/>
      <c r="M189" s="24"/>
      <c r="N189" s="25"/>
      <c r="O189" s="24"/>
      <c r="P189" s="24"/>
      <c r="Q189" s="26"/>
      <c r="R189" s="27">
        <f>IF($B189&lt;&gt;"Challan","",SUMIF($C$8:$C$207,$C189,$O$8:$O$207)+SUMIF($C$8:$C$207,$C189,$P$8:$P$207))</f>
      </c>
      <c r="S189" s="27">
        <f>IF(OR($B189&lt;&gt;"Challan",$C189="",G189=0),"",IF(ROUND(G189-R189,2)=0,"Matches","Check Entries"))</f>
      </c>
    </row>
    <row r="190" spans="1:19" x14ac:dyDescent="0.25">
      <c r="A190" s="15">
        <f>IF($B190="Entry",COUNTIF($B$8:$B190,"Entry"),"")</f>
      </c>
      <c r="B190" s="16"/>
      <c r="C190" s="17"/>
      <c r="D190" s="18"/>
      <c r="E190" s="18"/>
      <c r="F190" s="19"/>
      <c r="G190" s="20"/>
      <c r="H190" s="21"/>
      <c r="I190" s="22"/>
      <c r="J190" s="22"/>
      <c r="K190" s="22"/>
      <c r="L190" s="23"/>
      <c r="M190" s="24"/>
      <c r="N190" s="25"/>
      <c r="O190" s="24"/>
      <c r="P190" s="24"/>
      <c r="Q190" s="26"/>
      <c r="R190" s="27">
        <f>IF($B190&lt;&gt;"Challan","",SUMIF($C$8:$C$207,$C190,$O$8:$O$207)+SUMIF($C$8:$C$207,$C190,$P$8:$P$207))</f>
      </c>
      <c r="S190" s="27">
        <f>IF(OR($B190&lt;&gt;"Challan",$C190="",G190=0),"",IF(ROUND(G190-R190,2)=0,"Matches","Check Entries"))</f>
      </c>
    </row>
    <row r="191" spans="1:19" x14ac:dyDescent="0.25">
      <c r="A191" s="15">
        <f>IF($B191="Entry",COUNTIF($B$8:$B191,"Entry"),"")</f>
      </c>
      <c r="B191" s="16"/>
      <c r="C191" s="17"/>
      <c r="D191" s="18"/>
      <c r="E191" s="18"/>
      <c r="F191" s="19"/>
      <c r="G191" s="20"/>
      <c r="H191" s="21"/>
      <c r="I191" s="22"/>
      <c r="J191" s="22"/>
      <c r="K191" s="22"/>
      <c r="L191" s="23"/>
      <c r="M191" s="24"/>
      <c r="N191" s="25"/>
      <c r="O191" s="24"/>
      <c r="P191" s="24"/>
      <c r="Q191" s="26"/>
      <c r="R191" s="27">
        <f>IF($B191&lt;&gt;"Challan","",SUMIF($C$8:$C$207,$C191,$O$8:$O$207)+SUMIF($C$8:$C$207,$C191,$P$8:$P$207))</f>
      </c>
      <c r="S191" s="27">
        <f>IF(OR($B191&lt;&gt;"Challan",$C191="",G191=0),"",IF(ROUND(G191-R191,2)=0,"Matches","Check Entries"))</f>
      </c>
    </row>
    <row r="192" spans="1:19" x14ac:dyDescent="0.25">
      <c r="A192" s="15">
        <f>IF($B192="Entry",COUNTIF($B$8:$B192,"Entry"),"")</f>
      </c>
      <c r="B192" s="16"/>
      <c r="C192" s="17"/>
      <c r="D192" s="18"/>
      <c r="E192" s="18"/>
      <c r="F192" s="19"/>
      <c r="G192" s="20"/>
      <c r="H192" s="21"/>
      <c r="I192" s="22"/>
      <c r="J192" s="22"/>
      <c r="K192" s="22"/>
      <c r="L192" s="23"/>
      <c r="M192" s="24"/>
      <c r="N192" s="25"/>
      <c r="O192" s="24"/>
      <c r="P192" s="24"/>
      <c r="Q192" s="26"/>
      <c r="R192" s="27">
        <f>IF($B192&lt;&gt;"Challan","",SUMIF($C$8:$C$207,$C192,$O$8:$O$207)+SUMIF($C$8:$C$207,$C192,$P$8:$P$207))</f>
      </c>
      <c r="S192" s="27">
        <f>IF(OR($B192&lt;&gt;"Challan",$C192="",G192=0),"",IF(ROUND(G192-R192,2)=0,"Matches","Check Entries"))</f>
      </c>
    </row>
    <row r="193" spans="1:19" x14ac:dyDescent="0.25">
      <c r="A193" s="15">
        <f>IF($B193="Entry",COUNTIF($B$8:$B193,"Entry"),"")</f>
      </c>
      <c r="B193" s="16"/>
      <c r="C193" s="17"/>
      <c r="D193" s="18"/>
      <c r="E193" s="18"/>
      <c r="F193" s="19"/>
      <c r="G193" s="20"/>
      <c r="H193" s="21"/>
      <c r="I193" s="22"/>
      <c r="J193" s="22"/>
      <c r="K193" s="22"/>
      <c r="L193" s="23"/>
      <c r="M193" s="24"/>
      <c r="N193" s="25"/>
      <c r="O193" s="24"/>
      <c r="P193" s="24"/>
      <c r="Q193" s="26"/>
      <c r="R193" s="27">
        <f>IF($B193&lt;&gt;"Challan","",SUMIF($C$8:$C$207,$C193,$O$8:$O$207)+SUMIF($C$8:$C$207,$C193,$P$8:$P$207))</f>
      </c>
      <c r="S193" s="27">
        <f>IF(OR($B193&lt;&gt;"Challan",$C193="",G193=0),"",IF(ROUND(G193-R193,2)=0,"Matches","Check Entries"))</f>
      </c>
    </row>
    <row r="194" spans="1:19" x14ac:dyDescent="0.25">
      <c r="A194" s="15">
        <f>IF($B194="Entry",COUNTIF($B$8:$B194,"Entry"),"")</f>
      </c>
      <c r="B194" s="16"/>
      <c r="C194" s="17"/>
      <c r="D194" s="18"/>
      <c r="E194" s="18"/>
      <c r="F194" s="19"/>
      <c r="G194" s="20"/>
      <c r="H194" s="21"/>
      <c r="I194" s="22"/>
      <c r="J194" s="22"/>
      <c r="K194" s="22"/>
      <c r="L194" s="23"/>
      <c r="M194" s="24"/>
      <c r="N194" s="25"/>
      <c r="O194" s="24"/>
      <c r="P194" s="24"/>
      <c r="Q194" s="26"/>
      <c r="R194" s="27">
        <f>IF($B194&lt;&gt;"Challan","",SUMIF($C$8:$C$207,$C194,$O$8:$O$207)+SUMIF($C$8:$C$207,$C194,$P$8:$P$207))</f>
      </c>
      <c r="S194" s="27">
        <f>IF(OR($B194&lt;&gt;"Challan",$C194="",G194=0),"",IF(ROUND(G194-R194,2)=0,"Matches","Check Entries"))</f>
      </c>
    </row>
    <row r="195" spans="1:19" x14ac:dyDescent="0.25">
      <c r="A195" s="15">
        <f>IF($B195="Entry",COUNTIF($B$8:$B195,"Entry"),"")</f>
      </c>
      <c r="B195" s="16"/>
      <c r="C195" s="17"/>
      <c r="D195" s="18"/>
      <c r="E195" s="18"/>
      <c r="F195" s="19"/>
      <c r="G195" s="20"/>
      <c r="H195" s="21"/>
      <c r="I195" s="22"/>
      <c r="J195" s="22"/>
      <c r="K195" s="22"/>
      <c r="L195" s="23"/>
      <c r="M195" s="24"/>
      <c r="N195" s="25"/>
      <c r="O195" s="24"/>
      <c r="P195" s="24"/>
      <c r="Q195" s="26"/>
      <c r="R195" s="27">
        <f>IF($B195&lt;&gt;"Challan","",SUMIF($C$8:$C$207,$C195,$O$8:$O$207)+SUMIF($C$8:$C$207,$C195,$P$8:$P$207))</f>
      </c>
      <c r="S195" s="27">
        <f>IF(OR($B195&lt;&gt;"Challan",$C195="",G195=0),"",IF(ROUND(G195-R195,2)=0,"Matches","Check Entries"))</f>
      </c>
    </row>
    <row r="196" spans="1:19" x14ac:dyDescent="0.25">
      <c r="A196" s="15">
        <f>IF($B196="Entry",COUNTIF($B$8:$B196,"Entry"),"")</f>
      </c>
      <c r="B196" s="16"/>
      <c r="C196" s="17"/>
      <c r="D196" s="18"/>
      <c r="E196" s="18"/>
      <c r="F196" s="19"/>
      <c r="G196" s="20"/>
      <c r="H196" s="21"/>
      <c r="I196" s="22"/>
      <c r="J196" s="22"/>
      <c r="K196" s="22"/>
      <c r="L196" s="23"/>
      <c r="M196" s="24"/>
      <c r="N196" s="25"/>
      <c r="O196" s="24"/>
      <c r="P196" s="24"/>
      <c r="Q196" s="26"/>
      <c r="R196" s="27">
        <f>IF($B196&lt;&gt;"Challan","",SUMIF($C$8:$C$207,$C196,$O$8:$O$207)+SUMIF($C$8:$C$207,$C196,$P$8:$P$207))</f>
      </c>
      <c r="S196" s="27">
        <f>IF(OR($B196&lt;&gt;"Challan",$C196="",G196=0),"",IF(ROUND(G196-R196,2)=0,"Matches","Check Entries"))</f>
      </c>
    </row>
    <row r="197" spans="1:19" x14ac:dyDescent="0.25">
      <c r="A197" s="15">
        <f>IF($B197="Entry",COUNTIF($B$8:$B197,"Entry"),"")</f>
      </c>
      <c r="B197" s="16"/>
      <c r="C197" s="17"/>
      <c r="D197" s="18"/>
      <c r="E197" s="18"/>
      <c r="F197" s="19"/>
      <c r="G197" s="20"/>
      <c r="H197" s="21"/>
      <c r="I197" s="22"/>
      <c r="J197" s="22"/>
      <c r="K197" s="22"/>
      <c r="L197" s="23"/>
      <c r="M197" s="24"/>
      <c r="N197" s="25"/>
      <c r="O197" s="24"/>
      <c r="P197" s="24"/>
      <c r="Q197" s="26"/>
      <c r="R197" s="27">
        <f>IF($B197&lt;&gt;"Challan","",SUMIF($C$8:$C$207,$C197,$O$8:$O$207)+SUMIF($C$8:$C$207,$C197,$P$8:$P$207))</f>
      </c>
      <c r="S197" s="27">
        <f>IF(OR($B197&lt;&gt;"Challan",$C197="",G197=0),"",IF(ROUND(G197-R197,2)=0,"Matches","Check Entries"))</f>
      </c>
    </row>
    <row r="198" spans="1:19" x14ac:dyDescent="0.25">
      <c r="A198" s="15">
        <f>IF($B198="Entry",COUNTIF($B$8:$B198,"Entry"),"")</f>
      </c>
      <c r="B198" s="16"/>
      <c r="C198" s="17"/>
      <c r="D198" s="18"/>
      <c r="E198" s="18"/>
      <c r="F198" s="19"/>
      <c r="G198" s="20"/>
      <c r="H198" s="21"/>
      <c r="I198" s="22"/>
      <c r="J198" s="22"/>
      <c r="K198" s="22"/>
      <c r="L198" s="23"/>
      <c r="M198" s="24"/>
      <c r="N198" s="25"/>
      <c r="O198" s="24"/>
      <c r="P198" s="24"/>
      <c r="Q198" s="26"/>
      <c r="R198" s="27">
        <f>IF($B198&lt;&gt;"Challan","",SUMIF($C$8:$C$207,$C198,$O$8:$O$207)+SUMIF($C$8:$C$207,$C198,$P$8:$P$207))</f>
      </c>
      <c r="S198" s="27">
        <f>IF(OR($B198&lt;&gt;"Challan",$C198="",G198=0),"",IF(ROUND(G198-R198,2)=0,"Matches","Check Entries"))</f>
      </c>
    </row>
    <row r="199" spans="1:19" x14ac:dyDescent="0.25">
      <c r="A199" s="15">
        <f>IF($B199="Entry",COUNTIF($B$8:$B199,"Entry"),"")</f>
      </c>
      <c r="B199" s="16"/>
      <c r="C199" s="17"/>
      <c r="D199" s="18"/>
      <c r="E199" s="18"/>
      <c r="F199" s="19"/>
      <c r="G199" s="20"/>
      <c r="H199" s="21"/>
      <c r="I199" s="22"/>
      <c r="J199" s="22"/>
      <c r="K199" s="22"/>
      <c r="L199" s="23"/>
      <c r="M199" s="24"/>
      <c r="N199" s="25"/>
      <c r="O199" s="24"/>
      <c r="P199" s="24"/>
      <c r="Q199" s="26"/>
      <c r="R199" s="27">
        <f>IF($B199&lt;&gt;"Challan","",SUMIF($C$8:$C$207,$C199,$O$8:$O$207)+SUMIF($C$8:$C$207,$C199,$P$8:$P$207))</f>
      </c>
      <c r="S199" s="27">
        <f>IF(OR($B199&lt;&gt;"Challan",$C199="",G199=0),"",IF(ROUND(G199-R199,2)=0,"Matches","Check Entries"))</f>
      </c>
    </row>
    <row r="200" spans="1:19" x14ac:dyDescent="0.25">
      <c r="A200" s="15">
        <f>IF($B200="Entry",COUNTIF($B$8:$B200,"Entry"),"")</f>
      </c>
      <c r="B200" s="16"/>
      <c r="C200" s="17"/>
      <c r="D200" s="18"/>
      <c r="E200" s="18"/>
      <c r="F200" s="19"/>
      <c r="G200" s="20"/>
      <c r="H200" s="21"/>
      <c r="I200" s="22"/>
      <c r="J200" s="22"/>
      <c r="K200" s="22"/>
      <c r="L200" s="23"/>
      <c r="M200" s="24"/>
      <c r="N200" s="25"/>
      <c r="O200" s="24"/>
      <c r="P200" s="24"/>
      <c r="Q200" s="26"/>
      <c r="R200" s="27">
        <f>IF($B200&lt;&gt;"Challan","",SUMIF($C$8:$C$207,$C200,$O$8:$O$207)+SUMIF($C$8:$C$207,$C200,$P$8:$P$207))</f>
      </c>
      <c r="S200" s="27">
        <f>IF(OR($B200&lt;&gt;"Challan",$C200="",G200=0),"",IF(ROUND(G200-R200,2)=0,"Matches","Check Entries"))</f>
      </c>
    </row>
    <row r="201" spans="1:19" x14ac:dyDescent="0.25">
      <c r="A201" s="15">
        <f>IF($B201="Entry",COUNTIF($B$8:$B201,"Entry"),"")</f>
      </c>
      <c r="B201" s="16"/>
      <c r="C201" s="17"/>
      <c r="D201" s="18"/>
      <c r="E201" s="18"/>
      <c r="F201" s="19"/>
      <c r="G201" s="20"/>
      <c r="H201" s="21"/>
      <c r="I201" s="22"/>
      <c r="J201" s="22"/>
      <c r="K201" s="22"/>
      <c r="L201" s="23"/>
      <c r="M201" s="24"/>
      <c r="N201" s="25"/>
      <c r="O201" s="24"/>
      <c r="P201" s="24"/>
      <c r="Q201" s="26"/>
      <c r="R201" s="27">
        <f>IF($B201&lt;&gt;"Challan","",SUMIF($C$8:$C$207,$C201,$O$8:$O$207)+SUMIF($C$8:$C$207,$C201,$P$8:$P$207))</f>
      </c>
      <c r="S201" s="27">
        <f>IF(OR($B201&lt;&gt;"Challan",$C201="",G201=0),"",IF(ROUND(G201-R201,2)=0,"Matches","Check Entries"))</f>
      </c>
    </row>
    <row r="202" spans="1:19" x14ac:dyDescent="0.25">
      <c r="A202" s="15">
        <f>IF($B202="Entry",COUNTIF($B$8:$B202,"Entry"),"")</f>
      </c>
      <c r="B202" s="16"/>
      <c r="C202" s="17"/>
      <c r="D202" s="18"/>
      <c r="E202" s="18"/>
      <c r="F202" s="19"/>
      <c r="G202" s="20"/>
      <c r="H202" s="21"/>
      <c r="I202" s="22"/>
      <c r="J202" s="22"/>
      <c r="K202" s="22"/>
      <c r="L202" s="23"/>
      <c r="M202" s="24"/>
      <c r="N202" s="25"/>
      <c r="O202" s="24"/>
      <c r="P202" s="24"/>
      <c r="Q202" s="26"/>
      <c r="R202" s="27">
        <f>IF($B202&lt;&gt;"Challan","",SUMIF($C$8:$C$207,$C202,$O$8:$O$207)+SUMIF($C$8:$C$207,$C202,$P$8:$P$207))</f>
      </c>
      <c r="S202" s="27">
        <f>IF(OR($B202&lt;&gt;"Challan",$C202="",G202=0),"",IF(ROUND(G202-R202,2)=0,"Matches","Check Entries"))</f>
      </c>
    </row>
    <row r="203" spans="1:19" x14ac:dyDescent="0.25">
      <c r="A203" s="15">
        <f>IF($B203="Entry",COUNTIF($B$8:$B203,"Entry"),"")</f>
      </c>
      <c r="B203" s="16"/>
      <c r="C203" s="17"/>
      <c r="D203" s="18"/>
      <c r="E203" s="18"/>
      <c r="F203" s="19"/>
      <c r="G203" s="20"/>
      <c r="H203" s="21"/>
      <c r="I203" s="22"/>
      <c r="J203" s="22"/>
      <c r="K203" s="22"/>
      <c r="L203" s="23"/>
      <c r="M203" s="24"/>
      <c r="N203" s="25"/>
      <c r="O203" s="24"/>
      <c r="P203" s="24"/>
      <c r="Q203" s="26"/>
      <c r="R203" s="27">
        <f>IF($B203&lt;&gt;"Challan","",SUMIF($C$8:$C$207,$C203,$O$8:$O$207)+SUMIF($C$8:$C$207,$C203,$P$8:$P$207))</f>
      </c>
      <c r="S203" s="27">
        <f>IF(OR($B203&lt;&gt;"Challan",$C203="",G203=0),"",IF(ROUND(G203-R203,2)=0,"Matches","Check Entries"))</f>
      </c>
    </row>
    <row r="204" spans="1:19" x14ac:dyDescent="0.25">
      <c r="A204" s="15">
        <f>IF($B204="Entry",COUNTIF($B$8:$B204,"Entry"),"")</f>
      </c>
      <c r="B204" s="16"/>
      <c r="C204" s="17"/>
      <c r="D204" s="18"/>
      <c r="E204" s="18"/>
      <c r="F204" s="19"/>
      <c r="G204" s="20"/>
      <c r="H204" s="21"/>
      <c r="I204" s="22"/>
      <c r="J204" s="22"/>
      <c r="K204" s="22"/>
      <c r="L204" s="23"/>
      <c r="M204" s="24"/>
      <c r="N204" s="25"/>
      <c r="O204" s="24"/>
      <c r="P204" s="24"/>
      <c r="Q204" s="26"/>
      <c r="R204" s="27">
        <f>IF($B204&lt;&gt;"Challan","",SUMIF($C$8:$C$207,$C204,$O$8:$O$207)+SUMIF($C$8:$C$207,$C204,$P$8:$P$207))</f>
      </c>
      <c r="S204" s="27">
        <f>IF(OR($B204&lt;&gt;"Challan",$C204="",G204=0),"",IF(ROUND(G204-R204,2)=0,"Matches","Check Entries"))</f>
      </c>
    </row>
    <row r="205" spans="1:19" x14ac:dyDescent="0.25">
      <c r="A205" s="15">
        <f>IF($B205="Entry",COUNTIF($B$8:$B205,"Entry"),"")</f>
      </c>
      <c r="B205" s="16"/>
      <c r="C205" s="17"/>
      <c r="D205" s="18"/>
      <c r="E205" s="18"/>
      <c r="F205" s="19"/>
      <c r="G205" s="20"/>
      <c r="H205" s="21"/>
      <c r="I205" s="22"/>
      <c r="J205" s="22"/>
      <c r="K205" s="22"/>
      <c r="L205" s="23"/>
      <c r="M205" s="24"/>
      <c r="N205" s="25"/>
      <c r="O205" s="24"/>
      <c r="P205" s="24"/>
      <c r="Q205" s="26"/>
      <c r="R205" s="27">
        <f>IF($B205&lt;&gt;"Challan","",SUMIF($C$8:$C$207,$C205,$O$8:$O$207)+SUMIF($C$8:$C$207,$C205,$P$8:$P$207))</f>
      </c>
      <c r="S205" s="27">
        <f>IF(OR($B205&lt;&gt;"Challan",$C205="",G205=0),"",IF(ROUND(G205-R205,2)=0,"Matches","Check Entries"))</f>
      </c>
    </row>
    <row r="206" spans="1:19" x14ac:dyDescent="0.25">
      <c r="A206" s="15">
        <f>IF($B206="Entry",COUNTIF($B$8:$B206,"Entry"),"")</f>
      </c>
      <c r="B206" s="16"/>
      <c r="C206" s="17"/>
      <c r="D206" s="18"/>
      <c r="E206" s="18"/>
      <c r="F206" s="19"/>
      <c r="G206" s="20"/>
      <c r="H206" s="21"/>
      <c r="I206" s="22"/>
      <c r="J206" s="22"/>
      <c r="K206" s="22"/>
      <c r="L206" s="23"/>
      <c r="M206" s="24"/>
      <c r="N206" s="25"/>
      <c r="O206" s="24"/>
      <c r="P206" s="24"/>
      <c r="Q206" s="26"/>
      <c r="R206" s="27">
        <f>IF($B206&lt;&gt;"Challan","",SUMIF($C$8:$C$207,$C206,$O$8:$O$207)+SUMIF($C$8:$C$207,$C206,$P$8:$P$207))</f>
      </c>
      <c r="S206" s="27">
        <f>IF(OR($B206&lt;&gt;"Challan",$C206="",G206=0),"",IF(ROUND(G206-R206,2)=0,"Matches","Check Entries"))</f>
      </c>
    </row>
    <row r="207" spans="1:19" x14ac:dyDescent="0.25">
      <c r="A207" s="15">
        <f>IF($B207="Entry",COUNTIF($B$8:$B207,"Entry"),"")</f>
      </c>
      <c r="B207" s="16"/>
      <c r="C207" s="17"/>
      <c r="D207" s="18"/>
      <c r="E207" s="18"/>
      <c r="F207" s="19"/>
      <c r="G207" s="20"/>
      <c r="H207" s="21"/>
      <c r="I207" s="22"/>
      <c r="J207" s="22"/>
      <c r="K207" s="22"/>
      <c r="L207" s="23"/>
      <c r="M207" s="24"/>
      <c r="N207" s="25"/>
      <c r="O207" s="24"/>
      <c r="P207" s="24"/>
      <c r="Q207" s="26"/>
      <c r="R207" s="27">
        <f>IF($B207&lt;&gt;"Challan","",SUMIF($C$8:$C$207,$C207,$O$8:$O$207)+SUMIF($C$8:$C$207,$C207,$P$8:$P$207))</f>
      </c>
      <c r="S207" s="27">
        <f>IF(OR($B207&lt;&gt;"Challan",$C207="",G207=0),"",IF(ROUND(G207-R207,2)=0,"Matches","Check Entries"))</f>
      </c>
    </row>
  </sheetData>
  <mergeCells count="1">
    <mergeCell ref="A1:S1"/>
  </mergeCells>
  <conditionalFormatting sqref="A8:S207">
    <cfRule type="expression" dxfId="0" priority="1">
      <formula>$B8="Challan"</formula>
    </cfRule>
  </conditionalFormatting>
  <dataValidations count="11">
    <dataValidation type="list" showErrorMessage="1" errorTitle="Invalid Row Type" error="Pick either Challan or Entry from the dropdown." sqref="B8:B207">
      <formula1>"Challan,Entry"</formula1>
    </dataValidation>
    <dataValidation type="textLength" operator="equal" allowBlank="1" showErrorMessage="1" errorTitle="Invalid BSR Code" error="BSR Code must be exactly 7 characters." sqref="D8:D207">
      <formula1>7</formula1>
    </dataValidation>
    <dataValidation type="date" allowBlank="1" showErrorMessage="1" errorTitle="Invalid Date" error="Enter a real date (use the date picker), between 01-Apr-2020 and 31-Mar-2030." sqref="F8:F207">
      <formula1>43922</formula1>
      <formula2>47573</formula2>
    </dataValidation>
    <dataValidation type="decimal" operator="greaterThanOrEqual" allowBlank="1" showErrorMessage="1" errorTitle="Invalid Amount" error="Amount must be a number of 0 or more (no currency symbols or commas typed in)." sqref="G8:G207">
      <formula1>0</formula1>
    </dataValidation>
    <dataValidation type="custom" allowBlank="1" showErrorMessage="1" errorTitle="Invalid PAN" error="PAN must be 5 letters + 4 digits + 1 letter, uppercase (e.g. AACCP6899F)." sqref="J8:J207">
      <formula1>AND(LEN(J8)=10,CODE(MID(J8,1,1))&gt;=65,CODE(MID(J8,1,1))&lt;=90,CODE(MID(J8,2,1))&gt;=65,CODE(MID(J8,2,1))&lt;=90,CODE(MID(J8,3,1))&gt;=65,CODE(MID(J8,3,1))&lt;=90,CODE(MID(J8,4,1))&gt;=65,CODE(MID(J8,4,1))&lt;=90,CODE(MID(J8,5,1))&gt;=65,CODE(MID(J8,5,1))&lt;=90,CODE(MID(J8,6,1))&gt;=48,CODE(MID(J8,6,1))&lt;=57,CODE(MID(J8,7,1))&gt;=48,CODE(MID(J8,7,1))&lt;=57,CODE(MID(J8,8,1))&gt;=48,CODE(MID(J8,8,1))&lt;=57,CODE(MID(J8,9,1))&gt;=48,CODE(MID(J8,9,1))&lt;=57,CODE(MID(J8,10,1))&gt;=65,CODE(MID(J8,10,1))&lt;=90)</formula1>
    </dataValidation>
    <dataValidation type="list" allowBlank="1" showErrorMessage="1" errorTitle="Invalid Section" error="Pick a section from the dropdown list." sqref="K8:K207">
      <formula1>"192,194A,194C,194D,194H,194I,194IA,194IB,194J,194K,194M,194Q,206C"</formula1>
    </dataValidation>
    <dataValidation type="date" allowBlank="1" showErrorMessage="1" errorTitle="Invalid Date" error="Enter a real date (use the date picker), between 01-Apr-2020 and 31-Mar-2030." sqref="L8:L207">
      <formula1>43922</formula1>
      <formula2>47573</formula2>
    </dataValidation>
    <dataValidation type="decimal" operator="greaterThanOrEqual" allowBlank="1" showErrorMessage="1" errorTitle="Invalid Amount" error="Amount must be a number of 0 or more (no currency symbols or commas typed in)." sqref="M8:M207">
      <formula1>0</formula1>
    </dataValidation>
    <dataValidation type="decimal" allowBlank="1" showErrorMessage="1" errorTitle="Invalid Rate" error="Rate must be a number between 0 and 100 (e.g. enter 10 for 10%, not 0.10)." sqref="N8:N207">
      <formula1>0</formula1>
      <formula2>100</formula2>
    </dataValidation>
    <dataValidation type="decimal" operator="greaterThanOrEqual" allowBlank="1" showErrorMessage="1" errorTitle="Invalid TDS Amount" error="TDS Amount must be a number of 0 or more." sqref="O8:O207">
      <formula1>0</formula1>
    </dataValidation>
    <dataValidation type="decimal" operator="greaterThanOrEqual" allowBlank="1" showErrorMessage="1" errorTitle="Invalid Interest" error="Interest must be a number of 0 or more." sqref="P8:P207">
      <formula1>0</formula1>
    </dataValidation>
  </dataValidation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Instructions</vt:lpstr>
      <vt:lpstr>TDS Data</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CAFlow</dc:creator>
  <dc:title/>
  <dc:subject/>
  <dc:description/>
  <cp:keywords/>
  <cp:category/>
  <cp:lastModifiedBy>Unknown</cp:lastModifiedBy>
  <dcterms:created xsi:type="dcterms:W3CDTF">2026-07-29T00:00:00Z</dcterms:created>
  <dcterms:modified xsi:type="dcterms:W3CDTF">2026-07-29T06:28:31Z</dcterms:modified>
</cp:coreProperties>
</file>