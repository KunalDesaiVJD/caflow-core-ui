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TDS Data" state="visible" r:id="rId5"/>
  </sheets>
  <calcPr calcId="171027"/>
</workbook>
</file>

<file path=xl/sharedStrings.xml><?xml version="1.0" encoding="utf-8"?>
<sst xmlns="http://schemas.openxmlformats.org/spreadsheetml/2006/main" count="212" uniqueCount="126">
  <si>
    <t>TDS DATA ENTRY TEMPLATE — FULL (mirrors the software's Data Entry screen)</t>
  </si>
  <si>
    <t>One sheet, each Challan's full details followed by its Entries — every field and calculation the software itself uses.</t>
  </si>
  <si>
    <t>How This Template Works</t>
  </si>
  <si>
    <t>•</t>
  </si>
  <si>
    <t>This workbook has TWO sheets: this Instructions sheet, and "TDS Data" — the only sheet you fill in.</t>
  </si>
  <si>
    <t>A challan is identified the SAME way the software identifies it — by BSR Code + Challan Serial No. There is no separate "Challan ID" to invent.</t>
  </si>
  <si>
    <t>Every row on TDS Data is tagged Challan or Entry via the Row Type dropdown. Add a Challan row with its full deposit breakdown, then add one Entry row directly below it for every deductee paid under that challan — repeating that SAME Challan Serial No. in the Entry row to link back to it.</t>
  </si>
  <si>
    <t>One challan can have MANY entries. "Applied", "Allocatable", "Balance" and "Status" (green columns, Challan rows only) update live as you add entries — mirrors the software's own utilisation tracking.</t>
  </si>
  <si>
    <t>"TDS Amount" and "Interest Amount" (green) calculate automatically — TDS = Amount Paid × Rate; Interest follows Section 201(1A): 1.5% per month (or part) late, counted from the deduction month's 7th-of-next-month due date to the challan's deposit date.</t>
  </si>
  <si>
    <t>Rows 4–7 (gray) are a worked example — one Challan with THREE linked entries. Delete them, overwrite them, or leave them — the software recognises the example Challan Serial No. and always excludes all four rows from import.</t>
  </si>
  <si>
    <t>Do not rename the sheet tab, insert/delete columns, or change the header row (row 3) — the software matches columns by these exact header names.</t>
  </si>
  <si>
    <t>What This Template CANNOT Do (please read)</t>
  </si>
  <si>
    <t>Multi-quarter carry-forward: in the software, an unused challan balance is automatically rediscovered in a LATER quarter by querying the live database. A static Excel file can't do that — "Applied"/"Balance" here only sees entries typed into THIS workbook.</t>
  </si>
  <si>
    <t>Global Challan Number uniqueness: the software checks a new Challan Number against every challan for every client and firm, live. This workbook can only check for duplicates WITHIN itself.</t>
  </si>
  <si>
    <t>The 192B Salary tax calculator (24Q salary deductees) is a separate, more involved computation in the software (tax slabs, regime, rebate) and is not reproduced here — enter the Salary deductee's TDS Amount directly.</t>
  </si>
  <si>
    <t>Field Guide — Challan Rows (blue columns)</t>
  </si>
  <si>
    <t>BSR Code*</t>
  </si>
  <si>
    <t>Exactly 7 digits, printed on the challan receipt.</t>
  </si>
  <si>
    <t>Challan Serial No.*</t>
  </si>
  <si>
    <t>Exactly 5 digits, printed on the challan receipt. Together with BSR Code, this IS the challan's identity — repeat it on every linked Entry row.</t>
  </si>
  <si>
    <t>Date of Deposit*</t>
  </si>
  <si>
    <t>Date this challan was deposited with the bank (use the date picker).</t>
  </si>
  <si>
    <t>Minor Head*</t>
  </si>
  <si>
    <t>200 = TDS Payable (regular), 400 = TDS on Regular Assessment (demand payment).</t>
  </si>
  <si>
    <t>Tax Deposited (₹)*</t>
  </si>
  <si>
    <t>The basic TDS/TCS amount actually deposited via this challan.</t>
  </si>
  <si>
    <t>Surcharge Deposited (₹)</t>
  </si>
  <si>
    <t>Surcharge component of this challan's deposit, if any.</t>
  </si>
  <si>
    <t>Education Cess Deposited (₹)</t>
  </si>
  <si>
    <t>Cess component of this challan's deposit, if any.</t>
  </si>
  <si>
    <t>Interest Deposited (₹)</t>
  </si>
  <si>
    <t>Interest (201(1A)) component of this challan's deposit, if any.</t>
  </si>
  <si>
    <t>Others Deposited (₹)</t>
  </si>
  <si>
    <t>Any other component (e.g. penalty) of this challan's deposit.</t>
  </si>
  <si>
    <t>Late Fees u/s 234E (₹)</t>
  </si>
  <si>
    <t>Late-filing fee levied under Section 234E, if any — kept separate from the TDS-allocatable amount, same as the software.</t>
  </si>
  <si>
    <t>Late Fees Used (₹)</t>
  </si>
  <si>
    <t>How much of the 234E late fee above has been accounted for/paid. Cannot exceed Late Fees u/s 234E.</t>
  </si>
  <si>
    <t>Total Challan Amount (₹)</t>
  </si>
  <si>
    <t>Calculates automatically — sum of Tax + Surcharge + Cess + Interest + Others + Late Fees 234E. Do not edit.</t>
  </si>
  <si>
    <t>Bank Name</t>
  </si>
  <si>
    <t>Optional — the bank where the challan was deposited.</t>
  </si>
  <si>
    <t>Book Entry?</t>
  </si>
  <si>
    <t>Y if this was a government book-entry payment (no cheque/DD), N otherwise.</t>
  </si>
  <si>
    <t>Transfer Voucher No.</t>
  </si>
  <si>
    <t>Only if Book Entry = Y.</t>
  </si>
  <si>
    <t>Cheque/DD No.</t>
  </si>
  <si>
    <t>Only if Book Entry = N.</t>
  </si>
  <si>
    <t>Challan Remarks</t>
  </si>
  <si>
    <t>Optional — any note against this challan.</t>
  </si>
  <si>
    <t>Field Guide — Entry Rows (yellow columns)</t>
  </si>
  <si>
    <t>Must match a Challan Serial No. already entered on a Challan row above — this is how the entry links to its challan.</t>
  </si>
  <si>
    <t>Deductee Name*</t>
  </si>
  <si>
    <t>Full legal name of the person/entity paid.</t>
  </si>
  <si>
    <t>PAN*</t>
  </si>
  <si>
    <t>10-character PAN, 5 letters + 4 digits + 1 letter, UPPERCASE. Leave blank only if PAN Not Available = Y.</t>
  </si>
  <si>
    <t>PAN Not Available?</t>
  </si>
  <si>
    <t>Y if this deductee genuinely has no PAN (206AA higher-rate case).</t>
  </si>
  <si>
    <t>Deductee Type*</t>
  </si>
  <si>
    <t>Individual/HUF/Company/Firm/LLP/Trust/AOP — for your own records.</t>
  </si>
  <si>
    <t>Section*</t>
  </si>
  <si>
    <t>Pick from the dropdown — the TDS section under which this deduction was made.</t>
  </si>
  <si>
    <t>Rate of TDS (%)*</t>
  </si>
  <si>
    <t>The rate you actually applied.</t>
  </si>
  <si>
    <t>Date of Payment/Credit*</t>
  </si>
  <si>
    <t>Date the deductee was paid or credited, whichever is earlier.</t>
  </si>
  <si>
    <t>Amount Paid/Credited (₹)*</t>
  </si>
  <si>
    <t>Gross amount paid/credited, before TDS.</t>
  </si>
  <si>
    <t>TDS Amount (₹)</t>
  </si>
  <si>
    <t>Calculates automatically as ROUND(Amount Paid × Rate of TDS / 100). Do not edit.</t>
  </si>
  <si>
    <t>Surcharge Amount (₹)</t>
  </si>
  <si>
    <t>Surcharge actually deducted on this entry, if any.</t>
  </si>
  <si>
    <t>Education Cess Amount (₹)</t>
  </si>
  <si>
    <t>Cess actually deducted on this entry, if any. (Not counted in the challan's Applied/Balance — same as the software.)</t>
  </si>
  <si>
    <t>Interest Amount (₹)</t>
  </si>
  <si>
    <t>Calculates automatically per Section 201(1A): 0 if deposited on/before the 7th of the month following deduction; otherwise 1.5% of TDS per month (or part) late, using this entry's Challan row's Date of Deposit.</t>
  </si>
  <si>
    <t>Late Fees Amount (₹)</t>
  </si>
  <si>
    <t>Any late-fee amount attributed to this specific entry (rare). Not counted in Applied/Balance.</t>
  </si>
  <si>
    <t>Reason Code</t>
  </si>
  <si>
    <t>Only if TDS was NOT deducted or was deducted at a lower rate — A (below threshold) / B (197 lower-rate certificate) / C (197A Form 15G/15H) / D (payment to Government) / E (notification exemption) / Y (other reason) / Z (206AA no PAN).</t>
  </si>
  <si>
    <t>Lower Deduction Certificate No.</t>
  </si>
  <si>
    <t>Only if Reason Code = B.</t>
  </si>
  <si>
    <t>Lower Deduction Rate (%)</t>
  </si>
  <si>
    <t>Only if Reason Code = B — the rate specified on the certificate.</t>
  </si>
  <si>
    <t>Country of Residence</t>
  </si>
  <si>
    <t>27Q (non-resident) deductees only.</t>
  </si>
  <si>
    <t>Remarks</t>
  </si>
  <si>
    <t>Optional — any note against this entry.</t>
  </si>
  <si>
    <t>Format Standards (apply throughout)</t>
  </si>
  <si>
    <t>Name: full legal name, avoid abbreviations where possible.</t>
  </si>
  <si>
    <t>PAN: uppercase letters and digits only, no spaces or dashes.</t>
  </si>
  <si>
    <t>Dates: use Excel's own date entry (date picker) — never typed as a plain sentence.</t>
  </si>
  <si>
    <t>Amounts (₹): plain numbers only — no currency symbols or manually typed commas.</t>
  </si>
  <si>
    <t>Percentages (Rate): enter as a plain number, e.g. 10 for 10%, not 0.10.</t>
  </si>
  <si>
    <t>Rows marked with * are required for that row's type — do not leave them blank.</t>
  </si>
  <si>
    <t>TDS DATA  —  each Challan row's full details, followed by its Entry rows</t>
  </si>
  <si>
    <t>Rows 4–7 (gray) are a worked example — one Challan with THREE linked entries. The example Challan Serial No. is auto-excluded on import, so delete, overwrite, or leave them as-is.</t>
  </si>
  <si>
    <t>Sr. No.</t>
  </si>
  <si>
    <t>Row Type*</t>
  </si>
  <si>
    <t>Applied (₹)</t>
  </si>
  <si>
    <t>Allocatable (₹)</t>
  </si>
  <si>
    <t>Balance (₹)</t>
  </si>
  <si>
    <t>Status</t>
  </si>
  <si>
    <t>Linked Challan Deposit Date (internal)</t>
  </si>
  <si>
    <t>Challan</t>
  </si>
  <si>
    <t>0510002</t>
  </si>
  <si>
    <t>EXAMPLE-DO-NOT-IMPORT</t>
  </si>
  <si>
    <t>200</t>
  </si>
  <si>
    <t>(auto)</t>
  </si>
  <si>
    <t>HDFC Bank</t>
  </si>
  <si>
    <t>N</t>
  </si>
  <si>
    <t/>
  </si>
  <si>
    <t>Worked example — see Instructions</t>
  </si>
  <si>
    <t>Entry</t>
  </si>
  <si>
    <t>ADINATH PROCESSING INDUSTRIES PRIVATE LIMITED</t>
  </si>
  <si>
    <t>AACCP6899F</t>
  </si>
  <si>
    <t>Company</t>
  </si>
  <si>
    <t>194C</t>
  </si>
  <si>
    <t>A-ONE CHEM TRADE PVT. LTD.</t>
  </si>
  <si>
    <t>AAGCA2480D</t>
  </si>
  <si>
    <t>KHYATI CHEMICALS PRIVATE LIMITED</t>
  </si>
  <si>
    <t>AAACK6277E</t>
  </si>
  <si>
    <t>194J(a)</t>
  </si>
  <si>
    <t>B</t>
  </si>
  <si>
    <t>LDC/2026/001</t>
  </si>
  <si>
    <t>NIL rate, LDC on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</si>
</sst>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  <name val="Arial"/>
    </font>
    <font>
      <i/>
      <color rgb="FF595959"/>
      <sz val="10"/>
      <name val="Arial"/>
    </font>
    <font>
      <b/>
      <color rgb="FF1F3864"/>
      <sz val="12"/>
      <name val="Arial"/>
    </font>
    <font>
      <sz val="10"/>
      <name val="Arial"/>
    </font>
    <font>
      <b/>
      <sz val="10"/>
      <name val="Arial"/>
    </font>
    <font>
      <b/>
      <color rgb="FF1F3864"/>
      <sz val="13"/>
      <name val="Arial"/>
    </font>
    <font>
      <b/>
      <color rgb="FFFFFFFF"/>
      <sz val="10"/>
      <name val="Arial"/>
    </font>
    <font>
      <i/>
      <color rgb="FF808080"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/>
    <xf numFmtId="0" fontId="2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8" fillId="3" borderId="2" xfId="0" applyFont="1" applyFill="1" applyBorder="1"/>
    <xf numFmtId="49" fontId="8" fillId="3" borderId="2" xfId="0" applyNumberFormat="1" applyFont="1" applyFill="1" applyBorder="1"/>
    <xf numFmtId="164" fontId="8" fillId="3" borderId="2" xfId="0" applyNumberFormat="1" applyFont="1" applyFill="1" applyBorder="1"/>
    <xf numFmtId="3" fontId="8" fillId="3" borderId="2" xfId="0" applyNumberFormat="1" applyFont="1" applyFill="1" applyBorder="1"/>
    <xf numFmtId="2" fontId="8" fillId="3" borderId="2" xfId="0" applyNumberFormat="1" applyFont="1" applyFill="1" applyBorder="1"/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49" fontId="4" fillId="5" borderId="2" xfId="0" applyNumberFormat="1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3" fontId="4" fillId="5" borderId="2" xfId="0" applyNumberFormat="1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2" fontId="4" fillId="7" borderId="2" xfId="0" applyNumberFormat="1" applyFont="1" applyFill="1" applyBorder="1" applyAlignment="1">
      <alignment horizontal="left" vertical="center"/>
    </xf>
    <xf numFmtId="164" fontId="4" fillId="7" borderId="2" xfId="0" applyNumberFormat="1" applyFont="1" applyFill="1" applyBorder="1" applyAlignment="1">
      <alignment horizontal="left" vertical="center"/>
    </xf>
    <xf numFmtId="3" fontId="4" fillId="7" borderId="2" xfId="0" applyNumberFormat="1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4">
    <dxf>
      <font>
        <b/>
      </font>
      <fill>
        <patternFill patternType="solid">
          <bgColor rgb="FFEAF1FB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ont>
        <b/>
      </font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66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style="1" customWidth="1"/>
    <col min="3" max="3" width="66" style="1" customWidth="1"/>
    <col min="4" max="4" width="3" customWidth="1"/>
  </cols>
  <sheetData>
    <row r="2" spans="2:3" x14ac:dyDescent="0.25">
      <c r="B2" s="2" t="s">
        <v>0</v>
      </c>
      <c r="C2" s="2"/>
    </row>
    <row r="3" spans="2:3" x14ac:dyDescent="0.25">
      <c r="B3" s="3" t="s">
        <v>1</v>
      </c>
      <c r="C3" s="3"/>
    </row>
    <row r="5" spans="2:3" x14ac:dyDescent="0.25">
      <c r="B5" s="4" t="s">
        <v>2</v>
      </c>
      <c r="C5" s="4"/>
    </row>
    <row r="6" spans="2:3" x14ac:dyDescent="0.25">
      <c r="B6" s="5" t="s">
        <v>3</v>
      </c>
      <c r="C6" s="5" t="s">
        <v>4</v>
      </c>
    </row>
    <row r="7" spans="2:3" x14ac:dyDescent="0.25">
      <c r="B7" s="5" t="s">
        <v>3</v>
      </c>
      <c r="C7" s="5" t="s">
        <v>5</v>
      </c>
    </row>
    <row r="8" spans="2:3" x14ac:dyDescent="0.25">
      <c r="B8" s="5" t="s">
        <v>3</v>
      </c>
      <c r="C8" s="5" t="s">
        <v>6</v>
      </c>
    </row>
    <row r="9" spans="2:3" x14ac:dyDescent="0.25">
      <c r="B9" s="5" t="s">
        <v>3</v>
      </c>
      <c r="C9" s="5" t="s">
        <v>7</v>
      </c>
    </row>
    <row r="10" spans="2:3" x14ac:dyDescent="0.25">
      <c r="B10" s="5" t="s">
        <v>3</v>
      </c>
      <c r="C10" s="5" t="s">
        <v>8</v>
      </c>
    </row>
    <row r="11" spans="2:3" x14ac:dyDescent="0.25">
      <c r="B11" s="5" t="s">
        <v>3</v>
      </c>
      <c r="C11" s="5" t="s">
        <v>9</v>
      </c>
    </row>
    <row r="12" spans="2:3" x14ac:dyDescent="0.25">
      <c r="B12" s="5" t="s">
        <v>3</v>
      </c>
      <c r="C12" s="5" t="s">
        <v>10</v>
      </c>
    </row>
    <row r="14" spans="2:3" x14ac:dyDescent="0.25">
      <c r="B14" s="4" t="s">
        <v>11</v>
      </c>
      <c r="C14" s="4"/>
    </row>
    <row r="15" spans="2:3" x14ac:dyDescent="0.25">
      <c r="B15" s="5" t="s">
        <v>3</v>
      </c>
      <c r="C15" s="5" t="s">
        <v>12</v>
      </c>
    </row>
    <row r="16" spans="2:3" x14ac:dyDescent="0.25">
      <c r="B16" s="5" t="s">
        <v>3</v>
      </c>
      <c r="C16" s="5" t="s">
        <v>13</v>
      </c>
    </row>
    <row r="17" spans="2:3" x14ac:dyDescent="0.25">
      <c r="B17" s="5" t="s">
        <v>3</v>
      </c>
      <c r="C17" s="5" t="s">
        <v>14</v>
      </c>
    </row>
    <row r="19" spans="2:3" x14ac:dyDescent="0.25">
      <c r="B19" s="4" t="s">
        <v>15</v>
      </c>
      <c r="C19" s="4"/>
    </row>
    <row r="20" spans="2:3" x14ac:dyDescent="0.25">
      <c r="B20" s="6" t="s">
        <v>16</v>
      </c>
      <c r="C20" s="5" t="s">
        <v>17</v>
      </c>
    </row>
    <row r="21" spans="2:3" x14ac:dyDescent="0.25">
      <c r="B21" s="6" t="s">
        <v>18</v>
      </c>
      <c r="C21" s="5" t="s">
        <v>19</v>
      </c>
    </row>
    <row r="22" spans="2:3" x14ac:dyDescent="0.25">
      <c r="B22" s="6" t="s">
        <v>20</v>
      </c>
      <c r="C22" s="5" t="s">
        <v>21</v>
      </c>
    </row>
    <row r="23" spans="2:3" x14ac:dyDescent="0.25">
      <c r="B23" s="6" t="s">
        <v>22</v>
      </c>
      <c r="C23" s="5" t="s">
        <v>23</v>
      </c>
    </row>
    <row r="24" spans="2:3" x14ac:dyDescent="0.25">
      <c r="B24" s="6" t="s">
        <v>24</v>
      </c>
      <c r="C24" s="5" t="s">
        <v>25</v>
      </c>
    </row>
    <row r="25" spans="2:3" x14ac:dyDescent="0.25">
      <c r="B25" s="6" t="s">
        <v>26</v>
      </c>
      <c r="C25" s="5" t="s">
        <v>27</v>
      </c>
    </row>
    <row r="26" spans="2:3" x14ac:dyDescent="0.25">
      <c r="B26" s="6" t="s">
        <v>28</v>
      </c>
      <c r="C26" s="5" t="s">
        <v>29</v>
      </c>
    </row>
    <row r="27" spans="2:3" x14ac:dyDescent="0.25">
      <c r="B27" s="6" t="s">
        <v>30</v>
      </c>
      <c r="C27" s="5" t="s">
        <v>31</v>
      </c>
    </row>
    <row r="28" spans="2:3" x14ac:dyDescent="0.25">
      <c r="B28" s="6" t="s">
        <v>32</v>
      </c>
      <c r="C28" s="5" t="s">
        <v>33</v>
      </c>
    </row>
    <row r="29" spans="2:3" x14ac:dyDescent="0.25">
      <c r="B29" s="6" t="s">
        <v>34</v>
      </c>
      <c r="C29" s="5" t="s">
        <v>35</v>
      </c>
    </row>
    <row r="30" spans="2:3" x14ac:dyDescent="0.25">
      <c r="B30" s="6" t="s">
        <v>36</v>
      </c>
      <c r="C30" s="5" t="s">
        <v>37</v>
      </c>
    </row>
    <row r="31" spans="2:3" x14ac:dyDescent="0.25">
      <c r="B31" s="6" t="s">
        <v>38</v>
      </c>
      <c r="C31" s="5" t="s">
        <v>39</v>
      </c>
    </row>
    <row r="32" spans="2:3" x14ac:dyDescent="0.25">
      <c r="B32" s="6" t="s">
        <v>40</v>
      </c>
      <c r="C32" s="5" t="s">
        <v>41</v>
      </c>
    </row>
    <row r="33" spans="2:3" x14ac:dyDescent="0.25">
      <c r="B33" s="6" t="s">
        <v>42</v>
      </c>
      <c r="C33" s="5" t="s">
        <v>43</v>
      </c>
    </row>
    <row r="34" spans="2:3" x14ac:dyDescent="0.25">
      <c r="B34" s="6" t="s">
        <v>44</v>
      </c>
      <c r="C34" s="5" t="s">
        <v>45</v>
      </c>
    </row>
    <row r="35" spans="2:3" x14ac:dyDescent="0.25">
      <c r="B35" s="6" t="s">
        <v>46</v>
      </c>
      <c r="C35" s="5" t="s">
        <v>47</v>
      </c>
    </row>
    <row r="36" spans="2:3" x14ac:dyDescent="0.25">
      <c r="B36" s="6" t="s">
        <v>48</v>
      </c>
      <c r="C36" s="5" t="s">
        <v>49</v>
      </c>
    </row>
    <row r="38" spans="2:3" x14ac:dyDescent="0.25">
      <c r="B38" s="4" t="s">
        <v>50</v>
      </c>
      <c r="C38" s="4"/>
    </row>
    <row r="39" spans="2:3" x14ac:dyDescent="0.25">
      <c r="B39" s="6" t="s">
        <v>18</v>
      </c>
      <c r="C39" s="5" t="s">
        <v>51</v>
      </c>
    </row>
    <row r="40" spans="2:3" x14ac:dyDescent="0.25">
      <c r="B40" s="6" t="s">
        <v>52</v>
      </c>
      <c r="C40" s="5" t="s">
        <v>53</v>
      </c>
    </row>
    <row r="41" spans="2:3" x14ac:dyDescent="0.25">
      <c r="B41" s="6" t="s">
        <v>54</v>
      </c>
      <c r="C41" s="5" t="s">
        <v>55</v>
      </c>
    </row>
    <row r="42" spans="2:3" x14ac:dyDescent="0.25">
      <c r="B42" s="6" t="s">
        <v>56</v>
      </c>
      <c r="C42" s="5" t="s">
        <v>57</v>
      </c>
    </row>
    <row r="43" spans="2:3" x14ac:dyDescent="0.25">
      <c r="B43" s="6" t="s">
        <v>58</v>
      </c>
      <c r="C43" s="5" t="s">
        <v>59</v>
      </c>
    </row>
    <row r="44" spans="2:3" x14ac:dyDescent="0.25">
      <c r="B44" s="6" t="s">
        <v>60</v>
      </c>
      <c r="C44" s="5" t="s">
        <v>61</v>
      </c>
    </row>
    <row r="45" spans="2:3" x14ac:dyDescent="0.25">
      <c r="B45" s="6" t="s">
        <v>62</v>
      </c>
      <c r="C45" s="5" t="s">
        <v>63</v>
      </c>
    </row>
    <row r="46" spans="2:3" x14ac:dyDescent="0.25">
      <c r="B46" s="6" t="s">
        <v>64</v>
      </c>
      <c r="C46" s="5" t="s">
        <v>65</v>
      </c>
    </row>
    <row r="47" spans="2:3" x14ac:dyDescent="0.25">
      <c r="B47" s="6" t="s">
        <v>66</v>
      </c>
      <c r="C47" s="5" t="s">
        <v>67</v>
      </c>
    </row>
    <row r="48" spans="2:3" x14ac:dyDescent="0.25">
      <c r="B48" s="6" t="s">
        <v>68</v>
      </c>
      <c r="C48" s="5" t="s">
        <v>69</v>
      </c>
    </row>
    <row r="49" spans="2:3" x14ac:dyDescent="0.25">
      <c r="B49" s="6" t="s">
        <v>70</v>
      </c>
      <c r="C49" s="5" t="s">
        <v>71</v>
      </c>
    </row>
    <row r="50" spans="2:3" x14ac:dyDescent="0.25">
      <c r="B50" s="6" t="s">
        <v>72</v>
      </c>
      <c r="C50" s="5" t="s">
        <v>73</v>
      </c>
    </row>
    <row r="51" spans="2:3" x14ac:dyDescent="0.25">
      <c r="B51" s="6" t="s">
        <v>74</v>
      </c>
      <c r="C51" s="5" t="s">
        <v>75</v>
      </c>
    </row>
    <row r="52" spans="2:3" x14ac:dyDescent="0.25">
      <c r="B52" s="6" t="s">
        <v>76</v>
      </c>
      <c r="C52" s="5" t="s">
        <v>77</v>
      </c>
    </row>
    <row r="53" spans="2:3" x14ac:dyDescent="0.25">
      <c r="B53" s="6" t="s">
        <v>78</v>
      </c>
      <c r="C53" s="5" t="s">
        <v>79</v>
      </c>
    </row>
    <row r="54" spans="2:3" x14ac:dyDescent="0.25">
      <c r="B54" s="6" t="s">
        <v>80</v>
      </c>
      <c r="C54" s="5" t="s">
        <v>81</v>
      </c>
    </row>
    <row r="55" spans="2:3" x14ac:dyDescent="0.25">
      <c r="B55" s="6" t="s">
        <v>82</v>
      </c>
      <c r="C55" s="5" t="s">
        <v>83</v>
      </c>
    </row>
    <row r="56" spans="2:3" x14ac:dyDescent="0.25">
      <c r="B56" s="6" t="s">
        <v>84</v>
      </c>
      <c r="C56" s="5" t="s">
        <v>85</v>
      </c>
    </row>
    <row r="57" spans="2:3" x14ac:dyDescent="0.25">
      <c r="B57" s="6" t="s">
        <v>86</v>
      </c>
      <c r="C57" s="5" t="s">
        <v>87</v>
      </c>
    </row>
    <row r="59" spans="2:3" x14ac:dyDescent="0.25">
      <c r="B59" s="4" t="s">
        <v>88</v>
      </c>
      <c r="C59" s="4"/>
    </row>
    <row r="60" spans="2:3" x14ac:dyDescent="0.25">
      <c r="B60" s="5" t="s">
        <v>3</v>
      </c>
      <c r="C60" s="5" t="s">
        <v>89</v>
      </c>
    </row>
    <row r="61" spans="2:3" x14ac:dyDescent="0.25">
      <c r="B61" s="5" t="s">
        <v>3</v>
      </c>
      <c r="C61" s="5" t="s">
        <v>90</v>
      </c>
    </row>
    <row r="62" spans="2:3" x14ac:dyDescent="0.25">
      <c r="B62" s="5" t="s">
        <v>3</v>
      </c>
      <c r="C62" s="5" t="s">
        <v>91</v>
      </c>
    </row>
    <row r="63" spans="2:3" x14ac:dyDescent="0.25">
      <c r="B63" s="5" t="s">
        <v>3</v>
      </c>
      <c r="C63" s="5" t="s">
        <v>92</v>
      </c>
    </row>
    <row r="64" spans="2:3" x14ac:dyDescent="0.25">
      <c r="B64" s="5" t="s">
        <v>3</v>
      </c>
      <c r="C64" s="5" t="s">
        <v>93</v>
      </c>
    </row>
    <row r="66" spans="2:3" x14ac:dyDescent="0.25">
      <c r="B66" s="4" t="s">
        <v>94</v>
      </c>
      <c r="C66" s="4"/>
    </row>
  </sheetData>
  <mergeCells count="8">
    <mergeCell ref="B2:C2"/>
    <mergeCell ref="B3:C3"/>
    <mergeCell ref="B5:C5"/>
    <mergeCell ref="B14:C14"/>
    <mergeCell ref="B19:C19"/>
    <mergeCell ref="B38:C38"/>
    <mergeCell ref="B59:C59"/>
    <mergeCell ref="B66:C6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207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0" customWidth="1"/>
    <col min="3" max="18" width="12" customWidth="1"/>
    <col min="19" max="19" width="18" customWidth="1"/>
    <col min="20" max="20" width="26" customWidth="1"/>
    <col min="21" max="36" width="12" customWidth="1"/>
    <col min="37" max="37" width="18" customWidth="1"/>
    <col min="38" max="40" width="12" customWidth="1"/>
    <col min="41" max="41" width="13" customWidth="1"/>
    <col min="42" max="42" width="12" hidden="1" customWidth="1"/>
  </cols>
  <sheetData>
    <row r="1" ht="22" customHeight="1" spans="3:41" x14ac:dyDescent="0.25">
      <c r="C1" s="7" t="s">
        <v>95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</row>
    <row r="2" spans="1:41" x14ac:dyDescent="0.25">
      <c r="A2" s="8" t="s">
        <v>96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</row>
    <row r="3" ht="40" customHeight="1" spans="1:42" x14ac:dyDescent="0.25">
      <c r="A3" s="9" t="s">
        <v>97</v>
      </c>
      <c r="B3" s="9" t="s">
        <v>98</v>
      </c>
      <c r="C3" s="9" t="s">
        <v>16</v>
      </c>
      <c r="D3" s="9" t="s">
        <v>18</v>
      </c>
      <c r="E3" s="9" t="s">
        <v>20</v>
      </c>
      <c r="F3" s="9" t="s">
        <v>22</v>
      </c>
      <c r="G3" s="9" t="s">
        <v>24</v>
      </c>
      <c r="H3" s="9" t="s">
        <v>26</v>
      </c>
      <c r="I3" s="9" t="s">
        <v>28</v>
      </c>
      <c r="J3" s="9" t="s">
        <v>30</v>
      </c>
      <c r="K3" s="9" t="s">
        <v>32</v>
      </c>
      <c r="L3" s="9" t="s">
        <v>34</v>
      </c>
      <c r="M3" s="9" t="s">
        <v>36</v>
      </c>
      <c r="N3" s="9" t="s">
        <v>38</v>
      </c>
      <c r="O3" s="9" t="s">
        <v>40</v>
      </c>
      <c r="P3" s="9" t="s">
        <v>42</v>
      </c>
      <c r="Q3" s="9" t="s">
        <v>44</v>
      </c>
      <c r="R3" s="9" t="s">
        <v>46</v>
      </c>
      <c r="S3" s="9" t="s">
        <v>48</v>
      </c>
      <c r="T3" s="9" t="s">
        <v>52</v>
      </c>
      <c r="U3" s="9" t="s">
        <v>54</v>
      </c>
      <c r="V3" s="9" t="s">
        <v>56</v>
      </c>
      <c r="W3" s="9" t="s">
        <v>58</v>
      </c>
      <c r="X3" s="9" t="s">
        <v>60</v>
      </c>
      <c r="Y3" s="9" t="s">
        <v>62</v>
      </c>
      <c r="Z3" s="9" t="s">
        <v>64</v>
      </c>
      <c r="AA3" s="9" t="s">
        <v>66</v>
      </c>
      <c r="AB3" s="9" t="s">
        <v>68</v>
      </c>
      <c r="AC3" s="9" t="s">
        <v>70</v>
      </c>
      <c r="AD3" s="9" t="s">
        <v>72</v>
      </c>
      <c r="AE3" s="9" t="s">
        <v>74</v>
      </c>
      <c r="AF3" s="9" t="s">
        <v>76</v>
      </c>
      <c r="AG3" s="9" t="s">
        <v>78</v>
      </c>
      <c r="AH3" s="9" t="s">
        <v>80</v>
      </c>
      <c r="AI3" s="9" t="s">
        <v>82</v>
      </c>
      <c r="AJ3" s="9" t="s">
        <v>84</v>
      </c>
      <c r="AK3" s="9" t="s">
        <v>86</v>
      </c>
      <c r="AL3" s="9" t="s">
        <v>99</v>
      </c>
      <c r="AM3" s="9" t="s">
        <v>100</v>
      </c>
      <c r="AN3" s="9" t="s">
        <v>101</v>
      </c>
      <c r="AO3" s="9" t="s">
        <v>102</v>
      </c>
      <c r="AP3" s="9" t="s">
        <v>103</v>
      </c>
    </row>
    <row r="4" spans="1:42" x14ac:dyDescent="0.25">
      <c r="A4" s="10"/>
      <c r="B4" s="10" t="s">
        <v>104</v>
      </c>
      <c r="C4" s="11" t="s">
        <v>105</v>
      </c>
      <c r="D4" s="11" t="s">
        <v>106</v>
      </c>
      <c r="E4" s="12">
        <v>46177</v>
      </c>
      <c r="F4" s="10" t="s">
        <v>107</v>
      </c>
      <c r="G4" s="13">
        <v>6558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0" t="s">
        <v>108</v>
      </c>
      <c r="O4" s="10" t="s">
        <v>109</v>
      </c>
      <c r="P4" s="10" t="s">
        <v>110</v>
      </c>
      <c r="Q4" s="10"/>
      <c r="R4" s="10" t="s">
        <v>111</v>
      </c>
      <c r="S4" s="10" t="s">
        <v>112</v>
      </c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 t="s">
        <v>108</v>
      </c>
      <c r="AM4" s="10" t="s">
        <v>108</v>
      </c>
      <c r="AN4" s="10" t="s">
        <v>108</v>
      </c>
      <c r="AO4" s="10" t="s">
        <v>108</v>
      </c>
      <c r="AP4" s="10" t="s">
        <v>111</v>
      </c>
    </row>
    <row r="5" spans="1:42" x14ac:dyDescent="0.25">
      <c r="A5" s="10" t="s">
        <v>108</v>
      </c>
      <c r="B5" s="10" t="s">
        <v>113</v>
      </c>
      <c r="C5" s="10"/>
      <c r="D5" s="11" t="s">
        <v>106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 t="s">
        <v>114</v>
      </c>
      <c r="U5" s="10" t="s">
        <v>115</v>
      </c>
      <c r="V5" s="10" t="s">
        <v>110</v>
      </c>
      <c r="W5" s="10" t="s">
        <v>116</v>
      </c>
      <c r="X5" s="10" t="s">
        <v>117</v>
      </c>
      <c r="Y5" s="14">
        <v>0.1</v>
      </c>
      <c r="Z5" s="12">
        <v>46173</v>
      </c>
      <c r="AA5" s="13">
        <v>5558172</v>
      </c>
      <c r="AB5" s="10" t="s">
        <v>108</v>
      </c>
      <c r="AC5" s="13">
        <v>0</v>
      </c>
      <c r="AD5" s="13">
        <v>0</v>
      </c>
      <c r="AE5" s="10" t="s">
        <v>108</v>
      </c>
      <c r="AF5" s="13">
        <v>0</v>
      </c>
      <c r="AG5" s="10" t="s">
        <v>111</v>
      </c>
      <c r="AH5" s="10" t="s">
        <v>111</v>
      </c>
      <c r="AI5" s="10" t="s">
        <v>111</v>
      </c>
      <c r="AJ5" s="10"/>
      <c r="AK5" s="10" t="s">
        <v>111</v>
      </c>
      <c r="AL5" s="10"/>
      <c r="AM5" s="10"/>
      <c r="AN5" s="10"/>
      <c r="AO5" s="10"/>
      <c r="AP5" s="10" t="s">
        <v>111</v>
      </c>
    </row>
    <row r="6" spans="1:42" x14ac:dyDescent="0.25">
      <c r="A6" s="10" t="s">
        <v>108</v>
      </c>
      <c r="B6" s="10" t="s">
        <v>113</v>
      </c>
      <c r="C6" s="10"/>
      <c r="D6" s="11" t="s">
        <v>106</v>
      </c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 t="s">
        <v>118</v>
      </c>
      <c r="U6" s="10" t="s">
        <v>119</v>
      </c>
      <c r="V6" s="10" t="s">
        <v>110</v>
      </c>
      <c r="W6" s="10" t="s">
        <v>116</v>
      </c>
      <c r="X6" s="10" t="s">
        <v>117</v>
      </c>
      <c r="Y6" s="14">
        <v>0.2</v>
      </c>
      <c r="Z6" s="12">
        <v>46173</v>
      </c>
      <c r="AA6" s="13">
        <v>500000</v>
      </c>
      <c r="AB6" s="10" t="s">
        <v>108</v>
      </c>
      <c r="AC6" s="13">
        <v>0</v>
      </c>
      <c r="AD6" s="13">
        <v>0</v>
      </c>
      <c r="AE6" s="10" t="s">
        <v>108</v>
      </c>
      <c r="AF6" s="13">
        <v>0</v>
      </c>
      <c r="AG6" s="10" t="s">
        <v>111</v>
      </c>
      <c r="AH6" s="10" t="s">
        <v>111</v>
      </c>
      <c r="AI6" s="10" t="s">
        <v>111</v>
      </c>
      <c r="AJ6" s="10"/>
      <c r="AK6" s="10" t="s">
        <v>111</v>
      </c>
      <c r="AL6" s="10"/>
      <c r="AM6" s="10"/>
      <c r="AN6" s="10"/>
      <c r="AO6" s="10"/>
      <c r="AP6" s="10" t="s">
        <v>111</v>
      </c>
    </row>
    <row r="7" spans="1:42" x14ac:dyDescent="0.25">
      <c r="A7" s="10" t="s">
        <v>108</v>
      </c>
      <c r="B7" s="10" t="s">
        <v>113</v>
      </c>
      <c r="C7" s="10"/>
      <c r="D7" s="11" t="s">
        <v>106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 t="s">
        <v>120</v>
      </c>
      <c r="U7" s="10" t="s">
        <v>121</v>
      </c>
      <c r="V7" s="10" t="s">
        <v>110</v>
      </c>
      <c r="W7" s="10" t="s">
        <v>116</v>
      </c>
      <c r="X7" s="10" t="s">
        <v>122</v>
      </c>
      <c r="Y7" s="14">
        <v>0</v>
      </c>
      <c r="Z7" s="12">
        <v>46173</v>
      </c>
      <c r="AA7" s="13">
        <v>100000</v>
      </c>
      <c r="AB7" s="10" t="s">
        <v>108</v>
      </c>
      <c r="AC7" s="13">
        <v>0</v>
      </c>
      <c r="AD7" s="13">
        <v>0</v>
      </c>
      <c r="AE7" s="10" t="s">
        <v>108</v>
      </c>
      <c r="AF7" s="13">
        <v>0</v>
      </c>
      <c r="AG7" s="10" t="s">
        <v>123</v>
      </c>
      <c r="AH7" s="10" t="s">
        <v>124</v>
      </c>
      <c r="AI7" s="10">
        <v>0</v>
      </c>
      <c r="AJ7" s="10"/>
      <c r="AK7" s="10" t="s">
        <v>125</v>
      </c>
      <c r="AL7" s="10"/>
      <c r="AM7" s="10"/>
      <c r="AN7" s="10"/>
      <c r="AO7" s="10"/>
      <c r="AP7" s="10" t="s">
        <v>111</v>
      </c>
    </row>
    <row r="8" spans="1:42" x14ac:dyDescent="0.25">
      <c r="A8" s="15">
        <f>IF($B8="Entry",COUNTIF($B$8:$B8,"Entry"),"")</f>
      </c>
      <c r="B8" s="16"/>
      <c r="C8" s="17"/>
      <c r="D8" s="17"/>
      <c r="E8" s="18"/>
      <c r="F8" s="19"/>
      <c r="G8" s="20"/>
      <c r="H8" s="20"/>
      <c r="I8" s="20"/>
      <c r="J8" s="20"/>
      <c r="K8" s="20"/>
      <c r="L8" s="20"/>
      <c r="M8" s="20"/>
      <c r="N8" s="21">
        <f>IF($B8&lt;&gt;"Challan","",G8+H8+I8+J8+K8+L8)</f>
      </c>
      <c r="O8" s="19"/>
      <c r="P8" s="19"/>
      <c r="Q8" s="19"/>
      <c r="R8" s="19"/>
      <c r="S8" s="19"/>
      <c r="T8" s="22"/>
      <c r="U8" s="22"/>
      <c r="V8" s="22"/>
      <c r="W8" s="22"/>
      <c r="X8" s="22"/>
      <c r="Y8" s="23"/>
      <c r="Z8" s="24"/>
      <c r="AA8" s="25"/>
      <c r="AB8" s="21">
        <f>IF($B8&lt;&gt;"Entry","",ROUND(AA8*Y8/100,0))</f>
      </c>
      <c r="AC8" s="25"/>
      <c r="AD8" s="25"/>
      <c r="AE8" s="21">
        <f>IF($B8&lt;&gt;"Entry","",IF(OR(AB8=0,Z8="",AP8="",AP8&lt;=0),0,IF(AP8&lt;=DATE(YEAR(Z8),MONTH(Z8)+1,7),0,ROUND(AB8*0.015*((YEAR(AP8)-YEAR(Z8))*12+(MONTH(AP8)-MONTH(Z8))+1),0))))</f>
      </c>
      <c r="AF8" s="25"/>
      <c r="AG8" s="22"/>
      <c r="AH8" s="22"/>
      <c r="AI8" s="23"/>
      <c r="AJ8" s="22"/>
      <c r="AK8" s="22"/>
      <c r="AL8" s="21">
        <f>IF($B8&lt;&gt;"Challan","",SUMIF($D$8:$D$207,D8,$AB$8:$AB$207)+SUMIF($D$8:$D$207,D8,$AE$8:$AE$207)+SUMIF($D$8:$D$207,D8,$AC$8:$AC$207))</f>
      </c>
      <c r="AM8" s="21">
        <f>IF($B8&lt;&gt;"Challan","",N8-L8)</f>
      </c>
      <c r="AN8" s="21">
        <f>IF($B8&lt;&gt;"Challan","",MAX(0,AM8-AL8))</f>
      </c>
      <c r="AO8" s="26">
        <f>IF($B8&lt;&gt;"Challan","",IF(ROUND(AL8-AM8,2)&gt;0,"Over-applied",IF(ROUND(AL8-AM8,2)=0,"Fully Utilised","Unconsumed")))</f>
      </c>
      <c r="AP8" s="27">
        <f>IF($B8&lt;&gt;"Entry","",SUMPRODUCT(($D$8:$D$207=D8)*($B$8:$B$207="Challan")*$E$8:$E$207))</f>
      </c>
    </row>
    <row r="9" spans="1:42" x14ac:dyDescent="0.25">
      <c r="A9" s="15">
        <f>IF($B9="Entry",COUNTIF($B$8:$B9,"Entry"),"")</f>
      </c>
      <c r="B9" s="16"/>
      <c r="C9" s="17"/>
      <c r="D9" s="17"/>
      <c r="E9" s="18"/>
      <c r="F9" s="19"/>
      <c r="G9" s="20"/>
      <c r="H9" s="20"/>
      <c r="I9" s="20"/>
      <c r="J9" s="20"/>
      <c r="K9" s="20"/>
      <c r="L9" s="20"/>
      <c r="M9" s="20"/>
      <c r="N9" s="21">
        <f>IF($B9&lt;&gt;"Challan","",G9+H9+I9+J9+K9+L9)</f>
      </c>
      <c r="O9" s="19"/>
      <c r="P9" s="19"/>
      <c r="Q9" s="19"/>
      <c r="R9" s="19"/>
      <c r="S9" s="19"/>
      <c r="T9" s="22"/>
      <c r="U9" s="22"/>
      <c r="V9" s="22"/>
      <c r="W9" s="22"/>
      <c r="X9" s="22"/>
      <c r="Y9" s="23"/>
      <c r="Z9" s="24"/>
      <c r="AA9" s="25"/>
      <c r="AB9" s="21">
        <f>IF($B9&lt;&gt;"Entry","",ROUND(AA9*Y9/100,0))</f>
      </c>
      <c r="AC9" s="25"/>
      <c r="AD9" s="25"/>
      <c r="AE9" s="21">
        <f>IF($B9&lt;&gt;"Entry","",IF(OR(AB9=0,Z9="",AP9="",AP9&lt;=0),0,IF(AP9&lt;=DATE(YEAR(Z9),MONTH(Z9)+1,7),0,ROUND(AB9*0.015*((YEAR(AP9)-YEAR(Z9))*12+(MONTH(AP9)-MONTH(Z9))+1),0))))</f>
      </c>
      <c r="AF9" s="25"/>
      <c r="AG9" s="22"/>
      <c r="AH9" s="22"/>
      <c r="AI9" s="23"/>
      <c r="AJ9" s="22"/>
      <c r="AK9" s="22"/>
      <c r="AL9" s="21">
        <f>IF($B9&lt;&gt;"Challan","",SUMIF($D$8:$D$207,D9,$AB$8:$AB$207)+SUMIF($D$8:$D$207,D9,$AE$8:$AE$207)+SUMIF($D$8:$D$207,D9,$AC$8:$AC$207))</f>
      </c>
      <c r="AM9" s="21">
        <f>IF($B9&lt;&gt;"Challan","",N9-L9)</f>
      </c>
      <c r="AN9" s="21">
        <f>IF($B9&lt;&gt;"Challan","",MAX(0,AM9-AL9))</f>
      </c>
      <c r="AO9" s="26">
        <f>IF($B9&lt;&gt;"Challan","",IF(ROUND(AL9-AM9,2)&gt;0,"Over-applied",IF(ROUND(AL9-AM9,2)=0,"Fully Utilised","Unconsumed")))</f>
      </c>
      <c r="AP9" s="27">
        <f>IF($B9&lt;&gt;"Entry","",SUMPRODUCT(($D$8:$D$207=D9)*($B$8:$B$207="Challan")*$E$8:$E$207))</f>
      </c>
    </row>
    <row r="10" spans="1:42" x14ac:dyDescent="0.25">
      <c r="A10" s="15">
        <f>IF($B10="Entry",COUNTIF($B$8:$B10,"Entry"),"")</f>
      </c>
      <c r="B10" s="16"/>
      <c r="C10" s="17"/>
      <c r="D10" s="17"/>
      <c r="E10" s="18"/>
      <c r="F10" s="19"/>
      <c r="G10" s="20"/>
      <c r="H10" s="20"/>
      <c r="I10" s="20"/>
      <c r="J10" s="20"/>
      <c r="K10" s="20"/>
      <c r="L10" s="20"/>
      <c r="M10" s="20"/>
      <c r="N10" s="21">
        <f>IF($B10&lt;&gt;"Challan","",G10+H10+I10+J10+K10+L10)</f>
      </c>
      <c r="O10" s="19"/>
      <c r="P10" s="19"/>
      <c r="Q10" s="19"/>
      <c r="R10" s="19"/>
      <c r="S10" s="19"/>
      <c r="T10" s="22"/>
      <c r="U10" s="22"/>
      <c r="V10" s="22"/>
      <c r="W10" s="22"/>
      <c r="X10" s="22"/>
      <c r="Y10" s="23"/>
      <c r="Z10" s="24"/>
      <c r="AA10" s="25"/>
      <c r="AB10" s="21">
        <f>IF($B10&lt;&gt;"Entry","",ROUND(AA10*Y10/100,0))</f>
      </c>
      <c r="AC10" s="25"/>
      <c r="AD10" s="25"/>
      <c r="AE10" s="21">
        <f>IF($B10&lt;&gt;"Entry","",IF(OR(AB10=0,Z10="",AP10="",AP10&lt;=0),0,IF(AP10&lt;=DATE(YEAR(Z10),MONTH(Z10)+1,7),0,ROUND(AB10*0.015*((YEAR(AP10)-YEAR(Z10))*12+(MONTH(AP10)-MONTH(Z10))+1),0))))</f>
      </c>
      <c r="AF10" s="25"/>
      <c r="AG10" s="22"/>
      <c r="AH10" s="22"/>
      <c r="AI10" s="23"/>
      <c r="AJ10" s="22"/>
      <c r="AK10" s="22"/>
      <c r="AL10" s="21">
        <f>IF($B10&lt;&gt;"Challan","",SUMIF($D$8:$D$207,D10,$AB$8:$AB$207)+SUMIF($D$8:$D$207,D10,$AE$8:$AE$207)+SUMIF($D$8:$D$207,D10,$AC$8:$AC$207))</f>
      </c>
      <c r="AM10" s="21">
        <f>IF($B10&lt;&gt;"Challan","",N10-L10)</f>
      </c>
      <c r="AN10" s="21">
        <f>IF($B10&lt;&gt;"Challan","",MAX(0,AM10-AL10))</f>
      </c>
      <c r="AO10" s="26">
        <f>IF($B10&lt;&gt;"Challan","",IF(ROUND(AL10-AM10,2)&gt;0,"Over-applied",IF(ROUND(AL10-AM10,2)=0,"Fully Utilised","Unconsumed")))</f>
      </c>
      <c r="AP10" s="27">
        <f>IF($B10&lt;&gt;"Entry","",SUMPRODUCT(($D$8:$D$207=D10)*($B$8:$B$207="Challan")*$E$8:$E$207))</f>
      </c>
    </row>
    <row r="11" spans="1:42" x14ac:dyDescent="0.25">
      <c r="A11" s="15">
        <f>IF($B11="Entry",COUNTIF($B$8:$B11,"Entry"),"")</f>
      </c>
      <c r="B11" s="16"/>
      <c r="C11" s="17"/>
      <c r="D11" s="17"/>
      <c r="E11" s="18"/>
      <c r="F11" s="19"/>
      <c r="G11" s="20"/>
      <c r="H11" s="20"/>
      <c r="I11" s="20"/>
      <c r="J11" s="20"/>
      <c r="K11" s="20"/>
      <c r="L11" s="20"/>
      <c r="M11" s="20"/>
      <c r="N11" s="21">
        <f>IF($B11&lt;&gt;"Challan","",G11+H11+I11+J11+K11+L11)</f>
      </c>
      <c r="O11" s="19"/>
      <c r="P11" s="19"/>
      <c r="Q11" s="19"/>
      <c r="R11" s="19"/>
      <c r="S11" s="19"/>
      <c r="T11" s="22"/>
      <c r="U11" s="22"/>
      <c r="V11" s="22"/>
      <c r="W11" s="22"/>
      <c r="X11" s="22"/>
      <c r="Y11" s="23"/>
      <c r="Z11" s="24"/>
      <c r="AA11" s="25"/>
      <c r="AB11" s="21">
        <f>IF($B11&lt;&gt;"Entry","",ROUND(AA11*Y11/100,0))</f>
      </c>
      <c r="AC11" s="25"/>
      <c r="AD11" s="25"/>
      <c r="AE11" s="21">
        <f>IF($B11&lt;&gt;"Entry","",IF(OR(AB11=0,Z11="",AP11="",AP11&lt;=0),0,IF(AP11&lt;=DATE(YEAR(Z11),MONTH(Z11)+1,7),0,ROUND(AB11*0.015*((YEAR(AP11)-YEAR(Z11))*12+(MONTH(AP11)-MONTH(Z11))+1),0))))</f>
      </c>
      <c r="AF11" s="25"/>
      <c r="AG11" s="22"/>
      <c r="AH11" s="22"/>
      <c r="AI11" s="23"/>
      <c r="AJ11" s="22"/>
      <c r="AK11" s="22"/>
      <c r="AL11" s="21">
        <f>IF($B11&lt;&gt;"Challan","",SUMIF($D$8:$D$207,D11,$AB$8:$AB$207)+SUMIF($D$8:$D$207,D11,$AE$8:$AE$207)+SUMIF($D$8:$D$207,D11,$AC$8:$AC$207))</f>
      </c>
      <c r="AM11" s="21">
        <f>IF($B11&lt;&gt;"Challan","",N11-L11)</f>
      </c>
      <c r="AN11" s="21">
        <f>IF($B11&lt;&gt;"Challan","",MAX(0,AM11-AL11))</f>
      </c>
      <c r="AO11" s="26">
        <f>IF($B11&lt;&gt;"Challan","",IF(ROUND(AL11-AM11,2)&gt;0,"Over-applied",IF(ROUND(AL11-AM11,2)=0,"Fully Utilised","Unconsumed")))</f>
      </c>
      <c r="AP11" s="27">
        <f>IF($B11&lt;&gt;"Entry","",SUMPRODUCT(($D$8:$D$207=D11)*($B$8:$B$207="Challan")*$E$8:$E$207))</f>
      </c>
    </row>
    <row r="12" spans="1:42" x14ac:dyDescent="0.25">
      <c r="A12" s="15">
        <f>IF($B12="Entry",COUNTIF($B$8:$B12,"Entry"),"")</f>
      </c>
      <c r="B12" s="16"/>
      <c r="C12" s="17"/>
      <c r="D12" s="17"/>
      <c r="E12" s="18"/>
      <c r="F12" s="19"/>
      <c r="G12" s="20"/>
      <c r="H12" s="20"/>
      <c r="I12" s="20"/>
      <c r="J12" s="20"/>
      <c r="K12" s="20"/>
      <c r="L12" s="20"/>
      <c r="M12" s="20"/>
      <c r="N12" s="21">
        <f>IF($B12&lt;&gt;"Challan","",G12+H12+I12+J12+K12+L12)</f>
      </c>
      <c r="O12" s="19"/>
      <c r="P12" s="19"/>
      <c r="Q12" s="19"/>
      <c r="R12" s="19"/>
      <c r="S12" s="19"/>
      <c r="T12" s="22"/>
      <c r="U12" s="22"/>
      <c r="V12" s="22"/>
      <c r="W12" s="22"/>
      <c r="X12" s="22"/>
      <c r="Y12" s="23"/>
      <c r="Z12" s="24"/>
      <c r="AA12" s="25"/>
      <c r="AB12" s="21">
        <f>IF($B12&lt;&gt;"Entry","",ROUND(AA12*Y12/100,0))</f>
      </c>
      <c r="AC12" s="25"/>
      <c r="AD12" s="25"/>
      <c r="AE12" s="21">
        <f>IF($B12&lt;&gt;"Entry","",IF(OR(AB12=0,Z12="",AP12="",AP12&lt;=0),0,IF(AP12&lt;=DATE(YEAR(Z12),MONTH(Z12)+1,7),0,ROUND(AB12*0.015*((YEAR(AP12)-YEAR(Z12))*12+(MONTH(AP12)-MONTH(Z12))+1),0))))</f>
      </c>
      <c r="AF12" s="25"/>
      <c r="AG12" s="22"/>
      <c r="AH12" s="22"/>
      <c r="AI12" s="23"/>
      <c r="AJ12" s="22"/>
      <c r="AK12" s="22"/>
      <c r="AL12" s="21">
        <f>IF($B12&lt;&gt;"Challan","",SUMIF($D$8:$D$207,D12,$AB$8:$AB$207)+SUMIF($D$8:$D$207,D12,$AE$8:$AE$207)+SUMIF($D$8:$D$207,D12,$AC$8:$AC$207))</f>
      </c>
      <c r="AM12" s="21">
        <f>IF($B12&lt;&gt;"Challan","",N12-L12)</f>
      </c>
      <c r="AN12" s="21">
        <f>IF($B12&lt;&gt;"Challan","",MAX(0,AM12-AL12))</f>
      </c>
      <c r="AO12" s="26">
        <f>IF($B12&lt;&gt;"Challan","",IF(ROUND(AL12-AM12,2)&gt;0,"Over-applied",IF(ROUND(AL12-AM12,2)=0,"Fully Utilised","Unconsumed")))</f>
      </c>
      <c r="AP12" s="27">
        <f>IF($B12&lt;&gt;"Entry","",SUMPRODUCT(($D$8:$D$207=D12)*($B$8:$B$207="Challan")*$E$8:$E$207))</f>
      </c>
    </row>
    <row r="13" spans="1:42" x14ac:dyDescent="0.25">
      <c r="A13" s="15">
        <f>IF($B13="Entry",COUNTIF($B$8:$B13,"Entry"),"")</f>
      </c>
      <c r="B13" s="16"/>
      <c r="C13" s="17"/>
      <c r="D13" s="17"/>
      <c r="E13" s="18"/>
      <c r="F13" s="19"/>
      <c r="G13" s="20"/>
      <c r="H13" s="20"/>
      <c r="I13" s="20"/>
      <c r="J13" s="20"/>
      <c r="K13" s="20"/>
      <c r="L13" s="20"/>
      <c r="M13" s="20"/>
      <c r="N13" s="21">
        <f>IF($B13&lt;&gt;"Challan","",G13+H13+I13+J13+K13+L13)</f>
      </c>
      <c r="O13" s="19"/>
      <c r="P13" s="19"/>
      <c r="Q13" s="19"/>
      <c r="R13" s="19"/>
      <c r="S13" s="19"/>
      <c r="T13" s="22"/>
      <c r="U13" s="22"/>
      <c r="V13" s="22"/>
      <c r="W13" s="22"/>
      <c r="X13" s="22"/>
      <c r="Y13" s="23"/>
      <c r="Z13" s="24"/>
      <c r="AA13" s="25"/>
      <c r="AB13" s="21">
        <f>IF($B13&lt;&gt;"Entry","",ROUND(AA13*Y13/100,0))</f>
      </c>
      <c r="AC13" s="25"/>
      <c r="AD13" s="25"/>
      <c r="AE13" s="21">
        <f>IF($B13&lt;&gt;"Entry","",IF(OR(AB13=0,Z13="",AP13="",AP13&lt;=0),0,IF(AP13&lt;=DATE(YEAR(Z13),MONTH(Z13)+1,7),0,ROUND(AB13*0.015*((YEAR(AP13)-YEAR(Z13))*12+(MONTH(AP13)-MONTH(Z13))+1),0))))</f>
      </c>
      <c r="AF13" s="25"/>
      <c r="AG13" s="22"/>
      <c r="AH13" s="22"/>
      <c r="AI13" s="23"/>
      <c r="AJ13" s="22"/>
      <c r="AK13" s="22"/>
      <c r="AL13" s="21">
        <f>IF($B13&lt;&gt;"Challan","",SUMIF($D$8:$D$207,D13,$AB$8:$AB$207)+SUMIF($D$8:$D$207,D13,$AE$8:$AE$207)+SUMIF($D$8:$D$207,D13,$AC$8:$AC$207))</f>
      </c>
      <c r="AM13" s="21">
        <f>IF($B13&lt;&gt;"Challan","",N13-L13)</f>
      </c>
      <c r="AN13" s="21">
        <f>IF($B13&lt;&gt;"Challan","",MAX(0,AM13-AL13))</f>
      </c>
      <c r="AO13" s="26">
        <f>IF($B13&lt;&gt;"Challan","",IF(ROUND(AL13-AM13,2)&gt;0,"Over-applied",IF(ROUND(AL13-AM13,2)=0,"Fully Utilised","Unconsumed")))</f>
      </c>
      <c r="AP13" s="27">
        <f>IF($B13&lt;&gt;"Entry","",SUMPRODUCT(($D$8:$D$207=D13)*($B$8:$B$207="Challan")*$E$8:$E$207))</f>
      </c>
    </row>
    <row r="14" spans="1:42" x14ac:dyDescent="0.25">
      <c r="A14" s="15">
        <f>IF($B14="Entry",COUNTIF($B$8:$B14,"Entry"),"")</f>
      </c>
      <c r="B14" s="16"/>
      <c r="C14" s="17"/>
      <c r="D14" s="17"/>
      <c r="E14" s="18"/>
      <c r="F14" s="19"/>
      <c r="G14" s="20"/>
      <c r="H14" s="20"/>
      <c r="I14" s="20"/>
      <c r="J14" s="20"/>
      <c r="K14" s="20"/>
      <c r="L14" s="20"/>
      <c r="M14" s="20"/>
      <c r="N14" s="21">
        <f>IF($B14&lt;&gt;"Challan","",G14+H14+I14+J14+K14+L14)</f>
      </c>
      <c r="O14" s="19"/>
      <c r="P14" s="19"/>
      <c r="Q14" s="19"/>
      <c r="R14" s="19"/>
      <c r="S14" s="19"/>
      <c r="T14" s="22"/>
      <c r="U14" s="22"/>
      <c r="V14" s="22"/>
      <c r="W14" s="22"/>
      <c r="X14" s="22"/>
      <c r="Y14" s="23"/>
      <c r="Z14" s="24"/>
      <c r="AA14" s="25"/>
      <c r="AB14" s="21">
        <f>IF($B14&lt;&gt;"Entry","",ROUND(AA14*Y14/100,0))</f>
      </c>
      <c r="AC14" s="25"/>
      <c r="AD14" s="25"/>
      <c r="AE14" s="21">
        <f>IF($B14&lt;&gt;"Entry","",IF(OR(AB14=0,Z14="",AP14="",AP14&lt;=0),0,IF(AP14&lt;=DATE(YEAR(Z14),MONTH(Z14)+1,7),0,ROUND(AB14*0.015*((YEAR(AP14)-YEAR(Z14))*12+(MONTH(AP14)-MONTH(Z14))+1),0))))</f>
      </c>
      <c r="AF14" s="25"/>
      <c r="AG14" s="22"/>
      <c r="AH14" s="22"/>
      <c r="AI14" s="23"/>
      <c r="AJ14" s="22"/>
      <c r="AK14" s="22"/>
      <c r="AL14" s="21">
        <f>IF($B14&lt;&gt;"Challan","",SUMIF($D$8:$D$207,D14,$AB$8:$AB$207)+SUMIF($D$8:$D$207,D14,$AE$8:$AE$207)+SUMIF($D$8:$D$207,D14,$AC$8:$AC$207))</f>
      </c>
      <c r="AM14" s="21">
        <f>IF($B14&lt;&gt;"Challan","",N14-L14)</f>
      </c>
      <c r="AN14" s="21">
        <f>IF($B14&lt;&gt;"Challan","",MAX(0,AM14-AL14))</f>
      </c>
      <c r="AO14" s="26">
        <f>IF($B14&lt;&gt;"Challan","",IF(ROUND(AL14-AM14,2)&gt;0,"Over-applied",IF(ROUND(AL14-AM14,2)=0,"Fully Utilised","Unconsumed")))</f>
      </c>
      <c r="AP14" s="27">
        <f>IF($B14&lt;&gt;"Entry","",SUMPRODUCT(($D$8:$D$207=D14)*($B$8:$B$207="Challan")*$E$8:$E$207))</f>
      </c>
    </row>
    <row r="15" spans="1:42" x14ac:dyDescent="0.25">
      <c r="A15" s="15">
        <f>IF($B15="Entry",COUNTIF($B$8:$B15,"Entry"),"")</f>
      </c>
      <c r="B15" s="16"/>
      <c r="C15" s="17"/>
      <c r="D15" s="17"/>
      <c r="E15" s="18"/>
      <c r="F15" s="19"/>
      <c r="G15" s="20"/>
      <c r="H15" s="20"/>
      <c r="I15" s="20"/>
      <c r="J15" s="20"/>
      <c r="K15" s="20"/>
      <c r="L15" s="20"/>
      <c r="M15" s="20"/>
      <c r="N15" s="21">
        <f>IF($B15&lt;&gt;"Challan","",G15+H15+I15+J15+K15+L15)</f>
      </c>
      <c r="O15" s="19"/>
      <c r="P15" s="19"/>
      <c r="Q15" s="19"/>
      <c r="R15" s="19"/>
      <c r="S15" s="19"/>
      <c r="T15" s="22"/>
      <c r="U15" s="22"/>
      <c r="V15" s="22"/>
      <c r="W15" s="22"/>
      <c r="X15" s="22"/>
      <c r="Y15" s="23"/>
      <c r="Z15" s="24"/>
      <c r="AA15" s="25"/>
      <c r="AB15" s="21">
        <f>IF($B15&lt;&gt;"Entry","",ROUND(AA15*Y15/100,0))</f>
      </c>
      <c r="AC15" s="25"/>
      <c r="AD15" s="25"/>
      <c r="AE15" s="21">
        <f>IF($B15&lt;&gt;"Entry","",IF(OR(AB15=0,Z15="",AP15="",AP15&lt;=0),0,IF(AP15&lt;=DATE(YEAR(Z15),MONTH(Z15)+1,7),0,ROUND(AB15*0.015*((YEAR(AP15)-YEAR(Z15))*12+(MONTH(AP15)-MONTH(Z15))+1),0))))</f>
      </c>
      <c r="AF15" s="25"/>
      <c r="AG15" s="22"/>
      <c r="AH15" s="22"/>
      <c r="AI15" s="23"/>
      <c r="AJ15" s="22"/>
      <c r="AK15" s="22"/>
      <c r="AL15" s="21">
        <f>IF($B15&lt;&gt;"Challan","",SUMIF($D$8:$D$207,D15,$AB$8:$AB$207)+SUMIF($D$8:$D$207,D15,$AE$8:$AE$207)+SUMIF($D$8:$D$207,D15,$AC$8:$AC$207))</f>
      </c>
      <c r="AM15" s="21">
        <f>IF($B15&lt;&gt;"Challan","",N15-L15)</f>
      </c>
      <c r="AN15" s="21">
        <f>IF($B15&lt;&gt;"Challan","",MAX(0,AM15-AL15))</f>
      </c>
      <c r="AO15" s="26">
        <f>IF($B15&lt;&gt;"Challan","",IF(ROUND(AL15-AM15,2)&gt;0,"Over-applied",IF(ROUND(AL15-AM15,2)=0,"Fully Utilised","Unconsumed")))</f>
      </c>
      <c r="AP15" s="27">
        <f>IF($B15&lt;&gt;"Entry","",SUMPRODUCT(($D$8:$D$207=D15)*($B$8:$B$207="Challan")*$E$8:$E$207))</f>
      </c>
    </row>
    <row r="16" spans="1:42" x14ac:dyDescent="0.25">
      <c r="A16" s="15">
        <f>IF($B16="Entry",COUNTIF($B$8:$B16,"Entry"),"")</f>
      </c>
      <c r="B16" s="16"/>
      <c r="C16" s="17"/>
      <c r="D16" s="17"/>
      <c r="E16" s="18"/>
      <c r="F16" s="19"/>
      <c r="G16" s="20"/>
      <c r="H16" s="20"/>
      <c r="I16" s="20"/>
      <c r="J16" s="20"/>
      <c r="K16" s="20"/>
      <c r="L16" s="20"/>
      <c r="M16" s="20"/>
      <c r="N16" s="21">
        <f>IF($B16&lt;&gt;"Challan","",G16+H16+I16+J16+K16+L16)</f>
      </c>
      <c r="O16" s="19"/>
      <c r="P16" s="19"/>
      <c r="Q16" s="19"/>
      <c r="R16" s="19"/>
      <c r="S16" s="19"/>
      <c r="T16" s="22"/>
      <c r="U16" s="22"/>
      <c r="V16" s="22"/>
      <c r="W16" s="22"/>
      <c r="X16" s="22"/>
      <c r="Y16" s="23"/>
      <c r="Z16" s="24"/>
      <c r="AA16" s="25"/>
      <c r="AB16" s="21">
        <f>IF($B16&lt;&gt;"Entry","",ROUND(AA16*Y16/100,0))</f>
      </c>
      <c r="AC16" s="25"/>
      <c r="AD16" s="25"/>
      <c r="AE16" s="21">
        <f>IF($B16&lt;&gt;"Entry","",IF(OR(AB16=0,Z16="",AP16="",AP16&lt;=0),0,IF(AP16&lt;=DATE(YEAR(Z16),MONTH(Z16)+1,7),0,ROUND(AB16*0.015*((YEAR(AP16)-YEAR(Z16))*12+(MONTH(AP16)-MONTH(Z16))+1),0))))</f>
      </c>
      <c r="AF16" s="25"/>
      <c r="AG16" s="22"/>
      <c r="AH16" s="22"/>
      <c r="AI16" s="23"/>
      <c r="AJ16" s="22"/>
      <c r="AK16" s="22"/>
      <c r="AL16" s="21">
        <f>IF($B16&lt;&gt;"Challan","",SUMIF($D$8:$D$207,D16,$AB$8:$AB$207)+SUMIF($D$8:$D$207,D16,$AE$8:$AE$207)+SUMIF($D$8:$D$207,D16,$AC$8:$AC$207))</f>
      </c>
      <c r="AM16" s="21">
        <f>IF($B16&lt;&gt;"Challan","",N16-L16)</f>
      </c>
      <c r="AN16" s="21">
        <f>IF($B16&lt;&gt;"Challan","",MAX(0,AM16-AL16))</f>
      </c>
      <c r="AO16" s="26">
        <f>IF($B16&lt;&gt;"Challan","",IF(ROUND(AL16-AM16,2)&gt;0,"Over-applied",IF(ROUND(AL16-AM16,2)=0,"Fully Utilised","Unconsumed")))</f>
      </c>
      <c r="AP16" s="27">
        <f>IF($B16&lt;&gt;"Entry","",SUMPRODUCT(($D$8:$D$207=D16)*($B$8:$B$207="Challan")*$E$8:$E$207))</f>
      </c>
    </row>
    <row r="17" spans="1:42" x14ac:dyDescent="0.25">
      <c r="A17" s="15">
        <f>IF($B17="Entry",COUNTIF($B$8:$B17,"Entry"),"")</f>
      </c>
      <c r="B17" s="16"/>
      <c r="C17" s="17"/>
      <c r="D17" s="17"/>
      <c r="E17" s="18"/>
      <c r="F17" s="19"/>
      <c r="G17" s="20"/>
      <c r="H17" s="20"/>
      <c r="I17" s="20"/>
      <c r="J17" s="20"/>
      <c r="K17" s="20"/>
      <c r="L17" s="20"/>
      <c r="M17" s="20"/>
      <c r="N17" s="21">
        <f>IF($B17&lt;&gt;"Challan","",G17+H17+I17+J17+K17+L17)</f>
      </c>
      <c r="O17" s="19"/>
      <c r="P17" s="19"/>
      <c r="Q17" s="19"/>
      <c r="R17" s="19"/>
      <c r="S17" s="19"/>
      <c r="T17" s="22"/>
      <c r="U17" s="22"/>
      <c r="V17" s="22"/>
      <c r="W17" s="22"/>
      <c r="X17" s="22"/>
      <c r="Y17" s="23"/>
      <c r="Z17" s="24"/>
      <c r="AA17" s="25"/>
      <c r="AB17" s="21">
        <f>IF($B17&lt;&gt;"Entry","",ROUND(AA17*Y17/100,0))</f>
      </c>
      <c r="AC17" s="25"/>
      <c r="AD17" s="25"/>
      <c r="AE17" s="21">
        <f>IF($B17&lt;&gt;"Entry","",IF(OR(AB17=0,Z17="",AP17="",AP17&lt;=0),0,IF(AP17&lt;=DATE(YEAR(Z17),MONTH(Z17)+1,7),0,ROUND(AB17*0.015*((YEAR(AP17)-YEAR(Z17))*12+(MONTH(AP17)-MONTH(Z17))+1),0))))</f>
      </c>
      <c r="AF17" s="25"/>
      <c r="AG17" s="22"/>
      <c r="AH17" s="22"/>
      <c r="AI17" s="23"/>
      <c r="AJ17" s="22"/>
      <c r="AK17" s="22"/>
      <c r="AL17" s="21">
        <f>IF($B17&lt;&gt;"Challan","",SUMIF($D$8:$D$207,D17,$AB$8:$AB$207)+SUMIF($D$8:$D$207,D17,$AE$8:$AE$207)+SUMIF($D$8:$D$207,D17,$AC$8:$AC$207))</f>
      </c>
      <c r="AM17" s="21">
        <f>IF($B17&lt;&gt;"Challan","",N17-L17)</f>
      </c>
      <c r="AN17" s="21">
        <f>IF($B17&lt;&gt;"Challan","",MAX(0,AM17-AL17))</f>
      </c>
      <c r="AO17" s="26">
        <f>IF($B17&lt;&gt;"Challan","",IF(ROUND(AL17-AM17,2)&gt;0,"Over-applied",IF(ROUND(AL17-AM17,2)=0,"Fully Utilised","Unconsumed")))</f>
      </c>
      <c r="AP17" s="27">
        <f>IF($B17&lt;&gt;"Entry","",SUMPRODUCT(($D$8:$D$207=D17)*($B$8:$B$207="Challan")*$E$8:$E$207))</f>
      </c>
    </row>
    <row r="18" spans="1:42" x14ac:dyDescent="0.25">
      <c r="A18" s="15">
        <f>IF($B18="Entry",COUNTIF($B$8:$B18,"Entry"),"")</f>
      </c>
      <c r="B18" s="16"/>
      <c r="C18" s="17"/>
      <c r="D18" s="17"/>
      <c r="E18" s="18"/>
      <c r="F18" s="19"/>
      <c r="G18" s="20"/>
      <c r="H18" s="20"/>
      <c r="I18" s="20"/>
      <c r="J18" s="20"/>
      <c r="K18" s="20"/>
      <c r="L18" s="20"/>
      <c r="M18" s="20"/>
      <c r="N18" s="21">
        <f>IF($B18&lt;&gt;"Challan","",G18+H18+I18+J18+K18+L18)</f>
      </c>
      <c r="O18" s="19"/>
      <c r="P18" s="19"/>
      <c r="Q18" s="19"/>
      <c r="R18" s="19"/>
      <c r="S18" s="19"/>
      <c r="T18" s="22"/>
      <c r="U18" s="22"/>
      <c r="V18" s="22"/>
      <c r="W18" s="22"/>
      <c r="X18" s="22"/>
      <c r="Y18" s="23"/>
      <c r="Z18" s="24"/>
      <c r="AA18" s="25"/>
      <c r="AB18" s="21">
        <f>IF($B18&lt;&gt;"Entry","",ROUND(AA18*Y18/100,0))</f>
      </c>
      <c r="AC18" s="25"/>
      <c r="AD18" s="25"/>
      <c r="AE18" s="21">
        <f>IF($B18&lt;&gt;"Entry","",IF(OR(AB18=0,Z18="",AP18="",AP18&lt;=0),0,IF(AP18&lt;=DATE(YEAR(Z18),MONTH(Z18)+1,7),0,ROUND(AB18*0.015*((YEAR(AP18)-YEAR(Z18))*12+(MONTH(AP18)-MONTH(Z18))+1),0))))</f>
      </c>
      <c r="AF18" s="25"/>
      <c r="AG18" s="22"/>
      <c r="AH18" s="22"/>
      <c r="AI18" s="23"/>
      <c r="AJ18" s="22"/>
      <c r="AK18" s="22"/>
      <c r="AL18" s="21">
        <f>IF($B18&lt;&gt;"Challan","",SUMIF($D$8:$D$207,D18,$AB$8:$AB$207)+SUMIF($D$8:$D$207,D18,$AE$8:$AE$207)+SUMIF($D$8:$D$207,D18,$AC$8:$AC$207))</f>
      </c>
      <c r="AM18" s="21">
        <f>IF($B18&lt;&gt;"Challan","",N18-L18)</f>
      </c>
      <c r="AN18" s="21">
        <f>IF($B18&lt;&gt;"Challan","",MAX(0,AM18-AL18))</f>
      </c>
      <c r="AO18" s="26">
        <f>IF($B18&lt;&gt;"Challan","",IF(ROUND(AL18-AM18,2)&gt;0,"Over-applied",IF(ROUND(AL18-AM18,2)=0,"Fully Utilised","Unconsumed")))</f>
      </c>
      <c r="AP18" s="27">
        <f>IF($B18&lt;&gt;"Entry","",SUMPRODUCT(($D$8:$D$207=D18)*($B$8:$B$207="Challan")*$E$8:$E$207))</f>
      </c>
    </row>
    <row r="19" spans="1:42" x14ac:dyDescent="0.25">
      <c r="A19" s="15">
        <f>IF($B19="Entry",COUNTIF($B$8:$B19,"Entry"),"")</f>
      </c>
      <c r="B19" s="16"/>
      <c r="C19" s="17"/>
      <c r="D19" s="17"/>
      <c r="E19" s="18"/>
      <c r="F19" s="19"/>
      <c r="G19" s="20"/>
      <c r="H19" s="20"/>
      <c r="I19" s="20"/>
      <c r="J19" s="20"/>
      <c r="K19" s="20"/>
      <c r="L19" s="20"/>
      <c r="M19" s="20"/>
      <c r="N19" s="21">
        <f>IF($B19&lt;&gt;"Challan","",G19+H19+I19+J19+K19+L19)</f>
      </c>
      <c r="O19" s="19"/>
      <c r="P19" s="19"/>
      <c r="Q19" s="19"/>
      <c r="R19" s="19"/>
      <c r="S19" s="19"/>
      <c r="T19" s="22"/>
      <c r="U19" s="22"/>
      <c r="V19" s="22"/>
      <c r="W19" s="22"/>
      <c r="X19" s="22"/>
      <c r="Y19" s="23"/>
      <c r="Z19" s="24"/>
      <c r="AA19" s="25"/>
      <c r="AB19" s="21">
        <f>IF($B19&lt;&gt;"Entry","",ROUND(AA19*Y19/100,0))</f>
      </c>
      <c r="AC19" s="25"/>
      <c r="AD19" s="25"/>
      <c r="AE19" s="21">
        <f>IF($B19&lt;&gt;"Entry","",IF(OR(AB19=0,Z19="",AP19="",AP19&lt;=0),0,IF(AP19&lt;=DATE(YEAR(Z19),MONTH(Z19)+1,7),0,ROUND(AB19*0.015*((YEAR(AP19)-YEAR(Z19))*12+(MONTH(AP19)-MONTH(Z19))+1),0))))</f>
      </c>
      <c r="AF19" s="25"/>
      <c r="AG19" s="22"/>
      <c r="AH19" s="22"/>
      <c r="AI19" s="23"/>
      <c r="AJ19" s="22"/>
      <c r="AK19" s="22"/>
      <c r="AL19" s="21">
        <f>IF($B19&lt;&gt;"Challan","",SUMIF($D$8:$D$207,D19,$AB$8:$AB$207)+SUMIF($D$8:$D$207,D19,$AE$8:$AE$207)+SUMIF($D$8:$D$207,D19,$AC$8:$AC$207))</f>
      </c>
      <c r="AM19" s="21">
        <f>IF($B19&lt;&gt;"Challan","",N19-L19)</f>
      </c>
      <c r="AN19" s="21">
        <f>IF($B19&lt;&gt;"Challan","",MAX(0,AM19-AL19))</f>
      </c>
      <c r="AO19" s="26">
        <f>IF($B19&lt;&gt;"Challan","",IF(ROUND(AL19-AM19,2)&gt;0,"Over-applied",IF(ROUND(AL19-AM19,2)=0,"Fully Utilised","Unconsumed")))</f>
      </c>
      <c r="AP19" s="27">
        <f>IF($B19&lt;&gt;"Entry","",SUMPRODUCT(($D$8:$D$207=D19)*($B$8:$B$207="Challan")*$E$8:$E$207))</f>
      </c>
    </row>
    <row r="20" spans="1:42" x14ac:dyDescent="0.25">
      <c r="A20" s="15">
        <f>IF($B20="Entry",COUNTIF($B$8:$B20,"Entry"),"")</f>
      </c>
      <c r="B20" s="16"/>
      <c r="C20" s="17"/>
      <c r="D20" s="17"/>
      <c r="E20" s="18"/>
      <c r="F20" s="19"/>
      <c r="G20" s="20"/>
      <c r="H20" s="20"/>
      <c r="I20" s="20"/>
      <c r="J20" s="20"/>
      <c r="K20" s="20"/>
      <c r="L20" s="20"/>
      <c r="M20" s="20"/>
      <c r="N20" s="21">
        <f>IF($B20&lt;&gt;"Challan","",G20+H20+I20+J20+K20+L20)</f>
      </c>
      <c r="O20" s="19"/>
      <c r="P20" s="19"/>
      <c r="Q20" s="19"/>
      <c r="R20" s="19"/>
      <c r="S20" s="19"/>
      <c r="T20" s="22"/>
      <c r="U20" s="22"/>
      <c r="V20" s="22"/>
      <c r="W20" s="22"/>
      <c r="X20" s="22"/>
      <c r="Y20" s="23"/>
      <c r="Z20" s="24"/>
      <c r="AA20" s="25"/>
      <c r="AB20" s="21">
        <f>IF($B20&lt;&gt;"Entry","",ROUND(AA20*Y20/100,0))</f>
      </c>
      <c r="AC20" s="25"/>
      <c r="AD20" s="25"/>
      <c r="AE20" s="21">
        <f>IF($B20&lt;&gt;"Entry","",IF(OR(AB20=0,Z20="",AP20="",AP20&lt;=0),0,IF(AP20&lt;=DATE(YEAR(Z20),MONTH(Z20)+1,7),0,ROUND(AB20*0.015*((YEAR(AP20)-YEAR(Z20))*12+(MONTH(AP20)-MONTH(Z20))+1),0))))</f>
      </c>
      <c r="AF20" s="25"/>
      <c r="AG20" s="22"/>
      <c r="AH20" s="22"/>
      <c r="AI20" s="23"/>
      <c r="AJ20" s="22"/>
      <c r="AK20" s="22"/>
      <c r="AL20" s="21">
        <f>IF($B20&lt;&gt;"Challan","",SUMIF($D$8:$D$207,D20,$AB$8:$AB$207)+SUMIF($D$8:$D$207,D20,$AE$8:$AE$207)+SUMIF($D$8:$D$207,D20,$AC$8:$AC$207))</f>
      </c>
      <c r="AM20" s="21">
        <f>IF($B20&lt;&gt;"Challan","",N20-L20)</f>
      </c>
      <c r="AN20" s="21">
        <f>IF($B20&lt;&gt;"Challan","",MAX(0,AM20-AL20))</f>
      </c>
      <c r="AO20" s="26">
        <f>IF($B20&lt;&gt;"Challan","",IF(ROUND(AL20-AM20,2)&gt;0,"Over-applied",IF(ROUND(AL20-AM20,2)=0,"Fully Utilised","Unconsumed")))</f>
      </c>
      <c r="AP20" s="27">
        <f>IF($B20&lt;&gt;"Entry","",SUMPRODUCT(($D$8:$D$207=D20)*($B$8:$B$207="Challan")*$E$8:$E$207))</f>
      </c>
    </row>
    <row r="21" spans="1:42" x14ac:dyDescent="0.25">
      <c r="A21" s="15">
        <f>IF($B21="Entry",COUNTIF($B$8:$B21,"Entry"),"")</f>
      </c>
      <c r="B21" s="16"/>
      <c r="C21" s="17"/>
      <c r="D21" s="17"/>
      <c r="E21" s="18"/>
      <c r="F21" s="19"/>
      <c r="G21" s="20"/>
      <c r="H21" s="20"/>
      <c r="I21" s="20"/>
      <c r="J21" s="20"/>
      <c r="K21" s="20"/>
      <c r="L21" s="20"/>
      <c r="M21" s="20"/>
      <c r="N21" s="21">
        <f>IF($B21&lt;&gt;"Challan","",G21+H21+I21+J21+K21+L21)</f>
      </c>
      <c r="O21" s="19"/>
      <c r="P21" s="19"/>
      <c r="Q21" s="19"/>
      <c r="R21" s="19"/>
      <c r="S21" s="19"/>
      <c r="T21" s="22"/>
      <c r="U21" s="22"/>
      <c r="V21" s="22"/>
      <c r="W21" s="22"/>
      <c r="X21" s="22"/>
      <c r="Y21" s="23"/>
      <c r="Z21" s="24"/>
      <c r="AA21" s="25"/>
      <c r="AB21" s="21">
        <f>IF($B21&lt;&gt;"Entry","",ROUND(AA21*Y21/100,0))</f>
      </c>
      <c r="AC21" s="25"/>
      <c r="AD21" s="25"/>
      <c r="AE21" s="21">
        <f>IF($B21&lt;&gt;"Entry","",IF(OR(AB21=0,Z21="",AP21="",AP21&lt;=0),0,IF(AP21&lt;=DATE(YEAR(Z21),MONTH(Z21)+1,7),0,ROUND(AB21*0.015*((YEAR(AP21)-YEAR(Z21))*12+(MONTH(AP21)-MONTH(Z21))+1),0))))</f>
      </c>
      <c r="AF21" s="25"/>
      <c r="AG21" s="22"/>
      <c r="AH21" s="22"/>
      <c r="AI21" s="23"/>
      <c r="AJ21" s="22"/>
      <c r="AK21" s="22"/>
      <c r="AL21" s="21">
        <f>IF($B21&lt;&gt;"Challan","",SUMIF($D$8:$D$207,D21,$AB$8:$AB$207)+SUMIF($D$8:$D$207,D21,$AE$8:$AE$207)+SUMIF($D$8:$D$207,D21,$AC$8:$AC$207))</f>
      </c>
      <c r="AM21" s="21">
        <f>IF($B21&lt;&gt;"Challan","",N21-L21)</f>
      </c>
      <c r="AN21" s="21">
        <f>IF($B21&lt;&gt;"Challan","",MAX(0,AM21-AL21))</f>
      </c>
      <c r="AO21" s="26">
        <f>IF($B21&lt;&gt;"Challan","",IF(ROUND(AL21-AM21,2)&gt;0,"Over-applied",IF(ROUND(AL21-AM21,2)=0,"Fully Utilised","Unconsumed")))</f>
      </c>
      <c r="AP21" s="27">
        <f>IF($B21&lt;&gt;"Entry","",SUMPRODUCT(($D$8:$D$207=D21)*($B$8:$B$207="Challan")*$E$8:$E$207))</f>
      </c>
    </row>
    <row r="22" spans="1:42" x14ac:dyDescent="0.25">
      <c r="A22" s="15">
        <f>IF($B22="Entry",COUNTIF($B$8:$B22,"Entry"),"")</f>
      </c>
      <c r="B22" s="16"/>
      <c r="C22" s="17"/>
      <c r="D22" s="17"/>
      <c r="E22" s="18"/>
      <c r="F22" s="19"/>
      <c r="G22" s="20"/>
      <c r="H22" s="20"/>
      <c r="I22" s="20"/>
      <c r="J22" s="20"/>
      <c r="K22" s="20"/>
      <c r="L22" s="20"/>
      <c r="M22" s="20"/>
      <c r="N22" s="21">
        <f>IF($B22&lt;&gt;"Challan","",G22+H22+I22+J22+K22+L22)</f>
      </c>
      <c r="O22" s="19"/>
      <c r="P22" s="19"/>
      <c r="Q22" s="19"/>
      <c r="R22" s="19"/>
      <c r="S22" s="19"/>
      <c r="T22" s="22"/>
      <c r="U22" s="22"/>
      <c r="V22" s="22"/>
      <c r="W22" s="22"/>
      <c r="X22" s="22"/>
      <c r="Y22" s="23"/>
      <c r="Z22" s="24"/>
      <c r="AA22" s="25"/>
      <c r="AB22" s="21">
        <f>IF($B22&lt;&gt;"Entry","",ROUND(AA22*Y22/100,0))</f>
      </c>
      <c r="AC22" s="25"/>
      <c r="AD22" s="25"/>
      <c r="AE22" s="21">
        <f>IF($B22&lt;&gt;"Entry","",IF(OR(AB22=0,Z22="",AP22="",AP22&lt;=0),0,IF(AP22&lt;=DATE(YEAR(Z22),MONTH(Z22)+1,7),0,ROUND(AB22*0.015*((YEAR(AP22)-YEAR(Z22))*12+(MONTH(AP22)-MONTH(Z22))+1),0))))</f>
      </c>
      <c r="AF22" s="25"/>
      <c r="AG22" s="22"/>
      <c r="AH22" s="22"/>
      <c r="AI22" s="23"/>
      <c r="AJ22" s="22"/>
      <c r="AK22" s="22"/>
      <c r="AL22" s="21">
        <f>IF($B22&lt;&gt;"Challan","",SUMIF($D$8:$D$207,D22,$AB$8:$AB$207)+SUMIF($D$8:$D$207,D22,$AE$8:$AE$207)+SUMIF($D$8:$D$207,D22,$AC$8:$AC$207))</f>
      </c>
      <c r="AM22" s="21">
        <f>IF($B22&lt;&gt;"Challan","",N22-L22)</f>
      </c>
      <c r="AN22" s="21">
        <f>IF($B22&lt;&gt;"Challan","",MAX(0,AM22-AL22))</f>
      </c>
      <c r="AO22" s="26">
        <f>IF($B22&lt;&gt;"Challan","",IF(ROUND(AL22-AM22,2)&gt;0,"Over-applied",IF(ROUND(AL22-AM22,2)=0,"Fully Utilised","Unconsumed")))</f>
      </c>
      <c r="AP22" s="27">
        <f>IF($B22&lt;&gt;"Entry","",SUMPRODUCT(($D$8:$D$207=D22)*($B$8:$B$207="Challan")*$E$8:$E$207))</f>
      </c>
    </row>
    <row r="23" spans="1:42" x14ac:dyDescent="0.25">
      <c r="A23" s="15">
        <f>IF($B23="Entry",COUNTIF($B$8:$B23,"Entry"),"")</f>
      </c>
      <c r="B23" s="16"/>
      <c r="C23" s="17"/>
      <c r="D23" s="17"/>
      <c r="E23" s="18"/>
      <c r="F23" s="19"/>
      <c r="G23" s="20"/>
      <c r="H23" s="20"/>
      <c r="I23" s="20"/>
      <c r="J23" s="20"/>
      <c r="K23" s="20"/>
      <c r="L23" s="20"/>
      <c r="M23" s="20"/>
      <c r="N23" s="21">
        <f>IF($B23&lt;&gt;"Challan","",G23+H23+I23+J23+K23+L23)</f>
      </c>
      <c r="O23" s="19"/>
      <c r="P23" s="19"/>
      <c r="Q23" s="19"/>
      <c r="R23" s="19"/>
      <c r="S23" s="19"/>
      <c r="T23" s="22"/>
      <c r="U23" s="22"/>
      <c r="V23" s="22"/>
      <c r="W23" s="22"/>
      <c r="X23" s="22"/>
      <c r="Y23" s="23"/>
      <c r="Z23" s="24"/>
      <c r="AA23" s="25"/>
      <c r="AB23" s="21">
        <f>IF($B23&lt;&gt;"Entry","",ROUND(AA23*Y23/100,0))</f>
      </c>
      <c r="AC23" s="25"/>
      <c r="AD23" s="25"/>
      <c r="AE23" s="21">
        <f>IF($B23&lt;&gt;"Entry","",IF(OR(AB23=0,Z23="",AP23="",AP23&lt;=0),0,IF(AP23&lt;=DATE(YEAR(Z23),MONTH(Z23)+1,7),0,ROUND(AB23*0.015*((YEAR(AP23)-YEAR(Z23))*12+(MONTH(AP23)-MONTH(Z23))+1),0))))</f>
      </c>
      <c r="AF23" s="25"/>
      <c r="AG23" s="22"/>
      <c r="AH23" s="22"/>
      <c r="AI23" s="23"/>
      <c r="AJ23" s="22"/>
      <c r="AK23" s="22"/>
      <c r="AL23" s="21">
        <f>IF($B23&lt;&gt;"Challan","",SUMIF($D$8:$D$207,D23,$AB$8:$AB$207)+SUMIF($D$8:$D$207,D23,$AE$8:$AE$207)+SUMIF($D$8:$D$207,D23,$AC$8:$AC$207))</f>
      </c>
      <c r="AM23" s="21">
        <f>IF($B23&lt;&gt;"Challan","",N23-L23)</f>
      </c>
      <c r="AN23" s="21">
        <f>IF($B23&lt;&gt;"Challan","",MAX(0,AM23-AL23))</f>
      </c>
      <c r="AO23" s="26">
        <f>IF($B23&lt;&gt;"Challan","",IF(ROUND(AL23-AM23,2)&gt;0,"Over-applied",IF(ROUND(AL23-AM23,2)=0,"Fully Utilised","Unconsumed")))</f>
      </c>
      <c r="AP23" s="27">
        <f>IF($B23&lt;&gt;"Entry","",SUMPRODUCT(($D$8:$D$207=D23)*($B$8:$B$207="Challan")*$E$8:$E$207))</f>
      </c>
    </row>
    <row r="24" spans="1:42" x14ac:dyDescent="0.25">
      <c r="A24" s="15">
        <f>IF($B24="Entry",COUNTIF($B$8:$B24,"Entry"),"")</f>
      </c>
      <c r="B24" s="16"/>
      <c r="C24" s="17"/>
      <c r="D24" s="17"/>
      <c r="E24" s="18"/>
      <c r="F24" s="19"/>
      <c r="G24" s="20"/>
      <c r="H24" s="20"/>
      <c r="I24" s="20"/>
      <c r="J24" s="20"/>
      <c r="K24" s="20"/>
      <c r="L24" s="20"/>
      <c r="M24" s="20"/>
      <c r="N24" s="21">
        <f>IF($B24&lt;&gt;"Challan","",G24+H24+I24+J24+K24+L24)</f>
      </c>
      <c r="O24" s="19"/>
      <c r="P24" s="19"/>
      <c r="Q24" s="19"/>
      <c r="R24" s="19"/>
      <c r="S24" s="19"/>
      <c r="T24" s="22"/>
      <c r="U24" s="22"/>
      <c r="V24" s="22"/>
      <c r="W24" s="22"/>
      <c r="X24" s="22"/>
      <c r="Y24" s="23"/>
      <c r="Z24" s="24"/>
      <c r="AA24" s="25"/>
      <c r="AB24" s="21">
        <f>IF($B24&lt;&gt;"Entry","",ROUND(AA24*Y24/100,0))</f>
      </c>
      <c r="AC24" s="25"/>
      <c r="AD24" s="25"/>
      <c r="AE24" s="21">
        <f>IF($B24&lt;&gt;"Entry","",IF(OR(AB24=0,Z24="",AP24="",AP24&lt;=0),0,IF(AP24&lt;=DATE(YEAR(Z24),MONTH(Z24)+1,7),0,ROUND(AB24*0.015*((YEAR(AP24)-YEAR(Z24))*12+(MONTH(AP24)-MONTH(Z24))+1),0))))</f>
      </c>
      <c r="AF24" s="25"/>
      <c r="AG24" s="22"/>
      <c r="AH24" s="22"/>
      <c r="AI24" s="23"/>
      <c r="AJ24" s="22"/>
      <c r="AK24" s="22"/>
      <c r="AL24" s="21">
        <f>IF($B24&lt;&gt;"Challan","",SUMIF($D$8:$D$207,D24,$AB$8:$AB$207)+SUMIF($D$8:$D$207,D24,$AE$8:$AE$207)+SUMIF($D$8:$D$207,D24,$AC$8:$AC$207))</f>
      </c>
      <c r="AM24" s="21">
        <f>IF($B24&lt;&gt;"Challan","",N24-L24)</f>
      </c>
      <c r="AN24" s="21">
        <f>IF($B24&lt;&gt;"Challan","",MAX(0,AM24-AL24))</f>
      </c>
      <c r="AO24" s="26">
        <f>IF($B24&lt;&gt;"Challan","",IF(ROUND(AL24-AM24,2)&gt;0,"Over-applied",IF(ROUND(AL24-AM24,2)=0,"Fully Utilised","Unconsumed")))</f>
      </c>
      <c r="AP24" s="27">
        <f>IF($B24&lt;&gt;"Entry","",SUMPRODUCT(($D$8:$D$207=D24)*($B$8:$B$207="Challan")*$E$8:$E$207))</f>
      </c>
    </row>
    <row r="25" spans="1:42" x14ac:dyDescent="0.25">
      <c r="A25" s="15">
        <f>IF($B25="Entry",COUNTIF($B$8:$B25,"Entry"),"")</f>
      </c>
      <c r="B25" s="16"/>
      <c r="C25" s="17"/>
      <c r="D25" s="17"/>
      <c r="E25" s="18"/>
      <c r="F25" s="19"/>
      <c r="G25" s="20"/>
      <c r="H25" s="20"/>
      <c r="I25" s="20"/>
      <c r="J25" s="20"/>
      <c r="K25" s="20"/>
      <c r="L25" s="20"/>
      <c r="M25" s="20"/>
      <c r="N25" s="21">
        <f>IF($B25&lt;&gt;"Challan","",G25+H25+I25+J25+K25+L25)</f>
      </c>
      <c r="O25" s="19"/>
      <c r="P25" s="19"/>
      <c r="Q25" s="19"/>
      <c r="R25" s="19"/>
      <c r="S25" s="19"/>
      <c r="T25" s="22"/>
      <c r="U25" s="22"/>
      <c r="V25" s="22"/>
      <c r="W25" s="22"/>
      <c r="X25" s="22"/>
      <c r="Y25" s="23"/>
      <c r="Z25" s="24"/>
      <c r="AA25" s="25"/>
      <c r="AB25" s="21">
        <f>IF($B25&lt;&gt;"Entry","",ROUND(AA25*Y25/100,0))</f>
      </c>
      <c r="AC25" s="25"/>
      <c r="AD25" s="25"/>
      <c r="AE25" s="21">
        <f>IF($B25&lt;&gt;"Entry","",IF(OR(AB25=0,Z25="",AP25="",AP25&lt;=0),0,IF(AP25&lt;=DATE(YEAR(Z25),MONTH(Z25)+1,7),0,ROUND(AB25*0.015*((YEAR(AP25)-YEAR(Z25))*12+(MONTH(AP25)-MONTH(Z25))+1),0))))</f>
      </c>
      <c r="AF25" s="25"/>
      <c r="AG25" s="22"/>
      <c r="AH25" s="22"/>
      <c r="AI25" s="23"/>
      <c r="AJ25" s="22"/>
      <c r="AK25" s="22"/>
      <c r="AL25" s="21">
        <f>IF($B25&lt;&gt;"Challan","",SUMIF($D$8:$D$207,D25,$AB$8:$AB$207)+SUMIF($D$8:$D$207,D25,$AE$8:$AE$207)+SUMIF($D$8:$D$207,D25,$AC$8:$AC$207))</f>
      </c>
      <c r="AM25" s="21">
        <f>IF($B25&lt;&gt;"Challan","",N25-L25)</f>
      </c>
      <c r="AN25" s="21">
        <f>IF($B25&lt;&gt;"Challan","",MAX(0,AM25-AL25))</f>
      </c>
      <c r="AO25" s="26">
        <f>IF($B25&lt;&gt;"Challan","",IF(ROUND(AL25-AM25,2)&gt;0,"Over-applied",IF(ROUND(AL25-AM25,2)=0,"Fully Utilised","Unconsumed")))</f>
      </c>
      <c r="AP25" s="27">
        <f>IF($B25&lt;&gt;"Entry","",SUMPRODUCT(($D$8:$D$207=D25)*($B$8:$B$207="Challan")*$E$8:$E$207))</f>
      </c>
    </row>
    <row r="26" spans="1:42" x14ac:dyDescent="0.25">
      <c r="A26" s="15">
        <f>IF($B26="Entry",COUNTIF($B$8:$B26,"Entry"),"")</f>
      </c>
      <c r="B26" s="16"/>
      <c r="C26" s="17"/>
      <c r="D26" s="17"/>
      <c r="E26" s="18"/>
      <c r="F26" s="19"/>
      <c r="G26" s="20"/>
      <c r="H26" s="20"/>
      <c r="I26" s="20"/>
      <c r="J26" s="20"/>
      <c r="K26" s="20"/>
      <c r="L26" s="20"/>
      <c r="M26" s="20"/>
      <c r="N26" s="21">
        <f>IF($B26&lt;&gt;"Challan","",G26+H26+I26+J26+K26+L26)</f>
      </c>
      <c r="O26" s="19"/>
      <c r="P26" s="19"/>
      <c r="Q26" s="19"/>
      <c r="R26" s="19"/>
      <c r="S26" s="19"/>
      <c r="T26" s="22"/>
      <c r="U26" s="22"/>
      <c r="V26" s="22"/>
      <c r="W26" s="22"/>
      <c r="X26" s="22"/>
      <c r="Y26" s="23"/>
      <c r="Z26" s="24"/>
      <c r="AA26" s="25"/>
      <c r="AB26" s="21">
        <f>IF($B26&lt;&gt;"Entry","",ROUND(AA26*Y26/100,0))</f>
      </c>
      <c r="AC26" s="25"/>
      <c r="AD26" s="25"/>
      <c r="AE26" s="21">
        <f>IF($B26&lt;&gt;"Entry","",IF(OR(AB26=0,Z26="",AP26="",AP26&lt;=0),0,IF(AP26&lt;=DATE(YEAR(Z26),MONTH(Z26)+1,7),0,ROUND(AB26*0.015*((YEAR(AP26)-YEAR(Z26))*12+(MONTH(AP26)-MONTH(Z26))+1),0))))</f>
      </c>
      <c r="AF26" s="25"/>
      <c r="AG26" s="22"/>
      <c r="AH26" s="22"/>
      <c r="AI26" s="23"/>
      <c r="AJ26" s="22"/>
      <c r="AK26" s="22"/>
      <c r="AL26" s="21">
        <f>IF($B26&lt;&gt;"Challan","",SUMIF($D$8:$D$207,D26,$AB$8:$AB$207)+SUMIF($D$8:$D$207,D26,$AE$8:$AE$207)+SUMIF($D$8:$D$207,D26,$AC$8:$AC$207))</f>
      </c>
      <c r="AM26" s="21">
        <f>IF($B26&lt;&gt;"Challan","",N26-L26)</f>
      </c>
      <c r="AN26" s="21">
        <f>IF($B26&lt;&gt;"Challan","",MAX(0,AM26-AL26))</f>
      </c>
      <c r="AO26" s="26">
        <f>IF($B26&lt;&gt;"Challan","",IF(ROUND(AL26-AM26,2)&gt;0,"Over-applied",IF(ROUND(AL26-AM26,2)=0,"Fully Utilised","Unconsumed")))</f>
      </c>
      <c r="AP26" s="27">
        <f>IF($B26&lt;&gt;"Entry","",SUMPRODUCT(($D$8:$D$207=D26)*($B$8:$B$207="Challan")*$E$8:$E$207))</f>
      </c>
    </row>
    <row r="27" spans="1:42" x14ac:dyDescent="0.25">
      <c r="A27" s="15">
        <f>IF($B27="Entry",COUNTIF($B$8:$B27,"Entry"),"")</f>
      </c>
      <c r="B27" s="16"/>
      <c r="C27" s="17"/>
      <c r="D27" s="17"/>
      <c r="E27" s="18"/>
      <c r="F27" s="19"/>
      <c r="G27" s="20"/>
      <c r="H27" s="20"/>
      <c r="I27" s="20"/>
      <c r="J27" s="20"/>
      <c r="K27" s="20"/>
      <c r="L27" s="20"/>
      <c r="M27" s="20"/>
      <c r="N27" s="21">
        <f>IF($B27&lt;&gt;"Challan","",G27+H27+I27+J27+K27+L27)</f>
      </c>
      <c r="O27" s="19"/>
      <c r="P27" s="19"/>
      <c r="Q27" s="19"/>
      <c r="R27" s="19"/>
      <c r="S27" s="19"/>
      <c r="T27" s="22"/>
      <c r="U27" s="22"/>
      <c r="V27" s="22"/>
      <c r="W27" s="22"/>
      <c r="X27" s="22"/>
      <c r="Y27" s="23"/>
      <c r="Z27" s="24"/>
      <c r="AA27" s="25"/>
      <c r="AB27" s="21">
        <f>IF($B27&lt;&gt;"Entry","",ROUND(AA27*Y27/100,0))</f>
      </c>
      <c r="AC27" s="25"/>
      <c r="AD27" s="25"/>
      <c r="AE27" s="21">
        <f>IF($B27&lt;&gt;"Entry","",IF(OR(AB27=0,Z27="",AP27="",AP27&lt;=0),0,IF(AP27&lt;=DATE(YEAR(Z27),MONTH(Z27)+1,7),0,ROUND(AB27*0.015*((YEAR(AP27)-YEAR(Z27))*12+(MONTH(AP27)-MONTH(Z27))+1),0))))</f>
      </c>
      <c r="AF27" s="25"/>
      <c r="AG27" s="22"/>
      <c r="AH27" s="22"/>
      <c r="AI27" s="23"/>
      <c r="AJ27" s="22"/>
      <c r="AK27" s="22"/>
      <c r="AL27" s="21">
        <f>IF($B27&lt;&gt;"Challan","",SUMIF($D$8:$D$207,D27,$AB$8:$AB$207)+SUMIF($D$8:$D$207,D27,$AE$8:$AE$207)+SUMIF($D$8:$D$207,D27,$AC$8:$AC$207))</f>
      </c>
      <c r="AM27" s="21">
        <f>IF($B27&lt;&gt;"Challan","",N27-L27)</f>
      </c>
      <c r="AN27" s="21">
        <f>IF($B27&lt;&gt;"Challan","",MAX(0,AM27-AL27))</f>
      </c>
      <c r="AO27" s="26">
        <f>IF($B27&lt;&gt;"Challan","",IF(ROUND(AL27-AM27,2)&gt;0,"Over-applied",IF(ROUND(AL27-AM27,2)=0,"Fully Utilised","Unconsumed")))</f>
      </c>
      <c r="AP27" s="27">
        <f>IF($B27&lt;&gt;"Entry","",SUMPRODUCT(($D$8:$D$207=D27)*($B$8:$B$207="Challan")*$E$8:$E$207))</f>
      </c>
    </row>
    <row r="28" spans="1:42" x14ac:dyDescent="0.25">
      <c r="A28" s="15">
        <f>IF($B28="Entry",COUNTIF($B$8:$B28,"Entry"),"")</f>
      </c>
      <c r="B28" s="16"/>
      <c r="C28" s="17"/>
      <c r="D28" s="17"/>
      <c r="E28" s="18"/>
      <c r="F28" s="19"/>
      <c r="G28" s="20"/>
      <c r="H28" s="20"/>
      <c r="I28" s="20"/>
      <c r="J28" s="20"/>
      <c r="K28" s="20"/>
      <c r="L28" s="20"/>
      <c r="M28" s="20"/>
      <c r="N28" s="21">
        <f>IF($B28&lt;&gt;"Challan","",G28+H28+I28+J28+K28+L28)</f>
      </c>
      <c r="O28" s="19"/>
      <c r="P28" s="19"/>
      <c r="Q28" s="19"/>
      <c r="R28" s="19"/>
      <c r="S28" s="19"/>
      <c r="T28" s="22"/>
      <c r="U28" s="22"/>
      <c r="V28" s="22"/>
      <c r="W28" s="22"/>
      <c r="X28" s="22"/>
      <c r="Y28" s="23"/>
      <c r="Z28" s="24"/>
      <c r="AA28" s="25"/>
      <c r="AB28" s="21">
        <f>IF($B28&lt;&gt;"Entry","",ROUND(AA28*Y28/100,0))</f>
      </c>
      <c r="AC28" s="25"/>
      <c r="AD28" s="25"/>
      <c r="AE28" s="21">
        <f>IF($B28&lt;&gt;"Entry","",IF(OR(AB28=0,Z28="",AP28="",AP28&lt;=0),0,IF(AP28&lt;=DATE(YEAR(Z28),MONTH(Z28)+1,7),0,ROUND(AB28*0.015*((YEAR(AP28)-YEAR(Z28))*12+(MONTH(AP28)-MONTH(Z28))+1),0))))</f>
      </c>
      <c r="AF28" s="25"/>
      <c r="AG28" s="22"/>
      <c r="AH28" s="22"/>
      <c r="AI28" s="23"/>
      <c r="AJ28" s="22"/>
      <c r="AK28" s="22"/>
      <c r="AL28" s="21">
        <f>IF($B28&lt;&gt;"Challan","",SUMIF($D$8:$D$207,D28,$AB$8:$AB$207)+SUMIF($D$8:$D$207,D28,$AE$8:$AE$207)+SUMIF($D$8:$D$207,D28,$AC$8:$AC$207))</f>
      </c>
      <c r="AM28" s="21">
        <f>IF($B28&lt;&gt;"Challan","",N28-L28)</f>
      </c>
      <c r="AN28" s="21">
        <f>IF($B28&lt;&gt;"Challan","",MAX(0,AM28-AL28))</f>
      </c>
      <c r="AO28" s="26">
        <f>IF($B28&lt;&gt;"Challan","",IF(ROUND(AL28-AM28,2)&gt;0,"Over-applied",IF(ROUND(AL28-AM28,2)=0,"Fully Utilised","Unconsumed")))</f>
      </c>
      <c r="AP28" s="27">
        <f>IF($B28&lt;&gt;"Entry","",SUMPRODUCT(($D$8:$D$207=D28)*($B$8:$B$207="Challan")*$E$8:$E$207))</f>
      </c>
    </row>
    <row r="29" spans="1:42" x14ac:dyDescent="0.25">
      <c r="A29" s="15">
        <f>IF($B29="Entry",COUNTIF($B$8:$B29,"Entry"),"")</f>
      </c>
      <c r="B29" s="16"/>
      <c r="C29" s="17"/>
      <c r="D29" s="17"/>
      <c r="E29" s="18"/>
      <c r="F29" s="19"/>
      <c r="G29" s="20"/>
      <c r="H29" s="20"/>
      <c r="I29" s="20"/>
      <c r="J29" s="20"/>
      <c r="K29" s="20"/>
      <c r="L29" s="20"/>
      <c r="M29" s="20"/>
      <c r="N29" s="21">
        <f>IF($B29&lt;&gt;"Challan","",G29+H29+I29+J29+K29+L29)</f>
      </c>
      <c r="O29" s="19"/>
      <c r="P29" s="19"/>
      <c r="Q29" s="19"/>
      <c r="R29" s="19"/>
      <c r="S29" s="19"/>
      <c r="T29" s="22"/>
      <c r="U29" s="22"/>
      <c r="V29" s="22"/>
      <c r="W29" s="22"/>
      <c r="X29" s="22"/>
      <c r="Y29" s="23"/>
      <c r="Z29" s="24"/>
      <c r="AA29" s="25"/>
      <c r="AB29" s="21">
        <f>IF($B29&lt;&gt;"Entry","",ROUND(AA29*Y29/100,0))</f>
      </c>
      <c r="AC29" s="25"/>
      <c r="AD29" s="25"/>
      <c r="AE29" s="21">
        <f>IF($B29&lt;&gt;"Entry","",IF(OR(AB29=0,Z29="",AP29="",AP29&lt;=0),0,IF(AP29&lt;=DATE(YEAR(Z29),MONTH(Z29)+1,7),0,ROUND(AB29*0.015*((YEAR(AP29)-YEAR(Z29))*12+(MONTH(AP29)-MONTH(Z29))+1),0))))</f>
      </c>
      <c r="AF29" s="25"/>
      <c r="AG29" s="22"/>
      <c r="AH29" s="22"/>
      <c r="AI29" s="23"/>
      <c r="AJ29" s="22"/>
      <c r="AK29" s="22"/>
      <c r="AL29" s="21">
        <f>IF($B29&lt;&gt;"Challan","",SUMIF($D$8:$D$207,D29,$AB$8:$AB$207)+SUMIF($D$8:$D$207,D29,$AE$8:$AE$207)+SUMIF($D$8:$D$207,D29,$AC$8:$AC$207))</f>
      </c>
      <c r="AM29" s="21">
        <f>IF($B29&lt;&gt;"Challan","",N29-L29)</f>
      </c>
      <c r="AN29" s="21">
        <f>IF($B29&lt;&gt;"Challan","",MAX(0,AM29-AL29))</f>
      </c>
      <c r="AO29" s="26">
        <f>IF($B29&lt;&gt;"Challan","",IF(ROUND(AL29-AM29,2)&gt;0,"Over-applied",IF(ROUND(AL29-AM29,2)=0,"Fully Utilised","Unconsumed")))</f>
      </c>
      <c r="AP29" s="27">
        <f>IF($B29&lt;&gt;"Entry","",SUMPRODUCT(($D$8:$D$207=D29)*($B$8:$B$207="Challan")*$E$8:$E$207))</f>
      </c>
    </row>
    <row r="30" spans="1:42" x14ac:dyDescent="0.25">
      <c r="A30" s="15">
        <f>IF($B30="Entry",COUNTIF($B$8:$B30,"Entry"),"")</f>
      </c>
      <c r="B30" s="16"/>
      <c r="C30" s="17"/>
      <c r="D30" s="17"/>
      <c r="E30" s="18"/>
      <c r="F30" s="19"/>
      <c r="G30" s="20"/>
      <c r="H30" s="20"/>
      <c r="I30" s="20"/>
      <c r="J30" s="20"/>
      <c r="K30" s="20"/>
      <c r="L30" s="20"/>
      <c r="M30" s="20"/>
      <c r="N30" s="21">
        <f>IF($B30&lt;&gt;"Challan","",G30+H30+I30+J30+K30+L30)</f>
      </c>
      <c r="O30" s="19"/>
      <c r="P30" s="19"/>
      <c r="Q30" s="19"/>
      <c r="R30" s="19"/>
      <c r="S30" s="19"/>
      <c r="T30" s="22"/>
      <c r="U30" s="22"/>
      <c r="V30" s="22"/>
      <c r="W30" s="22"/>
      <c r="X30" s="22"/>
      <c r="Y30" s="23"/>
      <c r="Z30" s="24"/>
      <c r="AA30" s="25"/>
      <c r="AB30" s="21">
        <f>IF($B30&lt;&gt;"Entry","",ROUND(AA30*Y30/100,0))</f>
      </c>
      <c r="AC30" s="25"/>
      <c r="AD30" s="25"/>
      <c r="AE30" s="21">
        <f>IF($B30&lt;&gt;"Entry","",IF(OR(AB30=0,Z30="",AP30="",AP30&lt;=0),0,IF(AP30&lt;=DATE(YEAR(Z30),MONTH(Z30)+1,7),0,ROUND(AB30*0.015*((YEAR(AP30)-YEAR(Z30))*12+(MONTH(AP30)-MONTH(Z30))+1),0))))</f>
      </c>
      <c r="AF30" s="25"/>
      <c r="AG30" s="22"/>
      <c r="AH30" s="22"/>
      <c r="AI30" s="23"/>
      <c r="AJ30" s="22"/>
      <c r="AK30" s="22"/>
      <c r="AL30" s="21">
        <f>IF($B30&lt;&gt;"Challan","",SUMIF($D$8:$D$207,D30,$AB$8:$AB$207)+SUMIF($D$8:$D$207,D30,$AE$8:$AE$207)+SUMIF($D$8:$D$207,D30,$AC$8:$AC$207))</f>
      </c>
      <c r="AM30" s="21">
        <f>IF($B30&lt;&gt;"Challan","",N30-L30)</f>
      </c>
      <c r="AN30" s="21">
        <f>IF($B30&lt;&gt;"Challan","",MAX(0,AM30-AL30))</f>
      </c>
      <c r="AO30" s="26">
        <f>IF($B30&lt;&gt;"Challan","",IF(ROUND(AL30-AM30,2)&gt;0,"Over-applied",IF(ROUND(AL30-AM30,2)=0,"Fully Utilised","Unconsumed")))</f>
      </c>
      <c r="AP30" s="27">
        <f>IF($B30&lt;&gt;"Entry","",SUMPRODUCT(($D$8:$D$207=D30)*($B$8:$B$207="Challan")*$E$8:$E$207))</f>
      </c>
    </row>
    <row r="31" spans="1:42" x14ac:dyDescent="0.25">
      <c r="A31" s="15">
        <f>IF($B31="Entry",COUNTIF($B$8:$B31,"Entry"),"")</f>
      </c>
      <c r="B31" s="16"/>
      <c r="C31" s="17"/>
      <c r="D31" s="17"/>
      <c r="E31" s="18"/>
      <c r="F31" s="19"/>
      <c r="G31" s="20"/>
      <c r="H31" s="20"/>
      <c r="I31" s="20"/>
      <c r="J31" s="20"/>
      <c r="K31" s="20"/>
      <c r="L31" s="20"/>
      <c r="M31" s="20"/>
      <c r="N31" s="21">
        <f>IF($B31&lt;&gt;"Challan","",G31+H31+I31+J31+K31+L31)</f>
      </c>
      <c r="O31" s="19"/>
      <c r="P31" s="19"/>
      <c r="Q31" s="19"/>
      <c r="R31" s="19"/>
      <c r="S31" s="19"/>
      <c r="T31" s="22"/>
      <c r="U31" s="22"/>
      <c r="V31" s="22"/>
      <c r="W31" s="22"/>
      <c r="X31" s="22"/>
      <c r="Y31" s="23"/>
      <c r="Z31" s="24"/>
      <c r="AA31" s="25"/>
      <c r="AB31" s="21">
        <f>IF($B31&lt;&gt;"Entry","",ROUND(AA31*Y31/100,0))</f>
      </c>
      <c r="AC31" s="25"/>
      <c r="AD31" s="25"/>
      <c r="AE31" s="21">
        <f>IF($B31&lt;&gt;"Entry","",IF(OR(AB31=0,Z31="",AP31="",AP31&lt;=0),0,IF(AP31&lt;=DATE(YEAR(Z31),MONTH(Z31)+1,7),0,ROUND(AB31*0.015*((YEAR(AP31)-YEAR(Z31))*12+(MONTH(AP31)-MONTH(Z31))+1),0))))</f>
      </c>
      <c r="AF31" s="25"/>
      <c r="AG31" s="22"/>
      <c r="AH31" s="22"/>
      <c r="AI31" s="23"/>
      <c r="AJ31" s="22"/>
      <c r="AK31" s="22"/>
      <c r="AL31" s="21">
        <f>IF($B31&lt;&gt;"Challan","",SUMIF($D$8:$D$207,D31,$AB$8:$AB$207)+SUMIF($D$8:$D$207,D31,$AE$8:$AE$207)+SUMIF($D$8:$D$207,D31,$AC$8:$AC$207))</f>
      </c>
      <c r="AM31" s="21">
        <f>IF($B31&lt;&gt;"Challan","",N31-L31)</f>
      </c>
      <c r="AN31" s="21">
        <f>IF($B31&lt;&gt;"Challan","",MAX(0,AM31-AL31))</f>
      </c>
      <c r="AO31" s="26">
        <f>IF($B31&lt;&gt;"Challan","",IF(ROUND(AL31-AM31,2)&gt;0,"Over-applied",IF(ROUND(AL31-AM31,2)=0,"Fully Utilised","Unconsumed")))</f>
      </c>
      <c r="AP31" s="27">
        <f>IF($B31&lt;&gt;"Entry","",SUMPRODUCT(($D$8:$D$207=D31)*($B$8:$B$207="Challan")*$E$8:$E$207))</f>
      </c>
    </row>
    <row r="32" spans="1:42" x14ac:dyDescent="0.25">
      <c r="A32" s="15">
        <f>IF($B32="Entry",COUNTIF($B$8:$B32,"Entry"),"")</f>
      </c>
      <c r="B32" s="16"/>
      <c r="C32" s="17"/>
      <c r="D32" s="17"/>
      <c r="E32" s="18"/>
      <c r="F32" s="19"/>
      <c r="G32" s="20"/>
      <c r="H32" s="20"/>
      <c r="I32" s="20"/>
      <c r="J32" s="20"/>
      <c r="K32" s="20"/>
      <c r="L32" s="20"/>
      <c r="M32" s="20"/>
      <c r="N32" s="21">
        <f>IF($B32&lt;&gt;"Challan","",G32+H32+I32+J32+K32+L32)</f>
      </c>
      <c r="O32" s="19"/>
      <c r="P32" s="19"/>
      <c r="Q32" s="19"/>
      <c r="R32" s="19"/>
      <c r="S32" s="19"/>
      <c r="T32" s="22"/>
      <c r="U32" s="22"/>
      <c r="V32" s="22"/>
      <c r="W32" s="22"/>
      <c r="X32" s="22"/>
      <c r="Y32" s="23"/>
      <c r="Z32" s="24"/>
      <c r="AA32" s="25"/>
      <c r="AB32" s="21">
        <f>IF($B32&lt;&gt;"Entry","",ROUND(AA32*Y32/100,0))</f>
      </c>
      <c r="AC32" s="25"/>
      <c r="AD32" s="25"/>
      <c r="AE32" s="21">
        <f>IF($B32&lt;&gt;"Entry","",IF(OR(AB32=0,Z32="",AP32="",AP32&lt;=0),0,IF(AP32&lt;=DATE(YEAR(Z32),MONTH(Z32)+1,7),0,ROUND(AB32*0.015*((YEAR(AP32)-YEAR(Z32))*12+(MONTH(AP32)-MONTH(Z32))+1),0))))</f>
      </c>
      <c r="AF32" s="25"/>
      <c r="AG32" s="22"/>
      <c r="AH32" s="22"/>
      <c r="AI32" s="23"/>
      <c r="AJ32" s="22"/>
      <c r="AK32" s="22"/>
      <c r="AL32" s="21">
        <f>IF($B32&lt;&gt;"Challan","",SUMIF($D$8:$D$207,D32,$AB$8:$AB$207)+SUMIF($D$8:$D$207,D32,$AE$8:$AE$207)+SUMIF($D$8:$D$207,D32,$AC$8:$AC$207))</f>
      </c>
      <c r="AM32" s="21">
        <f>IF($B32&lt;&gt;"Challan","",N32-L32)</f>
      </c>
      <c r="AN32" s="21">
        <f>IF($B32&lt;&gt;"Challan","",MAX(0,AM32-AL32))</f>
      </c>
      <c r="AO32" s="26">
        <f>IF($B32&lt;&gt;"Challan","",IF(ROUND(AL32-AM32,2)&gt;0,"Over-applied",IF(ROUND(AL32-AM32,2)=0,"Fully Utilised","Unconsumed")))</f>
      </c>
      <c r="AP32" s="27">
        <f>IF($B32&lt;&gt;"Entry","",SUMPRODUCT(($D$8:$D$207=D32)*($B$8:$B$207="Challan")*$E$8:$E$207))</f>
      </c>
    </row>
    <row r="33" spans="1:42" x14ac:dyDescent="0.25">
      <c r="A33" s="15">
        <f>IF($B33="Entry",COUNTIF($B$8:$B33,"Entry"),"")</f>
      </c>
      <c r="B33" s="16"/>
      <c r="C33" s="17"/>
      <c r="D33" s="17"/>
      <c r="E33" s="18"/>
      <c r="F33" s="19"/>
      <c r="G33" s="20"/>
      <c r="H33" s="20"/>
      <c r="I33" s="20"/>
      <c r="J33" s="20"/>
      <c r="K33" s="20"/>
      <c r="L33" s="20"/>
      <c r="M33" s="20"/>
      <c r="N33" s="21">
        <f>IF($B33&lt;&gt;"Challan","",G33+H33+I33+J33+K33+L33)</f>
      </c>
      <c r="O33" s="19"/>
      <c r="P33" s="19"/>
      <c r="Q33" s="19"/>
      <c r="R33" s="19"/>
      <c r="S33" s="19"/>
      <c r="T33" s="22"/>
      <c r="U33" s="22"/>
      <c r="V33" s="22"/>
      <c r="W33" s="22"/>
      <c r="X33" s="22"/>
      <c r="Y33" s="23"/>
      <c r="Z33" s="24"/>
      <c r="AA33" s="25"/>
      <c r="AB33" s="21">
        <f>IF($B33&lt;&gt;"Entry","",ROUND(AA33*Y33/100,0))</f>
      </c>
      <c r="AC33" s="25"/>
      <c r="AD33" s="25"/>
      <c r="AE33" s="21">
        <f>IF($B33&lt;&gt;"Entry","",IF(OR(AB33=0,Z33="",AP33="",AP33&lt;=0),0,IF(AP33&lt;=DATE(YEAR(Z33),MONTH(Z33)+1,7),0,ROUND(AB33*0.015*((YEAR(AP33)-YEAR(Z33))*12+(MONTH(AP33)-MONTH(Z33))+1),0))))</f>
      </c>
      <c r="AF33" s="25"/>
      <c r="AG33" s="22"/>
      <c r="AH33" s="22"/>
      <c r="AI33" s="23"/>
      <c r="AJ33" s="22"/>
      <c r="AK33" s="22"/>
      <c r="AL33" s="21">
        <f>IF($B33&lt;&gt;"Challan","",SUMIF($D$8:$D$207,D33,$AB$8:$AB$207)+SUMIF($D$8:$D$207,D33,$AE$8:$AE$207)+SUMIF($D$8:$D$207,D33,$AC$8:$AC$207))</f>
      </c>
      <c r="AM33" s="21">
        <f>IF($B33&lt;&gt;"Challan","",N33-L33)</f>
      </c>
      <c r="AN33" s="21">
        <f>IF($B33&lt;&gt;"Challan","",MAX(0,AM33-AL33))</f>
      </c>
      <c r="AO33" s="26">
        <f>IF($B33&lt;&gt;"Challan","",IF(ROUND(AL33-AM33,2)&gt;0,"Over-applied",IF(ROUND(AL33-AM33,2)=0,"Fully Utilised","Unconsumed")))</f>
      </c>
      <c r="AP33" s="27">
        <f>IF($B33&lt;&gt;"Entry","",SUMPRODUCT(($D$8:$D$207=D33)*($B$8:$B$207="Challan")*$E$8:$E$207))</f>
      </c>
    </row>
    <row r="34" spans="1:42" x14ac:dyDescent="0.25">
      <c r="A34" s="15">
        <f>IF($B34="Entry",COUNTIF($B$8:$B34,"Entry"),"")</f>
      </c>
      <c r="B34" s="16"/>
      <c r="C34" s="17"/>
      <c r="D34" s="17"/>
      <c r="E34" s="18"/>
      <c r="F34" s="19"/>
      <c r="G34" s="20"/>
      <c r="H34" s="20"/>
      <c r="I34" s="20"/>
      <c r="J34" s="20"/>
      <c r="K34" s="20"/>
      <c r="L34" s="20"/>
      <c r="M34" s="20"/>
      <c r="N34" s="21">
        <f>IF($B34&lt;&gt;"Challan","",G34+H34+I34+J34+K34+L34)</f>
      </c>
      <c r="O34" s="19"/>
      <c r="P34" s="19"/>
      <c r="Q34" s="19"/>
      <c r="R34" s="19"/>
      <c r="S34" s="19"/>
      <c r="T34" s="22"/>
      <c r="U34" s="22"/>
      <c r="V34" s="22"/>
      <c r="W34" s="22"/>
      <c r="X34" s="22"/>
      <c r="Y34" s="23"/>
      <c r="Z34" s="24"/>
      <c r="AA34" s="25"/>
      <c r="AB34" s="21">
        <f>IF($B34&lt;&gt;"Entry","",ROUND(AA34*Y34/100,0))</f>
      </c>
      <c r="AC34" s="25"/>
      <c r="AD34" s="25"/>
      <c r="AE34" s="21">
        <f>IF($B34&lt;&gt;"Entry","",IF(OR(AB34=0,Z34="",AP34="",AP34&lt;=0),0,IF(AP34&lt;=DATE(YEAR(Z34),MONTH(Z34)+1,7),0,ROUND(AB34*0.015*((YEAR(AP34)-YEAR(Z34))*12+(MONTH(AP34)-MONTH(Z34))+1),0))))</f>
      </c>
      <c r="AF34" s="25"/>
      <c r="AG34" s="22"/>
      <c r="AH34" s="22"/>
      <c r="AI34" s="23"/>
      <c r="AJ34" s="22"/>
      <c r="AK34" s="22"/>
      <c r="AL34" s="21">
        <f>IF($B34&lt;&gt;"Challan","",SUMIF($D$8:$D$207,D34,$AB$8:$AB$207)+SUMIF($D$8:$D$207,D34,$AE$8:$AE$207)+SUMIF($D$8:$D$207,D34,$AC$8:$AC$207))</f>
      </c>
      <c r="AM34" s="21">
        <f>IF($B34&lt;&gt;"Challan","",N34-L34)</f>
      </c>
      <c r="AN34" s="21">
        <f>IF($B34&lt;&gt;"Challan","",MAX(0,AM34-AL34))</f>
      </c>
      <c r="AO34" s="26">
        <f>IF($B34&lt;&gt;"Challan","",IF(ROUND(AL34-AM34,2)&gt;0,"Over-applied",IF(ROUND(AL34-AM34,2)=0,"Fully Utilised","Unconsumed")))</f>
      </c>
      <c r="AP34" s="27">
        <f>IF($B34&lt;&gt;"Entry","",SUMPRODUCT(($D$8:$D$207=D34)*($B$8:$B$207="Challan")*$E$8:$E$207))</f>
      </c>
    </row>
    <row r="35" spans="1:42" x14ac:dyDescent="0.25">
      <c r="A35" s="15">
        <f>IF($B35="Entry",COUNTIF($B$8:$B35,"Entry"),"")</f>
      </c>
      <c r="B35" s="16"/>
      <c r="C35" s="17"/>
      <c r="D35" s="17"/>
      <c r="E35" s="18"/>
      <c r="F35" s="19"/>
      <c r="G35" s="20"/>
      <c r="H35" s="20"/>
      <c r="I35" s="20"/>
      <c r="J35" s="20"/>
      <c r="K35" s="20"/>
      <c r="L35" s="20"/>
      <c r="M35" s="20"/>
      <c r="N35" s="21">
        <f>IF($B35&lt;&gt;"Challan","",G35+H35+I35+J35+K35+L35)</f>
      </c>
      <c r="O35" s="19"/>
      <c r="P35" s="19"/>
      <c r="Q35" s="19"/>
      <c r="R35" s="19"/>
      <c r="S35" s="19"/>
      <c r="T35" s="22"/>
      <c r="U35" s="22"/>
      <c r="V35" s="22"/>
      <c r="W35" s="22"/>
      <c r="X35" s="22"/>
      <c r="Y35" s="23"/>
      <c r="Z35" s="24"/>
      <c r="AA35" s="25"/>
      <c r="AB35" s="21">
        <f>IF($B35&lt;&gt;"Entry","",ROUND(AA35*Y35/100,0))</f>
      </c>
      <c r="AC35" s="25"/>
      <c r="AD35" s="25"/>
      <c r="AE35" s="21">
        <f>IF($B35&lt;&gt;"Entry","",IF(OR(AB35=0,Z35="",AP35="",AP35&lt;=0),0,IF(AP35&lt;=DATE(YEAR(Z35),MONTH(Z35)+1,7),0,ROUND(AB35*0.015*((YEAR(AP35)-YEAR(Z35))*12+(MONTH(AP35)-MONTH(Z35))+1),0))))</f>
      </c>
      <c r="AF35" s="25"/>
      <c r="AG35" s="22"/>
      <c r="AH35" s="22"/>
      <c r="AI35" s="23"/>
      <c r="AJ35" s="22"/>
      <c r="AK35" s="22"/>
      <c r="AL35" s="21">
        <f>IF($B35&lt;&gt;"Challan","",SUMIF($D$8:$D$207,D35,$AB$8:$AB$207)+SUMIF($D$8:$D$207,D35,$AE$8:$AE$207)+SUMIF($D$8:$D$207,D35,$AC$8:$AC$207))</f>
      </c>
      <c r="AM35" s="21">
        <f>IF($B35&lt;&gt;"Challan","",N35-L35)</f>
      </c>
      <c r="AN35" s="21">
        <f>IF($B35&lt;&gt;"Challan","",MAX(0,AM35-AL35))</f>
      </c>
      <c r="AO35" s="26">
        <f>IF($B35&lt;&gt;"Challan","",IF(ROUND(AL35-AM35,2)&gt;0,"Over-applied",IF(ROUND(AL35-AM35,2)=0,"Fully Utilised","Unconsumed")))</f>
      </c>
      <c r="AP35" s="27">
        <f>IF($B35&lt;&gt;"Entry","",SUMPRODUCT(($D$8:$D$207=D35)*($B$8:$B$207="Challan")*$E$8:$E$207))</f>
      </c>
    </row>
    <row r="36" spans="1:42" x14ac:dyDescent="0.25">
      <c r="A36" s="15">
        <f>IF($B36="Entry",COUNTIF($B$8:$B36,"Entry"),"")</f>
      </c>
      <c r="B36" s="16"/>
      <c r="C36" s="17"/>
      <c r="D36" s="17"/>
      <c r="E36" s="18"/>
      <c r="F36" s="19"/>
      <c r="G36" s="20"/>
      <c r="H36" s="20"/>
      <c r="I36" s="20"/>
      <c r="J36" s="20"/>
      <c r="K36" s="20"/>
      <c r="L36" s="20"/>
      <c r="M36" s="20"/>
      <c r="N36" s="21">
        <f>IF($B36&lt;&gt;"Challan","",G36+H36+I36+J36+K36+L36)</f>
      </c>
      <c r="O36" s="19"/>
      <c r="P36" s="19"/>
      <c r="Q36" s="19"/>
      <c r="R36" s="19"/>
      <c r="S36" s="19"/>
      <c r="T36" s="22"/>
      <c r="U36" s="22"/>
      <c r="V36" s="22"/>
      <c r="W36" s="22"/>
      <c r="X36" s="22"/>
      <c r="Y36" s="23"/>
      <c r="Z36" s="24"/>
      <c r="AA36" s="25"/>
      <c r="AB36" s="21">
        <f>IF($B36&lt;&gt;"Entry","",ROUND(AA36*Y36/100,0))</f>
      </c>
      <c r="AC36" s="25"/>
      <c r="AD36" s="25"/>
      <c r="AE36" s="21">
        <f>IF($B36&lt;&gt;"Entry","",IF(OR(AB36=0,Z36="",AP36="",AP36&lt;=0),0,IF(AP36&lt;=DATE(YEAR(Z36),MONTH(Z36)+1,7),0,ROUND(AB36*0.015*((YEAR(AP36)-YEAR(Z36))*12+(MONTH(AP36)-MONTH(Z36))+1),0))))</f>
      </c>
      <c r="AF36" s="25"/>
      <c r="AG36" s="22"/>
      <c r="AH36" s="22"/>
      <c r="AI36" s="23"/>
      <c r="AJ36" s="22"/>
      <c r="AK36" s="22"/>
      <c r="AL36" s="21">
        <f>IF($B36&lt;&gt;"Challan","",SUMIF($D$8:$D$207,D36,$AB$8:$AB$207)+SUMIF($D$8:$D$207,D36,$AE$8:$AE$207)+SUMIF($D$8:$D$207,D36,$AC$8:$AC$207))</f>
      </c>
      <c r="AM36" s="21">
        <f>IF($B36&lt;&gt;"Challan","",N36-L36)</f>
      </c>
      <c r="AN36" s="21">
        <f>IF($B36&lt;&gt;"Challan","",MAX(0,AM36-AL36))</f>
      </c>
      <c r="AO36" s="26">
        <f>IF($B36&lt;&gt;"Challan","",IF(ROUND(AL36-AM36,2)&gt;0,"Over-applied",IF(ROUND(AL36-AM36,2)=0,"Fully Utilised","Unconsumed")))</f>
      </c>
      <c r="AP36" s="27">
        <f>IF($B36&lt;&gt;"Entry","",SUMPRODUCT(($D$8:$D$207=D36)*($B$8:$B$207="Challan")*$E$8:$E$207))</f>
      </c>
    </row>
    <row r="37" spans="1:42" x14ac:dyDescent="0.25">
      <c r="A37" s="15">
        <f>IF($B37="Entry",COUNTIF($B$8:$B37,"Entry"),"")</f>
      </c>
      <c r="B37" s="16"/>
      <c r="C37" s="17"/>
      <c r="D37" s="17"/>
      <c r="E37" s="18"/>
      <c r="F37" s="19"/>
      <c r="G37" s="20"/>
      <c r="H37" s="20"/>
      <c r="I37" s="20"/>
      <c r="J37" s="20"/>
      <c r="K37" s="20"/>
      <c r="L37" s="20"/>
      <c r="M37" s="20"/>
      <c r="N37" s="21">
        <f>IF($B37&lt;&gt;"Challan","",G37+H37+I37+J37+K37+L37)</f>
      </c>
      <c r="O37" s="19"/>
      <c r="P37" s="19"/>
      <c r="Q37" s="19"/>
      <c r="R37" s="19"/>
      <c r="S37" s="19"/>
      <c r="T37" s="22"/>
      <c r="U37" s="22"/>
      <c r="V37" s="22"/>
      <c r="W37" s="22"/>
      <c r="X37" s="22"/>
      <c r="Y37" s="23"/>
      <c r="Z37" s="24"/>
      <c r="AA37" s="25"/>
      <c r="AB37" s="21">
        <f>IF($B37&lt;&gt;"Entry","",ROUND(AA37*Y37/100,0))</f>
      </c>
      <c r="AC37" s="25"/>
      <c r="AD37" s="25"/>
      <c r="AE37" s="21">
        <f>IF($B37&lt;&gt;"Entry","",IF(OR(AB37=0,Z37="",AP37="",AP37&lt;=0),0,IF(AP37&lt;=DATE(YEAR(Z37),MONTH(Z37)+1,7),0,ROUND(AB37*0.015*((YEAR(AP37)-YEAR(Z37))*12+(MONTH(AP37)-MONTH(Z37))+1),0))))</f>
      </c>
      <c r="AF37" s="25"/>
      <c r="AG37" s="22"/>
      <c r="AH37" s="22"/>
      <c r="AI37" s="23"/>
      <c r="AJ37" s="22"/>
      <c r="AK37" s="22"/>
      <c r="AL37" s="21">
        <f>IF($B37&lt;&gt;"Challan","",SUMIF($D$8:$D$207,D37,$AB$8:$AB$207)+SUMIF($D$8:$D$207,D37,$AE$8:$AE$207)+SUMIF($D$8:$D$207,D37,$AC$8:$AC$207))</f>
      </c>
      <c r="AM37" s="21">
        <f>IF($B37&lt;&gt;"Challan","",N37-L37)</f>
      </c>
      <c r="AN37" s="21">
        <f>IF($B37&lt;&gt;"Challan","",MAX(0,AM37-AL37))</f>
      </c>
      <c r="AO37" s="26">
        <f>IF($B37&lt;&gt;"Challan","",IF(ROUND(AL37-AM37,2)&gt;0,"Over-applied",IF(ROUND(AL37-AM37,2)=0,"Fully Utilised","Unconsumed")))</f>
      </c>
      <c r="AP37" s="27">
        <f>IF($B37&lt;&gt;"Entry","",SUMPRODUCT(($D$8:$D$207=D37)*($B$8:$B$207="Challan")*$E$8:$E$207))</f>
      </c>
    </row>
    <row r="38" spans="1:42" x14ac:dyDescent="0.25">
      <c r="A38" s="15">
        <f>IF($B38="Entry",COUNTIF($B$8:$B38,"Entry"),"")</f>
      </c>
      <c r="B38" s="16"/>
      <c r="C38" s="17"/>
      <c r="D38" s="17"/>
      <c r="E38" s="18"/>
      <c r="F38" s="19"/>
      <c r="G38" s="20"/>
      <c r="H38" s="20"/>
      <c r="I38" s="20"/>
      <c r="J38" s="20"/>
      <c r="K38" s="20"/>
      <c r="L38" s="20"/>
      <c r="M38" s="20"/>
      <c r="N38" s="21">
        <f>IF($B38&lt;&gt;"Challan","",G38+H38+I38+J38+K38+L38)</f>
      </c>
      <c r="O38" s="19"/>
      <c r="P38" s="19"/>
      <c r="Q38" s="19"/>
      <c r="R38" s="19"/>
      <c r="S38" s="19"/>
      <c r="T38" s="22"/>
      <c r="U38" s="22"/>
      <c r="V38" s="22"/>
      <c r="W38" s="22"/>
      <c r="X38" s="22"/>
      <c r="Y38" s="23"/>
      <c r="Z38" s="24"/>
      <c r="AA38" s="25"/>
      <c r="AB38" s="21">
        <f>IF($B38&lt;&gt;"Entry","",ROUND(AA38*Y38/100,0))</f>
      </c>
      <c r="AC38" s="25"/>
      <c r="AD38" s="25"/>
      <c r="AE38" s="21">
        <f>IF($B38&lt;&gt;"Entry","",IF(OR(AB38=0,Z38="",AP38="",AP38&lt;=0),0,IF(AP38&lt;=DATE(YEAR(Z38),MONTH(Z38)+1,7),0,ROUND(AB38*0.015*((YEAR(AP38)-YEAR(Z38))*12+(MONTH(AP38)-MONTH(Z38))+1),0))))</f>
      </c>
      <c r="AF38" s="25"/>
      <c r="AG38" s="22"/>
      <c r="AH38" s="22"/>
      <c r="AI38" s="23"/>
      <c r="AJ38" s="22"/>
      <c r="AK38" s="22"/>
      <c r="AL38" s="21">
        <f>IF($B38&lt;&gt;"Challan","",SUMIF($D$8:$D$207,D38,$AB$8:$AB$207)+SUMIF($D$8:$D$207,D38,$AE$8:$AE$207)+SUMIF($D$8:$D$207,D38,$AC$8:$AC$207))</f>
      </c>
      <c r="AM38" s="21">
        <f>IF($B38&lt;&gt;"Challan","",N38-L38)</f>
      </c>
      <c r="AN38" s="21">
        <f>IF($B38&lt;&gt;"Challan","",MAX(0,AM38-AL38))</f>
      </c>
      <c r="AO38" s="26">
        <f>IF($B38&lt;&gt;"Challan","",IF(ROUND(AL38-AM38,2)&gt;0,"Over-applied",IF(ROUND(AL38-AM38,2)=0,"Fully Utilised","Unconsumed")))</f>
      </c>
      <c r="AP38" s="27">
        <f>IF($B38&lt;&gt;"Entry","",SUMPRODUCT(($D$8:$D$207=D38)*($B$8:$B$207="Challan")*$E$8:$E$207))</f>
      </c>
    </row>
    <row r="39" spans="1:42" x14ac:dyDescent="0.25">
      <c r="A39" s="15">
        <f>IF($B39="Entry",COUNTIF($B$8:$B39,"Entry"),"")</f>
      </c>
      <c r="B39" s="16"/>
      <c r="C39" s="17"/>
      <c r="D39" s="17"/>
      <c r="E39" s="18"/>
      <c r="F39" s="19"/>
      <c r="G39" s="20"/>
      <c r="H39" s="20"/>
      <c r="I39" s="20"/>
      <c r="J39" s="20"/>
      <c r="K39" s="20"/>
      <c r="L39" s="20"/>
      <c r="M39" s="20"/>
      <c r="N39" s="21">
        <f>IF($B39&lt;&gt;"Challan","",G39+H39+I39+J39+K39+L39)</f>
      </c>
      <c r="O39" s="19"/>
      <c r="P39" s="19"/>
      <c r="Q39" s="19"/>
      <c r="R39" s="19"/>
      <c r="S39" s="19"/>
      <c r="T39" s="22"/>
      <c r="U39" s="22"/>
      <c r="V39" s="22"/>
      <c r="W39" s="22"/>
      <c r="X39" s="22"/>
      <c r="Y39" s="23"/>
      <c r="Z39" s="24"/>
      <c r="AA39" s="25"/>
      <c r="AB39" s="21">
        <f>IF($B39&lt;&gt;"Entry","",ROUND(AA39*Y39/100,0))</f>
      </c>
      <c r="AC39" s="25"/>
      <c r="AD39" s="25"/>
      <c r="AE39" s="21">
        <f>IF($B39&lt;&gt;"Entry","",IF(OR(AB39=0,Z39="",AP39="",AP39&lt;=0),0,IF(AP39&lt;=DATE(YEAR(Z39),MONTH(Z39)+1,7),0,ROUND(AB39*0.015*((YEAR(AP39)-YEAR(Z39))*12+(MONTH(AP39)-MONTH(Z39))+1),0))))</f>
      </c>
      <c r="AF39" s="25"/>
      <c r="AG39" s="22"/>
      <c r="AH39" s="22"/>
      <c r="AI39" s="23"/>
      <c r="AJ39" s="22"/>
      <c r="AK39" s="22"/>
      <c r="AL39" s="21">
        <f>IF($B39&lt;&gt;"Challan","",SUMIF($D$8:$D$207,D39,$AB$8:$AB$207)+SUMIF($D$8:$D$207,D39,$AE$8:$AE$207)+SUMIF($D$8:$D$207,D39,$AC$8:$AC$207))</f>
      </c>
      <c r="AM39" s="21">
        <f>IF($B39&lt;&gt;"Challan","",N39-L39)</f>
      </c>
      <c r="AN39" s="21">
        <f>IF($B39&lt;&gt;"Challan","",MAX(0,AM39-AL39))</f>
      </c>
      <c r="AO39" s="26">
        <f>IF($B39&lt;&gt;"Challan","",IF(ROUND(AL39-AM39,2)&gt;0,"Over-applied",IF(ROUND(AL39-AM39,2)=0,"Fully Utilised","Unconsumed")))</f>
      </c>
      <c r="AP39" s="27">
        <f>IF($B39&lt;&gt;"Entry","",SUMPRODUCT(($D$8:$D$207=D39)*($B$8:$B$207="Challan")*$E$8:$E$207))</f>
      </c>
    </row>
    <row r="40" spans="1:42" x14ac:dyDescent="0.25">
      <c r="A40" s="15">
        <f>IF($B40="Entry",COUNTIF($B$8:$B40,"Entry"),"")</f>
      </c>
      <c r="B40" s="16"/>
      <c r="C40" s="17"/>
      <c r="D40" s="17"/>
      <c r="E40" s="18"/>
      <c r="F40" s="19"/>
      <c r="G40" s="20"/>
      <c r="H40" s="20"/>
      <c r="I40" s="20"/>
      <c r="J40" s="20"/>
      <c r="K40" s="20"/>
      <c r="L40" s="20"/>
      <c r="M40" s="20"/>
      <c r="N40" s="21">
        <f>IF($B40&lt;&gt;"Challan","",G40+H40+I40+J40+K40+L40)</f>
      </c>
      <c r="O40" s="19"/>
      <c r="P40" s="19"/>
      <c r="Q40" s="19"/>
      <c r="R40" s="19"/>
      <c r="S40" s="19"/>
      <c r="T40" s="22"/>
      <c r="U40" s="22"/>
      <c r="V40" s="22"/>
      <c r="W40" s="22"/>
      <c r="X40" s="22"/>
      <c r="Y40" s="23"/>
      <c r="Z40" s="24"/>
      <c r="AA40" s="25"/>
      <c r="AB40" s="21">
        <f>IF($B40&lt;&gt;"Entry","",ROUND(AA40*Y40/100,0))</f>
      </c>
      <c r="AC40" s="25"/>
      <c r="AD40" s="25"/>
      <c r="AE40" s="21">
        <f>IF($B40&lt;&gt;"Entry","",IF(OR(AB40=0,Z40="",AP40="",AP40&lt;=0),0,IF(AP40&lt;=DATE(YEAR(Z40),MONTH(Z40)+1,7),0,ROUND(AB40*0.015*((YEAR(AP40)-YEAR(Z40))*12+(MONTH(AP40)-MONTH(Z40))+1),0))))</f>
      </c>
      <c r="AF40" s="25"/>
      <c r="AG40" s="22"/>
      <c r="AH40" s="22"/>
      <c r="AI40" s="23"/>
      <c r="AJ40" s="22"/>
      <c r="AK40" s="22"/>
      <c r="AL40" s="21">
        <f>IF($B40&lt;&gt;"Challan","",SUMIF($D$8:$D$207,D40,$AB$8:$AB$207)+SUMIF($D$8:$D$207,D40,$AE$8:$AE$207)+SUMIF($D$8:$D$207,D40,$AC$8:$AC$207))</f>
      </c>
      <c r="AM40" s="21">
        <f>IF($B40&lt;&gt;"Challan","",N40-L40)</f>
      </c>
      <c r="AN40" s="21">
        <f>IF($B40&lt;&gt;"Challan","",MAX(0,AM40-AL40))</f>
      </c>
      <c r="AO40" s="26">
        <f>IF($B40&lt;&gt;"Challan","",IF(ROUND(AL40-AM40,2)&gt;0,"Over-applied",IF(ROUND(AL40-AM40,2)=0,"Fully Utilised","Unconsumed")))</f>
      </c>
      <c r="AP40" s="27">
        <f>IF($B40&lt;&gt;"Entry","",SUMPRODUCT(($D$8:$D$207=D40)*($B$8:$B$207="Challan")*$E$8:$E$207))</f>
      </c>
    </row>
    <row r="41" spans="1:42" x14ac:dyDescent="0.25">
      <c r="A41" s="15">
        <f>IF($B41="Entry",COUNTIF($B$8:$B41,"Entry"),"")</f>
      </c>
      <c r="B41" s="16"/>
      <c r="C41" s="17"/>
      <c r="D41" s="17"/>
      <c r="E41" s="18"/>
      <c r="F41" s="19"/>
      <c r="G41" s="20"/>
      <c r="H41" s="20"/>
      <c r="I41" s="20"/>
      <c r="J41" s="20"/>
      <c r="K41" s="20"/>
      <c r="L41" s="20"/>
      <c r="M41" s="20"/>
      <c r="N41" s="21">
        <f>IF($B41&lt;&gt;"Challan","",G41+H41+I41+J41+K41+L41)</f>
      </c>
      <c r="O41" s="19"/>
      <c r="P41" s="19"/>
      <c r="Q41" s="19"/>
      <c r="R41" s="19"/>
      <c r="S41" s="19"/>
      <c r="T41" s="22"/>
      <c r="U41" s="22"/>
      <c r="V41" s="22"/>
      <c r="W41" s="22"/>
      <c r="X41" s="22"/>
      <c r="Y41" s="23"/>
      <c r="Z41" s="24"/>
      <c r="AA41" s="25"/>
      <c r="AB41" s="21">
        <f>IF($B41&lt;&gt;"Entry","",ROUND(AA41*Y41/100,0))</f>
      </c>
      <c r="AC41" s="25"/>
      <c r="AD41" s="25"/>
      <c r="AE41" s="21">
        <f>IF($B41&lt;&gt;"Entry","",IF(OR(AB41=0,Z41="",AP41="",AP41&lt;=0),0,IF(AP41&lt;=DATE(YEAR(Z41),MONTH(Z41)+1,7),0,ROUND(AB41*0.015*((YEAR(AP41)-YEAR(Z41))*12+(MONTH(AP41)-MONTH(Z41))+1),0))))</f>
      </c>
      <c r="AF41" s="25"/>
      <c r="AG41" s="22"/>
      <c r="AH41" s="22"/>
      <c r="AI41" s="23"/>
      <c r="AJ41" s="22"/>
      <c r="AK41" s="22"/>
      <c r="AL41" s="21">
        <f>IF($B41&lt;&gt;"Challan","",SUMIF($D$8:$D$207,D41,$AB$8:$AB$207)+SUMIF($D$8:$D$207,D41,$AE$8:$AE$207)+SUMIF($D$8:$D$207,D41,$AC$8:$AC$207))</f>
      </c>
      <c r="AM41" s="21">
        <f>IF($B41&lt;&gt;"Challan","",N41-L41)</f>
      </c>
      <c r="AN41" s="21">
        <f>IF($B41&lt;&gt;"Challan","",MAX(0,AM41-AL41))</f>
      </c>
      <c r="AO41" s="26">
        <f>IF($B41&lt;&gt;"Challan","",IF(ROUND(AL41-AM41,2)&gt;0,"Over-applied",IF(ROUND(AL41-AM41,2)=0,"Fully Utilised","Unconsumed")))</f>
      </c>
      <c r="AP41" s="27">
        <f>IF($B41&lt;&gt;"Entry","",SUMPRODUCT(($D$8:$D$207=D41)*($B$8:$B$207="Challan")*$E$8:$E$207))</f>
      </c>
    </row>
    <row r="42" spans="1:42" x14ac:dyDescent="0.25">
      <c r="A42" s="15">
        <f>IF($B42="Entry",COUNTIF($B$8:$B42,"Entry"),"")</f>
      </c>
      <c r="B42" s="16"/>
      <c r="C42" s="17"/>
      <c r="D42" s="17"/>
      <c r="E42" s="18"/>
      <c r="F42" s="19"/>
      <c r="G42" s="20"/>
      <c r="H42" s="20"/>
      <c r="I42" s="20"/>
      <c r="J42" s="20"/>
      <c r="K42" s="20"/>
      <c r="L42" s="20"/>
      <c r="M42" s="20"/>
      <c r="N42" s="21">
        <f>IF($B42&lt;&gt;"Challan","",G42+H42+I42+J42+K42+L42)</f>
      </c>
      <c r="O42" s="19"/>
      <c r="P42" s="19"/>
      <c r="Q42" s="19"/>
      <c r="R42" s="19"/>
      <c r="S42" s="19"/>
      <c r="T42" s="22"/>
      <c r="U42" s="22"/>
      <c r="V42" s="22"/>
      <c r="W42" s="22"/>
      <c r="X42" s="22"/>
      <c r="Y42" s="23"/>
      <c r="Z42" s="24"/>
      <c r="AA42" s="25"/>
      <c r="AB42" s="21">
        <f>IF($B42&lt;&gt;"Entry","",ROUND(AA42*Y42/100,0))</f>
      </c>
      <c r="AC42" s="25"/>
      <c r="AD42" s="25"/>
      <c r="AE42" s="21">
        <f>IF($B42&lt;&gt;"Entry","",IF(OR(AB42=0,Z42="",AP42="",AP42&lt;=0),0,IF(AP42&lt;=DATE(YEAR(Z42),MONTH(Z42)+1,7),0,ROUND(AB42*0.015*((YEAR(AP42)-YEAR(Z42))*12+(MONTH(AP42)-MONTH(Z42))+1),0))))</f>
      </c>
      <c r="AF42" s="25"/>
      <c r="AG42" s="22"/>
      <c r="AH42" s="22"/>
      <c r="AI42" s="23"/>
      <c r="AJ42" s="22"/>
      <c r="AK42" s="22"/>
      <c r="AL42" s="21">
        <f>IF($B42&lt;&gt;"Challan","",SUMIF($D$8:$D$207,D42,$AB$8:$AB$207)+SUMIF($D$8:$D$207,D42,$AE$8:$AE$207)+SUMIF($D$8:$D$207,D42,$AC$8:$AC$207))</f>
      </c>
      <c r="AM42" s="21">
        <f>IF($B42&lt;&gt;"Challan","",N42-L42)</f>
      </c>
      <c r="AN42" s="21">
        <f>IF($B42&lt;&gt;"Challan","",MAX(0,AM42-AL42))</f>
      </c>
      <c r="AO42" s="26">
        <f>IF($B42&lt;&gt;"Challan","",IF(ROUND(AL42-AM42,2)&gt;0,"Over-applied",IF(ROUND(AL42-AM42,2)=0,"Fully Utilised","Unconsumed")))</f>
      </c>
      <c r="AP42" s="27">
        <f>IF($B42&lt;&gt;"Entry","",SUMPRODUCT(($D$8:$D$207=D42)*($B$8:$B$207="Challan")*$E$8:$E$207))</f>
      </c>
    </row>
    <row r="43" spans="1:42" x14ac:dyDescent="0.25">
      <c r="A43" s="15">
        <f>IF($B43="Entry",COUNTIF($B$8:$B43,"Entry"),"")</f>
      </c>
      <c r="B43" s="16"/>
      <c r="C43" s="17"/>
      <c r="D43" s="17"/>
      <c r="E43" s="18"/>
      <c r="F43" s="19"/>
      <c r="G43" s="20"/>
      <c r="H43" s="20"/>
      <c r="I43" s="20"/>
      <c r="J43" s="20"/>
      <c r="K43" s="20"/>
      <c r="L43" s="20"/>
      <c r="M43" s="20"/>
      <c r="N43" s="21">
        <f>IF($B43&lt;&gt;"Challan","",G43+H43+I43+J43+K43+L43)</f>
      </c>
      <c r="O43" s="19"/>
      <c r="P43" s="19"/>
      <c r="Q43" s="19"/>
      <c r="R43" s="19"/>
      <c r="S43" s="19"/>
      <c r="T43" s="22"/>
      <c r="U43" s="22"/>
      <c r="V43" s="22"/>
      <c r="W43" s="22"/>
      <c r="X43" s="22"/>
      <c r="Y43" s="23"/>
      <c r="Z43" s="24"/>
      <c r="AA43" s="25"/>
      <c r="AB43" s="21">
        <f>IF($B43&lt;&gt;"Entry","",ROUND(AA43*Y43/100,0))</f>
      </c>
      <c r="AC43" s="25"/>
      <c r="AD43" s="25"/>
      <c r="AE43" s="21">
        <f>IF($B43&lt;&gt;"Entry","",IF(OR(AB43=0,Z43="",AP43="",AP43&lt;=0),0,IF(AP43&lt;=DATE(YEAR(Z43),MONTH(Z43)+1,7),0,ROUND(AB43*0.015*((YEAR(AP43)-YEAR(Z43))*12+(MONTH(AP43)-MONTH(Z43))+1),0))))</f>
      </c>
      <c r="AF43" s="25"/>
      <c r="AG43" s="22"/>
      <c r="AH43" s="22"/>
      <c r="AI43" s="23"/>
      <c r="AJ43" s="22"/>
      <c r="AK43" s="22"/>
      <c r="AL43" s="21">
        <f>IF($B43&lt;&gt;"Challan","",SUMIF($D$8:$D$207,D43,$AB$8:$AB$207)+SUMIF($D$8:$D$207,D43,$AE$8:$AE$207)+SUMIF($D$8:$D$207,D43,$AC$8:$AC$207))</f>
      </c>
      <c r="AM43" s="21">
        <f>IF($B43&lt;&gt;"Challan","",N43-L43)</f>
      </c>
      <c r="AN43" s="21">
        <f>IF($B43&lt;&gt;"Challan","",MAX(0,AM43-AL43))</f>
      </c>
      <c r="AO43" s="26">
        <f>IF($B43&lt;&gt;"Challan","",IF(ROUND(AL43-AM43,2)&gt;0,"Over-applied",IF(ROUND(AL43-AM43,2)=0,"Fully Utilised","Unconsumed")))</f>
      </c>
      <c r="AP43" s="27">
        <f>IF($B43&lt;&gt;"Entry","",SUMPRODUCT(($D$8:$D$207=D43)*($B$8:$B$207="Challan")*$E$8:$E$207))</f>
      </c>
    </row>
    <row r="44" spans="1:42" x14ac:dyDescent="0.25">
      <c r="A44" s="15">
        <f>IF($B44="Entry",COUNTIF($B$8:$B44,"Entry"),"")</f>
      </c>
      <c r="B44" s="16"/>
      <c r="C44" s="17"/>
      <c r="D44" s="17"/>
      <c r="E44" s="18"/>
      <c r="F44" s="19"/>
      <c r="G44" s="20"/>
      <c r="H44" s="20"/>
      <c r="I44" s="20"/>
      <c r="J44" s="20"/>
      <c r="K44" s="20"/>
      <c r="L44" s="20"/>
      <c r="M44" s="20"/>
      <c r="N44" s="21">
        <f>IF($B44&lt;&gt;"Challan","",G44+H44+I44+J44+K44+L44)</f>
      </c>
      <c r="O44" s="19"/>
      <c r="P44" s="19"/>
      <c r="Q44" s="19"/>
      <c r="R44" s="19"/>
      <c r="S44" s="19"/>
      <c r="T44" s="22"/>
      <c r="U44" s="22"/>
      <c r="V44" s="22"/>
      <c r="W44" s="22"/>
      <c r="X44" s="22"/>
      <c r="Y44" s="23"/>
      <c r="Z44" s="24"/>
      <c r="AA44" s="25"/>
      <c r="AB44" s="21">
        <f>IF($B44&lt;&gt;"Entry","",ROUND(AA44*Y44/100,0))</f>
      </c>
      <c r="AC44" s="25"/>
      <c r="AD44" s="25"/>
      <c r="AE44" s="21">
        <f>IF($B44&lt;&gt;"Entry","",IF(OR(AB44=0,Z44="",AP44="",AP44&lt;=0),0,IF(AP44&lt;=DATE(YEAR(Z44),MONTH(Z44)+1,7),0,ROUND(AB44*0.015*((YEAR(AP44)-YEAR(Z44))*12+(MONTH(AP44)-MONTH(Z44))+1),0))))</f>
      </c>
      <c r="AF44" s="25"/>
      <c r="AG44" s="22"/>
      <c r="AH44" s="22"/>
      <c r="AI44" s="23"/>
      <c r="AJ44" s="22"/>
      <c r="AK44" s="22"/>
      <c r="AL44" s="21">
        <f>IF($B44&lt;&gt;"Challan","",SUMIF($D$8:$D$207,D44,$AB$8:$AB$207)+SUMIF($D$8:$D$207,D44,$AE$8:$AE$207)+SUMIF($D$8:$D$207,D44,$AC$8:$AC$207))</f>
      </c>
      <c r="AM44" s="21">
        <f>IF($B44&lt;&gt;"Challan","",N44-L44)</f>
      </c>
      <c r="AN44" s="21">
        <f>IF($B44&lt;&gt;"Challan","",MAX(0,AM44-AL44))</f>
      </c>
      <c r="AO44" s="26">
        <f>IF($B44&lt;&gt;"Challan","",IF(ROUND(AL44-AM44,2)&gt;0,"Over-applied",IF(ROUND(AL44-AM44,2)=0,"Fully Utilised","Unconsumed")))</f>
      </c>
      <c r="AP44" s="27">
        <f>IF($B44&lt;&gt;"Entry","",SUMPRODUCT(($D$8:$D$207=D44)*($B$8:$B$207="Challan")*$E$8:$E$207))</f>
      </c>
    </row>
    <row r="45" spans="1:42" x14ac:dyDescent="0.25">
      <c r="A45" s="15">
        <f>IF($B45="Entry",COUNTIF($B$8:$B45,"Entry"),"")</f>
      </c>
      <c r="B45" s="16"/>
      <c r="C45" s="17"/>
      <c r="D45" s="17"/>
      <c r="E45" s="18"/>
      <c r="F45" s="19"/>
      <c r="G45" s="20"/>
      <c r="H45" s="20"/>
      <c r="I45" s="20"/>
      <c r="J45" s="20"/>
      <c r="K45" s="20"/>
      <c r="L45" s="20"/>
      <c r="M45" s="20"/>
      <c r="N45" s="21">
        <f>IF($B45&lt;&gt;"Challan","",G45+H45+I45+J45+K45+L45)</f>
      </c>
      <c r="O45" s="19"/>
      <c r="P45" s="19"/>
      <c r="Q45" s="19"/>
      <c r="R45" s="19"/>
      <c r="S45" s="19"/>
      <c r="T45" s="22"/>
      <c r="U45" s="22"/>
      <c r="V45" s="22"/>
      <c r="W45" s="22"/>
      <c r="X45" s="22"/>
      <c r="Y45" s="23"/>
      <c r="Z45" s="24"/>
      <c r="AA45" s="25"/>
      <c r="AB45" s="21">
        <f>IF($B45&lt;&gt;"Entry","",ROUND(AA45*Y45/100,0))</f>
      </c>
      <c r="AC45" s="25"/>
      <c r="AD45" s="25"/>
      <c r="AE45" s="21">
        <f>IF($B45&lt;&gt;"Entry","",IF(OR(AB45=0,Z45="",AP45="",AP45&lt;=0),0,IF(AP45&lt;=DATE(YEAR(Z45),MONTH(Z45)+1,7),0,ROUND(AB45*0.015*((YEAR(AP45)-YEAR(Z45))*12+(MONTH(AP45)-MONTH(Z45))+1),0))))</f>
      </c>
      <c r="AF45" s="25"/>
      <c r="AG45" s="22"/>
      <c r="AH45" s="22"/>
      <c r="AI45" s="23"/>
      <c r="AJ45" s="22"/>
      <c r="AK45" s="22"/>
      <c r="AL45" s="21">
        <f>IF($B45&lt;&gt;"Challan","",SUMIF($D$8:$D$207,D45,$AB$8:$AB$207)+SUMIF($D$8:$D$207,D45,$AE$8:$AE$207)+SUMIF($D$8:$D$207,D45,$AC$8:$AC$207))</f>
      </c>
      <c r="AM45" s="21">
        <f>IF($B45&lt;&gt;"Challan","",N45-L45)</f>
      </c>
      <c r="AN45" s="21">
        <f>IF($B45&lt;&gt;"Challan","",MAX(0,AM45-AL45))</f>
      </c>
      <c r="AO45" s="26">
        <f>IF($B45&lt;&gt;"Challan","",IF(ROUND(AL45-AM45,2)&gt;0,"Over-applied",IF(ROUND(AL45-AM45,2)=0,"Fully Utilised","Unconsumed")))</f>
      </c>
      <c r="AP45" s="27">
        <f>IF($B45&lt;&gt;"Entry","",SUMPRODUCT(($D$8:$D$207=D45)*($B$8:$B$207="Challan")*$E$8:$E$207))</f>
      </c>
    </row>
    <row r="46" spans="1:42" x14ac:dyDescent="0.25">
      <c r="A46" s="15">
        <f>IF($B46="Entry",COUNTIF($B$8:$B46,"Entry"),"")</f>
      </c>
      <c r="B46" s="16"/>
      <c r="C46" s="17"/>
      <c r="D46" s="17"/>
      <c r="E46" s="18"/>
      <c r="F46" s="19"/>
      <c r="G46" s="20"/>
      <c r="H46" s="20"/>
      <c r="I46" s="20"/>
      <c r="J46" s="20"/>
      <c r="K46" s="20"/>
      <c r="L46" s="20"/>
      <c r="M46" s="20"/>
      <c r="N46" s="21">
        <f>IF($B46&lt;&gt;"Challan","",G46+H46+I46+J46+K46+L46)</f>
      </c>
      <c r="O46" s="19"/>
      <c r="P46" s="19"/>
      <c r="Q46" s="19"/>
      <c r="R46" s="19"/>
      <c r="S46" s="19"/>
      <c r="T46" s="22"/>
      <c r="U46" s="22"/>
      <c r="V46" s="22"/>
      <c r="W46" s="22"/>
      <c r="X46" s="22"/>
      <c r="Y46" s="23"/>
      <c r="Z46" s="24"/>
      <c r="AA46" s="25"/>
      <c r="AB46" s="21">
        <f>IF($B46&lt;&gt;"Entry","",ROUND(AA46*Y46/100,0))</f>
      </c>
      <c r="AC46" s="25"/>
      <c r="AD46" s="25"/>
      <c r="AE46" s="21">
        <f>IF($B46&lt;&gt;"Entry","",IF(OR(AB46=0,Z46="",AP46="",AP46&lt;=0),0,IF(AP46&lt;=DATE(YEAR(Z46),MONTH(Z46)+1,7),0,ROUND(AB46*0.015*((YEAR(AP46)-YEAR(Z46))*12+(MONTH(AP46)-MONTH(Z46))+1),0))))</f>
      </c>
      <c r="AF46" s="25"/>
      <c r="AG46" s="22"/>
      <c r="AH46" s="22"/>
      <c r="AI46" s="23"/>
      <c r="AJ46" s="22"/>
      <c r="AK46" s="22"/>
      <c r="AL46" s="21">
        <f>IF($B46&lt;&gt;"Challan","",SUMIF($D$8:$D$207,D46,$AB$8:$AB$207)+SUMIF($D$8:$D$207,D46,$AE$8:$AE$207)+SUMIF($D$8:$D$207,D46,$AC$8:$AC$207))</f>
      </c>
      <c r="AM46" s="21">
        <f>IF($B46&lt;&gt;"Challan","",N46-L46)</f>
      </c>
      <c r="AN46" s="21">
        <f>IF($B46&lt;&gt;"Challan","",MAX(0,AM46-AL46))</f>
      </c>
      <c r="AO46" s="26">
        <f>IF($B46&lt;&gt;"Challan","",IF(ROUND(AL46-AM46,2)&gt;0,"Over-applied",IF(ROUND(AL46-AM46,2)=0,"Fully Utilised","Unconsumed")))</f>
      </c>
      <c r="AP46" s="27">
        <f>IF($B46&lt;&gt;"Entry","",SUMPRODUCT(($D$8:$D$207=D46)*($B$8:$B$207="Challan")*$E$8:$E$207))</f>
      </c>
    </row>
    <row r="47" spans="1:42" x14ac:dyDescent="0.25">
      <c r="A47" s="15">
        <f>IF($B47="Entry",COUNTIF($B$8:$B47,"Entry"),"")</f>
      </c>
      <c r="B47" s="16"/>
      <c r="C47" s="17"/>
      <c r="D47" s="17"/>
      <c r="E47" s="18"/>
      <c r="F47" s="19"/>
      <c r="G47" s="20"/>
      <c r="H47" s="20"/>
      <c r="I47" s="20"/>
      <c r="J47" s="20"/>
      <c r="K47" s="20"/>
      <c r="L47" s="20"/>
      <c r="M47" s="20"/>
      <c r="N47" s="21">
        <f>IF($B47&lt;&gt;"Challan","",G47+H47+I47+J47+K47+L47)</f>
      </c>
      <c r="O47" s="19"/>
      <c r="P47" s="19"/>
      <c r="Q47" s="19"/>
      <c r="R47" s="19"/>
      <c r="S47" s="19"/>
      <c r="T47" s="22"/>
      <c r="U47" s="22"/>
      <c r="V47" s="22"/>
      <c r="W47" s="22"/>
      <c r="X47" s="22"/>
      <c r="Y47" s="23"/>
      <c r="Z47" s="24"/>
      <c r="AA47" s="25"/>
      <c r="AB47" s="21">
        <f>IF($B47&lt;&gt;"Entry","",ROUND(AA47*Y47/100,0))</f>
      </c>
      <c r="AC47" s="25"/>
      <c r="AD47" s="25"/>
      <c r="AE47" s="21">
        <f>IF($B47&lt;&gt;"Entry","",IF(OR(AB47=0,Z47="",AP47="",AP47&lt;=0),0,IF(AP47&lt;=DATE(YEAR(Z47),MONTH(Z47)+1,7),0,ROUND(AB47*0.015*((YEAR(AP47)-YEAR(Z47))*12+(MONTH(AP47)-MONTH(Z47))+1),0))))</f>
      </c>
      <c r="AF47" s="25"/>
      <c r="AG47" s="22"/>
      <c r="AH47" s="22"/>
      <c r="AI47" s="23"/>
      <c r="AJ47" s="22"/>
      <c r="AK47" s="22"/>
      <c r="AL47" s="21">
        <f>IF($B47&lt;&gt;"Challan","",SUMIF($D$8:$D$207,D47,$AB$8:$AB$207)+SUMIF($D$8:$D$207,D47,$AE$8:$AE$207)+SUMIF($D$8:$D$207,D47,$AC$8:$AC$207))</f>
      </c>
      <c r="AM47" s="21">
        <f>IF($B47&lt;&gt;"Challan","",N47-L47)</f>
      </c>
      <c r="AN47" s="21">
        <f>IF($B47&lt;&gt;"Challan","",MAX(0,AM47-AL47))</f>
      </c>
      <c r="AO47" s="26">
        <f>IF($B47&lt;&gt;"Challan","",IF(ROUND(AL47-AM47,2)&gt;0,"Over-applied",IF(ROUND(AL47-AM47,2)=0,"Fully Utilised","Unconsumed")))</f>
      </c>
      <c r="AP47" s="27">
        <f>IF($B47&lt;&gt;"Entry","",SUMPRODUCT(($D$8:$D$207=D47)*($B$8:$B$207="Challan")*$E$8:$E$207))</f>
      </c>
    </row>
    <row r="48" spans="1:42" x14ac:dyDescent="0.25">
      <c r="A48" s="15">
        <f>IF($B48="Entry",COUNTIF($B$8:$B48,"Entry"),"")</f>
      </c>
      <c r="B48" s="16"/>
      <c r="C48" s="17"/>
      <c r="D48" s="17"/>
      <c r="E48" s="18"/>
      <c r="F48" s="19"/>
      <c r="G48" s="20"/>
      <c r="H48" s="20"/>
      <c r="I48" s="20"/>
      <c r="J48" s="20"/>
      <c r="K48" s="20"/>
      <c r="L48" s="20"/>
      <c r="M48" s="20"/>
      <c r="N48" s="21">
        <f>IF($B48&lt;&gt;"Challan","",G48+H48+I48+J48+K48+L48)</f>
      </c>
      <c r="O48" s="19"/>
      <c r="P48" s="19"/>
      <c r="Q48" s="19"/>
      <c r="R48" s="19"/>
      <c r="S48" s="19"/>
      <c r="T48" s="22"/>
      <c r="U48" s="22"/>
      <c r="V48" s="22"/>
      <c r="W48" s="22"/>
      <c r="X48" s="22"/>
      <c r="Y48" s="23"/>
      <c r="Z48" s="24"/>
      <c r="AA48" s="25"/>
      <c r="AB48" s="21">
        <f>IF($B48&lt;&gt;"Entry","",ROUND(AA48*Y48/100,0))</f>
      </c>
      <c r="AC48" s="25"/>
      <c r="AD48" s="25"/>
      <c r="AE48" s="21">
        <f>IF($B48&lt;&gt;"Entry","",IF(OR(AB48=0,Z48="",AP48="",AP48&lt;=0),0,IF(AP48&lt;=DATE(YEAR(Z48),MONTH(Z48)+1,7),0,ROUND(AB48*0.015*((YEAR(AP48)-YEAR(Z48))*12+(MONTH(AP48)-MONTH(Z48))+1),0))))</f>
      </c>
      <c r="AF48" s="25"/>
      <c r="AG48" s="22"/>
      <c r="AH48" s="22"/>
      <c r="AI48" s="23"/>
      <c r="AJ48" s="22"/>
      <c r="AK48" s="22"/>
      <c r="AL48" s="21">
        <f>IF($B48&lt;&gt;"Challan","",SUMIF($D$8:$D$207,D48,$AB$8:$AB$207)+SUMIF($D$8:$D$207,D48,$AE$8:$AE$207)+SUMIF($D$8:$D$207,D48,$AC$8:$AC$207))</f>
      </c>
      <c r="AM48" s="21">
        <f>IF($B48&lt;&gt;"Challan","",N48-L48)</f>
      </c>
      <c r="AN48" s="21">
        <f>IF($B48&lt;&gt;"Challan","",MAX(0,AM48-AL48))</f>
      </c>
      <c r="AO48" s="26">
        <f>IF($B48&lt;&gt;"Challan","",IF(ROUND(AL48-AM48,2)&gt;0,"Over-applied",IF(ROUND(AL48-AM48,2)=0,"Fully Utilised","Unconsumed")))</f>
      </c>
      <c r="AP48" s="27">
        <f>IF($B48&lt;&gt;"Entry","",SUMPRODUCT(($D$8:$D$207=D48)*($B$8:$B$207="Challan")*$E$8:$E$207))</f>
      </c>
    </row>
    <row r="49" spans="1:42" x14ac:dyDescent="0.25">
      <c r="A49" s="15">
        <f>IF($B49="Entry",COUNTIF($B$8:$B49,"Entry"),"")</f>
      </c>
      <c r="B49" s="16"/>
      <c r="C49" s="17"/>
      <c r="D49" s="17"/>
      <c r="E49" s="18"/>
      <c r="F49" s="19"/>
      <c r="G49" s="20"/>
      <c r="H49" s="20"/>
      <c r="I49" s="20"/>
      <c r="J49" s="20"/>
      <c r="K49" s="20"/>
      <c r="L49" s="20"/>
      <c r="M49" s="20"/>
      <c r="N49" s="21">
        <f>IF($B49&lt;&gt;"Challan","",G49+H49+I49+J49+K49+L49)</f>
      </c>
      <c r="O49" s="19"/>
      <c r="P49" s="19"/>
      <c r="Q49" s="19"/>
      <c r="R49" s="19"/>
      <c r="S49" s="19"/>
      <c r="T49" s="22"/>
      <c r="U49" s="22"/>
      <c r="V49" s="22"/>
      <c r="W49" s="22"/>
      <c r="X49" s="22"/>
      <c r="Y49" s="23"/>
      <c r="Z49" s="24"/>
      <c r="AA49" s="25"/>
      <c r="AB49" s="21">
        <f>IF($B49&lt;&gt;"Entry","",ROUND(AA49*Y49/100,0))</f>
      </c>
      <c r="AC49" s="25"/>
      <c r="AD49" s="25"/>
      <c r="AE49" s="21">
        <f>IF($B49&lt;&gt;"Entry","",IF(OR(AB49=0,Z49="",AP49="",AP49&lt;=0),0,IF(AP49&lt;=DATE(YEAR(Z49),MONTH(Z49)+1,7),0,ROUND(AB49*0.015*((YEAR(AP49)-YEAR(Z49))*12+(MONTH(AP49)-MONTH(Z49))+1),0))))</f>
      </c>
      <c r="AF49" s="25"/>
      <c r="AG49" s="22"/>
      <c r="AH49" s="22"/>
      <c r="AI49" s="23"/>
      <c r="AJ49" s="22"/>
      <c r="AK49" s="22"/>
      <c r="AL49" s="21">
        <f>IF($B49&lt;&gt;"Challan","",SUMIF($D$8:$D$207,D49,$AB$8:$AB$207)+SUMIF($D$8:$D$207,D49,$AE$8:$AE$207)+SUMIF($D$8:$D$207,D49,$AC$8:$AC$207))</f>
      </c>
      <c r="AM49" s="21">
        <f>IF($B49&lt;&gt;"Challan","",N49-L49)</f>
      </c>
      <c r="AN49" s="21">
        <f>IF($B49&lt;&gt;"Challan","",MAX(0,AM49-AL49))</f>
      </c>
      <c r="AO49" s="26">
        <f>IF($B49&lt;&gt;"Challan","",IF(ROUND(AL49-AM49,2)&gt;0,"Over-applied",IF(ROUND(AL49-AM49,2)=0,"Fully Utilised","Unconsumed")))</f>
      </c>
      <c r="AP49" s="27">
        <f>IF($B49&lt;&gt;"Entry","",SUMPRODUCT(($D$8:$D$207=D49)*($B$8:$B$207="Challan")*$E$8:$E$207))</f>
      </c>
    </row>
    <row r="50" spans="1:42" x14ac:dyDescent="0.25">
      <c r="A50" s="15">
        <f>IF($B50="Entry",COUNTIF($B$8:$B50,"Entry"),"")</f>
      </c>
      <c r="B50" s="16"/>
      <c r="C50" s="17"/>
      <c r="D50" s="17"/>
      <c r="E50" s="18"/>
      <c r="F50" s="19"/>
      <c r="G50" s="20"/>
      <c r="H50" s="20"/>
      <c r="I50" s="20"/>
      <c r="J50" s="20"/>
      <c r="K50" s="20"/>
      <c r="L50" s="20"/>
      <c r="M50" s="20"/>
      <c r="N50" s="21">
        <f>IF($B50&lt;&gt;"Challan","",G50+H50+I50+J50+K50+L50)</f>
      </c>
      <c r="O50" s="19"/>
      <c r="P50" s="19"/>
      <c r="Q50" s="19"/>
      <c r="R50" s="19"/>
      <c r="S50" s="19"/>
      <c r="T50" s="22"/>
      <c r="U50" s="22"/>
      <c r="V50" s="22"/>
      <c r="W50" s="22"/>
      <c r="X50" s="22"/>
      <c r="Y50" s="23"/>
      <c r="Z50" s="24"/>
      <c r="AA50" s="25"/>
      <c r="AB50" s="21">
        <f>IF($B50&lt;&gt;"Entry","",ROUND(AA50*Y50/100,0))</f>
      </c>
      <c r="AC50" s="25"/>
      <c r="AD50" s="25"/>
      <c r="AE50" s="21">
        <f>IF($B50&lt;&gt;"Entry","",IF(OR(AB50=0,Z50="",AP50="",AP50&lt;=0),0,IF(AP50&lt;=DATE(YEAR(Z50),MONTH(Z50)+1,7),0,ROUND(AB50*0.015*((YEAR(AP50)-YEAR(Z50))*12+(MONTH(AP50)-MONTH(Z50))+1),0))))</f>
      </c>
      <c r="AF50" s="25"/>
      <c r="AG50" s="22"/>
      <c r="AH50" s="22"/>
      <c r="AI50" s="23"/>
      <c r="AJ50" s="22"/>
      <c r="AK50" s="22"/>
      <c r="AL50" s="21">
        <f>IF($B50&lt;&gt;"Challan","",SUMIF($D$8:$D$207,D50,$AB$8:$AB$207)+SUMIF($D$8:$D$207,D50,$AE$8:$AE$207)+SUMIF($D$8:$D$207,D50,$AC$8:$AC$207))</f>
      </c>
      <c r="AM50" s="21">
        <f>IF($B50&lt;&gt;"Challan","",N50-L50)</f>
      </c>
      <c r="AN50" s="21">
        <f>IF($B50&lt;&gt;"Challan","",MAX(0,AM50-AL50))</f>
      </c>
      <c r="AO50" s="26">
        <f>IF($B50&lt;&gt;"Challan","",IF(ROUND(AL50-AM50,2)&gt;0,"Over-applied",IF(ROUND(AL50-AM50,2)=0,"Fully Utilised","Unconsumed")))</f>
      </c>
      <c r="AP50" s="27">
        <f>IF($B50&lt;&gt;"Entry","",SUMPRODUCT(($D$8:$D$207=D50)*($B$8:$B$207="Challan")*$E$8:$E$207))</f>
      </c>
    </row>
    <row r="51" spans="1:42" x14ac:dyDescent="0.25">
      <c r="A51" s="15">
        <f>IF($B51="Entry",COUNTIF($B$8:$B51,"Entry"),"")</f>
      </c>
      <c r="B51" s="16"/>
      <c r="C51" s="17"/>
      <c r="D51" s="17"/>
      <c r="E51" s="18"/>
      <c r="F51" s="19"/>
      <c r="G51" s="20"/>
      <c r="H51" s="20"/>
      <c r="I51" s="20"/>
      <c r="J51" s="20"/>
      <c r="K51" s="20"/>
      <c r="L51" s="20"/>
      <c r="M51" s="20"/>
      <c r="N51" s="21">
        <f>IF($B51&lt;&gt;"Challan","",G51+H51+I51+J51+K51+L51)</f>
      </c>
      <c r="O51" s="19"/>
      <c r="P51" s="19"/>
      <c r="Q51" s="19"/>
      <c r="R51" s="19"/>
      <c r="S51" s="19"/>
      <c r="T51" s="22"/>
      <c r="U51" s="22"/>
      <c r="V51" s="22"/>
      <c r="W51" s="22"/>
      <c r="X51" s="22"/>
      <c r="Y51" s="23"/>
      <c r="Z51" s="24"/>
      <c r="AA51" s="25"/>
      <c r="AB51" s="21">
        <f>IF($B51&lt;&gt;"Entry","",ROUND(AA51*Y51/100,0))</f>
      </c>
      <c r="AC51" s="25"/>
      <c r="AD51" s="25"/>
      <c r="AE51" s="21">
        <f>IF($B51&lt;&gt;"Entry","",IF(OR(AB51=0,Z51="",AP51="",AP51&lt;=0),0,IF(AP51&lt;=DATE(YEAR(Z51),MONTH(Z51)+1,7),0,ROUND(AB51*0.015*((YEAR(AP51)-YEAR(Z51))*12+(MONTH(AP51)-MONTH(Z51))+1),0))))</f>
      </c>
      <c r="AF51" s="25"/>
      <c r="AG51" s="22"/>
      <c r="AH51" s="22"/>
      <c r="AI51" s="23"/>
      <c r="AJ51" s="22"/>
      <c r="AK51" s="22"/>
      <c r="AL51" s="21">
        <f>IF($B51&lt;&gt;"Challan","",SUMIF($D$8:$D$207,D51,$AB$8:$AB$207)+SUMIF($D$8:$D$207,D51,$AE$8:$AE$207)+SUMIF($D$8:$D$207,D51,$AC$8:$AC$207))</f>
      </c>
      <c r="AM51" s="21">
        <f>IF($B51&lt;&gt;"Challan","",N51-L51)</f>
      </c>
      <c r="AN51" s="21">
        <f>IF($B51&lt;&gt;"Challan","",MAX(0,AM51-AL51))</f>
      </c>
      <c r="AO51" s="26">
        <f>IF($B51&lt;&gt;"Challan","",IF(ROUND(AL51-AM51,2)&gt;0,"Over-applied",IF(ROUND(AL51-AM51,2)=0,"Fully Utilised","Unconsumed")))</f>
      </c>
      <c r="AP51" s="27">
        <f>IF($B51&lt;&gt;"Entry","",SUMPRODUCT(($D$8:$D$207=D51)*($B$8:$B$207="Challan")*$E$8:$E$207))</f>
      </c>
    </row>
    <row r="52" spans="1:42" x14ac:dyDescent="0.25">
      <c r="A52" s="15">
        <f>IF($B52="Entry",COUNTIF($B$8:$B52,"Entry"),"")</f>
      </c>
      <c r="B52" s="16"/>
      <c r="C52" s="17"/>
      <c r="D52" s="17"/>
      <c r="E52" s="18"/>
      <c r="F52" s="19"/>
      <c r="G52" s="20"/>
      <c r="H52" s="20"/>
      <c r="I52" s="20"/>
      <c r="J52" s="20"/>
      <c r="K52" s="20"/>
      <c r="L52" s="20"/>
      <c r="M52" s="20"/>
      <c r="N52" s="21">
        <f>IF($B52&lt;&gt;"Challan","",G52+H52+I52+J52+K52+L52)</f>
      </c>
      <c r="O52" s="19"/>
      <c r="P52" s="19"/>
      <c r="Q52" s="19"/>
      <c r="R52" s="19"/>
      <c r="S52" s="19"/>
      <c r="T52" s="22"/>
      <c r="U52" s="22"/>
      <c r="V52" s="22"/>
      <c r="W52" s="22"/>
      <c r="X52" s="22"/>
      <c r="Y52" s="23"/>
      <c r="Z52" s="24"/>
      <c r="AA52" s="25"/>
      <c r="AB52" s="21">
        <f>IF($B52&lt;&gt;"Entry","",ROUND(AA52*Y52/100,0))</f>
      </c>
      <c r="AC52" s="25"/>
      <c r="AD52" s="25"/>
      <c r="AE52" s="21">
        <f>IF($B52&lt;&gt;"Entry","",IF(OR(AB52=0,Z52="",AP52="",AP52&lt;=0),0,IF(AP52&lt;=DATE(YEAR(Z52),MONTH(Z52)+1,7),0,ROUND(AB52*0.015*((YEAR(AP52)-YEAR(Z52))*12+(MONTH(AP52)-MONTH(Z52))+1),0))))</f>
      </c>
      <c r="AF52" s="25"/>
      <c r="AG52" s="22"/>
      <c r="AH52" s="22"/>
      <c r="AI52" s="23"/>
      <c r="AJ52" s="22"/>
      <c r="AK52" s="22"/>
      <c r="AL52" s="21">
        <f>IF($B52&lt;&gt;"Challan","",SUMIF($D$8:$D$207,D52,$AB$8:$AB$207)+SUMIF($D$8:$D$207,D52,$AE$8:$AE$207)+SUMIF($D$8:$D$207,D52,$AC$8:$AC$207))</f>
      </c>
      <c r="AM52" s="21">
        <f>IF($B52&lt;&gt;"Challan","",N52-L52)</f>
      </c>
      <c r="AN52" s="21">
        <f>IF($B52&lt;&gt;"Challan","",MAX(0,AM52-AL52))</f>
      </c>
      <c r="AO52" s="26">
        <f>IF($B52&lt;&gt;"Challan","",IF(ROUND(AL52-AM52,2)&gt;0,"Over-applied",IF(ROUND(AL52-AM52,2)=0,"Fully Utilised","Unconsumed")))</f>
      </c>
      <c r="AP52" s="27">
        <f>IF($B52&lt;&gt;"Entry","",SUMPRODUCT(($D$8:$D$207=D52)*($B$8:$B$207="Challan")*$E$8:$E$207))</f>
      </c>
    </row>
    <row r="53" spans="1:42" x14ac:dyDescent="0.25">
      <c r="A53" s="15">
        <f>IF($B53="Entry",COUNTIF($B$8:$B53,"Entry"),"")</f>
      </c>
      <c r="B53" s="16"/>
      <c r="C53" s="17"/>
      <c r="D53" s="17"/>
      <c r="E53" s="18"/>
      <c r="F53" s="19"/>
      <c r="G53" s="20"/>
      <c r="H53" s="20"/>
      <c r="I53" s="20"/>
      <c r="J53" s="20"/>
      <c r="K53" s="20"/>
      <c r="L53" s="20"/>
      <c r="M53" s="20"/>
      <c r="N53" s="21">
        <f>IF($B53&lt;&gt;"Challan","",G53+H53+I53+J53+K53+L53)</f>
      </c>
      <c r="O53" s="19"/>
      <c r="P53" s="19"/>
      <c r="Q53" s="19"/>
      <c r="R53" s="19"/>
      <c r="S53" s="19"/>
      <c r="T53" s="22"/>
      <c r="U53" s="22"/>
      <c r="V53" s="22"/>
      <c r="W53" s="22"/>
      <c r="X53" s="22"/>
      <c r="Y53" s="23"/>
      <c r="Z53" s="24"/>
      <c r="AA53" s="25"/>
      <c r="AB53" s="21">
        <f>IF($B53&lt;&gt;"Entry","",ROUND(AA53*Y53/100,0))</f>
      </c>
      <c r="AC53" s="25"/>
      <c r="AD53" s="25"/>
      <c r="AE53" s="21">
        <f>IF($B53&lt;&gt;"Entry","",IF(OR(AB53=0,Z53="",AP53="",AP53&lt;=0),0,IF(AP53&lt;=DATE(YEAR(Z53),MONTH(Z53)+1,7),0,ROUND(AB53*0.015*((YEAR(AP53)-YEAR(Z53))*12+(MONTH(AP53)-MONTH(Z53))+1),0))))</f>
      </c>
      <c r="AF53" s="25"/>
      <c r="AG53" s="22"/>
      <c r="AH53" s="22"/>
      <c r="AI53" s="23"/>
      <c r="AJ53" s="22"/>
      <c r="AK53" s="22"/>
      <c r="AL53" s="21">
        <f>IF($B53&lt;&gt;"Challan","",SUMIF($D$8:$D$207,D53,$AB$8:$AB$207)+SUMIF($D$8:$D$207,D53,$AE$8:$AE$207)+SUMIF($D$8:$D$207,D53,$AC$8:$AC$207))</f>
      </c>
      <c r="AM53" s="21">
        <f>IF($B53&lt;&gt;"Challan","",N53-L53)</f>
      </c>
      <c r="AN53" s="21">
        <f>IF($B53&lt;&gt;"Challan","",MAX(0,AM53-AL53))</f>
      </c>
      <c r="AO53" s="26">
        <f>IF($B53&lt;&gt;"Challan","",IF(ROUND(AL53-AM53,2)&gt;0,"Over-applied",IF(ROUND(AL53-AM53,2)=0,"Fully Utilised","Unconsumed")))</f>
      </c>
      <c r="AP53" s="27">
        <f>IF($B53&lt;&gt;"Entry","",SUMPRODUCT(($D$8:$D$207=D53)*($B$8:$B$207="Challan")*$E$8:$E$207))</f>
      </c>
    </row>
    <row r="54" spans="1:42" x14ac:dyDescent="0.25">
      <c r="A54" s="15">
        <f>IF($B54="Entry",COUNTIF($B$8:$B54,"Entry"),"")</f>
      </c>
      <c r="B54" s="16"/>
      <c r="C54" s="17"/>
      <c r="D54" s="17"/>
      <c r="E54" s="18"/>
      <c r="F54" s="19"/>
      <c r="G54" s="20"/>
      <c r="H54" s="20"/>
      <c r="I54" s="20"/>
      <c r="J54" s="20"/>
      <c r="K54" s="20"/>
      <c r="L54" s="20"/>
      <c r="M54" s="20"/>
      <c r="N54" s="21">
        <f>IF($B54&lt;&gt;"Challan","",G54+H54+I54+J54+K54+L54)</f>
      </c>
      <c r="O54" s="19"/>
      <c r="P54" s="19"/>
      <c r="Q54" s="19"/>
      <c r="R54" s="19"/>
      <c r="S54" s="19"/>
      <c r="T54" s="22"/>
      <c r="U54" s="22"/>
      <c r="V54" s="22"/>
      <c r="W54" s="22"/>
      <c r="X54" s="22"/>
      <c r="Y54" s="23"/>
      <c r="Z54" s="24"/>
      <c r="AA54" s="25"/>
      <c r="AB54" s="21">
        <f>IF($B54&lt;&gt;"Entry","",ROUND(AA54*Y54/100,0))</f>
      </c>
      <c r="AC54" s="25"/>
      <c r="AD54" s="25"/>
      <c r="AE54" s="21">
        <f>IF($B54&lt;&gt;"Entry","",IF(OR(AB54=0,Z54="",AP54="",AP54&lt;=0),0,IF(AP54&lt;=DATE(YEAR(Z54),MONTH(Z54)+1,7),0,ROUND(AB54*0.015*((YEAR(AP54)-YEAR(Z54))*12+(MONTH(AP54)-MONTH(Z54))+1),0))))</f>
      </c>
      <c r="AF54" s="25"/>
      <c r="AG54" s="22"/>
      <c r="AH54" s="22"/>
      <c r="AI54" s="23"/>
      <c r="AJ54" s="22"/>
      <c r="AK54" s="22"/>
      <c r="AL54" s="21">
        <f>IF($B54&lt;&gt;"Challan","",SUMIF($D$8:$D$207,D54,$AB$8:$AB$207)+SUMIF($D$8:$D$207,D54,$AE$8:$AE$207)+SUMIF($D$8:$D$207,D54,$AC$8:$AC$207))</f>
      </c>
      <c r="AM54" s="21">
        <f>IF($B54&lt;&gt;"Challan","",N54-L54)</f>
      </c>
      <c r="AN54" s="21">
        <f>IF($B54&lt;&gt;"Challan","",MAX(0,AM54-AL54))</f>
      </c>
      <c r="AO54" s="26">
        <f>IF($B54&lt;&gt;"Challan","",IF(ROUND(AL54-AM54,2)&gt;0,"Over-applied",IF(ROUND(AL54-AM54,2)=0,"Fully Utilised","Unconsumed")))</f>
      </c>
      <c r="AP54" s="27">
        <f>IF($B54&lt;&gt;"Entry","",SUMPRODUCT(($D$8:$D$207=D54)*($B$8:$B$207="Challan")*$E$8:$E$207))</f>
      </c>
    </row>
    <row r="55" spans="1:42" x14ac:dyDescent="0.25">
      <c r="A55" s="15">
        <f>IF($B55="Entry",COUNTIF($B$8:$B55,"Entry"),"")</f>
      </c>
      <c r="B55" s="16"/>
      <c r="C55" s="17"/>
      <c r="D55" s="17"/>
      <c r="E55" s="18"/>
      <c r="F55" s="19"/>
      <c r="G55" s="20"/>
      <c r="H55" s="20"/>
      <c r="I55" s="20"/>
      <c r="J55" s="20"/>
      <c r="K55" s="20"/>
      <c r="L55" s="20"/>
      <c r="M55" s="20"/>
      <c r="N55" s="21">
        <f>IF($B55&lt;&gt;"Challan","",G55+H55+I55+J55+K55+L55)</f>
      </c>
      <c r="O55" s="19"/>
      <c r="P55" s="19"/>
      <c r="Q55" s="19"/>
      <c r="R55" s="19"/>
      <c r="S55" s="19"/>
      <c r="T55" s="22"/>
      <c r="U55" s="22"/>
      <c r="V55" s="22"/>
      <c r="W55" s="22"/>
      <c r="X55" s="22"/>
      <c r="Y55" s="23"/>
      <c r="Z55" s="24"/>
      <c r="AA55" s="25"/>
      <c r="AB55" s="21">
        <f>IF($B55&lt;&gt;"Entry","",ROUND(AA55*Y55/100,0))</f>
      </c>
      <c r="AC55" s="25"/>
      <c r="AD55" s="25"/>
      <c r="AE55" s="21">
        <f>IF($B55&lt;&gt;"Entry","",IF(OR(AB55=0,Z55="",AP55="",AP55&lt;=0),0,IF(AP55&lt;=DATE(YEAR(Z55),MONTH(Z55)+1,7),0,ROUND(AB55*0.015*((YEAR(AP55)-YEAR(Z55))*12+(MONTH(AP55)-MONTH(Z55))+1),0))))</f>
      </c>
      <c r="AF55" s="25"/>
      <c r="AG55" s="22"/>
      <c r="AH55" s="22"/>
      <c r="AI55" s="23"/>
      <c r="AJ55" s="22"/>
      <c r="AK55" s="22"/>
      <c r="AL55" s="21">
        <f>IF($B55&lt;&gt;"Challan","",SUMIF($D$8:$D$207,D55,$AB$8:$AB$207)+SUMIF($D$8:$D$207,D55,$AE$8:$AE$207)+SUMIF($D$8:$D$207,D55,$AC$8:$AC$207))</f>
      </c>
      <c r="AM55" s="21">
        <f>IF($B55&lt;&gt;"Challan","",N55-L55)</f>
      </c>
      <c r="AN55" s="21">
        <f>IF($B55&lt;&gt;"Challan","",MAX(0,AM55-AL55))</f>
      </c>
      <c r="AO55" s="26">
        <f>IF($B55&lt;&gt;"Challan","",IF(ROUND(AL55-AM55,2)&gt;0,"Over-applied",IF(ROUND(AL55-AM55,2)=0,"Fully Utilised","Unconsumed")))</f>
      </c>
      <c r="AP55" s="27">
        <f>IF($B55&lt;&gt;"Entry","",SUMPRODUCT(($D$8:$D$207=D55)*($B$8:$B$207="Challan")*$E$8:$E$207))</f>
      </c>
    </row>
    <row r="56" spans="1:42" x14ac:dyDescent="0.25">
      <c r="A56" s="15">
        <f>IF($B56="Entry",COUNTIF($B$8:$B56,"Entry"),"")</f>
      </c>
      <c r="B56" s="16"/>
      <c r="C56" s="17"/>
      <c r="D56" s="17"/>
      <c r="E56" s="18"/>
      <c r="F56" s="19"/>
      <c r="G56" s="20"/>
      <c r="H56" s="20"/>
      <c r="I56" s="20"/>
      <c r="J56" s="20"/>
      <c r="K56" s="20"/>
      <c r="L56" s="20"/>
      <c r="M56" s="20"/>
      <c r="N56" s="21">
        <f>IF($B56&lt;&gt;"Challan","",G56+H56+I56+J56+K56+L56)</f>
      </c>
      <c r="O56" s="19"/>
      <c r="P56" s="19"/>
      <c r="Q56" s="19"/>
      <c r="R56" s="19"/>
      <c r="S56" s="19"/>
      <c r="T56" s="22"/>
      <c r="U56" s="22"/>
      <c r="V56" s="22"/>
      <c r="W56" s="22"/>
      <c r="X56" s="22"/>
      <c r="Y56" s="23"/>
      <c r="Z56" s="24"/>
      <c r="AA56" s="25"/>
      <c r="AB56" s="21">
        <f>IF($B56&lt;&gt;"Entry","",ROUND(AA56*Y56/100,0))</f>
      </c>
      <c r="AC56" s="25"/>
      <c r="AD56" s="25"/>
      <c r="AE56" s="21">
        <f>IF($B56&lt;&gt;"Entry","",IF(OR(AB56=0,Z56="",AP56="",AP56&lt;=0),0,IF(AP56&lt;=DATE(YEAR(Z56),MONTH(Z56)+1,7),0,ROUND(AB56*0.015*((YEAR(AP56)-YEAR(Z56))*12+(MONTH(AP56)-MONTH(Z56))+1),0))))</f>
      </c>
      <c r="AF56" s="25"/>
      <c r="AG56" s="22"/>
      <c r="AH56" s="22"/>
      <c r="AI56" s="23"/>
      <c r="AJ56" s="22"/>
      <c r="AK56" s="22"/>
      <c r="AL56" s="21">
        <f>IF($B56&lt;&gt;"Challan","",SUMIF($D$8:$D$207,D56,$AB$8:$AB$207)+SUMIF($D$8:$D$207,D56,$AE$8:$AE$207)+SUMIF($D$8:$D$207,D56,$AC$8:$AC$207))</f>
      </c>
      <c r="AM56" s="21">
        <f>IF($B56&lt;&gt;"Challan","",N56-L56)</f>
      </c>
      <c r="AN56" s="21">
        <f>IF($B56&lt;&gt;"Challan","",MAX(0,AM56-AL56))</f>
      </c>
      <c r="AO56" s="26">
        <f>IF($B56&lt;&gt;"Challan","",IF(ROUND(AL56-AM56,2)&gt;0,"Over-applied",IF(ROUND(AL56-AM56,2)=0,"Fully Utilised","Unconsumed")))</f>
      </c>
      <c r="AP56" s="27">
        <f>IF($B56&lt;&gt;"Entry","",SUMPRODUCT(($D$8:$D$207=D56)*($B$8:$B$207="Challan")*$E$8:$E$207))</f>
      </c>
    </row>
    <row r="57" spans="1:42" x14ac:dyDescent="0.25">
      <c r="A57" s="15">
        <f>IF($B57="Entry",COUNTIF($B$8:$B57,"Entry"),"")</f>
      </c>
      <c r="B57" s="16"/>
      <c r="C57" s="17"/>
      <c r="D57" s="17"/>
      <c r="E57" s="18"/>
      <c r="F57" s="19"/>
      <c r="G57" s="20"/>
      <c r="H57" s="20"/>
      <c r="I57" s="20"/>
      <c r="J57" s="20"/>
      <c r="K57" s="20"/>
      <c r="L57" s="20"/>
      <c r="M57" s="20"/>
      <c r="N57" s="21">
        <f>IF($B57&lt;&gt;"Challan","",G57+H57+I57+J57+K57+L57)</f>
      </c>
      <c r="O57" s="19"/>
      <c r="P57" s="19"/>
      <c r="Q57" s="19"/>
      <c r="R57" s="19"/>
      <c r="S57" s="19"/>
      <c r="T57" s="22"/>
      <c r="U57" s="22"/>
      <c r="V57" s="22"/>
      <c r="W57" s="22"/>
      <c r="X57" s="22"/>
      <c r="Y57" s="23"/>
      <c r="Z57" s="24"/>
      <c r="AA57" s="25"/>
      <c r="AB57" s="21">
        <f>IF($B57&lt;&gt;"Entry","",ROUND(AA57*Y57/100,0))</f>
      </c>
      <c r="AC57" s="25"/>
      <c r="AD57" s="25"/>
      <c r="AE57" s="21">
        <f>IF($B57&lt;&gt;"Entry","",IF(OR(AB57=0,Z57="",AP57="",AP57&lt;=0),0,IF(AP57&lt;=DATE(YEAR(Z57),MONTH(Z57)+1,7),0,ROUND(AB57*0.015*((YEAR(AP57)-YEAR(Z57))*12+(MONTH(AP57)-MONTH(Z57))+1),0))))</f>
      </c>
      <c r="AF57" s="25"/>
      <c r="AG57" s="22"/>
      <c r="AH57" s="22"/>
      <c r="AI57" s="23"/>
      <c r="AJ57" s="22"/>
      <c r="AK57" s="22"/>
      <c r="AL57" s="21">
        <f>IF($B57&lt;&gt;"Challan","",SUMIF($D$8:$D$207,D57,$AB$8:$AB$207)+SUMIF($D$8:$D$207,D57,$AE$8:$AE$207)+SUMIF($D$8:$D$207,D57,$AC$8:$AC$207))</f>
      </c>
      <c r="AM57" s="21">
        <f>IF($B57&lt;&gt;"Challan","",N57-L57)</f>
      </c>
      <c r="AN57" s="21">
        <f>IF($B57&lt;&gt;"Challan","",MAX(0,AM57-AL57))</f>
      </c>
      <c r="AO57" s="26">
        <f>IF($B57&lt;&gt;"Challan","",IF(ROUND(AL57-AM57,2)&gt;0,"Over-applied",IF(ROUND(AL57-AM57,2)=0,"Fully Utilised","Unconsumed")))</f>
      </c>
      <c r="AP57" s="27">
        <f>IF($B57&lt;&gt;"Entry","",SUMPRODUCT(($D$8:$D$207=D57)*($B$8:$B$207="Challan")*$E$8:$E$207))</f>
      </c>
    </row>
    <row r="58" spans="1:42" x14ac:dyDescent="0.25">
      <c r="A58" s="15">
        <f>IF($B58="Entry",COUNTIF($B$8:$B58,"Entry"),"")</f>
      </c>
      <c r="B58" s="16"/>
      <c r="C58" s="17"/>
      <c r="D58" s="17"/>
      <c r="E58" s="18"/>
      <c r="F58" s="19"/>
      <c r="G58" s="20"/>
      <c r="H58" s="20"/>
      <c r="I58" s="20"/>
      <c r="J58" s="20"/>
      <c r="K58" s="20"/>
      <c r="L58" s="20"/>
      <c r="M58" s="20"/>
      <c r="N58" s="21">
        <f>IF($B58&lt;&gt;"Challan","",G58+H58+I58+J58+K58+L58)</f>
      </c>
      <c r="O58" s="19"/>
      <c r="P58" s="19"/>
      <c r="Q58" s="19"/>
      <c r="R58" s="19"/>
      <c r="S58" s="19"/>
      <c r="T58" s="22"/>
      <c r="U58" s="22"/>
      <c r="V58" s="22"/>
      <c r="W58" s="22"/>
      <c r="X58" s="22"/>
      <c r="Y58" s="23"/>
      <c r="Z58" s="24"/>
      <c r="AA58" s="25"/>
      <c r="AB58" s="21">
        <f>IF($B58&lt;&gt;"Entry","",ROUND(AA58*Y58/100,0))</f>
      </c>
      <c r="AC58" s="25"/>
      <c r="AD58" s="25"/>
      <c r="AE58" s="21">
        <f>IF($B58&lt;&gt;"Entry","",IF(OR(AB58=0,Z58="",AP58="",AP58&lt;=0),0,IF(AP58&lt;=DATE(YEAR(Z58),MONTH(Z58)+1,7),0,ROUND(AB58*0.015*((YEAR(AP58)-YEAR(Z58))*12+(MONTH(AP58)-MONTH(Z58))+1),0))))</f>
      </c>
      <c r="AF58" s="25"/>
      <c r="AG58" s="22"/>
      <c r="AH58" s="22"/>
      <c r="AI58" s="23"/>
      <c r="AJ58" s="22"/>
      <c r="AK58" s="22"/>
      <c r="AL58" s="21">
        <f>IF($B58&lt;&gt;"Challan","",SUMIF($D$8:$D$207,D58,$AB$8:$AB$207)+SUMIF($D$8:$D$207,D58,$AE$8:$AE$207)+SUMIF($D$8:$D$207,D58,$AC$8:$AC$207))</f>
      </c>
      <c r="AM58" s="21">
        <f>IF($B58&lt;&gt;"Challan","",N58-L58)</f>
      </c>
      <c r="AN58" s="21">
        <f>IF($B58&lt;&gt;"Challan","",MAX(0,AM58-AL58))</f>
      </c>
      <c r="AO58" s="26">
        <f>IF($B58&lt;&gt;"Challan","",IF(ROUND(AL58-AM58,2)&gt;0,"Over-applied",IF(ROUND(AL58-AM58,2)=0,"Fully Utilised","Unconsumed")))</f>
      </c>
      <c r="AP58" s="27">
        <f>IF($B58&lt;&gt;"Entry","",SUMPRODUCT(($D$8:$D$207=D58)*($B$8:$B$207="Challan")*$E$8:$E$207))</f>
      </c>
    </row>
    <row r="59" spans="1:42" x14ac:dyDescent="0.25">
      <c r="A59" s="15">
        <f>IF($B59="Entry",COUNTIF($B$8:$B59,"Entry"),"")</f>
      </c>
      <c r="B59" s="16"/>
      <c r="C59" s="17"/>
      <c r="D59" s="17"/>
      <c r="E59" s="18"/>
      <c r="F59" s="19"/>
      <c r="G59" s="20"/>
      <c r="H59" s="20"/>
      <c r="I59" s="20"/>
      <c r="J59" s="20"/>
      <c r="K59" s="20"/>
      <c r="L59" s="20"/>
      <c r="M59" s="20"/>
      <c r="N59" s="21">
        <f>IF($B59&lt;&gt;"Challan","",G59+H59+I59+J59+K59+L59)</f>
      </c>
      <c r="O59" s="19"/>
      <c r="P59" s="19"/>
      <c r="Q59" s="19"/>
      <c r="R59" s="19"/>
      <c r="S59" s="19"/>
      <c r="T59" s="22"/>
      <c r="U59" s="22"/>
      <c r="V59" s="22"/>
      <c r="W59" s="22"/>
      <c r="X59" s="22"/>
      <c r="Y59" s="23"/>
      <c r="Z59" s="24"/>
      <c r="AA59" s="25"/>
      <c r="AB59" s="21">
        <f>IF($B59&lt;&gt;"Entry","",ROUND(AA59*Y59/100,0))</f>
      </c>
      <c r="AC59" s="25"/>
      <c r="AD59" s="25"/>
      <c r="AE59" s="21">
        <f>IF($B59&lt;&gt;"Entry","",IF(OR(AB59=0,Z59="",AP59="",AP59&lt;=0),0,IF(AP59&lt;=DATE(YEAR(Z59),MONTH(Z59)+1,7),0,ROUND(AB59*0.015*((YEAR(AP59)-YEAR(Z59))*12+(MONTH(AP59)-MONTH(Z59))+1),0))))</f>
      </c>
      <c r="AF59" s="25"/>
      <c r="AG59" s="22"/>
      <c r="AH59" s="22"/>
      <c r="AI59" s="23"/>
      <c r="AJ59" s="22"/>
      <c r="AK59" s="22"/>
      <c r="AL59" s="21">
        <f>IF($B59&lt;&gt;"Challan","",SUMIF($D$8:$D$207,D59,$AB$8:$AB$207)+SUMIF($D$8:$D$207,D59,$AE$8:$AE$207)+SUMIF($D$8:$D$207,D59,$AC$8:$AC$207))</f>
      </c>
      <c r="AM59" s="21">
        <f>IF($B59&lt;&gt;"Challan","",N59-L59)</f>
      </c>
      <c r="AN59" s="21">
        <f>IF($B59&lt;&gt;"Challan","",MAX(0,AM59-AL59))</f>
      </c>
      <c r="AO59" s="26">
        <f>IF($B59&lt;&gt;"Challan","",IF(ROUND(AL59-AM59,2)&gt;0,"Over-applied",IF(ROUND(AL59-AM59,2)=0,"Fully Utilised","Unconsumed")))</f>
      </c>
      <c r="AP59" s="27">
        <f>IF($B59&lt;&gt;"Entry","",SUMPRODUCT(($D$8:$D$207=D59)*($B$8:$B$207="Challan")*$E$8:$E$207))</f>
      </c>
    </row>
    <row r="60" spans="1:42" x14ac:dyDescent="0.25">
      <c r="A60" s="15">
        <f>IF($B60="Entry",COUNTIF($B$8:$B60,"Entry"),"")</f>
      </c>
      <c r="B60" s="16"/>
      <c r="C60" s="17"/>
      <c r="D60" s="17"/>
      <c r="E60" s="18"/>
      <c r="F60" s="19"/>
      <c r="G60" s="20"/>
      <c r="H60" s="20"/>
      <c r="I60" s="20"/>
      <c r="J60" s="20"/>
      <c r="K60" s="20"/>
      <c r="L60" s="20"/>
      <c r="M60" s="20"/>
      <c r="N60" s="21">
        <f>IF($B60&lt;&gt;"Challan","",G60+H60+I60+J60+K60+L60)</f>
      </c>
      <c r="O60" s="19"/>
      <c r="P60" s="19"/>
      <c r="Q60" s="19"/>
      <c r="R60" s="19"/>
      <c r="S60" s="19"/>
      <c r="T60" s="22"/>
      <c r="U60" s="22"/>
      <c r="V60" s="22"/>
      <c r="W60" s="22"/>
      <c r="X60" s="22"/>
      <c r="Y60" s="23"/>
      <c r="Z60" s="24"/>
      <c r="AA60" s="25"/>
      <c r="AB60" s="21">
        <f>IF($B60&lt;&gt;"Entry","",ROUND(AA60*Y60/100,0))</f>
      </c>
      <c r="AC60" s="25"/>
      <c r="AD60" s="25"/>
      <c r="AE60" s="21">
        <f>IF($B60&lt;&gt;"Entry","",IF(OR(AB60=0,Z60="",AP60="",AP60&lt;=0),0,IF(AP60&lt;=DATE(YEAR(Z60),MONTH(Z60)+1,7),0,ROUND(AB60*0.015*((YEAR(AP60)-YEAR(Z60))*12+(MONTH(AP60)-MONTH(Z60))+1),0))))</f>
      </c>
      <c r="AF60" s="25"/>
      <c r="AG60" s="22"/>
      <c r="AH60" s="22"/>
      <c r="AI60" s="23"/>
      <c r="AJ60" s="22"/>
      <c r="AK60" s="22"/>
      <c r="AL60" s="21">
        <f>IF($B60&lt;&gt;"Challan","",SUMIF($D$8:$D$207,D60,$AB$8:$AB$207)+SUMIF($D$8:$D$207,D60,$AE$8:$AE$207)+SUMIF($D$8:$D$207,D60,$AC$8:$AC$207))</f>
      </c>
      <c r="AM60" s="21">
        <f>IF($B60&lt;&gt;"Challan","",N60-L60)</f>
      </c>
      <c r="AN60" s="21">
        <f>IF($B60&lt;&gt;"Challan","",MAX(0,AM60-AL60))</f>
      </c>
      <c r="AO60" s="26">
        <f>IF($B60&lt;&gt;"Challan","",IF(ROUND(AL60-AM60,2)&gt;0,"Over-applied",IF(ROUND(AL60-AM60,2)=0,"Fully Utilised","Unconsumed")))</f>
      </c>
      <c r="AP60" s="27">
        <f>IF($B60&lt;&gt;"Entry","",SUMPRODUCT(($D$8:$D$207=D60)*($B$8:$B$207="Challan")*$E$8:$E$207))</f>
      </c>
    </row>
    <row r="61" spans="1:42" x14ac:dyDescent="0.25">
      <c r="A61" s="15">
        <f>IF($B61="Entry",COUNTIF($B$8:$B61,"Entry"),"")</f>
      </c>
      <c r="B61" s="16"/>
      <c r="C61" s="17"/>
      <c r="D61" s="17"/>
      <c r="E61" s="18"/>
      <c r="F61" s="19"/>
      <c r="G61" s="20"/>
      <c r="H61" s="20"/>
      <c r="I61" s="20"/>
      <c r="J61" s="20"/>
      <c r="K61" s="20"/>
      <c r="L61" s="20"/>
      <c r="M61" s="20"/>
      <c r="N61" s="21">
        <f>IF($B61&lt;&gt;"Challan","",G61+H61+I61+J61+K61+L61)</f>
      </c>
      <c r="O61" s="19"/>
      <c r="P61" s="19"/>
      <c r="Q61" s="19"/>
      <c r="R61" s="19"/>
      <c r="S61" s="19"/>
      <c r="T61" s="22"/>
      <c r="U61" s="22"/>
      <c r="V61" s="22"/>
      <c r="W61" s="22"/>
      <c r="X61" s="22"/>
      <c r="Y61" s="23"/>
      <c r="Z61" s="24"/>
      <c r="AA61" s="25"/>
      <c r="AB61" s="21">
        <f>IF($B61&lt;&gt;"Entry","",ROUND(AA61*Y61/100,0))</f>
      </c>
      <c r="AC61" s="25"/>
      <c r="AD61" s="25"/>
      <c r="AE61" s="21">
        <f>IF($B61&lt;&gt;"Entry","",IF(OR(AB61=0,Z61="",AP61="",AP61&lt;=0),0,IF(AP61&lt;=DATE(YEAR(Z61),MONTH(Z61)+1,7),0,ROUND(AB61*0.015*((YEAR(AP61)-YEAR(Z61))*12+(MONTH(AP61)-MONTH(Z61))+1),0))))</f>
      </c>
      <c r="AF61" s="25"/>
      <c r="AG61" s="22"/>
      <c r="AH61" s="22"/>
      <c r="AI61" s="23"/>
      <c r="AJ61" s="22"/>
      <c r="AK61" s="22"/>
      <c r="AL61" s="21">
        <f>IF($B61&lt;&gt;"Challan","",SUMIF($D$8:$D$207,D61,$AB$8:$AB$207)+SUMIF($D$8:$D$207,D61,$AE$8:$AE$207)+SUMIF($D$8:$D$207,D61,$AC$8:$AC$207))</f>
      </c>
      <c r="AM61" s="21">
        <f>IF($B61&lt;&gt;"Challan","",N61-L61)</f>
      </c>
      <c r="AN61" s="21">
        <f>IF($B61&lt;&gt;"Challan","",MAX(0,AM61-AL61))</f>
      </c>
      <c r="AO61" s="26">
        <f>IF($B61&lt;&gt;"Challan","",IF(ROUND(AL61-AM61,2)&gt;0,"Over-applied",IF(ROUND(AL61-AM61,2)=0,"Fully Utilised","Unconsumed")))</f>
      </c>
      <c r="AP61" s="27">
        <f>IF($B61&lt;&gt;"Entry","",SUMPRODUCT(($D$8:$D$207=D61)*($B$8:$B$207="Challan")*$E$8:$E$207))</f>
      </c>
    </row>
    <row r="62" spans="1:42" x14ac:dyDescent="0.25">
      <c r="A62" s="15">
        <f>IF($B62="Entry",COUNTIF($B$8:$B62,"Entry"),"")</f>
      </c>
      <c r="B62" s="16"/>
      <c r="C62" s="17"/>
      <c r="D62" s="17"/>
      <c r="E62" s="18"/>
      <c r="F62" s="19"/>
      <c r="G62" s="20"/>
      <c r="H62" s="20"/>
      <c r="I62" s="20"/>
      <c r="J62" s="20"/>
      <c r="K62" s="20"/>
      <c r="L62" s="20"/>
      <c r="M62" s="20"/>
      <c r="N62" s="21">
        <f>IF($B62&lt;&gt;"Challan","",G62+H62+I62+J62+K62+L62)</f>
      </c>
      <c r="O62" s="19"/>
      <c r="P62" s="19"/>
      <c r="Q62" s="19"/>
      <c r="R62" s="19"/>
      <c r="S62" s="19"/>
      <c r="T62" s="22"/>
      <c r="U62" s="22"/>
      <c r="V62" s="22"/>
      <c r="W62" s="22"/>
      <c r="X62" s="22"/>
      <c r="Y62" s="23"/>
      <c r="Z62" s="24"/>
      <c r="AA62" s="25"/>
      <c r="AB62" s="21">
        <f>IF($B62&lt;&gt;"Entry","",ROUND(AA62*Y62/100,0))</f>
      </c>
      <c r="AC62" s="25"/>
      <c r="AD62" s="25"/>
      <c r="AE62" s="21">
        <f>IF($B62&lt;&gt;"Entry","",IF(OR(AB62=0,Z62="",AP62="",AP62&lt;=0),0,IF(AP62&lt;=DATE(YEAR(Z62),MONTH(Z62)+1,7),0,ROUND(AB62*0.015*((YEAR(AP62)-YEAR(Z62))*12+(MONTH(AP62)-MONTH(Z62))+1),0))))</f>
      </c>
      <c r="AF62" s="25"/>
      <c r="AG62" s="22"/>
      <c r="AH62" s="22"/>
      <c r="AI62" s="23"/>
      <c r="AJ62" s="22"/>
      <c r="AK62" s="22"/>
      <c r="AL62" s="21">
        <f>IF($B62&lt;&gt;"Challan","",SUMIF($D$8:$D$207,D62,$AB$8:$AB$207)+SUMIF($D$8:$D$207,D62,$AE$8:$AE$207)+SUMIF($D$8:$D$207,D62,$AC$8:$AC$207))</f>
      </c>
      <c r="AM62" s="21">
        <f>IF($B62&lt;&gt;"Challan","",N62-L62)</f>
      </c>
      <c r="AN62" s="21">
        <f>IF($B62&lt;&gt;"Challan","",MAX(0,AM62-AL62))</f>
      </c>
      <c r="AO62" s="26">
        <f>IF($B62&lt;&gt;"Challan","",IF(ROUND(AL62-AM62,2)&gt;0,"Over-applied",IF(ROUND(AL62-AM62,2)=0,"Fully Utilised","Unconsumed")))</f>
      </c>
      <c r="AP62" s="27">
        <f>IF($B62&lt;&gt;"Entry","",SUMPRODUCT(($D$8:$D$207=D62)*($B$8:$B$207="Challan")*$E$8:$E$207))</f>
      </c>
    </row>
    <row r="63" spans="1:42" x14ac:dyDescent="0.25">
      <c r="A63" s="15">
        <f>IF($B63="Entry",COUNTIF($B$8:$B63,"Entry"),"")</f>
      </c>
      <c r="B63" s="16"/>
      <c r="C63" s="17"/>
      <c r="D63" s="17"/>
      <c r="E63" s="18"/>
      <c r="F63" s="19"/>
      <c r="G63" s="20"/>
      <c r="H63" s="20"/>
      <c r="I63" s="20"/>
      <c r="J63" s="20"/>
      <c r="K63" s="20"/>
      <c r="L63" s="20"/>
      <c r="M63" s="20"/>
      <c r="N63" s="21">
        <f>IF($B63&lt;&gt;"Challan","",G63+H63+I63+J63+K63+L63)</f>
      </c>
      <c r="O63" s="19"/>
      <c r="P63" s="19"/>
      <c r="Q63" s="19"/>
      <c r="R63" s="19"/>
      <c r="S63" s="19"/>
      <c r="T63" s="22"/>
      <c r="U63" s="22"/>
      <c r="V63" s="22"/>
      <c r="W63" s="22"/>
      <c r="X63" s="22"/>
      <c r="Y63" s="23"/>
      <c r="Z63" s="24"/>
      <c r="AA63" s="25"/>
      <c r="AB63" s="21">
        <f>IF($B63&lt;&gt;"Entry","",ROUND(AA63*Y63/100,0))</f>
      </c>
      <c r="AC63" s="25"/>
      <c r="AD63" s="25"/>
      <c r="AE63" s="21">
        <f>IF($B63&lt;&gt;"Entry","",IF(OR(AB63=0,Z63="",AP63="",AP63&lt;=0),0,IF(AP63&lt;=DATE(YEAR(Z63),MONTH(Z63)+1,7),0,ROUND(AB63*0.015*((YEAR(AP63)-YEAR(Z63))*12+(MONTH(AP63)-MONTH(Z63))+1),0))))</f>
      </c>
      <c r="AF63" s="25"/>
      <c r="AG63" s="22"/>
      <c r="AH63" s="22"/>
      <c r="AI63" s="23"/>
      <c r="AJ63" s="22"/>
      <c r="AK63" s="22"/>
      <c r="AL63" s="21">
        <f>IF($B63&lt;&gt;"Challan","",SUMIF($D$8:$D$207,D63,$AB$8:$AB$207)+SUMIF($D$8:$D$207,D63,$AE$8:$AE$207)+SUMIF($D$8:$D$207,D63,$AC$8:$AC$207))</f>
      </c>
      <c r="AM63" s="21">
        <f>IF($B63&lt;&gt;"Challan","",N63-L63)</f>
      </c>
      <c r="AN63" s="21">
        <f>IF($B63&lt;&gt;"Challan","",MAX(0,AM63-AL63))</f>
      </c>
      <c r="AO63" s="26">
        <f>IF($B63&lt;&gt;"Challan","",IF(ROUND(AL63-AM63,2)&gt;0,"Over-applied",IF(ROUND(AL63-AM63,2)=0,"Fully Utilised","Unconsumed")))</f>
      </c>
      <c r="AP63" s="27">
        <f>IF($B63&lt;&gt;"Entry","",SUMPRODUCT(($D$8:$D$207=D63)*($B$8:$B$207="Challan")*$E$8:$E$207))</f>
      </c>
    </row>
    <row r="64" spans="1:42" x14ac:dyDescent="0.25">
      <c r="A64" s="15">
        <f>IF($B64="Entry",COUNTIF($B$8:$B64,"Entry"),"")</f>
      </c>
      <c r="B64" s="16"/>
      <c r="C64" s="17"/>
      <c r="D64" s="17"/>
      <c r="E64" s="18"/>
      <c r="F64" s="19"/>
      <c r="G64" s="20"/>
      <c r="H64" s="20"/>
      <c r="I64" s="20"/>
      <c r="J64" s="20"/>
      <c r="K64" s="20"/>
      <c r="L64" s="20"/>
      <c r="M64" s="20"/>
      <c r="N64" s="21">
        <f>IF($B64&lt;&gt;"Challan","",G64+H64+I64+J64+K64+L64)</f>
      </c>
      <c r="O64" s="19"/>
      <c r="P64" s="19"/>
      <c r="Q64" s="19"/>
      <c r="R64" s="19"/>
      <c r="S64" s="19"/>
      <c r="T64" s="22"/>
      <c r="U64" s="22"/>
      <c r="V64" s="22"/>
      <c r="W64" s="22"/>
      <c r="X64" s="22"/>
      <c r="Y64" s="23"/>
      <c r="Z64" s="24"/>
      <c r="AA64" s="25"/>
      <c r="AB64" s="21">
        <f>IF($B64&lt;&gt;"Entry","",ROUND(AA64*Y64/100,0))</f>
      </c>
      <c r="AC64" s="25"/>
      <c r="AD64" s="25"/>
      <c r="AE64" s="21">
        <f>IF($B64&lt;&gt;"Entry","",IF(OR(AB64=0,Z64="",AP64="",AP64&lt;=0),0,IF(AP64&lt;=DATE(YEAR(Z64),MONTH(Z64)+1,7),0,ROUND(AB64*0.015*((YEAR(AP64)-YEAR(Z64))*12+(MONTH(AP64)-MONTH(Z64))+1),0))))</f>
      </c>
      <c r="AF64" s="25"/>
      <c r="AG64" s="22"/>
      <c r="AH64" s="22"/>
      <c r="AI64" s="23"/>
      <c r="AJ64" s="22"/>
      <c r="AK64" s="22"/>
      <c r="AL64" s="21">
        <f>IF($B64&lt;&gt;"Challan","",SUMIF($D$8:$D$207,D64,$AB$8:$AB$207)+SUMIF($D$8:$D$207,D64,$AE$8:$AE$207)+SUMIF($D$8:$D$207,D64,$AC$8:$AC$207))</f>
      </c>
      <c r="AM64" s="21">
        <f>IF($B64&lt;&gt;"Challan","",N64-L64)</f>
      </c>
      <c r="AN64" s="21">
        <f>IF($B64&lt;&gt;"Challan","",MAX(0,AM64-AL64))</f>
      </c>
      <c r="AO64" s="26">
        <f>IF($B64&lt;&gt;"Challan","",IF(ROUND(AL64-AM64,2)&gt;0,"Over-applied",IF(ROUND(AL64-AM64,2)=0,"Fully Utilised","Unconsumed")))</f>
      </c>
      <c r="AP64" s="27">
        <f>IF($B64&lt;&gt;"Entry","",SUMPRODUCT(($D$8:$D$207=D64)*($B$8:$B$207="Challan")*$E$8:$E$207))</f>
      </c>
    </row>
    <row r="65" spans="1:42" x14ac:dyDescent="0.25">
      <c r="A65" s="15">
        <f>IF($B65="Entry",COUNTIF($B$8:$B65,"Entry"),"")</f>
      </c>
      <c r="B65" s="16"/>
      <c r="C65" s="17"/>
      <c r="D65" s="17"/>
      <c r="E65" s="18"/>
      <c r="F65" s="19"/>
      <c r="G65" s="20"/>
      <c r="H65" s="20"/>
      <c r="I65" s="20"/>
      <c r="J65" s="20"/>
      <c r="K65" s="20"/>
      <c r="L65" s="20"/>
      <c r="M65" s="20"/>
      <c r="N65" s="21">
        <f>IF($B65&lt;&gt;"Challan","",G65+H65+I65+J65+K65+L65)</f>
      </c>
      <c r="O65" s="19"/>
      <c r="P65" s="19"/>
      <c r="Q65" s="19"/>
      <c r="R65" s="19"/>
      <c r="S65" s="19"/>
      <c r="T65" s="22"/>
      <c r="U65" s="22"/>
      <c r="V65" s="22"/>
      <c r="W65" s="22"/>
      <c r="X65" s="22"/>
      <c r="Y65" s="23"/>
      <c r="Z65" s="24"/>
      <c r="AA65" s="25"/>
      <c r="AB65" s="21">
        <f>IF($B65&lt;&gt;"Entry","",ROUND(AA65*Y65/100,0))</f>
      </c>
      <c r="AC65" s="25"/>
      <c r="AD65" s="25"/>
      <c r="AE65" s="21">
        <f>IF($B65&lt;&gt;"Entry","",IF(OR(AB65=0,Z65="",AP65="",AP65&lt;=0),0,IF(AP65&lt;=DATE(YEAR(Z65),MONTH(Z65)+1,7),0,ROUND(AB65*0.015*((YEAR(AP65)-YEAR(Z65))*12+(MONTH(AP65)-MONTH(Z65))+1),0))))</f>
      </c>
      <c r="AF65" s="25"/>
      <c r="AG65" s="22"/>
      <c r="AH65" s="22"/>
      <c r="AI65" s="23"/>
      <c r="AJ65" s="22"/>
      <c r="AK65" s="22"/>
      <c r="AL65" s="21">
        <f>IF($B65&lt;&gt;"Challan","",SUMIF($D$8:$D$207,D65,$AB$8:$AB$207)+SUMIF($D$8:$D$207,D65,$AE$8:$AE$207)+SUMIF($D$8:$D$207,D65,$AC$8:$AC$207))</f>
      </c>
      <c r="AM65" s="21">
        <f>IF($B65&lt;&gt;"Challan","",N65-L65)</f>
      </c>
      <c r="AN65" s="21">
        <f>IF($B65&lt;&gt;"Challan","",MAX(0,AM65-AL65))</f>
      </c>
      <c r="AO65" s="26">
        <f>IF($B65&lt;&gt;"Challan","",IF(ROUND(AL65-AM65,2)&gt;0,"Over-applied",IF(ROUND(AL65-AM65,2)=0,"Fully Utilised","Unconsumed")))</f>
      </c>
      <c r="AP65" s="27">
        <f>IF($B65&lt;&gt;"Entry","",SUMPRODUCT(($D$8:$D$207=D65)*($B$8:$B$207="Challan")*$E$8:$E$207))</f>
      </c>
    </row>
    <row r="66" spans="1:42" x14ac:dyDescent="0.25">
      <c r="A66" s="15">
        <f>IF($B66="Entry",COUNTIF($B$8:$B66,"Entry"),"")</f>
      </c>
      <c r="B66" s="16"/>
      <c r="C66" s="17"/>
      <c r="D66" s="17"/>
      <c r="E66" s="18"/>
      <c r="F66" s="19"/>
      <c r="G66" s="20"/>
      <c r="H66" s="20"/>
      <c r="I66" s="20"/>
      <c r="J66" s="20"/>
      <c r="K66" s="20"/>
      <c r="L66" s="20"/>
      <c r="M66" s="20"/>
      <c r="N66" s="21">
        <f>IF($B66&lt;&gt;"Challan","",G66+H66+I66+J66+K66+L66)</f>
      </c>
      <c r="O66" s="19"/>
      <c r="P66" s="19"/>
      <c r="Q66" s="19"/>
      <c r="R66" s="19"/>
      <c r="S66" s="19"/>
      <c r="T66" s="22"/>
      <c r="U66" s="22"/>
      <c r="V66" s="22"/>
      <c r="W66" s="22"/>
      <c r="X66" s="22"/>
      <c r="Y66" s="23"/>
      <c r="Z66" s="24"/>
      <c r="AA66" s="25"/>
      <c r="AB66" s="21">
        <f>IF($B66&lt;&gt;"Entry","",ROUND(AA66*Y66/100,0))</f>
      </c>
      <c r="AC66" s="25"/>
      <c r="AD66" s="25"/>
      <c r="AE66" s="21">
        <f>IF($B66&lt;&gt;"Entry","",IF(OR(AB66=0,Z66="",AP66="",AP66&lt;=0),0,IF(AP66&lt;=DATE(YEAR(Z66),MONTH(Z66)+1,7),0,ROUND(AB66*0.015*((YEAR(AP66)-YEAR(Z66))*12+(MONTH(AP66)-MONTH(Z66))+1),0))))</f>
      </c>
      <c r="AF66" s="25"/>
      <c r="AG66" s="22"/>
      <c r="AH66" s="22"/>
      <c r="AI66" s="23"/>
      <c r="AJ66" s="22"/>
      <c r="AK66" s="22"/>
      <c r="AL66" s="21">
        <f>IF($B66&lt;&gt;"Challan","",SUMIF($D$8:$D$207,D66,$AB$8:$AB$207)+SUMIF($D$8:$D$207,D66,$AE$8:$AE$207)+SUMIF($D$8:$D$207,D66,$AC$8:$AC$207))</f>
      </c>
      <c r="AM66" s="21">
        <f>IF($B66&lt;&gt;"Challan","",N66-L66)</f>
      </c>
      <c r="AN66" s="21">
        <f>IF($B66&lt;&gt;"Challan","",MAX(0,AM66-AL66))</f>
      </c>
      <c r="AO66" s="26">
        <f>IF($B66&lt;&gt;"Challan","",IF(ROUND(AL66-AM66,2)&gt;0,"Over-applied",IF(ROUND(AL66-AM66,2)=0,"Fully Utilised","Unconsumed")))</f>
      </c>
      <c r="AP66" s="27">
        <f>IF($B66&lt;&gt;"Entry","",SUMPRODUCT(($D$8:$D$207=D66)*($B$8:$B$207="Challan")*$E$8:$E$207))</f>
      </c>
    </row>
    <row r="67" spans="1:42" x14ac:dyDescent="0.25">
      <c r="A67" s="15">
        <f>IF($B67="Entry",COUNTIF($B$8:$B67,"Entry"),"")</f>
      </c>
      <c r="B67" s="16"/>
      <c r="C67" s="17"/>
      <c r="D67" s="17"/>
      <c r="E67" s="18"/>
      <c r="F67" s="19"/>
      <c r="G67" s="20"/>
      <c r="H67" s="20"/>
      <c r="I67" s="20"/>
      <c r="J67" s="20"/>
      <c r="K67" s="20"/>
      <c r="L67" s="20"/>
      <c r="M67" s="20"/>
      <c r="N67" s="21">
        <f>IF($B67&lt;&gt;"Challan","",G67+H67+I67+J67+K67+L67)</f>
      </c>
      <c r="O67" s="19"/>
      <c r="P67" s="19"/>
      <c r="Q67" s="19"/>
      <c r="R67" s="19"/>
      <c r="S67" s="19"/>
      <c r="T67" s="22"/>
      <c r="U67" s="22"/>
      <c r="V67" s="22"/>
      <c r="W67" s="22"/>
      <c r="X67" s="22"/>
      <c r="Y67" s="23"/>
      <c r="Z67" s="24"/>
      <c r="AA67" s="25"/>
      <c r="AB67" s="21">
        <f>IF($B67&lt;&gt;"Entry","",ROUND(AA67*Y67/100,0))</f>
      </c>
      <c r="AC67" s="25"/>
      <c r="AD67" s="25"/>
      <c r="AE67" s="21">
        <f>IF($B67&lt;&gt;"Entry","",IF(OR(AB67=0,Z67="",AP67="",AP67&lt;=0),0,IF(AP67&lt;=DATE(YEAR(Z67),MONTH(Z67)+1,7),0,ROUND(AB67*0.015*((YEAR(AP67)-YEAR(Z67))*12+(MONTH(AP67)-MONTH(Z67))+1),0))))</f>
      </c>
      <c r="AF67" s="25"/>
      <c r="AG67" s="22"/>
      <c r="AH67" s="22"/>
      <c r="AI67" s="23"/>
      <c r="AJ67" s="22"/>
      <c r="AK67" s="22"/>
      <c r="AL67" s="21">
        <f>IF($B67&lt;&gt;"Challan","",SUMIF($D$8:$D$207,D67,$AB$8:$AB$207)+SUMIF($D$8:$D$207,D67,$AE$8:$AE$207)+SUMIF($D$8:$D$207,D67,$AC$8:$AC$207))</f>
      </c>
      <c r="AM67" s="21">
        <f>IF($B67&lt;&gt;"Challan","",N67-L67)</f>
      </c>
      <c r="AN67" s="21">
        <f>IF($B67&lt;&gt;"Challan","",MAX(0,AM67-AL67))</f>
      </c>
      <c r="AO67" s="26">
        <f>IF($B67&lt;&gt;"Challan","",IF(ROUND(AL67-AM67,2)&gt;0,"Over-applied",IF(ROUND(AL67-AM67,2)=0,"Fully Utilised","Unconsumed")))</f>
      </c>
      <c r="AP67" s="27">
        <f>IF($B67&lt;&gt;"Entry","",SUMPRODUCT(($D$8:$D$207=D67)*($B$8:$B$207="Challan")*$E$8:$E$207))</f>
      </c>
    </row>
    <row r="68" spans="1:42" x14ac:dyDescent="0.25">
      <c r="A68" s="15">
        <f>IF($B68="Entry",COUNTIF($B$8:$B68,"Entry"),"")</f>
      </c>
      <c r="B68" s="16"/>
      <c r="C68" s="17"/>
      <c r="D68" s="17"/>
      <c r="E68" s="18"/>
      <c r="F68" s="19"/>
      <c r="G68" s="20"/>
      <c r="H68" s="20"/>
      <c r="I68" s="20"/>
      <c r="J68" s="20"/>
      <c r="K68" s="20"/>
      <c r="L68" s="20"/>
      <c r="M68" s="20"/>
      <c r="N68" s="21">
        <f>IF($B68&lt;&gt;"Challan","",G68+H68+I68+J68+K68+L68)</f>
      </c>
      <c r="O68" s="19"/>
      <c r="P68" s="19"/>
      <c r="Q68" s="19"/>
      <c r="R68" s="19"/>
      <c r="S68" s="19"/>
      <c r="T68" s="22"/>
      <c r="U68" s="22"/>
      <c r="V68" s="22"/>
      <c r="W68" s="22"/>
      <c r="X68" s="22"/>
      <c r="Y68" s="23"/>
      <c r="Z68" s="24"/>
      <c r="AA68" s="25"/>
      <c r="AB68" s="21">
        <f>IF($B68&lt;&gt;"Entry","",ROUND(AA68*Y68/100,0))</f>
      </c>
      <c r="AC68" s="25"/>
      <c r="AD68" s="25"/>
      <c r="AE68" s="21">
        <f>IF($B68&lt;&gt;"Entry","",IF(OR(AB68=0,Z68="",AP68="",AP68&lt;=0),0,IF(AP68&lt;=DATE(YEAR(Z68),MONTH(Z68)+1,7),0,ROUND(AB68*0.015*((YEAR(AP68)-YEAR(Z68))*12+(MONTH(AP68)-MONTH(Z68))+1),0))))</f>
      </c>
      <c r="AF68" s="25"/>
      <c r="AG68" s="22"/>
      <c r="AH68" s="22"/>
      <c r="AI68" s="23"/>
      <c r="AJ68" s="22"/>
      <c r="AK68" s="22"/>
      <c r="AL68" s="21">
        <f>IF($B68&lt;&gt;"Challan","",SUMIF($D$8:$D$207,D68,$AB$8:$AB$207)+SUMIF($D$8:$D$207,D68,$AE$8:$AE$207)+SUMIF($D$8:$D$207,D68,$AC$8:$AC$207))</f>
      </c>
      <c r="AM68" s="21">
        <f>IF($B68&lt;&gt;"Challan","",N68-L68)</f>
      </c>
      <c r="AN68" s="21">
        <f>IF($B68&lt;&gt;"Challan","",MAX(0,AM68-AL68))</f>
      </c>
      <c r="AO68" s="26">
        <f>IF($B68&lt;&gt;"Challan","",IF(ROUND(AL68-AM68,2)&gt;0,"Over-applied",IF(ROUND(AL68-AM68,2)=0,"Fully Utilised","Unconsumed")))</f>
      </c>
      <c r="AP68" s="27">
        <f>IF($B68&lt;&gt;"Entry","",SUMPRODUCT(($D$8:$D$207=D68)*($B$8:$B$207="Challan")*$E$8:$E$207))</f>
      </c>
    </row>
    <row r="69" spans="1:42" x14ac:dyDescent="0.25">
      <c r="A69" s="15">
        <f>IF($B69="Entry",COUNTIF($B$8:$B69,"Entry"),"")</f>
      </c>
      <c r="B69" s="16"/>
      <c r="C69" s="17"/>
      <c r="D69" s="17"/>
      <c r="E69" s="18"/>
      <c r="F69" s="19"/>
      <c r="G69" s="20"/>
      <c r="H69" s="20"/>
      <c r="I69" s="20"/>
      <c r="J69" s="20"/>
      <c r="K69" s="20"/>
      <c r="L69" s="20"/>
      <c r="M69" s="20"/>
      <c r="N69" s="21">
        <f>IF($B69&lt;&gt;"Challan","",G69+H69+I69+J69+K69+L69)</f>
      </c>
      <c r="O69" s="19"/>
      <c r="P69" s="19"/>
      <c r="Q69" s="19"/>
      <c r="R69" s="19"/>
      <c r="S69" s="19"/>
      <c r="T69" s="22"/>
      <c r="U69" s="22"/>
      <c r="V69" s="22"/>
      <c r="W69" s="22"/>
      <c r="X69" s="22"/>
      <c r="Y69" s="23"/>
      <c r="Z69" s="24"/>
      <c r="AA69" s="25"/>
      <c r="AB69" s="21">
        <f>IF($B69&lt;&gt;"Entry","",ROUND(AA69*Y69/100,0))</f>
      </c>
      <c r="AC69" s="25"/>
      <c r="AD69" s="25"/>
      <c r="AE69" s="21">
        <f>IF($B69&lt;&gt;"Entry","",IF(OR(AB69=0,Z69="",AP69="",AP69&lt;=0),0,IF(AP69&lt;=DATE(YEAR(Z69),MONTH(Z69)+1,7),0,ROUND(AB69*0.015*((YEAR(AP69)-YEAR(Z69))*12+(MONTH(AP69)-MONTH(Z69))+1),0))))</f>
      </c>
      <c r="AF69" s="25"/>
      <c r="AG69" s="22"/>
      <c r="AH69" s="22"/>
      <c r="AI69" s="23"/>
      <c r="AJ69" s="22"/>
      <c r="AK69" s="22"/>
      <c r="AL69" s="21">
        <f>IF($B69&lt;&gt;"Challan","",SUMIF($D$8:$D$207,D69,$AB$8:$AB$207)+SUMIF($D$8:$D$207,D69,$AE$8:$AE$207)+SUMIF($D$8:$D$207,D69,$AC$8:$AC$207))</f>
      </c>
      <c r="AM69" s="21">
        <f>IF($B69&lt;&gt;"Challan","",N69-L69)</f>
      </c>
      <c r="AN69" s="21">
        <f>IF($B69&lt;&gt;"Challan","",MAX(0,AM69-AL69))</f>
      </c>
      <c r="AO69" s="26">
        <f>IF($B69&lt;&gt;"Challan","",IF(ROUND(AL69-AM69,2)&gt;0,"Over-applied",IF(ROUND(AL69-AM69,2)=0,"Fully Utilised","Unconsumed")))</f>
      </c>
      <c r="AP69" s="27">
        <f>IF($B69&lt;&gt;"Entry","",SUMPRODUCT(($D$8:$D$207=D69)*($B$8:$B$207="Challan")*$E$8:$E$207))</f>
      </c>
    </row>
    <row r="70" spans="1:42" x14ac:dyDescent="0.25">
      <c r="A70" s="15">
        <f>IF($B70="Entry",COUNTIF($B$8:$B70,"Entry"),"")</f>
      </c>
      <c r="B70" s="16"/>
      <c r="C70" s="17"/>
      <c r="D70" s="17"/>
      <c r="E70" s="18"/>
      <c r="F70" s="19"/>
      <c r="G70" s="20"/>
      <c r="H70" s="20"/>
      <c r="I70" s="20"/>
      <c r="J70" s="20"/>
      <c r="K70" s="20"/>
      <c r="L70" s="20"/>
      <c r="M70" s="20"/>
      <c r="N70" s="21">
        <f>IF($B70&lt;&gt;"Challan","",G70+H70+I70+J70+K70+L70)</f>
      </c>
      <c r="O70" s="19"/>
      <c r="P70" s="19"/>
      <c r="Q70" s="19"/>
      <c r="R70" s="19"/>
      <c r="S70" s="19"/>
      <c r="T70" s="22"/>
      <c r="U70" s="22"/>
      <c r="V70" s="22"/>
      <c r="W70" s="22"/>
      <c r="X70" s="22"/>
      <c r="Y70" s="23"/>
      <c r="Z70" s="24"/>
      <c r="AA70" s="25"/>
      <c r="AB70" s="21">
        <f>IF($B70&lt;&gt;"Entry","",ROUND(AA70*Y70/100,0))</f>
      </c>
      <c r="AC70" s="25"/>
      <c r="AD70" s="25"/>
      <c r="AE70" s="21">
        <f>IF($B70&lt;&gt;"Entry","",IF(OR(AB70=0,Z70="",AP70="",AP70&lt;=0),0,IF(AP70&lt;=DATE(YEAR(Z70),MONTH(Z70)+1,7),0,ROUND(AB70*0.015*((YEAR(AP70)-YEAR(Z70))*12+(MONTH(AP70)-MONTH(Z70))+1),0))))</f>
      </c>
      <c r="AF70" s="25"/>
      <c r="AG70" s="22"/>
      <c r="AH70" s="22"/>
      <c r="AI70" s="23"/>
      <c r="AJ70" s="22"/>
      <c r="AK70" s="22"/>
      <c r="AL70" s="21">
        <f>IF($B70&lt;&gt;"Challan","",SUMIF($D$8:$D$207,D70,$AB$8:$AB$207)+SUMIF($D$8:$D$207,D70,$AE$8:$AE$207)+SUMIF($D$8:$D$207,D70,$AC$8:$AC$207))</f>
      </c>
      <c r="AM70" s="21">
        <f>IF($B70&lt;&gt;"Challan","",N70-L70)</f>
      </c>
      <c r="AN70" s="21">
        <f>IF($B70&lt;&gt;"Challan","",MAX(0,AM70-AL70))</f>
      </c>
      <c r="AO70" s="26">
        <f>IF($B70&lt;&gt;"Challan","",IF(ROUND(AL70-AM70,2)&gt;0,"Over-applied",IF(ROUND(AL70-AM70,2)=0,"Fully Utilised","Unconsumed")))</f>
      </c>
      <c r="AP70" s="27">
        <f>IF($B70&lt;&gt;"Entry","",SUMPRODUCT(($D$8:$D$207=D70)*($B$8:$B$207="Challan")*$E$8:$E$207))</f>
      </c>
    </row>
    <row r="71" spans="1:42" x14ac:dyDescent="0.25">
      <c r="A71" s="15">
        <f>IF($B71="Entry",COUNTIF($B$8:$B71,"Entry"),"")</f>
      </c>
      <c r="B71" s="16"/>
      <c r="C71" s="17"/>
      <c r="D71" s="17"/>
      <c r="E71" s="18"/>
      <c r="F71" s="19"/>
      <c r="G71" s="20"/>
      <c r="H71" s="20"/>
      <c r="I71" s="20"/>
      <c r="J71" s="20"/>
      <c r="K71" s="20"/>
      <c r="L71" s="20"/>
      <c r="M71" s="20"/>
      <c r="N71" s="21">
        <f>IF($B71&lt;&gt;"Challan","",G71+H71+I71+J71+K71+L71)</f>
      </c>
      <c r="O71" s="19"/>
      <c r="P71" s="19"/>
      <c r="Q71" s="19"/>
      <c r="R71" s="19"/>
      <c r="S71" s="19"/>
      <c r="T71" s="22"/>
      <c r="U71" s="22"/>
      <c r="V71" s="22"/>
      <c r="W71" s="22"/>
      <c r="X71" s="22"/>
      <c r="Y71" s="23"/>
      <c r="Z71" s="24"/>
      <c r="AA71" s="25"/>
      <c r="AB71" s="21">
        <f>IF($B71&lt;&gt;"Entry","",ROUND(AA71*Y71/100,0))</f>
      </c>
      <c r="AC71" s="25"/>
      <c r="AD71" s="25"/>
      <c r="AE71" s="21">
        <f>IF($B71&lt;&gt;"Entry","",IF(OR(AB71=0,Z71="",AP71="",AP71&lt;=0),0,IF(AP71&lt;=DATE(YEAR(Z71),MONTH(Z71)+1,7),0,ROUND(AB71*0.015*((YEAR(AP71)-YEAR(Z71))*12+(MONTH(AP71)-MONTH(Z71))+1),0))))</f>
      </c>
      <c r="AF71" s="25"/>
      <c r="AG71" s="22"/>
      <c r="AH71" s="22"/>
      <c r="AI71" s="23"/>
      <c r="AJ71" s="22"/>
      <c r="AK71" s="22"/>
      <c r="AL71" s="21">
        <f>IF($B71&lt;&gt;"Challan","",SUMIF($D$8:$D$207,D71,$AB$8:$AB$207)+SUMIF($D$8:$D$207,D71,$AE$8:$AE$207)+SUMIF($D$8:$D$207,D71,$AC$8:$AC$207))</f>
      </c>
      <c r="AM71" s="21">
        <f>IF($B71&lt;&gt;"Challan","",N71-L71)</f>
      </c>
      <c r="AN71" s="21">
        <f>IF($B71&lt;&gt;"Challan","",MAX(0,AM71-AL71))</f>
      </c>
      <c r="AO71" s="26">
        <f>IF($B71&lt;&gt;"Challan","",IF(ROUND(AL71-AM71,2)&gt;0,"Over-applied",IF(ROUND(AL71-AM71,2)=0,"Fully Utilised","Unconsumed")))</f>
      </c>
      <c r="AP71" s="27">
        <f>IF($B71&lt;&gt;"Entry","",SUMPRODUCT(($D$8:$D$207=D71)*($B$8:$B$207="Challan")*$E$8:$E$207))</f>
      </c>
    </row>
    <row r="72" spans="1:42" x14ac:dyDescent="0.25">
      <c r="A72" s="15">
        <f>IF($B72="Entry",COUNTIF($B$8:$B72,"Entry"),"")</f>
      </c>
      <c r="B72" s="16"/>
      <c r="C72" s="17"/>
      <c r="D72" s="17"/>
      <c r="E72" s="18"/>
      <c r="F72" s="19"/>
      <c r="G72" s="20"/>
      <c r="H72" s="20"/>
      <c r="I72" s="20"/>
      <c r="J72" s="20"/>
      <c r="K72" s="20"/>
      <c r="L72" s="20"/>
      <c r="M72" s="20"/>
      <c r="N72" s="21">
        <f>IF($B72&lt;&gt;"Challan","",G72+H72+I72+J72+K72+L72)</f>
      </c>
      <c r="O72" s="19"/>
      <c r="P72" s="19"/>
      <c r="Q72" s="19"/>
      <c r="R72" s="19"/>
      <c r="S72" s="19"/>
      <c r="T72" s="22"/>
      <c r="U72" s="22"/>
      <c r="V72" s="22"/>
      <c r="W72" s="22"/>
      <c r="X72" s="22"/>
      <c r="Y72" s="23"/>
      <c r="Z72" s="24"/>
      <c r="AA72" s="25"/>
      <c r="AB72" s="21">
        <f>IF($B72&lt;&gt;"Entry","",ROUND(AA72*Y72/100,0))</f>
      </c>
      <c r="AC72" s="25"/>
      <c r="AD72" s="25"/>
      <c r="AE72" s="21">
        <f>IF($B72&lt;&gt;"Entry","",IF(OR(AB72=0,Z72="",AP72="",AP72&lt;=0),0,IF(AP72&lt;=DATE(YEAR(Z72),MONTH(Z72)+1,7),0,ROUND(AB72*0.015*((YEAR(AP72)-YEAR(Z72))*12+(MONTH(AP72)-MONTH(Z72))+1),0))))</f>
      </c>
      <c r="AF72" s="25"/>
      <c r="AG72" s="22"/>
      <c r="AH72" s="22"/>
      <c r="AI72" s="23"/>
      <c r="AJ72" s="22"/>
      <c r="AK72" s="22"/>
      <c r="AL72" s="21">
        <f>IF($B72&lt;&gt;"Challan","",SUMIF($D$8:$D$207,D72,$AB$8:$AB$207)+SUMIF($D$8:$D$207,D72,$AE$8:$AE$207)+SUMIF($D$8:$D$207,D72,$AC$8:$AC$207))</f>
      </c>
      <c r="AM72" s="21">
        <f>IF($B72&lt;&gt;"Challan","",N72-L72)</f>
      </c>
      <c r="AN72" s="21">
        <f>IF($B72&lt;&gt;"Challan","",MAX(0,AM72-AL72))</f>
      </c>
      <c r="AO72" s="26">
        <f>IF($B72&lt;&gt;"Challan","",IF(ROUND(AL72-AM72,2)&gt;0,"Over-applied",IF(ROUND(AL72-AM72,2)=0,"Fully Utilised","Unconsumed")))</f>
      </c>
      <c r="AP72" s="27">
        <f>IF($B72&lt;&gt;"Entry","",SUMPRODUCT(($D$8:$D$207=D72)*($B$8:$B$207="Challan")*$E$8:$E$207))</f>
      </c>
    </row>
    <row r="73" spans="1:42" x14ac:dyDescent="0.25">
      <c r="A73" s="15">
        <f>IF($B73="Entry",COUNTIF($B$8:$B73,"Entry"),"")</f>
      </c>
      <c r="B73" s="16"/>
      <c r="C73" s="17"/>
      <c r="D73" s="17"/>
      <c r="E73" s="18"/>
      <c r="F73" s="19"/>
      <c r="G73" s="20"/>
      <c r="H73" s="20"/>
      <c r="I73" s="20"/>
      <c r="J73" s="20"/>
      <c r="K73" s="20"/>
      <c r="L73" s="20"/>
      <c r="M73" s="20"/>
      <c r="N73" s="21">
        <f>IF($B73&lt;&gt;"Challan","",G73+H73+I73+J73+K73+L73)</f>
      </c>
      <c r="O73" s="19"/>
      <c r="P73" s="19"/>
      <c r="Q73" s="19"/>
      <c r="R73" s="19"/>
      <c r="S73" s="19"/>
      <c r="T73" s="22"/>
      <c r="U73" s="22"/>
      <c r="V73" s="22"/>
      <c r="W73" s="22"/>
      <c r="X73" s="22"/>
      <c r="Y73" s="23"/>
      <c r="Z73" s="24"/>
      <c r="AA73" s="25"/>
      <c r="AB73" s="21">
        <f>IF($B73&lt;&gt;"Entry","",ROUND(AA73*Y73/100,0))</f>
      </c>
      <c r="AC73" s="25"/>
      <c r="AD73" s="25"/>
      <c r="AE73" s="21">
        <f>IF($B73&lt;&gt;"Entry","",IF(OR(AB73=0,Z73="",AP73="",AP73&lt;=0),0,IF(AP73&lt;=DATE(YEAR(Z73),MONTH(Z73)+1,7),0,ROUND(AB73*0.015*((YEAR(AP73)-YEAR(Z73))*12+(MONTH(AP73)-MONTH(Z73))+1),0))))</f>
      </c>
      <c r="AF73" s="25"/>
      <c r="AG73" s="22"/>
      <c r="AH73" s="22"/>
      <c r="AI73" s="23"/>
      <c r="AJ73" s="22"/>
      <c r="AK73" s="22"/>
      <c r="AL73" s="21">
        <f>IF($B73&lt;&gt;"Challan","",SUMIF($D$8:$D$207,D73,$AB$8:$AB$207)+SUMIF($D$8:$D$207,D73,$AE$8:$AE$207)+SUMIF($D$8:$D$207,D73,$AC$8:$AC$207))</f>
      </c>
      <c r="AM73" s="21">
        <f>IF($B73&lt;&gt;"Challan","",N73-L73)</f>
      </c>
      <c r="AN73" s="21">
        <f>IF($B73&lt;&gt;"Challan","",MAX(0,AM73-AL73))</f>
      </c>
      <c r="AO73" s="26">
        <f>IF($B73&lt;&gt;"Challan","",IF(ROUND(AL73-AM73,2)&gt;0,"Over-applied",IF(ROUND(AL73-AM73,2)=0,"Fully Utilised","Unconsumed")))</f>
      </c>
      <c r="AP73" s="27">
        <f>IF($B73&lt;&gt;"Entry","",SUMPRODUCT(($D$8:$D$207=D73)*($B$8:$B$207="Challan")*$E$8:$E$207))</f>
      </c>
    </row>
    <row r="74" spans="1:42" x14ac:dyDescent="0.25">
      <c r="A74" s="15">
        <f>IF($B74="Entry",COUNTIF($B$8:$B74,"Entry"),"")</f>
      </c>
      <c r="B74" s="16"/>
      <c r="C74" s="17"/>
      <c r="D74" s="17"/>
      <c r="E74" s="18"/>
      <c r="F74" s="19"/>
      <c r="G74" s="20"/>
      <c r="H74" s="20"/>
      <c r="I74" s="20"/>
      <c r="J74" s="20"/>
      <c r="K74" s="20"/>
      <c r="L74" s="20"/>
      <c r="M74" s="20"/>
      <c r="N74" s="21">
        <f>IF($B74&lt;&gt;"Challan","",G74+H74+I74+J74+K74+L74)</f>
      </c>
      <c r="O74" s="19"/>
      <c r="P74" s="19"/>
      <c r="Q74" s="19"/>
      <c r="R74" s="19"/>
      <c r="S74" s="19"/>
      <c r="T74" s="22"/>
      <c r="U74" s="22"/>
      <c r="V74" s="22"/>
      <c r="W74" s="22"/>
      <c r="X74" s="22"/>
      <c r="Y74" s="23"/>
      <c r="Z74" s="24"/>
      <c r="AA74" s="25"/>
      <c r="AB74" s="21">
        <f>IF($B74&lt;&gt;"Entry","",ROUND(AA74*Y74/100,0))</f>
      </c>
      <c r="AC74" s="25"/>
      <c r="AD74" s="25"/>
      <c r="AE74" s="21">
        <f>IF($B74&lt;&gt;"Entry","",IF(OR(AB74=0,Z74="",AP74="",AP74&lt;=0),0,IF(AP74&lt;=DATE(YEAR(Z74),MONTH(Z74)+1,7),0,ROUND(AB74*0.015*((YEAR(AP74)-YEAR(Z74))*12+(MONTH(AP74)-MONTH(Z74))+1),0))))</f>
      </c>
      <c r="AF74" s="25"/>
      <c r="AG74" s="22"/>
      <c r="AH74" s="22"/>
      <c r="AI74" s="23"/>
      <c r="AJ74" s="22"/>
      <c r="AK74" s="22"/>
      <c r="AL74" s="21">
        <f>IF($B74&lt;&gt;"Challan","",SUMIF($D$8:$D$207,D74,$AB$8:$AB$207)+SUMIF($D$8:$D$207,D74,$AE$8:$AE$207)+SUMIF($D$8:$D$207,D74,$AC$8:$AC$207))</f>
      </c>
      <c r="AM74" s="21">
        <f>IF($B74&lt;&gt;"Challan","",N74-L74)</f>
      </c>
      <c r="AN74" s="21">
        <f>IF($B74&lt;&gt;"Challan","",MAX(0,AM74-AL74))</f>
      </c>
      <c r="AO74" s="26">
        <f>IF($B74&lt;&gt;"Challan","",IF(ROUND(AL74-AM74,2)&gt;0,"Over-applied",IF(ROUND(AL74-AM74,2)=0,"Fully Utilised","Unconsumed")))</f>
      </c>
      <c r="AP74" s="27">
        <f>IF($B74&lt;&gt;"Entry","",SUMPRODUCT(($D$8:$D$207=D74)*($B$8:$B$207="Challan")*$E$8:$E$207))</f>
      </c>
    </row>
    <row r="75" spans="1:42" x14ac:dyDescent="0.25">
      <c r="A75" s="15">
        <f>IF($B75="Entry",COUNTIF($B$8:$B75,"Entry"),"")</f>
      </c>
      <c r="B75" s="16"/>
      <c r="C75" s="17"/>
      <c r="D75" s="17"/>
      <c r="E75" s="18"/>
      <c r="F75" s="19"/>
      <c r="G75" s="20"/>
      <c r="H75" s="20"/>
      <c r="I75" s="20"/>
      <c r="J75" s="20"/>
      <c r="K75" s="20"/>
      <c r="L75" s="20"/>
      <c r="M75" s="20"/>
      <c r="N75" s="21">
        <f>IF($B75&lt;&gt;"Challan","",G75+H75+I75+J75+K75+L75)</f>
      </c>
      <c r="O75" s="19"/>
      <c r="P75" s="19"/>
      <c r="Q75" s="19"/>
      <c r="R75" s="19"/>
      <c r="S75" s="19"/>
      <c r="T75" s="22"/>
      <c r="U75" s="22"/>
      <c r="V75" s="22"/>
      <c r="W75" s="22"/>
      <c r="X75" s="22"/>
      <c r="Y75" s="23"/>
      <c r="Z75" s="24"/>
      <c r="AA75" s="25"/>
      <c r="AB75" s="21">
        <f>IF($B75&lt;&gt;"Entry","",ROUND(AA75*Y75/100,0))</f>
      </c>
      <c r="AC75" s="25"/>
      <c r="AD75" s="25"/>
      <c r="AE75" s="21">
        <f>IF($B75&lt;&gt;"Entry","",IF(OR(AB75=0,Z75="",AP75="",AP75&lt;=0),0,IF(AP75&lt;=DATE(YEAR(Z75),MONTH(Z75)+1,7),0,ROUND(AB75*0.015*((YEAR(AP75)-YEAR(Z75))*12+(MONTH(AP75)-MONTH(Z75))+1),0))))</f>
      </c>
      <c r="AF75" s="25"/>
      <c r="AG75" s="22"/>
      <c r="AH75" s="22"/>
      <c r="AI75" s="23"/>
      <c r="AJ75" s="22"/>
      <c r="AK75" s="22"/>
      <c r="AL75" s="21">
        <f>IF($B75&lt;&gt;"Challan","",SUMIF($D$8:$D$207,D75,$AB$8:$AB$207)+SUMIF($D$8:$D$207,D75,$AE$8:$AE$207)+SUMIF($D$8:$D$207,D75,$AC$8:$AC$207))</f>
      </c>
      <c r="AM75" s="21">
        <f>IF($B75&lt;&gt;"Challan","",N75-L75)</f>
      </c>
      <c r="AN75" s="21">
        <f>IF($B75&lt;&gt;"Challan","",MAX(0,AM75-AL75))</f>
      </c>
      <c r="AO75" s="26">
        <f>IF($B75&lt;&gt;"Challan","",IF(ROUND(AL75-AM75,2)&gt;0,"Over-applied",IF(ROUND(AL75-AM75,2)=0,"Fully Utilised","Unconsumed")))</f>
      </c>
      <c r="AP75" s="27">
        <f>IF($B75&lt;&gt;"Entry","",SUMPRODUCT(($D$8:$D$207=D75)*($B$8:$B$207="Challan")*$E$8:$E$207))</f>
      </c>
    </row>
    <row r="76" spans="1:42" x14ac:dyDescent="0.25">
      <c r="A76" s="15">
        <f>IF($B76="Entry",COUNTIF($B$8:$B76,"Entry"),"")</f>
      </c>
      <c r="B76" s="16"/>
      <c r="C76" s="17"/>
      <c r="D76" s="17"/>
      <c r="E76" s="18"/>
      <c r="F76" s="19"/>
      <c r="G76" s="20"/>
      <c r="H76" s="20"/>
      <c r="I76" s="20"/>
      <c r="J76" s="20"/>
      <c r="K76" s="20"/>
      <c r="L76" s="20"/>
      <c r="M76" s="20"/>
      <c r="N76" s="21">
        <f>IF($B76&lt;&gt;"Challan","",G76+H76+I76+J76+K76+L76)</f>
      </c>
      <c r="O76" s="19"/>
      <c r="P76" s="19"/>
      <c r="Q76" s="19"/>
      <c r="R76" s="19"/>
      <c r="S76" s="19"/>
      <c r="T76" s="22"/>
      <c r="U76" s="22"/>
      <c r="V76" s="22"/>
      <c r="W76" s="22"/>
      <c r="X76" s="22"/>
      <c r="Y76" s="23"/>
      <c r="Z76" s="24"/>
      <c r="AA76" s="25"/>
      <c r="AB76" s="21">
        <f>IF($B76&lt;&gt;"Entry","",ROUND(AA76*Y76/100,0))</f>
      </c>
      <c r="AC76" s="25"/>
      <c r="AD76" s="25"/>
      <c r="AE76" s="21">
        <f>IF($B76&lt;&gt;"Entry","",IF(OR(AB76=0,Z76="",AP76="",AP76&lt;=0),0,IF(AP76&lt;=DATE(YEAR(Z76),MONTH(Z76)+1,7),0,ROUND(AB76*0.015*((YEAR(AP76)-YEAR(Z76))*12+(MONTH(AP76)-MONTH(Z76))+1),0))))</f>
      </c>
      <c r="AF76" s="25"/>
      <c r="AG76" s="22"/>
      <c r="AH76" s="22"/>
      <c r="AI76" s="23"/>
      <c r="AJ76" s="22"/>
      <c r="AK76" s="22"/>
      <c r="AL76" s="21">
        <f>IF($B76&lt;&gt;"Challan","",SUMIF($D$8:$D$207,D76,$AB$8:$AB$207)+SUMIF($D$8:$D$207,D76,$AE$8:$AE$207)+SUMIF($D$8:$D$207,D76,$AC$8:$AC$207))</f>
      </c>
      <c r="AM76" s="21">
        <f>IF($B76&lt;&gt;"Challan","",N76-L76)</f>
      </c>
      <c r="AN76" s="21">
        <f>IF($B76&lt;&gt;"Challan","",MAX(0,AM76-AL76))</f>
      </c>
      <c r="AO76" s="26">
        <f>IF($B76&lt;&gt;"Challan","",IF(ROUND(AL76-AM76,2)&gt;0,"Over-applied",IF(ROUND(AL76-AM76,2)=0,"Fully Utilised","Unconsumed")))</f>
      </c>
      <c r="AP76" s="27">
        <f>IF($B76&lt;&gt;"Entry","",SUMPRODUCT(($D$8:$D$207=D76)*($B$8:$B$207="Challan")*$E$8:$E$207))</f>
      </c>
    </row>
    <row r="77" spans="1:42" x14ac:dyDescent="0.25">
      <c r="A77" s="15">
        <f>IF($B77="Entry",COUNTIF($B$8:$B77,"Entry"),"")</f>
      </c>
      <c r="B77" s="16"/>
      <c r="C77" s="17"/>
      <c r="D77" s="17"/>
      <c r="E77" s="18"/>
      <c r="F77" s="19"/>
      <c r="G77" s="20"/>
      <c r="H77" s="20"/>
      <c r="I77" s="20"/>
      <c r="J77" s="20"/>
      <c r="K77" s="20"/>
      <c r="L77" s="20"/>
      <c r="M77" s="20"/>
      <c r="N77" s="21">
        <f>IF($B77&lt;&gt;"Challan","",G77+H77+I77+J77+K77+L77)</f>
      </c>
      <c r="O77" s="19"/>
      <c r="P77" s="19"/>
      <c r="Q77" s="19"/>
      <c r="R77" s="19"/>
      <c r="S77" s="19"/>
      <c r="T77" s="22"/>
      <c r="U77" s="22"/>
      <c r="V77" s="22"/>
      <c r="W77" s="22"/>
      <c r="X77" s="22"/>
      <c r="Y77" s="23"/>
      <c r="Z77" s="24"/>
      <c r="AA77" s="25"/>
      <c r="AB77" s="21">
        <f>IF($B77&lt;&gt;"Entry","",ROUND(AA77*Y77/100,0))</f>
      </c>
      <c r="AC77" s="25"/>
      <c r="AD77" s="25"/>
      <c r="AE77" s="21">
        <f>IF($B77&lt;&gt;"Entry","",IF(OR(AB77=0,Z77="",AP77="",AP77&lt;=0),0,IF(AP77&lt;=DATE(YEAR(Z77),MONTH(Z77)+1,7),0,ROUND(AB77*0.015*((YEAR(AP77)-YEAR(Z77))*12+(MONTH(AP77)-MONTH(Z77))+1),0))))</f>
      </c>
      <c r="AF77" s="25"/>
      <c r="AG77" s="22"/>
      <c r="AH77" s="22"/>
      <c r="AI77" s="23"/>
      <c r="AJ77" s="22"/>
      <c r="AK77" s="22"/>
      <c r="AL77" s="21">
        <f>IF($B77&lt;&gt;"Challan","",SUMIF($D$8:$D$207,D77,$AB$8:$AB$207)+SUMIF($D$8:$D$207,D77,$AE$8:$AE$207)+SUMIF($D$8:$D$207,D77,$AC$8:$AC$207))</f>
      </c>
      <c r="AM77" s="21">
        <f>IF($B77&lt;&gt;"Challan","",N77-L77)</f>
      </c>
      <c r="AN77" s="21">
        <f>IF($B77&lt;&gt;"Challan","",MAX(0,AM77-AL77))</f>
      </c>
      <c r="AO77" s="26">
        <f>IF($B77&lt;&gt;"Challan","",IF(ROUND(AL77-AM77,2)&gt;0,"Over-applied",IF(ROUND(AL77-AM77,2)=0,"Fully Utilised","Unconsumed")))</f>
      </c>
      <c r="AP77" s="27">
        <f>IF($B77&lt;&gt;"Entry","",SUMPRODUCT(($D$8:$D$207=D77)*($B$8:$B$207="Challan")*$E$8:$E$207))</f>
      </c>
    </row>
    <row r="78" spans="1:42" x14ac:dyDescent="0.25">
      <c r="A78" s="15">
        <f>IF($B78="Entry",COUNTIF($B$8:$B78,"Entry"),"")</f>
      </c>
      <c r="B78" s="16"/>
      <c r="C78" s="17"/>
      <c r="D78" s="17"/>
      <c r="E78" s="18"/>
      <c r="F78" s="19"/>
      <c r="G78" s="20"/>
      <c r="H78" s="20"/>
      <c r="I78" s="20"/>
      <c r="J78" s="20"/>
      <c r="K78" s="20"/>
      <c r="L78" s="20"/>
      <c r="M78" s="20"/>
      <c r="N78" s="21">
        <f>IF($B78&lt;&gt;"Challan","",G78+H78+I78+J78+K78+L78)</f>
      </c>
      <c r="O78" s="19"/>
      <c r="P78" s="19"/>
      <c r="Q78" s="19"/>
      <c r="R78" s="19"/>
      <c r="S78" s="19"/>
      <c r="T78" s="22"/>
      <c r="U78" s="22"/>
      <c r="V78" s="22"/>
      <c r="W78" s="22"/>
      <c r="X78" s="22"/>
      <c r="Y78" s="23"/>
      <c r="Z78" s="24"/>
      <c r="AA78" s="25"/>
      <c r="AB78" s="21">
        <f>IF($B78&lt;&gt;"Entry","",ROUND(AA78*Y78/100,0))</f>
      </c>
      <c r="AC78" s="25"/>
      <c r="AD78" s="25"/>
      <c r="AE78" s="21">
        <f>IF($B78&lt;&gt;"Entry","",IF(OR(AB78=0,Z78="",AP78="",AP78&lt;=0),0,IF(AP78&lt;=DATE(YEAR(Z78),MONTH(Z78)+1,7),0,ROUND(AB78*0.015*((YEAR(AP78)-YEAR(Z78))*12+(MONTH(AP78)-MONTH(Z78))+1),0))))</f>
      </c>
      <c r="AF78" s="25"/>
      <c r="AG78" s="22"/>
      <c r="AH78" s="22"/>
      <c r="AI78" s="23"/>
      <c r="AJ78" s="22"/>
      <c r="AK78" s="22"/>
      <c r="AL78" s="21">
        <f>IF($B78&lt;&gt;"Challan","",SUMIF($D$8:$D$207,D78,$AB$8:$AB$207)+SUMIF($D$8:$D$207,D78,$AE$8:$AE$207)+SUMIF($D$8:$D$207,D78,$AC$8:$AC$207))</f>
      </c>
      <c r="AM78" s="21">
        <f>IF($B78&lt;&gt;"Challan","",N78-L78)</f>
      </c>
      <c r="AN78" s="21">
        <f>IF($B78&lt;&gt;"Challan","",MAX(0,AM78-AL78))</f>
      </c>
      <c r="AO78" s="26">
        <f>IF($B78&lt;&gt;"Challan","",IF(ROUND(AL78-AM78,2)&gt;0,"Over-applied",IF(ROUND(AL78-AM78,2)=0,"Fully Utilised","Unconsumed")))</f>
      </c>
      <c r="AP78" s="27">
        <f>IF($B78&lt;&gt;"Entry","",SUMPRODUCT(($D$8:$D$207=D78)*($B$8:$B$207="Challan")*$E$8:$E$207))</f>
      </c>
    </row>
    <row r="79" spans="1:42" x14ac:dyDescent="0.25">
      <c r="A79" s="15">
        <f>IF($B79="Entry",COUNTIF($B$8:$B79,"Entry"),"")</f>
      </c>
      <c r="B79" s="16"/>
      <c r="C79" s="17"/>
      <c r="D79" s="17"/>
      <c r="E79" s="18"/>
      <c r="F79" s="19"/>
      <c r="G79" s="20"/>
      <c r="H79" s="20"/>
      <c r="I79" s="20"/>
      <c r="J79" s="20"/>
      <c r="K79" s="20"/>
      <c r="L79" s="20"/>
      <c r="M79" s="20"/>
      <c r="N79" s="21">
        <f>IF($B79&lt;&gt;"Challan","",G79+H79+I79+J79+K79+L79)</f>
      </c>
      <c r="O79" s="19"/>
      <c r="P79" s="19"/>
      <c r="Q79" s="19"/>
      <c r="R79" s="19"/>
      <c r="S79" s="19"/>
      <c r="T79" s="22"/>
      <c r="U79" s="22"/>
      <c r="V79" s="22"/>
      <c r="W79" s="22"/>
      <c r="X79" s="22"/>
      <c r="Y79" s="23"/>
      <c r="Z79" s="24"/>
      <c r="AA79" s="25"/>
      <c r="AB79" s="21">
        <f>IF($B79&lt;&gt;"Entry","",ROUND(AA79*Y79/100,0))</f>
      </c>
      <c r="AC79" s="25"/>
      <c r="AD79" s="25"/>
      <c r="AE79" s="21">
        <f>IF($B79&lt;&gt;"Entry","",IF(OR(AB79=0,Z79="",AP79="",AP79&lt;=0),0,IF(AP79&lt;=DATE(YEAR(Z79),MONTH(Z79)+1,7),0,ROUND(AB79*0.015*((YEAR(AP79)-YEAR(Z79))*12+(MONTH(AP79)-MONTH(Z79))+1),0))))</f>
      </c>
      <c r="AF79" s="25"/>
      <c r="AG79" s="22"/>
      <c r="AH79" s="22"/>
      <c r="AI79" s="23"/>
      <c r="AJ79" s="22"/>
      <c r="AK79" s="22"/>
      <c r="AL79" s="21">
        <f>IF($B79&lt;&gt;"Challan","",SUMIF($D$8:$D$207,D79,$AB$8:$AB$207)+SUMIF($D$8:$D$207,D79,$AE$8:$AE$207)+SUMIF($D$8:$D$207,D79,$AC$8:$AC$207))</f>
      </c>
      <c r="AM79" s="21">
        <f>IF($B79&lt;&gt;"Challan","",N79-L79)</f>
      </c>
      <c r="AN79" s="21">
        <f>IF($B79&lt;&gt;"Challan","",MAX(0,AM79-AL79))</f>
      </c>
      <c r="AO79" s="26">
        <f>IF($B79&lt;&gt;"Challan","",IF(ROUND(AL79-AM79,2)&gt;0,"Over-applied",IF(ROUND(AL79-AM79,2)=0,"Fully Utilised","Unconsumed")))</f>
      </c>
      <c r="AP79" s="27">
        <f>IF($B79&lt;&gt;"Entry","",SUMPRODUCT(($D$8:$D$207=D79)*($B$8:$B$207="Challan")*$E$8:$E$207))</f>
      </c>
    </row>
    <row r="80" spans="1:42" x14ac:dyDescent="0.25">
      <c r="A80" s="15">
        <f>IF($B80="Entry",COUNTIF($B$8:$B80,"Entry"),"")</f>
      </c>
      <c r="B80" s="16"/>
      <c r="C80" s="17"/>
      <c r="D80" s="17"/>
      <c r="E80" s="18"/>
      <c r="F80" s="19"/>
      <c r="G80" s="20"/>
      <c r="H80" s="20"/>
      <c r="I80" s="20"/>
      <c r="J80" s="20"/>
      <c r="K80" s="20"/>
      <c r="L80" s="20"/>
      <c r="M80" s="20"/>
      <c r="N80" s="21">
        <f>IF($B80&lt;&gt;"Challan","",G80+H80+I80+J80+K80+L80)</f>
      </c>
      <c r="O80" s="19"/>
      <c r="P80" s="19"/>
      <c r="Q80" s="19"/>
      <c r="R80" s="19"/>
      <c r="S80" s="19"/>
      <c r="T80" s="22"/>
      <c r="U80" s="22"/>
      <c r="V80" s="22"/>
      <c r="W80" s="22"/>
      <c r="X80" s="22"/>
      <c r="Y80" s="23"/>
      <c r="Z80" s="24"/>
      <c r="AA80" s="25"/>
      <c r="AB80" s="21">
        <f>IF($B80&lt;&gt;"Entry","",ROUND(AA80*Y80/100,0))</f>
      </c>
      <c r="AC80" s="25"/>
      <c r="AD80" s="25"/>
      <c r="AE80" s="21">
        <f>IF($B80&lt;&gt;"Entry","",IF(OR(AB80=0,Z80="",AP80="",AP80&lt;=0),0,IF(AP80&lt;=DATE(YEAR(Z80),MONTH(Z80)+1,7),0,ROUND(AB80*0.015*((YEAR(AP80)-YEAR(Z80))*12+(MONTH(AP80)-MONTH(Z80))+1),0))))</f>
      </c>
      <c r="AF80" s="25"/>
      <c r="AG80" s="22"/>
      <c r="AH80" s="22"/>
      <c r="AI80" s="23"/>
      <c r="AJ80" s="22"/>
      <c r="AK80" s="22"/>
      <c r="AL80" s="21">
        <f>IF($B80&lt;&gt;"Challan","",SUMIF($D$8:$D$207,D80,$AB$8:$AB$207)+SUMIF($D$8:$D$207,D80,$AE$8:$AE$207)+SUMIF($D$8:$D$207,D80,$AC$8:$AC$207))</f>
      </c>
      <c r="AM80" s="21">
        <f>IF($B80&lt;&gt;"Challan","",N80-L80)</f>
      </c>
      <c r="AN80" s="21">
        <f>IF($B80&lt;&gt;"Challan","",MAX(0,AM80-AL80))</f>
      </c>
      <c r="AO80" s="26">
        <f>IF($B80&lt;&gt;"Challan","",IF(ROUND(AL80-AM80,2)&gt;0,"Over-applied",IF(ROUND(AL80-AM80,2)=0,"Fully Utilised","Unconsumed")))</f>
      </c>
      <c r="AP80" s="27">
        <f>IF($B80&lt;&gt;"Entry","",SUMPRODUCT(($D$8:$D$207=D80)*($B$8:$B$207="Challan")*$E$8:$E$207))</f>
      </c>
    </row>
    <row r="81" spans="1:42" x14ac:dyDescent="0.25">
      <c r="A81" s="15">
        <f>IF($B81="Entry",COUNTIF($B$8:$B81,"Entry"),"")</f>
      </c>
      <c r="B81" s="16"/>
      <c r="C81" s="17"/>
      <c r="D81" s="17"/>
      <c r="E81" s="18"/>
      <c r="F81" s="19"/>
      <c r="G81" s="20"/>
      <c r="H81" s="20"/>
      <c r="I81" s="20"/>
      <c r="J81" s="20"/>
      <c r="K81" s="20"/>
      <c r="L81" s="20"/>
      <c r="M81" s="20"/>
      <c r="N81" s="21">
        <f>IF($B81&lt;&gt;"Challan","",G81+H81+I81+J81+K81+L81)</f>
      </c>
      <c r="O81" s="19"/>
      <c r="P81" s="19"/>
      <c r="Q81" s="19"/>
      <c r="R81" s="19"/>
      <c r="S81" s="19"/>
      <c r="T81" s="22"/>
      <c r="U81" s="22"/>
      <c r="V81" s="22"/>
      <c r="W81" s="22"/>
      <c r="X81" s="22"/>
      <c r="Y81" s="23"/>
      <c r="Z81" s="24"/>
      <c r="AA81" s="25"/>
      <c r="AB81" s="21">
        <f>IF($B81&lt;&gt;"Entry","",ROUND(AA81*Y81/100,0))</f>
      </c>
      <c r="AC81" s="25"/>
      <c r="AD81" s="25"/>
      <c r="AE81" s="21">
        <f>IF($B81&lt;&gt;"Entry","",IF(OR(AB81=0,Z81="",AP81="",AP81&lt;=0),0,IF(AP81&lt;=DATE(YEAR(Z81),MONTH(Z81)+1,7),0,ROUND(AB81*0.015*((YEAR(AP81)-YEAR(Z81))*12+(MONTH(AP81)-MONTH(Z81))+1),0))))</f>
      </c>
      <c r="AF81" s="25"/>
      <c r="AG81" s="22"/>
      <c r="AH81" s="22"/>
      <c r="AI81" s="23"/>
      <c r="AJ81" s="22"/>
      <c r="AK81" s="22"/>
      <c r="AL81" s="21">
        <f>IF($B81&lt;&gt;"Challan","",SUMIF($D$8:$D$207,D81,$AB$8:$AB$207)+SUMIF($D$8:$D$207,D81,$AE$8:$AE$207)+SUMIF($D$8:$D$207,D81,$AC$8:$AC$207))</f>
      </c>
      <c r="AM81" s="21">
        <f>IF($B81&lt;&gt;"Challan","",N81-L81)</f>
      </c>
      <c r="AN81" s="21">
        <f>IF($B81&lt;&gt;"Challan","",MAX(0,AM81-AL81))</f>
      </c>
      <c r="AO81" s="26">
        <f>IF($B81&lt;&gt;"Challan","",IF(ROUND(AL81-AM81,2)&gt;0,"Over-applied",IF(ROUND(AL81-AM81,2)=0,"Fully Utilised","Unconsumed")))</f>
      </c>
      <c r="AP81" s="27">
        <f>IF($B81&lt;&gt;"Entry","",SUMPRODUCT(($D$8:$D$207=D81)*($B$8:$B$207="Challan")*$E$8:$E$207))</f>
      </c>
    </row>
    <row r="82" spans="1:42" x14ac:dyDescent="0.25">
      <c r="A82" s="15">
        <f>IF($B82="Entry",COUNTIF($B$8:$B82,"Entry"),"")</f>
      </c>
      <c r="B82" s="16"/>
      <c r="C82" s="17"/>
      <c r="D82" s="17"/>
      <c r="E82" s="18"/>
      <c r="F82" s="19"/>
      <c r="G82" s="20"/>
      <c r="H82" s="20"/>
      <c r="I82" s="20"/>
      <c r="J82" s="20"/>
      <c r="K82" s="20"/>
      <c r="L82" s="20"/>
      <c r="M82" s="20"/>
      <c r="N82" s="21">
        <f>IF($B82&lt;&gt;"Challan","",G82+H82+I82+J82+K82+L82)</f>
      </c>
      <c r="O82" s="19"/>
      <c r="P82" s="19"/>
      <c r="Q82" s="19"/>
      <c r="R82" s="19"/>
      <c r="S82" s="19"/>
      <c r="T82" s="22"/>
      <c r="U82" s="22"/>
      <c r="V82" s="22"/>
      <c r="W82" s="22"/>
      <c r="X82" s="22"/>
      <c r="Y82" s="23"/>
      <c r="Z82" s="24"/>
      <c r="AA82" s="25"/>
      <c r="AB82" s="21">
        <f>IF($B82&lt;&gt;"Entry","",ROUND(AA82*Y82/100,0))</f>
      </c>
      <c r="AC82" s="25"/>
      <c r="AD82" s="25"/>
      <c r="AE82" s="21">
        <f>IF($B82&lt;&gt;"Entry","",IF(OR(AB82=0,Z82="",AP82="",AP82&lt;=0),0,IF(AP82&lt;=DATE(YEAR(Z82),MONTH(Z82)+1,7),0,ROUND(AB82*0.015*((YEAR(AP82)-YEAR(Z82))*12+(MONTH(AP82)-MONTH(Z82))+1),0))))</f>
      </c>
      <c r="AF82" s="25"/>
      <c r="AG82" s="22"/>
      <c r="AH82" s="22"/>
      <c r="AI82" s="23"/>
      <c r="AJ82" s="22"/>
      <c r="AK82" s="22"/>
      <c r="AL82" s="21">
        <f>IF($B82&lt;&gt;"Challan","",SUMIF($D$8:$D$207,D82,$AB$8:$AB$207)+SUMIF($D$8:$D$207,D82,$AE$8:$AE$207)+SUMIF($D$8:$D$207,D82,$AC$8:$AC$207))</f>
      </c>
      <c r="AM82" s="21">
        <f>IF($B82&lt;&gt;"Challan","",N82-L82)</f>
      </c>
      <c r="AN82" s="21">
        <f>IF($B82&lt;&gt;"Challan","",MAX(0,AM82-AL82))</f>
      </c>
      <c r="AO82" s="26">
        <f>IF($B82&lt;&gt;"Challan","",IF(ROUND(AL82-AM82,2)&gt;0,"Over-applied",IF(ROUND(AL82-AM82,2)=0,"Fully Utilised","Unconsumed")))</f>
      </c>
      <c r="AP82" s="27">
        <f>IF($B82&lt;&gt;"Entry","",SUMPRODUCT(($D$8:$D$207=D82)*($B$8:$B$207="Challan")*$E$8:$E$207))</f>
      </c>
    </row>
    <row r="83" spans="1:42" x14ac:dyDescent="0.25">
      <c r="A83" s="15">
        <f>IF($B83="Entry",COUNTIF($B$8:$B83,"Entry"),"")</f>
      </c>
      <c r="B83" s="16"/>
      <c r="C83" s="17"/>
      <c r="D83" s="17"/>
      <c r="E83" s="18"/>
      <c r="F83" s="19"/>
      <c r="G83" s="20"/>
      <c r="H83" s="20"/>
      <c r="I83" s="20"/>
      <c r="J83" s="20"/>
      <c r="K83" s="20"/>
      <c r="L83" s="20"/>
      <c r="M83" s="20"/>
      <c r="N83" s="21">
        <f>IF($B83&lt;&gt;"Challan","",G83+H83+I83+J83+K83+L83)</f>
      </c>
      <c r="O83" s="19"/>
      <c r="P83" s="19"/>
      <c r="Q83" s="19"/>
      <c r="R83" s="19"/>
      <c r="S83" s="19"/>
      <c r="T83" s="22"/>
      <c r="U83" s="22"/>
      <c r="V83" s="22"/>
      <c r="W83" s="22"/>
      <c r="X83" s="22"/>
      <c r="Y83" s="23"/>
      <c r="Z83" s="24"/>
      <c r="AA83" s="25"/>
      <c r="AB83" s="21">
        <f>IF($B83&lt;&gt;"Entry","",ROUND(AA83*Y83/100,0))</f>
      </c>
      <c r="AC83" s="25"/>
      <c r="AD83" s="25"/>
      <c r="AE83" s="21">
        <f>IF($B83&lt;&gt;"Entry","",IF(OR(AB83=0,Z83="",AP83="",AP83&lt;=0),0,IF(AP83&lt;=DATE(YEAR(Z83),MONTH(Z83)+1,7),0,ROUND(AB83*0.015*((YEAR(AP83)-YEAR(Z83))*12+(MONTH(AP83)-MONTH(Z83))+1),0))))</f>
      </c>
      <c r="AF83" s="25"/>
      <c r="AG83" s="22"/>
      <c r="AH83" s="22"/>
      <c r="AI83" s="23"/>
      <c r="AJ83" s="22"/>
      <c r="AK83" s="22"/>
      <c r="AL83" s="21">
        <f>IF($B83&lt;&gt;"Challan","",SUMIF($D$8:$D$207,D83,$AB$8:$AB$207)+SUMIF($D$8:$D$207,D83,$AE$8:$AE$207)+SUMIF($D$8:$D$207,D83,$AC$8:$AC$207))</f>
      </c>
      <c r="AM83" s="21">
        <f>IF($B83&lt;&gt;"Challan","",N83-L83)</f>
      </c>
      <c r="AN83" s="21">
        <f>IF($B83&lt;&gt;"Challan","",MAX(0,AM83-AL83))</f>
      </c>
      <c r="AO83" s="26">
        <f>IF($B83&lt;&gt;"Challan","",IF(ROUND(AL83-AM83,2)&gt;0,"Over-applied",IF(ROUND(AL83-AM83,2)=0,"Fully Utilised","Unconsumed")))</f>
      </c>
      <c r="AP83" s="27">
        <f>IF($B83&lt;&gt;"Entry","",SUMPRODUCT(($D$8:$D$207=D83)*($B$8:$B$207="Challan")*$E$8:$E$207))</f>
      </c>
    </row>
    <row r="84" spans="1:42" x14ac:dyDescent="0.25">
      <c r="A84" s="15">
        <f>IF($B84="Entry",COUNTIF($B$8:$B84,"Entry"),"")</f>
      </c>
      <c r="B84" s="16"/>
      <c r="C84" s="17"/>
      <c r="D84" s="17"/>
      <c r="E84" s="18"/>
      <c r="F84" s="19"/>
      <c r="G84" s="20"/>
      <c r="H84" s="20"/>
      <c r="I84" s="20"/>
      <c r="J84" s="20"/>
      <c r="K84" s="20"/>
      <c r="L84" s="20"/>
      <c r="M84" s="20"/>
      <c r="N84" s="21">
        <f>IF($B84&lt;&gt;"Challan","",G84+H84+I84+J84+K84+L84)</f>
      </c>
      <c r="O84" s="19"/>
      <c r="P84" s="19"/>
      <c r="Q84" s="19"/>
      <c r="R84" s="19"/>
      <c r="S84" s="19"/>
      <c r="T84" s="22"/>
      <c r="U84" s="22"/>
      <c r="V84" s="22"/>
      <c r="W84" s="22"/>
      <c r="X84" s="22"/>
      <c r="Y84" s="23"/>
      <c r="Z84" s="24"/>
      <c r="AA84" s="25"/>
      <c r="AB84" s="21">
        <f>IF($B84&lt;&gt;"Entry","",ROUND(AA84*Y84/100,0))</f>
      </c>
      <c r="AC84" s="25"/>
      <c r="AD84" s="25"/>
      <c r="AE84" s="21">
        <f>IF($B84&lt;&gt;"Entry","",IF(OR(AB84=0,Z84="",AP84="",AP84&lt;=0),0,IF(AP84&lt;=DATE(YEAR(Z84),MONTH(Z84)+1,7),0,ROUND(AB84*0.015*((YEAR(AP84)-YEAR(Z84))*12+(MONTH(AP84)-MONTH(Z84))+1),0))))</f>
      </c>
      <c r="AF84" s="25"/>
      <c r="AG84" s="22"/>
      <c r="AH84" s="22"/>
      <c r="AI84" s="23"/>
      <c r="AJ84" s="22"/>
      <c r="AK84" s="22"/>
      <c r="AL84" s="21">
        <f>IF($B84&lt;&gt;"Challan","",SUMIF($D$8:$D$207,D84,$AB$8:$AB$207)+SUMIF($D$8:$D$207,D84,$AE$8:$AE$207)+SUMIF($D$8:$D$207,D84,$AC$8:$AC$207))</f>
      </c>
      <c r="AM84" s="21">
        <f>IF($B84&lt;&gt;"Challan","",N84-L84)</f>
      </c>
      <c r="AN84" s="21">
        <f>IF($B84&lt;&gt;"Challan","",MAX(0,AM84-AL84))</f>
      </c>
      <c r="AO84" s="26">
        <f>IF($B84&lt;&gt;"Challan","",IF(ROUND(AL84-AM84,2)&gt;0,"Over-applied",IF(ROUND(AL84-AM84,2)=0,"Fully Utilised","Unconsumed")))</f>
      </c>
      <c r="AP84" s="27">
        <f>IF($B84&lt;&gt;"Entry","",SUMPRODUCT(($D$8:$D$207=D84)*($B$8:$B$207="Challan")*$E$8:$E$207))</f>
      </c>
    </row>
    <row r="85" spans="1:42" x14ac:dyDescent="0.25">
      <c r="A85" s="15">
        <f>IF($B85="Entry",COUNTIF($B$8:$B85,"Entry"),"")</f>
      </c>
      <c r="B85" s="16"/>
      <c r="C85" s="17"/>
      <c r="D85" s="17"/>
      <c r="E85" s="18"/>
      <c r="F85" s="19"/>
      <c r="G85" s="20"/>
      <c r="H85" s="20"/>
      <c r="I85" s="20"/>
      <c r="J85" s="20"/>
      <c r="K85" s="20"/>
      <c r="L85" s="20"/>
      <c r="M85" s="20"/>
      <c r="N85" s="21">
        <f>IF($B85&lt;&gt;"Challan","",G85+H85+I85+J85+K85+L85)</f>
      </c>
      <c r="O85" s="19"/>
      <c r="P85" s="19"/>
      <c r="Q85" s="19"/>
      <c r="R85" s="19"/>
      <c r="S85" s="19"/>
      <c r="T85" s="22"/>
      <c r="U85" s="22"/>
      <c r="V85" s="22"/>
      <c r="W85" s="22"/>
      <c r="X85" s="22"/>
      <c r="Y85" s="23"/>
      <c r="Z85" s="24"/>
      <c r="AA85" s="25"/>
      <c r="AB85" s="21">
        <f>IF($B85&lt;&gt;"Entry","",ROUND(AA85*Y85/100,0))</f>
      </c>
      <c r="AC85" s="25"/>
      <c r="AD85" s="25"/>
      <c r="AE85" s="21">
        <f>IF($B85&lt;&gt;"Entry","",IF(OR(AB85=0,Z85="",AP85="",AP85&lt;=0),0,IF(AP85&lt;=DATE(YEAR(Z85),MONTH(Z85)+1,7),0,ROUND(AB85*0.015*((YEAR(AP85)-YEAR(Z85))*12+(MONTH(AP85)-MONTH(Z85))+1),0))))</f>
      </c>
      <c r="AF85" s="25"/>
      <c r="AG85" s="22"/>
      <c r="AH85" s="22"/>
      <c r="AI85" s="23"/>
      <c r="AJ85" s="22"/>
      <c r="AK85" s="22"/>
      <c r="AL85" s="21">
        <f>IF($B85&lt;&gt;"Challan","",SUMIF($D$8:$D$207,D85,$AB$8:$AB$207)+SUMIF($D$8:$D$207,D85,$AE$8:$AE$207)+SUMIF($D$8:$D$207,D85,$AC$8:$AC$207))</f>
      </c>
      <c r="AM85" s="21">
        <f>IF($B85&lt;&gt;"Challan","",N85-L85)</f>
      </c>
      <c r="AN85" s="21">
        <f>IF($B85&lt;&gt;"Challan","",MAX(0,AM85-AL85))</f>
      </c>
      <c r="AO85" s="26">
        <f>IF($B85&lt;&gt;"Challan","",IF(ROUND(AL85-AM85,2)&gt;0,"Over-applied",IF(ROUND(AL85-AM85,2)=0,"Fully Utilised","Unconsumed")))</f>
      </c>
      <c r="AP85" s="27">
        <f>IF($B85&lt;&gt;"Entry","",SUMPRODUCT(($D$8:$D$207=D85)*($B$8:$B$207="Challan")*$E$8:$E$207))</f>
      </c>
    </row>
    <row r="86" spans="1:42" x14ac:dyDescent="0.25">
      <c r="A86" s="15">
        <f>IF($B86="Entry",COUNTIF($B$8:$B86,"Entry"),"")</f>
      </c>
      <c r="B86" s="16"/>
      <c r="C86" s="17"/>
      <c r="D86" s="17"/>
      <c r="E86" s="18"/>
      <c r="F86" s="19"/>
      <c r="G86" s="20"/>
      <c r="H86" s="20"/>
      <c r="I86" s="20"/>
      <c r="J86" s="20"/>
      <c r="K86" s="20"/>
      <c r="L86" s="20"/>
      <c r="M86" s="20"/>
      <c r="N86" s="21">
        <f>IF($B86&lt;&gt;"Challan","",G86+H86+I86+J86+K86+L86)</f>
      </c>
      <c r="O86" s="19"/>
      <c r="P86" s="19"/>
      <c r="Q86" s="19"/>
      <c r="R86" s="19"/>
      <c r="S86" s="19"/>
      <c r="T86" s="22"/>
      <c r="U86" s="22"/>
      <c r="V86" s="22"/>
      <c r="W86" s="22"/>
      <c r="X86" s="22"/>
      <c r="Y86" s="23"/>
      <c r="Z86" s="24"/>
      <c r="AA86" s="25"/>
      <c r="AB86" s="21">
        <f>IF($B86&lt;&gt;"Entry","",ROUND(AA86*Y86/100,0))</f>
      </c>
      <c r="AC86" s="25"/>
      <c r="AD86" s="25"/>
      <c r="AE86" s="21">
        <f>IF($B86&lt;&gt;"Entry","",IF(OR(AB86=0,Z86="",AP86="",AP86&lt;=0),0,IF(AP86&lt;=DATE(YEAR(Z86),MONTH(Z86)+1,7),0,ROUND(AB86*0.015*((YEAR(AP86)-YEAR(Z86))*12+(MONTH(AP86)-MONTH(Z86))+1),0))))</f>
      </c>
      <c r="AF86" s="25"/>
      <c r="AG86" s="22"/>
      <c r="AH86" s="22"/>
      <c r="AI86" s="23"/>
      <c r="AJ86" s="22"/>
      <c r="AK86" s="22"/>
      <c r="AL86" s="21">
        <f>IF($B86&lt;&gt;"Challan","",SUMIF($D$8:$D$207,D86,$AB$8:$AB$207)+SUMIF($D$8:$D$207,D86,$AE$8:$AE$207)+SUMIF($D$8:$D$207,D86,$AC$8:$AC$207))</f>
      </c>
      <c r="AM86" s="21">
        <f>IF($B86&lt;&gt;"Challan","",N86-L86)</f>
      </c>
      <c r="AN86" s="21">
        <f>IF($B86&lt;&gt;"Challan","",MAX(0,AM86-AL86))</f>
      </c>
      <c r="AO86" s="26">
        <f>IF($B86&lt;&gt;"Challan","",IF(ROUND(AL86-AM86,2)&gt;0,"Over-applied",IF(ROUND(AL86-AM86,2)=0,"Fully Utilised","Unconsumed")))</f>
      </c>
      <c r="AP86" s="27">
        <f>IF($B86&lt;&gt;"Entry","",SUMPRODUCT(($D$8:$D$207=D86)*($B$8:$B$207="Challan")*$E$8:$E$207))</f>
      </c>
    </row>
    <row r="87" spans="1:42" x14ac:dyDescent="0.25">
      <c r="A87" s="15">
        <f>IF($B87="Entry",COUNTIF($B$8:$B87,"Entry"),"")</f>
      </c>
      <c r="B87" s="16"/>
      <c r="C87" s="17"/>
      <c r="D87" s="17"/>
      <c r="E87" s="18"/>
      <c r="F87" s="19"/>
      <c r="G87" s="20"/>
      <c r="H87" s="20"/>
      <c r="I87" s="20"/>
      <c r="J87" s="20"/>
      <c r="K87" s="20"/>
      <c r="L87" s="20"/>
      <c r="M87" s="20"/>
      <c r="N87" s="21">
        <f>IF($B87&lt;&gt;"Challan","",G87+H87+I87+J87+K87+L87)</f>
      </c>
      <c r="O87" s="19"/>
      <c r="P87" s="19"/>
      <c r="Q87" s="19"/>
      <c r="R87" s="19"/>
      <c r="S87" s="19"/>
      <c r="T87" s="22"/>
      <c r="U87" s="22"/>
      <c r="V87" s="22"/>
      <c r="W87" s="22"/>
      <c r="X87" s="22"/>
      <c r="Y87" s="23"/>
      <c r="Z87" s="24"/>
      <c r="AA87" s="25"/>
      <c r="AB87" s="21">
        <f>IF($B87&lt;&gt;"Entry","",ROUND(AA87*Y87/100,0))</f>
      </c>
      <c r="AC87" s="25"/>
      <c r="AD87" s="25"/>
      <c r="AE87" s="21">
        <f>IF($B87&lt;&gt;"Entry","",IF(OR(AB87=0,Z87="",AP87="",AP87&lt;=0),0,IF(AP87&lt;=DATE(YEAR(Z87),MONTH(Z87)+1,7),0,ROUND(AB87*0.015*((YEAR(AP87)-YEAR(Z87))*12+(MONTH(AP87)-MONTH(Z87))+1),0))))</f>
      </c>
      <c r="AF87" s="25"/>
      <c r="AG87" s="22"/>
      <c r="AH87" s="22"/>
      <c r="AI87" s="23"/>
      <c r="AJ87" s="22"/>
      <c r="AK87" s="22"/>
      <c r="AL87" s="21">
        <f>IF($B87&lt;&gt;"Challan","",SUMIF($D$8:$D$207,D87,$AB$8:$AB$207)+SUMIF($D$8:$D$207,D87,$AE$8:$AE$207)+SUMIF($D$8:$D$207,D87,$AC$8:$AC$207))</f>
      </c>
      <c r="AM87" s="21">
        <f>IF($B87&lt;&gt;"Challan","",N87-L87)</f>
      </c>
      <c r="AN87" s="21">
        <f>IF($B87&lt;&gt;"Challan","",MAX(0,AM87-AL87))</f>
      </c>
      <c r="AO87" s="26">
        <f>IF($B87&lt;&gt;"Challan","",IF(ROUND(AL87-AM87,2)&gt;0,"Over-applied",IF(ROUND(AL87-AM87,2)=0,"Fully Utilised","Unconsumed")))</f>
      </c>
      <c r="AP87" s="27">
        <f>IF($B87&lt;&gt;"Entry","",SUMPRODUCT(($D$8:$D$207=D87)*($B$8:$B$207="Challan")*$E$8:$E$207))</f>
      </c>
    </row>
    <row r="88" spans="1:42" x14ac:dyDescent="0.25">
      <c r="A88" s="15">
        <f>IF($B88="Entry",COUNTIF($B$8:$B88,"Entry"),"")</f>
      </c>
      <c r="B88" s="16"/>
      <c r="C88" s="17"/>
      <c r="D88" s="17"/>
      <c r="E88" s="18"/>
      <c r="F88" s="19"/>
      <c r="G88" s="20"/>
      <c r="H88" s="20"/>
      <c r="I88" s="20"/>
      <c r="J88" s="20"/>
      <c r="K88" s="20"/>
      <c r="L88" s="20"/>
      <c r="M88" s="20"/>
      <c r="N88" s="21">
        <f>IF($B88&lt;&gt;"Challan","",G88+H88+I88+J88+K88+L88)</f>
      </c>
      <c r="O88" s="19"/>
      <c r="P88" s="19"/>
      <c r="Q88" s="19"/>
      <c r="R88" s="19"/>
      <c r="S88" s="19"/>
      <c r="T88" s="22"/>
      <c r="U88" s="22"/>
      <c r="V88" s="22"/>
      <c r="W88" s="22"/>
      <c r="X88" s="22"/>
      <c r="Y88" s="23"/>
      <c r="Z88" s="24"/>
      <c r="AA88" s="25"/>
      <c r="AB88" s="21">
        <f>IF($B88&lt;&gt;"Entry","",ROUND(AA88*Y88/100,0))</f>
      </c>
      <c r="AC88" s="25"/>
      <c r="AD88" s="25"/>
      <c r="AE88" s="21">
        <f>IF($B88&lt;&gt;"Entry","",IF(OR(AB88=0,Z88="",AP88="",AP88&lt;=0),0,IF(AP88&lt;=DATE(YEAR(Z88),MONTH(Z88)+1,7),0,ROUND(AB88*0.015*((YEAR(AP88)-YEAR(Z88))*12+(MONTH(AP88)-MONTH(Z88))+1),0))))</f>
      </c>
      <c r="AF88" s="25"/>
      <c r="AG88" s="22"/>
      <c r="AH88" s="22"/>
      <c r="AI88" s="23"/>
      <c r="AJ88" s="22"/>
      <c r="AK88" s="22"/>
      <c r="AL88" s="21">
        <f>IF($B88&lt;&gt;"Challan","",SUMIF($D$8:$D$207,D88,$AB$8:$AB$207)+SUMIF($D$8:$D$207,D88,$AE$8:$AE$207)+SUMIF($D$8:$D$207,D88,$AC$8:$AC$207))</f>
      </c>
      <c r="AM88" s="21">
        <f>IF($B88&lt;&gt;"Challan","",N88-L88)</f>
      </c>
      <c r="AN88" s="21">
        <f>IF($B88&lt;&gt;"Challan","",MAX(0,AM88-AL88))</f>
      </c>
      <c r="AO88" s="26">
        <f>IF($B88&lt;&gt;"Challan","",IF(ROUND(AL88-AM88,2)&gt;0,"Over-applied",IF(ROUND(AL88-AM88,2)=0,"Fully Utilised","Unconsumed")))</f>
      </c>
      <c r="AP88" s="27">
        <f>IF($B88&lt;&gt;"Entry","",SUMPRODUCT(($D$8:$D$207=D88)*($B$8:$B$207="Challan")*$E$8:$E$207))</f>
      </c>
    </row>
    <row r="89" spans="1:42" x14ac:dyDescent="0.25">
      <c r="A89" s="15">
        <f>IF($B89="Entry",COUNTIF($B$8:$B89,"Entry"),"")</f>
      </c>
      <c r="B89" s="16"/>
      <c r="C89" s="17"/>
      <c r="D89" s="17"/>
      <c r="E89" s="18"/>
      <c r="F89" s="19"/>
      <c r="G89" s="20"/>
      <c r="H89" s="20"/>
      <c r="I89" s="20"/>
      <c r="J89" s="20"/>
      <c r="K89" s="20"/>
      <c r="L89" s="20"/>
      <c r="M89" s="20"/>
      <c r="N89" s="21">
        <f>IF($B89&lt;&gt;"Challan","",G89+H89+I89+J89+K89+L89)</f>
      </c>
      <c r="O89" s="19"/>
      <c r="P89" s="19"/>
      <c r="Q89" s="19"/>
      <c r="R89" s="19"/>
      <c r="S89" s="19"/>
      <c r="T89" s="22"/>
      <c r="U89" s="22"/>
      <c r="V89" s="22"/>
      <c r="W89" s="22"/>
      <c r="X89" s="22"/>
      <c r="Y89" s="23"/>
      <c r="Z89" s="24"/>
      <c r="AA89" s="25"/>
      <c r="AB89" s="21">
        <f>IF($B89&lt;&gt;"Entry","",ROUND(AA89*Y89/100,0))</f>
      </c>
      <c r="AC89" s="25"/>
      <c r="AD89" s="25"/>
      <c r="AE89" s="21">
        <f>IF($B89&lt;&gt;"Entry","",IF(OR(AB89=0,Z89="",AP89="",AP89&lt;=0),0,IF(AP89&lt;=DATE(YEAR(Z89),MONTH(Z89)+1,7),0,ROUND(AB89*0.015*((YEAR(AP89)-YEAR(Z89))*12+(MONTH(AP89)-MONTH(Z89))+1),0))))</f>
      </c>
      <c r="AF89" s="25"/>
      <c r="AG89" s="22"/>
      <c r="AH89" s="22"/>
      <c r="AI89" s="23"/>
      <c r="AJ89" s="22"/>
      <c r="AK89" s="22"/>
      <c r="AL89" s="21">
        <f>IF($B89&lt;&gt;"Challan","",SUMIF($D$8:$D$207,D89,$AB$8:$AB$207)+SUMIF($D$8:$D$207,D89,$AE$8:$AE$207)+SUMIF($D$8:$D$207,D89,$AC$8:$AC$207))</f>
      </c>
      <c r="AM89" s="21">
        <f>IF($B89&lt;&gt;"Challan","",N89-L89)</f>
      </c>
      <c r="AN89" s="21">
        <f>IF($B89&lt;&gt;"Challan","",MAX(0,AM89-AL89))</f>
      </c>
      <c r="AO89" s="26">
        <f>IF($B89&lt;&gt;"Challan","",IF(ROUND(AL89-AM89,2)&gt;0,"Over-applied",IF(ROUND(AL89-AM89,2)=0,"Fully Utilised","Unconsumed")))</f>
      </c>
      <c r="AP89" s="27">
        <f>IF($B89&lt;&gt;"Entry","",SUMPRODUCT(($D$8:$D$207=D89)*($B$8:$B$207="Challan")*$E$8:$E$207))</f>
      </c>
    </row>
    <row r="90" spans="1:42" x14ac:dyDescent="0.25">
      <c r="A90" s="15">
        <f>IF($B90="Entry",COUNTIF($B$8:$B90,"Entry"),"")</f>
      </c>
      <c r="B90" s="16"/>
      <c r="C90" s="17"/>
      <c r="D90" s="17"/>
      <c r="E90" s="18"/>
      <c r="F90" s="19"/>
      <c r="G90" s="20"/>
      <c r="H90" s="20"/>
      <c r="I90" s="20"/>
      <c r="J90" s="20"/>
      <c r="K90" s="20"/>
      <c r="L90" s="20"/>
      <c r="M90" s="20"/>
      <c r="N90" s="21">
        <f>IF($B90&lt;&gt;"Challan","",G90+H90+I90+J90+K90+L90)</f>
      </c>
      <c r="O90" s="19"/>
      <c r="P90" s="19"/>
      <c r="Q90" s="19"/>
      <c r="R90" s="19"/>
      <c r="S90" s="19"/>
      <c r="T90" s="22"/>
      <c r="U90" s="22"/>
      <c r="V90" s="22"/>
      <c r="W90" s="22"/>
      <c r="X90" s="22"/>
      <c r="Y90" s="23"/>
      <c r="Z90" s="24"/>
      <c r="AA90" s="25"/>
      <c r="AB90" s="21">
        <f>IF($B90&lt;&gt;"Entry","",ROUND(AA90*Y90/100,0))</f>
      </c>
      <c r="AC90" s="25"/>
      <c r="AD90" s="25"/>
      <c r="AE90" s="21">
        <f>IF($B90&lt;&gt;"Entry","",IF(OR(AB90=0,Z90="",AP90="",AP90&lt;=0),0,IF(AP90&lt;=DATE(YEAR(Z90),MONTH(Z90)+1,7),0,ROUND(AB90*0.015*((YEAR(AP90)-YEAR(Z90))*12+(MONTH(AP90)-MONTH(Z90))+1),0))))</f>
      </c>
      <c r="AF90" s="25"/>
      <c r="AG90" s="22"/>
      <c r="AH90" s="22"/>
      <c r="AI90" s="23"/>
      <c r="AJ90" s="22"/>
      <c r="AK90" s="22"/>
      <c r="AL90" s="21">
        <f>IF($B90&lt;&gt;"Challan","",SUMIF($D$8:$D$207,D90,$AB$8:$AB$207)+SUMIF($D$8:$D$207,D90,$AE$8:$AE$207)+SUMIF($D$8:$D$207,D90,$AC$8:$AC$207))</f>
      </c>
      <c r="AM90" s="21">
        <f>IF($B90&lt;&gt;"Challan","",N90-L90)</f>
      </c>
      <c r="AN90" s="21">
        <f>IF($B90&lt;&gt;"Challan","",MAX(0,AM90-AL90))</f>
      </c>
      <c r="AO90" s="26">
        <f>IF($B90&lt;&gt;"Challan","",IF(ROUND(AL90-AM90,2)&gt;0,"Over-applied",IF(ROUND(AL90-AM90,2)=0,"Fully Utilised","Unconsumed")))</f>
      </c>
      <c r="AP90" s="27">
        <f>IF($B90&lt;&gt;"Entry","",SUMPRODUCT(($D$8:$D$207=D90)*($B$8:$B$207="Challan")*$E$8:$E$207))</f>
      </c>
    </row>
    <row r="91" spans="1:42" x14ac:dyDescent="0.25">
      <c r="A91" s="15">
        <f>IF($B91="Entry",COUNTIF($B$8:$B91,"Entry"),"")</f>
      </c>
      <c r="B91" s="16"/>
      <c r="C91" s="17"/>
      <c r="D91" s="17"/>
      <c r="E91" s="18"/>
      <c r="F91" s="19"/>
      <c r="G91" s="20"/>
      <c r="H91" s="20"/>
      <c r="I91" s="20"/>
      <c r="J91" s="20"/>
      <c r="K91" s="20"/>
      <c r="L91" s="20"/>
      <c r="M91" s="20"/>
      <c r="N91" s="21">
        <f>IF($B91&lt;&gt;"Challan","",G91+H91+I91+J91+K91+L91)</f>
      </c>
      <c r="O91" s="19"/>
      <c r="P91" s="19"/>
      <c r="Q91" s="19"/>
      <c r="R91" s="19"/>
      <c r="S91" s="19"/>
      <c r="T91" s="22"/>
      <c r="U91" s="22"/>
      <c r="V91" s="22"/>
      <c r="W91" s="22"/>
      <c r="X91" s="22"/>
      <c r="Y91" s="23"/>
      <c r="Z91" s="24"/>
      <c r="AA91" s="25"/>
      <c r="AB91" s="21">
        <f>IF($B91&lt;&gt;"Entry","",ROUND(AA91*Y91/100,0))</f>
      </c>
      <c r="AC91" s="25"/>
      <c r="AD91" s="25"/>
      <c r="AE91" s="21">
        <f>IF($B91&lt;&gt;"Entry","",IF(OR(AB91=0,Z91="",AP91="",AP91&lt;=0),0,IF(AP91&lt;=DATE(YEAR(Z91),MONTH(Z91)+1,7),0,ROUND(AB91*0.015*((YEAR(AP91)-YEAR(Z91))*12+(MONTH(AP91)-MONTH(Z91))+1),0))))</f>
      </c>
      <c r="AF91" s="25"/>
      <c r="AG91" s="22"/>
      <c r="AH91" s="22"/>
      <c r="AI91" s="23"/>
      <c r="AJ91" s="22"/>
      <c r="AK91" s="22"/>
      <c r="AL91" s="21">
        <f>IF($B91&lt;&gt;"Challan","",SUMIF($D$8:$D$207,D91,$AB$8:$AB$207)+SUMIF($D$8:$D$207,D91,$AE$8:$AE$207)+SUMIF($D$8:$D$207,D91,$AC$8:$AC$207))</f>
      </c>
      <c r="AM91" s="21">
        <f>IF($B91&lt;&gt;"Challan","",N91-L91)</f>
      </c>
      <c r="AN91" s="21">
        <f>IF($B91&lt;&gt;"Challan","",MAX(0,AM91-AL91))</f>
      </c>
      <c r="AO91" s="26">
        <f>IF($B91&lt;&gt;"Challan","",IF(ROUND(AL91-AM91,2)&gt;0,"Over-applied",IF(ROUND(AL91-AM91,2)=0,"Fully Utilised","Unconsumed")))</f>
      </c>
      <c r="AP91" s="27">
        <f>IF($B91&lt;&gt;"Entry","",SUMPRODUCT(($D$8:$D$207=D91)*($B$8:$B$207="Challan")*$E$8:$E$207))</f>
      </c>
    </row>
    <row r="92" spans="1:42" x14ac:dyDescent="0.25">
      <c r="A92" s="15">
        <f>IF($B92="Entry",COUNTIF($B$8:$B92,"Entry"),"")</f>
      </c>
      <c r="B92" s="16"/>
      <c r="C92" s="17"/>
      <c r="D92" s="17"/>
      <c r="E92" s="18"/>
      <c r="F92" s="19"/>
      <c r="G92" s="20"/>
      <c r="H92" s="20"/>
      <c r="I92" s="20"/>
      <c r="J92" s="20"/>
      <c r="K92" s="20"/>
      <c r="L92" s="20"/>
      <c r="M92" s="20"/>
      <c r="N92" s="21">
        <f>IF($B92&lt;&gt;"Challan","",G92+H92+I92+J92+K92+L92)</f>
      </c>
      <c r="O92" s="19"/>
      <c r="P92" s="19"/>
      <c r="Q92" s="19"/>
      <c r="R92" s="19"/>
      <c r="S92" s="19"/>
      <c r="T92" s="22"/>
      <c r="U92" s="22"/>
      <c r="V92" s="22"/>
      <c r="W92" s="22"/>
      <c r="X92" s="22"/>
      <c r="Y92" s="23"/>
      <c r="Z92" s="24"/>
      <c r="AA92" s="25"/>
      <c r="AB92" s="21">
        <f>IF($B92&lt;&gt;"Entry","",ROUND(AA92*Y92/100,0))</f>
      </c>
      <c r="AC92" s="25"/>
      <c r="AD92" s="25"/>
      <c r="AE92" s="21">
        <f>IF($B92&lt;&gt;"Entry","",IF(OR(AB92=0,Z92="",AP92="",AP92&lt;=0),0,IF(AP92&lt;=DATE(YEAR(Z92),MONTH(Z92)+1,7),0,ROUND(AB92*0.015*((YEAR(AP92)-YEAR(Z92))*12+(MONTH(AP92)-MONTH(Z92))+1),0))))</f>
      </c>
      <c r="AF92" s="25"/>
      <c r="AG92" s="22"/>
      <c r="AH92" s="22"/>
      <c r="AI92" s="23"/>
      <c r="AJ92" s="22"/>
      <c r="AK92" s="22"/>
      <c r="AL92" s="21">
        <f>IF($B92&lt;&gt;"Challan","",SUMIF($D$8:$D$207,D92,$AB$8:$AB$207)+SUMIF($D$8:$D$207,D92,$AE$8:$AE$207)+SUMIF($D$8:$D$207,D92,$AC$8:$AC$207))</f>
      </c>
      <c r="AM92" s="21">
        <f>IF($B92&lt;&gt;"Challan","",N92-L92)</f>
      </c>
      <c r="AN92" s="21">
        <f>IF($B92&lt;&gt;"Challan","",MAX(0,AM92-AL92))</f>
      </c>
      <c r="AO92" s="26">
        <f>IF($B92&lt;&gt;"Challan","",IF(ROUND(AL92-AM92,2)&gt;0,"Over-applied",IF(ROUND(AL92-AM92,2)=0,"Fully Utilised","Unconsumed")))</f>
      </c>
      <c r="AP92" s="27">
        <f>IF($B92&lt;&gt;"Entry","",SUMPRODUCT(($D$8:$D$207=D92)*($B$8:$B$207="Challan")*$E$8:$E$207))</f>
      </c>
    </row>
    <row r="93" spans="1:42" x14ac:dyDescent="0.25">
      <c r="A93" s="15">
        <f>IF($B93="Entry",COUNTIF($B$8:$B93,"Entry"),"")</f>
      </c>
      <c r="B93" s="16"/>
      <c r="C93" s="17"/>
      <c r="D93" s="17"/>
      <c r="E93" s="18"/>
      <c r="F93" s="19"/>
      <c r="G93" s="20"/>
      <c r="H93" s="20"/>
      <c r="I93" s="20"/>
      <c r="J93" s="20"/>
      <c r="K93" s="20"/>
      <c r="L93" s="20"/>
      <c r="M93" s="20"/>
      <c r="N93" s="21">
        <f>IF($B93&lt;&gt;"Challan","",G93+H93+I93+J93+K93+L93)</f>
      </c>
      <c r="O93" s="19"/>
      <c r="P93" s="19"/>
      <c r="Q93" s="19"/>
      <c r="R93" s="19"/>
      <c r="S93" s="19"/>
      <c r="T93" s="22"/>
      <c r="U93" s="22"/>
      <c r="V93" s="22"/>
      <c r="W93" s="22"/>
      <c r="X93" s="22"/>
      <c r="Y93" s="23"/>
      <c r="Z93" s="24"/>
      <c r="AA93" s="25"/>
      <c r="AB93" s="21">
        <f>IF($B93&lt;&gt;"Entry","",ROUND(AA93*Y93/100,0))</f>
      </c>
      <c r="AC93" s="25"/>
      <c r="AD93" s="25"/>
      <c r="AE93" s="21">
        <f>IF($B93&lt;&gt;"Entry","",IF(OR(AB93=0,Z93="",AP93="",AP93&lt;=0),0,IF(AP93&lt;=DATE(YEAR(Z93),MONTH(Z93)+1,7),0,ROUND(AB93*0.015*((YEAR(AP93)-YEAR(Z93))*12+(MONTH(AP93)-MONTH(Z93))+1),0))))</f>
      </c>
      <c r="AF93" s="25"/>
      <c r="AG93" s="22"/>
      <c r="AH93" s="22"/>
      <c r="AI93" s="23"/>
      <c r="AJ93" s="22"/>
      <c r="AK93" s="22"/>
      <c r="AL93" s="21">
        <f>IF($B93&lt;&gt;"Challan","",SUMIF($D$8:$D$207,D93,$AB$8:$AB$207)+SUMIF($D$8:$D$207,D93,$AE$8:$AE$207)+SUMIF($D$8:$D$207,D93,$AC$8:$AC$207))</f>
      </c>
      <c r="AM93" s="21">
        <f>IF($B93&lt;&gt;"Challan","",N93-L93)</f>
      </c>
      <c r="AN93" s="21">
        <f>IF($B93&lt;&gt;"Challan","",MAX(0,AM93-AL93))</f>
      </c>
      <c r="AO93" s="26">
        <f>IF($B93&lt;&gt;"Challan","",IF(ROUND(AL93-AM93,2)&gt;0,"Over-applied",IF(ROUND(AL93-AM93,2)=0,"Fully Utilised","Unconsumed")))</f>
      </c>
      <c r="AP93" s="27">
        <f>IF($B93&lt;&gt;"Entry","",SUMPRODUCT(($D$8:$D$207=D93)*($B$8:$B$207="Challan")*$E$8:$E$207))</f>
      </c>
    </row>
    <row r="94" spans="1:42" x14ac:dyDescent="0.25">
      <c r="A94" s="15">
        <f>IF($B94="Entry",COUNTIF($B$8:$B94,"Entry"),"")</f>
      </c>
      <c r="B94" s="16"/>
      <c r="C94" s="17"/>
      <c r="D94" s="17"/>
      <c r="E94" s="18"/>
      <c r="F94" s="19"/>
      <c r="G94" s="20"/>
      <c r="H94" s="20"/>
      <c r="I94" s="20"/>
      <c r="J94" s="20"/>
      <c r="K94" s="20"/>
      <c r="L94" s="20"/>
      <c r="M94" s="20"/>
      <c r="N94" s="21">
        <f>IF($B94&lt;&gt;"Challan","",G94+H94+I94+J94+K94+L94)</f>
      </c>
      <c r="O94" s="19"/>
      <c r="P94" s="19"/>
      <c r="Q94" s="19"/>
      <c r="R94" s="19"/>
      <c r="S94" s="19"/>
      <c r="T94" s="22"/>
      <c r="U94" s="22"/>
      <c r="V94" s="22"/>
      <c r="W94" s="22"/>
      <c r="X94" s="22"/>
      <c r="Y94" s="23"/>
      <c r="Z94" s="24"/>
      <c r="AA94" s="25"/>
      <c r="AB94" s="21">
        <f>IF($B94&lt;&gt;"Entry","",ROUND(AA94*Y94/100,0))</f>
      </c>
      <c r="AC94" s="25"/>
      <c r="AD94" s="25"/>
      <c r="AE94" s="21">
        <f>IF($B94&lt;&gt;"Entry","",IF(OR(AB94=0,Z94="",AP94="",AP94&lt;=0),0,IF(AP94&lt;=DATE(YEAR(Z94),MONTH(Z94)+1,7),0,ROUND(AB94*0.015*((YEAR(AP94)-YEAR(Z94))*12+(MONTH(AP94)-MONTH(Z94))+1),0))))</f>
      </c>
      <c r="AF94" s="25"/>
      <c r="AG94" s="22"/>
      <c r="AH94" s="22"/>
      <c r="AI94" s="23"/>
      <c r="AJ94" s="22"/>
      <c r="AK94" s="22"/>
      <c r="AL94" s="21">
        <f>IF($B94&lt;&gt;"Challan","",SUMIF($D$8:$D$207,D94,$AB$8:$AB$207)+SUMIF($D$8:$D$207,D94,$AE$8:$AE$207)+SUMIF($D$8:$D$207,D94,$AC$8:$AC$207))</f>
      </c>
      <c r="AM94" s="21">
        <f>IF($B94&lt;&gt;"Challan","",N94-L94)</f>
      </c>
      <c r="AN94" s="21">
        <f>IF($B94&lt;&gt;"Challan","",MAX(0,AM94-AL94))</f>
      </c>
      <c r="AO94" s="26">
        <f>IF($B94&lt;&gt;"Challan","",IF(ROUND(AL94-AM94,2)&gt;0,"Over-applied",IF(ROUND(AL94-AM94,2)=0,"Fully Utilised","Unconsumed")))</f>
      </c>
      <c r="AP94" s="27">
        <f>IF($B94&lt;&gt;"Entry","",SUMPRODUCT(($D$8:$D$207=D94)*($B$8:$B$207="Challan")*$E$8:$E$207))</f>
      </c>
    </row>
    <row r="95" spans="1:42" x14ac:dyDescent="0.25">
      <c r="A95" s="15">
        <f>IF($B95="Entry",COUNTIF($B$8:$B95,"Entry"),"")</f>
      </c>
      <c r="B95" s="16"/>
      <c r="C95" s="17"/>
      <c r="D95" s="17"/>
      <c r="E95" s="18"/>
      <c r="F95" s="19"/>
      <c r="G95" s="20"/>
      <c r="H95" s="20"/>
      <c r="I95" s="20"/>
      <c r="J95" s="20"/>
      <c r="K95" s="20"/>
      <c r="L95" s="20"/>
      <c r="M95" s="20"/>
      <c r="N95" s="21">
        <f>IF($B95&lt;&gt;"Challan","",G95+H95+I95+J95+K95+L95)</f>
      </c>
      <c r="O95" s="19"/>
      <c r="P95" s="19"/>
      <c r="Q95" s="19"/>
      <c r="R95" s="19"/>
      <c r="S95" s="19"/>
      <c r="T95" s="22"/>
      <c r="U95" s="22"/>
      <c r="V95" s="22"/>
      <c r="W95" s="22"/>
      <c r="X95" s="22"/>
      <c r="Y95" s="23"/>
      <c r="Z95" s="24"/>
      <c r="AA95" s="25"/>
      <c r="AB95" s="21">
        <f>IF($B95&lt;&gt;"Entry","",ROUND(AA95*Y95/100,0))</f>
      </c>
      <c r="AC95" s="25"/>
      <c r="AD95" s="25"/>
      <c r="AE95" s="21">
        <f>IF($B95&lt;&gt;"Entry","",IF(OR(AB95=0,Z95="",AP95="",AP95&lt;=0),0,IF(AP95&lt;=DATE(YEAR(Z95),MONTH(Z95)+1,7),0,ROUND(AB95*0.015*((YEAR(AP95)-YEAR(Z95))*12+(MONTH(AP95)-MONTH(Z95))+1),0))))</f>
      </c>
      <c r="AF95" s="25"/>
      <c r="AG95" s="22"/>
      <c r="AH95" s="22"/>
      <c r="AI95" s="23"/>
      <c r="AJ95" s="22"/>
      <c r="AK95" s="22"/>
      <c r="AL95" s="21">
        <f>IF($B95&lt;&gt;"Challan","",SUMIF($D$8:$D$207,D95,$AB$8:$AB$207)+SUMIF($D$8:$D$207,D95,$AE$8:$AE$207)+SUMIF($D$8:$D$207,D95,$AC$8:$AC$207))</f>
      </c>
      <c r="AM95" s="21">
        <f>IF($B95&lt;&gt;"Challan","",N95-L95)</f>
      </c>
      <c r="AN95" s="21">
        <f>IF($B95&lt;&gt;"Challan","",MAX(0,AM95-AL95))</f>
      </c>
      <c r="AO95" s="26">
        <f>IF($B95&lt;&gt;"Challan","",IF(ROUND(AL95-AM95,2)&gt;0,"Over-applied",IF(ROUND(AL95-AM95,2)=0,"Fully Utilised","Unconsumed")))</f>
      </c>
      <c r="AP95" s="27">
        <f>IF($B95&lt;&gt;"Entry","",SUMPRODUCT(($D$8:$D$207=D95)*($B$8:$B$207="Challan")*$E$8:$E$207))</f>
      </c>
    </row>
    <row r="96" spans="1:42" x14ac:dyDescent="0.25">
      <c r="A96" s="15">
        <f>IF($B96="Entry",COUNTIF($B$8:$B96,"Entry"),"")</f>
      </c>
      <c r="B96" s="16"/>
      <c r="C96" s="17"/>
      <c r="D96" s="17"/>
      <c r="E96" s="18"/>
      <c r="F96" s="19"/>
      <c r="G96" s="20"/>
      <c r="H96" s="20"/>
      <c r="I96" s="20"/>
      <c r="J96" s="20"/>
      <c r="K96" s="20"/>
      <c r="L96" s="20"/>
      <c r="M96" s="20"/>
      <c r="N96" s="21">
        <f>IF($B96&lt;&gt;"Challan","",G96+H96+I96+J96+K96+L96)</f>
      </c>
      <c r="O96" s="19"/>
      <c r="P96" s="19"/>
      <c r="Q96" s="19"/>
      <c r="R96" s="19"/>
      <c r="S96" s="19"/>
      <c r="T96" s="22"/>
      <c r="U96" s="22"/>
      <c r="V96" s="22"/>
      <c r="W96" s="22"/>
      <c r="X96" s="22"/>
      <c r="Y96" s="23"/>
      <c r="Z96" s="24"/>
      <c r="AA96" s="25"/>
      <c r="AB96" s="21">
        <f>IF($B96&lt;&gt;"Entry","",ROUND(AA96*Y96/100,0))</f>
      </c>
      <c r="AC96" s="25"/>
      <c r="AD96" s="25"/>
      <c r="AE96" s="21">
        <f>IF($B96&lt;&gt;"Entry","",IF(OR(AB96=0,Z96="",AP96="",AP96&lt;=0),0,IF(AP96&lt;=DATE(YEAR(Z96),MONTH(Z96)+1,7),0,ROUND(AB96*0.015*((YEAR(AP96)-YEAR(Z96))*12+(MONTH(AP96)-MONTH(Z96))+1),0))))</f>
      </c>
      <c r="AF96" s="25"/>
      <c r="AG96" s="22"/>
      <c r="AH96" s="22"/>
      <c r="AI96" s="23"/>
      <c r="AJ96" s="22"/>
      <c r="AK96" s="22"/>
      <c r="AL96" s="21">
        <f>IF($B96&lt;&gt;"Challan","",SUMIF($D$8:$D$207,D96,$AB$8:$AB$207)+SUMIF($D$8:$D$207,D96,$AE$8:$AE$207)+SUMIF($D$8:$D$207,D96,$AC$8:$AC$207))</f>
      </c>
      <c r="AM96" s="21">
        <f>IF($B96&lt;&gt;"Challan","",N96-L96)</f>
      </c>
      <c r="AN96" s="21">
        <f>IF($B96&lt;&gt;"Challan","",MAX(0,AM96-AL96))</f>
      </c>
      <c r="AO96" s="26">
        <f>IF($B96&lt;&gt;"Challan","",IF(ROUND(AL96-AM96,2)&gt;0,"Over-applied",IF(ROUND(AL96-AM96,2)=0,"Fully Utilised","Unconsumed")))</f>
      </c>
      <c r="AP96" s="27">
        <f>IF($B96&lt;&gt;"Entry","",SUMPRODUCT(($D$8:$D$207=D96)*($B$8:$B$207="Challan")*$E$8:$E$207))</f>
      </c>
    </row>
    <row r="97" spans="1:42" x14ac:dyDescent="0.25">
      <c r="A97" s="15">
        <f>IF($B97="Entry",COUNTIF($B$8:$B97,"Entry"),"")</f>
      </c>
      <c r="B97" s="16"/>
      <c r="C97" s="17"/>
      <c r="D97" s="17"/>
      <c r="E97" s="18"/>
      <c r="F97" s="19"/>
      <c r="G97" s="20"/>
      <c r="H97" s="20"/>
      <c r="I97" s="20"/>
      <c r="J97" s="20"/>
      <c r="K97" s="20"/>
      <c r="L97" s="20"/>
      <c r="M97" s="20"/>
      <c r="N97" s="21">
        <f>IF($B97&lt;&gt;"Challan","",G97+H97+I97+J97+K97+L97)</f>
      </c>
      <c r="O97" s="19"/>
      <c r="P97" s="19"/>
      <c r="Q97" s="19"/>
      <c r="R97" s="19"/>
      <c r="S97" s="19"/>
      <c r="T97" s="22"/>
      <c r="U97" s="22"/>
      <c r="V97" s="22"/>
      <c r="W97" s="22"/>
      <c r="X97" s="22"/>
      <c r="Y97" s="23"/>
      <c r="Z97" s="24"/>
      <c r="AA97" s="25"/>
      <c r="AB97" s="21">
        <f>IF($B97&lt;&gt;"Entry","",ROUND(AA97*Y97/100,0))</f>
      </c>
      <c r="AC97" s="25"/>
      <c r="AD97" s="25"/>
      <c r="AE97" s="21">
        <f>IF($B97&lt;&gt;"Entry","",IF(OR(AB97=0,Z97="",AP97="",AP97&lt;=0),0,IF(AP97&lt;=DATE(YEAR(Z97),MONTH(Z97)+1,7),0,ROUND(AB97*0.015*((YEAR(AP97)-YEAR(Z97))*12+(MONTH(AP97)-MONTH(Z97))+1),0))))</f>
      </c>
      <c r="AF97" s="25"/>
      <c r="AG97" s="22"/>
      <c r="AH97" s="22"/>
      <c r="AI97" s="23"/>
      <c r="AJ97" s="22"/>
      <c r="AK97" s="22"/>
      <c r="AL97" s="21">
        <f>IF($B97&lt;&gt;"Challan","",SUMIF($D$8:$D$207,D97,$AB$8:$AB$207)+SUMIF($D$8:$D$207,D97,$AE$8:$AE$207)+SUMIF($D$8:$D$207,D97,$AC$8:$AC$207))</f>
      </c>
      <c r="AM97" s="21">
        <f>IF($B97&lt;&gt;"Challan","",N97-L97)</f>
      </c>
      <c r="AN97" s="21">
        <f>IF($B97&lt;&gt;"Challan","",MAX(0,AM97-AL97))</f>
      </c>
      <c r="AO97" s="26">
        <f>IF($B97&lt;&gt;"Challan","",IF(ROUND(AL97-AM97,2)&gt;0,"Over-applied",IF(ROUND(AL97-AM97,2)=0,"Fully Utilised","Unconsumed")))</f>
      </c>
      <c r="AP97" s="27">
        <f>IF($B97&lt;&gt;"Entry","",SUMPRODUCT(($D$8:$D$207=D97)*($B$8:$B$207="Challan")*$E$8:$E$207))</f>
      </c>
    </row>
    <row r="98" spans="1:42" x14ac:dyDescent="0.25">
      <c r="A98" s="15">
        <f>IF($B98="Entry",COUNTIF($B$8:$B98,"Entry"),"")</f>
      </c>
      <c r="B98" s="16"/>
      <c r="C98" s="17"/>
      <c r="D98" s="17"/>
      <c r="E98" s="18"/>
      <c r="F98" s="19"/>
      <c r="G98" s="20"/>
      <c r="H98" s="20"/>
      <c r="I98" s="20"/>
      <c r="J98" s="20"/>
      <c r="K98" s="20"/>
      <c r="L98" s="20"/>
      <c r="M98" s="20"/>
      <c r="N98" s="21">
        <f>IF($B98&lt;&gt;"Challan","",G98+H98+I98+J98+K98+L98)</f>
      </c>
      <c r="O98" s="19"/>
      <c r="P98" s="19"/>
      <c r="Q98" s="19"/>
      <c r="R98" s="19"/>
      <c r="S98" s="19"/>
      <c r="T98" s="22"/>
      <c r="U98" s="22"/>
      <c r="V98" s="22"/>
      <c r="W98" s="22"/>
      <c r="X98" s="22"/>
      <c r="Y98" s="23"/>
      <c r="Z98" s="24"/>
      <c r="AA98" s="25"/>
      <c r="AB98" s="21">
        <f>IF($B98&lt;&gt;"Entry","",ROUND(AA98*Y98/100,0))</f>
      </c>
      <c r="AC98" s="25"/>
      <c r="AD98" s="25"/>
      <c r="AE98" s="21">
        <f>IF($B98&lt;&gt;"Entry","",IF(OR(AB98=0,Z98="",AP98="",AP98&lt;=0),0,IF(AP98&lt;=DATE(YEAR(Z98),MONTH(Z98)+1,7),0,ROUND(AB98*0.015*((YEAR(AP98)-YEAR(Z98))*12+(MONTH(AP98)-MONTH(Z98))+1),0))))</f>
      </c>
      <c r="AF98" s="25"/>
      <c r="AG98" s="22"/>
      <c r="AH98" s="22"/>
      <c r="AI98" s="23"/>
      <c r="AJ98" s="22"/>
      <c r="AK98" s="22"/>
      <c r="AL98" s="21">
        <f>IF($B98&lt;&gt;"Challan","",SUMIF($D$8:$D$207,D98,$AB$8:$AB$207)+SUMIF($D$8:$D$207,D98,$AE$8:$AE$207)+SUMIF($D$8:$D$207,D98,$AC$8:$AC$207))</f>
      </c>
      <c r="AM98" s="21">
        <f>IF($B98&lt;&gt;"Challan","",N98-L98)</f>
      </c>
      <c r="AN98" s="21">
        <f>IF($B98&lt;&gt;"Challan","",MAX(0,AM98-AL98))</f>
      </c>
      <c r="AO98" s="26">
        <f>IF($B98&lt;&gt;"Challan","",IF(ROUND(AL98-AM98,2)&gt;0,"Over-applied",IF(ROUND(AL98-AM98,2)=0,"Fully Utilised","Unconsumed")))</f>
      </c>
      <c r="AP98" s="27">
        <f>IF($B98&lt;&gt;"Entry","",SUMPRODUCT(($D$8:$D$207=D98)*($B$8:$B$207="Challan")*$E$8:$E$207))</f>
      </c>
    </row>
    <row r="99" spans="1:42" x14ac:dyDescent="0.25">
      <c r="A99" s="15">
        <f>IF($B99="Entry",COUNTIF($B$8:$B99,"Entry"),"")</f>
      </c>
      <c r="B99" s="16"/>
      <c r="C99" s="17"/>
      <c r="D99" s="17"/>
      <c r="E99" s="18"/>
      <c r="F99" s="19"/>
      <c r="G99" s="20"/>
      <c r="H99" s="20"/>
      <c r="I99" s="20"/>
      <c r="J99" s="20"/>
      <c r="K99" s="20"/>
      <c r="L99" s="20"/>
      <c r="M99" s="20"/>
      <c r="N99" s="21">
        <f>IF($B99&lt;&gt;"Challan","",G99+H99+I99+J99+K99+L99)</f>
      </c>
      <c r="O99" s="19"/>
      <c r="P99" s="19"/>
      <c r="Q99" s="19"/>
      <c r="R99" s="19"/>
      <c r="S99" s="19"/>
      <c r="T99" s="22"/>
      <c r="U99" s="22"/>
      <c r="V99" s="22"/>
      <c r="W99" s="22"/>
      <c r="X99" s="22"/>
      <c r="Y99" s="23"/>
      <c r="Z99" s="24"/>
      <c r="AA99" s="25"/>
      <c r="AB99" s="21">
        <f>IF($B99&lt;&gt;"Entry","",ROUND(AA99*Y99/100,0))</f>
      </c>
      <c r="AC99" s="25"/>
      <c r="AD99" s="25"/>
      <c r="AE99" s="21">
        <f>IF($B99&lt;&gt;"Entry","",IF(OR(AB99=0,Z99="",AP99="",AP99&lt;=0),0,IF(AP99&lt;=DATE(YEAR(Z99),MONTH(Z99)+1,7),0,ROUND(AB99*0.015*((YEAR(AP99)-YEAR(Z99))*12+(MONTH(AP99)-MONTH(Z99))+1),0))))</f>
      </c>
      <c r="AF99" s="25"/>
      <c r="AG99" s="22"/>
      <c r="AH99" s="22"/>
      <c r="AI99" s="23"/>
      <c r="AJ99" s="22"/>
      <c r="AK99" s="22"/>
      <c r="AL99" s="21">
        <f>IF($B99&lt;&gt;"Challan","",SUMIF($D$8:$D$207,D99,$AB$8:$AB$207)+SUMIF($D$8:$D$207,D99,$AE$8:$AE$207)+SUMIF($D$8:$D$207,D99,$AC$8:$AC$207))</f>
      </c>
      <c r="AM99" s="21">
        <f>IF($B99&lt;&gt;"Challan","",N99-L99)</f>
      </c>
      <c r="AN99" s="21">
        <f>IF($B99&lt;&gt;"Challan","",MAX(0,AM99-AL99))</f>
      </c>
      <c r="AO99" s="26">
        <f>IF($B99&lt;&gt;"Challan","",IF(ROUND(AL99-AM99,2)&gt;0,"Over-applied",IF(ROUND(AL99-AM99,2)=0,"Fully Utilised","Unconsumed")))</f>
      </c>
      <c r="AP99" s="27">
        <f>IF($B99&lt;&gt;"Entry","",SUMPRODUCT(($D$8:$D$207=D99)*($B$8:$B$207="Challan")*$E$8:$E$207))</f>
      </c>
    </row>
    <row r="100" spans="1:42" x14ac:dyDescent="0.25">
      <c r="A100" s="15">
        <f>IF($B100="Entry",COUNTIF($B$8:$B100,"Entry"),"")</f>
      </c>
      <c r="B100" s="16"/>
      <c r="C100" s="17"/>
      <c r="D100" s="17"/>
      <c r="E100" s="18"/>
      <c r="F100" s="19"/>
      <c r="G100" s="20"/>
      <c r="H100" s="20"/>
      <c r="I100" s="20"/>
      <c r="J100" s="20"/>
      <c r="K100" s="20"/>
      <c r="L100" s="20"/>
      <c r="M100" s="20"/>
      <c r="N100" s="21">
        <f>IF($B100&lt;&gt;"Challan","",G100+H100+I100+J100+K100+L100)</f>
      </c>
      <c r="O100" s="19"/>
      <c r="P100" s="19"/>
      <c r="Q100" s="19"/>
      <c r="R100" s="19"/>
      <c r="S100" s="19"/>
      <c r="T100" s="22"/>
      <c r="U100" s="22"/>
      <c r="V100" s="22"/>
      <c r="W100" s="22"/>
      <c r="X100" s="22"/>
      <c r="Y100" s="23"/>
      <c r="Z100" s="24"/>
      <c r="AA100" s="25"/>
      <c r="AB100" s="21">
        <f>IF($B100&lt;&gt;"Entry","",ROUND(AA100*Y100/100,0))</f>
      </c>
      <c r="AC100" s="25"/>
      <c r="AD100" s="25"/>
      <c r="AE100" s="21">
        <f>IF($B100&lt;&gt;"Entry","",IF(OR(AB100=0,Z100="",AP100="",AP100&lt;=0),0,IF(AP100&lt;=DATE(YEAR(Z100),MONTH(Z100)+1,7),0,ROUND(AB100*0.015*((YEAR(AP100)-YEAR(Z100))*12+(MONTH(AP100)-MONTH(Z100))+1),0))))</f>
      </c>
      <c r="AF100" s="25"/>
      <c r="AG100" s="22"/>
      <c r="AH100" s="22"/>
      <c r="AI100" s="23"/>
      <c r="AJ100" s="22"/>
      <c r="AK100" s="22"/>
      <c r="AL100" s="21">
        <f>IF($B100&lt;&gt;"Challan","",SUMIF($D$8:$D$207,D100,$AB$8:$AB$207)+SUMIF($D$8:$D$207,D100,$AE$8:$AE$207)+SUMIF($D$8:$D$207,D100,$AC$8:$AC$207))</f>
      </c>
      <c r="AM100" s="21">
        <f>IF($B100&lt;&gt;"Challan","",N100-L100)</f>
      </c>
      <c r="AN100" s="21">
        <f>IF($B100&lt;&gt;"Challan","",MAX(0,AM100-AL100))</f>
      </c>
      <c r="AO100" s="26">
        <f>IF($B100&lt;&gt;"Challan","",IF(ROUND(AL100-AM100,2)&gt;0,"Over-applied",IF(ROUND(AL100-AM100,2)=0,"Fully Utilised","Unconsumed")))</f>
      </c>
      <c r="AP100" s="27">
        <f>IF($B100&lt;&gt;"Entry","",SUMPRODUCT(($D$8:$D$207=D100)*($B$8:$B$207="Challan")*$E$8:$E$207))</f>
      </c>
    </row>
    <row r="101" spans="1:42" x14ac:dyDescent="0.25">
      <c r="A101" s="15">
        <f>IF($B101="Entry",COUNTIF($B$8:$B101,"Entry"),"")</f>
      </c>
      <c r="B101" s="16"/>
      <c r="C101" s="17"/>
      <c r="D101" s="17"/>
      <c r="E101" s="18"/>
      <c r="F101" s="19"/>
      <c r="G101" s="20"/>
      <c r="H101" s="20"/>
      <c r="I101" s="20"/>
      <c r="J101" s="20"/>
      <c r="K101" s="20"/>
      <c r="L101" s="20"/>
      <c r="M101" s="20"/>
      <c r="N101" s="21">
        <f>IF($B101&lt;&gt;"Challan","",G101+H101+I101+J101+K101+L101)</f>
      </c>
      <c r="O101" s="19"/>
      <c r="P101" s="19"/>
      <c r="Q101" s="19"/>
      <c r="R101" s="19"/>
      <c r="S101" s="19"/>
      <c r="T101" s="22"/>
      <c r="U101" s="22"/>
      <c r="V101" s="22"/>
      <c r="W101" s="22"/>
      <c r="X101" s="22"/>
      <c r="Y101" s="23"/>
      <c r="Z101" s="24"/>
      <c r="AA101" s="25"/>
      <c r="AB101" s="21">
        <f>IF($B101&lt;&gt;"Entry","",ROUND(AA101*Y101/100,0))</f>
      </c>
      <c r="AC101" s="25"/>
      <c r="AD101" s="25"/>
      <c r="AE101" s="21">
        <f>IF($B101&lt;&gt;"Entry","",IF(OR(AB101=0,Z101="",AP101="",AP101&lt;=0),0,IF(AP101&lt;=DATE(YEAR(Z101),MONTH(Z101)+1,7),0,ROUND(AB101*0.015*((YEAR(AP101)-YEAR(Z101))*12+(MONTH(AP101)-MONTH(Z101))+1),0))))</f>
      </c>
      <c r="AF101" s="25"/>
      <c r="AG101" s="22"/>
      <c r="AH101" s="22"/>
      <c r="AI101" s="23"/>
      <c r="AJ101" s="22"/>
      <c r="AK101" s="22"/>
      <c r="AL101" s="21">
        <f>IF($B101&lt;&gt;"Challan","",SUMIF($D$8:$D$207,D101,$AB$8:$AB$207)+SUMIF($D$8:$D$207,D101,$AE$8:$AE$207)+SUMIF($D$8:$D$207,D101,$AC$8:$AC$207))</f>
      </c>
      <c r="AM101" s="21">
        <f>IF($B101&lt;&gt;"Challan","",N101-L101)</f>
      </c>
      <c r="AN101" s="21">
        <f>IF($B101&lt;&gt;"Challan","",MAX(0,AM101-AL101))</f>
      </c>
      <c r="AO101" s="26">
        <f>IF($B101&lt;&gt;"Challan","",IF(ROUND(AL101-AM101,2)&gt;0,"Over-applied",IF(ROUND(AL101-AM101,2)=0,"Fully Utilised","Unconsumed")))</f>
      </c>
      <c r="AP101" s="27">
        <f>IF($B101&lt;&gt;"Entry","",SUMPRODUCT(($D$8:$D$207=D101)*($B$8:$B$207="Challan")*$E$8:$E$207))</f>
      </c>
    </row>
    <row r="102" spans="1:42" x14ac:dyDescent="0.25">
      <c r="A102" s="15">
        <f>IF($B102="Entry",COUNTIF($B$8:$B102,"Entry"),"")</f>
      </c>
      <c r="B102" s="16"/>
      <c r="C102" s="17"/>
      <c r="D102" s="17"/>
      <c r="E102" s="18"/>
      <c r="F102" s="19"/>
      <c r="G102" s="20"/>
      <c r="H102" s="20"/>
      <c r="I102" s="20"/>
      <c r="J102" s="20"/>
      <c r="K102" s="20"/>
      <c r="L102" s="20"/>
      <c r="M102" s="20"/>
      <c r="N102" s="21">
        <f>IF($B102&lt;&gt;"Challan","",G102+H102+I102+J102+K102+L102)</f>
      </c>
      <c r="O102" s="19"/>
      <c r="P102" s="19"/>
      <c r="Q102" s="19"/>
      <c r="R102" s="19"/>
      <c r="S102" s="19"/>
      <c r="T102" s="22"/>
      <c r="U102" s="22"/>
      <c r="V102" s="22"/>
      <c r="W102" s="22"/>
      <c r="X102" s="22"/>
      <c r="Y102" s="23"/>
      <c r="Z102" s="24"/>
      <c r="AA102" s="25"/>
      <c r="AB102" s="21">
        <f>IF($B102&lt;&gt;"Entry","",ROUND(AA102*Y102/100,0))</f>
      </c>
      <c r="AC102" s="25"/>
      <c r="AD102" s="25"/>
      <c r="AE102" s="21">
        <f>IF($B102&lt;&gt;"Entry","",IF(OR(AB102=0,Z102="",AP102="",AP102&lt;=0),0,IF(AP102&lt;=DATE(YEAR(Z102),MONTH(Z102)+1,7),0,ROUND(AB102*0.015*((YEAR(AP102)-YEAR(Z102))*12+(MONTH(AP102)-MONTH(Z102))+1),0))))</f>
      </c>
      <c r="AF102" s="25"/>
      <c r="AG102" s="22"/>
      <c r="AH102" s="22"/>
      <c r="AI102" s="23"/>
      <c r="AJ102" s="22"/>
      <c r="AK102" s="22"/>
      <c r="AL102" s="21">
        <f>IF($B102&lt;&gt;"Challan","",SUMIF($D$8:$D$207,D102,$AB$8:$AB$207)+SUMIF($D$8:$D$207,D102,$AE$8:$AE$207)+SUMIF($D$8:$D$207,D102,$AC$8:$AC$207))</f>
      </c>
      <c r="AM102" s="21">
        <f>IF($B102&lt;&gt;"Challan","",N102-L102)</f>
      </c>
      <c r="AN102" s="21">
        <f>IF($B102&lt;&gt;"Challan","",MAX(0,AM102-AL102))</f>
      </c>
      <c r="AO102" s="26">
        <f>IF($B102&lt;&gt;"Challan","",IF(ROUND(AL102-AM102,2)&gt;0,"Over-applied",IF(ROUND(AL102-AM102,2)=0,"Fully Utilised","Unconsumed")))</f>
      </c>
      <c r="AP102" s="27">
        <f>IF($B102&lt;&gt;"Entry","",SUMPRODUCT(($D$8:$D$207=D102)*($B$8:$B$207="Challan")*$E$8:$E$207))</f>
      </c>
    </row>
    <row r="103" spans="1:42" x14ac:dyDescent="0.25">
      <c r="A103" s="15">
        <f>IF($B103="Entry",COUNTIF($B$8:$B103,"Entry"),"")</f>
      </c>
      <c r="B103" s="16"/>
      <c r="C103" s="17"/>
      <c r="D103" s="17"/>
      <c r="E103" s="18"/>
      <c r="F103" s="19"/>
      <c r="G103" s="20"/>
      <c r="H103" s="20"/>
      <c r="I103" s="20"/>
      <c r="J103" s="20"/>
      <c r="K103" s="20"/>
      <c r="L103" s="20"/>
      <c r="M103" s="20"/>
      <c r="N103" s="21">
        <f>IF($B103&lt;&gt;"Challan","",G103+H103+I103+J103+K103+L103)</f>
      </c>
      <c r="O103" s="19"/>
      <c r="P103" s="19"/>
      <c r="Q103" s="19"/>
      <c r="R103" s="19"/>
      <c r="S103" s="19"/>
      <c r="T103" s="22"/>
      <c r="U103" s="22"/>
      <c r="V103" s="22"/>
      <c r="W103" s="22"/>
      <c r="X103" s="22"/>
      <c r="Y103" s="23"/>
      <c r="Z103" s="24"/>
      <c r="AA103" s="25"/>
      <c r="AB103" s="21">
        <f>IF($B103&lt;&gt;"Entry","",ROUND(AA103*Y103/100,0))</f>
      </c>
      <c r="AC103" s="25"/>
      <c r="AD103" s="25"/>
      <c r="AE103" s="21">
        <f>IF($B103&lt;&gt;"Entry","",IF(OR(AB103=0,Z103="",AP103="",AP103&lt;=0),0,IF(AP103&lt;=DATE(YEAR(Z103),MONTH(Z103)+1,7),0,ROUND(AB103*0.015*((YEAR(AP103)-YEAR(Z103))*12+(MONTH(AP103)-MONTH(Z103))+1),0))))</f>
      </c>
      <c r="AF103" s="25"/>
      <c r="AG103" s="22"/>
      <c r="AH103" s="22"/>
      <c r="AI103" s="23"/>
      <c r="AJ103" s="22"/>
      <c r="AK103" s="22"/>
      <c r="AL103" s="21">
        <f>IF($B103&lt;&gt;"Challan","",SUMIF($D$8:$D$207,D103,$AB$8:$AB$207)+SUMIF($D$8:$D$207,D103,$AE$8:$AE$207)+SUMIF($D$8:$D$207,D103,$AC$8:$AC$207))</f>
      </c>
      <c r="AM103" s="21">
        <f>IF($B103&lt;&gt;"Challan","",N103-L103)</f>
      </c>
      <c r="AN103" s="21">
        <f>IF($B103&lt;&gt;"Challan","",MAX(0,AM103-AL103))</f>
      </c>
      <c r="AO103" s="26">
        <f>IF($B103&lt;&gt;"Challan","",IF(ROUND(AL103-AM103,2)&gt;0,"Over-applied",IF(ROUND(AL103-AM103,2)=0,"Fully Utilised","Unconsumed")))</f>
      </c>
      <c r="AP103" s="27">
        <f>IF($B103&lt;&gt;"Entry","",SUMPRODUCT(($D$8:$D$207=D103)*($B$8:$B$207="Challan")*$E$8:$E$207))</f>
      </c>
    </row>
    <row r="104" spans="1:42" x14ac:dyDescent="0.25">
      <c r="A104" s="15">
        <f>IF($B104="Entry",COUNTIF($B$8:$B104,"Entry"),"")</f>
      </c>
      <c r="B104" s="16"/>
      <c r="C104" s="17"/>
      <c r="D104" s="17"/>
      <c r="E104" s="18"/>
      <c r="F104" s="19"/>
      <c r="G104" s="20"/>
      <c r="H104" s="20"/>
      <c r="I104" s="20"/>
      <c r="J104" s="20"/>
      <c r="K104" s="20"/>
      <c r="L104" s="20"/>
      <c r="M104" s="20"/>
      <c r="N104" s="21">
        <f>IF($B104&lt;&gt;"Challan","",G104+H104+I104+J104+K104+L104)</f>
      </c>
      <c r="O104" s="19"/>
      <c r="P104" s="19"/>
      <c r="Q104" s="19"/>
      <c r="R104" s="19"/>
      <c r="S104" s="19"/>
      <c r="T104" s="22"/>
      <c r="U104" s="22"/>
      <c r="V104" s="22"/>
      <c r="W104" s="22"/>
      <c r="X104" s="22"/>
      <c r="Y104" s="23"/>
      <c r="Z104" s="24"/>
      <c r="AA104" s="25"/>
      <c r="AB104" s="21">
        <f>IF($B104&lt;&gt;"Entry","",ROUND(AA104*Y104/100,0))</f>
      </c>
      <c r="AC104" s="25"/>
      <c r="AD104" s="25"/>
      <c r="AE104" s="21">
        <f>IF($B104&lt;&gt;"Entry","",IF(OR(AB104=0,Z104="",AP104="",AP104&lt;=0),0,IF(AP104&lt;=DATE(YEAR(Z104),MONTH(Z104)+1,7),0,ROUND(AB104*0.015*((YEAR(AP104)-YEAR(Z104))*12+(MONTH(AP104)-MONTH(Z104))+1),0))))</f>
      </c>
      <c r="AF104" s="25"/>
      <c r="AG104" s="22"/>
      <c r="AH104" s="22"/>
      <c r="AI104" s="23"/>
      <c r="AJ104" s="22"/>
      <c r="AK104" s="22"/>
      <c r="AL104" s="21">
        <f>IF($B104&lt;&gt;"Challan","",SUMIF($D$8:$D$207,D104,$AB$8:$AB$207)+SUMIF($D$8:$D$207,D104,$AE$8:$AE$207)+SUMIF($D$8:$D$207,D104,$AC$8:$AC$207))</f>
      </c>
      <c r="AM104" s="21">
        <f>IF($B104&lt;&gt;"Challan","",N104-L104)</f>
      </c>
      <c r="AN104" s="21">
        <f>IF($B104&lt;&gt;"Challan","",MAX(0,AM104-AL104))</f>
      </c>
      <c r="AO104" s="26">
        <f>IF($B104&lt;&gt;"Challan","",IF(ROUND(AL104-AM104,2)&gt;0,"Over-applied",IF(ROUND(AL104-AM104,2)=0,"Fully Utilised","Unconsumed")))</f>
      </c>
      <c r="AP104" s="27">
        <f>IF($B104&lt;&gt;"Entry","",SUMPRODUCT(($D$8:$D$207=D104)*($B$8:$B$207="Challan")*$E$8:$E$207))</f>
      </c>
    </row>
    <row r="105" spans="1:42" x14ac:dyDescent="0.25">
      <c r="A105" s="15">
        <f>IF($B105="Entry",COUNTIF($B$8:$B105,"Entry"),"")</f>
      </c>
      <c r="B105" s="16"/>
      <c r="C105" s="17"/>
      <c r="D105" s="17"/>
      <c r="E105" s="18"/>
      <c r="F105" s="19"/>
      <c r="G105" s="20"/>
      <c r="H105" s="20"/>
      <c r="I105" s="20"/>
      <c r="J105" s="20"/>
      <c r="K105" s="20"/>
      <c r="L105" s="20"/>
      <c r="M105" s="20"/>
      <c r="N105" s="21">
        <f>IF($B105&lt;&gt;"Challan","",G105+H105+I105+J105+K105+L105)</f>
      </c>
      <c r="O105" s="19"/>
      <c r="P105" s="19"/>
      <c r="Q105" s="19"/>
      <c r="R105" s="19"/>
      <c r="S105" s="19"/>
      <c r="T105" s="22"/>
      <c r="U105" s="22"/>
      <c r="V105" s="22"/>
      <c r="W105" s="22"/>
      <c r="X105" s="22"/>
      <c r="Y105" s="23"/>
      <c r="Z105" s="24"/>
      <c r="AA105" s="25"/>
      <c r="AB105" s="21">
        <f>IF($B105&lt;&gt;"Entry","",ROUND(AA105*Y105/100,0))</f>
      </c>
      <c r="AC105" s="25"/>
      <c r="AD105" s="25"/>
      <c r="AE105" s="21">
        <f>IF($B105&lt;&gt;"Entry","",IF(OR(AB105=0,Z105="",AP105="",AP105&lt;=0),0,IF(AP105&lt;=DATE(YEAR(Z105),MONTH(Z105)+1,7),0,ROUND(AB105*0.015*((YEAR(AP105)-YEAR(Z105))*12+(MONTH(AP105)-MONTH(Z105))+1),0))))</f>
      </c>
      <c r="AF105" s="25"/>
      <c r="AG105" s="22"/>
      <c r="AH105" s="22"/>
      <c r="AI105" s="23"/>
      <c r="AJ105" s="22"/>
      <c r="AK105" s="22"/>
      <c r="AL105" s="21">
        <f>IF($B105&lt;&gt;"Challan","",SUMIF($D$8:$D$207,D105,$AB$8:$AB$207)+SUMIF($D$8:$D$207,D105,$AE$8:$AE$207)+SUMIF($D$8:$D$207,D105,$AC$8:$AC$207))</f>
      </c>
      <c r="AM105" s="21">
        <f>IF($B105&lt;&gt;"Challan","",N105-L105)</f>
      </c>
      <c r="AN105" s="21">
        <f>IF($B105&lt;&gt;"Challan","",MAX(0,AM105-AL105))</f>
      </c>
      <c r="AO105" s="26">
        <f>IF($B105&lt;&gt;"Challan","",IF(ROUND(AL105-AM105,2)&gt;0,"Over-applied",IF(ROUND(AL105-AM105,2)=0,"Fully Utilised","Unconsumed")))</f>
      </c>
      <c r="AP105" s="27">
        <f>IF($B105&lt;&gt;"Entry","",SUMPRODUCT(($D$8:$D$207=D105)*($B$8:$B$207="Challan")*$E$8:$E$207))</f>
      </c>
    </row>
    <row r="106" spans="1:42" x14ac:dyDescent="0.25">
      <c r="A106" s="15">
        <f>IF($B106="Entry",COUNTIF($B$8:$B106,"Entry"),"")</f>
      </c>
      <c r="B106" s="16"/>
      <c r="C106" s="17"/>
      <c r="D106" s="17"/>
      <c r="E106" s="18"/>
      <c r="F106" s="19"/>
      <c r="G106" s="20"/>
      <c r="H106" s="20"/>
      <c r="I106" s="20"/>
      <c r="J106" s="20"/>
      <c r="K106" s="20"/>
      <c r="L106" s="20"/>
      <c r="M106" s="20"/>
      <c r="N106" s="21">
        <f>IF($B106&lt;&gt;"Challan","",G106+H106+I106+J106+K106+L106)</f>
      </c>
      <c r="O106" s="19"/>
      <c r="P106" s="19"/>
      <c r="Q106" s="19"/>
      <c r="R106" s="19"/>
      <c r="S106" s="19"/>
      <c r="T106" s="22"/>
      <c r="U106" s="22"/>
      <c r="V106" s="22"/>
      <c r="W106" s="22"/>
      <c r="X106" s="22"/>
      <c r="Y106" s="23"/>
      <c r="Z106" s="24"/>
      <c r="AA106" s="25"/>
      <c r="AB106" s="21">
        <f>IF($B106&lt;&gt;"Entry","",ROUND(AA106*Y106/100,0))</f>
      </c>
      <c r="AC106" s="25"/>
      <c r="AD106" s="25"/>
      <c r="AE106" s="21">
        <f>IF($B106&lt;&gt;"Entry","",IF(OR(AB106=0,Z106="",AP106="",AP106&lt;=0),0,IF(AP106&lt;=DATE(YEAR(Z106),MONTH(Z106)+1,7),0,ROUND(AB106*0.015*((YEAR(AP106)-YEAR(Z106))*12+(MONTH(AP106)-MONTH(Z106))+1),0))))</f>
      </c>
      <c r="AF106" s="25"/>
      <c r="AG106" s="22"/>
      <c r="AH106" s="22"/>
      <c r="AI106" s="23"/>
      <c r="AJ106" s="22"/>
      <c r="AK106" s="22"/>
      <c r="AL106" s="21">
        <f>IF($B106&lt;&gt;"Challan","",SUMIF($D$8:$D$207,D106,$AB$8:$AB$207)+SUMIF($D$8:$D$207,D106,$AE$8:$AE$207)+SUMIF($D$8:$D$207,D106,$AC$8:$AC$207))</f>
      </c>
      <c r="AM106" s="21">
        <f>IF($B106&lt;&gt;"Challan","",N106-L106)</f>
      </c>
      <c r="AN106" s="21">
        <f>IF($B106&lt;&gt;"Challan","",MAX(0,AM106-AL106))</f>
      </c>
      <c r="AO106" s="26">
        <f>IF($B106&lt;&gt;"Challan","",IF(ROUND(AL106-AM106,2)&gt;0,"Over-applied",IF(ROUND(AL106-AM106,2)=0,"Fully Utilised","Unconsumed")))</f>
      </c>
      <c r="AP106" s="27">
        <f>IF($B106&lt;&gt;"Entry","",SUMPRODUCT(($D$8:$D$207=D106)*($B$8:$B$207="Challan")*$E$8:$E$207))</f>
      </c>
    </row>
    <row r="107" spans="1:42" x14ac:dyDescent="0.25">
      <c r="A107" s="15">
        <f>IF($B107="Entry",COUNTIF($B$8:$B107,"Entry"),"")</f>
      </c>
      <c r="B107" s="16"/>
      <c r="C107" s="17"/>
      <c r="D107" s="17"/>
      <c r="E107" s="18"/>
      <c r="F107" s="19"/>
      <c r="G107" s="20"/>
      <c r="H107" s="20"/>
      <c r="I107" s="20"/>
      <c r="J107" s="20"/>
      <c r="K107" s="20"/>
      <c r="L107" s="20"/>
      <c r="M107" s="20"/>
      <c r="N107" s="21">
        <f>IF($B107&lt;&gt;"Challan","",G107+H107+I107+J107+K107+L107)</f>
      </c>
      <c r="O107" s="19"/>
      <c r="P107" s="19"/>
      <c r="Q107" s="19"/>
      <c r="R107" s="19"/>
      <c r="S107" s="19"/>
      <c r="T107" s="22"/>
      <c r="U107" s="22"/>
      <c r="V107" s="22"/>
      <c r="W107" s="22"/>
      <c r="X107" s="22"/>
      <c r="Y107" s="23"/>
      <c r="Z107" s="24"/>
      <c r="AA107" s="25"/>
      <c r="AB107" s="21">
        <f>IF($B107&lt;&gt;"Entry","",ROUND(AA107*Y107/100,0))</f>
      </c>
      <c r="AC107" s="25"/>
      <c r="AD107" s="25"/>
      <c r="AE107" s="21">
        <f>IF($B107&lt;&gt;"Entry","",IF(OR(AB107=0,Z107="",AP107="",AP107&lt;=0),0,IF(AP107&lt;=DATE(YEAR(Z107),MONTH(Z107)+1,7),0,ROUND(AB107*0.015*((YEAR(AP107)-YEAR(Z107))*12+(MONTH(AP107)-MONTH(Z107))+1),0))))</f>
      </c>
      <c r="AF107" s="25"/>
      <c r="AG107" s="22"/>
      <c r="AH107" s="22"/>
      <c r="AI107" s="23"/>
      <c r="AJ107" s="22"/>
      <c r="AK107" s="22"/>
      <c r="AL107" s="21">
        <f>IF($B107&lt;&gt;"Challan","",SUMIF($D$8:$D$207,D107,$AB$8:$AB$207)+SUMIF($D$8:$D$207,D107,$AE$8:$AE$207)+SUMIF($D$8:$D$207,D107,$AC$8:$AC$207))</f>
      </c>
      <c r="AM107" s="21">
        <f>IF($B107&lt;&gt;"Challan","",N107-L107)</f>
      </c>
      <c r="AN107" s="21">
        <f>IF($B107&lt;&gt;"Challan","",MAX(0,AM107-AL107))</f>
      </c>
      <c r="AO107" s="26">
        <f>IF($B107&lt;&gt;"Challan","",IF(ROUND(AL107-AM107,2)&gt;0,"Over-applied",IF(ROUND(AL107-AM107,2)=0,"Fully Utilised","Unconsumed")))</f>
      </c>
      <c r="AP107" s="27">
        <f>IF($B107&lt;&gt;"Entry","",SUMPRODUCT(($D$8:$D$207=D107)*($B$8:$B$207="Challan")*$E$8:$E$207))</f>
      </c>
    </row>
    <row r="108" spans="1:42" x14ac:dyDescent="0.25">
      <c r="A108" s="15">
        <f>IF($B108="Entry",COUNTIF($B$8:$B108,"Entry"),"")</f>
      </c>
      <c r="B108" s="16"/>
      <c r="C108" s="17"/>
      <c r="D108" s="17"/>
      <c r="E108" s="18"/>
      <c r="F108" s="19"/>
      <c r="G108" s="20"/>
      <c r="H108" s="20"/>
      <c r="I108" s="20"/>
      <c r="J108" s="20"/>
      <c r="K108" s="20"/>
      <c r="L108" s="20"/>
      <c r="M108" s="20"/>
      <c r="N108" s="21">
        <f>IF($B108&lt;&gt;"Challan","",G108+H108+I108+J108+K108+L108)</f>
      </c>
      <c r="O108" s="19"/>
      <c r="P108" s="19"/>
      <c r="Q108" s="19"/>
      <c r="R108" s="19"/>
      <c r="S108" s="19"/>
      <c r="T108" s="22"/>
      <c r="U108" s="22"/>
      <c r="V108" s="22"/>
      <c r="W108" s="22"/>
      <c r="X108" s="22"/>
      <c r="Y108" s="23"/>
      <c r="Z108" s="24"/>
      <c r="AA108" s="25"/>
      <c r="AB108" s="21">
        <f>IF($B108&lt;&gt;"Entry","",ROUND(AA108*Y108/100,0))</f>
      </c>
      <c r="AC108" s="25"/>
      <c r="AD108" s="25"/>
      <c r="AE108" s="21">
        <f>IF($B108&lt;&gt;"Entry","",IF(OR(AB108=0,Z108="",AP108="",AP108&lt;=0),0,IF(AP108&lt;=DATE(YEAR(Z108),MONTH(Z108)+1,7),0,ROUND(AB108*0.015*((YEAR(AP108)-YEAR(Z108))*12+(MONTH(AP108)-MONTH(Z108))+1),0))))</f>
      </c>
      <c r="AF108" s="25"/>
      <c r="AG108" s="22"/>
      <c r="AH108" s="22"/>
      <c r="AI108" s="23"/>
      <c r="AJ108" s="22"/>
      <c r="AK108" s="22"/>
      <c r="AL108" s="21">
        <f>IF($B108&lt;&gt;"Challan","",SUMIF($D$8:$D$207,D108,$AB$8:$AB$207)+SUMIF($D$8:$D$207,D108,$AE$8:$AE$207)+SUMIF($D$8:$D$207,D108,$AC$8:$AC$207))</f>
      </c>
      <c r="AM108" s="21">
        <f>IF($B108&lt;&gt;"Challan","",N108-L108)</f>
      </c>
      <c r="AN108" s="21">
        <f>IF($B108&lt;&gt;"Challan","",MAX(0,AM108-AL108))</f>
      </c>
      <c r="AO108" s="26">
        <f>IF($B108&lt;&gt;"Challan","",IF(ROUND(AL108-AM108,2)&gt;0,"Over-applied",IF(ROUND(AL108-AM108,2)=0,"Fully Utilised","Unconsumed")))</f>
      </c>
      <c r="AP108" s="27">
        <f>IF($B108&lt;&gt;"Entry","",SUMPRODUCT(($D$8:$D$207=D108)*($B$8:$B$207="Challan")*$E$8:$E$207))</f>
      </c>
    </row>
    <row r="109" spans="1:42" x14ac:dyDescent="0.25">
      <c r="A109" s="15">
        <f>IF($B109="Entry",COUNTIF($B$8:$B109,"Entry"),"")</f>
      </c>
      <c r="B109" s="16"/>
      <c r="C109" s="17"/>
      <c r="D109" s="17"/>
      <c r="E109" s="18"/>
      <c r="F109" s="19"/>
      <c r="G109" s="20"/>
      <c r="H109" s="20"/>
      <c r="I109" s="20"/>
      <c r="J109" s="20"/>
      <c r="K109" s="20"/>
      <c r="L109" s="20"/>
      <c r="M109" s="20"/>
      <c r="N109" s="21">
        <f>IF($B109&lt;&gt;"Challan","",G109+H109+I109+J109+K109+L109)</f>
      </c>
      <c r="O109" s="19"/>
      <c r="P109" s="19"/>
      <c r="Q109" s="19"/>
      <c r="R109" s="19"/>
      <c r="S109" s="19"/>
      <c r="T109" s="22"/>
      <c r="U109" s="22"/>
      <c r="V109" s="22"/>
      <c r="W109" s="22"/>
      <c r="X109" s="22"/>
      <c r="Y109" s="23"/>
      <c r="Z109" s="24"/>
      <c r="AA109" s="25"/>
      <c r="AB109" s="21">
        <f>IF($B109&lt;&gt;"Entry","",ROUND(AA109*Y109/100,0))</f>
      </c>
      <c r="AC109" s="25"/>
      <c r="AD109" s="25"/>
      <c r="AE109" s="21">
        <f>IF($B109&lt;&gt;"Entry","",IF(OR(AB109=0,Z109="",AP109="",AP109&lt;=0),0,IF(AP109&lt;=DATE(YEAR(Z109),MONTH(Z109)+1,7),0,ROUND(AB109*0.015*((YEAR(AP109)-YEAR(Z109))*12+(MONTH(AP109)-MONTH(Z109))+1),0))))</f>
      </c>
      <c r="AF109" s="25"/>
      <c r="AG109" s="22"/>
      <c r="AH109" s="22"/>
      <c r="AI109" s="23"/>
      <c r="AJ109" s="22"/>
      <c r="AK109" s="22"/>
      <c r="AL109" s="21">
        <f>IF($B109&lt;&gt;"Challan","",SUMIF($D$8:$D$207,D109,$AB$8:$AB$207)+SUMIF($D$8:$D$207,D109,$AE$8:$AE$207)+SUMIF($D$8:$D$207,D109,$AC$8:$AC$207))</f>
      </c>
      <c r="AM109" s="21">
        <f>IF($B109&lt;&gt;"Challan","",N109-L109)</f>
      </c>
      <c r="AN109" s="21">
        <f>IF($B109&lt;&gt;"Challan","",MAX(0,AM109-AL109))</f>
      </c>
      <c r="AO109" s="26">
        <f>IF($B109&lt;&gt;"Challan","",IF(ROUND(AL109-AM109,2)&gt;0,"Over-applied",IF(ROUND(AL109-AM109,2)=0,"Fully Utilised","Unconsumed")))</f>
      </c>
      <c r="AP109" s="27">
        <f>IF($B109&lt;&gt;"Entry","",SUMPRODUCT(($D$8:$D$207=D109)*($B$8:$B$207="Challan")*$E$8:$E$207))</f>
      </c>
    </row>
    <row r="110" spans="1:42" x14ac:dyDescent="0.25">
      <c r="A110" s="15">
        <f>IF($B110="Entry",COUNTIF($B$8:$B110,"Entry"),"")</f>
      </c>
      <c r="B110" s="16"/>
      <c r="C110" s="17"/>
      <c r="D110" s="17"/>
      <c r="E110" s="18"/>
      <c r="F110" s="19"/>
      <c r="G110" s="20"/>
      <c r="H110" s="20"/>
      <c r="I110" s="20"/>
      <c r="J110" s="20"/>
      <c r="K110" s="20"/>
      <c r="L110" s="20"/>
      <c r="M110" s="20"/>
      <c r="N110" s="21">
        <f>IF($B110&lt;&gt;"Challan","",G110+H110+I110+J110+K110+L110)</f>
      </c>
      <c r="O110" s="19"/>
      <c r="P110" s="19"/>
      <c r="Q110" s="19"/>
      <c r="R110" s="19"/>
      <c r="S110" s="19"/>
      <c r="T110" s="22"/>
      <c r="U110" s="22"/>
      <c r="V110" s="22"/>
      <c r="W110" s="22"/>
      <c r="X110" s="22"/>
      <c r="Y110" s="23"/>
      <c r="Z110" s="24"/>
      <c r="AA110" s="25"/>
      <c r="AB110" s="21">
        <f>IF($B110&lt;&gt;"Entry","",ROUND(AA110*Y110/100,0))</f>
      </c>
      <c r="AC110" s="25"/>
      <c r="AD110" s="25"/>
      <c r="AE110" s="21">
        <f>IF($B110&lt;&gt;"Entry","",IF(OR(AB110=0,Z110="",AP110="",AP110&lt;=0),0,IF(AP110&lt;=DATE(YEAR(Z110),MONTH(Z110)+1,7),0,ROUND(AB110*0.015*((YEAR(AP110)-YEAR(Z110))*12+(MONTH(AP110)-MONTH(Z110))+1),0))))</f>
      </c>
      <c r="AF110" s="25"/>
      <c r="AG110" s="22"/>
      <c r="AH110" s="22"/>
      <c r="AI110" s="23"/>
      <c r="AJ110" s="22"/>
      <c r="AK110" s="22"/>
      <c r="AL110" s="21">
        <f>IF($B110&lt;&gt;"Challan","",SUMIF($D$8:$D$207,D110,$AB$8:$AB$207)+SUMIF($D$8:$D$207,D110,$AE$8:$AE$207)+SUMIF($D$8:$D$207,D110,$AC$8:$AC$207))</f>
      </c>
      <c r="AM110" s="21">
        <f>IF($B110&lt;&gt;"Challan","",N110-L110)</f>
      </c>
      <c r="AN110" s="21">
        <f>IF($B110&lt;&gt;"Challan","",MAX(0,AM110-AL110))</f>
      </c>
      <c r="AO110" s="26">
        <f>IF($B110&lt;&gt;"Challan","",IF(ROUND(AL110-AM110,2)&gt;0,"Over-applied",IF(ROUND(AL110-AM110,2)=0,"Fully Utilised","Unconsumed")))</f>
      </c>
      <c r="AP110" s="27">
        <f>IF($B110&lt;&gt;"Entry","",SUMPRODUCT(($D$8:$D$207=D110)*($B$8:$B$207="Challan")*$E$8:$E$207))</f>
      </c>
    </row>
    <row r="111" spans="1:42" x14ac:dyDescent="0.25">
      <c r="A111" s="15">
        <f>IF($B111="Entry",COUNTIF($B$8:$B111,"Entry"),"")</f>
      </c>
      <c r="B111" s="16"/>
      <c r="C111" s="17"/>
      <c r="D111" s="17"/>
      <c r="E111" s="18"/>
      <c r="F111" s="19"/>
      <c r="G111" s="20"/>
      <c r="H111" s="20"/>
      <c r="I111" s="20"/>
      <c r="J111" s="20"/>
      <c r="K111" s="20"/>
      <c r="L111" s="20"/>
      <c r="M111" s="20"/>
      <c r="N111" s="21">
        <f>IF($B111&lt;&gt;"Challan","",G111+H111+I111+J111+K111+L111)</f>
      </c>
      <c r="O111" s="19"/>
      <c r="P111" s="19"/>
      <c r="Q111" s="19"/>
      <c r="R111" s="19"/>
      <c r="S111" s="19"/>
      <c r="T111" s="22"/>
      <c r="U111" s="22"/>
      <c r="V111" s="22"/>
      <c r="W111" s="22"/>
      <c r="X111" s="22"/>
      <c r="Y111" s="23"/>
      <c r="Z111" s="24"/>
      <c r="AA111" s="25"/>
      <c r="AB111" s="21">
        <f>IF($B111&lt;&gt;"Entry","",ROUND(AA111*Y111/100,0))</f>
      </c>
      <c r="AC111" s="25"/>
      <c r="AD111" s="25"/>
      <c r="AE111" s="21">
        <f>IF($B111&lt;&gt;"Entry","",IF(OR(AB111=0,Z111="",AP111="",AP111&lt;=0),0,IF(AP111&lt;=DATE(YEAR(Z111),MONTH(Z111)+1,7),0,ROUND(AB111*0.015*((YEAR(AP111)-YEAR(Z111))*12+(MONTH(AP111)-MONTH(Z111))+1),0))))</f>
      </c>
      <c r="AF111" s="25"/>
      <c r="AG111" s="22"/>
      <c r="AH111" s="22"/>
      <c r="AI111" s="23"/>
      <c r="AJ111" s="22"/>
      <c r="AK111" s="22"/>
      <c r="AL111" s="21">
        <f>IF($B111&lt;&gt;"Challan","",SUMIF($D$8:$D$207,D111,$AB$8:$AB$207)+SUMIF($D$8:$D$207,D111,$AE$8:$AE$207)+SUMIF($D$8:$D$207,D111,$AC$8:$AC$207))</f>
      </c>
      <c r="AM111" s="21">
        <f>IF($B111&lt;&gt;"Challan","",N111-L111)</f>
      </c>
      <c r="AN111" s="21">
        <f>IF($B111&lt;&gt;"Challan","",MAX(0,AM111-AL111))</f>
      </c>
      <c r="AO111" s="26">
        <f>IF($B111&lt;&gt;"Challan","",IF(ROUND(AL111-AM111,2)&gt;0,"Over-applied",IF(ROUND(AL111-AM111,2)=0,"Fully Utilised","Unconsumed")))</f>
      </c>
      <c r="AP111" s="27">
        <f>IF($B111&lt;&gt;"Entry","",SUMPRODUCT(($D$8:$D$207=D111)*($B$8:$B$207="Challan")*$E$8:$E$207))</f>
      </c>
    </row>
    <row r="112" spans="1:42" x14ac:dyDescent="0.25">
      <c r="A112" s="15">
        <f>IF($B112="Entry",COUNTIF($B$8:$B112,"Entry"),"")</f>
      </c>
      <c r="B112" s="16"/>
      <c r="C112" s="17"/>
      <c r="D112" s="17"/>
      <c r="E112" s="18"/>
      <c r="F112" s="19"/>
      <c r="G112" s="20"/>
      <c r="H112" s="20"/>
      <c r="I112" s="20"/>
      <c r="J112" s="20"/>
      <c r="K112" s="20"/>
      <c r="L112" s="20"/>
      <c r="M112" s="20"/>
      <c r="N112" s="21">
        <f>IF($B112&lt;&gt;"Challan","",G112+H112+I112+J112+K112+L112)</f>
      </c>
      <c r="O112" s="19"/>
      <c r="P112" s="19"/>
      <c r="Q112" s="19"/>
      <c r="R112" s="19"/>
      <c r="S112" s="19"/>
      <c r="T112" s="22"/>
      <c r="U112" s="22"/>
      <c r="V112" s="22"/>
      <c r="W112" s="22"/>
      <c r="X112" s="22"/>
      <c r="Y112" s="23"/>
      <c r="Z112" s="24"/>
      <c r="AA112" s="25"/>
      <c r="AB112" s="21">
        <f>IF($B112&lt;&gt;"Entry","",ROUND(AA112*Y112/100,0))</f>
      </c>
      <c r="AC112" s="25"/>
      <c r="AD112" s="25"/>
      <c r="AE112" s="21">
        <f>IF($B112&lt;&gt;"Entry","",IF(OR(AB112=0,Z112="",AP112="",AP112&lt;=0),0,IF(AP112&lt;=DATE(YEAR(Z112),MONTH(Z112)+1,7),0,ROUND(AB112*0.015*((YEAR(AP112)-YEAR(Z112))*12+(MONTH(AP112)-MONTH(Z112))+1),0))))</f>
      </c>
      <c r="AF112" s="25"/>
      <c r="AG112" s="22"/>
      <c r="AH112" s="22"/>
      <c r="AI112" s="23"/>
      <c r="AJ112" s="22"/>
      <c r="AK112" s="22"/>
      <c r="AL112" s="21">
        <f>IF($B112&lt;&gt;"Challan","",SUMIF($D$8:$D$207,D112,$AB$8:$AB$207)+SUMIF($D$8:$D$207,D112,$AE$8:$AE$207)+SUMIF($D$8:$D$207,D112,$AC$8:$AC$207))</f>
      </c>
      <c r="AM112" s="21">
        <f>IF($B112&lt;&gt;"Challan","",N112-L112)</f>
      </c>
      <c r="AN112" s="21">
        <f>IF($B112&lt;&gt;"Challan","",MAX(0,AM112-AL112))</f>
      </c>
      <c r="AO112" s="26">
        <f>IF($B112&lt;&gt;"Challan","",IF(ROUND(AL112-AM112,2)&gt;0,"Over-applied",IF(ROUND(AL112-AM112,2)=0,"Fully Utilised","Unconsumed")))</f>
      </c>
      <c r="AP112" s="27">
        <f>IF($B112&lt;&gt;"Entry","",SUMPRODUCT(($D$8:$D$207=D112)*($B$8:$B$207="Challan")*$E$8:$E$207))</f>
      </c>
    </row>
    <row r="113" spans="1:42" x14ac:dyDescent="0.25">
      <c r="A113" s="15">
        <f>IF($B113="Entry",COUNTIF($B$8:$B113,"Entry"),"")</f>
      </c>
      <c r="B113" s="16"/>
      <c r="C113" s="17"/>
      <c r="D113" s="17"/>
      <c r="E113" s="18"/>
      <c r="F113" s="19"/>
      <c r="G113" s="20"/>
      <c r="H113" s="20"/>
      <c r="I113" s="20"/>
      <c r="J113" s="20"/>
      <c r="K113" s="20"/>
      <c r="L113" s="20"/>
      <c r="M113" s="20"/>
      <c r="N113" s="21">
        <f>IF($B113&lt;&gt;"Challan","",G113+H113+I113+J113+K113+L113)</f>
      </c>
      <c r="O113" s="19"/>
      <c r="P113" s="19"/>
      <c r="Q113" s="19"/>
      <c r="R113" s="19"/>
      <c r="S113" s="19"/>
      <c r="T113" s="22"/>
      <c r="U113" s="22"/>
      <c r="V113" s="22"/>
      <c r="W113" s="22"/>
      <c r="X113" s="22"/>
      <c r="Y113" s="23"/>
      <c r="Z113" s="24"/>
      <c r="AA113" s="25"/>
      <c r="AB113" s="21">
        <f>IF($B113&lt;&gt;"Entry","",ROUND(AA113*Y113/100,0))</f>
      </c>
      <c r="AC113" s="25"/>
      <c r="AD113" s="25"/>
      <c r="AE113" s="21">
        <f>IF($B113&lt;&gt;"Entry","",IF(OR(AB113=0,Z113="",AP113="",AP113&lt;=0),0,IF(AP113&lt;=DATE(YEAR(Z113),MONTH(Z113)+1,7),0,ROUND(AB113*0.015*((YEAR(AP113)-YEAR(Z113))*12+(MONTH(AP113)-MONTH(Z113))+1),0))))</f>
      </c>
      <c r="AF113" s="25"/>
      <c r="AG113" s="22"/>
      <c r="AH113" s="22"/>
      <c r="AI113" s="23"/>
      <c r="AJ113" s="22"/>
      <c r="AK113" s="22"/>
      <c r="AL113" s="21">
        <f>IF($B113&lt;&gt;"Challan","",SUMIF($D$8:$D$207,D113,$AB$8:$AB$207)+SUMIF($D$8:$D$207,D113,$AE$8:$AE$207)+SUMIF($D$8:$D$207,D113,$AC$8:$AC$207))</f>
      </c>
      <c r="AM113" s="21">
        <f>IF($B113&lt;&gt;"Challan","",N113-L113)</f>
      </c>
      <c r="AN113" s="21">
        <f>IF($B113&lt;&gt;"Challan","",MAX(0,AM113-AL113))</f>
      </c>
      <c r="AO113" s="26">
        <f>IF($B113&lt;&gt;"Challan","",IF(ROUND(AL113-AM113,2)&gt;0,"Over-applied",IF(ROUND(AL113-AM113,2)=0,"Fully Utilised","Unconsumed")))</f>
      </c>
      <c r="AP113" s="27">
        <f>IF($B113&lt;&gt;"Entry","",SUMPRODUCT(($D$8:$D$207=D113)*($B$8:$B$207="Challan")*$E$8:$E$207))</f>
      </c>
    </row>
    <row r="114" spans="1:42" x14ac:dyDescent="0.25">
      <c r="A114" s="15">
        <f>IF($B114="Entry",COUNTIF($B$8:$B114,"Entry"),"")</f>
      </c>
      <c r="B114" s="16"/>
      <c r="C114" s="17"/>
      <c r="D114" s="17"/>
      <c r="E114" s="18"/>
      <c r="F114" s="19"/>
      <c r="G114" s="20"/>
      <c r="H114" s="20"/>
      <c r="I114" s="20"/>
      <c r="J114" s="20"/>
      <c r="K114" s="20"/>
      <c r="L114" s="20"/>
      <c r="M114" s="20"/>
      <c r="N114" s="21">
        <f>IF($B114&lt;&gt;"Challan","",G114+H114+I114+J114+K114+L114)</f>
      </c>
      <c r="O114" s="19"/>
      <c r="P114" s="19"/>
      <c r="Q114" s="19"/>
      <c r="R114" s="19"/>
      <c r="S114" s="19"/>
      <c r="T114" s="22"/>
      <c r="U114" s="22"/>
      <c r="V114" s="22"/>
      <c r="W114" s="22"/>
      <c r="X114" s="22"/>
      <c r="Y114" s="23"/>
      <c r="Z114" s="24"/>
      <c r="AA114" s="25"/>
      <c r="AB114" s="21">
        <f>IF($B114&lt;&gt;"Entry","",ROUND(AA114*Y114/100,0))</f>
      </c>
      <c r="AC114" s="25"/>
      <c r="AD114" s="25"/>
      <c r="AE114" s="21">
        <f>IF($B114&lt;&gt;"Entry","",IF(OR(AB114=0,Z114="",AP114="",AP114&lt;=0),0,IF(AP114&lt;=DATE(YEAR(Z114),MONTH(Z114)+1,7),0,ROUND(AB114*0.015*((YEAR(AP114)-YEAR(Z114))*12+(MONTH(AP114)-MONTH(Z114))+1),0))))</f>
      </c>
      <c r="AF114" s="25"/>
      <c r="AG114" s="22"/>
      <c r="AH114" s="22"/>
      <c r="AI114" s="23"/>
      <c r="AJ114" s="22"/>
      <c r="AK114" s="22"/>
      <c r="AL114" s="21">
        <f>IF($B114&lt;&gt;"Challan","",SUMIF($D$8:$D$207,D114,$AB$8:$AB$207)+SUMIF($D$8:$D$207,D114,$AE$8:$AE$207)+SUMIF($D$8:$D$207,D114,$AC$8:$AC$207))</f>
      </c>
      <c r="AM114" s="21">
        <f>IF($B114&lt;&gt;"Challan","",N114-L114)</f>
      </c>
      <c r="AN114" s="21">
        <f>IF($B114&lt;&gt;"Challan","",MAX(0,AM114-AL114))</f>
      </c>
      <c r="AO114" s="26">
        <f>IF($B114&lt;&gt;"Challan","",IF(ROUND(AL114-AM114,2)&gt;0,"Over-applied",IF(ROUND(AL114-AM114,2)=0,"Fully Utilised","Unconsumed")))</f>
      </c>
      <c r="AP114" s="27">
        <f>IF($B114&lt;&gt;"Entry","",SUMPRODUCT(($D$8:$D$207=D114)*($B$8:$B$207="Challan")*$E$8:$E$207))</f>
      </c>
    </row>
    <row r="115" spans="1:42" x14ac:dyDescent="0.25">
      <c r="A115" s="15">
        <f>IF($B115="Entry",COUNTIF($B$8:$B115,"Entry"),"")</f>
      </c>
      <c r="B115" s="16"/>
      <c r="C115" s="17"/>
      <c r="D115" s="17"/>
      <c r="E115" s="18"/>
      <c r="F115" s="19"/>
      <c r="G115" s="20"/>
      <c r="H115" s="20"/>
      <c r="I115" s="20"/>
      <c r="J115" s="20"/>
      <c r="K115" s="20"/>
      <c r="L115" s="20"/>
      <c r="M115" s="20"/>
      <c r="N115" s="21">
        <f>IF($B115&lt;&gt;"Challan","",G115+H115+I115+J115+K115+L115)</f>
      </c>
      <c r="O115" s="19"/>
      <c r="P115" s="19"/>
      <c r="Q115" s="19"/>
      <c r="R115" s="19"/>
      <c r="S115" s="19"/>
      <c r="T115" s="22"/>
      <c r="U115" s="22"/>
      <c r="V115" s="22"/>
      <c r="W115" s="22"/>
      <c r="X115" s="22"/>
      <c r="Y115" s="23"/>
      <c r="Z115" s="24"/>
      <c r="AA115" s="25"/>
      <c r="AB115" s="21">
        <f>IF($B115&lt;&gt;"Entry","",ROUND(AA115*Y115/100,0))</f>
      </c>
      <c r="AC115" s="25"/>
      <c r="AD115" s="25"/>
      <c r="AE115" s="21">
        <f>IF($B115&lt;&gt;"Entry","",IF(OR(AB115=0,Z115="",AP115="",AP115&lt;=0),0,IF(AP115&lt;=DATE(YEAR(Z115),MONTH(Z115)+1,7),0,ROUND(AB115*0.015*((YEAR(AP115)-YEAR(Z115))*12+(MONTH(AP115)-MONTH(Z115))+1),0))))</f>
      </c>
      <c r="AF115" s="25"/>
      <c r="AG115" s="22"/>
      <c r="AH115" s="22"/>
      <c r="AI115" s="23"/>
      <c r="AJ115" s="22"/>
      <c r="AK115" s="22"/>
      <c r="AL115" s="21">
        <f>IF($B115&lt;&gt;"Challan","",SUMIF($D$8:$D$207,D115,$AB$8:$AB$207)+SUMIF($D$8:$D$207,D115,$AE$8:$AE$207)+SUMIF($D$8:$D$207,D115,$AC$8:$AC$207))</f>
      </c>
      <c r="AM115" s="21">
        <f>IF($B115&lt;&gt;"Challan","",N115-L115)</f>
      </c>
      <c r="AN115" s="21">
        <f>IF($B115&lt;&gt;"Challan","",MAX(0,AM115-AL115))</f>
      </c>
      <c r="AO115" s="26">
        <f>IF($B115&lt;&gt;"Challan","",IF(ROUND(AL115-AM115,2)&gt;0,"Over-applied",IF(ROUND(AL115-AM115,2)=0,"Fully Utilised","Unconsumed")))</f>
      </c>
      <c r="AP115" s="27">
        <f>IF($B115&lt;&gt;"Entry","",SUMPRODUCT(($D$8:$D$207=D115)*($B$8:$B$207="Challan")*$E$8:$E$207))</f>
      </c>
    </row>
    <row r="116" spans="1:42" x14ac:dyDescent="0.25">
      <c r="A116" s="15">
        <f>IF($B116="Entry",COUNTIF($B$8:$B116,"Entry"),"")</f>
      </c>
      <c r="B116" s="16"/>
      <c r="C116" s="17"/>
      <c r="D116" s="17"/>
      <c r="E116" s="18"/>
      <c r="F116" s="19"/>
      <c r="G116" s="20"/>
      <c r="H116" s="20"/>
      <c r="I116" s="20"/>
      <c r="J116" s="20"/>
      <c r="K116" s="20"/>
      <c r="L116" s="20"/>
      <c r="M116" s="20"/>
      <c r="N116" s="21">
        <f>IF($B116&lt;&gt;"Challan","",G116+H116+I116+J116+K116+L116)</f>
      </c>
      <c r="O116" s="19"/>
      <c r="P116" s="19"/>
      <c r="Q116" s="19"/>
      <c r="R116" s="19"/>
      <c r="S116" s="19"/>
      <c r="T116" s="22"/>
      <c r="U116" s="22"/>
      <c r="V116" s="22"/>
      <c r="W116" s="22"/>
      <c r="X116" s="22"/>
      <c r="Y116" s="23"/>
      <c r="Z116" s="24"/>
      <c r="AA116" s="25"/>
      <c r="AB116" s="21">
        <f>IF($B116&lt;&gt;"Entry","",ROUND(AA116*Y116/100,0))</f>
      </c>
      <c r="AC116" s="25"/>
      <c r="AD116" s="25"/>
      <c r="AE116" s="21">
        <f>IF($B116&lt;&gt;"Entry","",IF(OR(AB116=0,Z116="",AP116="",AP116&lt;=0),0,IF(AP116&lt;=DATE(YEAR(Z116),MONTH(Z116)+1,7),0,ROUND(AB116*0.015*((YEAR(AP116)-YEAR(Z116))*12+(MONTH(AP116)-MONTH(Z116))+1),0))))</f>
      </c>
      <c r="AF116" s="25"/>
      <c r="AG116" s="22"/>
      <c r="AH116" s="22"/>
      <c r="AI116" s="23"/>
      <c r="AJ116" s="22"/>
      <c r="AK116" s="22"/>
      <c r="AL116" s="21">
        <f>IF($B116&lt;&gt;"Challan","",SUMIF($D$8:$D$207,D116,$AB$8:$AB$207)+SUMIF($D$8:$D$207,D116,$AE$8:$AE$207)+SUMIF($D$8:$D$207,D116,$AC$8:$AC$207))</f>
      </c>
      <c r="AM116" s="21">
        <f>IF($B116&lt;&gt;"Challan","",N116-L116)</f>
      </c>
      <c r="AN116" s="21">
        <f>IF($B116&lt;&gt;"Challan","",MAX(0,AM116-AL116))</f>
      </c>
      <c r="AO116" s="26">
        <f>IF($B116&lt;&gt;"Challan","",IF(ROUND(AL116-AM116,2)&gt;0,"Over-applied",IF(ROUND(AL116-AM116,2)=0,"Fully Utilised","Unconsumed")))</f>
      </c>
      <c r="AP116" s="27">
        <f>IF($B116&lt;&gt;"Entry","",SUMPRODUCT(($D$8:$D$207=D116)*($B$8:$B$207="Challan")*$E$8:$E$207))</f>
      </c>
    </row>
    <row r="117" spans="1:42" x14ac:dyDescent="0.25">
      <c r="A117" s="15">
        <f>IF($B117="Entry",COUNTIF($B$8:$B117,"Entry"),"")</f>
      </c>
      <c r="B117" s="16"/>
      <c r="C117" s="17"/>
      <c r="D117" s="17"/>
      <c r="E117" s="18"/>
      <c r="F117" s="19"/>
      <c r="G117" s="20"/>
      <c r="H117" s="20"/>
      <c r="I117" s="20"/>
      <c r="J117" s="20"/>
      <c r="K117" s="20"/>
      <c r="L117" s="20"/>
      <c r="M117" s="20"/>
      <c r="N117" s="21">
        <f>IF($B117&lt;&gt;"Challan","",G117+H117+I117+J117+K117+L117)</f>
      </c>
      <c r="O117" s="19"/>
      <c r="P117" s="19"/>
      <c r="Q117" s="19"/>
      <c r="R117" s="19"/>
      <c r="S117" s="19"/>
      <c r="T117" s="22"/>
      <c r="U117" s="22"/>
      <c r="V117" s="22"/>
      <c r="W117" s="22"/>
      <c r="X117" s="22"/>
      <c r="Y117" s="23"/>
      <c r="Z117" s="24"/>
      <c r="AA117" s="25"/>
      <c r="AB117" s="21">
        <f>IF($B117&lt;&gt;"Entry","",ROUND(AA117*Y117/100,0))</f>
      </c>
      <c r="AC117" s="25"/>
      <c r="AD117" s="25"/>
      <c r="AE117" s="21">
        <f>IF($B117&lt;&gt;"Entry","",IF(OR(AB117=0,Z117="",AP117="",AP117&lt;=0),0,IF(AP117&lt;=DATE(YEAR(Z117),MONTH(Z117)+1,7),0,ROUND(AB117*0.015*((YEAR(AP117)-YEAR(Z117))*12+(MONTH(AP117)-MONTH(Z117))+1),0))))</f>
      </c>
      <c r="AF117" s="25"/>
      <c r="AG117" s="22"/>
      <c r="AH117" s="22"/>
      <c r="AI117" s="23"/>
      <c r="AJ117" s="22"/>
      <c r="AK117" s="22"/>
      <c r="AL117" s="21">
        <f>IF($B117&lt;&gt;"Challan","",SUMIF($D$8:$D$207,D117,$AB$8:$AB$207)+SUMIF($D$8:$D$207,D117,$AE$8:$AE$207)+SUMIF($D$8:$D$207,D117,$AC$8:$AC$207))</f>
      </c>
      <c r="AM117" s="21">
        <f>IF($B117&lt;&gt;"Challan","",N117-L117)</f>
      </c>
      <c r="AN117" s="21">
        <f>IF($B117&lt;&gt;"Challan","",MAX(0,AM117-AL117))</f>
      </c>
      <c r="AO117" s="26">
        <f>IF($B117&lt;&gt;"Challan","",IF(ROUND(AL117-AM117,2)&gt;0,"Over-applied",IF(ROUND(AL117-AM117,2)=0,"Fully Utilised","Unconsumed")))</f>
      </c>
      <c r="AP117" s="27">
        <f>IF($B117&lt;&gt;"Entry","",SUMPRODUCT(($D$8:$D$207=D117)*($B$8:$B$207="Challan")*$E$8:$E$207))</f>
      </c>
    </row>
    <row r="118" spans="1:42" x14ac:dyDescent="0.25">
      <c r="A118" s="15">
        <f>IF($B118="Entry",COUNTIF($B$8:$B118,"Entry"),"")</f>
      </c>
      <c r="B118" s="16"/>
      <c r="C118" s="17"/>
      <c r="D118" s="17"/>
      <c r="E118" s="18"/>
      <c r="F118" s="19"/>
      <c r="G118" s="20"/>
      <c r="H118" s="20"/>
      <c r="I118" s="20"/>
      <c r="J118" s="20"/>
      <c r="K118" s="20"/>
      <c r="L118" s="20"/>
      <c r="M118" s="20"/>
      <c r="N118" s="21">
        <f>IF($B118&lt;&gt;"Challan","",G118+H118+I118+J118+K118+L118)</f>
      </c>
      <c r="O118" s="19"/>
      <c r="P118" s="19"/>
      <c r="Q118" s="19"/>
      <c r="R118" s="19"/>
      <c r="S118" s="19"/>
      <c r="T118" s="22"/>
      <c r="U118" s="22"/>
      <c r="V118" s="22"/>
      <c r="W118" s="22"/>
      <c r="X118" s="22"/>
      <c r="Y118" s="23"/>
      <c r="Z118" s="24"/>
      <c r="AA118" s="25"/>
      <c r="AB118" s="21">
        <f>IF($B118&lt;&gt;"Entry","",ROUND(AA118*Y118/100,0))</f>
      </c>
      <c r="AC118" s="25"/>
      <c r="AD118" s="25"/>
      <c r="AE118" s="21">
        <f>IF($B118&lt;&gt;"Entry","",IF(OR(AB118=0,Z118="",AP118="",AP118&lt;=0),0,IF(AP118&lt;=DATE(YEAR(Z118),MONTH(Z118)+1,7),0,ROUND(AB118*0.015*((YEAR(AP118)-YEAR(Z118))*12+(MONTH(AP118)-MONTH(Z118))+1),0))))</f>
      </c>
      <c r="AF118" s="25"/>
      <c r="AG118" s="22"/>
      <c r="AH118" s="22"/>
      <c r="AI118" s="23"/>
      <c r="AJ118" s="22"/>
      <c r="AK118" s="22"/>
      <c r="AL118" s="21">
        <f>IF($B118&lt;&gt;"Challan","",SUMIF($D$8:$D$207,D118,$AB$8:$AB$207)+SUMIF($D$8:$D$207,D118,$AE$8:$AE$207)+SUMIF($D$8:$D$207,D118,$AC$8:$AC$207))</f>
      </c>
      <c r="AM118" s="21">
        <f>IF($B118&lt;&gt;"Challan","",N118-L118)</f>
      </c>
      <c r="AN118" s="21">
        <f>IF($B118&lt;&gt;"Challan","",MAX(0,AM118-AL118))</f>
      </c>
      <c r="AO118" s="26">
        <f>IF($B118&lt;&gt;"Challan","",IF(ROUND(AL118-AM118,2)&gt;0,"Over-applied",IF(ROUND(AL118-AM118,2)=0,"Fully Utilised","Unconsumed")))</f>
      </c>
      <c r="AP118" s="27">
        <f>IF($B118&lt;&gt;"Entry","",SUMPRODUCT(($D$8:$D$207=D118)*($B$8:$B$207="Challan")*$E$8:$E$207))</f>
      </c>
    </row>
    <row r="119" spans="1:42" x14ac:dyDescent="0.25">
      <c r="A119" s="15">
        <f>IF($B119="Entry",COUNTIF($B$8:$B119,"Entry"),"")</f>
      </c>
      <c r="B119" s="16"/>
      <c r="C119" s="17"/>
      <c r="D119" s="17"/>
      <c r="E119" s="18"/>
      <c r="F119" s="19"/>
      <c r="G119" s="20"/>
      <c r="H119" s="20"/>
      <c r="I119" s="20"/>
      <c r="J119" s="20"/>
      <c r="K119" s="20"/>
      <c r="L119" s="20"/>
      <c r="M119" s="20"/>
      <c r="N119" s="21">
        <f>IF($B119&lt;&gt;"Challan","",G119+H119+I119+J119+K119+L119)</f>
      </c>
      <c r="O119" s="19"/>
      <c r="P119" s="19"/>
      <c r="Q119" s="19"/>
      <c r="R119" s="19"/>
      <c r="S119" s="19"/>
      <c r="T119" s="22"/>
      <c r="U119" s="22"/>
      <c r="V119" s="22"/>
      <c r="W119" s="22"/>
      <c r="X119" s="22"/>
      <c r="Y119" s="23"/>
      <c r="Z119" s="24"/>
      <c r="AA119" s="25"/>
      <c r="AB119" s="21">
        <f>IF($B119&lt;&gt;"Entry","",ROUND(AA119*Y119/100,0))</f>
      </c>
      <c r="AC119" s="25"/>
      <c r="AD119" s="25"/>
      <c r="AE119" s="21">
        <f>IF($B119&lt;&gt;"Entry","",IF(OR(AB119=0,Z119="",AP119="",AP119&lt;=0),0,IF(AP119&lt;=DATE(YEAR(Z119),MONTH(Z119)+1,7),0,ROUND(AB119*0.015*((YEAR(AP119)-YEAR(Z119))*12+(MONTH(AP119)-MONTH(Z119))+1),0))))</f>
      </c>
      <c r="AF119" s="25"/>
      <c r="AG119" s="22"/>
      <c r="AH119" s="22"/>
      <c r="AI119" s="23"/>
      <c r="AJ119" s="22"/>
      <c r="AK119" s="22"/>
      <c r="AL119" s="21">
        <f>IF($B119&lt;&gt;"Challan","",SUMIF($D$8:$D$207,D119,$AB$8:$AB$207)+SUMIF($D$8:$D$207,D119,$AE$8:$AE$207)+SUMIF($D$8:$D$207,D119,$AC$8:$AC$207))</f>
      </c>
      <c r="AM119" s="21">
        <f>IF($B119&lt;&gt;"Challan","",N119-L119)</f>
      </c>
      <c r="AN119" s="21">
        <f>IF($B119&lt;&gt;"Challan","",MAX(0,AM119-AL119))</f>
      </c>
      <c r="AO119" s="26">
        <f>IF($B119&lt;&gt;"Challan","",IF(ROUND(AL119-AM119,2)&gt;0,"Over-applied",IF(ROUND(AL119-AM119,2)=0,"Fully Utilised","Unconsumed")))</f>
      </c>
      <c r="AP119" s="27">
        <f>IF($B119&lt;&gt;"Entry","",SUMPRODUCT(($D$8:$D$207=D119)*($B$8:$B$207="Challan")*$E$8:$E$207))</f>
      </c>
    </row>
    <row r="120" spans="1:42" x14ac:dyDescent="0.25">
      <c r="A120" s="15">
        <f>IF($B120="Entry",COUNTIF($B$8:$B120,"Entry"),"")</f>
      </c>
      <c r="B120" s="16"/>
      <c r="C120" s="17"/>
      <c r="D120" s="17"/>
      <c r="E120" s="18"/>
      <c r="F120" s="19"/>
      <c r="G120" s="20"/>
      <c r="H120" s="20"/>
      <c r="I120" s="20"/>
      <c r="J120" s="20"/>
      <c r="K120" s="20"/>
      <c r="L120" s="20"/>
      <c r="M120" s="20"/>
      <c r="N120" s="21">
        <f>IF($B120&lt;&gt;"Challan","",G120+H120+I120+J120+K120+L120)</f>
      </c>
      <c r="O120" s="19"/>
      <c r="P120" s="19"/>
      <c r="Q120" s="19"/>
      <c r="R120" s="19"/>
      <c r="S120" s="19"/>
      <c r="T120" s="22"/>
      <c r="U120" s="22"/>
      <c r="V120" s="22"/>
      <c r="W120" s="22"/>
      <c r="X120" s="22"/>
      <c r="Y120" s="23"/>
      <c r="Z120" s="24"/>
      <c r="AA120" s="25"/>
      <c r="AB120" s="21">
        <f>IF($B120&lt;&gt;"Entry","",ROUND(AA120*Y120/100,0))</f>
      </c>
      <c r="AC120" s="25"/>
      <c r="AD120" s="25"/>
      <c r="AE120" s="21">
        <f>IF($B120&lt;&gt;"Entry","",IF(OR(AB120=0,Z120="",AP120="",AP120&lt;=0),0,IF(AP120&lt;=DATE(YEAR(Z120),MONTH(Z120)+1,7),0,ROUND(AB120*0.015*((YEAR(AP120)-YEAR(Z120))*12+(MONTH(AP120)-MONTH(Z120))+1),0))))</f>
      </c>
      <c r="AF120" s="25"/>
      <c r="AG120" s="22"/>
      <c r="AH120" s="22"/>
      <c r="AI120" s="23"/>
      <c r="AJ120" s="22"/>
      <c r="AK120" s="22"/>
      <c r="AL120" s="21">
        <f>IF($B120&lt;&gt;"Challan","",SUMIF($D$8:$D$207,D120,$AB$8:$AB$207)+SUMIF($D$8:$D$207,D120,$AE$8:$AE$207)+SUMIF($D$8:$D$207,D120,$AC$8:$AC$207))</f>
      </c>
      <c r="AM120" s="21">
        <f>IF($B120&lt;&gt;"Challan","",N120-L120)</f>
      </c>
      <c r="AN120" s="21">
        <f>IF($B120&lt;&gt;"Challan","",MAX(0,AM120-AL120))</f>
      </c>
      <c r="AO120" s="26">
        <f>IF($B120&lt;&gt;"Challan","",IF(ROUND(AL120-AM120,2)&gt;0,"Over-applied",IF(ROUND(AL120-AM120,2)=0,"Fully Utilised","Unconsumed")))</f>
      </c>
      <c r="AP120" s="27">
        <f>IF($B120&lt;&gt;"Entry","",SUMPRODUCT(($D$8:$D$207=D120)*($B$8:$B$207="Challan")*$E$8:$E$207))</f>
      </c>
    </row>
    <row r="121" spans="1:42" x14ac:dyDescent="0.25">
      <c r="A121" s="15">
        <f>IF($B121="Entry",COUNTIF($B$8:$B121,"Entry"),"")</f>
      </c>
      <c r="B121" s="16"/>
      <c r="C121" s="17"/>
      <c r="D121" s="17"/>
      <c r="E121" s="18"/>
      <c r="F121" s="19"/>
      <c r="G121" s="20"/>
      <c r="H121" s="20"/>
      <c r="I121" s="20"/>
      <c r="J121" s="20"/>
      <c r="K121" s="20"/>
      <c r="L121" s="20"/>
      <c r="M121" s="20"/>
      <c r="N121" s="21">
        <f>IF($B121&lt;&gt;"Challan","",G121+H121+I121+J121+K121+L121)</f>
      </c>
      <c r="O121" s="19"/>
      <c r="P121" s="19"/>
      <c r="Q121" s="19"/>
      <c r="R121" s="19"/>
      <c r="S121" s="19"/>
      <c r="T121" s="22"/>
      <c r="U121" s="22"/>
      <c r="V121" s="22"/>
      <c r="W121" s="22"/>
      <c r="X121" s="22"/>
      <c r="Y121" s="23"/>
      <c r="Z121" s="24"/>
      <c r="AA121" s="25"/>
      <c r="AB121" s="21">
        <f>IF($B121&lt;&gt;"Entry","",ROUND(AA121*Y121/100,0))</f>
      </c>
      <c r="AC121" s="25"/>
      <c r="AD121" s="25"/>
      <c r="AE121" s="21">
        <f>IF($B121&lt;&gt;"Entry","",IF(OR(AB121=0,Z121="",AP121="",AP121&lt;=0),0,IF(AP121&lt;=DATE(YEAR(Z121),MONTH(Z121)+1,7),0,ROUND(AB121*0.015*((YEAR(AP121)-YEAR(Z121))*12+(MONTH(AP121)-MONTH(Z121))+1),0))))</f>
      </c>
      <c r="AF121" s="25"/>
      <c r="AG121" s="22"/>
      <c r="AH121" s="22"/>
      <c r="AI121" s="23"/>
      <c r="AJ121" s="22"/>
      <c r="AK121" s="22"/>
      <c r="AL121" s="21">
        <f>IF($B121&lt;&gt;"Challan","",SUMIF($D$8:$D$207,D121,$AB$8:$AB$207)+SUMIF($D$8:$D$207,D121,$AE$8:$AE$207)+SUMIF($D$8:$D$207,D121,$AC$8:$AC$207))</f>
      </c>
      <c r="AM121" s="21">
        <f>IF($B121&lt;&gt;"Challan","",N121-L121)</f>
      </c>
      <c r="AN121" s="21">
        <f>IF($B121&lt;&gt;"Challan","",MAX(0,AM121-AL121))</f>
      </c>
      <c r="AO121" s="26">
        <f>IF($B121&lt;&gt;"Challan","",IF(ROUND(AL121-AM121,2)&gt;0,"Over-applied",IF(ROUND(AL121-AM121,2)=0,"Fully Utilised","Unconsumed")))</f>
      </c>
      <c r="AP121" s="27">
        <f>IF($B121&lt;&gt;"Entry","",SUMPRODUCT(($D$8:$D$207=D121)*($B$8:$B$207="Challan")*$E$8:$E$207))</f>
      </c>
    </row>
    <row r="122" spans="1:42" x14ac:dyDescent="0.25">
      <c r="A122" s="15">
        <f>IF($B122="Entry",COUNTIF($B$8:$B122,"Entry"),"")</f>
      </c>
      <c r="B122" s="16"/>
      <c r="C122" s="17"/>
      <c r="D122" s="17"/>
      <c r="E122" s="18"/>
      <c r="F122" s="19"/>
      <c r="G122" s="20"/>
      <c r="H122" s="20"/>
      <c r="I122" s="20"/>
      <c r="J122" s="20"/>
      <c r="K122" s="20"/>
      <c r="L122" s="20"/>
      <c r="M122" s="20"/>
      <c r="N122" s="21">
        <f>IF($B122&lt;&gt;"Challan","",G122+H122+I122+J122+K122+L122)</f>
      </c>
      <c r="O122" s="19"/>
      <c r="P122" s="19"/>
      <c r="Q122" s="19"/>
      <c r="R122" s="19"/>
      <c r="S122" s="19"/>
      <c r="T122" s="22"/>
      <c r="U122" s="22"/>
      <c r="V122" s="22"/>
      <c r="W122" s="22"/>
      <c r="X122" s="22"/>
      <c r="Y122" s="23"/>
      <c r="Z122" s="24"/>
      <c r="AA122" s="25"/>
      <c r="AB122" s="21">
        <f>IF($B122&lt;&gt;"Entry","",ROUND(AA122*Y122/100,0))</f>
      </c>
      <c r="AC122" s="25"/>
      <c r="AD122" s="25"/>
      <c r="AE122" s="21">
        <f>IF($B122&lt;&gt;"Entry","",IF(OR(AB122=0,Z122="",AP122="",AP122&lt;=0),0,IF(AP122&lt;=DATE(YEAR(Z122),MONTH(Z122)+1,7),0,ROUND(AB122*0.015*((YEAR(AP122)-YEAR(Z122))*12+(MONTH(AP122)-MONTH(Z122))+1),0))))</f>
      </c>
      <c r="AF122" s="25"/>
      <c r="AG122" s="22"/>
      <c r="AH122" s="22"/>
      <c r="AI122" s="23"/>
      <c r="AJ122" s="22"/>
      <c r="AK122" s="22"/>
      <c r="AL122" s="21">
        <f>IF($B122&lt;&gt;"Challan","",SUMIF($D$8:$D$207,D122,$AB$8:$AB$207)+SUMIF($D$8:$D$207,D122,$AE$8:$AE$207)+SUMIF($D$8:$D$207,D122,$AC$8:$AC$207))</f>
      </c>
      <c r="AM122" s="21">
        <f>IF($B122&lt;&gt;"Challan","",N122-L122)</f>
      </c>
      <c r="AN122" s="21">
        <f>IF($B122&lt;&gt;"Challan","",MAX(0,AM122-AL122))</f>
      </c>
      <c r="AO122" s="26">
        <f>IF($B122&lt;&gt;"Challan","",IF(ROUND(AL122-AM122,2)&gt;0,"Over-applied",IF(ROUND(AL122-AM122,2)=0,"Fully Utilised","Unconsumed")))</f>
      </c>
      <c r="AP122" s="27">
        <f>IF($B122&lt;&gt;"Entry","",SUMPRODUCT(($D$8:$D$207=D122)*($B$8:$B$207="Challan")*$E$8:$E$207))</f>
      </c>
    </row>
    <row r="123" spans="1:42" x14ac:dyDescent="0.25">
      <c r="A123" s="15">
        <f>IF($B123="Entry",COUNTIF($B$8:$B123,"Entry"),"")</f>
      </c>
      <c r="B123" s="16"/>
      <c r="C123" s="17"/>
      <c r="D123" s="17"/>
      <c r="E123" s="18"/>
      <c r="F123" s="19"/>
      <c r="G123" s="20"/>
      <c r="H123" s="20"/>
      <c r="I123" s="20"/>
      <c r="J123" s="20"/>
      <c r="K123" s="20"/>
      <c r="L123" s="20"/>
      <c r="M123" s="20"/>
      <c r="N123" s="21">
        <f>IF($B123&lt;&gt;"Challan","",G123+H123+I123+J123+K123+L123)</f>
      </c>
      <c r="O123" s="19"/>
      <c r="P123" s="19"/>
      <c r="Q123" s="19"/>
      <c r="R123" s="19"/>
      <c r="S123" s="19"/>
      <c r="T123" s="22"/>
      <c r="U123" s="22"/>
      <c r="V123" s="22"/>
      <c r="W123" s="22"/>
      <c r="X123" s="22"/>
      <c r="Y123" s="23"/>
      <c r="Z123" s="24"/>
      <c r="AA123" s="25"/>
      <c r="AB123" s="21">
        <f>IF($B123&lt;&gt;"Entry","",ROUND(AA123*Y123/100,0))</f>
      </c>
      <c r="AC123" s="25"/>
      <c r="AD123" s="25"/>
      <c r="AE123" s="21">
        <f>IF($B123&lt;&gt;"Entry","",IF(OR(AB123=0,Z123="",AP123="",AP123&lt;=0),0,IF(AP123&lt;=DATE(YEAR(Z123),MONTH(Z123)+1,7),0,ROUND(AB123*0.015*((YEAR(AP123)-YEAR(Z123))*12+(MONTH(AP123)-MONTH(Z123))+1),0))))</f>
      </c>
      <c r="AF123" s="25"/>
      <c r="AG123" s="22"/>
      <c r="AH123" s="22"/>
      <c r="AI123" s="23"/>
      <c r="AJ123" s="22"/>
      <c r="AK123" s="22"/>
      <c r="AL123" s="21">
        <f>IF($B123&lt;&gt;"Challan","",SUMIF($D$8:$D$207,D123,$AB$8:$AB$207)+SUMIF($D$8:$D$207,D123,$AE$8:$AE$207)+SUMIF($D$8:$D$207,D123,$AC$8:$AC$207))</f>
      </c>
      <c r="AM123" s="21">
        <f>IF($B123&lt;&gt;"Challan","",N123-L123)</f>
      </c>
      <c r="AN123" s="21">
        <f>IF($B123&lt;&gt;"Challan","",MAX(0,AM123-AL123))</f>
      </c>
      <c r="AO123" s="26">
        <f>IF($B123&lt;&gt;"Challan","",IF(ROUND(AL123-AM123,2)&gt;0,"Over-applied",IF(ROUND(AL123-AM123,2)=0,"Fully Utilised","Unconsumed")))</f>
      </c>
      <c r="AP123" s="27">
        <f>IF($B123&lt;&gt;"Entry","",SUMPRODUCT(($D$8:$D$207=D123)*($B$8:$B$207="Challan")*$E$8:$E$207))</f>
      </c>
    </row>
    <row r="124" spans="1:42" x14ac:dyDescent="0.25">
      <c r="A124" s="15">
        <f>IF($B124="Entry",COUNTIF($B$8:$B124,"Entry"),"")</f>
      </c>
      <c r="B124" s="16"/>
      <c r="C124" s="17"/>
      <c r="D124" s="17"/>
      <c r="E124" s="18"/>
      <c r="F124" s="19"/>
      <c r="G124" s="20"/>
      <c r="H124" s="20"/>
      <c r="I124" s="20"/>
      <c r="J124" s="20"/>
      <c r="K124" s="20"/>
      <c r="L124" s="20"/>
      <c r="M124" s="20"/>
      <c r="N124" s="21">
        <f>IF($B124&lt;&gt;"Challan","",G124+H124+I124+J124+K124+L124)</f>
      </c>
      <c r="O124" s="19"/>
      <c r="P124" s="19"/>
      <c r="Q124" s="19"/>
      <c r="R124" s="19"/>
      <c r="S124" s="19"/>
      <c r="T124" s="22"/>
      <c r="U124" s="22"/>
      <c r="V124" s="22"/>
      <c r="W124" s="22"/>
      <c r="X124" s="22"/>
      <c r="Y124" s="23"/>
      <c r="Z124" s="24"/>
      <c r="AA124" s="25"/>
      <c r="AB124" s="21">
        <f>IF($B124&lt;&gt;"Entry","",ROUND(AA124*Y124/100,0))</f>
      </c>
      <c r="AC124" s="25"/>
      <c r="AD124" s="25"/>
      <c r="AE124" s="21">
        <f>IF($B124&lt;&gt;"Entry","",IF(OR(AB124=0,Z124="",AP124="",AP124&lt;=0),0,IF(AP124&lt;=DATE(YEAR(Z124),MONTH(Z124)+1,7),0,ROUND(AB124*0.015*((YEAR(AP124)-YEAR(Z124))*12+(MONTH(AP124)-MONTH(Z124))+1),0))))</f>
      </c>
      <c r="AF124" s="25"/>
      <c r="AG124" s="22"/>
      <c r="AH124" s="22"/>
      <c r="AI124" s="23"/>
      <c r="AJ124" s="22"/>
      <c r="AK124" s="22"/>
      <c r="AL124" s="21">
        <f>IF($B124&lt;&gt;"Challan","",SUMIF($D$8:$D$207,D124,$AB$8:$AB$207)+SUMIF($D$8:$D$207,D124,$AE$8:$AE$207)+SUMIF($D$8:$D$207,D124,$AC$8:$AC$207))</f>
      </c>
      <c r="AM124" s="21">
        <f>IF($B124&lt;&gt;"Challan","",N124-L124)</f>
      </c>
      <c r="AN124" s="21">
        <f>IF($B124&lt;&gt;"Challan","",MAX(0,AM124-AL124))</f>
      </c>
      <c r="AO124" s="26">
        <f>IF($B124&lt;&gt;"Challan","",IF(ROUND(AL124-AM124,2)&gt;0,"Over-applied",IF(ROUND(AL124-AM124,2)=0,"Fully Utilised","Unconsumed")))</f>
      </c>
      <c r="AP124" s="27">
        <f>IF($B124&lt;&gt;"Entry","",SUMPRODUCT(($D$8:$D$207=D124)*($B$8:$B$207="Challan")*$E$8:$E$207))</f>
      </c>
    </row>
    <row r="125" spans="1:42" x14ac:dyDescent="0.25">
      <c r="A125" s="15">
        <f>IF($B125="Entry",COUNTIF($B$8:$B125,"Entry"),"")</f>
      </c>
      <c r="B125" s="16"/>
      <c r="C125" s="17"/>
      <c r="D125" s="17"/>
      <c r="E125" s="18"/>
      <c r="F125" s="19"/>
      <c r="G125" s="20"/>
      <c r="H125" s="20"/>
      <c r="I125" s="20"/>
      <c r="J125" s="20"/>
      <c r="K125" s="20"/>
      <c r="L125" s="20"/>
      <c r="M125" s="20"/>
      <c r="N125" s="21">
        <f>IF($B125&lt;&gt;"Challan","",G125+H125+I125+J125+K125+L125)</f>
      </c>
      <c r="O125" s="19"/>
      <c r="P125" s="19"/>
      <c r="Q125" s="19"/>
      <c r="R125" s="19"/>
      <c r="S125" s="19"/>
      <c r="T125" s="22"/>
      <c r="U125" s="22"/>
      <c r="V125" s="22"/>
      <c r="W125" s="22"/>
      <c r="X125" s="22"/>
      <c r="Y125" s="23"/>
      <c r="Z125" s="24"/>
      <c r="AA125" s="25"/>
      <c r="AB125" s="21">
        <f>IF($B125&lt;&gt;"Entry","",ROUND(AA125*Y125/100,0))</f>
      </c>
      <c r="AC125" s="25"/>
      <c r="AD125" s="25"/>
      <c r="AE125" s="21">
        <f>IF($B125&lt;&gt;"Entry","",IF(OR(AB125=0,Z125="",AP125="",AP125&lt;=0),0,IF(AP125&lt;=DATE(YEAR(Z125),MONTH(Z125)+1,7),0,ROUND(AB125*0.015*((YEAR(AP125)-YEAR(Z125))*12+(MONTH(AP125)-MONTH(Z125))+1),0))))</f>
      </c>
      <c r="AF125" s="25"/>
      <c r="AG125" s="22"/>
      <c r="AH125" s="22"/>
      <c r="AI125" s="23"/>
      <c r="AJ125" s="22"/>
      <c r="AK125" s="22"/>
      <c r="AL125" s="21">
        <f>IF($B125&lt;&gt;"Challan","",SUMIF($D$8:$D$207,D125,$AB$8:$AB$207)+SUMIF($D$8:$D$207,D125,$AE$8:$AE$207)+SUMIF($D$8:$D$207,D125,$AC$8:$AC$207))</f>
      </c>
      <c r="AM125" s="21">
        <f>IF($B125&lt;&gt;"Challan","",N125-L125)</f>
      </c>
      <c r="AN125" s="21">
        <f>IF($B125&lt;&gt;"Challan","",MAX(0,AM125-AL125))</f>
      </c>
      <c r="AO125" s="26">
        <f>IF($B125&lt;&gt;"Challan","",IF(ROUND(AL125-AM125,2)&gt;0,"Over-applied",IF(ROUND(AL125-AM125,2)=0,"Fully Utilised","Unconsumed")))</f>
      </c>
      <c r="AP125" s="27">
        <f>IF($B125&lt;&gt;"Entry","",SUMPRODUCT(($D$8:$D$207=D125)*($B$8:$B$207="Challan")*$E$8:$E$207))</f>
      </c>
    </row>
    <row r="126" spans="1:42" x14ac:dyDescent="0.25">
      <c r="A126" s="15">
        <f>IF($B126="Entry",COUNTIF($B$8:$B126,"Entry"),"")</f>
      </c>
      <c r="B126" s="16"/>
      <c r="C126" s="17"/>
      <c r="D126" s="17"/>
      <c r="E126" s="18"/>
      <c r="F126" s="19"/>
      <c r="G126" s="20"/>
      <c r="H126" s="20"/>
      <c r="I126" s="20"/>
      <c r="J126" s="20"/>
      <c r="K126" s="20"/>
      <c r="L126" s="20"/>
      <c r="M126" s="20"/>
      <c r="N126" s="21">
        <f>IF($B126&lt;&gt;"Challan","",G126+H126+I126+J126+K126+L126)</f>
      </c>
      <c r="O126" s="19"/>
      <c r="P126" s="19"/>
      <c r="Q126" s="19"/>
      <c r="R126" s="19"/>
      <c r="S126" s="19"/>
      <c r="T126" s="22"/>
      <c r="U126" s="22"/>
      <c r="V126" s="22"/>
      <c r="W126" s="22"/>
      <c r="X126" s="22"/>
      <c r="Y126" s="23"/>
      <c r="Z126" s="24"/>
      <c r="AA126" s="25"/>
      <c r="AB126" s="21">
        <f>IF($B126&lt;&gt;"Entry","",ROUND(AA126*Y126/100,0))</f>
      </c>
      <c r="AC126" s="25"/>
      <c r="AD126" s="25"/>
      <c r="AE126" s="21">
        <f>IF($B126&lt;&gt;"Entry","",IF(OR(AB126=0,Z126="",AP126="",AP126&lt;=0),0,IF(AP126&lt;=DATE(YEAR(Z126),MONTH(Z126)+1,7),0,ROUND(AB126*0.015*((YEAR(AP126)-YEAR(Z126))*12+(MONTH(AP126)-MONTH(Z126))+1),0))))</f>
      </c>
      <c r="AF126" s="25"/>
      <c r="AG126" s="22"/>
      <c r="AH126" s="22"/>
      <c r="AI126" s="23"/>
      <c r="AJ126" s="22"/>
      <c r="AK126" s="22"/>
      <c r="AL126" s="21">
        <f>IF($B126&lt;&gt;"Challan","",SUMIF($D$8:$D$207,D126,$AB$8:$AB$207)+SUMIF($D$8:$D$207,D126,$AE$8:$AE$207)+SUMIF($D$8:$D$207,D126,$AC$8:$AC$207))</f>
      </c>
      <c r="AM126" s="21">
        <f>IF($B126&lt;&gt;"Challan","",N126-L126)</f>
      </c>
      <c r="AN126" s="21">
        <f>IF($B126&lt;&gt;"Challan","",MAX(0,AM126-AL126))</f>
      </c>
      <c r="AO126" s="26">
        <f>IF($B126&lt;&gt;"Challan","",IF(ROUND(AL126-AM126,2)&gt;0,"Over-applied",IF(ROUND(AL126-AM126,2)=0,"Fully Utilised","Unconsumed")))</f>
      </c>
      <c r="AP126" s="27">
        <f>IF($B126&lt;&gt;"Entry","",SUMPRODUCT(($D$8:$D$207=D126)*($B$8:$B$207="Challan")*$E$8:$E$207))</f>
      </c>
    </row>
    <row r="127" spans="1:42" x14ac:dyDescent="0.25">
      <c r="A127" s="15">
        <f>IF($B127="Entry",COUNTIF($B$8:$B127,"Entry"),"")</f>
      </c>
      <c r="B127" s="16"/>
      <c r="C127" s="17"/>
      <c r="D127" s="17"/>
      <c r="E127" s="18"/>
      <c r="F127" s="19"/>
      <c r="G127" s="20"/>
      <c r="H127" s="20"/>
      <c r="I127" s="20"/>
      <c r="J127" s="20"/>
      <c r="K127" s="20"/>
      <c r="L127" s="20"/>
      <c r="M127" s="20"/>
      <c r="N127" s="21">
        <f>IF($B127&lt;&gt;"Challan","",G127+H127+I127+J127+K127+L127)</f>
      </c>
      <c r="O127" s="19"/>
      <c r="P127" s="19"/>
      <c r="Q127" s="19"/>
      <c r="R127" s="19"/>
      <c r="S127" s="19"/>
      <c r="T127" s="22"/>
      <c r="U127" s="22"/>
      <c r="V127" s="22"/>
      <c r="W127" s="22"/>
      <c r="X127" s="22"/>
      <c r="Y127" s="23"/>
      <c r="Z127" s="24"/>
      <c r="AA127" s="25"/>
      <c r="AB127" s="21">
        <f>IF($B127&lt;&gt;"Entry","",ROUND(AA127*Y127/100,0))</f>
      </c>
      <c r="AC127" s="25"/>
      <c r="AD127" s="25"/>
      <c r="AE127" s="21">
        <f>IF($B127&lt;&gt;"Entry","",IF(OR(AB127=0,Z127="",AP127="",AP127&lt;=0),0,IF(AP127&lt;=DATE(YEAR(Z127),MONTH(Z127)+1,7),0,ROUND(AB127*0.015*((YEAR(AP127)-YEAR(Z127))*12+(MONTH(AP127)-MONTH(Z127))+1),0))))</f>
      </c>
      <c r="AF127" s="25"/>
      <c r="AG127" s="22"/>
      <c r="AH127" s="22"/>
      <c r="AI127" s="23"/>
      <c r="AJ127" s="22"/>
      <c r="AK127" s="22"/>
      <c r="AL127" s="21">
        <f>IF($B127&lt;&gt;"Challan","",SUMIF($D$8:$D$207,D127,$AB$8:$AB$207)+SUMIF($D$8:$D$207,D127,$AE$8:$AE$207)+SUMIF($D$8:$D$207,D127,$AC$8:$AC$207))</f>
      </c>
      <c r="AM127" s="21">
        <f>IF($B127&lt;&gt;"Challan","",N127-L127)</f>
      </c>
      <c r="AN127" s="21">
        <f>IF($B127&lt;&gt;"Challan","",MAX(0,AM127-AL127))</f>
      </c>
      <c r="AO127" s="26">
        <f>IF($B127&lt;&gt;"Challan","",IF(ROUND(AL127-AM127,2)&gt;0,"Over-applied",IF(ROUND(AL127-AM127,2)=0,"Fully Utilised","Unconsumed")))</f>
      </c>
      <c r="AP127" s="27">
        <f>IF($B127&lt;&gt;"Entry","",SUMPRODUCT(($D$8:$D$207=D127)*($B$8:$B$207="Challan")*$E$8:$E$207))</f>
      </c>
    </row>
    <row r="128" spans="1:42" x14ac:dyDescent="0.25">
      <c r="A128" s="15">
        <f>IF($B128="Entry",COUNTIF($B$8:$B128,"Entry"),"")</f>
      </c>
      <c r="B128" s="16"/>
      <c r="C128" s="17"/>
      <c r="D128" s="17"/>
      <c r="E128" s="18"/>
      <c r="F128" s="19"/>
      <c r="G128" s="20"/>
      <c r="H128" s="20"/>
      <c r="I128" s="20"/>
      <c r="J128" s="20"/>
      <c r="K128" s="20"/>
      <c r="L128" s="20"/>
      <c r="M128" s="20"/>
      <c r="N128" s="21">
        <f>IF($B128&lt;&gt;"Challan","",G128+H128+I128+J128+K128+L128)</f>
      </c>
      <c r="O128" s="19"/>
      <c r="P128" s="19"/>
      <c r="Q128" s="19"/>
      <c r="R128" s="19"/>
      <c r="S128" s="19"/>
      <c r="T128" s="22"/>
      <c r="U128" s="22"/>
      <c r="V128" s="22"/>
      <c r="W128" s="22"/>
      <c r="X128" s="22"/>
      <c r="Y128" s="23"/>
      <c r="Z128" s="24"/>
      <c r="AA128" s="25"/>
      <c r="AB128" s="21">
        <f>IF($B128&lt;&gt;"Entry","",ROUND(AA128*Y128/100,0))</f>
      </c>
      <c r="AC128" s="25"/>
      <c r="AD128" s="25"/>
      <c r="AE128" s="21">
        <f>IF($B128&lt;&gt;"Entry","",IF(OR(AB128=0,Z128="",AP128="",AP128&lt;=0),0,IF(AP128&lt;=DATE(YEAR(Z128),MONTH(Z128)+1,7),0,ROUND(AB128*0.015*((YEAR(AP128)-YEAR(Z128))*12+(MONTH(AP128)-MONTH(Z128))+1),0))))</f>
      </c>
      <c r="AF128" s="25"/>
      <c r="AG128" s="22"/>
      <c r="AH128" s="22"/>
      <c r="AI128" s="23"/>
      <c r="AJ128" s="22"/>
      <c r="AK128" s="22"/>
      <c r="AL128" s="21">
        <f>IF($B128&lt;&gt;"Challan","",SUMIF($D$8:$D$207,D128,$AB$8:$AB$207)+SUMIF($D$8:$D$207,D128,$AE$8:$AE$207)+SUMIF($D$8:$D$207,D128,$AC$8:$AC$207))</f>
      </c>
      <c r="AM128" s="21">
        <f>IF($B128&lt;&gt;"Challan","",N128-L128)</f>
      </c>
      <c r="AN128" s="21">
        <f>IF($B128&lt;&gt;"Challan","",MAX(0,AM128-AL128))</f>
      </c>
      <c r="AO128" s="26">
        <f>IF($B128&lt;&gt;"Challan","",IF(ROUND(AL128-AM128,2)&gt;0,"Over-applied",IF(ROUND(AL128-AM128,2)=0,"Fully Utilised","Unconsumed")))</f>
      </c>
      <c r="AP128" s="27">
        <f>IF($B128&lt;&gt;"Entry","",SUMPRODUCT(($D$8:$D$207=D128)*($B$8:$B$207="Challan")*$E$8:$E$207))</f>
      </c>
    </row>
    <row r="129" spans="1:42" x14ac:dyDescent="0.25">
      <c r="A129" s="15">
        <f>IF($B129="Entry",COUNTIF($B$8:$B129,"Entry"),"")</f>
      </c>
      <c r="B129" s="16"/>
      <c r="C129" s="17"/>
      <c r="D129" s="17"/>
      <c r="E129" s="18"/>
      <c r="F129" s="19"/>
      <c r="G129" s="20"/>
      <c r="H129" s="20"/>
      <c r="I129" s="20"/>
      <c r="J129" s="20"/>
      <c r="K129" s="20"/>
      <c r="L129" s="20"/>
      <c r="M129" s="20"/>
      <c r="N129" s="21">
        <f>IF($B129&lt;&gt;"Challan","",G129+H129+I129+J129+K129+L129)</f>
      </c>
      <c r="O129" s="19"/>
      <c r="P129" s="19"/>
      <c r="Q129" s="19"/>
      <c r="R129" s="19"/>
      <c r="S129" s="19"/>
      <c r="T129" s="22"/>
      <c r="U129" s="22"/>
      <c r="V129" s="22"/>
      <c r="W129" s="22"/>
      <c r="X129" s="22"/>
      <c r="Y129" s="23"/>
      <c r="Z129" s="24"/>
      <c r="AA129" s="25"/>
      <c r="AB129" s="21">
        <f>IF($B129&lt;&gt;"Entry","",ROUND(AA129*Y129/100,0))</f>
      </c>
      <c r="AC129" s="25"/>
      <c r="AD129" s="25"/>
      <c r="AE129" s="21">
        <f>IF($B129&lt;&gt;"Entry","",IF(OR(AB129=0,Z129="",AP129="",AP129&lt;=0),0,IF(AP129&lt;=DATE(YEAR(Z129),MONTH(Z129)+1,7),0,ROUND(AB129*0.015*((YEAR(AP129)-YEAR(Z129))*12+(MONTH(AP129)-MONTH(Z129))+1),0))))</f>
      </c>
      <c r="AF129" s="25"/>
      <c r="AG129" s="22"/>
      <c r="AH129" s="22"/>
      <c r="AI129" s="23"/>
      <c r="AJ129" s="22"/>
      <c r="AK129" s="22"/>
      <c r="AL129" s="21">
        <f>IF($B129&lt;&gt;"Challan","",SUMIF($D$8:$D$207,D129,$AB$8:$AB$207)+SUMIF($D$8:$D$207,D129,$AE$8:$AE$207)+SUMIF($D$8:$D$207,D129,$AC$8:$AC$207))</f>
      </c>
      <c r="AM129" s="21">
        <f>IF($B129&lt;&gt;"Challan","",N129-L129)</f>
      </c>
      <c r="AN129" s="21">
        <f>IF($B129&lt;&gt;"Challan","",MAX(0,AM129-AL129))</f>
      </c>
      <c r="AO129" s="26">
        <f>IF($B129&lt;&gt;"Challan","",IF(ROUND(AL129-AM129,2)&gt;0,"Over-applied",IF(ROUND(AL129-AM129,2)=0,"Fully Utilised","Unconsumed")))</f>
      </c>
      <c r="AP129" s="27">
        <f>IF($B129&lt;&gt;"Entry","",SUMPRODUCT(($D$8:$D$207=D129)*($B$8:$B$207="Challan")*$E$8:$E$207))</f>
      </c>
    </row>
    <row r="130" spans="1:42" x14ac:dyDescent="0.25">
      <c r="A130" s="15">
        <f>IF($B130="Entry",COUNTIF($B$8:$B130,"Entry"),"")</f>
      </c>
      <c r="B130" s="16"/>
      <c r="C130" s="17"/>
      <c r="D130" s="17"/>
      <c r="E130" s="18"/>
      <c r="F130" s="19"/>
      <c r="G130" s="20"/>
      <c r="H130" s="20"/>
      <c r="I130" s="20"/>
      <c r="J130" s="20"/>
      <c r="K130" s="20"/>
      <c r="L130" s="20"/>
      <c r="M130" s="20"/>
      <c r="N130" s="21">
        <f>IF($B130&lt;&gt;"Challan","",G130+H130+I130+J130+K130+L130)</f>
      </c>
      <c r="O130" s="19"/>
      <c r="P130" s="19"/>
      <c r="Q130" s="19"/>
      <c r="R130" s="19"/>
      <c r="S130" s="19"/>
      <c r="T130" s="22"/>
      <c r="U130" s="22"/>
      <c r="V130" s="22"/>
      <c r="W130" s="22"/>
      <c r="X130" s="22"/>
      <c r="Y130" s="23"/>
      <c r="Z130" s="24"/>
      <c r="AA130" s="25"/>
      <c r="AB130" s="21">
        <f>IF($B130&lt;&gt;"Entry","",ROUND(AA130*Y130/100,0))</f>
      </c>
      <c r="AC130" s="25"/>
      <c r="AD130" s="25"/>
      <c r="AE130" s="21">
        <f>IF($B130&lt;&gt;"Entry","",IF(OR(AB130=0,Z130="",AP130="",AP130&lt;=0),0,IF(AP130&lt;=DATE(YEAR(Z130),MONTH(Z130)+1,7),0,ROUND(AB130*0.015*((YEAR(AP130)-YEAR(Z130))*12+(MONTH(AP130)-MONTH(Z130))+1),0))))</f>
      </c>
      <c r="AF130" s="25"/>
      <c r="AG130" s="22"/>
      <c r="AH130" s="22"/>
      <c r="AI130" s="23"/>
      <c r="AJ130" s="22"/>
      <c r="AK130" s="22"/>
      <c r="AL130" s="21">
        <f>IF($B130&lt;&gt;"Challan","",SUMIF($D$8:$D$207,D130,$AB$8:$AB$207)+SUMIF($D$8:$D$207,D130,$AE$8:$AE$207)+SUMIF($D$8:$D$207,D130,$AC$8:$AC$207))</f>
      </c>
      <c r="AM130" s="21">
        <f>IF($B130&lt;&gt;"Challan","",N130-L130)</f>
      </c>
      <c r="AN130" s="21">
        <f>IF($B130&lt;&gt;"Challan","",MAX(0,AM130-AL130))</f>
      </c>
      <c r="AO130" s="26">
        <f>IF($B130&lt;&gt;"Challan","",IF(ROUND(AL130-AM130,2)&gt;0,"Over-applied",IF(ROUND(AL130-AM130,2)=0,"Fully Utilised","Unconsumed")))</f>
      </c>
      <c r="AP130" s="27">
        <f>IF($B130&lt;&gt;"Entry","",SUMPRODUCT(($D$8:$D$207=D130)*($B$8:$B$207="Challan")*$E$8:$E$207))</f>
      </c>
    </row>
    <row r="131" spans="1:42" x14ac:dyDescent="0.25">
      <c r="A131" s="15">
        <f>IF($B131="Entry",COUNTIF($B$8:$B131,"Entry"),"")</f>
      </c>
      <c r="B131" s="16"/>
      <c r="C131" s="17"/>
      <c r="D131" s="17"/>
      <c r="E131" s="18"/>
      <c r="F131" s="19"/>
      <c r="G131" s="20"/>
      <c r="H131" s="20"/>
      <c r="I131" s="20"/>
      <c r="J131" s="20"/>
      <c r="K131" s="20"/>
      <c r="L131" s="20"/>
      <c r="M131" s="20"/>
      <c r="N131" s="21">
        <f>IF($B131&lt;&gt;"Challan","",G131+H131+I131+J131+K131+L131)</f>
      </c>
      <c r="O131" s="19"/>
      <c r="P131" s="19"/>
      <c r="Q131" s="19"/>
      <c r="R131" s="19"/>
      <c r="S131" s="19"/>
      <c r="T131" s="22"/>
      <c r="U131" s="22"/>
      <c r="V131" s="22"/>
      <c r="W131" s="22"/>
      <c r="X131" s="22"/>
      <c r="Y131" s="23"/>
      <c r="Z131" s="24"/>
      <c r="AA131" s="25"/>
      <c r="AB131" s="21">
        <f>IF($B131&lt;&gt;"Entry","",ROUND(AA131*Y131/100,0))</f>
      </c>
      <c r="AC131" s="25"/>
      <c r="AD131" s="25"/>
      <c r="AE131" s="21">
        <f>IF($B131&lt;&gt;"Entry","",IF(OR(AB131=0,Z131="",AP131="",AP131&lt;=0),0,IF(AP131&lt;=DATE(YEAR(Z131),MONTH(Z131)+1,7),0,ROUND(AB131*0.015*((YEAR(AP131)-YEAR(Z131))*12+(MONTH(AP131)-MONTH(Z131))+1),0))))</f>
      </c>
      <c r="AF131" s="25"/>
      <c r="AG131" s="22"/>
      <c r="AH131" s="22"/>
      <c r="AI131" s="23"/>
      <c r="AJ131" s="22"/>
      <c r="AK131" s="22"/>
      <c r="AL131" s="21">
        <f>IF($B131&lt;&gt;"Challan","",SUMIF($D$8:$D$207,D131,$AB$8:$AB$207)+SUMIF($D$8:$D$207,D131,$AE$8:$AE$207)+SUMIF($D$8:$D$207,D131,$AC$8:$AC$207))</f>
      </c>
      <c r="AM131" s="21">
        <f>IF($B131&lt;&gt;"Challan","",N131-L131)</f>
      </c>
      <c r="AN131" s="21">
        <f>IF($B131&lt;&gt;"Challan","",MAX(0,AM131-AL131))</f>
      </c>
      <c r="AO131" s="26">
        <f>IF($B131&lt;&gt;"Challan","",IF(ROUND(AL131-AM131,2)&gt;0,"Over-applied",IF(ROUND(AL131-AM131,2)=0,"Fully Utilised","Unconsumed")))</f>
      </c>
      <c r="AP131" s="27">
        <f>IF($B131&lt;&gt;"Entry","",SUMPRODUCT(($D$8:$D$207=D131)*($B$8:$B$207="Challan")*$E$8:$E$207))</f>
      </c>
    </row>
    <row r="132" spans="1:42" x14ac:dyDescent="0.25">
      <c r="A132" s="15">
        <f>IF($B132="Entry",COUNTIF($B$8:$B132,"Entry"),"")</f>
      </c>
      <c r="B132" s="16"/>
      <c r="C132" s="17"/>
      <c r="D132" s="17"/>
      <c r="E132" s="18"/>
      <c r="F132" s="19"/>
      <c r="G132" s="20"/>
      <c r="H132" s="20"/>
      <c r="I132" s="20"/>
      <c r="J132" s="20"/>
      <c r="K132" s="20"/>
      <c r="L132" s="20"/>
      <c r="M132" s="20"/>
      <c r="N132" s="21">
        <f>IF($B132&lt;&gt;"Challan","",G132+H132+I132+J132+K132+L132)</f>
      </c>
      <c r="O132" s="19"/>
      <c r="P132" s="19"/>
      <c r="Q132" s="19"/>
      <c r="R132" s="19"/>
      <c r="S132" s="19"/>
      <c r="T132" s="22"/>
      <c r="U132" s="22"/>
      <c r="V132" s="22"/>
      <c r="W132" s="22"/>
      <c r="X132" s="22"/>
      <c r="Y132" s="23"/>
      <c r="Z132" s="24"/>
      <c r="AA132" s="25"/>
      <c r="AB132" s="21">
        <f>IF($B132&lt;&gt;"Entry","",ROUND(AA132*Y132/100,0))</f>
      </c>
      <c r="AC132" s="25"/>
      <c r="AD132" s="25"/>
      <c r="AE132" s="21">
        <f>IF($B132&lt;&gt;"Entry","",IF(OR(AB132=0,Z132="",AP132="",AP132&lt;=0),0,IF(AP132&lt;=DATE(YEAR(Z132),MONTH(Z132)+1,7),0,ROUND(AB132*0.015*((YEAR(AP132)-YEAR(Z132))*12+(MONTH(AP132)-MONTH(Z132))+1),0))))</f>
      </c>
      <c r="AF132" s="25"/>
      <c r="AG132" s="22"/>
      <c r="AH132" s="22"/>
      <c r="AI132" s="23"/>
      <c r="AJ132" s="22"/>
      <c r="AK132" s="22"/>
      <c r="AL132" s="21">
        <f>IF($B132&lt;&gt;"Challan","",SUMIF($D$8:$D$207,D132,$AB$8:$AB$207)+SUMIF($D$8:$D$207,D132,$AE$8:$AE$207)+SUMIF($D$8:$D$207,D132,$AC$8:$AC$207))</f>
      </c>
      <c r="AM132" s="21">
        <f>IF($B132&lt;&gt;"Challan","",N132-L132)</f>
      </c>
      <c r="AN132" s="21">
        <f>IF($B132&lt;&gt;"Challan","",MAX(0,AM132-AL132))</f>
      </c>
      <c r="AO132" s="26">
        <f>IF($B132&lt;&gt;"Challan","",IF(ROUND(AL132-AM132,2)&gt;0,"Over-applied",IF(ROUND(AL132-AM132,2)=0,"Fully Utilised","Unconsumed")))</f>
      </c>
      <c r="AP132" s="27">
        <f>IF($B132&lt;&gt;"Entry","",SUMPRODUCT(($D$8:$D$207=D132)*($B$8:$B$207="Challan")*$E$8:$E$207))</f>
      </c>
    </row>
    <row r="133" spans="1:42" x14ac:dyDescent="0.25">
      <c r="A133" s="15">
        <f>IF($B133="Entry",COUNTIF($B$8:$B133,"Entry"),"")</f>
      </c>
      <c r="B133" s="16"/>
      <c r="C133" s="17"/>
      <c r="D133" s="17"/>
      <c r="E133" s="18"/>
      <c r="F133" s="19"/>
      <c r="G133" s="20"/>
      <c r="H133" s="20"/>
      <c r="I133" s="20"/>
      <c r="J133" s="20"/>
      <c r="K133" s="20"/>
      <c r="L133" s="20"/>
      <c r="M133" s="20"/>
      <c r="N133" s="21">
        <f>IF($B133&lt;&gt;"Challan","",G133+H133+I133+J133+K133+L133)</f>
      </c>
      <c r="O133" s="19"/>
      <c r="P133" s="19"/>
      <c r="Q133" s="19"/>
      <c r="R133" s="19"/>
      <c r="S133" s="19"/>
      <c r="T133" s="22"/>
      <c r="U133" s="22"/>
      <c r="V133" s="22"/>
      <c r="W133" s="22"/>
      <c r="X133" s="22"/>
      <c r="Y133" s="23"/>
      <c r="Z133" s="24"/>
      <c r="AA133" s="25"/>
      <c r="AB133" s="21">
        <f>IF($B133&lt;&gt;"Entry","",ROUND(AA133*Y133/100,0))</f>
      </c>
      <c r="AC133" s="25"/>
      <c r="AD133" s="25"/>
      <c r="AE133" s="21">
        <f>IF($B133&lt;&gt;"Entry","",IF(OR(AB133=0,Z133="",AP133="",AP133&lt;=0),0,IF(AP133&lt;=DATE(YEAR(Z133),MONTH(Z133)+1,7),0,ROUND(AB133*0.015*((YEAR(AP133)-YEAR(Z133))*12+(MONTH(AP133)-MONTH(Z133))+1),0))))</f>
      </c>
      <c r="AF133" s="25"/>
      <c r="AG133" s="22"/>
      <c r="AH133" s="22"/>
      <c r="AI133" s="23"/>
      <c r="AJ133" s="22"/>
      <c r="AK133" s="22"/>
      <c r="AL133" s="21">
        <f>IF($B133&lt;&gt;"Challan","",SUMIF($D$8:$D$207,D133,$AB$8:$AB$207)+SUMIF($D$8:$D$207,D133,$AE$8:$AE$207)+SUMIF($D$8:$D$207,D133,$AC$8:$AC$207))</f>
      </c>
      <c r="AM133" s="21">
        <f>IF($B133&lt;&gt;"Challan","",N133-L133)</f>
      </c>
      <c r="AN133" s="21">
        <f>IF($B133&lt;&gt;"Challan","",MAX(0,AM133-AL133))</f>
      </c>
      <c r="AO133" s="26">
        <f>IF($B133&lt;&gt;"Challan","",IF(ROUND(AL133-AM133,2)&gt;0,"Over-applied",IF(ROUND(AL133-AM133,2)=0,"Fully Utilised","Unconsumed")))</f>
      </c>
      <c r="AP133" s="27">
        <f>IF($B133&lt;&gt;"Entry","",SUMPRODUCT(($D$8:$D$207=D133)*($B$8:$B$207="Challan")*$E$8:$E$207))</f>
      </c>
    </row>
    <row r="134" spans="1:42" x14ac:dyDescent="0.25">
      <c r="A134" s="15">
        <f>IF($B134="Entry",COUNTIF($B$8:$B134,"Entry"),"")</f>
      </c>
      <c r="B134" s="16"/>
      <c r="C134" s="17"/>
      <c r="D134" s="17"/>
      <c r="E134" s="18"/>
      <c r="F134" s="19"/>
      <c r="G134" s="20"/>
      <c r="H134" s="20"/>
      <c r="I134" s="20"/>
      <c r="J134" s="20"/>
      <c r="K134" s="20"/>
      <c r="L134" s="20"/>
      <c r="M134" s="20"/>
      <c r="N134" s="21">
        <f>IF($B134&lt;&gt;"Challan","",G134+H134+I134+J134+K134+L134)</f>
      </c>
      <c r="O134" s="19"/>
      <c r="P134" s="19"/>
      <c r="Q134" s="19"/>
      <c r="R134" s="19"/>
      <c r="S134" s="19"/>
      <c r="T134" s="22"/>
      <c r="U134" s="22"/>
      <c r="V134" s="22"/>
      <c r="W134" s="22"/>
      <c r="X134" s="22"/>
      <c r="Y134" s="23"/>
      <c r="Z134" s="24"/>
      <c r="AA134" s="25"/>
      <c r="AB134" s="21">
        <f>IF($B134&lt;&gt;"Entry","",ROUND(AA134*Y134/100,0))</f>
      </c>
      <c r="AC134" s="25"/>
      <c r="AD134" s="25"/>
      <c r="AE134" s="21">
        <f>IF($B134&lt;&gt;"Entry","",IF(OR(AB134=0,Z134="",AP134="",AP134&lt;=0),0,IF(AP134&lt;=DATE(YEAR(Z134),MONTH(Z134)+1,7),0,ROUND(AB134*0.015*((YEAR(AP134)-YEAR(Z134))*12+(MONTH(AP134)-MONTH(Z134))+1),0))))</f>
      </c>
      <c r="AF134" s="25"/>
      <c r="AG134" s="22"/>
      <c r="AH134" s="22"/>
      <c r="AI134" s="23"/>
      <c r="AJ134" s="22"/>
      <c r="AK134" s="22"/>
      <c r="AL134" s="21">
        <f>IF($B134&lt;&gt;"Challan","",SUMIF($D$8:$D$207,D134,$AB$8:$AB$207)+SUMIF($D$8:$D$207,D134,$AE$8:$AE$207)+SUMIF($D$8:$D$207,D134,$AC$8:$AC$207))</f>
      </c>
      <c r="AM134" s="21">
        <f>IF($B134&lt;&gt;"Challan","",N134-L134)</f>
      </c>
      <c r="AN134" s="21">
        <f>IF($B134&lt;&gt;"Challan","",MAX(0,AM134-AL134))</f>
      </c>
      <c r="AO134" s="26">
        <f>IF($B134&lt;&gt;"Challan","",IF(ROUND(AL134-AM134,2)&gt;0,"Over-applied",IF(ROUND(AL134-AM134,2)=0,"Fully Utilised","Unconsumed")))</f>
      </c>
      <c r="AP134" s="27">
        <f>IF($B134&lt;&gt;"Entry","",SUMPRODUCT(($D$8:$D$207=D134)*($B$8:$B$207="Challan")*$E$8:$E$207))</f>
      </c>
    </row>
    <row r="135" spans="1:42" x14ac:dyDescent="0.25">
      <c r="A135" s="15">
        <f>IF($B135="Entry",COUNTIF($B$8:$B135,"Entry"),"")</f>
      </c>
      <c r="B135" s="16"/>
      <c r="C135" s="17"/>
      <c r="D135" s="17"/>
      <c r="E135" s="18"/>
      <c r="F135" s="19"/>
      <c r="G135" s="20"/>
      <c r="H135" s="20"/>
      <c r="I135" s="20"/>
      <c r="J135" s="20"/>
      <c r="K135" s="20"/>
      <c r="L135" s="20"/>
      <c r="M135" s="20"/>
      <c r="N135" s="21">
        <f>IF($B135&lt;&gt;"Challan","",G135+H135+I135+J135+K135+L135)</f>
      </c>
      <c r="O135" s="19"/>
      <c r="P135" s="19"/>
      <c r="Q135" s="19"/>
      <c r="R135" s="19"/>
      <c r="S135" s="19"/>
      <c r="T135" s="22"/>
      <c r="U135" s="22"/>
      <c r="V135" s="22"/>
      <c r="W135" s="22"/>
      <c r="X135" s="22"/>
      <c r="Y135" s="23"/>
      <c r="Z135" s="24"/>
      <c r="AA135" s="25"/>
      <c r="AB135" s="21">
        <f>IF($B135&lt;&gt;"Entry","",ROUND(AA135*Y135/100,0))</f>
      </c>
      <c r="AC135" s="25"/>
      <c r="AD135" s="25"/>
      <c r="AE135" s="21">
        <f>IF($B135&lt;&gt;"Entry","",IF(OR(AB135=0,Z135="",AP135="",AP135&lt;=0),0,IF(AP135&lt;=DATE(YEAR(Z135),MONTH(Z135)+1,7),0,ROUND(AB135*0.015*((YEAR(AP135)-YEAR(Z135))*12+(MONTH(AP135)-MONTH(Z135))+1),0))))</f>
      </c>
      <c r="AF135" s="25"/>
      <c r="AG135" s="22"/>
      <c r="AH135" s="22"/>
      <c r="AI135" s="23"/>
      <c r="AJ135" s="22"/>
      <c r="AK135" s="22"/>
      <c r="AL135" s="21">
        <f>IF($B135&lt;&gt;"Challan","",SUMIF($D$8:$D$207,D135,$AB$8:$AB$207)+SUMIF($D$8:$D$207,D135,$AE$8:$AE$207)+SUMIF($D$8:$D$207,D135,$AC$8:$AC$207))</f>
      </c>
      <c r="AM135" s="21">
        <f>IF($B135&lt;&gt;"Challan","",N135-L135)</f>
      </c>
      <c r="AN135" s="21">
        <f>IF($B135&lt;&gt;"Challan","",MAX(0,AM135-AL135))</f>
      </c>
      <c r="AO135" s="26">
        <f>IF($B135&lt;&gt;"Challan","",IF(ROUND(AL135-AM135,2)&gt;0,"Over-applied",IF(ROUND(AL135-AM135,2)=0,"Fully Utilised","Unconsumed")))</f>
      </c>
      <c r="AP135" s="27">
        <f>IF($B135&lt;&gt;"Entry","",SUMPRODUCT(($D$8:$D$207=D135)*($B$8:$B$207="Challan")*$E$8:$E$207))</f>
      </c>
    </row>
    <row r="136" spans="1:42" x14ac:dyDescent="0.25">
      <c r="A136" s="15">
        <f>IF($B136="Entry",COUNTIF($B$8:$B136,"Entry"),"")</f>
      </c>
      <c r="B136" s="16"/>
      <c r="C136" s="17"/>
      <c r="D136" s="17"/>
      <c r="E136" s="18"/>
      <c r="F136" s="19"/>
      <c r="G136" s="20"/>
      <c r="H136" s="20"/>
      <c r="I136" s="20"/>
      <c r="J136" s="20"/>
      <c r="K136" s="20"/>
      <c r="L136" s="20"/>
      <c r="M136" s="20"/>
      <c r="N136" s="21">
        <f>IF($B136&lt;&gt;"Challan","",G136+H136+I136+J136+K136+L136)</f>
      </c>
      <c r="O136" s="19"/>
      <c r="P136" s="19"/>
      <c r="Q136" s="19"/>
      <c r="R136" s="19"/>
      <c r="S136" s="19"/>
      <c r="T136" s="22"/>
      <c r="U136" s="22"/>
      <c r="V136" s="22"/>
      <c r="W136" s="22"/>
      <c r="X136" s="22"/>
      <c r="Y136" s="23"/>
      <c r="Z136" s="24"/>
      <c r="AA136" s="25"/>
      <c r="AB136" s="21">
        <f>IF($B136&lt;&gt;"Entry","",ROUND(AA136*Y136/100,0))</f>
      </c>
      <c r="AC136" s="25"/>
      <c r="AD136" s="25"/>
      <c r="AE136" s="21">
        <f>IF($B136&lt;&gt;"Entry","",IF(OR(AB136=0,Z136="",AP136="",AP136&lt;=0),0,IF(AP136&lt;=DATE(YEAR(Z136),MONTH(Z136)+1,7),0,ROUND(AB136*0.015*((YEAR(AP136)-YEAR(Z136))*12+(MONTH(AP136)-MONTH(Z136))+1),0))))</f>
      </c>
      <c r="AF136" s="25"/>
      <c r="AG136" s="22"/>
      <c r="AH136" s="22"/>
      <c r="AI136" s="23"/>
      <c r="AJ136" s="22"/>
      <c r="AK136" s="22"/>
      <c r="AL136" s="21">
        <f>IF($B136&lt;&gt;"Challan","",SUMIF($D$8:$D$207,D136,$AB$8:$AB$207)+SUMIF($D$8:$D$207,D136,$AE$8:$AE$207)+SUMIF($D$8:$D$207,D136,$AC$8:$AC$207))</f>
      </c>
      <c r="AM136" s="21">
        <f>IF($B136&lt;&gt;"Challan","",N136-L136)</f>
      </c>
      <c r="AN136" s="21">
        <f>IF($B136&lt;&gt;"Challan","",MAX(0,AM136-AL136))</f>
      </c>
      <c r="AO136" s="26">
        <f>IF($B136&lt;&gt;"Challan","",IF(ROUND(AL136-AM136,2)&gt;0,"Over-applied",IF(ROUND(AL136-AM136,2)=0,"Fully Utilised","Unconsumed")))</f>
      </c>
      <c r="AP136" s="27">
        <f>IF($B136&lt;&gt;"Entry","",SUMPRODUCT(($D$8:$D$207=D136)*($B$8:$B$207="Challan")*$E$8:$E$207))</f>
      </c>
    </row>
    <row r="137" spans="1:42" x14ac:dyDescent="0.25">
      <c r="A137" s="15">
        <f>IF($B137="Entry",COUNTIF($B$8:$B137,"Entry"),"")</f>
      </c>
      <c r="B137" s="16"/>
      <c r="C137" s="17"/>
      <c r="D137" s="17"/>
      <c r="E137" s="18"/>
      <c r="F137" s="19"/>
      <c r="G137" s="20"/>
      <c r="H137" s="20"/>
      <c r="I137" s="20"/>
      <c r="J137" s="20"/>
      <c r="K137" s="20"/>
      <c r="L137" s="20"/>
      <c r="M137" s="20"/>
      <c r="N137" s="21">
        <f>IF($B137&lt;&gt;"Challan","",G137+H137+I137+J137+K137+L137)</f>
      </c>
      <c r="O137" s="19"/>
      <c r="P137" s="19"/>
      <c r="Q137" s="19"/>
      <c r="R137" s="19"/>
      <c r="S137" s="19"/>
      <c r="T137" s="22"/>
      <c r="U137" s="22"/>
      <c r="V137" s="22"/>
      <c r="W137" s="22"/>
      <c r="X137" s="22"/>
      <c r="Y137" s="23"/>
      <c r="Z137" s="24"/>
      <c r="AA137" s="25"/>
      <c r="AB137" s="21">
        <f>IF($B137&lt;&gt;"Entry","",ROUND(AA137*Y137/100,0))</f>
      </c>
      <c r="AC137" s="25"/>
      <c r="AD137" s="25"/>
      <c r="AE137" s="21">
        <f>IF($B137&lt;&gt;"Entry","",IF(OR(AB137=0,Z137="",AP137="",AP137&lt;=0),0,IF(AP137&lt;=DATE(YEAR(Z137),MONTH(Z137)+1,7),0,ROUND(AB137*0.015*((YEAR(AP137)-YEAR(Z137))*12+(MONTH(AP137)-MONTH(Z137))+1),0))))</f>
      </c>
      <c r="AF137" s="25"/>
      <c r="AG137" s="22"/>
      <c r="AH137" s="22"/>
      <c r="AI137" s="23"/>
      <c r="AJ137" s="22"/>
      <c r="AK137" s="22"/>
      <c r="AL137" s="21">
        <f>IF($B137&lt;&gt;"Challan","",SUMIF($D$8:$D$207,D137,$AB$8:$AB$207)+SUMIF($D$8:$D$207,D137,$AE$8:$AE$207)+SUMIF($D$8:$D$207,D137,$AC$8:$AC$207))</f>
      </c>
      <c r="AM137" s="21">
        <f>IF($B137&lt;&gt;"Challan","",N137-L137)</f>
      </c>
      <c r="AN137" s="21">
        <f>IF($B137&lt;&gt;"Challan","",MAX(0,AM137-AL137))</f>
      </c>
      <c r="AO137" s="26">
        <f>IF($B137&lt;&gt;"Challan","",IF(ROUND(AL137-AM137,2)&gt;0,"Over-applied",IF(ROUND(AL137-AM137,2)=0,"Fully Utilised","Unconsumed")))</f>
      </c>
      <c r="AP137" s="27">
        <f>IF($B137&lt;&gt;"Entry","",SUMPRODUCT(($D$8:$D$207=D137)*($B$8:$B$207="Challan")*$E$8:$E$207))</f>
      </c>
    </row>
    <row r="138" spans="1:42" x14ac:dyDescent="0.25">
      <c r="A138" s="15">
        <f>IF($B138="Entry",COUNTIF($B$8:$B138,"Entry"),"")</f>
      </c>
      <c r="B138" s="16"/>
      <c r="C138" s="17"/>
      <c r="D138" s="17"/>
      <c r="E138" s="18"/>
      <c r="F138" s="19"/>
      <c r="G138" s="20"/>
      <c r="H138" s="20"/>
      <c r="I138" s="20"/>
      <c r="J138" s="20"/>
      <c r="K138" s="20"/>
      <c r="L138" s="20"/>
      <c r="M138" s="20"/>
      <c r="N138" s="21">
        <f>IF($B138&lt;&gt;"Challan","",G138+H138+I138+J138+K138+L138)</f>
      </c>
      <c r="O138" s="19"/>
      <c r="P138" s="19"/>
      <c r="Q138" s="19"/>
      <c r="R138" s="19"/>
      <c r="S138" s="19"/>
      <c r="T138" s="22"/>
      <c r="U138" s="22"/>
      <c r="V138" s="22"/>
      <c r="W138" s="22"/>
      <c r="X138" s="22"/>
      <c r="Y138" s="23"/>
      <c r="Z138" s="24"/>
      <c r="AA138" s="25"/>
      <c r="AB138" s="21">
        <f>IF($B138&lt;&gt;"Entry","",ROUND(AA138*Y138/100,0))</f>
      </c>
      <c r="AC138" s="25"/>
      <c r="AD138" s="25"/>
      <c r="AE138" s="21">
        <f>IF($B138&lt;&gt;"Entry","",IF(OR(AB138=0,Z138="",AP138="",AP138&lt;=0),0,IF(AP138&lt;=DATE(YEAR(Z138),MONTH(Z138)+1,7),0,ROUND(AB138*0.015*((YEAR(AP138)-YEAR(Z138))*12+(MONTH(AP138)-MONTH(Z138))+1),0))))</f>
      </c>
      <c r="AF138" s="25"/>
      <c r="AG138" s="22"/>
      <c r="AH138" s="22"/>
      <c r="AI138" s="23"/>
      <c r="AJ138" s="22"/>
      <c r="AK138" s="22"/>
      <c r="AL138" s="21">
        <f>IF($B138&lt;&gt;"Challan","",SUMIF($D$8:$D$207,D138,$AB$8:$AB$207)+SUMIF($D$8:$D$207,D138,$AE$8:$AE$207)+SUMIF($D$8:$D$207,D138,$AC$8:$AC$207))</f>
      </c>
      <c r="AM138" s="21">
        <f>IF($B138&lt;&gt;"Challan","",N138-L138)</f>
      </c>
      <c r="AN138" s="21">
        <f>IF($B138&lt;&gt;"Challan","",MAX(0,AM138-AL138))</f>
      </c>
      <c r="AO138" s="26">
        <f>IF($B138&lt;&gt;"Challan","",IF(ROUND(AL138-AM138,2)&gt;0,"Over-applied",IF(ROUND(AL138-AM138,2)=0,"Fully Utilised","Unconsumed")))</f>
      </c>
      <c r="AP138" s="27">
        <f>IF($B138&lt;&gt;"Entry","",SUMPRODUCT(($D$8:$D$207=D138)*($B$8:$B$207="Challan")*$E$8:$E$207))</f>
      </c>
    </row>
    <row r="139" spans="1:42" x14ac:dyDescent="0.25">
      <c r="A139" s="15">
        <f>IF($B139="Entry",COUNTIF($B$8:$B139,"Entry"),"")</f>
      </c>
      <c r="B139" s="16"/>
      <c r="C139" s="17"/>
      <c r="D139" s="17"/>
      <c r="E139" s="18"/>
      <c r="F139" s="19"/>
      <c r="G139" s="20"/>
      <c r="H139" s="20"/>
      <c r="I139" s="20"/>
      <c r="J139" s="20"/>
      <c r="K139" s="20"/>
      <c r="L139" s="20"/>
      <c r="M139" s="20"/>
      <c r="N139" s="21">
        <f>IF($B139&lt;&gt;"Challan","",G139+H139+I139+J139+K139+L139)</f>
      </c>
      <c r="O139" s="19"/>
      <c r="P139" s="19"/>
      <c r="Q139" s="19"/>
      <c r="R139" s="19"/>
      <c r="S139" s="19"/>
      <c r="T139" s="22"/>
      <c r="U139" s="22"/>
      <c r="V139" s="22"/>
      <c r="W139" s="22"/>
      <c r="X139" s="22"/>
      <c r="Y139" s="23"/>
      <c r="Z139" s="24"/>
      <c r="AA139" s="25"/>
      <c r="AB139" s="21">
        <f>IF($B139&lt;&gt;"Entry","",ROUND(AA139*Y139/100,0))</f>
      </c>
      <c r="AC139" s="25"/>
      <c r="AD139" s="25"/>
      <c r="AE139" s="21">
        <f>IF($B139&lt;&gt;"Entry","",IF(OR(AB139=0,Z139="",AP139="",AP139&lt;=0),0,IF(AP139&lt;=DATE(YEAR(Z139),MONTH(Z139)+1,7),0,ROUND(AB139*0.015*((YEAR(AP139)-YEAR(Z139))*12+(MONTH(AP139)-MONTH(Z139))+1),0))))</f>
      </c>
      <c r="AF139" s="25"/>
      <c r="AG139" s="22"/>
      <c r="AH139" s="22"/>
      <c r="AI139" s="23"/>
      <c r="AJ139" s="22"/>
      <c r="AK139" s="22"/>
      <c r="AL139" s="21">
        <f>IF($B139&lt;&gt;"Challan","",SUMIF($D$8:$D$207,D139,$AB$8:$AB$207)+SUMIF($D$8:$D$207,D139,$AE$8:$AE$207)+SUMIF($D$8:$D$207,D139,$AC$8:$AC$207))</f>
      </c>
      <c r="AM139" s="21">
        <f>IF($B139&lt;&gt;"Challan","",N139-L139)</f>
      </c>
      <c r="AN139" s="21">
        <f>IF($B139&lt;&gt;"Challan","",MAX(0,AM139-AL139))</f>
      </c>
      <c r="AO139" s="26">
        <f>IF($B139&lt;&gt;"Challan","",IF(ROUND(AL139-AM139,2)&gt;0,"Over-applied",IF(ROUND(AL139-AM139,2)=0,"Fully Utilised","Unconsumed")))</f>
      </c>
      <c r="AP139" s="27">
        <f>IF($B139&lt;&gt;"Entry","",SUMPRODUCT(($D$8:$D$207=D139)*($B$8:$B$207="Challan")*$E$8:$E$207))</f>
      </c>
    </row>
    <row r="140" spans="1:42" x14ac:dyDescent="0.25">
      <c r="A140" s="15">
        <f>IF($B140="Entry",COUNTIF($B$8:$B140,"Entry"),"")</f>
      </c>
      <c r="B140" s="16"/>
      <c r="C140" s="17"/>
      <c r="D140" s="17"/>
      <c r="E140" s="18"/>
      <c r="F140" s="19"/>
      <c r="G140" s="20"/>
      <c r="H140" s="20"/>
      <c r="I140" s="20"/>
      <c r="J140" s="20"/>
      <c r="K140" s="20"/>
      <c r="L140" s="20"/>
      <c r="M140" s="20"/>
      <c r="N140" s="21">
        <f>IF($B140&lt;&gt;"Challan","",G140+H140+I140+J140+K140+L140)</f>
      </c>
      <c r="O140" s="19"/>
      <c r="P140" s="19"/>
      <c r="Q140" s="19"/>
      <c r="R140" s="19"/>
      <c r="S140" s="19"/>
      <c r="T140" s="22"/>
      <c r="U140" s="22"/>
      <c r="V140" s="22"/>
      <c r="W140" s="22"/>
      <c r="X140" s="22"/>
      <c r="Y140" s="23"/>
      <c r="Z140" s="24"/>
      <c r="AA140" s="25"/>
      <c r="AB140" s="21">
        <f>IF($B140&lt;&gt;"Entry","",ROUND(AA140*Y140/100,0))</f>
      </c>
      <c r="AC140" s="25"/>
      <c r="AD140" s="25"/>
      <c r="AE140" s="21">
        <f>IF($B140&lt;&gt;"Entry","",IF(OR(AB140=0,Z140="",AP140="",AP140&lt;=0),0,IF(AP140&lt;=DATE(YEAR(Z140),MONTH(Z140)+1,7),0,ROUND(AB140*0.015*((YEAR(AP140)-YEAR(Z140))*12+(MONTH(AP140)-MONTH(Z140))+1),0))))</f>
      </c>
      <c r="AF140" s="25"/>
      <c r="AG140" s="22"/>
      <c r="AH140" s="22"/>
      <c r="AI140" s="23"/>
      <c r="AJ140" s="22"/>
      <c r="AK140" s="22"/>
      <c r="AL140" s="21">
        <f>IF($B140&lt;&gt;"Challan","",SUMIF($D$8:$D$207,D140,$AB$8:$AB$207)+SUMIF($D$8:$D$207,D140,$AE$8:$AE$207)+SUMIF($D$8:$D$207,D140,$AC$8:$AC$207))</f>
      </c>
      <c r="AM140" s="21">
        <f>IF($B140&lt;&gt;"Challan","",N140-L140)</f>
      </c>
      <c r="AN140" s="21">
        <f>IF($B140&lt;&gt;"Challan","",MAX(0,AM140-AL140))</f>
      </c>
      <c r="AO140" s="26">
        <f>IF($B140&lt;&gt;"Challan","",IF(ROUND(AL140-AM140,2)&gt;0,"Over-applied",IF(ROUND(AL140-AM140,2)=0,"Fully Utilised","Unconsumed")))</f>
      </c>
      <c r="AP140" s="27">
        <f>IF($B140&lt;&gt;"Entry","",SUMPRODUCT(($D$8:$D$207=D140)*($B$8:$B$207="Challan")*$E$8:$E$207))</f>
      </c>
    </row>
    <row r="141" spans="1:42" x14ac:dyDescent="0.25">
      <c r="A141" s="15">
        <f>IF($B141="Entry",COUNTIF($B$8:$B141,"Entry"),"")</f>
      </c>
      <c r="B141" s="16"/>
      <c r="C141" s="17"/>
      <c r="D141" s="17"/>
      <c r="E141" s="18"/>
      <c r="F141" s="19"/>
      <c r="G141" s="20"/>
      <c r="H141" s="20"/>
      <c r="I141" s="20"/>
      <c r="J141" s="20"/>
      <c r="K141" s="20"/>
      <c r="L141" s="20"/>
      <c r="M141" s="20"/>
      <c r="N141" s="21">
        <f>IF($B141&lt;&gt;"Challan","",G141+H141+I141+J141+K141+L141)</f>
      </c>
      <c r="O141" s="19"/>
      <c r="P141" s="19"/>
      <c r="Q141" s="19"/>
      <c r="R141" s="19"/>
      <c r="S141" s="19"/>
      <c r="T141" s="22"/>
      <c r="U141" s="22"/>
      <c r="V141" s="22"/>
      <c r="W141" s="22"/>
      <c r="X141" s="22"/>
      <c r="Y141" s="23"/>
      <c r="Z141" s="24"/>
      <c r="AA141" s="25"/>
      <c r="AB141" s="21">
        <f>IF($B141&lt;&gt;"Entry","",ROUND(AA141*Y141/100,0))</f>
      </c>
      <c r="AC141" s="25"/>
      <c r="AD141" s="25"/>
      <c r="AE141" s="21">
        <f>IF($B141&lt;&gt;"Entry","",IF(OR(AB141=0,Z141="",AP141="",AP141&lt;=0),0,IF(AP141&lt;=DATE(YEAR(Z141),MONTH(Z141)+1,7),0,ROUND(AB141*0.015*((YEAR(AP141)-YEAR(Z141))*12+(MONTH(AP141)-MONTH(Z141))+1),0))))</f>
      </c>
      <c r="AF141" s="25"/>
      <c r="AG141" s="22"/>
      <c r="AH141" s="22"/>
      <c r="AI141" s="23"/>
      <c r="AJ141" s="22"/>
      <c r="AK141" s="22"/>
      <c r="AL141" s="21">
        <f>IF($B141&lt;&gt;"Challan","",SUMIF($D$8:$D$207,D141,$AB$8:$AB$207)+SUMIF($D$8:$D$207,D141,$AE$8:$AE$207)+SUMIF($D$8:$D$207,D141,$AC$8:$AC$207))</f>
      </c>
      <c r="AM141" s="21">
        <f>IF($B141&lt;&gt;"Challan","",N141-L141)</f>
      </c>
      <c r="AN141" s="21">
        <f>IF($B141&lt;&gt;"Challan","",MAX(0,AM141-AL141))</f>
      </c>
      <c r="AO141" s="26">
        <f>IF($B141&lt;&gt;"Challan","",IF(ROUND(AL141-AM141,2)&gt;0,"Over-applied",IF(ROUND(AL141-AM141,2)=0,"Fully Utilised","Unconsumed")))</f>
      </c>
      <c r="AP141" s="27">
        <f>IF($B141&lt;&gt;"Entry","",SUMPRODUCT(($D$8:$D$207=D141)*($B$8:$B$207="Challan")*$E$8:$E$207))</f>
      </c>
    </row>
    <row r="142" spans="1:42" x14ac:dyDescent="0.25">
      <c r="A142" s="15">
        <f>IF($B142="Entry",COUNTIF($B$8:$B142,"Entry"),"")</f>
      </c>
      <c r="B142" s="16"/>
      <c r="C142" s="17"/>
      <c r="D142" s="17"/>
      <c r="E142" s="18"/>
      <c r="F142" s="19"/>
      <c r="G142" s="20"/>
      <c r="H142" s="20"/>
      <c r="I142" s="20"/>
      <c r="J142" s="20"/>
      <c r="K142" s="20"/>
      <c r="L142" s="20"/>
      <c r="M142" s="20"/>
      <c r="N142" s="21">
        <f>IF($B142&lt;&gt;"Challan","",G142+H142+I142+J142+K142+L142)</f>
      </c>
      <c r="O142" s="19"/>
      <c r="P142" s="19"/>
      <c r="Q142" s="19"/>
      <c r="R142" s="19"/>
      <c r="S142" s="19"/>
      <c r="T142" s="22"/>
      <c r="U142" s="22"/>
      <c r="V142" s="22"/>
      <c r="W142" s="22"/>
      <c r="X142" s="22"/>
      <c r="Y142" s="23"/>
      <c r="Z142" s="24"/>
      <c r="AA142" s="25"/>
      <c r="AB142" s="21">
        <f>IF($B142&lt;&gt;"Entry","",ROUND(AA142*Y142/100,0))</f>
      </c>
      <c r="AC142" s="25"/>
      <c r="AD142" s="25"/>
      <c r="AE142" s="21">
        <f>IF($B142&lt;&gt;"Entry","",IF(OR(AB142=0,Z142="",AP142="",AP142&lt;=0),0,IF(AP142&lt;=DATE(YEAR(Z142),MONTH(Z142)+1,7),0,ROUND(AB142*0.015*((YEAR(AP142)-YEAR(Z142))*12+(MONTH(AP142)-MONTH(Z142))+1),0))))</f>
      </c>
      <c r="AF142" s="25"/>
      <c r="AG142" s="22"/>
      <c r="AH142" s="22"/>
      <c r="AI142" s="23"/>
      <c r="AJ142" s="22"/>
      <c r="AK142" s="22"/>
      <c r="AL142" s="21">
        <f>IF($B142&lt;&gt;"Challan","",SUMIF($D$8:$D$207,D142,$AB$8:$AB$207)+SUMIF($D$8:$D$207,D142,$AE$8:$AE$207)+SUMIF($D$8:$D$207,D142,$AC$8:$AC$207))</f>
      </c>
      <c r="AM142" s="21">
        <f>IF($B142&lt;&gt;"Challan","",N142-L142)</f>
      </c>
      <c r="AN142" s="21">
        <f>IF($B142&lt;&gt;"Challan","",MAX(0,AM142-AL142))</f>
      </c>
      <c r="AO142" s="26">
        <f>IF($B142&lt;&gt;"Challan","",IF(ROUND(AL142-AM142,2)&gt;0,"Over-applied",IF(ROUND(AL142-AM142,2)=0,"Fully Utilised","Unconsumed")))</f>
      </c>
      <c r="AP142" s="27">
        <f>IF($B142&lt;&gt;"Entry","",SUMPRODUCT(($D$8:$D$207=D142)*($B$8:$B$207="Challan")*$E$8:$E$207))</f>
      </c>
    </row>
    <row r="143" spans="1:42" x14ac:dyDescent="0.25">
      <c r="A143" s="15">
        <f>IF($B143="Entry",COUNTIF($B$8:$B143,"Entry"),"")</f>
      </c>
      <c r="B143" s="16"/>
      <c r="C143" s="17"/>
      <c r="D143" s="17"/>
      <c r="E143" s="18"/>
      <c r="F143" s="19"/>
      <c r="G143" s="20"/>
      <c r="H143" s="20"/>
      <c r="I143" s="20"/>
      <c r="J143" s="20"/>
      <c r="K143" s="20"/>
      <c r="L143" s="20"/>
      <c r="M143" s="20"/>
      <c r="N143" s="21">
        <f>IF($B143&lt;&gt;"Challan","",G143+H143+I143+J143+K143+L143)</f>
      </c>
      <c r="O143" s="19"/>
      <c r="P143" s="19"/>
      <c r="Q143" s="19"/>
      <c r="R143" s="19"/>
      <c r="S143" s="19"/>
      <c r="T143" s="22"/>
      <c r="U143" s="22"/>
      <c r="V143" s="22"/>
      <c r="W143" s="22"/>
      <c r="X143" s="22"/>
      <c r="Y143" s="23"/>
      <c r="Z143" s="24"/>
      <c r="AA143" s="25"/>
      <c r="AB143" s="21">
        <f>IF($B143&lt;&gt;"Entry","",ROUND(AA143*Y143/100,0))</f>
      </c>
      <c r="AC143" s="25"/>
      <c r="AD143" s="25"/>
      <c r="AE143" s="21">
        <f>IF($B143&lt;&gt;"Entry","",IF(OR(AB143=0,Z143="",AP143="",AP143&lt;=0),0,IF(AP143&lt;=DATE(YEAR(Z143),MONTH(Z143)+1,7),0,ROUND(AB143*0.015*((YEAR(AP143)-YEAR(Z143))*12+(MONTH(AP143)-MONTH(Z143))+1),0))))</f>
      </c>
      <c r="AF143" s="25"/>
      <c r="AG143" s="22"/>
      <c r="AH143" s="22"/>
      <c r="AI143" s="23"/>
      <c r="AJ143" s="22"/>
      <c r="AK143" s="22"/>
      <c r="AL143" s="21">
        <f>IF($B143&lt;&gt;"Challan","",SUMIF($D$8:$D$207,D143,$AB$8:$AB$207)+SUMIF($D$8:$D$207,D143,$AE$8:$AE$207)+SUMIF($D$8:$D$207,D143,$AC$8:$AC$207))</f>
      </c>
      <c r="AM143" s="21">
        <f>IF($B143&lt;&gt;"Challan","",N143-L143)</f>
      </c>
      <c r="AN143" s="21">
        <f>IF($B143&lt;&gt;"Challan","",MAX(0,AM143-AL143))</f>
      </c>
      <c r="AO143" s="26">
        <f>IF($B143&lt;&gt;"Challan","",IF(ROUND(AL143-AM143,2)&gt;0,"Over-applied",IF(ROUND(AL143-AM143,2)=0,"Fully Utilised","Unconsumed")))</f>
      </c>
      <c r="AP143" s="27">
        <f>IF($B143&lt;&gt;"Entry","",SUMPRODUCT(($D$8:$D$207=D143)*($B$8:$B$207="Challan")*$E$8:$E$207))</f>
      </c>
    </row>
    <row r="144" spans="1:42" x14ac:dyDescent="0.25">
      <c r="A144" s="15">
        <f>IF($B144="Entry",COUNTIF($B$8:$B144,"Entry"),"")</f>
      </c>
      <c r="B144" s="16"/>
      <c r="C144" s="17"/>
      <c r="D144" s="17"/>
      <c r="E144" s="18"/>
      <c r="F144" s="19"/>
      <c r="G144" s="20"/>
      <c r="H144" s="20"/>
      <c r="I144" s="20"/>
      <c r="J144" s="20"/>
      <c r="K144" s="20"/>
      <c r="L144" s="20"/>
      <c r="M144" s="20"/>
      <c r="N144" s="21">
        <f>IF($B144&lt;&gt;"Challan","",G144+H144+I144+J144+K144+L144)</f>
      </c>
      <c r="O144" s="19"/>
      <c r="P144" s="19"/>
      <c r="Q144" s="19"/>
      <c r="R144" s="19"/>
      <c r="S144" s="19"/>
      <c r="T144" s="22"/>
      <c r="U144" s="22"/>
      <c r="V144" s="22"/>
      <c r="W144" s="22"/>
      <c r="X144" s="22"/>
      <c r="Y144" s="23"/>
      <c r="Z144" s="24"/>
      <c r="AA144" s="25"/>
      <c r="AB144" s="21">
        <f>IF($B144&lt;&gt;"Entry","",ROUND(AA144*Y144/100,0))</f>
      </c>
      <c r="AC144" s="25"/>
      <c r="AD144" s="25"/>
      <c r="AE144" s="21">
        <f>IF($B144&lt;&gt;"Entry","",IF(OR(AB144=0,Z144="",AP144="",AP144&lt;=0),0,IF(AP144&lt;=DATE(YEAR(Z144),MONTH(Z144)+1,7),0,ROUND(AB144*0.015*((YEAR(AP144)-YEAR(Z144))*12+(MONTH(AP144)-MONTH(Z144))+1),0))))</f>
      </c>
      <c r="AF144" s="25"/>
      <c r="AG144" s="22"/>
      <c r="AH144" s="22"/>
      <c r="AI144" s="23"/>
      <c r="AJ144" s="22"/>
      <c r="AK144" s="22"/>
      <c r="AL144" s="21">
        <f>IF($B144&lt;&gt;"Challan","",SUMIF($D$8:$D$207,D144,$AB$8:$AB$207)+SUMIF($D$8:$D$207,D144,$AE$8:$AE$207)+SUMIF($D$8:$D$207,D144,$AC$8:$AC$207))</f>
      </c>
      <c r="AM144" s="21">
        <f>IF($B144&lt;&gt;"Challan","",N144-L144)</f>
      </c>
      <c r="AN144" s="21">
        <f>IF($B144&lt;&gt;"Challan","",MAX(0,AM144-AL144))</f>
      </c>
      <c r="AO144" s="26">
        <f>IF($B144&lt;&gt;"Challan","",IF(ROUND(AL144-AM144,2)&gt;0,"Over-applied",IF(ROUND(AL144-AM144,2)=0,"Fully Utilised","Unconsumed")))</f>
      </c>
      <c r="AP144" s="27">
        <f>IF($B144&lt;&gt;"Entry","",SUMPRODUCT(($D$8:$D$207=D144)*($B$8:$B$207="Challan")*$E$8:$E$207))</f>
      </c>
    </row>
    <row r="145" spans="1:42" x14ac:dyDescent="0.25">
      <c r="A145" s="15">
        <f>IF($B145="Entry",COUNTIF($B$8:$B145,"Entry"),"")</f>
      </c>
      <c r="B145" s="16"/>
      <c r="C145" s="17"/>
      <c r="D145" s="17"/>
      <c r="E145" s="18"/>
      <c r="F145" s="19"/>
      <c r="G145" s="20"/>
      <c r="H145" s="20"/>
      <c r="I145" s="20"/>
      <c r="J145" s="20"/>
      <c r="K145" s="20"/>
      <c r="L145" s="20"/>
      <c r="M145" s="20"/>
      <c r="N145" s="21">
        <f>IF($B145&lt;&gt;"Challan","",G145+H145+I145+J145+K145+L145)</f>
      </c>
      <c r="O145" s="19"/>
      <c r="P145" s="19"/>
      <c r="Q145" s="19"/>
      <c r="R145" s="19"/>
      <c r="S145" s="19"/>
      <c r="T145" s="22"/>
      <c r="U145" s="22"/>
      <c r="V145" s="22"/>
      <c r="W145" s="22"/>
      <c r="X145" s="22"/>
      <c r="Y145" s="23"/>
      <c r="Z145" s="24"/>
      <c r="AA145" s="25"/>
      <c r="AB145" s="21">
        <f>IF($B145&lt;&gt;"Entry","",ROUND(AA145*Y145/100,0))</f>
      </c>
      <c r="AC145" s="25"/>
      <c r="AD145" s="25"/>
      <c r="AE145" s="21">
        <f>IF($B145&lt;&gt;"Entry","",IF(OR(AB145=0,Z145="",AP145="",AP145&lt;=0),0,IF(AP145&lt;=DATE(YEAR(Z145),MONTH(Z145)+1,7),0,ROUND(AB145*0.015*((YEAR(AP145)-YEAR(Z145))*12+(MONTH(AP145)-MONTH(Z145))+1),0))))</f>
      </c>
      <c r="AF145" s="25"/>
      <c r="AG145" s="22"/>
      <c r="AH145" s="22"/>
      <c r="AI145" s="23"/>
      <c r="AJ145" s="22"/>
      <c r="AK145" s="22"/>
      <c r="AL145" s="21">
        <f>IF($B145&lt;&gt;"Challan","",SUMIF($D$8:$D$207,D145,$AB$8:$AB$207)+SUMIF($D$8:$D$207,D145,$AE$8:$AE$207)+SUMIF($D$8:$D$207,D145,$AC$8:$AC$207))</f>
      </c>
      <c r="AM145" s="21">
        <f>IF($B145&lt;&gt;"Challan","",N145-L145)</f>
      </c>
      <c r="AN145" s="21">
        <f>IF($B145&lt;&gt;"Challan","",MAX(0,AM145-AL145))</f>
      </c>
      <c r="AO145" s="26">
        <f>IF($B145&lt;&gt;"Challan","",IF(ROUND(AL145-AM145,2)&gt;0,"Over-applied",IF(ROUND(AL145-AM145,2)=0,"Fully Utilised","Unconsumed")))</f>
      </c>
      <c r="AP145" s="27">
        <f>IF($B145&lt;&gt;"Entry","",SUMPRODUCT(($D$8:$D$207=D145)*($B$8:$B$207="Challan")*$E$8:$E$207))</f>
      </c>
    </row>
    <row r="146" spans="1:42" x14ac:dyDescent="0.25">
      <c r="A146" s="15">
        <f>IF($B146="Entry",COUNTIF($B$8:$B146,"Entry"),"")</f>
      </c>
      <c r="B146" s="16"/>
      <c r="C146" s="17"/>
      <c r="D146" s="17"/>
      <c r="E146" s="18"/>
      <c r="F146" s="19"/>
      <c r="G146" s="20"/>
      <c r="H146" s="20"/>
      <c r="I146" s="20"/>
      <c r="J146" s="20"/>
      <c r="K146" s="20"/>
      <c r="L146" s="20"/>
      <c r="M146" s="20"/>
      <c r="N146" s="21">
        <f>IF($B146&lt;&gt;"Challan","",G146+H146+I146+J146+K146+L146)</f>
      </c>
      <c r="O146" s="19"/>
      <c r="P146" s="19"/>
      <c r="Q146" s="19"/>
      <c r="R146" s="19"/>
      <c r="S146" s="19"/>
      <c r="T146" s="22"/>
      <c r="U146" s="22"/>
      <c r="V146" s="22"/>
      <c r="W146" s="22"/>
      <c r="X146" s="22"/>
      <c r="Y146" s="23"/>
      <c r="Z146" s="24"/>
      <c r="AA146" s="25"/>
      <c r="AB146" s="21">
        <f>IF($B146&lt;&gt;"Entry","",ROUND(AA146*Y146/100,0))</f>
      </c>
      <c r="AC146" s="25"/>
      <c r="AD146" s="25"/>
      <c r="AE146" s="21">
        <f>IF($B146&lt;&gt;"Entry","",IF(OR(AB146=0,Z146="",AP146="",AP146&lt;=0),0,IF(AP146&lt;=DATE(YEAR(Z146),MONTH(Z146)+1,7),0,ROUND(AB146*0.015*((YEAR(AP146)-YEAR(Z146))*12+(MONTH(AP146)-MONTH(Z146))+1),0))))</f>
      </c>
      <c r="AF146" s="25"/>
      <c r="AG146" s="22"/>
      <c r="AH146" s="22"/>
      <c r="AI146" s="23"/>
      <c r="AJ146" s="22"/>
      <c r="AK146" s="22"/>
      <c r="AL146" s="21">
        <f>IF($B146&lt;&gt;"Challan","",SUMIF($D$8:$D$207,D146,$AB$8:$AB$207)+SUMIF($D$8:$D$207,D146,$AE$8:$AE$207)+SUMIF($D$8:$D$207,D146,$AC$8:$AC$207))</f>
      </c>
      <c r="AM146" s="21">
        <f>IF($B146&lt;&gt;"Challan","",N146-L146)</f>
      </c>
      <c r="AN146" s="21">
        <f>IF($B146&lt;&gt;"Challan","",MAX(0,AM146-AL146))</f>
      </c>
      <c r="AO146" s="26">
        <f>IF($B146&lt;&gt;"Challan","",IF(ROUND(AL146-AM146,2)&gt;0,"Over-applied",IF(ROUND(AL146-AM146,2)=0,"Fully Utilised","Unconsumed")))</f>
      </c>
      <c r="AP146" s="27">
        <f>IF($B146&lt;&gt;"Entry","",SUMPRODUCT(($D$8:$D$207=D146)*($B$8:$B$207="Challan")*$E$8:$E$207))</f>
      </c>
    </row>
    <row r="147" spans="1:42" x14ac:dyDescent="0.25">
      <c r="A147" s="15">
        <f>IF($B147="Entry",COUNTIF($B$8:$B147,"Entry"),"")</f>
      </c>
      <c r="B147" s="16"/>
      <c r="C147" s="17"/>
      <c r="D147" s="17"/>
      <c r="E147" s="18"/>
      <c r="F147" s="19"/>
      <c r="G147" s="20"/>
      <c r="H147" s="20"/>
      <c r="I147" s="20"/>
      <c r="J147" s="20"/>
      <c r="K147" s="20"/>
      <c r="L147" s="20"/>
      <c r="M147" s="20"/>
      <c r="N147" s="21">
        <f>IF($B147&lt;&gt;"Challan","",G147+H147+I147+J147+K147+L147)</f>
      </c>
      <c r="O147" s="19"/>
      <c r="P147" s="19"/>
      <c r="Q147" s="19"/>
      <c r="R147" s="19"/>
      <c r="S147" s="19"/>
      <c r="T147" s="22"/>
      <c r="U147" s="22"/>
      <c r="V147" s="22"/>
      <c r="W147" s="22"/>
      <c r="X147" s="22"/>
      <c r="Y147" s="23"/>
      <c r="Z147" s="24"/>
      <c r="AA147" s="25"/>
      <c r="AB147" s="21">
        <f>IF($B147&lt;&gt;"Entry","",ROUND(AA147*Y147/100,0))</f>
      </c>
      <c r="AC147" s="25"/>
      <c r="AD147" s="25"/>
      <c r="AE147" s="21">
        <f>IF($B147&lt;&gt;"Entry","",IF(OR(AB147=0,Z147="",AP147="",AP147&lt;=0),0,IF(AP147&lt;=DATE(YEAR(Z147),MONTH(Z147)+1,7),0,ROUND(AB147*0.015*((YEAR(AP147)-YEAR(Z147))*12+(MONTH(AP147)-MONTH(Z147))+1),0))))</f>
      </c>
      <c r="AF147" s="25"/>
      <c r="AG147" s="22"/>
      <c r="AH147" s="22"/>
      <c r="AI147" s="23"/>
      <c r="AJ147" s="22"/>
      <c r="AK147" s="22"/>
      <c r="AL147" s="21">
        <f>IF($B147&lt;&gt;"Challan","",SUMIF($D$8:$D$207,D147,$AB$8:$AB$207)+SUMIF($D$8:$D$207,D147,$AE$8:$AE$207)+SUMIF($D$8:$D$207,D147,$AC$8:$AC$207))</f>
      </c>
      <c r="AM147" s="21">
        <f>IF($B147&lt;&gt;"Challan","",N147-L147)</f>
      </c>
      <c r="AN147" s="21">
        <f>IF($B147&lt;&gt;"Challan","",MAX(0,AM147-AL147))</f>
      </c>
      <c r="AO147" s="26">
        <f>IF($B147&lt;&gt;"Challan","",IF(ROUND(AL147-AM147,2)&gt;0,"Over-applied",IF(ROUND(AL147-AM147,2)=0,"Fully Utilised","Unconsumed")))</f>
      </c>
      <c r="AP147" s="27">
        <f>IF($B147&lt;&gt;"Entry","",SUMPRODUCT(($D$8:$D$207=D147)*($B$8:$B$207="Challan")*$E$8:$E$207))</f>
      </c>
    </row>
    <row r="148" spans="1:42" x14ac:dyDescent="0.25">
      <c r="A148" s="15">
        <f>IF($B148="Entry",COUNTIF($B$8:$B148,"Entry"),"")</f>
      </c>
      <c r="B148" s="16"/>
      <c r="C148" s="17"/>
      <c r="D148" s="17"/>
      <c r="E148" s="18"/>
      <c r="F148" s="19"/>
      <c r="G148" s="20"/>
      <c r="H148" s="20"/>
      <c r="I148" s="20"/>
      <c r="J148" s="20"/>
      <c r="K148" s="20"/>
      <c r="L148" s="20"/>
      <c r="M148" s="20"/>
      <c r="N148" s="21">
        <f>IF($B148&lt;&gt;"Challan","",G148+H148+I148+J148+K148+L148)</f>
      </c>
      <c r="O148" s="19"/>
      <c r="P148" s="19"/>
      <c r="Q148" s="19"/>
      <c r="R148" s="19"/>
      <c r="S148" s="19"/>
      <c r="T148" s="22"/>
      <c r="U148" s="22"/>
      <c r="V148" s="22"/>
      <c r="W148" s="22"/>
      <c r="X148" s="22"/>
      <c r="Y148" s="23"/>
      <c r="Z148" s="24"/>
      <c r="AA148" s="25"/>
      <c r="AB148" s="21">
        <f>IF($B148&lt;&gt;"Entry","",ROUND(AA148*Y148/100,0))</f>
      </c>
      <c r="AC148" s="25"/>
      <c r="AD148" s="25"/>
      <c r="AE148" s="21">
        <f>IF($B148&lt;&gt;"Entry","",IF(OR(AB148=0,Z148="",AP148="",AP148&lt;=0),0,IF(AP148&lt;=DATE(YEAR(Z148),MONTH(Z148)+1,7),0,ROUND(AB148*0.015*((YEAR(AP148)-YEAR(Z148))*12+(MONTH(AP148)-MONTH(Z148))+1),0))))</f>
      </c>
      <c r="AF148" s="25"/>
      <c r="AG148" s="22"/>
      <c r="AH148" s="22"/>
      <c r="AI148" s="23"/>
      <c r="AJ148" s="22"/>
      <c r="AK148" s="22"/>
      <c r="AL148" s="21">
        <f>IF($B148&lt;&gt;"Challan","",SUMIF($D$8:$D$207,D148,$AB$8:$AB$207)+SUMIF($D$8:$D$207,D148,$AE$8:$AE$207)+SUMIF($D$8:$D$207,D148,$AC$8:$AC$207))</f>
      </c>
      <c r="AM148" s="21">
        <f>IF($B148&lt;&gt;"Challan","",N148-L148)</f>
      </c>
      <c r="AN148" s="21">
        <f>IF($B148&lt;&gt;"Challan","",MAX(0,AM148-AL148))</f>
      </c>
      <c r="AO148" s="26">
        <f>IF($B148&lt;&gt;"Challan","",IF(ROUND(AL148-AM148,2)&gt;0,"Over-applied",IF(ROUND(AL148-AM148,2)=0,"Fully Utilised","Unconsumed")))</f>
      </c>
      <c r="AP148" s="27">
        <f>IF($B148&lt;&gt;"Entry","",SUMPRODUCT(($D$8:$D$207=D148)*($B$8:$B$207="Challan")*$E$8:$E$207))</f>
      </c>
    </row>
    <row r="149" spans="1:42" x14ac:dyDescent="0.25">
      <c r="A149" s="15">
        <f>IF($B149="Entry",COUNTIF($B$8:$B149,"Entry"),"")</f>
      </c>
      <c r="B149" s="16"/>
      <c r="C149" s="17"/>
      <c r="D149" s="17"/>
      <c r="E149" s="18"/>
      <c r="F149" s="19"/>
      <c r="G149" s="20"/>
      <c r="H149" s="20"/>
      <c r="I149" s="20"/>
      <c r="J149" s="20"/>
      <c r="K149" s="20"/>
      <c r="L149" s="20"/>
      <c r="M149" s="20"/>
      <c r="N149" s="21">
        <f>IF($B149&lt;&gt;"Challan","",G149+H149+I149+J149+K149+L149)</f>
      </c>
      <c r="O149" s="19"/>
      <c r="P149" s="19"/>
      <c r="Q149" s="19"/>
      <c r="R149" s="19"/>
      <c r="S149" s="19"/>
      <c r="T149" s="22"/>
      <c r="U149" s="22"/>
      <c r="V149" s="22"/>
      <c r="W149" s="22"/>
      <c r="X149" s="22"/>
      <c r="Y149" s="23"/>
      <c r="Z149" s="24"/>
      <c r="AA149" s="25"/>
      <c r="AB149" s="21">
        <f>IF($B149&lt;&gt;"Entry","",ROUND(AA149*Y149/100,0))</f>
      </c>
      <c r="AC149" s="25"/>
      <c r="AD149" s="25"/>
      <c r="AE149" s="21">
        <f>IF($B149&lt;&gt;"Entry","",IF(OR(AB149=0,Z149="",AP149="",AP149&lt;=0),0,IF(AP149&lt;=DATE(YEAR(Z149),MONTH(Z149)+1,7),0,ROUND(AB149*0.015*((YEAR(AP149)-YEAR(Z149))*12+(MONTH(AP149)-MONTH(Z149))+1),0))))</f>
      </c>
      <c r="AF149" s="25"/>
      <c r="AG149" s="22"/>
      <c r="AH149" s="22"/>
      <c r="AI149" s="23"/>
      <c r="AJ149" s="22"/>
      <c r="AK149" s="22"/>
      <c r="AL149" s="21">
        <f>IF($B149&lt;&gt;"Challan","",SUMIF($D$8:$D$207,D149,$AB$8:$AB$207)+SUMIF($D$8:$D$207,D149,$AE$8:$AE$207)+SUMIF($D$8:$D$207,D149,$AC$8:$AC$207))</f>
      </c>
      <c r="AM149" s="21">
        <f>IF($B149&lt;&gt;"Challan","",N149-L149)</f>
      </c>
      <c r="AN149" s="21">
        <f>IF($B149&lt;&gt;"Challan","",MAX(0,AM149-AL149))</f>
      </c>
      <c r="AO149" s="26">
        <f>IF($B149&lt;&gt;"Challan","",IF(ROUND(AL149-AM149,2)&gt;0,"Over-applied",IF(ROUND(AL149-AM149,2)=0,"Fully Utilised","Unconsumed")))</f>
      </c>
      <c r="AP149" s="27">
        <f>IF($B149&lt;&gt;"Entry","",SUMPRODUCT(($D$8:$D$207=D149)*($B$8:$B$207="Challan")*$E$8:$E$207))</f>
      </c>
    </row>
    <row r="150" spans="1:42" x14ac:dyDescent="0.25">
      <c r="A150" s="15">
        <f>IF($B150="Entry",COUNTIF($B$8:$B150,"Entry"),"")</f>
      </c>
      <c r="B150" s="16"/>
      <c r="C150" s="17"/>
      <c r="D150" s="17"/>
      <c r="E150" s="18"/>
      <c r="F150" s="19"/>
      <c r="G150" s="20"/>
      <c r="H150" s="20"/>
      <c r="I150" s="20"/>
      <c r="J150" s="20"/>
      <c r="K150" s="20"/>
      <c r="L150" s="20"/>
      <c r="M150" s="20"/>
      <c r="N150" s="21">
        <f>IF($B150&lt;&gt;"Challan","",G150+H150+I150+J150+K150+L150)</f>
      </c>
      <c r="O150" s="19"/>
      <c r="P150" s="19"/>
      <c r="Q150" s="19"/>
      <c r="R150" s="19"/>
      <c r="S150" s="19"/>
      <c r="T150" s="22"/>
      <c r="U150" s="22"/>
      <c r="V150" s="22"/>
      <c r="W150" s="22"/>
      <c r="X150" s="22"/>
      <c r="Y150" s="23"/>
      <c r="Z150" s="24"/>
      <c r="AA150" s="25"/>
      <c r="AB150" s="21">
        <f>IF($B150&lt;&gt;"Entry","",ROUND(AA150*Y150/100,0))</f>
      </c>
      <c r="AC150" s="25"/>
      <c r="AD150" s="25"/>
      <c r="AE150" s="21">
        <f>IF($B150&lt;&gt;"Entry","",IF(OR(AB150=0,Z150="",AP150="",AP150&lt;=0),0,IF(AP150&lt;=DATE(YEAR(Z150),MONTH(Z150)+1,7),0,ROUND(AB150*0.015*((YEAR(AP150)-YEAR(Z150))*12+(MONTH(AP150)-MONTH(Z150))+1),0))))</f>
      </c>
      <c r="AF150" s="25"/>
      <c r="AG150" s="22"/>
      <c r="AH150" s="22"/>
      <c r="AI150" s="23"/>
      <c r="AJ150" s="22"/>
      <c r="AK150" s="22"/>
      <c r="AL150" s="21">
        <f>IF($B150&lt;&gt;"Challan","",SUMIF($D$8:$D$207,D150,$AB$8:$AB$207)+SUMIF($D$8:$D$207,D150,$AE$8:$AE$207)+SUMIF($D$8:$D$207,D150,$AC$8:$AC$207))</f>
      </c>
      <c r="AM150" s="21">
        <f>IF($B150&lt;&gt;"Challan","",N150-L150)</f>
      </c>
      <c r="AN150" s="21">
        <f>IF($B150&lt;&gt;"Challan","",MAX(0,AM150-AL150))</f>
      </c>
      <c r="AO150" s="26">
        <f>IF($B150&lt;&gt;"Challan","",IF(ROUND(AL150-AM150,2)&gt;0,"Over-applied",IF(ROUND(AL150-AM150,2)=0,"Fully Utilised","Unconsumed")))</f>
      </c>
      <c r="AP150" s="27">
        <f>IF($B150&lt;&gt;"Entry","",SUMPRODUCT(($D$8:$D$207=D150)*($B$8:$B$207="Challan")*$E$8:$E$207))</f>
      </c>
    </row>
    <row r="151" spans="1:42" x14ac:dyDescent="0.25">
      <c r="A151" s="15">
        <f>IF($B151="Entry",COUNTIF($B$8:$B151,"Entry"),"")</f>
      </c>
      <c r="B151" s="16"/>
      <c r="C151" s="17"/>
      <c r="D151" s="17"/>
      <c r="E151" s="18"/>
      <c r="F151" s="19"/>
      <c r="G151" s="20"/>
      <c r="H151" s="20"/>
      <c r="I151" s="20"/>
      <c r="J151" s="20"/>
      <c r="K151" s="20"/>
      <c r="L151" s="20"/>
      <c r="M151" s="20"/>
      <c r="N151" s="21">
        <f>IF($B151&lt;&gt;"Challan","",G151+H151+I151+J151+K151+L151)</f>
      </c>
      <c r="O151" s="19"/>
      <c r="P151" s="19"/>
      <c r="Q151" s="19"/>
      <c r="R151" s="19"/>
      <c r="S151" s="19"/>
      <c r="T151" s="22"/>
      <c r="U151" s="22"/>
      <c r="V151" s="22"/>
      <c r="W151" s="22"/>
      <c r="X151" s="22"/>
      <c r="Y151" s="23"/>
      <c r="Z151" s="24"/>
      <c r="AA151" s="25"/>
      <c r="AB151" s="21">
        <f>IF($B151&lt;&gt;"Entry","",ROUND(AA151*Y151/100,0))</f>
      </c>
      <c r="AC151" s="25"/>
      <c r="AD151" s="25"/>
      <c r="AE151" s="21">
        <f>IF($B151&lt;&gt;"Entry","",IF(OR(AB151=0,Z151="",AP151="",AP151&lt;=0),0,IF(AP151&lt;=DATE(YEAR(Z151),MONTH(Z151)+1,7),0,ROUND(AB151*0.015*((YEAR(AP151)-YEAR(Z151))*12+(MONTH(AP151)-MONTH(Z151))+1),0))))</f>
      </c>
      <c r="AF151" s="25"/>
      <c r="AG151" s="22"/>
      <c r="AH151" s="22"/>
      <c r="AI151" s="23"/>
      <c r="AJ151" s="22"/>
      <c r="AK151" s="22"/>
      <c r="AL151" s="21">
        <f>IF($B151&lt;&gt;"Challan","",SUMIF($D$8:$D$207,D151,$AB$8:$AB$207)+SUMIF($D$8:$D$207,D151,$AE$8:$AE$207)+SUMIF($D$8:$D$207,D151,$AC$8:$AC$207))</f>
      </c>
      <c r="AM151" s="21">
        <f>IF($B151&lt;&gt;"Challan","",N151-L151)</f>
      </c>
      <c r="AN151" s="21">
        <f>IF($B151&lt;&gt;"Challan","",MAX(0,AM151-AL151))</f>
      </c>
      <c r="AO151" s="26">
        <f>IF($B151&lt;&gt;"Challan","",IF(ROUND(AL151-AM151,2)&gt;0,"Over-applied",IF(ROUND(AL151-AM151,2)=0,"Fully Utilised","Unconsumed")))</f>
      </c>
      <c r="AP151" s="27">
        <f>IF($B151&lt;&gt;"Entry","",SUMPRODUCT(($D$8:$D$207=D151)*($B$8:$B$207="Challan")*$E$8:$E$207))</f>
      </c>
    </row>
    <row r="152" spans="1:42" x14ac:dyDescent="0.25">
      <c r="A152" s="15">
        <f>IF($B152="Entry",COUNTIF($B$8:$B152,"Entry"),"")</f>
      </c>
      <c r="B152" s="16"/>
      <c r="C152" s="17"/>
      <c r="D152" s="17"/>
      <c r="E152" s="18"/>
      <c r="F152" s="19"/>
      <c r="G152" s="20"/>
      <c r="H152" s="20"/>
      <c r="I152" s="20"/>
      <c r="J152" s="20"/>
      <c r="K152" s="20"/>
      <c r="L152" s="20"/>
      <c r="M152" s="20"/>
      <c r="N152" s="21">
        <f>IF($B152&lt;&gt;"Challan","",G152+H152+I152+J152+K152+L152)</f>
      </c>
      <c r="O152" s="19"/>
      <c r="P152" s="19"/>
      <c r="Q152" s="19"/>
      <c r="R152" s="19"/>
      <c r="S152" s="19"/>
      <c r="T152" s="22"/>
      <c r="U152" s="22"/>
      <c r="V152" s="22"/>
      <c r="W152" s="22"/>
      <c r="X152" s="22"/>
      <c r="Y152" s="23"/>
      <c r="Z152" s="24"/>
      <c r="AA152" s="25"/>
      <c r="AB152" s="21">
        <f>IF($B152&lt;&gt;"Entry","",ROUND(AA152*Y152/100,0))</f>
      </c>
      <c r="AC152" s="25"/>
      <c r="AD152" s="25"/>
      <c r="AE152" s="21">
        <f>IF($B152&lt;&gt;"Entry","",IF(OR(AB152=0,Z152="",AP152="",AP152&lt;=0),0,IF(AP152&lt;=DATE(YEAR(Z152),MONTH(Z152)+1,7),0,ROUND(AB152*0.015*((YEAR(AP152)-YEAR(Z152))*12+(MONTH(AP152)-MONTH(Z152))+1),0))))</f>
      </c>
      <c r="AF152" s="25"/>
      <c r="AG152" s="22"/>
      <c r="AH152" s="22"/>
      <c r="AI152" s="23"/>
      <c r="AJ152" s="22"/>
      <c r="AK152" s="22"/>
      <c r="AL152" s="21">
        <f>IF($B152&lt;&gt;"Challan","",SUMIF($D$8:$D$207,D152,$AB$8:$AB$207)+SUMIF($D$8:$D$207,D152,$AE$8:$AE$207)+SUMIF($D$8:$D$207,D152,$AC$8:$AC$207))</f>
      </c>
      <c r="AM152" s="21">
        <f>IF($B152&lt;&gt;"Challan","",N152-L152)</f>
      </c>
      <c r="AN152" s="21">
        <f>IF($B152&lt;&gt;"Challan","",MAX(0,AM152-AL152))</f>
      </c>
      <c r="AO152" s="26">
        <f>IF($B152&lt;&gt;"Challan","",IF(ROUND(AL152-AM152,2)&gt;0,"Over-applied",IF(ROUND(AL152-AM152,2)=0,"Fully Utilised","Unconsumed")))</f>
      </c>
      <c r="AP152" s="27">
        <f>IF($B152&lt;&gt;"Entry","",SUMPRODUCT(($D$8:$D$207=D152)*($B$8:$B$207="Challan")*$E$8:$E$207))</f>
      </c>
    </row>
    <row r="153" spans="1:42" x14ac:dyDescent="0.25">
      <c r="A153" s="15">
        <f>IF($B153="Entry",COUNTIF($B$8:$B153,"Entry"),"")</f>
      </c>
      <c r="B153" s="16"/>
      <c r="C153" s="17"/>
      <c r="D153" s="17"/>
      <c r="E153" s="18"/>
      <c r="F153" s="19"/>
      <c r="G153" s="20"/>
      <c r="H153" s="20"/>
      <c r="I153" s="20"/>
      <c r="J153" s="20"/>
      <c r="K153" s="20"/>
      <c r="L153" s="20"/>
      <c r="M153" s="20"/>
      <c r="N153" s="21">
        <f>IF($B153&lt;&gt;"Challan","",G153+H153+I153+J153+K153+L153)</f>
      </c>
      <c r="O153" s="19"/>
      <c r="P153" s="19"/>
      <c r="Q153" s="19"/>
      <c r="R153" s="19"/>
      <c r="S153" s="19"/>
      <c r="T153" s="22"/>
      <c r="U153" s="22"/>
      <c r="V153" s="22"/>
      <c r="W153" s="22"/>
      <c r="X153" s="22"/>
      <c r="Y153" s="23"/>
      <c r="Z153" s="24"/>
      <c r="AA153" s="25"/>
      <c r="AB153" s="21">
        <f>IF($B153&lt;&gt;"Entry","",ROUND(AA153*Y153/100,0))</f>
      </c>
      <c r="AC153" s="25"/>
      <c r="AD153" s="25"/>
      <c r="AE153" s="21">
        <f>IF($B153&lt;&gt;"Entry","",IF(OR(AB153=0,Z153="",AP153="",AP153&lt;=0),0,IF(AP153&lt;=DATE(YEAR(Z153),MONTH(Z153)+1,7),0,ROUND(AB153*0.015*((YEAR(AP153)-YEAR(Z153))*12+(MONTH(AP153)-MONTH(Z153))+1),0))))</f>
      </c>
      <c r="AF153" s="25"/>
      <c r="AG153" s="22"/>
      <c r="AH153" s="22"/>
      <c r="AI153" s="23"/>
      <c r="AJ153" s="22"/>
      <c r="AK153" s="22"/>
      <c r="AL153" s="21">
        <f>IF($B153&lt;&gt;"Challan","",SUMIF($D$8:$D$207,D153,$AB$8:$AB$207)+SUMIF($D$8:$D$207,D153,$AE$8:$AE$207)+SUMIF($D$8:$D$207,D153,$AC$8:$AC$207))</f>
      </c>
      <c r="AM153" s="21">
        <f>IF($B153&lt;&gt;"Challan","",N153-L153)</f>
      </c>
      <c r="AN153" s="21">
        <f>IF($B153&lt;&gt;"Challan","",MAX(0,AM153-AL153))</f>
      </c>
      <c r="AO153" s="26">
        <f>IF($B153&lt;&gt;"Challan","",IF(ROUND(AL153-AM153,2)&gt;0,"Over-applied",IF(ROUND(AL153-AM153,2)=0,"Fully Utilised","Unconsumed")))</f>
      </c>
      <c r="AP153" s="27">
        <f>IF($B153&lt;&gt;"Entry","",SUMPRODUCT(($D$8:$D$207=D153)*($B$8:$B$207="Challan")*$E$8:$E$207))</f>
      </c>
    </row>
    <row r="154" spans="1:42" x14ac:dyDescent="0.25">
      <c r="A154" s="15">
        <f>IF($B154="Entry",COUNTIF($B$8:$B154,"Entry"),"")</f>
      </c>
      <c r="B154" s="16"/>
      <c r="C154" s="17"/>
      <c r="D154" s="17"/>
      <c r="E154" s="18"/>
      <c r="F154" s="19"/>
      <c r="G154" s="20"/>
      <c r="H154" s="20"/>
      <c r="I154" s="20"/>
      <c r="J154" s="20"/>
      <c r="K154" s="20"/>
      <c r="L154" s="20"/>
      <c r="M154" s="20"/>
      <c r="N154" s="21">
        <f>IF($B154&lt;&gt;"Challan","",G154+H154+I154+J154+K154+L154)</f>
      </c>
      <c r="O154" s="19"/>
      <c r="P154" s="19"/>
      <c r="Q154" s="19"/>
      <c r="R154" s="19"/>
      <c r="S154" s="19"/>
      <c r="T154" s="22"/>
      <c r="U154" s="22"/>
      <c r="V154" s="22"/>
      <c r="W154" s="22"/>
      <c r="X154" s="22"/>
      <c r="Y154" s="23"/>
      <c r="Z154" s="24"/>
      <c r="AA154" s="25"/>
      <c r="AB154" s="21">
        <f>IF($B154&lt;&gt;"Entry","",ROUND(AA154*Y154/100,0))</f>
      </c>
      <c r="AC154" s="25"/>
      <c r="AD154" s="25"/>
      <c r="AE154" s="21">
        <f>IF($B154&lt;&gt;"Entry","",IF(OR(AB154=0,Z154="",AP154="",AP154&lt;=0),0,IF(AP154&lt;=DATE(YEAR(Z154),MONTH(Z154)+1,7),0,ROUND(AB154*0.015*((YEAR(AP154)-YEAR(Z154))*12+(MONTH(AP154)-MONTH(Z154))+1),0))))</f>
      </c>
      <c r="AF154" s="25"/>
      <c r="AG154" s="22"/>
      <c r="AH154" s="22"/>
      <c r="AI154" s="23"/>
      <c r="AJ154" s="22"/>
      <c r="AK154" s="22"/>
      <c r="AL154" s="21">
        <f>IF($B154&lt;&gt;"Challan","",SUMIF($D$8:$D$207,D154,$AB$8:$AB$207)+SUMIF($D$8:$D$207,D154,$AE$8:$AE$207)+SUMIF($D$8:$D$207,D154,$AC$8:$AC$207))</f>
      </c>
      <c r="AM154" s="21">
        <f>IF($B154&lt;&gt;"Challan","",N154-L154)</f>
      </c>
      <c r="AN154" s="21">
        <f>IF($B154&lt;&gt;"Challan","",MAX(0,AM154-AL154))</f>
      </c>
      <c r="AO154" s="26">
        <f>IF($B154&lt;&gt;"Challan","",IF(ROUND(AL154-AM154,2)&gt;0,"Over-applied",IF(ROUND(AL154-AM154,2)=0,"Fully Utilised","Unconsumed")))</f>
      </c>
      <c r="AP154" s="27">
        <f>IF($B154&lt;&gt;"Entry","",SUMPRODUCT(($D$8:$D$207=D154)*($B$8:$B$207="Challan")*$E$8:$E$207))</f>
      </c>
    </row>
    <row r="155" spans="1:42" x14ac:dyDescent="0.25">
      <c r="A155" s="15">
        <f>IF($B155="Entry",COUNTIF($B$8:$B155,"Entry"),"")</f>
      </c>
      <c r="B155" s="16"/>
      <c r="C155" s="17"/>
      <c r="D155" s="17"/>
      <c r="E155" s="18"/>
      <c r="F155" s="19"/>
      <c r="G155" s="20"/>
      <c r="H155" s="20"/>
      <c r="I155" s="20"/>
      <c r="J155" s="20"/>
      <c r="K155" s="20"/>
      <c r="L155" s="20"/>
      <c r="M155" s="20"/>
      <c r="N155" s="21">
        <f>IF($B155&lt;&gt;"Challan","",G155+H155+I155+J155+K155+L155)</f>
      </c>
      <c r="O155" s="19"/>
      <c r="P155" s="19"/>
      <c r="Q155" s="19"/>
      <c r="R155" s="19"/>
      <c r="S155" s="19"/>
      <c r="T155" s="22"/>
      <c r="U155" s="22"/>
      <c r="V155" s="22"/>
      <c r="W155" s="22"/>
      <c r="X155" s="22"/>
      <c r="Y155" s="23"/>
      <c r="Z155" s="24"/>
      <c r="AA155" s="25"/>
      <c r="AB155" s="21">
        <f>IF($B155&lt;&gt;"Entry","",ROUND(AA155*Y155/100,0))</f>
      </c>
      <c r="AC155" s="25"/>
      <c r="AD155" s="25"/>
      <c r="AE155" s="21">
        <f>IF($B155&lt;&gt;"Entry","",IF(OR(AB155=0,Z155="",AP155="",AP155&lt;=0),0,IF(AP155&lt;=DATE(YEAR(Z155),MONTH(Z155)+1,7),0,ROUND(AB155*0.015*((YEAR(AP155)-YEAR(Z155))*12+(MONTH(AP155)-MONTH(Z155))+1),0))))</f>
      </c>
      <c r="AF155" s="25"/>
      <c r="AG155" s="22"/>
      <c r="AH155" s="22"/>
      <c r="AI155" s="23"/>
      <c r="AJ155" s="22"/>
      <c r="AK155" s="22"/>
      <c r="AL155" s="21">
        <f>IF($B155&lt;&gt;"Challan","",SUMIF($D$8:$D$207,D155,$AB$8:$AB$207)+SUMIF($D$8:$D$207,D155,$AE$8:$AE$207)+SUMIF($D$8:$D$207,D155,$AC$8:$AC$207))</f>
      </c>
      <c r="AM155" s="21">
        <f>IF($B155&lt;&gt;"Challan","",N155-L155)</f>
      </c>
      <c r="AN155" s="21">
        <f>IF($B155&lt;&gt;"Challan","",MAX(0,AM155-AL155))</f>
      </c>
      <c r="AO155" s="26">
        <f>IF($B155&lt;&gt;"Challan","",IF(ROUND(AL155-AM155,2)&gt;0,"Over-applied",IF(ROUND(AL155-AM155,2)=0,"Fully Utilised","Unconsumed")))</f>
      </c>
      <c r="AP155" s="27">
        <f>IF($B155&lt;&gt;"Entry","",SUMPRODUCT(($D$8:$D$207=D155)*($B$8:$B$207="Challan")*$E$8:$E$207))</f>
      </c>
    </row>
    <row r="156" spans="1:42" x14ac:dyDescent="0.25">
      <c r="A156" s="15">
        <f>IF($B156="Entry",COUNTIF($B$8:$B156,"Entry"),"")</f>
      </c>
      <c r="B156" s="16"/>
      <c r="C156" s="17"/>
      <c r="D156" s="17"/>
      <c r="E156" s="18"/>
      <c r="F156" s="19"/>
      <c r="G156" s="20"/>
      <c r="H156" s="20"/>
      <c r="I156" s="20"/>
      <c r="J156" s="20"/>
      <c r="K156" s="20"/>
      <c r="L156" s="20"/>
      <c r="M156" s="20"/>
      <c r="N156" s="21">
        <f>IF($B156&lt;&gt;"Challan","",G156+H156+I156+J156+K156+L156)</f>
      </c>
      <c r="O156" s="19"/>
      <c r="P156" s="19"/>
      <c r="Q156" s="19"/>
      <c r="R156" s="19"/>
      <c r="S156" s="19"/>
      <c r="T156" s="22"/>
      <c r="U156" s="22"/>
      <c r="V156" s="22"/>
      <c r="W156" s="22"/>
      <c r="X156" s="22"/>
      <c r="Y156" s="23"/>
      <c r="Z156" s="24"/>
      <c r="AA156" s="25"/>
      <c r="AB156" s="21">
        <f>IF($B156&lt;&gt;"Entry","",ROUND(AA156*Y156/100,0))</f>
      </c>
      <c r="AC156" s="25"/>
      <c r="AD156" s="25"/>
      <c r="AE156" s="21">
        <f>IF($B156&lt;&gt;"Entry","",IF(OR(AB156=0,Z156="",AP156="",AP156&lt;=0),0,IF(AP156&lt;=DATE(YEAR(Z156),MONTH(Z156)+1,7),0,ROUND(AB156*0.015*((YEAR(AP156)-YEAR(Z156))*12+(MONTH(AP156)-MONTH(Z156))+1),0))))</f>
      </c>
      <c r="AF156" s="25"/>
      <c r="AG156" s="22"/>
      <c r="AH156" s="22"/>
      <c r="AI156" s="23"/>
      <c r="AJ156" s="22"/>
      <c r="AK156" s="22"/>
      <c r="AL156" s="21">
        <f>IF($B156&lt;&gt;"Challan","",SUMIF($D$8:$D$207,D156,$AB$8:$AB$207)+SUMIF($D$8:$D$207,D156,$AE$8:$AE$207)+SUMIF($D$8:$D$207,D156,$AC$8:$AC$207))</f>
      </c>
      <c r="AM156" s="21">
        <f>IF($B156&lt;&gt;"Challan","",N156-L156)</f>
      </c>
      <c r="AN156" s="21">
        <f>IF($B156&lt;&gt;"Challan","",MAX(0,AM156-AL156))</f>
      </c>
      <c r="AO156" s="26">
        <f>IF($B156&lt;&gt;"Challan","",IF(ROUND(AL156-AM156,2)&gt;0,"Over-applied",IF(ROUND(AL156-AM156,2)=0,"Fully Utilised","Unconsumed")))</f>
      </c>
      <c r="AP156" s="27">
        <f>IF($B156&lt;&gt;"Entry","",SUMPRODUCT(($D$8:$D$207=D156)*($B$8:$B$207="Challan")*$E$8:$E$207))</f>
      </c>
    </row>
    <row r="157" spans="1:42" x14ac:dyDescent="0.25">
      <c r="A157" s="15">
        <f>IF($B157="Entry",COUNTIF($B$8:$B157,"Entry"),"")</f>
      </c>
      <c r="B157" s="16"/>
      <c r="C157" s="17"/>
      <c r="D157" s="17"/>
      <c r="E157" s="18"/>
      <c r="F157" s="19"/>
      <c r="G157" s="20"/>
      <c r="H157" s="20"/>
      <c r="I157" s="20"/>
      <c r="J157" s="20"/>
      <c r="K157" s="20"/>
      <c r="L157" s="20"/>
      <c r="M157" s="20"/>
      <c r="N157" s="21">
        <f>IF($B157&lt;&gt;"Challan","",G157+H157+I157+J157+K157+L157)</f>
      </c>
      <c r="O157" s="19"/>
      <c r="P157" s="19"/>
      <c r="Q157" s="19"/>
      <c r="R157" s="19"/>
      <c r="S157" s="19"/>
      <c r="T157" s="22"/>
      <c r="U157" s="22"/>
      <c r="V157" s="22"/>
      <c r="W157" s="22"/>
      <c r="X157" s="22"/>
      <c r="Y157" s="23"/>
      <c r="Z157" s="24"/>
      <c r="AA157" s="25"/>
      <c r="AB157" s="21">
        <f>IF($B157&lt;&gt;"Entry","",ROUND(AA157*Y157/100,0))</f>
      </c>
      <c r="AC157" s="25"/>
      <c r="AD157" s="25"/>
      <c r="AE157" s="21">
        <f>IF($B157&lt;&gt;"Entry","",IF(OR(AB157=0,Z157="",AP157="",AP157&lt;=0),0,IF(AP157&lt;=DATE(YEAR(Z157),MONTH(Z157)+1,7),0,ROUND(AB157*0.015*((YEAR(AP157)-YEAR(Z157))*12+(MONTH(AP157)-MONTH(Z157))+1),0))))</f>
      </c>
      <c r="AF157" s="25"/>
      <c r="AG157" s="22"/>
      <c r="AH157" s="22"/>
      <c r="AI157" s="23"/>
      <c r="AJ157" s="22"/>
      <c r="AK157" s="22"/>
      <c r="AL157" s="21">
        <f>IF($B157&lt;&gt;"Challan","",SUMIF($D$8:$D$207,D157,$AB$8:$AB$207)+SUMIF($D$8:$D$207,D157,$AE$8:$AE$207)+SUMIF($D$8:$D$207,D157,$AC$8:$AC$207))</f>
      </c>
      <c r="AM157" s="21">
        <f>IF($B157&lt;&gt;"Challan","",N157-L157)</f>
      </c>
      <c r="AN157" s="21">
        <f>IF($B157&lt;&gt;"Challan","",MAX(0,AM157-AL157))</f>
      </c>
      <c r="AO157" s="26">
        <f>IF($B157&lt;&gt;"Challan","",IF(ROUND(AL157-AM157,2)&gt;0,"Over-applied",IF(ROUND(AL157-AM157,2)=0,"Fully Utilised","Unconsumed")))</f>
      </c>
      <c r="AP157" s="27">
        <f>IF($B157&lt;&gt;"Entry","",SUMPRODUCT(($D$8:$D$207=D157)*($B$8:$B$207="Challan")*$E$8:$E$207))</f>
      </c>
    </row>
    <row r="158" spans="1:42" x14ac:dyDescent="0.25">
      <c r="A158" s="15">
        <f>IF($B158="Entry",COUNTIF($B$8:$B158,"Entry"),"")</f>
      </c>
      <c r="B158" s="16"/>
      <c r="C158" s="17"/>
      <c r="D158" s="17"/>
      <c r="E158" s="18"/>
      <c r="F158" s="19"/>
      <c r="G158" s="20"/>
      <c r="H158" s="20"/>
      <c r="I158" s="20"/>
      <c r="J158" s="20"/>
      <c r="K158" s="20"/>
      <c r="L158" s="20"/>
      <c r="M158" s="20"/>
      <c r="N158" s="21">
        <f>IF($B158&lt;&gt;"Challan","",G158+H158+I158+J158+K158+L158)</f>
      </c>
      <c r="O158" s="19"/>
      <c r="P158" s="19"/>
      <c r="Q158" s="19"/>
      <c r="R158" s="19"/>
      <c r="S158" s="19"/>
      <c r="T158" s="22"/>
      <c r="U158" s="22"/>
      <c r="V158" s="22"/>
      <c r="W158" s="22"/>
      <c r="X158" s="22"/>
      <c r="Y158" s="23"/>
      <c r="Z158" s="24"/>
      <c r="AA158" s="25"/>
      <c r="AB158" s="21">
        <f>IF($B158&lt;&gt;"Entry","",ROUND(AA158*Y158/100,0))</f>
      </c>
      <c r="AC158" s="25"/>
      <c r="AD158" s="25"/>
      <c r="AE158" s="21">
        <f>IF($B158&lt;&gt;"Entry","",IF(OR(AB158=0,Z158="",AP158="",AP158&lt;=0),0,IF(AP158&lt;=DATE(YEAR(Z158),MONTH(Z158)+1,7),0,ROUND(AB158*0.015*((YEAR(AP158)-YEAR(Z158))*12+(MONTH(AP158)-MONTH(Z158))+1),0))))</f>
      </c>
      <c r="AF158" s="25"/>
      <c r="AG158" s="22"/>
      <c r="AH158" s="22"/>
      <c r="AI158" s="23"/>
      <c r="AJ158" s="22"/>
      <c r="AK158" s="22"/>
      <c r="AL158" s="21">
        <f>IF($B158&lt;&gt;"Challan","",SUMIF($D$8:$D$207,D158,$AB$8:$AB$207)+SUMIF($D$8:$D$207,D158,$AE$8:$AE$207)+SUMIF($D$8:$D$207,D158,$AC$8:$AC$207))</f>
      </c>
      <c r="AM158" s="21">
        <f>IF($B158&lt;&gt;"Challan","",N158-L158)</f>
      </c>
      <c r="AN158" s="21">
        <f>IF($B158&lt;&gt;"Challan","",MAX(0,AM158-AL158))</f>
      </c>
      <c r="AO158" s="26">
        <f>IF($B158&lt;&gt;"Challan","",IF(ROUND(AL158-AM158,2)&gt;0,"Over-applied",IF(ROUND(AL158-AM158,2)=0,"Fully Utilised","Unconsumed")))</f>
      </c>
      <c r="AP158" s="27">
        <f>IF($B158&lt;&gt;"Entry","",SUMPRODUCT(($D$8:$D$207=D158)*($B$8:$B$207="Challan")*$E$8:$E$207))</f>
      </c>
    </row>
    <row r="159" spans="1:42" x14ac:dyDescent="0.25">
      <c r="A159" s="15">
        <f>IF($B159="Entry",COUNTIF($B$8:$B159,"Entry"),"")</f>
      </c>
      <c r="B159" s="16"/>
      <c r="C159" s="17"/>
      <c r="D159" s="17"/>
      <c r="E159" s="18"/>
      <c r="F159" s="19"/>
      <c r="G159" s="20"/>
      <c r="H159" s="20"/>
      <c r="I159" s="20"/>
      <c r="J159" s="20"/>
      <c r="K159" s="20"/>
      <c r="L159" s="20"/>
      <c r="M159" s="20"/>
      <c r="N159" s="21">
        <f>IF($B159&lt;&gt;"Challan","",G159+H159+I159+J159+K159+L159)</f>
      </c>
      <c r="O159" s="19"/>
      <c r="P159" s="19"/>
      <c r="Q159" s="19"/>
      <c r="R159" s="19"/>
      <c r="S159" s="19"/>
      <c r="T159" s="22"/>
      <c r="U159" s="22"/>
      <c r="V159" s="22"/>
      <c r="W159" s="22"/>
      <c r="X159" s="22"/>
      <c r="Y159" s="23"/>
      <c r="Z159" s="24"/>
      <c r="AA159" s="25"/>
      <c r="AB159" s="21">
        <f>IF($B159&lt;&gt;"Entry","",ROUND(AA159*Y159/100,0))</f>
      </c>
      <c r="AC159" s="25"/>
      <c r="AD159" s="25"/>
      <c r="AE159" s="21">
        <f>IF($B159&lt;&gt;"Entry","",IF(OR(AB159=0,Z159="",AP159="",AP159&lt;=0),0,IF(AP159&lt;=DATE(YEAR(Z159),MONTH(Z159)+1,7),0,ROUND(AB159*0.015*((YEAR(AP159)-YEAR(Z159))*12+(MONTH(AP159)-MONTH(Z159))+1),0))))</f>
      </c>
      <c r="AF159" s="25"/>
      <c r="AG159" s="22"/>
      <c r="AH159" s="22"/>
      <c r="AI159" s="23"/>
      <c r="AJ159" s="22"/>
      <c r="AK159" s="22"/>
      <c r="AL159" s="21">
        <f>IF($B159&lt;&gt;"Challan","",SUMIF($D$8:$D$207,D159,$AB$8:$AB$207)+SUMIF($D$8:$D$207,D159,$AE$8:$AE$207)+SUMIF($D$8:$D$207,D159,$AC$8:$AC$207))</f>
      </c>
      <c r="AM159" s="21">
        <f>IF($B159&lt;&gt;"Challan","",N159-L159)</f>
      </c>
      <c r="AN159" s="21">
        <f>IF($B159&lt;&gt;"Challan","",MAX(0,AM159-AL159))</f>
      </c>
      <c r="AO159" s="26">
        <f>IF($B159&lt;&gt;"Challan","",IF(ROUND(AL159-AM159,2)&gt;0,"Over-applied",IF(ROUND(AL159-AM159,2)=0,"Fully Utilised","Unconsumed")))</f>
      </c>
      <c r="AP159" s="27">
        <f>IF($B159&lt;&gt;"Entry","",SUMPRODUCT(($D$8:$D$207=D159)*($B$8:$B$207="Challan")*$E$8:$E$207))</f>
      </c>
    </row>
    <row r="160" spans="1:42" x14ac:dyDescent="0.25">
      <c r="A160" s="15">
        <f>IF($B160="Entry",COUNTIF($B$8:$B160,"Entry"),"")</f>
      </c>
      <c r="B160" s="16"/>
      <c r="C160" s="17"/>
      <c r="D160" s="17"/>
      <c r="E160" s="18"/>
      <c r="F160" s="19"/>
      <c r="G160" s="20"/>
      <c r="H160" s="20"/>
      <c r="I160" s="20"/>
      <c r="J160" s="20"/>
      <c r="K160" s="20"/>
      <c r="L160" s="20"/>
      <c r="M160" s="20"/>
      <c r="N160" s="21">
        <f>IF($B160&lt;&gt;"Challan","",G160+H160+I160+J160+K160+L160)</f>
      </c>
      <c r="O160" s="19"/>
      <c r="P160" s="19"/>
      <c r="Q160" s="19"/>
      <c r="R160" s="19"/>
      <c r="S160" s="19"/>
      <c r="T160" s="22"/>
      <c r="U160" s="22"/>
      <c r="V160" s="22"/>
      <c r="W160" s="22"/>
      <c r="X160" s="22"/>
      <c r="Y160" s="23"/>
      <c r="Z160" s="24"/>
      <c r="AA160" s="25"/>
      <c r="AB160" s="21">
        <f>IF($B160&lt;&gt;"Entry","",ROUND(AA160*Y160/100,0))</f>
      </c>
      <c r="AC160" s="25"/>
      <c r="AD160" s="25"/>
      <c r="AE160" s="21">
        <f>IF($B160&lt;&gt;"Entry","",IF(OR(AB160=0,Z160="",AP160="",AP160&lt;=0),0,IF(AP160&lt;=DATE(YEAR(Z160),MONTH(Z160)+1,7),0,ROUND(AB160*0.015*((YEAR(AP160)-YEAR(Z160))*12+(MONTH(AP160)-MONTH(Z160))+1),0))))</f>
      </c>
      <c r="AF160" s="25"/>
      <c r="AG160" s="22"/>
      <c r="AH160" s="22"/>
      <c r="AI160" s="23"/>
      <c r="AJ160" s="22"/>
      <c r="AK160" s="22"/>
      <c r="AL160" s="21">
        <f>IF($B160&lt;&gt;"Challan","",SUMIF($D$8:$D$207,D160,$AB$8:$AB$207)+SUMIF($D$8:$D$207,D160,$AE$8:$AE$207)+SUMIF($D$8:$D$207,D160,$AC$8:$AC$207))</f>
      </c>
      <c r="AM160" s="21">
        <f>IF($B160&lt;&gt;"Challan","",N160-L160)</f>
      </c>
      <c r="AN160" s="21">
        <f>IF($B160&lt;&gt;"Challan","",MAX(0,AM160-AL160))</f>
      </c>
      <c r="AO160" s="26">
        <f>IF($B160&lt;&gt;"Challan","",IF(ROUND(AL160-AM160,2)&gt;0,"Over-applied",IF(ROUND(AL160-AM160,2)=0,"Fully Utilised","Unconsumed")))</f>
      </c>
      <c r="AP160" s="27">
        <f>IF($B160&lt;&gt;"Entry","",SUMPRODUCT(($D$8:$D$207=D160)*($B$8:$B$207="Challan")*$E$8:$E$207))</f>
      </c>
    </row>
    <row r="161" spans="1:42" x14ac:dyDescent="0.25">
      <c r="A161" s="15">
        <f>IF($B161="Entry",COUNTIF($B$8:$B161,"Entry"),"")</f>
      </c>
      <c r="B161" s="16"/>
      <c r="C161" s="17"/>
      <c r="D161" s="17"/>
      <c r="E161" s="18"/>
      <c r="F161" s="19"/>
      <c r="G161" s="20"/>
      <c r="H161" s="20"/>
      <c r="I161" s="20"/>
      <c r="J161" s="20"/>
      <c r="K161" s="20"/>
      <c r="L161" s="20"/>
      <c r="M161" s="20"/>
      <c r="N161" s="21">
        <f>IF($B161&lt;&gt;"Challan","",G161+H161+I161+J161+K161+L161)</f>
      </c>
      <c r="O161" s="19"/>
      <c r="P161" s="19"/>
      <c r="Q161" s="19"/>
      <c r="R161" s="19"/>
      <c r="S161" s="19"/>
      <c r="T161" s="22"/>
      <c r="U161" s="22"/>
      <c r="V161" s="22"/>
      <c r="W161" s="22"/>
      <c r="X161" s="22"/>
      <c r="Y161" s="23"/>
      <c r="Z161" s="24"/>
      <c r="AA161" s="25"/>
      <c r="AB161" s="21">
        <f>IF($B161&lt;&gt;"Entry","",ROUND(AA161*Y161/100,0))</f>
      </c>
      <c r="AC161" s="25"/>
      <c r="AD161" s="25"/>
      <c r="AE161" s="21">
        <f>IF($B161&lt;&gt;"Entry","",IF(OR(AB161=0,Z161="",AP161="",AP161&lt;=0),0,IF(AP161&lt;=DATE(YEAR(Z161),MONTH(Z161)+1,7),0,ROUND(AB161*0.015*((YEAR(AP161)-YEAR(Z161))*12+(MONTH(AP161)-MONTH(Z161))+1),0))))</f>
      </c>
      <c r="AF161" s="25"/>
      <c r="AG161" s="22"/>
      <c r="AH161" s="22"/>
      <c r="AI161" s="23"/>
      <c r="AJ161" s="22"/>
      <c r="AK161" s="22"/>
      <c r="AL161" s="21">
        <f>IF($B161&lt;&gt;"Challan","",SUMIF($D$8:$D$207,D161,$AB$8:$AB$207)+SUMIF($D$8:$D$207,D161,$AE$8:$AE$207)+SUMIF($D$8:$D$207,D161,$AC$8:$AC$207))</f>
      </c>
      <c r="AM161" s="21">
        <f>IF($B161&lt;&gt;"Challan","",N161-L161)</f>
      </c>
      <c r="AN161" s="21">
        <f>IF($B161&lt;&gt;"Challan","",MAX(0,AM161-AL161))</f>
      </c>
      <c r="AO161" s="26">
        <f>IF($B161&lt;&gt;"Challan","",IF(ROUND(AL161-AM161,2)&gt;0,"Over-applied",IF(ROUND(AL161-AM161,2)=0,"Fully Utilised","Unconsumed")))</f>
      </c>
      <c r="AP161" s="27">
        <f>IF($B161&lt;&gt;"Entry","",SUMPRODUCT(($D$8:$D$207=D161)*($B$8:$B$207="Challan")*$E$8:$E$207))</f>
      </c>
    </row>
    <row r="162" spans="1:42" x14ac:dyDescent="0.25">
      <c r="A162" s="15">
        <f>IF($B162="Entry",COUNTIF($B$8:$B162,"Entry"),"")</f>
      </c>
      <c r="B162" s="16"/>
      <c r="C162" s="17"/>
      <c r="D162" s="17"/>
      <c r="E162" s="18"/>
      <c r="F162" s="19"/>
      <c r="G162" s="20"/>
      <c r="H162" s="20"/>
      <c r="I162" s="20"/>
      <c r="J162" s="20"/>
      <c r="K162" s="20"/>
      <c r="L162" s="20"/>
      <c r="M162" s="20"/>
      <c r="N162" s="21">
        <f>IF($B162&lt;&gt;"Challan","",G162+H162+I162+J162+K162+L162)</f>
      </c>
      <c r="O162" s="19"/>
      <c r="P162" s="19"/>
      <c r="Q162" s="19"/>
      <c r="R162" s="19"/>
      <c r="S162" s="19"/>
      <c r="T162" s="22"/>
      <c r="U162" s="22"/>
      <c r="V162" s="22"/>
      <c r="W162" s="22"/>
      <c r="X162" s="22"/>
      <c r="Y162" s="23"/>
      <c r="Z162" s="24"/>
      <c r="AA162" s="25"/>
      <c r="AB162" s="21">
        <f>IF($B162&lt;&gt;"Entry","",ROUND(AA162*Y162/100,0))</f>
      </c>
      <c r="AC162" s="25"/>
      <c r="AD162" s="25"/>
      <c r="AE162" s="21">
        <f>IF($B162&lt;&gt;"Entry","",IF(OR(AB162=0,Z162="",AP162="",AP162&lt;=0),0,IF(AP162&lt;=DATE(YEAR(Z162),MONTH(Z162)+1,7),0,ROUND(AB162*0.015*((YEAR(AP162)-YEAR(Z162))*12+(MONTH(AP162)-MONTH(Z162))+1),0))))</f>
      </c>
      <c r="AF162" s="25"/>
      <c r="AG162" s="22"/>
      <c r="AH162" s="22"/>
      <c r="AI162" s="23"/>
      <c r="AJ162" s="22"/>
      <c r="AK162" s="22"/>
      <c r="AL162" s="21">
        <f>IF($B162&lt;&gt;"Challan","",SUMIF($D$8:$D$207,D162,$AB$8:$AB$207)+SUMIF($D$8:$D$207,D162,$AE$8:$AE$207)+SUMIF($D$8:$D$207,D162,$AC$8:$AC$207))</f>
      </c>
      <c r="AM162" s="21">
        <f>IF($B162&lt;&gt;"Challan","",N162-L162)</f>
      </c>
      <c r="AN162" s="21">
        <f>IF($B162&lt;&gt;"Challan","",MAX(0,AM162-AL162))</f>
      </c>
      <c r="AO162" s="26">
        <f>IF($B162&lt;&gt;"Challan","",IF(ROUND(AL162-AM162,2)&gt;0,"Over-applied",IF(ROUND(AL162-AM162,2)=0,"Fully Utilised","Unconsumed")))</f>
      </c>
      <c r="AP162" s="27">
        <f>IF($B162&lt;&gt;"Entry","",SUMPRODUCT(($D$8:$D$207=D162)*($B$8:$B$207="Challan")*$E$8:$E$207))</f>
      </c>
    </row>
    <row r="163" spans="1:42" x14ac:dyDescent="0.25">
      <c r="A163" s="15">
        <f>IF($B163="Entry",COUNTIF($B$8:$B163,"Entry"),"")</f>
      </c>
      <c r="B163" s="16"/>
      <c r="C163" s="17"/>
      <c r="D163" s="17"/>
      <c r="E163" s="18"/>
      <c r="F163" s="19"/>
      <c r="G163" s="20"/>
      <c r="H163" s="20"/>
      <c r="I163" s="20"/>
      <c r="J163" s="20"/>
      <c r="K163" s="20"/>
      <c r="L163" s="20"/>
      <c r="M163" s="20"/>
      <c r="N163" s="21">
        <f>IF($B163&lt;&gt;"Challan","",G163+H163+I163+J163+K163+L163)</f>
      </c>
      <c r="O163" s="19"/>
      <c r="P163" s="19"/>
      <c r="Q163" s="19"/>
      <c r="R163" s="19"/>
      <c r="S163" s="19"/>
      <c r="T163" s="22"/>
      <c r="U163" s="22"/>
      <c r="V163" s="22"/>
      <c r="W163" s="22"/>
      <c r="X163" s="22"/>
      <c r="Y163" s="23"/>
      <c r="Z163" s="24"/>
      <c r="AA163" s="25"/>
      <c r="AB163" s="21">
        <f>IF($B163&lt;&gt;"Entry","",ROUND(AA163*Y163/100,0))</f>
      </c>
      <c r="AC163" s="25"/>
      <c r="AD163" s="25"/>
      <c r="AE163" s="21">
        <f>IF($B163&lt;&gt;"Entry","",IF(OR(AB163=0,Z163="",AP163="",AP163&lt;=0),0,IF(AP163&lt;=DATE(YEAR(Z163),MONTH(Z163)+1,7),0,ROUND(AB163*0.015*((YEAR(AP163)-YEAR(Z163))*12+(MONTH(AP163)-MONTH(Z163))+1),0))))</f>
      </c>
      <c r="AF163" s="25"/>
      <c r="AG163" s="22"/>
      <c r="AH163" s="22"/>
      <c r="AI163" s="23"/>
      <c r="AJ163" s="22"/>
      <c r="AK163" s="22"/>
      <c r="AL163" s="21">
        <f>IF($B163&lt;&gt;"Challan","",SUMIF($D$8:$D$207,D163,$AB$8:$AB$207)+SUMIF($D$8:$D$207,D163,$AE$8:$AE$207)+SUMIF($D$8:$D$207,D163,$AC$8:$AC$207))</f>
      </c>
      <c r="AM163" s="21">
        <f>IF($B163&lt;&gt;"Challan","",N163-L163)</f>
      </c>
      <c r="AN163" s="21">
        <f>IF($B163&lt;&gt;"Challan","",MAX(0,AM163-AL163))</f>
      </c>
      <c r="AO163" s="26">
        <f>IF($B163&lt;&gt;"Challan","",IF(ROUND(AL163-AM163,2)&gt;0,"Over-applied",IF(ROUND(AL163-AM163,2)=0,"Fully Utilised","Unconsumed")))</f>
      </c>
      <c r="AP163" s="27">
        <f>IF($B163&lt;&gt;"Entry","",SUMPRODUCT(($D$8:$D$207=D163)*($B$8:$B$207="Challan")*$E$8:$E$207))</f>
      </c>
    </row>
    <row r="164" spans="1:42" x14ac:dyDescent="0.25">
      <c r="A164" s="15">
        <f>IF($B164="Entry",COUNTIF($B$8:$B164,"Entry"),"")</f>
      </c>
      <c r="B164" s="16"/>
      <c r="C164" s="17"/>
      <c r="D164" s="17"/>
      <c r="E164" s="18"/>
      <c r="F164" s="19"/>
      <c r="G164" s="20"/>
      <c r="H164" s="20"/>
      <c r="I164" s="20"/>
      <c r="J164" s="20"/>
      <c r="K164" s="20"/>
      <c r="L164" s="20"/>
      <c r="M164" s="20"/>
      <c r="N164" s="21">
        <f>IF($B164&lt;&gt;"Challan","",G164+H164+I164+J164+K164+L164)</f>
      </c>
      <c r="O164" s="19"/>
      <c r="P164" s="19"/>
      <c r="Q164" s="19"/>
      <c r="R164" s="19"/>
      <c r="S164" s="19"/>
      <c r="T164" s="22"/>
      <c r="U164" s="22"/>
      <c r="V164" s="22"/>
      <c r="W164" s="22"/>
      <c r="X164" s="22"/>
      <c r="Y164" s="23"/>
      <c r="Z164" s="24"/>
      <c r="AA164" s="25"/>
      <c r="AB164" s="21">
        <f>IF($B164&lt;&gt;"Entry","",ROUND(AA164*Y164/100,0))</f>
      </c>
      <c r="AC164" s="25"/>
      <c r="AD164" s="25"/>
      <c r="AE164" s="21">
        <f>IF($B164&lt;&gt;"Entry","",IF(OR(AB164=0,Z164="",AP164="",AP164&lt;=0),0,IF(AP164&lt;=DATE(YEAR(Z164),MONTH(Z164)+1,7),0,ROUND(AB164*0.015*((YEAR(AP164)-YEAR(Z164))*12+(MONTH(AP164)-MONTH(Z164))+1),0))))</f>
      </c>
      <c r="AF164" s="25"/>
      <c r="AG164" s="22"/>
      <c r="AH164" s="22"/>
      <c r="AI164" s="23"/>
      <c r="AJ164" s="22"/>
      <c r="AK164" s="22"/>
      <c r="AL164" s="21">
        <f>IF($B164&lt;&gt;"Challan","",SUMIF($D$8:$D$207,D164,$AB$8:$AB$207)+SUMIF($D$8:$D$207,D164,$AE$8:$AE$207)+SUMIF($D$8:$D$207,D164,$AC$8:$AC$207))</f>
      </c>
      <c r="AM164" s="21">
        <f>IF($B164&lt;&gt;"Challan","",N164-L164)</f>
      </c>
      <c r="AN164" s="21">
        <f>IF($B164&lt;&gt;"Challan","",MAX(0,AM164-AL164))</f>
      </c>
      <c r="AO164" s="26">
        <f>IF($B164&lt;&gt;"Challan","",IF(ROUND(AL164-AM164,2)&gt;0,"Over-applied",IF(ROUND(AL164-AM164,2)=0,"Fully Utilised","Unconsumed")))</f>
      </c>
      <c r="AP164" s="27">
        <f>IF($B164&lt;&gt;"Entry","",SUMPRODUCT(($D$8:$D$207=D164)*($B$8:$B$207="Challan")*$E$8:$E$207))</f>
      </c>
    </row>
    <row r="165" spans="1:42" x14ac:dyDescent="0.25">
      <c r="A165" s="15">
        <f>IF($B165="Entry",COUNTIF($B$8:$B165,"Entry"),"")</f>
      </c>
      <c r="B165" s="16"/>
      <c r="C165" s="17"/>
      <c r="D165" s="17"/>
      <c r="E165" s="18"/>
      <c r="F165" s="19"/>
      <c r="G165" s="20"/>
      <c r="H165" s="20"/>
      <c r="I165" s="20"/>
      <c r="J165" s="20"/>
      <c r="K165" s="20"/>
      <c r="L165" s="20"/>
      <c r="M165" s="20"/>
      <c r="N165" s="21">
        <f>IF($B165&lt;&gt;"Challan","",G165+H165+I165+J165+K165+L165)</f>
      </c>
      <c r="O165" s="19"/>
      <c r="P165" s="19"/>
      <c r="Q165" s="19"/>
      <c r="R165" s="19"/>
      <c r="S165" s="19"/>
      <c r="T165" s="22"/>
      <c r="U165" s="22"/>
      <c r="V165" s="22"/>
      <c r="W165" s="22"/>
      <c r="X165" s="22"/>
      <c r="Y165" s="23"/>
      <c r="Z165" s="24"/>
      <c r="AA165" s="25"/>
      <c r="AB165" s="21">
        <f>IF($B165&lt;&gt;"Entry","",ROUND(AA165*Y165/100,0))</f>
      </c>
      <c r="AC165" s="25"/>
      <c r="AD165" s="25"/>
      <c r="AE165" s="21">
        <f>IF($B165&lt;&gt;"Entry","",IF(OR(AB165=0,Z165="",AP165="",AP165&lt;=0),0,IF(AP165&lt;=DATE(YEAR(Z165),MONTH(Z165)+1,7),0,ROUND(AB165*0.015*((YEAR(AP165)-YEAR(Z165))*12+(MONTH(AP165)-MONTH(Z165))+1),0))))</f>
      </c>
      <c r="AF165" s="25"/>
      <c r="AG165" s="22"/>
      <c r="AH165" s="22"/>
      <c r="AI165" s="23"/>
      <c r="AJ165" s="22"/>
      <c r="AK165" s="22"/>
      <c r="AL165" s="21">
        <f>IF($B165&lt;&gt;"Challan","",SUMIF($D$8:$D$207,D165,$AB$8:$AB$207)+SUMIF($D$8:$D$207,D165,$AE$8:$AE$207)+SUMIF($D$8:$D$207,D165,$AC$8:$AC$207))</f>
      </c>
      <c r="AM165" s="21">
        <f>IF($B165&lt;&gt;"Challan","",N165-L165)</f>
      </c>
      <c r="AN165" s="21">
        <f>IF($B165&lt;&gt;"Challan","",MAX(0,AM165-AL165))</f>
      </c>
      <c r="AO165" s="26">
        <f>IF($B165&lt;&gt;"Challan","",IF(ROUND(AL165-AM165,2)&gt;0,"Over-applied",IF(ROUND(AL165-AM165,2)=0,"Fully Utilised","Unconsumed")))</f>
      </c>
      <c r="AP165" s="27">
        <f>IF($B165&lt;&gt;"Entry","",SUMPRODUCT(($D$8:$D$207=D165)*($B$8:$B$207="Challan")*$E$8:$E$207))</f>
      </c>
    </row>
    <row r="166" spans="1:42" x14ac:dyDescent="0.25">
      <c r="A166" s="15">
        <f>IF($B166="Entry",COUNTIF($B$8:$B166,"Entry"),"")</f>
      </c>
      <c r="B166" s="16"/>
      <c r="C166" s="17"/>
      <c r="D166" s="17"/>
      <c r="E166" s="18"/>
      <c r="F166" s="19"/>
      <c r="G166" s="20"/>
      <c r="H166" s="20"/>
      <c r="I166" s="20"/>
      <c r="J166" s="20"/>
      <c r="K166" s="20"/>
      <c r="L166" s="20"/>
      <c r="M166" s="20"/>
      <c r="N166" s="21">
        <f>IF($B166&lt;&gt;"Challan","",G166+H166+I166+J166+K166+L166)</f>
      </c>
      <c r="O166" s="19"/>
      <c r="P166" s="19"/>
      <c r="Q166" s="19"/>
      <c r="R166" s="19"/>
      <c r="S166" s="19"/>
      <c r="T166" s="22"/>
      <c r="U166" s="22"/>
      <c r="V166" s="22"/>
      <c r="W166" s="22"/>
      <c r="X166" s="22"/>
      <c r="Y166" s="23"/>
      <c r="Z166" s="24"/>
      <c r="AA166" s="25"/>
      <c r="AB166" s="21">
        <f>IF($B166&lt;&gt;"Entry","",ROUND(AA166*Y166/100,0))</f>
      </c>
      <c r="AC166" s="25"/>
      <c r="AD166" s="25"/>
      <c r="AE166" s="21">
        <f>IF($B166&lt;&gt;"Entry","",IF(OR(AB166=0,Z166="",AP166="",AP166&lt;=0),0,IF(AP166&lt;=DATE(YEAR(Z166),MONTH(Z166)+1,7),0,ROUND(AB166*0.015*((YEAR(AP166)-YEAR(Z166))*12+(MONTH(AP166)-MONTH(Z166))+1),0))))</f>
      </c>
      <c r="AF166" s="25"/>
      <c r="AG166" s="22"/>
      <c r="AH166" s="22"/>
      <c r="AI166" s="23"/>
      <c r="AJ166" s="22"/>
      <c r="AK166" s="22"/>
      <c r="AL166" s="21">
        <f>IF($B166&lt;&gt;"Challan","",SUMIF($D$8:$D$207,D166,$AB$8:$AB$207)+SUMIF($D$8:$D$207,D166,$AE$8:$AE$207)+SUMIF($D$8:$D$207,D166,$AC$8:$AC$207))</f>
      </c>
      <c r="AM166" s="21">
        <f>IF($B166&lt;&gt;"Challan","",N166-L166)</f>
      </c>
      <c r="AN166" s="21">
        <f>IF($B166&lt;&gt;"Challan","",MAX(0,AM166-AL166))</f>
      </c>
      <c r="AO166" s="26">
        <f>IF($B166&lt;&gt;"Challan","",IF(ROUND(AL166-AM166,2)&gt;0,"Over-applied",IF(ROUND(AL166-AM166,2)=0,"Fully Utilised","Unconsumed")))</f>
      </c>
      <c r="AP166" s="27">
        <f>IF($B166&lt;&gt;"Entry","",SUMPRODUCT(($D$8:$D$207=D166)*($B$8:$B$207="Challan")*$E$8:$E$207))</f>
      </c>
    </row>
    <row r="167" spans="1:42" x14ac:dyDescent="0.25">
      <c r="A167" s="15">
        <f>IF($B167="Entry",COUNTIF($B$8:$B167,"Entry"),"")</f>
      </c>
      <c r="B167" s="16"/>
      <c r="C167" s="17"/>
      <c r="D167" s="17"/>
      <c r="E167" s="18"/>
      <c r="F167" s="19"/>
      <c r="G167" s="20"/>
      <c r="H167" s="20"/>
      <c r="I167" s="20"/>
      <c r="J167" s="20"/>
      <c r="K167" s="20"/>
      <c r="L167" s="20"/>
      <c r="M167" s="20"/>
      <c r="N167" s="21">
        <f>IF($B167&lt;&gt;"Challan","",G167+H167+I167+J167+K167+L167)</f>
      </c>
      <c r="O167" s="19"/>
      <c r="P167" s="19"/>
      <c r="Q167" s="19"/>
      <c r="R167" s="19"/>
      <c r="S167" s="19"/>
      <c r="T167" s="22"/>
      <c r="U167" s="22"/>
      <c r="V167" s="22"/>
      <c r="W167" s="22"/>
      <c r="X167" s="22"/>
      <c r="Y167" s="23"/>
      <c r="Z167" s="24"/>
      <c r="AA167" s="25"/>
      <c r="AB167" s="21">
        <f>IF($B167&lt;&gt;"Entry","",ROUND(AA167*Y167/100,0))</f>
      </c>
      <c r="AC167" s="25"/>
      <c r="AD167" s="25"/>
      <c r="AE167" s="21">
        <f>IF($B167&lt;&gt;"Entry","",IF(OR(AB167=0,Z167="",AP167="",AP167&lt;=0),0,IF(AP167&lt;=DATE(YEAR(Z167),MONTH(Z167)+1,7),0,ROUND(AB167*0.015*((YEAR(AP167)-YEAR(Z167))*12+(MONTH(AP167)-MONTH(Z167))+1),0))))</f>
      </c>
      <c r="AF167" s="25"/>
      <c r="AG167" s="22"/>
      <c r="AH167" s="22"/>
      <c r="AI167" s="23"/>
      <c r="AJ167" s="22"/>
      <c r="AK167" s="22"/>
      <c r="AL167" s="21">
        <f>IF($B167&lt;&gt;"Challan","",SUMIF($D$8:$D$207,D167,$AB$8:$AB$207)+SUMIF($D$8:$D$207,D167,$AE$8:$AE$207)+SUMIF($D$8:$D$207,D167,$AC$8:$AC$207))</f>
      </c>
      <c r="AM167" s="21">
        <f>IF($B167&lt;&gt;"Challan","",N167-L167)</f>
      </c>
      <c r="AN167" s="21">
        <f>IF($B167&lt;&gt;"Challan","",MAX(0,AM167-AL167))</f>
      </c>
      <c r="AO167" s="26">
        <f>IF($B167&lt;&gt;"Challan","",IF(ROUND(AL167-AM167,2)&gt;0,"Over-applied",IF(ROUND(AL167-AM167,2)=0,"Fully Utilised","Unconsumed")))</f>
      </c>
      <c r="AP167" s="27">
        <f>IF($B167&lt;&gt;"Entry","",SUMPRODUCT(($D$8:$D$207=D167)*($B$8:$B$207="Challan")*$E$8:$E$207))</f>
      </c>
    </row>
    <row r="168" spans="1:42" x14ac:dyDescent="0.25">
      <c r="A168" s="15">
        <f>IF($B168="Entry",COUNTIF($B$8:$B168,"Entry"),"")</f>
      </c>
      <c r="B168" s="16"/>
      <c r="C168" s="17"/>
      <c r="D168" s="17"/>
      <c r="E168" s="18"/>
      <c r="F168" s="19"/>
      <c r="G168" s="20"/>
      <c r="H168" s="20"/>
      <c r="I168" s="20"/>
      <c r="J168" s="20"/>
      <c r="K168" s="20"/>
      <c r="L168" s="20"/>
      <c r="M168" s="20"/>
      <c r="N168" s="21">
        <f>IF($B168&lt;&gt;"Challan","",G168+H168+I168+J168+K168+L168)</f>
      </c>
      <c r="O168" s="19"/>
      <c r="P168" s="19"/>
      <c r="Q168" s="19"/>
      <c r="R168" s="19"/>
      <c r="S168" s="19"/>
      <c r="T168" s="22"/>
      <c r="U168" s="22"/>
      <c r="V168" s="22"/>
      <c r="W168" s="22"/>
      <c r="X168" s="22"/>
      <c r="Y168" s="23"/>
      <c r="Z168" s="24"/>
      <c r="AA168" s="25"/>
      <c r="AB168" s="21">
        <f>IF($B168&lt;&gt;"Entry","",ROUND(AA168*Y168/100,0))</f>
      </c>
      <c r="AC168" s="25"/>
      <c r="AD168" s="25"/>
      <c r="AE168" s="21">
        <f>IF($B168&lt;&gt;"Entry","",IF(OR(AB168=0,Z168="",AP168="",AP168&lt;=0),0,IF(AP168&lt;=DATE(YEAR(Z168),MONTH(Z168)+1,7),0,ROUND(AB168*0.015*((YEAR(AP168)-YEAR(Z168))*12+(MONTH(AP168)-MONTH(Z168))+1),0))))</f>
      </c>
      <c r="AF168" s="25"/>
      <c r="AG168" s="22"/>
      <c r="AH168" s="22"/>
      <c r="AI168" s="23"/>
      <c r="AJ168" s="22"/>
      <c r="AK168" s="22"/>
      <c r="AL168" s="21">
        <f>IF($B168&lt;&gt;"Challan","",SUMIF($D$8:$D$207,D168,$AB$8:$AB$207)+SUMIF($D$8:$D$207,D168,$AE$8:$AE$207)+SUMIF($D$8:$D$207,D168,$AC$8:$AC$207))</f>
      </c>
      <c r="AM168" s="21">
        <f>IF($B168&lt;&gt;"Challan","",N168-L168)</f>
      </c>
      <c r="AN168" s="21">
        <f>IF($B168&lt;&gt;"Challan","",MAX(0,AM168-AL168))</f>
      </c>
      <c r="AO168" s="26">
        <f>IF($B168&lt;&gt;"Challan","",IF(ROUND(AL168-AM168,2)&gt;0,"Over-applied",IF(ROUND(AL168-AM168,2)=0,"Fully Utilised","Unconsumed")))</f>
      </c>
      <c r="AP168" s="27">
        <f>IF($B168&lt;&gt;"Entry","",SUMPRODUCT(($D$8:$D$207=D168)*($B$8:$B$207="Challan")*$E$8:$E$207))</f>
      </c>
    </row>
    <row r="169" spans="1:42" x14ac:dyDescent="0.25">
      <c r="A169" s="15">
        <f>IF($B169="Entry",COUNTIF($B$8:$B169,"Entry"),"")</f>
      </c>
      <c r="B169" s="16"/>
      <c r="C169" s="17"/>
      <c r="D169" s="17"/>
      <c r="E169" s="18"/>
      <c r="F169" s="19"/>
      <c r="G169" s="20"/>
      <c r="H169" s="20"/>
      <c r="I169" s="20"/>
      <c r="J169" s="20"/>
      <c r="K169" s="20"/>
      <c r="L169" s="20"/>
      <c r="M169" s="20"/>
      <c r="N169" s="21">
        <f>IF($B169&lt;&gt;"Challan","",G169+H169+I169+J169+K169+L169)</f>
      </c>
      <c r="O169" s="19"/>
      <c r="P169" s="19"/>
      <c r="Q169" s="19"/>
      <c r="R169" s="19"/>
      <c r="S169" s="19"/>
      <c r="T169" s="22"/>
      <c r="U169" s="22"/>
      <c r="V169" s="22"/>
      <c r="W169" s="22"/>
      <c r="X169" s="22"/>
      <c r="Y169" s="23"/>
      <c r="Z169" s="24"/>
      <c r="AA169" s="25"/>
      <c r="AB169" s="21">
        <f>IF($B169&lt;&gt;"Entry","",ROUND(AA169*Y169/100,0))</f>
      </c>
      <c r="AC169" s="25"/>
      <c r="AD169" s="25"/>
      <c r="AE169" s="21">
        <f>IF($B169&lt;&gt;"Entry","",IF(OR(AB169=0,Z169="",AP169="",AP169&lt;=0),0,IF(AP169&lt;=DATE(YEAR(Z169),MONTH(Z169)+1,7),0,ROUND(AB169*0.015*((YEAR(AP169)-YEAR(Z169))*12+(MONTH(AP169)-MONTH(Z169))+1),0))))</f>
      </c>
      <c r="AF169" s="25"/>
      <c r="AG169" s="22"/>
      <c r="AH169" s="22"/>
      <c r="AI169" s="23"/>
      <c r="AJ169" s="22"/>
      <c r="AK169" s="22"/>
      <c r="AL169" s="21">
        <f>IF($B169&lt;&gt;"Challan","",SUMIF($D$8:$D$207,D169,$AB$8:$AB$207)+SUMIF($D$8:$D$207,D169,$AE$8:$AE$207)+SUMIF($D$8:$D$207,D169,$AC$8:$AC$207))</f>
      </c>
      <c r="AM169" s="21">
        <f>IF($B169&lt;&gt;"Challan","",N169-L169)</f>
      </c>
      <c r="AN169" s="21">
        <f>IF($B169&lt;&gt;"Challan","",MAX(0,AM169-AL169))</f>
      </c>
      <c r="AO169" s="26">
        <f>IF($B169&lt;&gt;"Challan","",IF(ROUND(AL169-AM169,2)&gt;0,"Over-applied",IF(ROUND(AL169-AM169,2)=0,"Fully Utilised","Unconsumed")))</f>
      </c>
      <c r="AP169" s="27">
        <f>IF($B169&lt;&gt;"Entry","",SUMPRODUCT(($D$8:$D$207=D169)*($B$8:$B$207="Challan")*$E$8:$E$207))</f>
      </c>
    </row>
    <row r="170" spans="1:42" x14ac:dyDescent="0.25">
      <c r="A170" s="15">
        <f>IF($B170="Entry",COUNTIF($B$8:$B170,"Entry"),"")</f>
      </c>
      <c r="B170" s="16"/>
      <c r="C170" s="17"/>
      <c r="D170" s="17"/>
      <c r="E170" s="18"/>
      <c r="F170" s="19"/>
      <c r="G170" s="20"/>
      <c r="H170" s="20"/>
      <c r="I170" s="20"/>
      <c r="J170" s="20"/>
      <c r="K170" s="20"/>
      <c r="L170" s="20"/>
      <c r="M170" s="20"/>
      <c r="N170" s="21">
        <f>IF($B170&lt;&gt;"Challan","",G170+H170+I170+J170+K170+L170)</f>
      </c>
      <c r="O170" s="19"/>
      <c r="P170" s="19"/>
      <c r="Q170" s="19"/>
      <c r="R170" s="19"/>
      <c r="S170" s="19"/>
      <c r="T170" s="22"/>
      <c r="U170" s="22"/>
      <c r="V170" s="22"/>
      <c r="W170" s="22"/>
      <c r="X170" s="22"/>
      <c r="Y170" s="23"/>
      <c r="Z170" s="24"/>
      <c r="AA170" s="25"/>
      <c r="AB170" s="21">
        <f>IF($B170&lt;&gt;"Entry","",ROUND(AA170*Y170/100,0))</f>
      </c>
      <c r="AC170" s="25"/>
      <c r="AD170" s="25"/>
      <c r="AE170" s="21">
        <f>IF($B170&lt;&gt;"Entry","",IF(OR(AB170=0,Z170="",AP170="",AP170&lt;=0),0,IF(AP170&lt;=DATE(YEAR(Z170),MONTH(Z170)+1,7),0,ROUND(AB170*0.015*((YEAR(AP170)-YEAR(Z170))*12+(MONTH(AP170)-MONTH(Z170))+1),0))))</f>
      </c>
      <c r="AF170" s="25"/>
      <c r="AG170" s="22"/>
      <c r="AH170" s="22"/>
      <c r="AI170" s="23"/>
      <c r="AJ170" s="22"/>
      <c r="AK170" s="22"/>
      <c r="AL170" s="21">
        <f>IF($B170&lt;&gt;"Challan","",SUMIF($D$8:$D$207,D170,$AB$8:$AB$207)+SUMIF($D$8:$D$207,D170,$AE$8:$AE$207)+SUMIF($D$8:$D$207,D170,$AC$8:$AC$207))</f>
      </c>
      <c r="AM170" s="21">
        <f>IF($B170&lt;&gt;"Challan","",N170-L170)</f>
      </c>
      <c r="AN170" s="21">
        <f>IF($B170&lt;&gt;"Challan","",MAX(0,AM170-AL170))</f>
      </c>
      <c r="AO170" s="26">
        <f>IF($B170&lt;&gt;"Challan","",IF(ROUND(AL170-AM170,2)&gt;0,"Over-applied",IF(ROUND(AL170-AM170,2)=0,"Fully Utilised","Unconsumed")))</f>
      </c>
      <c r="AP170" s="27">
        <f>IF($B170&lt;&gt;"Entry","",SUMPRODUCT(($D$8:$D$207=D170)*($B$8:$B$207="Challan")*$E$8:$E$207))</f>
      </c>
    </row>
    <row r="171" spans="1:42" x14ac:dyDescent="0.25">
      <c r="A171" s="15">
        <f>IF($B171="Entry",COUNTIF($B$8:$B171,"Entry"),"")</f>
      </c>
      <c r="B171" s="16"/>
      <c r="C171" s="17"/>
      <c r="D171" s="17"/>
      <c r="E171" s="18"/>
      <c r="F171" s="19"/>
      <c r="G171" s="20"/>
      <c r="H171" s="20"/>
      <c r="I171" s="20"/>
      <c r="J171" s="20"/>
      <c r="K171" s="20"/>
      <c r="L171" s="20"/>
      <c r="M171" s="20"/>
      <c r="N171" s="21">
        <f>IF($B171&lt;&gt;"Challan","",G171+H171+I171+J171+K171+L171)</f>
      </c>
      <c r="O171" s="19"/>
      <c r="P171" s="19"/>
      <c r="Q171" s="19"/>
      <c r="R171" s="19"/>
      <c r="S171" s="19"/>
      <c r="T171" s="22"/>
      <c r="U171" s="22"/>
      <c r="V171" s="22"/>
      <c r="W171" s="22"/>
      <c r="X171" s="22"/>
      <c r="Y171" s="23"/>
      <c r="Z171" s="24"/>
      <c r="AA171" s="25"/>
      <c r="AB171" s="21">
        <f>IF($B171&lt;&gt;"Entry","",ROUND(AA171*Y171/100,0))</f>
      </c>
      <c r="AC171" s="25"/>
      <c r="AD171" s="25"/>
      <c r="AE171" s="21">
        <f>IF($B171&lt;&gt;"Entry","",IF(OR(AB171=0,Z171="",AP171="",AP171&lt;=0),0,IF(AP171&lt;=DATE(YEAR(Z171),MONTH(Z171)+1,7),0,ROUND(AB171*0.015*((YEAR(AP171)-YEAR(Z171))*12+(MONTH(AP171)-MONTH(Z171))+1),0))))</f>
      </c>
      <c r="AF171" s="25"/>
      <c r="AG171" s="22"/>
      <c r="AH171" s="22"/>
      <c r="AI171" s="23"/>
      <c r="AJ171" s="22"/>
      <c r="AK171" s="22"/>
      <c r="AL171" s="21">
        <f>IF($B171&lt;&gt;"Challan","",SUMIF($D$8:$D$207,D171,$AB$8:$AB$207)+SUMIF($D$8:$D$207,D171,$AE$8:$AE$207)+SUMIF($D$8:$D$207,D171,$AC$8:$AC$207))</f>
      </c>
      <c r="AM171" s="21">
        <f>IF($B171&lt;&gt;"Challan","",N171-L171)</f>
      </c>
      <c r="AN171" s="21">
        <f>IF($B171&lt;&gt;"Challan","",MAX(0,AM171-AL171))</f>
      </c>
      <c r="AO171" s="26">
        <f>IF($B171&lt;&gt;"Challan","",IF(ROUND(AL171-AM171,2)&gt;0,"Over-applied",IF(ROUND(AL171-AM171,2)=0,"Fully Utilised","Unconsumed")))</f>
      </c>
      <c r="AP171" s="27">
        <f>IF($B171&lt;&gt;"Entry","",SUMPRODUCT(($D$8:$D$207=D171)*($B$8:$B$207="Challan")*$E$8:$E$207))</f>
      </c>
    </row>
    <row r="172" spans="1:42" x14ac:dyDescent="0.25">
      <c r="A172" s="15">
        <f>IF($B172="Entry",COUNTIF($B$8:$B172,"Entry"),"")</f>
      </c>
      <c r="B172" s="16"/>
      <c r="C172" s="17"/>
      <c r="D172" s="17"/>
      <c r="E172" s="18"/>
      <c r="F172" s="19"/>
      <c r="G172" s="20"/>
      <c r="H172" s="20"/>
      <c r="I172" s="20"/>
      <c r="J172" s="20"/>
      <c r="K172" s="20"/>
      <c r="L172" s="20"/>
      <c r="M172" s="20"/>
      <c r="N172" s="21">
        <f>IF($B172&lt;&gt;"Challan","",G172+H172+I172+J172+K172+L172)</f>
      </c>
      <c r="O172" s="19"/>
      <c r="P172" s="19"/>
      <c r="Q172" s="19"/>
      <c r="R172" s="19"/>
      <c r="S172" s="19"/>
      <c r="T172" s="22"/>
      <c r="U172" s="22"/>
      <c r="V172" s="22"/>
      <c r="W172" s="22"/>
      <c r="X172" s="22"/>
      <c r="Y172" s="23"/>
      <c r="Z172" s="24"/>
      <c r="AA172" s="25"/>
      <c r="AB172" s="21">
        <f>IF($B172&lt;&gt;"Entry","",ROUND(AA172*Y172/100,0))</f>
      </c>
      <c r="AC172" s="25"/>
      <c r="AD172" s="25"/>
      <c r="AE172" s="21">
        <f>IF($B172&lt;&gt;"Entry","",IF(OR(AB172=0,Z172="",AP172="",AP172&lt;=0),0,IF(AP172&lt;=DATE(YEAR(Z172),MONTH(Z172)+1,7),0,ROUND(AB172*0.015*((YEAR(AP172)-YEAR(Z172))*12+(MONTH(AP172)-MONTH(Z172))+1),0))))</f>
      </c>
      <c r="AF172" s="25"/>
      <c r="AG172" s="22"/>
      <c r="AH172" s="22"/>
      <c r="AI172" s="23"/>
      <c r="AJ172" s="22"/>
      <c r="AK172" s="22"/>
      <c r="AL172" s="21">
        <f>IF($B172&lt;&gt;"Challan","",SUMIF($D$8:$D$207,D172,$AB$8:$AB$207)+SUMIF($D$8:$D$207,D172,$AE$8:$AE$207)+SUMIF($D$8:$D$207,D172,$AC$8:$AC$207))</f>
      </c>
      <c r="AM172" s="21">
        <f>IF($B172&lt;&gt;"Challan","",N172-L172)</f>
      </c>
      <c r="AN172" s="21">
        <f>IF($B172&lt;&gt;"Challan","",MAX(0,AM172-AL172))</f>
      </c>
      <c r="AO172" s="26">
        <f>IF($B172&lt;&gt;"Challan","",IF(ROUND(AL172-AM172,2)&gt;0,"Over-applied",IF(ROUND(AL172-AM172,2)=0,"Fully Utilised","Unconsumed")))</f>
      </c>
      <c r="AP172" s="27">
        <f>IF($B172&lt;&gt;"Entry","",SUMPRODUCT(($D$8:$D$207=D172)*($B$8:$B$207="Challan")*$E$8:$E$207))</f>
      </c>
    </row>
    <row r="173" spans="1:42" x14ac:dyDescent="0.25">
      <c r="A173" s="15">
        <f>IF($B173="Entry",COUNTIF($B$8:$B173,"Entry"),"")</f>
      </c>
      <c r="B173" s="16"/>
      <c r="C173" s="17"/>
      <c r="D173" s="17"/>
      <c r="E173" s="18"/>
      <c r="F173" s="19"/>
      <c r="G173" s="20"/>
      <c r="H173" s="20"/>
      <c r="I173" s="20"/>
      <c r="J173" s="20"/>
      <c r="K173" s="20"/>
      <c r="L173" s="20"/>
      <c r="M173" s="20"/>
      <c r="N173" s="21">
        <f>IF($B173&lt;&gt;"Challan","",G173+H173+I173+J173+K173+L173)</f>
      </c>
      <c r="O173" s="19"/>
      <c r="P173" s="19"/>
      <c r="Q173" s="19"/>
      <c r="R173" s="19"/>
      <c r="S173" s="19"/>
      <c r="T173" s="22"/>
      <c r="U173" s="22"/>
      <c r="V173" s="22"/>
      <c r="W173" s="22"/>
      <c r="X173" s="22"/>
      <c r="Y173" s="23"/>
      <c r="Z173" s="24"/>
      <c r="AA173" s="25"/>
      <c r="AB173" s="21">
        <f>IF($B173&lt;&gt;"Entry","",ROUND(AA173*Y173/100,0))</f>
      </c>
      <c r="AC173" s="25"/>
      <c r="AD173" s="25"/>
      <c r="AE173" s="21">
        <f>IF($B173&lt;&gt;"Entry","",IF(OR(AB173=0,Z173="",AP173="",AP173&lt;=0),0,IF(AP173&lt;=DATE(YEAR(Z173),MONTH(Z173)+1,7),0,ROUND(AB173*0.015*((YEAR(AP173)-YEAR(Z173))*12+(MONTH(AP173)-MONTH(Z173))+1),0))))</f>
      </c>
      <c r="AF173" s="25"/>
      <c r="AG173" s="22"/>
      <c r="AH173" s="22"/>
      <c r="AI173" s="23"/>
      <c r="AJ173" s="22"/>
      <c r="AK173" s="22"/>
      <c r="AL173" s="21">
        <f>IF($B173&lt;&gt;"Challan","",SUMIF($D$8:$D$207,D173,$AB$8:$AB$207)+SUMIF($D$8:$D$207,D173,$AE$8:$AE$207)+SUMIF($D$8:$D$207,D173,$AC$8:$AC$207))</f>
      </c>
      <c r="AM173" s="21">
        <f>IF($B173&lt;&gt;"Challan","",N173-L173)</f>
      </c>
      <c r="AN173" s="21">
        <f>IF($B173&lt;&gt;"Challan","",MAX(0,AM173-AL173))</f>
      </c>
      <c r="AO173" s="26">
        <f>IF($B173&lt;&gt;"Challan","",IF(ROUND(AL173-AM173,2)&gt;0,"Over-applied",IF(ROUND(AL173-AM173,2)=0,"Fully Utilised","Unconsumed")))</f>
      </c>
      <c r="AP173" s="27">
        <f>IF($B173&lt;&gt;"Entry","",SUMPRODUCT(($D$8:$D$207=D173)*($B$8:$B$207="Challan")*$E$8:$E$207))</f>
      </c>
    </row>
    <row r="174" spans="1:42" x14ac:dyDescent="0.25">
      <c r="A174" s="15">
        <f>IF($B174="Entry",COUNTIF($B$8:$B174,"Entry"),"")</f>
      </c>
      <c r="B174" s="16"/>
      <c r="C174" s="17"/>
      <c r="D174" s="17"/>
      <c r="E174" s="18"/>
      <c r="F174" s="19"/>
      <c r="G174" s="20"/>
      <c r="H174" s="20"/>
      <c r="I174" s="20"/>
      <c r="J174" s="20"/>
      <c r="K174" s="20"/>
      <c r="L174" s="20"/>
      <c r="M174" s="20"/>
      <c r="N174" s="21">
        <f>IF($B174&lt;&gt;"Challan","",G174+H174+I174+J174+K174+L174)</f>
      </c>
      <c r="O174" s="19"/>
      <c r="P174" s="19"/>
      <c r="Q174" s="19"/>
      <c r="R174" s="19"/>
      <c r="S174" s="19"/>
      <c r="T174" s="22"/>
      <c r="U174" s="22"/>
      <c r="V174" s="22"/>
      <c r="W174" s="22"/>
      <c r="X174" s="22"/>
      <c r="Y174" s="23"/>
      <c r="Z174" s="24"/>
      <c r="AA174" s="25"/>
      <c r="AB174" s="21">
        <f>IF($B174&lt;&gt;"Entry","",ROUND(AA174*Y174/100,0))</f>
      </c>
      <c r="AC174" s="25"/>
      <c r="AD174" s="25"/>
      <c r="AE174" s="21">
        <f>IF($B174&lt;&gt;"Entry","",IF(OR(AB174=0,Z174="",AP174="",AP174&lt;=0),0,IF(AP174&lt;=DATE(YEAR(Z174),MONTH(Z174)+1,7),0,ROUND(AB174*0.015*((YEAR(AP174)-YEAR(Z174))*12+(MONTH(AP174)-MONTH(Z174))+1),0))))</f>
      </c>
      <c r="AF174" s="25"/>
      <c r="AG174" s="22"/>
      <c r="AH174" s="22"/>
      <c r="AI174" s="23"/>
      <c r="AJ174" s="22"/>
      <c r="AK174" s="22"/>
      <c r="AL174" s="21">
        <f>IF($B174&lt;&gt;"Challan","",SUMIF($D$8:$D$207,D174,$AB$8:$AB$207)+SUMIF($D$8:$D$207,D174,$AE$8:$AE$207)+SUMIF($D$8:$D$207,D174,$AC$8:$AC$207))</f>
      </c>
      <c r="AM174" s="21">
        <f>IF($B174&lt;&gt;"Challan","",N174-L174)</f>
      </c>
      <c r="AN174" s="21">
        <f>IF($B174&lt;&gt;"Challan","",MAX(0,AM174-AL174))</f>
      </c>
      <c r="AO174" s="26">
        <f>IF($B174&lt;&gt;"Challan","",IF(ROUND(AL174-AM174,2)&gt;0,"Over-applied",IF(ROUND(AL174-AM174,2)=0,"Fully Utilised","Unconsumed")))</f>
      </c>
      <c r="AP174" s="27">
        <f>IF($B174&lt;&gt;"Entry","",SUMPRODUCT(($D$8:$D$207=D174)*($B$8:$B$207="Challan")*$E$8:$E$207))</f>
      </c>
    </row>
    <row r="175" spans="1:42" x14ac:dyDescent="0.25">
      <c r="A175" s="15">
        <f>IF($B175="Entry",COUNTIF($B$8:$B175,"Entry"),"")</f>
      </c>
      <c r="B175" s="16"/>
      <c r="C175" s="17"/>
      <c r="D175" s="17"/>
      <c r="E175" s="18"/>
      <c r="F175" s="19"/>
      <c r="G175" s="20"/>
      <c r="H175" s="20"/>
      <c r="I175" s="20"/>
      <c r="J175" s="20"/>
      <c r="K175" s="20"/>
      <c r="L175" s="20"/>
      <c r="M175" s="20"/>
      <c r="N175" s="21">
        <f>IF($B175&lt;&gt;"Challan","",G175+H175+I175+J175+K175+L175)</f>
      </c>
      <c r="O175" s="19"/>
      <c r="P175" s="19"/>
      <c r="Q175" s="19"/>
      <c r="R175" s="19"/>
      <c r="S175" s="19"/>
      <c r="T175" s="22"/>
      <c r="U175" s="22"/>
      <c r="V175" s="22"/>
      <c r="W175" s="22"/>
      <c r="X175" s="22"/>
      <c r="Y175" s="23"/>
      <c r="Z175" s="24"/>
      <c r="AA175" s="25"/>
      <c r="AB175" s="21">
        <f>IF($B175&lt;&gt;"Entry","",ROUND(AA175*Y175/100,0))</f>
      </c>
      <c r="AC175" s="25"/>
      <c r="AD175" s="25"/>
      <c r="AE175" s="21">
        <f>IF($B175&lt;&gt;"Entry","",IF(OR(AB175=0,Z175="",AP175="",AP175&lt;=0),0,IF(AP175&lt;=DATE(YEAR(Z175),MONTH(Z175)+1,7),0,ROUND(AB175*0.015*((YEAR(AP175)-YEAR(Z175))*12+(MONTH(AP175)-MONTH(Z175))+1),0))))</f>
      </c>
      <c r="AF175" s="25"/>
      <c r="AG175" s="22"/>
      <c r="AH175" s="22"/>
      <c r="AI175" s="23"/>
      <c r="AJ175" s="22"/>
      <c r="AK175" s="22"/>
      <c r="AL175" s="21">
        <f>IF($B175&lt;&gt;"Challan","",SUMIF($D$8:$D$207,D175,$AB$8:$AB$207)+SUMIF($D$8:$D$207,D175,$AE$8:$AE$207)+SUMIF($D$8:$D$207,D175,$AC$8:$AC$207))</f>
      </c>
      <c r="AM175" s="21">
        <f>IF($B175&lt;&gt;"Challan","",N175-L175)</f>
      </c>
      <c r="AN175" s="21">
        <f>IF($B175&lt;&gt;"Challan","",MAX(0,AM175-AL175))</f>
      </c>
      <c r="AO175" s="26">
        <f>IF($B175&lt;&gt;"Challan","",IF(ROUND(AL175-AM175,2)&gt;0,"Over-applied",IF(ROUND(AL175-AM175,2)=0,"Fully Utilised","Unconsumed")))</f>
      </c>
      <c r="AP175" s="27">
        <f>IF($B175&lt;&gt;"Entry","",SUMPRODUCT(($D$8:$D$207=D175)*($B$8:$B$207="Challan")*$E$8:$E$207))</f>
      </c>
    </row>
    <row r="176" spans="1:42" x14ac:dyDescent="0.25">
      <c r="A176" s="15">
        <f>IF($B176="Entry",COUNTIF($B$8:$B176,"Entry"),"")</f>
      </c>
      <c r="B176" s="16"/>
      <c r="C176" s="17"/>
      <c r="D176" s="17"/>
      <c r="E176" s="18"/>
      <c r="F176" s="19"/>
      <c r="G176" s="20"/>
      <c r="H176" s="20"/>
      <c r="I176" s="20"/>
      <c r="J176" s="20"/>
      <c r="K176" s="20"/>
      <c r="L176" s="20"/>
      <c r="M176" s="20"/>
      <c r="N176" s="21">
        <f>IF($B176&lt;&gt;"Challan","",G176+H176+I176+J176+K176+L176)</f>
      </c>
      <c r="O176" s="19"/>
      <c r="P176" s="19"/>
      <c r="Q176" s="19"/>
      <c r="R176" s="19"/>
      <c r="S176" s="19"/>
      <c r="T176" s="22"/>
      <c r="U176" s="22"/>
      <c r="V176" s="22"/>
      <c r="W176" s="22"/>
      <c r="X176" s="22"/>
      <c r="Y176" s="23"/>
      <c r="Z176" s="24"/>
      <c r="AA176" s="25"/>
      <c r="AB176" s="21">
        <f>IF($B176&lt;&gt;"Entry","",ROUND(AA176*Y176/100,0))</f>
      </c>
      <c r="AC176" s="25"/>
      <c r="AD176" s="25"/>
      <c r="AE176" s="21">
        <f>IF($B176&lt;&gt;"Entry","",IF(OR(AB176=0,Z176="",AP176="",AP176&lt;=0),0,IF(AP176&lt;=DATE(YEAR(Z176),MONTH(Z176)+1,7),0,ROUND(AB176*0.015*((YEAR(AP176)-YEAR(Z176))*12+(MONTH(AP176)-MONTH(Z176))+1),0))))</f>
      </c>
      <c r="AF176" s="25"/>
      <c r="AG176" s="22"/>
      <c r="AH176" s="22"/>
      <c r="AI176" s="23"/>
      <c r="AJ176" s="22"/>
      <c r="AK176" s="22"/>
      <c r="AL176" s="21">
        <f>IF($B176&lt;&gt;"Challan","",SUMIF($D$8:$D$207,D176,$AB$8:$AB$207)+SUMIF($D$8:$D$207,D176,$AE$8:$AE$207)+SUMIF($D$8:$D$207,D176,$AC$8:$AC$207))</f>
      </c>
      <c r="AM176" s="21">
        <f>IF($B176&lt;&gt;"Challan","",N176-L176)</f>
      </c>
      <c r="AN176" s="21">
        <f>IF($B176&lt;&gt;"Challan","",MAX(0,AM176-AL176))</f>
      </c>
      <c r="AO176" s="26">
        <f>IF($B176&lt;&gt;"Challan","",IF(ROUND(AL176-AM176,2)&gt;0,"Over-applied",IF(ROUND(AL176-AM176,2)=0,"Fully Utilised","Unconsumed")))</f>
      </c>
      <c r="AP176" s="27">
        <f>IF($B176&lt;&gt;"Entry","",SUMPRODUCT(($D$8:$D$207=D176)*($B$8:$B$207="Challan")*$E$8:$E$207))</f>
      </c>
    </row>
    <row r="177" spans="1:42" x14ac:dyDescent="0.25">
      <c r="A177" s="15">
        <f>IF($B177="Entry",COUNTIF($B$8:$B177,"Entry"),"")</f>
      </c>
      <c r="B177" s="16"/>
      <c r="C177" s="17"/>
      <c r="D177" s="17"/>
      <c r="E177" s="18"/>
      <c r="F177" s="19"/>
      <c r="G177" s="20"/>
      <c r="H177" s="20"/>
      <c r="I177" s="20"/>
      <c r="J177" s="20"/>
      <c r="K177" s="20"/>
      <c r="L177" s="20"/>
      <c r="M177" s="20"/>
      <c r="N177" s="21">
        <f>IF($B177&lt;&gt;"Challan","",G177+H177+I177+J177+K177+L177)</f>
      </c>
      <c r="O177" s="19"/>
      <c r="P177" s="19"/>
      <c r="Q177" s="19"/>
      <c r="R177" s="19"/>
      <c r="S177" s="19"/>
      <c r="T177" s="22"/>
      <c r="U177" s="22"/>
      <c r="V177" s="22"/>
      <c r="W177" s="22"/>
      <c r="X177" s="22"/>
      <c r="Y177" s="23"/>
      <c r="Z177" s="24"/>
      <c r="AA177" s="25"/>
      <c r="AB177" s="21">
        <f>IF($B177&lt;&gt;"Entry","",ROUND(AA177*Y177/100,0))</f>
      </c>
      <c r="AC177" s="25"/>
      <c r="AD177" s="25"/>
      <c r="AE177" s="21">
        <f>IF($B177&lt;&gt;"Entry","",IF(OR(AB177=0,Z177="",AP177="",AP177&lt;=0),0,IF(AP177&lt;=DATE(YEAR(Z177),MONTH(Z177)+1,7),0,ROUND(AB177*0.015*((YEAR(AP177)-YEAR(Z177))*12+(MONTH(AP177)-MONTH(Z177))+1),0))))</f>
      </c>
      <c r="AF177" s="25"/>
      <c r="AG177" s="22"/>
      <c r="AH177" s="22"/>
      <c r="AI177" s="23"/>
      <c r="AJ177" s="22"/>
      <c r="AK177" s="22"/>
      <c r="AL177" s="21">
        <f>IF($B177&lt;&gt;"Challan","",SUMIF($D$8:$D$207,D177,$AB$8:$AB$207)+SUMIF($D$8:$D$207,D177,$AE$8:$AE$207)+SUMIF($D$8:$D$207,D177,$AC$8:$AC$207))</f>
      </c>
      <c r="AM177" s="21">
        <f>IF($B177&lt;&gt;"Challan","",N177-L177)</f>
      </c>
      <c r="AN177" s="21">
        <f>IF($B177&lt;&gt;"Challan","",MAX(0,AM177-AL177))</f>
      </c>
      <c r="AO177" s="26">
        <f>IF($B177&lt;&gt;"Challan","",IF(ROUND(AL177-AM177,2)&gt;0,"Over-applied",IF(ROUND(AL177-AM177,2)=0,"Fully Utilised","Unconsumed")))</f>
      </c>
      <c r="AP177" s="27">
        <f>IF($B177&lt;&gt;"Entry","",SUMPRODUCT(($D$8:$D$207=D177)*($B$8:$B$207="Challan")*$E$8:$E$207))</f>
      </c>
    </row>
    <row r="178" spans="1:42" x14ac:dyDescent="0.25">
      <c r="A178" s="15">
        <f>IF($B178="Entry",COUNTIF($B$8:$B178,"Entry"),"")</f>
      </c>
      <c r="B178" s="16"/>
      <c r="C178" s="17"/>
      <c r="D178" s="17"/>
      <c r="E178" s="18"/>
      <c r="F178" s="19"/>
      <c r="G178" s="20"/>
      <c r="H178" s="20"/>
      <c r="I178" s="20"/>
      <c r="J178" s="20"/>
      <c r="K178" s="20"/>
      <c r="L178" s="20"/>
      <c r="M178" s="20"/>
      <c r="N178" s="21">
        <f>IF($B178&lt;&gt;"Challan","",G178+H178+I178+J178+K178+L178)</f>
      </c>
      <c r="O178" s="19"/>
      <c r="P178" s="19"/>
      <c r="Q178" s="19"/>
      <c r="R178" s="19"/>
      <c r="S178" s="19"/>
      <c r="T178" s="22"/>
      <c r="U178" s="22"/>
      <c r="V178" s="22"/>
      <c r="W178" s="22"/>
      <c r="X178" s="22"/>
      <c r="Y178" s="23"/>
      <c r="Z178" s="24"/>
      <c r="AA178" s="25"/>
      <c r="AB178" s="21">
        <f>IF($B178&lt;&gt;"Entry","",ROUND(AA178*Y178/100,0))</f>
      </c>
      <c r="AC178" s="25"/>
      <c r="AD178" s="25"/>
      <c r="AE178" s="21">
        <f>IF($B178&lt;&gt;"Entry","",IF(OR(AB178=0,Z178="",AP178="",AP178&lt;=0),0,IF(AP178&lt;=DATE(YEAR(Z178),MONTH(Z178)+1,7),0,ROUND(AB178*0.015*((YEAR(AP178)-YEAR(Z178))*12+(MONTH(AP178)-MONTH(Z178))+1),0))))</f>
      </c>
      <c r="AF178" s="25"/>
      <c r="AG178" s="22"/>
      <c r="AH178" s="22"/>
      <c r="AI178" s="23"/>
      <c r="AJ178" s="22"/>
      <c r="AK178" s="22"/>
      <c r="AL178" s="21">
        <f>IF($B178&lt;&gt;"Challan","",SUMIF($D$8:$D$207,D178,$AB$8:$AB$207)+SUMIF($D$8:$D$207,D178,$AE$8:$AE$207)+SUMIF($D$8:$D$207,D178,$AC$8:$AC$207))</f>
      </c>
      <c r="AM178" s="21">
        <f>IF($B178&lt;&gt;"Challan","",N178-L178)</f>
      </c>
      <c r="AN178" s="21">
        <f>IF($B178&lt;&gt;"Challan","",MAX(0,AM178-AL178))</f>
      </c>
      <c r="AO178" s="26">
        <f>IF($B178&lt;&gt;"Challan","",IF(ROUND(AL178-AM178,2)&gt;0,"Over-applied",IF(ROUND(AL178-AM178,2)=0,"Fully Utilised","Unconsumed")))</f>
      </c>
      <c r="AP178" s="27">
        <f>IF($B178&lt;&gt;"Entry","",SUMPRODUCT(($D$8:$D$207=D178)*($B$8:$B$207="Challan")*$E$8:$E$207))</f>
      </c>
    </row>
    <row r="179" spans="1:42" x14ac:dyDescent="0.25">
      <c r="A179" s="15">
        <f>IF($B179="Entry",COUNTIF($B$8:$B179,"Entry"),"")</f>
      </c>
      <c r="B179" s="16"/>
      <c r="C179" s="17"/>
      <c r="D179" s="17"/>
      <c r="E179" s="18"/>
      <c r="F179" s="19"/>
      <c r="G179" s="20"/>
      <c r="H179" s="20"/>
      <c r="I179" s="20"/>
      <c r="J179" s="20"/>
      <c r="K179" s="20"/>
      <c r="L179" s="20"/>
      <c r="M179" s="20"/>
      <c r="N179" s="21">
        <f>IF($B179&lt;&gt;"Challan","",G179+H179+I179+J179+K179+L179)</f>
      </c>
      <c r="O179" s="19"/>
      <c r="P179" s="19"/>
      <c r="Q179" s="19"/>
      <c r="R179" s="19"/>
      <c r="S179" s="19"/>
      <c r="T179" s="22"/>
      <c r="U179" s="22"/>
      <c r="V179" s="22"/>
      <c r="W179" s="22"/>
      <c r="X179" s="22"/>
      <c r="Y179" s="23"/>
      <c r="Z179" s="24"/>
      <c r="AA179" s="25"/>
      <c r="AB179" s="21">
        <f>IF($B179&lt;&gt;"Entry","",ROUND(AA179*Y179/100,0))</f>
      </c>
      <c r="AC179" s="25"/>
      <c r="AD179" s="25"/>
      <c r="AE179" s="21">
        <f>IF($B179&lt;&gt;"Entry","",IF(OR(AB179=0,Z179="",AP179="",AP179&lt;=0),0,IF(AP179&lt;=DATE(YEAR(Z179),MONTH(Z179)+1,7),0,ROUND(AB179*0.015*((YEAR(AP179)-YEAR(Z179))*12+(MONTH(AP179)-MONTH(Z179))+1),0))))</f>
      </c>
      <c r="AF179" s="25"/>
      <c r="AG179" s="22"/>
      <c r="AH179" s="22"/>
      <c r="AI179" s="23"/>
      <c r="AJ179" s="22"/>
      <c r="AK179" s="22"/>
      <c r="AL179" s="21">
        <f>IF($B179&lt;&gt;"Challan","",SUMIF($D$8:$D$207,D179,$AB$8:$AB$207)+SUMIF($D$8:$D$207,D179,$AE$8:$AE$207)+SUMIF($D$8:$D$207,D179,$AC$8:$AC$207))</f>
      </c>
      <c r="AM179" s="21">
        <f>IF($B179&lt;&gt;"Challan","",N179-L179)</f>
      </c>
      <c r="AN179" s="21">
        <f>IF($B179&lt;&gt;"Challan","",MAX(0,AM179-AL179))</f>
      </c>
      <c r="AO179" s="26">
        <f>IF($B179&lt;&gt;"Challan","",IF(ROUND(AL179-AM179,2)&gt;0,"Over-applied",IF(ROUND(AL179-AM179,2)=0,"Fully Utilised","Unconsumed")))</f>
      </c>
      <c r="AP179" s="27">
        <f>IF($B179&lt;&gt;"Entry","",SUMPRODUCT(($D$8:$D$207=D179)*($B$8:$B$207="Challan")*$E$8:$E$207))</f>
      </c>
    </row>
    <row r="180" spans="1:42" x14ac:dyDescent="0.25">
      <c r="A180" s="15">
        <f>IF($B180="Entry",COUNTIF($B$8:$B180,"Entry"),"")</f>
      </c>
      <c r="B180" s="16"/>
      <c r="C180" s="17"/>
      <c r="D180" s="17"/>
      <c r="E180" s="18"/>
      <c r="F180" s="19"/>
      <c r="G180" s="20"/>
      <c r="H180" s="20"/>
      <c r="I180" s="20"/>
      <c r="J180" s="20"/>
      <c r="K180" s="20"/>
      <c r="L180" s="20"/>
      <c r="M180" s="20"/>
      <c r="N180" s="21">
        <f>IF($B180&lt;&gt;"Challan","",G180+H180+I180+J180+K180+L180)</f>
      </c>
      <c r="O180" s="19"/>
      <c r="P180" s="19"/>
      <c r="Q180" s="19"/>
      <c r="R180" s="19"/>
      <c r="S180" s="19"/>
      <c r="T180" s="22"/>
      <c r="U180" s="22"/>
      <c r="V180" s="22"/>
      <c r="W180" s="22"/>
      <c r="X180" s="22"/>
      <c r="Y180" s="23"/>
      <c r="Z180" s="24"/>
      <c r="AA180" s="25"/>
      <c r="AB180" s="21">
        <f>IF($B180&lt;&gt;"Entry","",ROUND(AA180*Y180/100,0))</f>
      </c>
      <c r="AC180" s="25"/>
      <c r="AD180" s="25"/>
      <c r="AE180" s="21">
        <f>IF($B180&lt;&gt;"Entry","",IF(OR(AB180=0,Z180="",AP180="",AP180&lt;=0),0,IF(AP180&lt;=DATE(YEAR(Z180),MONTH(Z180)+1,7),0,ROUND(AB180*0.015*((YEAR(AP180)-YEAR(Z180))*12+(MONTH(AP180)-MONTH(Z180))+1),0))))</f>
      </c>
      <c r="AF180" s="25"/>
      <c r="AG180" s="22"/>
      <c r="AH180" s="22"/>
      <c r="AI180" s="23"/>
      <c r="AJ180" s="22"/>
      <c r="AK180" s="22"/>
      <c r="AL180" s="21">
        <f>IF($B180&lt;&gt;"Challan","",SUMIF($D$8:$D$207,D180,$AB$8:$AB$207)+SUMIF($D$8:$D$207,D180,$AE$8:$AE$207)+SUMIF($D$8:$D$207,D180,$AC$8:$AC$207))</f>
      </c>
      <c r="AM180" s="21">
        <f>IF($B180&lt;&gt;"Challan","",N180-L180)</f>
      </c>
      <c r="AN180" s="21">
        <f>IF($B180&lt;&gt;"Challan","",MAX(0,AM180-AL180))</f>
      </c>
      <c r="AO180" s="26">
        <f>IF($B180&lt;&gt;"Challan","",IF(ROUND(AL180-AM180,2)&gt;0,"Over-applied",IF(ROUND(AL180-AM180,2)=0,"Fully Utilised","Unconsumed")))</f>
      </c>
      <c r="AP180" s="27">
        <f>IF($B180&lt;&gt;"Entry","",SUMPRODUCT(($D$8:$D$207=D180)*($B$8:$B$207="Challan")*$E$8:$E$207))</f>
      </c>
    </row>
    <row r="181" spans="1:42" x14ac:dyDescent="0.25">
      <c r="A181" s="15">
        <f>IF($B181="Entry",COUNTIF($B$8:$B181,"Entry"),"")</f>
      </c>
      <c r="B181" s="16"/>
      <c r="C181" s="17"/>
      <c r="D181" s="17"/>
      <c r="E181" s="18"/>
      <c r="F181" s="19"/>
      <c r="G181" s="20"/>
      <c r="H181" s="20"/>
      <c r="I181" s="20"/>
      <c r="J181" s="20"/>
      <c r="K181" s="20"/>
      <c r="L181" s="20"/>
      <c r="M181" s="20"/>
      <c r="N181" s="21">
        <f>IF($B181&lt;&gt;"Challan","",G181+H181+I181+J181+K181+L181)</f>
      </c>
      <c r="O181" s="19"/>
      <c r="P181" s="19"/>
      <c r="Q181" s="19"/>
      <c r="R181" s="19"/>
      <c r="S181" s="19"/>
      <c r="T181" s="22"/>
      <c r="U181" s="22"/>
      <c r="V181" s="22"/>
      <c r="W181" s="22"/>
      <c r="X181" s="22"/>
      <c r="Y181" s="23"/>
      <c r="Z181" s="24"/>
      <c r="AA181" s="25"/>
      <c r="AB181" s="21">
        <f>IF($B181&lt;&gt;"Entry","",ROUND(AA181*Y181/100,0))</f>
      </c>
      <c r="AC181" s="25"/>
      <c r="AD181" s="25"/>
      <c r="AE181" s="21">
        <f>IF($B181&lt;&gt;"Entry","",IF(OR(AB181=0,Z181="",AP181="",AP181&lt;=0),0,IF(AP181&lt;=DATE(YEAR(Z181),MONTH(Z181)+1,7),0,ROUND(AB181*0.015*((YEAR(AP181)-YEAR(Z181))*12+(MONTH(AP181)-MONTH(Z181))+1),0))))</f>
      </c>
      <c r="AF181" s="25"/>
      <c r="AG181" s="22"/>
      <c r="AH181" s="22"/>
      <c r="AI181" s="23"/>
      <c r="AJ181" s="22"/>
      <c r="AK181" s="22"/>
      <c r="AL181" s="21">
        <f>IF($B181&lt;&gt;"Challan","",SUMIF($D$8:$D$207,D181,$AB$8:$AB$207)+SUMIF($D$8:$D$207,D181,$AE$8:$AE$207)+SUMIF($D$8:$D$207,D181,$AC$8:$AC$207))</f>
      </c>
      <c r="AM181" s="21">
        <f>IF($B181&lt;&gt;"Challan","",N181-L181)</f>
      </c>
      <c r="AN181" s="21">
        <f>IF($B181&lt;&gt;"Challan","",MAX(0,AM181-AL181))</f>
      </c>
      <c r="AO181" s="26">
        <f>IF($B181&lt;&gt;"Challan","",IF(ROUND(AL181-AM181,2)&gt;0,"Over-applied",IF(ROUND(AL181-AM181,2)=0,"Fully Utilised","Unconsumed")))</f>
      </c>
      <c r="AP181" s="27">
        <f>IF($B181&lt;&gt;"Entry","",SUMPRODUCT(($D$8:$D$207=D181)*($B$8:$B$207="Challan")*$E$8:$E$207))</f>
      </c>
    </row>
    <row r="182" spans="1:42" x14ac:dyDescent="0.25">
      <c r="A182" s="15">
        <f>IF($B182="Entry",COUNTIF($B$8:$B182,"Entry"),"")</f>
      </c>
      <c r="B182" s="16"/>
      <c r="C182" s="17"/>
      <c r="D182" s="17"/>
      <c r="E182" s="18"/>
      <c r="F182" s="19"/>
      <c r="G182" s="20"/>
      <c r="H182" s="20"/>
      <c r="I182" s="20"/>
      <c r="J182" s="20"/>
      <c r="K182" s="20"/>
      <c r="L182" s="20"/>
      <c r="M182" s="20"/>
      <c r="N182" s="21">
        <f>IF($B182&lt;&gt;"Challan","",G182+H182+I182+J182+K182+L182)</f>
      </c>
      <c r="O182" s="19"/>
      <c r="P182" s="19"/>
      <c r="Q182" s="19"/>
      <c r="R182" s="19"/>
      <c r="S182" s="19"/>
      <c r="T182" s="22"/>
      <c r="U182" s="22"/>
      <c r="V182" s="22"/>
      <c r="W182" s="22"/>
      <c r="X182" s="22"/>
      <c r="Y182" s="23"/>
      <c r="Z182" s="24"/>
      <c r="AA182" s="25"/>
      <c r="AB182" s="21">
        <f>IF($B182&lt;&gt;"Entry","",ROUND(AA182*Y182/100,0))</f>
      </c>
      <c r="AC182" s="25"/>
      <c r="AD182" s="25"/>
      <c r="AE182" s="21">
        <f>IF($B182&lt;&gt;"Entry","",IF(OR(AB182=0,Z182="",AP182="",AP182&lt;=0),0,IF(AP182&lt;=DATE(YEAR(Z182),MONTH(Z182)+1,7),0,ROUND(AB182*0.015*((YEAR(AP182)-YEAR(Z182))*12+(MONTH(AP182)-MONTH(Z182))+1),0))))</f>
      </c>
      <c r="AF182" s="25"/>
      <c r="AG182" s="22"/>
      <c r="AH182" s="22"/>
      <c r="AI182" s="23"/>
      <c r="AJ182" s="22"/>
      <c r="AK182" s="22"/>
      <c r="AL182" s="21">
        <f>IF($B182&lt;&gt;"Challan","",SUMIF($D$8:$D$207,D182,$AB$8:$AB$207)+SUMIF($D$8:$D$207,D182,$AE$8:$AE$207)+SUMIF($D$8:$D$207,D182,$AC$8:$AC$207))</f>
      </c>
      <c r="AM182" s="21">
        <f>IF($B182&lt;&gt;"Challan","",N182-L182)</f>
      </c>
      <c r="AN182" s="21">
        <f>IF($B182&lt;&gt;"Challan","",MAX(0,AM182-AL182))</f>
      </c>
      <c r="AO182" s="26">
        <f>IF($B182&lt;&gt;"Challan","",IF(ROUND(AL182-AM182,2)&gt;0,"Over-applied",IF(ROUND(AL182-AM182,2)=0,"Fully Utilised","Unconsumed")))</f>
      </c>
      <c r="AP182" s="27">
        <f>IF($B182&lt;&gt;"Entry","",SUMPRODUCT(($D$8:$D$207=D182)*($B$8:$B$207="Challan")*$E$8:$E$207))</f>
      </c>
    </row>
    <row r="183" spans="1:42" x14ac:dyDescent="0.25">
      <c r="A183" s="15">
        <f>IF($B183="Entry",COUNTIF($B$8:$B183,"Entry"),"")</f>
      </c>
      <c r="B183" s="16"/>
      <c r="C183" s="17"/>
      <c r="D183" s="17"/>
      <c r="E183" s="18"/>
      <c r="F183" s="19"/>
      <c r="G183" s="20"/>
      <c r="H183" s="20"/>
      <c r="I183" s="20"/>
      <c r="J183" s="20"/>
      <c r="K183" s="20"/>
      <c r="L183" s="20"/>
      <c r="M183" s="20"/>
      <c r="N183" s="21">
        <f>IF($B183&lt;&gt;"Challan","",G183+H183+I183+J183+K183+L183)</f>
      </c>
      <c r="O183" s="19"/>
      <c r="P183" s="19"/>
      <c r="Q183" s="19"/>
      <c r="R183" s="19"/>
      <c r="S183" s="19"/>
      <c r="T183" s="22"/>
      <c r="U183" s="22"/>
      <c r="V183" s="22"/>
      <c r="W183" s="22"/>
      <c r="X183" s="22"/>
      <c r="Y183" s="23"/>
      <c r="Z183" s="24"/>
      <c r="AA183" s="25"/>
      <c r="AB183" s="21">
        <f>IF($B183&lt;&gt;"Entry","",ROUND(AA183*Y183/100,0))</f>
      </c>
      <c r="AC183" s="25"/>
      <c r="AD183" s="25"/>
      <c r="AE183" s="21">
        <f>IF($B183&lt;&gt;"Entry","",IF(OR(AB183=0,Z183="",AP183="",AP183&lt;=0),0,IF(AP183&lt;=DATE(YEAR(Z183),MONTH(Z183)+1,7),0,ROUND(AB183*0.015*((YEAR(AP183)-YEAR(Z183))*12+(MONTH(AP183)-MONTH(Z183))+1),0))))</f>
      </c>
      <c r="AF183" s="25"/>
      <c r="AG183" s="22"/>
      <c r="AH183" s="22"/>
      <c r="AI183" s="23"/>
      <c r="AJ183" s="22"/>
      <c r="AK183" s="22"/>
      <c r="AL183" s="21">
        <f>IF($B183&lt;&gt;"Challan","",SUMIF($D$8:$D$207,D183,$AB$8:$AB$207)+SUMIF($D$8:$D$207,D183,$AE$8:$AE$207)+SUMIF($D$8:$D$207,D183,$AC$8:$AC$207))</f>
      </c>
      <c r="AM183" s="21">
        <f>IF($B183&lt;&gt;"Challan","",N183-L183)</f>
      </c>
      <c r="AN183" s="21">
        <f>IF($B183&lt;&gt;"Challan","",MAX(0,AM183-AL183))</f>
      </c>
      <c r="AO183" s="26">
        <f>IF($B183&lt;&gt;"Challan","",IF(ROUND(AL183-AM183,2)&gt;0,"Over-applied",IF(ROUND(AL183-AM183,2)=0,"Fully Utilised","Unconsumed")))</f>
      </c>
      <c r="AP183" s="27">
        <f>IF($B183&lt;&gt;"Entry","",SUMPRODUCT(($D$8:$D$207=D183)*($B$8:$B$207="Challan")*$E$8:$E$207))</f>
      </c>
    </row>
    <row r="184" spans="1:42" x14ac:dyDescent="0.25">
      <c r="A184" s="15">
        <f>IF($B184="Entry",COUNTIF($B$8:$B184,"Entry"),"")</f>
      </c>
      <c r="B184" s="16"/>
      <c r="C184" s="17"/>
      <c r="D184" s="17"/>
      <c r="E184" s="18"/>
      <c r="F184" s="19"/>
      <c r="G184" s="20"/>
      <c r="H184" s="20"/>
      <c r="I184" s="20"/>
      <c r="J184" s="20"/>
      <c r="K184" s="20"/>
      <c r="L184" s="20"/>
      <c r="M184" s="20"/>
      <c r="N184" s="21">
        <f>IF($B184&lt;&gt;"Challan","",G184+H184+I184+J184+K184+L184)</f>
      </c>
      <c r="O184" s="19"/>
      <c r="P184" s="19"/>
      <c r="Q184" s="19"/>
      <c r="R184" s="19"/>
      <c r="S184" s="19"/>
      <c r="T184" s="22"/>
      <c r="U184" s="22"/>
      <c r="V184" s="22"/>
      <c r="W184" s="22"/>
      <c r="X184" s="22"/>
      <c r="Y184" s="23"/>
      <c r="Z184" s="24"/>
      <c r="AA184" s="25"/>
      <c r="AB184" s="21">
        <f>IF($B184&lt;&gt;"Entry","",ROUND(AA184*Y184/100,0))</f>
      </c>
      <c r="AC184" s="25"/>
      <c r="AD184" s="25"/>
      <c r="AE184" s="21">
        <f>IF($B184&lt;&gt;"Entry","",IF(OR(AB184=0,Z184="",AP184="",AP184&lt;=0),0,IF(AP184&lt;=DATE(YEAR(Z184),MONTH(Z184)+1,7),0,ROUND(AB184*0.015*((YEAR(AP184)-YEAR(Z184))*12+(MONTH(AP184)-MONTH(Z184))+1),0))))</f>
      </c>
      <c r="AF184" s="25"/>
      <c r="AG184" s="22"/>
      <c r="AH184" s="22"/>
      <c r="AI184" s="23"/>
      <c r="AJ184" s="22"/>
      <c r="AK184" s="22"/>
      <c r="AL184" s="21">
        <f>IF($B184&lt;&gt;"Challan","",SUMIF($D$8:$D$207,D184,$AB$8:$AB$207)+SUMIF($D$8:$D$207,D184,$AE$8:$AE$207)+SUMIF($D$8:$D$207,D184,$AC$8:$AC$207))</f>
      </c>
      <c r="AM184" s="21">
        <f>IF($B184&lt;&gt;"Challan","",N184-L184)</f>
      </c>
      <c r="AN184" s="21">
        <f>IF($B184&lt;&gt;"Challan","",MAX(0,AM184-AL184))</f>
      </c>
      <c r="AO184" s="26">
        <f>IF($B184&lt;&gt;"Challan","",IF(ROUND(AL184-AM184,2)&gt;0,"Over-applied",IF(ROUND(AL184-AM184,2)=0,"Fully Utilised","Unconsumed")))</f>
      </c>
      <c r="AP184" s="27">
        <f>IF($B184&lt;&gt;"Entry","",SUMPRODUCT(($D$8:$D$207=D184)*($B$8:$B$207="Challan")*$E$8:$E$207))</f>
      </c>
    </row>
    <row r="185" spans="1:42" x14ac:dyDescent="0.25">
      <c r="A185" s="15">
        <f>IF($B185="Entry",COUNTIF($B$8:$B185,"Entry"),"")</f>
      </c>
      <c r="B185" s="16"/>
      <c r="C185" s="17"/>
      <c r="D185" s="17"/>
      <c r="E185" s="18"/>
      <c r="F185" s="19"/>
      <c r="G185" s="20"/>
      <c r="H185" s="20"/>
      <c r="I185" s="20"/>
      <c r="J185" s="20"/>
      <c r="K185" s="20"/>
      <c r="L185" s="20"/>
      <c r="M185" s="20"/>
      <c r="N185" s="21">
        <f>IF($B185&lt;&gt;"Challan","",G185+H185+I185+J185+K185+L185)</f>
      </c>
      <c r="O185" s="19"/>
      <c r="P185" s="19"/>
      <c r="Q185" s="19"/>
      <c r="R185" s="19"/>
      <c r="S185" s="19"/>
      <c r="T185" s="22"/>
      <c r="U185" s="22"/>
      <c r="V185" s="22"/>
      <c r="W185" s="22"/>
      <c r="X185" s="22"/>
      <c r="Y185" s="23"/>
      <c r="Z185" s="24"/>
      <c r="AA185" s="25"/>
      <c r="AB185" s="21">
        <f>IF($B185&lt;&gt;"Entry","",ROUND(AA185*Y185/100,0))</f>
      </c>
      <c r="AC185" s="25"/>
      <c r="AD185" s="25"/>
      <c r="AE185" s="21">
        <f>IF($B185&lt;&gt;"Entry","",IF(OR(AB185=0,Z185="",AP185="",AP185&lt;=0),0,IF(AP185&lt;=DATE(YEAR(Z185),MONTH(Z185)+1,7),0,ROUND(AB185*0.015*((YEAR(AP185)-YEAR(Z185))*12+(MONTH(AP185)-MONTH(Z185))+1),0))))</f>
      </c>
      <c r="AF185" s="25"/>
      <c r="AG185" s="22"/>
      <c r="AH185" s="22"/>
      <c r="AI185" s="23"/>
      <c r="AJ185" s="22"/>
      <c r="AK185" s="22"/>
      <c r="AL185" s="21">
        <f>IF($B185&lt;&gt;"Challan","",SUMIF($D$8:$D$207,D185,$AB$8:$AB$207)+SUMIF($D$8:$D$207,D185,$AE$8:$AE$207)+SUMIF($D$8:$D$207,D185,$AC$8:$AC$207))</f>
      </c>
      <c r="AM185" s="21">
        <f>IF($B185&lt;&gt;"Challan","",N185-L185)</f>
      </c>
      <c r="AN185" s="21">
        <f>IF($B185&lt;&gt;"Challan","",MAX(0,AM185-AL185))</f>
      </c>
      <c r="AO185" s="26">
        <f>IF($B185&lt;&gt;"Challan","",IF(ROUND(AL185-AM185,2)&gt;0,"Over-applied",IF(ROUND(AL185-AM185,2)=0,"Fully Utilised","Unconsumed")))</f>
      </c>
      <c r="AP185" s="27">
        <f>IF($B185&lt;&gt;"Entry","",SUMPRODUCT(($D$8:$D$207=D185)*($B$8:$B$207="Challan")*$E$8:$E$207))</f>
      </c>
    </row>
    <row r="186" spans="1:42" x14ac:dyDescent="0.25">
      <c r="A186" s="15">
        <f>IF($B186="Entry",COUNTIF($B$8:$B186,"Entry"),"")</f>
      </c>
      <c r="B186" s="16"/>
      <c r="C186" s="17"/>
      <c r="D186" s="17"/>
      <c r="E186" s="18"/>
      <c r="F186" s="19"/>
      <c r="G186" s="20"/>
      <c r="H186" s="20"/>
      <c r="I186" s="20"/>
      <c r="J186" s="20"/>
      <c r="K186" s="20"/>
      <c r="L186" s="20"/>
      <c r="M186" s="20"/>
      <c r="N186" s="21">
        <f>IF($B186&lt;&gt;"Challan","",G186+H186+I186+J186+K186+L186)</f>
      </c>
      <c r="O186" s="19"/>
      <c r="P186" s="19"/>
      <c r="Q186" s="19"/>
      <c r="R186" s="19"/>
      <c r="S186" s="19"/>
      <c r="T186" s="22"/>
      <c r="U186" s="22"/>
      <c r="V186" s="22"/>
      <c r="W186" s="22"/>
      <c r="X186" s="22"/>
      <c r="Y186" s="23"/>
      <c r="Z186" s="24"/>
      <c r="AA186" s="25"/>
      <c r="AB186" s="21">
        <f>IF($B186&lt;&gt;"Entry","",ROUND(AA186*Y186/100,0))</f>
      </c>
      <c r="AC186" s="25"/>
      <c r="AD186" s="25"/>
      <c r="AE186" s="21">
        <f>IF($B186&lt;&gt;"Entry","",IF(OR(AB186=0,Z186="",AP186="",AP186&lt;=0),0,IF(AP186&lt;=DATE(YEAR(Z186),MONTH(Z186)+1,7),0,ROUND(AB186*0.015*((YEAR(AP186)-YEAR(Z186))*12+(MONTH(AP186)-MONTH(Z186))+1),0))))</f>
      </c>
      <c r="AF186" s="25"/>
      <c r="AG186" s="22"/>
      <c r="AH186" s="22"/>
      <c r="AI186" s="23"/>
      <c r="AJ186" s="22"/>
      <c r="AK186" s="22"/>
      <c r="AL186" s="21">
        <f>IF($B186&lt;&gt;"Challan","",SUMIF($D$8:$D$207,D186,$AB$8:$AB$207)+SUMIF($D$8:$D$207,D186,$AE$8:$AE$207)+SUMIF($D$8:$D$207,D186,$AC$8:$AC$207))</f>
      </c>
      <c r="AM186" s="21">
        <f>IF($B186&lt;&gt;"Challan","",N186-L186)</f>
      </c>
      <c r="AN186" s="21">
        <f>IF($B186&lt;&gt;"Challan","",MAX(0,AM186-AL186))</f>
      </c>
      <c r="AO186" s="26">
        <f>IF($B186&lt;&gt;"Challan","",IF(ROUND(AL186-AM186,2)&gt;0,"Over-applied",IF(ROUND(AL186-AM186,2)=0,"Fully Utilised","Unconsumed")))</f>
      </c>
      <c r="AP186" s="27">
        <f>IF($B186&lt;&gt;"Entry","",SUMPRODUCT(($D$8:$D$207=D186)*($B$8:$B$207="Challan")*$E$8:$E$207))</f>
      </c>
    </row>
    <row r="187" spans="1:42" x14ac:dyDescent="0.25">
      <c r="A187" s="15">
        <f>IF($B187="Entry",COUNTIF($B$8:$B187,"Entry"),"")</f>
      </c>
      <c r="B187" s="16"/>
      <c r="C187" s="17"/>
      <c r="D187" s="17"/>
      <c r="E187" s="18"/>
      <c r="F187" s="19"/>
      <c r="G187" s="20"/>
      <c r="H187" s="20"/>
      <c r="I187" s="20"/>
      <c r="J187" s="20"/>
      <c r="K187" s="20"/>
      <c r="L187" s="20"/>
      <c r="M187" s="20"/>
      <c r="N187" s="21">
        <f>IF($B187&lt;&gt;"Challan","",G187+H187+I187+J187+K187+L187)</f>
      </c>
      <c r="O187" s="19"/>
      <c r="P187" s="19"/>
      <c r="Q187" s="19"/>
      <c r="R187" s="19"/>
      <c r="S187" s="19"/>
      <c r="T187" s="22"/>
      <c r="U187" s="22"/>
      <c r="V187" s="22"/>
      <c r="W187" s="22"/>
      <c r="X187" s="22"/>
      <c r="Y187" s="23"/>
      <c r="Z187" s="24"/>
      <c r="AA187" s="25"/>
      <c r="AB187" s="21">
        <f>IF($B187&lt;&gt;"Entry","",ROUND(AA187*Y187/100,0))</f>
      </c>
      <c r="AC187" s="25"/>
      <c r="AD187" s="25"/>
      <c r="AE187" s="21">
        <f>IF($B187&lt;&gt;"Entry","",IF(OR(AB187=0,Z187="",AP187="",AP187&lt;=0),0,IF(AP187&lt;=DATE(YEAR(Z187),MONTH(Z187)+1,7),0,ROUND(AB187*0.015*((YEAR(AP187)-YEAR(Z187))*12+(MONTH(AP187)-MONTH(Z187))+1),0))))</f>
      </c>
      <c r="AF187" s="25"/>
      <c r="AG187" s="22"/>
      <c r="AH187" s="22"/>
      <c r="AI187" s="23"/>
      <c r="AJ187" s="22"/>
      <c r="AK187" s="22"/>
      <c r="AL187" s="21">
        <f>IF($B187&lt;&gt;"Challan","",SUMIF($D$8:$D$207,D187,$AB$8:$AB$207)+SUMIF($D$8:$D$207,D187,$AE$8:$AE$207)+SUMIF($D$8:$D$207,D187,$AC$8:$AC$207))</f>
      </c>
      <c r="AM187" s="21">
        <f>IF($B187&lt;&gt;"Challan","",N187-L187)</f>
      </c>
      <c r="AN187" s="21">
        <f>IF($B187&lt;&gt;"Challan","",MAX(0,AM187-AL187))</f>
      </c>
      <c r="AO187" s="26">
        <f>IF($B187&lt;&gt;"Challan","",IF(ROUND(AL187-AM187,2)&gt;0,"Over-applied",IF(ROUND(AL187-AM187,2)=0,"Fully Utilised","Unconsumed")))</f>
      </c>
      <c r="AP187" s="27">
        <f>IF($B187&lt;&gt;"Entry","",SUMPRODUCT(($D$8:$D$207=D187)*($B$8:$B$207="Challan")*$E$8:$E$207))</f>
      </c>
    </row>
    <row r="188" spans="1:42" x14ac:dyDescent="0.25">
      <c r="A188" s="15">
        <f>IF($B188="Entry",COUNTIF($B$8:$B188,"Entry"),"")</f>
      </c>
      <c r="B188" s="16"/>
      <c r="C188" s="17"/>
      <c r="D188" s="17"/>
      <c r="E188" s="18"/>
      <c r="F188" s="19"/>
      <c r="G188" s="20"/>
      <c r="H188" s="20"/>
      <c r="I188" s="20"/>
      <c r="J188" s="20"/>
      <c r="K188" s="20"/>
      <c r="L188" s="20"/>
      <c r="M188" s="20"/>
      <c r="N188" s="21">
        <f>IF($B188&lt;&gt;"Challan","",G188+H188+I188+J188+K188+L188)</f>
      </c>
      <c r="O188" s="19"/>
      <c r="P188" s="19"/>
      <c r="Q188" s="19"/>
      <c r="R188" s="19"/>
      <c r="S188" s="19"/>
      <c r="T188" s="22"/>
      <c r="U188" s="22"/>
      <c r="V188" s="22"/>
      <c r="W188" s="22"/>
      <c r="X188" s="22"/>
      <c r="Y188" s="23"/>
      <c r="Z188" s="24"/>
      <c r="AA188" s="25"/>
      <c r="AB188" s="21">
        <f>IF($B188&lt;&gt;"Entry","",ROUND(AA188*Y188/100,0))</f>
      </c>
      <c r="AC188" s="25"/>
      <c r="AD188" s="25"/>
      <c r="AE188" s="21">
        <f>IF($B188&lt;&gt;"Entry","",IF(OR(AB188=0,Z188="",AP188="",AP188&lt;=0),0,IF(AP188&lt;=DATE(YEAR(Z188),MONTH(Z188)+1,7),0,ROUND(AB188*0.015*((YEAR(AP188)-YEAR(Z188))*12+(MONTH(AP188)-MONTH(Z188))+1),0))))</f>
      </c>
      <c r="AF188" s="25"/>
      <c r="AG188" s="22"/>
      <c r="AH188" s="22"/>
      <c r="AI188" s="23"/>
      <c r="AJ188" s="22"/>
      <c r="AK188" s="22"/>
      <c r="AL188" s="21">
        <f>IF($B188&lt;&gt;"Challan","",SUMIF($D$8:$D$207,D188,$AB$8:$AB$207)+SUMIF($D$8:$D$207,D188,$AE$8:$AE$207)+SUMIF($D$8:$D$207,D188,$AC$8:$AC$207))</f>
      </c>
      <c r="AM188" s="21">
        <f>IF($B188&lt;&gt;"Challan","",N188-L188)</f>
      </c>
      <c r="AN188" s="21">
        <f>IF($B188&lt;&gt;"Challan","",MAX(0,AM188-AL188))</f>
      </c>
      <c r="AO188" s="26">
        <f>IF($B188&lt;&gt;"Challan","",IF(ROUND(AL188-AM188,2)&gt;0,"Over-applied",IF(ROUND(AL188-AM188,2)=0,"Fully Utilised","Unconsumed")))</f>
      </c>
      <c r="AP188" s="27">
        <f>IF($B188&lt;&gt;"Entry","",SUMPRODUCT(($D$8:$D$207=D188)*($B$8:$B$207="Challan")*$E$8:$E$207))</f>
      </c>
    </row>
    <row r="189" spans="1:42" x14ac:dyDescent="0.25">
      <c r="A189" s="15">
        <f>IF($B189="Entry",COUNTIF($B$8:$B189,"Entry"),"")</f>
      </c>
      <c r="B189" s="16"/>
      <c r="C189" s="17"/>
      <c r="D189" s="17"/>
      <c r="E189" s="18"/>
      <c r="F189" s="19"/>
      <c r="G189" s="20"/>
      <c r="H189" s="20"/>
      <c r="I189" s="20"/>
      <c r="J189" s="20"/>
      <c r="K189" s="20"/>
      <c r="L189" s="20"/>
      <c r="M189" s="20"/>
      <c r="N189" s="21">
        <f>IF($B189&lt;&gt;"Challan","",G189+H189+I189+J189+K189+L189)</f>
      </c>
      <c r="O189" s="19"/>
      <c r="P189" s="19"/>
      <c r="Q189" s="19"/>
      <c r="R189" s="19"/>
      <c r="S189" s="19"/>
      <c r="T189" s="22"/>
      <c r="U189" s="22"/>
      <c r="V189" s="22"/>
      <c r="W189" s="22"/>
      <c r="X189" s="22"/>
      <c r="Y189" s="23"/>
      <c r="Z189" s="24"/>
      <c r="AA189" s="25"/>
      <c r="AB189" s="21">
        <f>IF($B189&lt;&gt;"Entry","",ROUND(AA189*Y189/100,0))</f>
      </c>
      <c r="AC189" s="25"/>
      <c r="AD189" s="25"/>
      <c r="AE189" s="21">
        <f>IF($B189&lt;&gt;"Entry","",IF(OR(AB189=0,Z189="",AP189="",AP189&lt;=0),0,IF(AP189&lt;=DATE(YEAR(Z189),MONTH(Z189)+1,7),0,ROUND(AB189*0.015*((YEAR(AP189)-YEAR(Z189))*12+(MONTH(AP189)-MONTH(Z189))+1),0))))</f>
      </c>
      <c r="AF189" s="25"/>
      <c r="AG189" s="22"/>
      <c r="AH189" s="22"/>
      <c r="AI189" s="23"/>
      <c r="AJ189" s="22"/>
      <c r="AK189" s="22"/>
      <c r="AL189" s="21">
        <f>IF($B189&lt;&gt;"Challan","",SUMIF($D$8:$D$207,D189,$AB$8:$AB$207)+SUMIF($D$8:$D$207,D189,$AE$8:$AE$207)+SUMIF($D$8:$D$207,D189,$AC$8:$AC$207))</f>
      </c>
      <c r="AM189" s="21">
        <f>IF($B189&lt;&gt;"Challan","",N189-L189)</f>
      </c>
      <c r="AN189" s="21">
        <f>IF($B189&lt;&gt;"Challan","",MAX(0,AM189-AL189))</f>
      </c>
      <c r="AO189" s="26">
        <f>IF($B189&lt;&gt;"Challan","",IF(ROUND(AL189-AM189,2)&gt;0,"Over-applied",IF(ROUND(AL189-AM189,2)=0,"Fully Utilised","Unconsumed")))</f>
      </c>
      <c r="AP189" s="27">
        <f>IF($B189&lt;&gt;"Entry","",SUMPRODUCT(($D$8:$D$207=D189)*($B$8:$B$207="Challan")*$E$8:$E$207))</f>
      </c>
    </row>
    <row r="190" spans="1:42" x14ac:dyDescent="0.25">
      <c r="A190" s="15">
        <f>IF($B190="Entry",COUNTIF($B$8:$B190,"Entry"),"")</f>
      </c>
      <c r="B190" s="16"/>
      <c r="C190" s="17"/>
      <c r="D190" s="17"/>
      <c r="E190" s="18"/>
      <c r="F190" s="19"/>
      <c r="G190" s="20"/>
      <c r="H190" s="20"/>
      <c r="I190" s="20"/>
      <c r="J190" s="20"/>
      <c r="K190" s="20"/>
      <c r="L190" s="20"/>
      <c r="M190" s="20"/>
      <c r="N190" s="21">
        <f>IF($B190&lt;&gt;"Challan","",G190+H190+I190+J190+K190+L190)</f>
      </c>
      <c r="O190" s="19"/>
      <c r="P190" s="19"/>
      <c r="Q190" s="19"/>
      <c r="R190" s="19"/>
      <c r="S190" s="19"/>
      <c r="T190" s="22"/>
      <c r="U190" s="22"/>
      <c r="V190" s="22"/>
      <c r="W190" s="22"/>
      <c r="X190" s="22"/>
      <c r="Y190" s="23"/>
      <c r="Z190" s="24"/>
      <c r="AA190" s="25"/>
      <c r="AB190" s="21">
        <f>IF($B190&lt;&gt;"Entry","",ROUND(AA190*Y190/100,0))</f>
      </c>
      <c r="AC190" s="25"/>
      <c r="AD190" s="25"/>
      <c r="AE190" s="21">
        <f>IF($B190&lt;&gt;"Entry","",IF(OR(AB190=0,Z190="",AP190="",AP190&lt;=0),0,IF(AP190&lt;=DATE(YEAR(Z190),MONTH(Z190)+1,7),0,ROUND(AB190*0.015*((YEAR(AP190)-YEAR(Z190))*12+(MONTH(AP190)-MONTH(Z190))+1),0))))</f>
      </c>
      <c r="AF190" s="25"/>
      <c r="AG190" s="22"/>
      <c r="AH190" s="22"/>
      <c r="AI190" s="23"/>
      <c r="AJ190" s="22"/>
      <c r="AK190" s="22"/>
      <c r="AL190" s="21">
        <f>IF($B190&lt;&gt;"Challan","",SUMIF($D$8:$D$207,D190,$AB$8:$AB$207)+SUMIF($D$8:$D$207,D190,$AE$8:$AE$207)+SUMIF($D$8:$D$207,D190,$AC$8:$AC$207))</f>
      </c>
      <c r="AM190" s="21">
        <f>IF($B190&lt;&gt;"Challan","",N190-L190)</f>
      </c>
      <c r="AN190" s="21">
        <f>IF($B190&lt;&gt;"Challan","",MAX(0,AM190-AL190))</f>
      </c>
      <c r="AO190" s="26">
        <f>IF($B190&lt;&gt;"Challan","",IF(ROUND(AL190-AM190,2)&gt;0,"Over-applied",IF(ROUND(AL190-AM190,2)=0,"Fully Utilised","Unconsumed")))</f>
      </c>
      <c r="AP190" s="27">
        <f>IF($B190&lt;&gt;"Entry","",SUMPRODUCT(($D$8:$D$207=D190)*($B$8:$B$207="Challan")*$E$8:$E$207))</f>
      </c>
    </row>
    <row r="191" spans="1:42" x14ac:dyDescent="0.25">
      <c r="A191" s="15">
        <f>IF($B191="Entry",COUNTIF($B$8:$B191,"Entry"),"")</f>
      </c>
      <c r="B191" s="16"/>
      <c r="C191" s="17"/>
      <c r="D191" s="17"/>
      <c r="E191" s="18"/>
      <c r="F191" s="19"/>
      <c r="G191" s="20"/>
      <c r="H191" s="20"/>
      <c r="I191" s="20"/>
      <c r="J191" s="20"/>
      <c r="K191" s="20"/>
      <c r="L191" s="20"/>
      <c r="M191" s="20"/>
      <c r="N191" s="21">
        <f>IF($B191&lt;&gt;"Challan","",G191+H191+I191+J191+K191+L191)</f>
      </c>
      <c r="O191" s="19"/>
      <c r="P191" s="19"/>
      <c r="Q191" s="19"/>
      <c r="R191" s="19"/>
      <c r="S191" s="19"/>
      <c r="T191" s="22"/>
      <c r="U191" s="22"/>
      <c r="V191" s="22"/>
      <c r="W191" s="22"/>
      <c r="X191" s="22"/>
      <c r="Y191" s="23"/>
      <c r="Z191" s="24"/>
      <c r="AA191" s="25"/>
      <c r="AB191" s="21">
        <f>IF($B191&lt;&gt;"Entry","",ROUND(AA191*Y191/100,0))</f>
      </c>
      <c r="AC191" s="25"/>
      <c r="AD191" s="25"/>
      <c r="AE191" s="21">
        <f>IF($B191&lt;&gt;"Entry","",IF(OR(AB191=0,Z191="",AP191="",AP191&lt;=0),0,IF(AP191&lt;=DATE(YEAR(Z191),MONTH(Z191)+1,7),0,ROUND(AB191*0.015*((YEAR(AP191)-YEAR(Z191))*12+(MONTH(AP191)-MONTH(Z191))+1),0))))</f>
      </c>
      <c r="AF191" s="25"/>
      <c r="AG191" s="22"/>
      <c r="AH191" s="22"/>
      <c r="AI191" s="23"/>
      <c r="AJ191" s="22"/>
      <c r="AK191" s="22"/>
      <c r="AL191" s="21">
        <f>IF($B191&lt;&gt;"Challan","",SUMIF($D$8:$D$207,D191,$AB$8:$AB$207)+SUMIF($D$8:$D$207,D191,$AE$8:$AE$207)+SUMIF($D$8:$D$207,D191,$AC$8:$AC$207))</f>
      </c>
      <c r="AM191" s="21">
        <f>IF($B191&lt;&gt;"Challan","",N191-L191)</f>
      </c>
      <c r="AN191" s="21">
        <f>IF($B191&lt;&gt;"Challan","",MAX(0,AM191-AL191))</f>
      </c>
      <c r="AO191" s="26">
        <f>IF($B191&lt;&gt;"Challan","",IF(ROUND(AL191-AM191,2)&gt;0,"Over-applied",IF(ROUND(AL191-AM191,2)=0,"Fully Utilised","Unconsumed")))</f>
      </c>
      <c r="AP191" s="27">
        <f>IF($B191&lt;&gt;"Entry","",SUMPRODUCT(($D$8:$D$207=D191)*($B$8:$B$207="Challan")*$E$8:$E$207))</f>
      </c>
    </row>
    <row r="192" spans="1:42" x14ac:dyDescent="0.25">
      <c r="A192" s="15">
        <f>IF($B192="Entry",COUNTIF($B$8:$B192,"Entry"),"")</f>
      </c>
      <c r="B192" s="16"/>
      <c r="C192" s="17"/>
      <c r="D192" s="17"/>
      <c r="E192" s="18"/>
      <c r="F192" s="19"/>
      <c r="G192" s="20"/>
      <c r="H192" s="20"/>
      <c r="I192" s="20"/>
      <c r="J192" s="20"/>
      <c r="K192" s="20"/>
      <c r="L192" s="20"/>
      <c r="M192" s="20"/>
      <c r="N192" s="21">
        <f>IF($B192&lt;&gt;"Challan","",G192+H192+I192+J192+K192+L192)</f>
      </c>
      <c r="O192" s="19"/>
      <c r="P192" s="19"/>
      <c r="Q192" s="19"/>
      <c r="R192" s="19"/>
      <c r="S192" s="19"/>
      <c r="T192" s="22"/>
      <c r="U192" s="22"/>
      <c r="V192" s="22"/>
      <c r="W192" s="22"/>
      <c r="X192" s="22"/>
      <c r="Y192" s="23"/>
      <c r="Z192" s="24"/>
      <c r="AA192" s="25"/>
      <c r="AB192" s="21">
        <f>IF($B192&lt;&gt;"Entry","",ROUND(AA192*Y192/100,0))</f>
      </c>
      <c r="AC192" s="25"/>
      <c r="AD192" s="25"/>
      <c r="AE192" s="21">
        <f>IF($B192&lt;&gt;"Entry","",IF(OR(AB192=0,Z192="",AP192="",AP192&lt;=0),0,IF(AP192&lt;=DATE(YEAR(Z192),MONTH(Z192)+1,7),0,ROUND(AB192*0.015*((YEAR(AP192)-YEAR(Z192))*12+(MONTH(AP192)-MONTH(Z192))+1),0))))</f>
      </c>
      <c r="AF192" s="25"/>
      <c r="AG192" s="22"/>
      <c r="AH192" s="22"/>
      <c r="AI192" s="23"/>
      <c r="AJ192" s="22"/>
      <c r="AK192" s="22"/>
      <c r="AL192" s="21">
        <f>IF($B192&lt;&gt;"Challan","",SUMIF($D$8:$D$207,D192,$AB$8:$AB$207)+SUMIF($D$8:$D$207,D192,$AE$8:$AE$207)+SUMIF($D$8:$D$207,D192,$AC$8:$AC$207))</f>
      </c>
      <c r="AM192" s="21">
        <f>IF($B192&lt;&gt;"Challan","",N192-L192)</f>
      </c>
      <c r="AN192" s="21">
        <f>IF($B192&lt;&gt;"Challan","",MAX(0,AM192-AL192))</f>
      </c>
      <c r="AO192" s="26">
        <f>IF($B192&lt;&gt;"Challan","",IF(ROUND(AL192-AM192,2)&gt;0,"Over-applied",IF(ROUND(AL192-AM192,2)=0,"Fully Utilised","Unconsumed")))</f>
      </c>
      <c r="AP192" s="27">
        <f>IF($B192&lt;&gt;"Entry","",SUMPRODUCT(($D$8:$D$207=D192)*($B$8:$B$207="Challan")*$E$8:$E$207))</f>
      </c>
    </row>
    <row r="193" spans="1:42" x14ac:dyDescent="0.25">
      <c r="A193" s="15">
        <f>IF($B193="Entry",COUNTIF($B$8:$B193,"Entry"),"")</f>
      </c>
      <c r="B193" s="16"/>
      <c r="C193" s="17"/>
      <c r="D193" s="17"/>
      <c r="E193" s="18"/>
      <c r="F193" s="19"/>
      <c r="G193" s="20"/>
      <c r="H193" s="20"/>
      <c r="I193" s="20"/>
      <c r="J193" s="20"/>
      <c r="K193" s="20"/>
      <c r="L193" s="20"/>
      <c r="M193" s="20"/>
      <c r="N193" s="21">
        <f>IF($B193&lt;&gt;"Challan","",G193+H193+I193+J193+K193+L193)</f>
      </c>
      <c r="O193" s="19"/>
      <c r="P193" s="19"/>
      <c r="Q193" s="19"/>
      <c r="R193" s="19"/>
      <c r="S193" s="19"/>
      <c r="T193" s="22"/>
      <c r="U193" s="22"/>
      <c r="V193" s="22"/>
      <c r="W193" s="22"/>
      <c r="X193" s="22"/>
      <c r="Y193" s="23"/>
      <c r="Z193" s="24"/>
      <c r="AA193" s="25"/>
      <c r="AB193" s="21">
        <f>IF($B193&lt;&gt;"Entry","",ROUND(AA193*Y193/100,0))</f>
      </c>
      <c r="AC193" s="25"/>
      <c r="AD193" s="25"/>
      <c r="AE193" s="21">
        <f>IF($B193&lt;&gt;"Entry","",IF(OR(AB193=0,Z193="",AP193="",AP193&lt;=0),0,IF(AP193&lt;=DATE(YEAR(Z193),MONTH(Z193)+1,7),0,ROUND(AB193*0.015*((YEAR(AP193)-YEAR(Z193))*12+(MONTH(AP193)-MONTH(Z193))+1),0))))</f>
      </c>
      <c r="AF193" s="25"/>
      <c r="AG193" s="22"/>
      <c r="AH193" s="22"/>
      <c r="AI193" s="23"/>
      <c r="AJ193" s="22"/>
      <c r="AK193" s="22"/>
      <c r="AL193" s="21">
        <f>IF($B193&lt;&gt;"Challan","",SUMIF($D$8:$D$207,D193,$AB$8:$AB$207)+SUMIF($D$8:$D$207,D193,$AE$8:$AE$207)+SUMIF($D$8:$D$207,D193,$AC$8:$AC$207))</f>
      </c>
      <c r="AM193" s="21">
        <f>IF($B193&lt;&gt;"Challan","",N193-L193)</f>
      </c>
      <c r="AN193" s="21">
        <f>IF($B193&lt;&gt;"Challan","",MAX(0,AM193-AL193))</f>
      </c>
      <c r="AO193" s="26">
        <f>IF($B193&lt;&gt;"Challan","",IF(ROUND(AL193-AM193,2)&gt;0,"Over-applied",IF(ROUND(AL193-AM193,2)=0,"Fully Utilised","Unconsumed")))</f>
      </c>
      <c r="AP193" s="27">
        <f>IF($B193&lt;&gt;"Entry","",SUMPRODUCT(($D$8:$D$207=D193)*($B$8:$B$207="Challan")*$E$8:$E$207))</f>
      </c>
    </row>
    <row r="194" spans="1:42" x14ac:dyDescent="0.25">
      <c r="A194" s="15">
        <f>IF($B194="Entry",COUNTIF($B$8:$B194,"Entry"),"")</f>
      </c>
      <c r="B194" s="16"/>
      <c r="C194" s="17"/>
      <c r="D194" s="17"/>
      <c r="E194" s="18"/>
      <c r="F194" s="19"/>
      <c r="G194" s="20"/>
      <c r="H194" s="20"/>
      <c r="I194" s="20"/>
      <c r="J194" s="20"/>
      <c r="K194" s="20"/>
      <c r="L194" s="20"/>
      <c r="M194" s="20"/>
      <c r="N194" s="21">
        <f>IF($B194&lt;&gt;"Challan","",G194+H194+I194+J194+K194+L194)</f>
      </c>
      <c r="O194" s="19"/>
      <c r="P194" s="19"/>
      <c r="Q194" s="19"/>
      <c r="R194" s="19"/>
      <c r="S194" s="19"/>
      <c r="T194" s="22"/>
      <c r="U194" s="22"/>
      <c r="V194" s="22"/>
      <c r="W194" s="22"/>
      <c r="X194" s="22"/>
      <c r="Y194" s="23"/>
      <c r="Z194" s="24"/>
      <c r="AA194" s="25"/>
      <c r="AB194" s="21">
        <f>IF($B194&lt;&gt;"Entry","",ROUND(AA194*Y194/100,0))</f>
      </c>
      <c r="AC194" s="25"/>
      <c r="AD194" s="25"/>
      <c r="AE194" s="21">
        <f>IF($B194&lt;&gt;"Entry","",IF(OR(AB194=0,Z194="",AP194="",AP194&lt;=0),0,IF(AP194&lt;=DATE(YEAR(Z194),MONTH(Z194)+1,7),0,ROUND(AB194*0.015*((YEAR(AP194)-YEAR(Z194))*12+(MONTH(AP194)-MONTH(Z194))+1),0))))</f>
      </c>
      <c r="AF194" s="25"/>
      <c r="AG194" s="22"/>
      <c r="AH194" s="22"/>
      <c r="AI194" s="23"/>
      <c r="AJ194" s="22"/>
      <c r="AK194" s="22"/>
      <c r="AL194" s="21">
        <f>IF($B194&lt;&gt;"Challan","",SUMIF($D$8:$D$207,D194,$AB$8:$AB$207)+SUMIF($D$8:$D$207,D194,$AE$8:$AE$207)+SUMIF($D$8:$D$207,D194,$AC$8:$AC$207))</f>
      </c>
      <c r="AM194" s="21">
        <f>IF($B194&lt;&gt;"Challan","",N194-L194)</f>
      </c>
      <c r="AN194" s="21">
        <f>IF($B194&lt;&gt;"Challan","",MAX(0,AM194-AL194))</f>
      </c>
      <c r="AO194" s="26">
        <f>IF($B194&lt;&gt;"Challan","",IF(ROUND(AL194-AM194,2)&gt;0,"Over-applied",IF(ROUND(AL194-AM194,2)=0,"Fully Utilised","Unconsumed")))</f>
      </c>
      <c r="AP194" s="27">
        <f>IF($B194&lt;&gt;"Entry","",SUMPRODUCT(($D$8:$D$207=D194)*($B$8:$B$207="Challan")*$E$8:$E$207))</f>
      </c>
    </row>
    <row r="195" spans="1:42" x14ac:dyDescent="0.25">
      <c r="A195" s="15">
        <f>IF($B195="Entry",COUNTIF($B$8:$B195,"Entry"),"")</f>
      </c>
      <c r="B195" s="16"/>
      <c r="C195" s="17"/>
      <c r="D195" s="17"/>
      <c r="E195" s="18"/>
      <c r="F195" s="19"/>
      <c r="G195" s="20"/>
      <c r="H195" s="20"/>
      <c r="I195" s="20"/>
      <c r="J195" s="20"/>
      <c r="K195" s="20"/>
      <c r="L195" s="20"/>
      <c r="M195" s="20"/>
      <c r="N195" s="21">
        <f>IF($B195&lt;&gt;"Challan","",G195+H195+I195+J195+K195+L195)</f>
      </c>
      <c r="O195" s="19"/>
      <c r="P195" s="19"/>
      <c r="Q195" s="19"/>
      <c r="R195" s="19"/>
      <c r="S195" s="19"/>
      <c r="T195" s="22"/>
      <c r="U195" s="22"/>
      <c r="V195" s="22"/>
      <c r="W195" s="22"/>
      <c r="X195" s="22"/>
      <c r="Y195" s="23"/>
      <c r="Z195" s="24"/>
      <c r="AA195" s="25"/>
      <c r="AB195" s="21">
        <f>IF($B195&lt;&gt;"Entry","",ROUND(AA195*Y195/100,0))</f>
      </c>
      <c r="AC195" s="25"/>
      <c r="AD195" s="25"/>
      <c r="AE195" s="21">
        <f>IF($B195&lt;&gt;"Entry","",IF(OR(AB195=0,Z195="",AP195="",AP195&lt;=0),0,IF(AP195&lt;=DATE(YEAR(Z195),MONTH(Z195)+1,7),0,ROUND(AB195*0.015*((YEAR(AP195)-YEAR(Z195))*12+(MONTH(AP195)-MONTH(Z195))+1),0))))</f>
      </c>
      <c r="AF195" s="25"/>
      <c r="AG195" s="22"/>
      <c r="AH195" s="22"/>
      <c r="AI195" s="23"/>
      <c r="AJ195" s="22"/>
      <c r="AK195" s="22"/>
      <c r="AL195" s="21">
        <f>IF($B195&lt;&gt;"Challan","",SUMIF($D$8:$D$207,D195,$AB$8:$AB$207)+SUMIF($D$8:$D$207,D195,$AE$8:$AE$207)+SUMIF($D$8:$D$207,D195,$AC$8:$AC$207))</f>
      </c>
      <c r="AM195" s="21">
        <f>IF($B195&lt;&gt;"Challan","",N195-L195)</f>
      </c>
      <c r="AN195" s="21">
        <f>IF($B195&lt;&gt;"Challan","",MAX(0,AM195-AL195))</f>
      </c>
      <c r="AO195" s="26">
        <f>IF($B195&lt;&gt;"Challan","",IF(ROUND(AL195-AM195,2)&gt;0,"Over-applied",IF(ROUND(AL195-AM195,2)=0,"Fully Utilised","Unconsumed")))</f>
      </c>
      <c r="AP195" s="27">
        <f>IF($B195&lt;&gt;"Entry","",SUMPRODUCT(($D$8:$D$207=D195)*($B$8:$B$207="Challan")*$E$8:$E$207))</f>
      </c>
    </row>
    <row r="196" spans="1:42" x14ac:dyDescent="0.25">
      <c r="A196" s="15">
        <f>IF($B196="Entry",COUNTIF($B$8:$B196,"Entry"),"")</f>
      </c>
      <c r="B196" s="16"/>
      <c r="C196" s="17"/>
      <c r="D196" s="17"/>
      <c r="E196" s="18"/>
      <c r="F196" s="19"/>
      <c r="G196" s="20"/>
      <c r="H196" s="20"/>
      <c r="I196" s="20"/>
      <c r="J196" s="20"/>
      <c r="K196" s="20"/>
      <c r="L196" s="20"/>
      <c r="M196" s="20"/>
      <c r="N196" s="21">
        <f>IF($B196&lt;&gt;"Challan","",G196+H196+I196+J196+K196+L196)</f>
      </c>
      <c r="O196" s="19"/>
      <c r="P196" s="19"/>
      <c r="Q196" s="19"/>
      <c r="R196" s="19"/>
      <c r="S196" s="19"/>
      <c r="T196" s="22"/>
      <c r="U196" s="22"/>
      <c r="V196" s="22"/>
      <c r="W196" s="22"/>
      <c r="X196" s="22"/>
      <c r="Y196" s="23"/>
      <c r="Z196" s="24"/>
      <c r="AA196" s="25"/>
      <c r="AB196" s="21">
        <f>IF($B196&lt;&gt;"Entry","",ROUND(AA196*Y196/100,0))</f>
      </c>
      <c r="AC196" s="25"/>
      <c r="AD196" s="25"/>
      <c r="AE196" s="21">
        <f>IF($B196&lt;&gt;"Entry","",IF(OR(AB196=0,Z196="",AP196="",AP196&lt;=0),0,IF(AP196&lt;=DATE(YEAR(Z196),MONTH(Z196)+1,7),0,ROUND(AB196*0.015*((YEAR(AP196)-YEAR(Z196))*12+(MONTH(AP196)-MONTH(Z196))+1),0))))</f>
      </c>
      <c r="AF196" s="25"/>
      <c r="AG196" s="22"/>
      <c r="AH196" s="22"/>
      <c r="AI196" s="23"/>
      <c r="AJ196" s="22"/>
      <c r="AK196" s="22"/>
      <c r="AL196" s="21">
        <f>IF($B196&lt;&gt;"Challan","",SUMIF($D$8:$D$207,D196,$AB$8:$AB$207)+SUMIF($D$8:$D$207,D196,$AE$8:$AE$207)+SUMIF($D$8:$D$207,D196,$AC$8:$AC$207))</f>
      </c>
      <c r="AM196" s="21">
        <f>IF($B196&lt;&gt;"Challan","",N196-L196)</f>
      </c>
      <c r="AN196" s="21">
        <f>IF($B196&lt;&gt;"Challan","",MAX(0,AM196-AL196))</f>
      </c>
      <c r="AO196" s="26">
        <f>IF($B196&lt;&gt;"Challan","",IF(ROUND(AL196-AM196,2)&gt;0,"Over-applied",IF(ROUND(AL196-AM196,2)=0,"Fully Utilised","Unconsumed")))</f>
      </c>
      <c r="AP196" s="27">
        <f>IF($B196&lt;&gt;"Entry","",SUMPRODUCT(($D$8:$D$207=D196)*($B$8:$B$207="Challan")*$E$8:$E$207))</f>
      </c>
    </row>
    <row r="197" spans="1:42" x14ac:dyDescent="0.25">
      <c r="A197" s="15">
        <f>IF($B197="Entry",COUNTIF($B$8:$B197,"Entry"),"")</f>
      </c>
      <c r="B197" s="16"/>
      <c r="C197" s="17"/>
      <c r="D197" s="17"/>
      <c r="E197" s="18"/>
      <c r="F197" s="19"/>
      <c r="G197" s="20"/>
      <c r="H197" s="20"/>
      <c r="I197" s="20"/>
      <c r="J197" s="20"/>
      <c r="K197" s="20"/>
      <c r="L197" s="20"/>
      <c r="M197" s="20"/>
      <c r="N197" s="21">
        <f>IF($B197&lt;&gt;"Challan","",G197+H197+I197+J197+K197+L197)</f>
      </c>
      <c r="O197" s="19"/>
      <c r="P197" s="19"/>
      <c r="Q197" s="19"/>
      <c r="R197" s="19"/>
      <c r="S197" s="19"/>
      <c r="T197" s="22"/>
      <c r="U197" s="22"/>
      <c r="V197" s="22"/>
      <c r="W197" s="22"/>
      <c r="X197" s="22"/>
      <c r="Y197" s="23"/>
      <c r="Z197" s="24"/>
      <c r="AA197" s="25"/>
      <c r="AB197" s="21">
        <f>IF($B197&lt;&gt;"Entry","",ROUND(AA197*Y197/100,0))</f>
      </c>
      <c r="AC197" s="25"/>
      <c r="AD197" s="25"/>
      <c r="AE197" s="21">
        <f>IF($B197&lt;&gt;"Entry","",IF(OR(AB197=0,Z197="",AP197="",AP197&lt;=0),0,IF(AP197&lt;=DATE(YEAR(Z197),MONTH(Z197)+1,7),0,ROUND(AB197*0.015*((YEAR(AP197)-YEAR(Z197))*12+(MONTH(AP197)-MONTH(Z197))+1),0))))</f>
      </c>
      <c r="AF197" s="25"/>
      <c r="AG197" s="22"/>
      <c r="AH197" s="22"/>
      <c r="AI197" s="23"/>
      <c r="AJ197" s="22"/>
      <c r="AK197" s="22"/>
      <c r="AL197" s="21">
        <f>IF($B197&lt;&gt;"Challan","",SUMIF($D$8:$D$207,D197,$AB$8:$AB$207)+SUMIF($D$8:$D$207,D197,$AE$8:$AE$207)+SUMIF($D$8:$D$207,D197,$AC$8:$AC$207))</f>
      </c>
      <c r="AM197" s="21">
        <f>IF($B197&lt;&gt;"Challan","",N197-L197)</f>
      </c>
      <c r="AN197" s="21">
        <f>IF($B197&lt;&gt;"Challan","",MAX(0,AM197-AL197))</f>
      </c>
      <c r="AO197" s="26">
        <f>IF($B197&lt;&gt;"Challan","",IF(ROUND(AL197-AM197,2)&gt;0,"Over-applied",IF(ROUND(AL197-AM197,2)=0,"Fully Utilised","Unconsumed")))</f>
      </c>
      <c r="AP197" s="27">
        <f>IF($B197&lt;&gt;"Entry","",SUMPRODUCT(($D$8:$D$207=D197)*($B$8:$B$207="Challan")*$E$8:$E$207))</f>
      </c>
    </row>
    <row r="198" spans="1:42" x14ac:dyDescent="0.25">
      <c r="A198" s="15">
        <f>IF($B198="Entry",COUNTIF($B$8:$B198,"Entry"),"")</f>
      </c>
      <c r="B198" s="16"/>
      <c r="C198" s="17"/>
      <c r="D198" s="17"/>
      <c r="E198" s="18"/>
      <c r="F198" s="19"/>
      <c r="G198" s="20"/>
      <c r="H198" s="20"/>
      <c r="I198" s="20"/>
      <c r="J198" s="20"/>
      <c r="K198" s="20"/>
      <c r="L198" s="20"/>
      <c r="M198" s="20"/>
      <c r="N198" s="21">
        <f>IF($B198&lt;&gt;"Challan","",G198+H198+I198+J198+K198+L198)</f>
      </c>
      <c r="O198" s="19"/>
      <c r="P198" s="19"/>
      <c r="Q198" s="19"/>
      <c r="R198" s="19"/>
      <c r="S198" s="19"/>
      <c r="T198" s="22"/>
      <c r="U198" s="22"/>
      <c r="V198" s="22"/>
      <c r="W198" s="22"/>
      <c r="X198" s="22"/>
      <c r="Y198" s="23"/>
      <c r="Z198" s="24"/>
      <c r="AA198" s="25"/>
      <c r="AB198" s="21">
        <f>IF($B198&lt;&gt;"Entry","",ROUND(AA198*Y198/100,0))</f>
      </c>
      <c r="AC198" s="25"/>
      <c r="AD198" s="25"/>
      <c r="AE198" s="21">
        <f>IF($B198&lt;&gt;"Entry","",IF(OR(AB198=0,Z198="",AP198="",AP198&lt;=0),0,IF(AP198&lt;=DATE(YEAR(Z198),MONTH(Z198)+1,7),0,ROUND(AB198*0.015*((YEAR(AP198)-YEAR(Z198))*12+(MONTH(AP198)-MONTH(Z198))+1),0))))</f>
      </c>
      <c r="AF198" s="25"/>
      <c r="AG198" s="22"/>
      <c r="AH198" s="22"/>
      <c r="AI198" s="23"/>
      <c r="AJ198" s="22"/>
      <c r="AK198" s="22"/>
      <c r="AL198" s="21">
        <f>IF($B198&lt;&gt;"Challan","",SUMIF($D$8:$D$207,D198,$AB$8:$AB$207)+SUMIF($D$8:$D$207,D198,$AE$8:$AE$207)+SUMIF($D$8:$D$207,D198,$AC$8:$AC$207))</f>
      </c>
      <c r="AM198" s="21">
        <f>IF($B198&lt;&gt;"Challan","",N198-L198)</f>
      </c>
      <c r="AN198" s="21">
        <f>IF($B198&lt;&gt;"Challan","",MAX(0,AM198-AL198))</f>
      </c>
      <c r="AO198" s="26">
        <f>IF($B198&lt;&gt;"Challan","",IF(ROUND(AL198-AM198,2)&gt;0,"Over-applied",IF(ROUND(AL198-AM198,2)=0,"Fully Utilised","Unconsumed")))</f>
      </c>
      <c r="AP198" s="27">
        <f>IF($B198&lt;&gt;"Entry","",SUMPRODUCT(($D$8:$D$207=D198)*($B$8:$B$207="Challan")*$E$8:$E$207))</f>
      </c>
    </row>
    <row r="199" spans="1:42" x14ac:dyDescent="0.25">
      <c r="A199" s="15">
        <f>IF($B199="Entry",COUNTIF($B$8:$B199,"Entry"),"")</f>
      </c>
      <c r="B199" s="16"/>
      <c r="C199" s="17"/>
      <c r="D199" s="17"/>
      <c r="E199" s="18"/>
      <c r="F199" s="19"/>
      <c r="G199" s="20"/>
      <c r="H199" s="20"/>
      <c r="I199" s="20"/>
      <c r="J199" s="20"/>
      <c r="K199" s="20"/>
      <c r="L199" s="20"/>
      <c r="M199" s="20"/>
      <c r="N199" s="21">
        <f>IF($B199&lt;&gt;"Challan","",G199+H199+I199+J199+K199+L199)</f>
      </c>
      <c r="O199" s="19"/>
      <c r="P199" s="19"/>
      <c r="Q199" s="19"/>
      <c r="R199" s="19"/>
      <c r="S199" s="19"/>
      <c r="T199" s="22"/>
      <c r="U199" s="22"/>
      <c r="V199" s="22"/>
      <c r="W199" s="22"/>
      <c r="X199" s="22"/>
      <c r="Y199" s="23"/>
      <c r="Z199" s="24"/>
      <c r="AA199" s="25"/>
      <c r="AB199" s="21">
        <f>IF($B199&lt;&gt;"Entry","",ROUND(AA199*Y199/100,0))</f>
      </c>
      <c r="AC199" s="25"/>
      <c r="AD199" s="25"/>
      <c r="AE199" s="21">
        <f>IF($B199&lt;&gt;"Entry","",IF(OR(AB199=0,Z199="",AP199="",AP199&lt;=0),0,IF(AP199&lt;=DATE(YEAR(Z199),MONTH(Z199)+1,7),0,ROUND(AB199*0.015*((YEAR(AP199)-YEAR(Z199))*12+(MONTH(AP199)-MONTH(Z199))+1),0))))</f>
      </c>
      <c r="AF199" s="25"/>
      <c r="AG199" s="22"/>
      <c r="AH199" s="22"/>
      <c r="AI199" s="23"/>
      <c r="AJ199" s="22"/>
      <c r="AK199" s="22"/>
      <c r="AL199" s="21">
        <f>IF($B199&lt;&gt;"Challan","",SUMIF($D$8:$D$207,D199,$AB$8:$AB$207)+SUMIF($D$8:$D$207,D199,$AE$8:$AE$207)+SUMIF($D$8:$D$207,D199,$AC$8:$AC$207))</f>
      </c>
      <c r="AM199" s="21">
        <f>IF($B199&lt;&gt;"Challan","",N199-L199)</f>
      </c>
      <c r="AN199" s="21">
        <f>IF($B199&lt;&gt;"Challan","",MAX(0,AM199-AL199))</f>
      </c>
      <c r="AO199" s="26">
        <f>IF($B199&lt;&gt;"Challan","",IF(ROUND(AL199-AM199,2)&gt;0,"Over-applied",IF(ROUND(AL199-AM199,2)=0,"Fully Utilised","Unconsumed")))</f>
      </c>
      <c r="AP199" s="27">
        <f>IF($B199&lt;&gt;"Entry","",SUMPRODUCT(($D$8:$D$207=D199)*($B$8:$B$207="Challan")*$E$8:$E$207))</f>
      </c>
    </row>
    <row r="200" spans="1:42" x14ac:dyDescent="0.25">
      <c r="A200" s="15">
        <f>IF($B200="Entry",COUNTIF($B$8:$B200,"Entry"),"")</f>
      </c>
      <c r="B200" s="16"/>
      <c r="C200" s="17"/>
      <c r="D200" s="17"/>
      <c r="E200" s="18"/>
      <c r="F200" s="19"/>
      <c r="G200" s="20"/>
      <c r="H200" s="20"/>
      <c r="I200" s="20"/>
      <c r="J200" s="20"/>
      <c r="K200" s="20"/>
      <c r="L200" s="20"/>
      <c r="M200" s="20"/>
      <c r="N200" s="21">
        <f>IF($B200&lt;&gt;"Challan","",G200+H200+I200+J200+K200+L200)</f>
      </c>
      <c r="O200" s="19"/>
      <c r="P200" s="19"/>
      <c r="Q200" s="19"/>
      <c r="R200" s="19"/>
      <c r="S200" s="19"/>
      <c r="T200" s="22"/>
      <c r="U200" s="22"/>
      <c r="V200" s="22"/>
      <c r="W200" s="22"/>
      <c r="X200" s="22"/>
      <c r="Y200" s="23"/>
      <c r="Z200" s="24"/>
      <c r="AA200" s="25"/>
      <c r="AB200" s="21">
        <f>IF($B200&lt;&gt;"Entry","",ROUND(AA200*Y200/100,0))</f>
      </c>
      <c r="AC200" s="25"/>
      <c r="AD200" s="25"/>
      <c r="AE200" s="21">
        <f>IF($B200&lt;&gt;"Entry","",IF(OR(AB200=0,Z200="",AP200="",AP200&lt;=0),0,IF(AP200&lt;=DATE(YEAR(Z200),MONTH(Z200)+1,7),0,ROUND(AB200*0.015*((YEAR(AP200)-YEAR(Z200))*12+(MONTH(AP200)-MONTH(Z200))+1),0))))</f>
      </c>
      <c r="AF200" s="25"/>
      <c r="AG200" s="22"/>
      <c r="AH200" s="22"/>
      <c r="AI200" s="23"/>
      <c r="AJ200" s="22"/>
      <c r="AK200" s="22"/>
      <c r="AL200" s="21">
        <f>IF($B200&lt;&gt;"Challan","",SUMIF($D$8:$D$207,D200,$AB$8:$AB$207)+SUMIF($D$8:$D$207,D200,$AE$8:$AE$207)+SUMIF($D$8:$D$207,D200,$AC$8:$AC$207))</f>
      </c>
      <c r="AM200" s="21">
        <f>IF($B200&lt;&gt;"Challan","",N200-L200)</f>
      </c>
      <c r="AN200" s="21">
        <f>IF($B200&lt;&gt;"Challan","",MAX(0,AM200-AL200))</f>
      </c>
      <c r="AO200" s="26">
        <f>IF($B200&lt;&gt;"Challan","",IF(ROUND(AL200-AM200,2)&gt;0,"Over-applied",IF(ROUND(AL200-AM200,2)=0,"Fully Utilised","Unconsumed")))</f>
      </c>
      <c r="AP200" s="27">
        <f>IF($B200&lt;&gt;"Entry","",SUMPRODUCT(($D$8:$D$207=D200)*($B$8:$B$207="Challan")*$E$8:$E$207))</f>
      </c>
    </row>
    <row r="201" spans="1:42" x14ac:dyDescent="0.25">
      <c r="A201" s="15">
        <f>IF($B201="Entry",COUNTIF($B$8:$B201,"Entry"),"")</f>
      </c>
      <c r="B201" s="16"/>
      <c r="C201" s="17"/>
      <c r="D201" s="17"/>
      <c r="E201" s="18"/>
      <c r="F201" s="19"/>
      <c r="G201" s="20"/>
      <c r="H201" s="20"/>
      <c r="I201" s="20"/>
      <c r="J201" s="20"/>
      <c r="K201" s="20"/>
      <c r="L201" s="20"/>
      <c r="M201" s="20"/>
      <c r="N201" s="21">
        <f>IF($B201&lt;&gt;"Challan","",G201+H201+I201+J201+K201+L201)</f>
      </c>
      <c r="O201" s="19"/>
      <c r="P201" s="19"/>
      <c r="Q201" s="19"/>
      <c r="R201" s="19"/>
      <c r="S201" s="19"/>
      <c r="T201" s="22"/>
      <c r="U201" s="22"/>
      <c r="V201" s="22"/>
      <c r="W201" s="22"/>
      <c r="X201" s="22"/>
      <c r="Y201" s="23"/>
      <c r="Z201" s="24"/>
      <c r="AA201" s="25"/>
      <c r="AB201" s="21">
        <f>IF($B201&lt;&gt;"Entry","",ROUND(AA201*Y201/100,0))</f>
      </c>
      <c r="AC201" s="25"/>
      <c r="AD201" s="25"/>
      <c r="AE201" s="21">
        <f>IF($B201&lt;&gt;"Entry","",IF(OR(AB201=0,Z201="",AP201="",AP201&lt;=0),0,IF(AP201&lt;=DATE(YEAR(Z201),MONTH(Z201)+1,7),0,ROUND(AB201*0.015*((YEAR(AP201)-YEAR(Z201))*12+(MONTH(AP201)-MONTH(Z201))+1),0))))</f>
      </c>
      <c r="AF201" s="25"/>
      <c r="AG201" s="22"/>
      <c r="AH201" s="22"/>
      <c r="AI201" s="23"/>
      <c r="AJ201" s="22"/>
      <c r="AK201" s="22"/>
      <c r="AL201" s="21">
        <f>IF($B201&lt;&gt;"Challan","",SUMIF($D$8:$D$207,D201,$AB$8:$AB$207)+SUMIF($D$8:$D$207,D201,$AE$8:$AE$207)+SUMIF($D$8:$D$207,D201,$AC$8:$AC$207))</f>
      </c>
      <c r="AM201" s="21">
        <f>IF($B201&lt;&gt;"Challan","",N201-L201)</f>
      </c>
      <c r="AN201" s="21">
        <f>IF($B201&lt;&gt;"Challan","",MAX(0,AM201-AL201))</f>
      </c>
      <c r="AO201" s="26">
        <f>IF($B201&lt;&gt;"Challan","",IF(ROUND(AL201-AM201,2)&gt;0,"Over-applied",IF(ROUND(AL201-AM201,2)=0,"Fully Utilised","Unconsumed")))</f>
      </c>
      <c r="AP201" s="27">
        <f>IF($B201&lt;&gt;"Entry","",SUMPRODUCT(($D$8:$D$207=D201)*($B$8:$B$207="Challan")*$E$8:$E$207))</f>
      </c>
    </row>
    <row r="202" spans="1:42" x14ac:dyDescent="0.25">
      <c r="A202" s="15">
        <f>IF($B202="Entry",COUNTIF($B$8:$B202,"Entry"),"")</f>
      </c>
      <c r="B202" s="16"/>
      <c r="C202" s="17"/>
      <c r="D202" s="17"/>
      <c r="E202" s="18"/>
      <c r="F202" s="19"/>
      <c r="G202" s="20"/>
      <c r="H202" s="20"/>
      <c r="I202" s="20"/>
      <c r="J202" s="20"/>
      <c r="K202" s="20"/>
      <c r="L202" s="20"/>
      <c r="M202" s="20"/>
      <c r="N202" s="21">
        <f>IF($B202&lt;&gt;"Challan","",G202+H202+I202+J202+K202+L202)</f>
      </c>
      <c r="O202" s="19"/>
      <c r="P202" s="19"/>
      <c r="Q202" s="19"/>
      <c r="R202" s="19"/>
      <c r="S202" s="19"/>
      <c r="T202" s="22"/>
      <c r="U202" s="22"/>
      <c r="V202" s="22"/>
      <c r="W202" s="22"/>
      <c r="X202" s="22"/>
      <c r="Y202" s="23"/>
      <c r="Z202" s="24"/>
      <c r="AA202" s="25"/>
      <c r="AB202" s="21">
        <f>IF($B202&lt;&gt;"Entry","",ROUND(AA202*Y202/100,0))</f>
      </c>
      <c r="AC202" s="25"/>
      <c r="AD202" s="25"/>
      <c r="AE202" s="21">
        <f>IF($B202&lt;&gt;"Entry","",IF(OR(AB202=0,Z202="",AP202="",AP202&lt;=0),0,IF(AP202&lt;=DATE(YEAR(Z202),MONTH(Z202)+1,7),0,ROUND(AB202*0.015*((YEAR(AP202)-YEAR(Z202))*12+(MONTH(AP202)-MONTH(Z202))+1),0))))</f>
      </c>
      <c r="AF202" s="25"/>
      <c r="AG202" s="22"/>
      <c r="AH202" s="22"/>
      <c r="AI202" s="23"/>
      <c r="AJ202" s="22"/>
      <c r="AK202" s="22"/>
      <c r="AL202" s="21">
        <f>IF($B202&lt;&gt;"Challan","",SUMIF($D$8:$D$207,D202,$AB$8:$AB$207)+SUMIF($D$8:$D$207,D202,$AE$8:$AE$207)+SUMIF($D$8:$D$207,D202,$AC$8:$AC$207))</f>
      </c>
      <c r="AM202" s="21">
        <f>IF($B202&lt;&gt;"Challan","",N202-L202)</f>
      </c>
      <c r="AN202" s="21">
        <f>IF($B202&lt;&gt;"Challan","",MAX(0,AM202-AL202))</f>
      </c>
      <c r="AO202" s="26">
        <f>IF($B202&lt;&gt;"Challan","",IF(ROUND(AL202-AM202,2)&gt;0,"Over-applied",IF(ROUND(AL202-AM202,2)=0,"Fully Utilised","Unconsumed")))</f>
      </c>
      <c r="AP202" s="27">
        <f>IF($B202&lt;&gt;"Entry","",SUMPRODUCT(($D$8:$D$207=D202)*($B$8:$B$207="Challan")*$E$8:$E$207))</f>
      </c>
    </row>
    <row r="203" spans="1:42" x14ac:dyDescent="0.25">
      <c r="A203" s="15">
        <f>IF($B203="Entry",COUNTIF($B$8:$B203,"Entry"),"")</f>
      </c>
      <c r="B203" s="16"/>
      <c r="C203" s="17"/>
      <c r="D203" s="17"/>
      <c r="E203" s="18"/>
      <c r="F203" s="19"/>
      <c r="G203" s="20"/>
      <c r="H203" s="20"/>
      <c r="I203" s="20"/>
      <c r="J203" s="20"/>
      <c r="K203" s="20"/>
      <c r="L203" s="20"/>
      <c r="M203" s="20"/>
      <c r="N203" s="21">
        <f>IF($B203&lt;&gt;"Challan","",G203+H203+I203+J203+K203+L203)</f>
      </c>
      <c r="O203" s="19"/>
      <c r="P203" s="19"/>
      <c r="Q203" s="19"/>
      <c r="R203" s="19"/>
      <c r="S203" s="19"/>
      <c r="T203" s="22"/>
      <c r="U203" s="22"/>
      <c r="V203" s="22"/>
      <c r="W203" s="22"/>
      <c r="X203" s="22"/>
      <c r="Y203" s="23"/>
      <c r="Z203" s="24"/>
      <c r="AA203" s="25"/>
      <c r="AB203" s="21">
        <f>IF($B203&lt;&gt;"Entry","",ROUND(AA203*Y203/100,0))</f>
      </c>
      <c r="AC203" s="25"/>
      <c r="AD203" s="25"/>
      <c r="AE203" s="21">
        <f>IF($B203&lt;&gt;"Entry","",IF(OR(AB203=0,Z203="",AP203="",AP203&lt;=0),0,IF(AP203&lt;=DATE(YEAR(Z203),MONTH(Z203)+1,7),0,ROUND(AB203*0.015*((YEAR(AP203)-YEAR(Z203))*12+(MONTH(AP203)-MONTH(Z203))+1),0))))</f>
      </c>
      <c r="AF203" s="25"/>
      <c r="AG203" s="22"/>
      <c r="AH203" s="22"/>
      <c r="AI203" s="23"/>
      <c r="AJ203" s="22"/>
      <c r="AK203" s="22"/>
      <c r="AL203" s="21">
        <f>IF($B203&lt;&gt;"Challan","",SUMIF($D$8:$D$207,D203,$AB$8:$AB$207)+SUMIF($D$8:$D$207,D203,$AE$8:$AE$207)+SUMIF($D$8:$D$207,D203,$AC$8:$AC$207))</f>
      </c>
      <c r="AM203" s="21">
        <f>IF($B203&lt;&gt;"Challan","",N203-L203)</f>
      </c>
      <c r="AN203" s="21">
        <f>IF($B203&lt;&gt;"Challan","",MAX(0,AM203-AL203))</f>
      </c>
      <c r="AO203" s="26">
        <f>IF($B203&lt;&gt;"Challan","",IF(ROUND(AL203-AM203,2)&gt;0,"Over-applied",IF(ROUND(AL203-AM203,2)=0,"Fully Utilised","Unconsumed")))</f>
      </c>
      <c r="AP203" s="27">
        <f>IF($B203&lt;&gt;"Entry","",SUMPRODUCT(($D$8:$D$207=D203)*($B$8:$B$207="Challan")*$E$8:$E$207))</f>
      </c>
    </row>
    <row r="204" spans="1:42" x14ac:dyDescent="0.25">
      <c r="A204" s="15">
        <f>IF($B204="Entry",COUNTIF($B$8:$B204,"Entry"),"")</f>
      </c>
      <c r="B204" s="16"/>
      <c r="C204" s="17"/>
      <c r="D204" s="17"/>
      <c r="E204" s="18"/>
      <c r="F204" s="19"/>
      <c r="G204" s="20"/>
      <c r="H204" s="20"/>
      <c r="I204" s="20"/>
      <c r="J204" s="20"/>
      <c r="K204" s="20"/>
      <c r="L204" s="20"/>
      <c r="M204" s="20"/>
      <c r="N204" s="21">
        <f>IF($B204&lt;&gt;"Challan","",G204+H204+I204+J204+K204+L204)</f>
      </c>
      <c r="O204" s="19"/>
      <c r="P204" s="19"/>
      <c r="Q204" s="19"/>
      <c r="R204" s="19"/>
      <c r="S204" s="19"/>
      <c r="T204" s="22"/>
      <c r="U204" s="22"/>
      <c r="V204" s="22"/>
      <c r="W204" s="22"/>
      <c r="X204" s="22"/>
      <c r="Y204" s="23"/>
      <c r="Z204" s="24"/>
      <c r="AA204" s="25"/>
      <c r="AB204" s="21">
        <f>IF($B204&lt;&gt;"Entry","",ROUND(AA204*Y204/100,0))</f>
      </c>
      <c r="AC204" s="25"/>
      <c r="AD204" s="25"/>
      <c r="AE204" s="21">
        <f>IF($B204&lt;&gt;"Entry","",IF(OR(AB204=0,Z204="",AP204="",AP204&lt;=0),0,IF(AP204&lt;=DATE(YEAR(Z204),MONTH(Z204)+1,7),0,ROUND(AB204*0.015*((YEAR(AP204)-YEAR(Z204))*12+(MONTH(AP204)-MONTH(Z204))+1),0))))</f>
      </c>
      <c r="AF204" s="25"/>
      <c r="AG204" s="22"/>
      <c r="AH204" s="22"/>
      <c r="AI204" s="23"/>
      <c r="AJ204" s="22"/>
      <c r="AK204" s="22"/>
      <c r="AL204" s="21">
        <f>IF($B204&lt;&gt;"Challan","",SUMIF($D$8:$D$207,D204,$AB$8:$AB$207)+SUMIF($D$8:$D$207,D204,$AE$8:$AE$207)+SUMIF($D$8:$D$207,D204,$AC$8:$AC$207))</f>
      </c>
      <c r="AM204" s="21">
        <f>IF($B204&lt;&gt;"Challan","",N204-L204)</f>
      </c>
      <c r="AN204" s="21">
        <f>IF($B204&lt;&gt;"Challan","",MAX(0,AM204-AL204))</f>
      </c>
      <c r="AO204" s="26">
        <f>IF($B204&lt;&gt;"Challan","",IF(ROUND(AL204-AM204,2)&gt;0,"Over-applied",IF(ROUND(AL204-AM204,2)=0,"Fully Utilised","Unconsumed")))</f>
      </c>
      <c r="AP204" s="27">
        <f>IF($B204&lt;&gt;"Entry","",SUMPRODUCT(($D$8:$D$207=D204)*($B$8:$B$207="Challan")*$E$8:$E$207))</f>
      </c>
    </row>
    <row r="205" spans="1:42" x14ac:dyDescent="0.25">
      <c r="A205" s="15">
        <f>IF($B205="Entry",COUNTIF($B$8:$B205,"Entry"),"")</f>
      </c>
      <c r="B205" s="16"/>
      <c r="C205" s="17"/>
      <c r="D205" s="17"/>
      <c r="E205" s="18"/>
      <c r="F205" s="19"/>
      <c r="G205" s="20"/>
      <c r="H205" s="20"/>
      <c r="I205" s="20"/>
      <c r="J205" s="20"/>
      <c r="K205" s="20"/>
      <c r="L205" s="20"/>
      <c r="M205" s="20"/>
      <c r="N205" s="21">
        <f>IF($B205&lt;&gt;"Challan","",G205+H205+I205+J205+K205+L205)</f>
      </c>
      <c r="O205" s="19"/>
      <c r="P205" s="19"/>
      <c r="Q205" s="19"/>
      <c r="R205" s="19"/>
      <c r="S205" s="19"/>
      <c r="T205" s="22"/>
      <c r="U205" s="22"/>
      <c r="V205" s="22"/>
      <c r="W205" s="22"/>
      <c r="X205" s="22"/>
      <c r="Y205" s="23"/>
      <c r="Z205" s="24"/>
      <c r="AA205" s="25"/>
      <c r="AB205" s="21">
        <f>IF($B205&lt;&gt;"Entry","",ROUND(AA205*Y205/100,0))</f>
      </c>
      <c r="AC205" s="25"/>
      <c r="AD205" s="25"/>
      <c r="AE205" s="21">
        <f>IF($B205&lt;&gt;"Entry","",IF(OR(AB205=0,Z205="",AP205="",AP205&lt;=0),0,IF(AP205&lt;=DATE(YEAR(Z205),MONTH(Z205)+1,7),0,ROUND(AB205*0.015*((YEAR(AP205)-YEAR(Z205))*12+(MONTH(AP205)-MONTH(Z205))+1),0))))</f>
      </c>
      <c r="AF205" s="25"/>
      <c r="AG205" s="22"/>
      <c r="AH205" s="22"/>
      <c r="AI205" s="23"/>
      <c r="AJ205" s="22"/>
      <c r="AK205" s="22"/>
      <c r="AL205" s="21">
        <f>IF($B205&lt;&gt;"Challan","",SUMIF($D$8:$D$207,D205,$AB$8:$AB$207)+SUMIF($D$8:$D$207,D205,$AE$8:$AE$207)+SUMIF($D$8:$D$207,D205,$AC$8:$AC$207))</f>
      </c>
      <c r="AM205" s="21">
        <f>IF($B205&lt;&gt;"Challan","",N205-L205)</f>
      </c>
      <c r="AN205" s="21">
        <f>IF($B205&lt;&gt;"Challan","",MAX(0,AM205-AL205))</f>
      </c>
      <c r="AO205" s="26">
        <f>IF($B205&lt;&gt;"Challan","",IF(ROUND(AL205-AM205,2)&gt;0,"Over-applied",IF(ROUND(AL205-AM205,2)=0,"Fully Utilised","Unconsumed")))</f>
      </c>
      <c r="AP205" s="27">
        <f>IF($B205&lt;&gt;"Entry","",SUMPRODUCT(($D$8:$D$207=D205)*($B$8:$B$207="Challan")*$E$8:$E$207))</f>
      </c>
    </row>
    <row r="206" spans="1:42" x14ac:dyDescent="0.25">
      <c r="A206" s="15">
        <f>IF($B206="Entry",COUNTIF($B$8:$B206,"Entry"),"")</f>
      </c>
      <c r="B206" s="16"/>
      <c r="C206" s="17"/>
      <c r="D206" s="17"/>
      <c r="E206" s="18"/>
      <c r="F206" s="19"/>
      <c r="G206" s="20"/>
      <c r="H206" s="20"/>
      <c r="I206" s="20"/>
      <c r="J206" s="20"/>
      <c r="K206" s="20"/>
      <c r="L206" s="20"/>
      <c r="M206" s="20"/>
      <c r="N206" s="21">
        <f>IF($B206&lt;&gt;"Challan","",G206+H206+I206+J206+K206+L206)</f>
      </c>
      <c r="O206" s="19"/>
      <c r="P206" s="19"/>
      <c r="Q206" s="19"/>
      <c r="R206" s="19"/>
      <c r="S206" s="19"/>
      <c r="T206" s="22"/>
      <c r="U206" s="22"/>
      <c r="V206" s="22"/>
      <c r="W206" s="22"/>
      <c r="X206" s="22"/>
      <c r="Y206" s="23"/>
      <c r="Z206" s="24"/>
      <c r="AA206" s="25"/>
      <c r="AB206" s="21">
        <f>IF($B206&lt;&gt;"Entry","",ROUND(AA206*Y206/100,0))</f>
      </c>
      <c r="AC206" s="25"/>
      <c r="AD206" s="25"/>
      <c r="AE206" s="21">
        <f>IF($B206&lt;&gt;"Entry","",IF(OR(AB206=0,Z206="",AP206="",AP206&lt;=0),0,IF(AP206&lt;=DATE(YEAR(Z206),MONTH(Z206)+1,7),0,ROUND(AB206*0.015*((YEAR(AP206)-YEAR(Z206))*12+(MONTH(AP206)-MONTH(Z206))+1),0))))</f>
      </c>
      <c r="AF206" s="25"/>
      <c r="AG206" s="22"/>
      <c r="AH206" s="22"/>
      <c r="AI206" s="23"/>
      <c r="AJ206" s="22"/>
      <c r="AK206" s="22"/>
      <c r="AL206" s="21">
        <f>IF($B206&lt;&gt;"Challan","",SUMIF($D$8:$D$207,D206,$AB$8:$AB$207)+SUMIF($D$8:$D$207,D206,$AE$8:$AE$207)+SUMIF($D$8:$D$207,D206,$AC$8:$AC$207))</f>
      </c>
      <c r="AM206" s="21">
        <f>IF($B206&lt;&gt;"Challan","",N206-L206)</f>
      </c>
      <c r="AN206" s="21">
        <f>IF($B206&lt;&gt;"Challan","",MAX(0,AM206-AL206))</f>
      </c>
      <c r="AO206" s="26">
        <f>IF($B206&lt;&gt;"Challan","",IF(ROUND(AL206-AM206,2)&gt;0,"Over-applied",IF(ROUND(AL206-AM206,2)=0,"Fully Utilised","Unconsumed")))</f>
      </c>
      <c r="AP206" s="27">
        <f>IF($B206&lt;&gt;"Entry","",SUMPRODUCT(($D$8:$D$207=D206)*($B$8:$B$207="Challan")*$E$8:$E$207))</f>
      </c>
    </row>
    <row r="207" spans="1:42" x14ac:dyDescent="0.25">
      <c r="A207" s="15">
        <f>IF($B207="Entry",COUNTIF($B$8:$B207,"Entry"),"")</f>
      </c>
      <c r="B207" s="16"/>
      <c r="C207" s="17"/>
      <c r="D207" s="17"/>
      <c r="E207" s="18"/>
      <c r="F207" s="19"/>
      <c r="G207" s="20"/>
      <c r="H207" s="20"/>
      <c r="I207" s="20"/>
      <c r="J207" s="20"/>
      <c r="K207" s="20"/>
      <c r="L207" s="20"/>
      <c r="M207" s="20"/>
      <c r="N207" s="21">
        <f>IF($B207&lt;&gt;"Challan","",G207+H207+I207+J207+K207+L207)</f>
      </c>
      <c r="O207" s="19"/>
      <c r="P207" s="19"/>
      <c r="Q207" s="19"/>
      <c r="R207" s="19"/>
      <c r="S207" s="19"/>
      <c r="T207" s="22"/>
      <c r="U207" s="22"/>
      <c r="V207" s="22"/>
      <c r="W207" s="22"/>
      <c r="X207" s="22"/>
      <c r="Y207" s="23"/>
      <c r="Z207" s="24"/>
      <c r="AA207" s="25"/>
      <c r="AB207" s="21">
        <f>IF($B207&lt;&gt;"Entry","",ROUND(AA207*Y207/100,0))</f>
      </c>
      <c r="AC207" s="25"/>
      <c r="AD207" s="25"/>
      <c r="AE207" s="21">
        <f>IF($B207&lt;&gt;"Entry","",IF(OR(AB207=0,Z207="",AP207="",AP207&lt;=0),0,IF(AP207&lt;=DATE(YEAR(Z207),MONTH(Z207)+1,7),0,ROUND(AB207*0.015*((YEAR(AP207)-YEAR(Z207))*12+(MONTH(AP207)-MONTH(Z207))+1),0))))</f>
      </c>
      <c r="AF207" s="25"/>
      <c r="AG207" s="22"/>
      <c r="AH207" s="22"/>
      <c r="AI207" s="23"/>
      <c r="AJ207" s="22"/>
      <c r="AK207" s="22"/>
      <c r="AL207" s="21">
        <f>IF($B207&lt;&gt;"Challan","",SUMIF($D$8:$D$207,D207,$AB$8:$AB$207)+SUMIF($D$8:$D$207,D207,$AE$8:$AE$207)+SUMIF($D$8:$D$207,D207,$AC$8:$AC$207))</f>
      </c>
      <c r="AM207" s="21">
        <f>IF($B207&lt;&gt;"Challan","",N207-L207)</f>
      </c>
      <c r="AN207" s="21">
        <f>IF($B207&lt;&gt;"Challan","",MAX(0,AM207-AL207))</f>
      </c>
      <c r="AO207" s="26">
        <f>IF($B207&lt;&gt;"Challan","",IF(ROUND(AL207-AM207,2)&gt;0,"Over-applied",IF(ROUND(AL207-AM207,2)=0,"Fully Utilised","Unconsumed")))</f>
      </c>
      <c r="AP207" s="27">
        <f>IF($B207&lt;&gt;"Entry","",SUMPRODUCT(($D$8:$D$207=D207)*($B$8:$B$207="Challan")*$E$8:$E$207))</f>
      </c>
    </row>
  </sheetData>
  <mergeCells count="2">
    <mergeCell ref="C1:AO1"/>
    <mergeCell ref="A2:AO2"/>
  </mergeCells>
  <conditionalFormatting sqref="A8:AO207">
    <cfRule type="expression" dxfId="0" priority="4">
      <formula>$B8="Challan"</formula>
    </cfRule>
  </conditionalFormatting>
  <conditionalFormatting sqref="AO8:AO207">
    <cfRule type="expression" dxfId="1" priority="1">
      <formula>AO8="Over-applied"</formula>
    </cfRule>
    <cfRule type="expression" dxfId="2" priority="2">
      <formula>AO8="Fully Utilised"</formula>
    </cfRule>
    <cfRule type="expression" dxfId="3" priority="3">
      <formula>AO8="Unconsumed"</formula>
    </cfRule>
  </conditionalFormatting>
  <dataValidations count="25">
    <dataValidation type="decimal" operator="greaterThanOrEqual" allowBlank="1" showErrorMessage="1" errorTitle="Invalid Amount" error="Must be a number of 0 or more." sqref="AA8:AA207">
      <formula1>0</formula1>
    </dataValidation>
    <dataValidation type="decimal" operator="greaterThanOrEqual" allowBlank="1" showErrorMessage="1" errorTitle="Invalid Amount" error="Must be a number of 0 or more." sqref="AC8:AC207">
      <formula1>0</formula1>
    </dataValidation>
    <dataValidation type="decimal" operator="greaterThanOrEqual" allowBlank="1" showErrorMessage="1" errorTitle="Invalid Amount" error="Must be a number of 0 or more." sqref="AD8:AD207">
      <formula1>0</formula1>
    </dataValidation>
    <dataValidation type="decimal" operator="greaterThanOrEqual" allowBlank="1" showErrorMessage="1" errorTitle="Invalid Amount" error="Must be a number of 0 or more." sqref="AF8:AF207">
      <formula1>0</formula1>
    </dataValidation>
    <dataValidation type="list" allowBlank="1" showErrorMessage="1" errorTitle="Invalid Reason Code" error="Pick a Reason Code from the dropdown (A/B/C/D/E/Y/Z)." sqref="AG8:AG207">
      <formula1>"A,B,C,D,E,Y,Z"</formula1>
    </dataValidation>
    <dataValidation type="decimal" allowBlank="1" showErrorMessage="1" errorTitle="Invalid Rate" error="Rate must be a number between 0 and 100." sqref="AI8:AI207">
      <formula1>0</formula1>
      <formula2>100</formula2>
    </dataValidation>
    <dataValidation type="list" showErrorMessage="1" errorTitle="Invalid Row Type" error="Pick either Challan or Entry from the dropdown." sqref="B8:B207">
      <formula1>"Challan,Entry"</formula1>
    </dataValidation>
    <dataValidation type="textLength" operator="equal" allowBlank="1" showErrorMessage="1" errorTitle="Invalid BSR Code" error="BSR Code must be exactly 7 characters." sqref="C8:C207">
      <formula1>7</formula1>
    </dataValidation>
    <dataValidation type="custom" allowBlank="1" showErrorMessage="1" errorTitle="Invalid Challan Serial No." error="On a Challan row, Challan Serial No. must be exactly 5 digits and unique within this workbook." sqref="D8:D207">
      <formula1>OR($B8&lt;&gt;"Challan",AND(LEN(D8)=5,COUNTIFS($B$8:$B$207,"Challan",$D$8:$D$207,D8)=1))</formula1>
    </dataValidation>
    <dataValidation type="date" allowBlank="1" showErrorMessage="1" errorTitle="Invalid Date" error="Enter a real date (use the date picker), between 01-Apr-2020 and 31-Mar-2030." sqref="E8:E207">
      <formula1>43922</formula1>
      <formula2>47573</formula2>
    </dataValidation>
    <dataValidation type="list" allowBlank="1" showErrorMessage="1" errorTitle="Invalid Minor Head" error="Pick 200 (TDS Payable) or 400 (Demand) from the dropdown." sqref="F8:F207">
      <formula1>"200,400"</formula1>
    </dataValidation>
    <dataValidation type="decimal" operator="greaterThanOrEqual" allowBlank="1" showErrorMessage="1" errorTitle="Invalid Amount" error="Must be a number of 0 or more." sqref="G8:G207">
      <formula1>0</formula1>
    </dataValidation>
    <dataValidation type="decimal" operator="greaterThanOrEqual" allowBlank="1" showErrorMessage="1" errorTitle="Invalid Amount" error="Must be a number of 0 or more." sqref="H8:H207">
      <formula1>0</formula1>
    </dataValidation>
    <dataValidation type="decimal" operator="greaterThanOrEqual" allowBlank="1" showErrorMessage="1" errorTitle="Invalid Amount" error="Must be a number of 0 or more." sqref="I8:I207">
      <formula1>0</formula1>
    </dataValidation>
    <dataValidation type="decimal" operator="greaterThanOrEqual" allowBlank="1" showErrorMessage="1" errorTitle="Invalid Amount" error="Must be a number of 0 or more." sqref="J8:J207">
      <formula1>0</formula1>
    </dataValidation>
    <dataValidation type="decimal" operator="greaterThanOrEqual" allowBlank="1" showErrorMessage="1" errorTitle="Invalid Amount" error="Must be a number of 0 or more." sqref="K8:K207">
      <formula1>0</formula1>
    </dataValidation>
    <dataValidation type="decimal" operator="greaterThanOrEqual" allowBlank="1" showErrorMessage="1" errorTitle="Invalid Amount" error="Must be a number of 0 or more." sqref="L8:L207">
      <formula1>0</formula1>
    </dataValidation>
    <dataValidation type="custom" allowBlank="1" showErrorMessage="1" errorTitle="Invalid Late Fees Used" error="Late Fees Used cannot be negative or exceed Late Fees u/s 234E." sqref="M8:M207">
      <formula1>AND(M8&gt;=0,M8&lt;=L8)</formula1>
    </dataValidation>
    <dataValidation type="list" allowBlank="1" showErrorMessage="1" errorTitle="Invalid value" error="Pick Y or N from the dropdown." sqref="P8:P207">
      <formula1>"Y,N"</formula1>
    </dataValidation>
    <dataValidation type="custom" allowBlank="1" showErrorMessage="1" errorTitle="Invalid PAN" error="PAN must be 5 letters + 4 digits + 1 letter, uppercase (e.g. AACCP6899F) — unless PAN Not Available is Y." sqref="U8:U207">
      <formula1>OR(V8="Y",AND(LEN(U8)=10,CODE(MID(U8,1,1))&gt;=65,CODE(MID(U8,1,1))&lt;=90,CODE(MID(U8,2,1))&gt;=65,CODE(MID(U8,2,1))&lt;=90,CODE(MID(U8,3,1))&gt;=65,CODE(MID(U8,3,1))&lt;=90,CODE(MID(U8,4,1))&gt;=65,CODE(MID(U8,4,1))&lt;=90,CODE(MID(U8,5,1))&gt;=65,CODE(MID(U8,5,1))&lt;=90,CODE(MID(U8,6,1))&gt;=48,CODE(MID(U8,6,1))&lt;=57,CODE(MID(U8,7,1))&gt;=48,CODE(MID(U8,7,1))&lt;=57,CODE(MID(U8,8,1))&gt;=48,CODE(MID(U8,8,1))&lt;=57,CODE(MID(U8,9,1))&gt;=48,CODE(MID(U8,9,1))&lt;=57,CODE(MID(U8,10,1))&gt;=65,CODE(MID(U8,10,1))&lt;=90))</formula1>
    </dataValidation>
    <dataValidation type="list" allowBlank="1" showErrorMessage="1" errorTitle="Invalid value" error="Pick Y or N from the dropdown." sqref="V8:V207">
      <formula1>"Y,N"</formula1>
    </dataValidation>
    <dataValidation type="list" allowBlank="1" showErrorMessage="1" errorTitle="Invalid Deductee Type" error="Pick a Deductee Type from the dropdown." sqref="W8:W207">
      <formula1>"Individual,HUF,Company,Firm,LLP,Trust,AOP"</formula1>
    </dataValidation>
    <dataValidation type="list" allowBlank="1" showErrorMessage="1" errorTitle="Invalid Section" error="Pick a section from the dropdown list." sqref="X8:X207">
      <formula1>"192,192A,193,194,194A,194B,194BB,194C,194D,194DA,194G,194H,194I(a),194I(b),194IA,194IB,194IC,194J(a),194J(b),194K,194LA,194LB,194M,194O,194Q,194R,194S,195,196A,196D,206C(1),206C(1H)"</formula1>
    </dataValidation>
    <dataValidation type="decimal" allowBlank="1" showErrorMessage="1" errorTitle="Invalid Rate" error="Rate must be a number between 0 and 100 (e.g. enter 10 for 10%, not 0.10)." sqref="Y8:Y207">
      <formula1>0</formula1>
      <formula2>100</formula2>
    </dataValidation>
    <dataValidation type="date" allowBlank="1" showErrorMessage="1" errorTitle="Invalid Date" error="Enter a real date (use the date picker), between 01-Apr-2020 and 31-Mar-2030." sqref="Z8:Z207">
      <formula1>43922</formula1>
      <formula2>47573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ignoredErrors>
    <ignoredError sqref="C4:C207" numberStoredAsText="1"/>
    <ignoredError sqref="D4:D207" numberStoredAsText="1"/>
    <ignoredError sqref="F4:F20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TDS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CAFlow</dc:creator>
  <dc:title/>
  <dc:subject/>
  <dc:description/>
  <cp:keywords/>
  <cp:category/>
  <cp:lastModifiedBy>Unknown</cp:lastModifiedBy>
  <dcterms:created xsi:type="dcterms:W3CDTF">2026-07-29T00:00:00Z</dcterms:created>
  <dcterms:modified xsi:type="dcterms:W3CDTF">2026-07-29T08:17:30Z</dcterms:modified>
</cp:coreProperties>
</file>