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Mode="auto" calcId="171027" fullCalcOnLoad="1"/>
</workbook>
</file>

<file path=xl/sharedStrings.xml><?xml version="1.0" encoding="utf-8"?>
<sst xmlns="http://schemas.openxmlformats.org/spreadsheetml/2006/main" count="177" uniqueCount="161">
  <si>
    <t>TDS Data Entry — Client Template</t>
  </si>
  <si>
    <t>A single sheet mirroring the software's own Data Entry screen as closely as a static workbook can.</t>
  </si>
  <si>
    <t>How This Template Works</t>
  </si>
  <si>
    <t>•  This workbook has TWO sheets: this Instructions sheet, and "TDS Data" — the only sheet you fill in.</t>
  </si>
  <si>
    <t>•  A challan is identified the SAME way the software identifies it — by BSR Code + Challan Serial No. There is no separate "Challan ID" to invent.</t>
  </si>
  <si>
    <t>•  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</si>
  <si>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  One challan can have MANY entries. "Applied", "Allocatable", "Balance" and "Status" (green columns, Challan rows only) update live as you add entries — mirrors the software's own utilisation tracking. Status sits right after Challan Serial No. so you can see at a glance whether a challan is Over-applied, Fully Utilised, or still has room — and an Over-applied challan's ENTIRE row is highlighted red, not just the Status cell.</t>
  </si>
  <si>
    <t>•  Row 2 is a live Validation Summary banner — it recalculates automatically on every keystroke and shows "✅ Validation Successful" (green) when no challan is over-applied, or "❌ VALIDATION FAILED" (red) with a count when one or more challans are. A plain Excel file (no macros) can't have a clickable "Validate" button with a pop-up message — this is the equivalent that can never go stale, needs no "Enable Macros" security prompt, and works the same in Google Sheets/LibreOffice too. If you specifically want a literal button instead, that needs a macro-enabled (.xlsm) version — ask and it can be built, with the trade-off that macros are blocked by many firms' security policies by default.</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</si>
  <si>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</si>
  <si>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</si>
  <si>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</si>
  <si>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</si>
  <si>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</si>
  <si>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  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</si>
  <si>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</si>
  <si>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  Do not rename the sheet tab, insert/delete columns, or change the header row (row 3)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</si>
  <si>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</si>
  <si>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What This Template CANNOT Do (please read)</t>
  </si>
  <si>
    <t>•  Multi-quarter carry-forward: in the software, an unused challan balance is automatically rediscovered in a LATER quarter by querying the live database. A static Excel file can't do that — "Applied"/"Balance" here only sees entries typed into THIS workbook.</t>
  </si>
  <si>
    <t>•  Global Challan Number uniqueness: the software checks a new Challan Number against every challan for every client and firm, live. This workbook can only check for duplicates WITHIN itself.</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</si>
  <si>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</si>
  <si>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</si>
  <si>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</si>
  <si>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</si>
  <si>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t>
    </r>
  </si>
  <si>
    <r>
      <rPr>
        <b/>
        <sz val="10"/>
        <rFont val="Arial"/>
      </rPr>
      <t xml:space="preserve">Status (auto): </t>
    </r>
    <r>
      <rPr>
        <sz val="10"/>
        <rFont val="Arial"/>
      </rPr>
      <t>Calculates automatically — Over-applied, Fully Utilised, or Unconsumed, based on Applied vs Allocatable. Do not edit. An Over-applied challan's entire row is shaded red as a heads-up.</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</si>
  <si>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</si>
  <si>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</si>
  <si>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that Entry's Section cell is highlighted amber.</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</si>
  <si>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</si>
  <si>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</si>
  <si>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</si>
  <si>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</si>
  <si>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</si>
  <si>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</si>
  <si>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</si>
  <si>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</si>
  <si>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</si>
  <si>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</si>
  <si>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</si>
  <si>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</si>
  <si>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</si>
  <si>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</si>
  <si>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above — this is how the entry links to its challan.</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</si>
  <si>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</si>
  <si>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</si>
  <si>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</si>
  <si>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</si>
  <si>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</si>
  <si>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</si>
  <si>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</si>
  <si>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</si>
  <si>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</si>
  <si>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</si>
  <si>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</si>
  <si>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</si>
  <si>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</si>
  <si>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</si>
  <si>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</si>
  <si>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</si>
  <si>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</si>
  <si>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</si>
  <si>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</si>
  <si>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t>
    </r>
    <r>
      <rPr>
        <sz val="10"/>
        <rFont val="Arial"/>
      </rPr>
      <t>Sum of TDS + Interest + Surcharge across every Entry row linked to this challan (within this workbook).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</si>
  <si>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</si>
  <si>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t>
    </r>
    <r>
      <rPr>
        <sz val="10"/>
        <rFont val="Arial"/>
      </rPr>
      <t>MAX(0, Allocatable − Applied) — how much of this challan is still unconsumed. Do not edit.</t>
    </r>
  </si>
  <si>
    <t>192</t>
  </si>
  <si>
    <t>192A</t>
  </si>
  <si>
    <t>193</t>
  </si>
  <si>
    <t>194</t>
  </si>
  <si>
    <t>194A</t>
  </si>
  <si>
    <t>194B</t>
  </si>
  <si>
    <t>194BB</t>
  </si>
  <si>
    <t>194C</t>
  </si>
  <si>
    <t>194D</t>
  </si>
  <si>
    <t>194DA</t>
  </si>
  <si>
    <t>194G</t>
  </si>
  <si>
    <t>194H</t>
  </si>
  <si>
    <t>194I(a)</t>
  </si>
  <si>
    <t>194I(b)</t>
  </si>
  <si>
    <t>194IA</t>
  </si>
  <si>
    <t>194IB</t>
  </si>
  <si>
    <t>194IC</t>
  </si>
  <si>
    <t>194J(a)</t>
  </si>
  <si>
    <t>194J(b)</t>
  </si>
  <si>
    <t>194K</t>
  </si>
  <si>
    <t>194LA</t>
  </si>
  <si>
    <t>194LB</t>
  </si>
  <si>
    <t>194M</t>
  </si>
  <si>
    <t>194O</t>
  </si>
  <si>
    <t>194Q</t>
  </si>
  <si>
    <t>194R</t>
  </si>
  <si>
    <t>194S</t>
  </si>
  <si>
    <t>195</t>
  </si>
  <si>
    <t>196A</t>
  </si>
  <si>
    <t>196D</t>
  </si>
  <si>
    <t>206C(1)</t>
  </si>
  <si>
    <t>206C(1H)</t>
  </si>
  <si>
    <t>TDS DATA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</si>
  <si>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</si>
  <si>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</si>
  <si>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</si>
  <si>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</si>
  <si>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</si>
  <si>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</si>
  <si>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</si>
  <si>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</si>
  <si>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</si>
  <si>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</si>
  <si>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</si>
  <si>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</si>
  <si>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</si>
  <si>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</si>
  <si>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</si>
  <si>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</si>
  <si>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</si>
  <si>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</si>
  <si>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</si>
  <si>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</si>
  <si>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</si>
  <si>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</si>
  <si>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</si>
  <si>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</si>
  <si>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</si>
  <si>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</si>
  <si>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</si>
  <si>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</si>
  <si>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</si>
  <si>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</si>
  <si>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</si>
  <si>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</si>
  <si>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</si>
  <si>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</si>
  <si>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</si>
  <si>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</si>
  <si>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</si>
  <si>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</si>
  <si>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</si>
  <si>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t>
  </si>
  <si>
    <t>Allocatable (₹)</t>
  </si>
  <si>
    <t>Balance (₹)</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</si>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</sst>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9">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2"/>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35" customHeight="1" spans="1:1" x14ac:dyDescent="0.25">
      <c r="A6" s="4" t="s">
        <v>3</v>
      </c>
    </row>
    <row r="7" ht="35" customHeight="1" spans="1:1" x14ac:dyDescent="0.25">
      <c r="A7" s="4" t="s">
        <v>4</v>
      </c>
    </row>
    <row r="8" ht="65" customHeight="1" spans="1:1" x14ac:dyDescent="0.25">
      <c r="A8" s="4" t="s">
        <v>5</v>
      </c>
    </row>
    <row r="9" ht="80" customHeight="1" spans="1:1" x14ac:dyDescent="0.25">
      <c r="A9" s="4" t="s">
        <v>6</v>
      </c>
    </row>
    <row r="10" ht="125" customHeight="1" spans="1:1" x14ac:dyDescent="0.25">
      <c r="A10" s="4" t="s">
        <v>7</v>
      </c>
    </row>
    <row r="11" ht="95" customHeight="1" spans="1:1" x14ac:dyDescent="0.25">
      <c r="A11" s="4" t="s">
        <v>8</v>
      </c>
    </row>
    <row r="12" ht="50" customHeight="1" spans="1:1" x14ac:dyDescent="0.25">
      <c r="A12" s="4" t="s">
        <v>9</v>
      </c>
    </row>
    <row r="13" ht="80" customHeight="1" spans="1:1" x14ac:dyDescent="0.25">
      <c r="A13" s="4" t="s">
        <v>10</v>
      </c>
    </row>
    <row r="14" ht="50" customHeight="1" spans="1:1" x14ac:dyDescent="0.25">
      <c r="A14" s="4" t="s">
        <v>11</v>
      </c>
    </row>
    <row r="15" ht="65" customHeight="1" spans="1:1" x14ac:dyDescent="0.25">
      <c r="A15" s="4" t="s">
        <v>12</v>
      </c>
    </row>
    <row r="16" ht="65" customHeight="1" spans="1:1" x14ac:dyDescent="0.25">
      <c r="A16" s="4" t="s">
        <v>13</v>
      </c>
    </row>
    <row r="17" ht="95" customHeight="1" spans="1:1" x14ac:dyDescent="0.25">
      <c r="A17" s="4" t="s">
        <v>14</v>
      </c>
    </row>
    <row r="18" ht="35" customHeight="1" spans="1:1" x14ac:dyDescent="0.25">
      <c r="A18" s="4" t="s">
        <v>15</v>
      </c>
    </row>
    <row r="19" ht="65" customHeight="1" spans="1:1" x14ac:dyDescent="0.25">
      <c r="A19" s="4" t="s">
        <v>16</v>
      </c>
    </row>
    <row r="21" spans="1:1" x14ac:dyDescent="0.25">
      <c r="A21" s="3" t="s">
        <v>17</v>
      </c>
    </row>
    <row r="22" ht="50" customHeight="1" spans="1:1" x14ac:dyDescent="0.25">
      <c r="A22" s="4" t="s">
        <v>18</v>
      </c>
    </row>
    <row r="23" ht="35" customHeight="1" spans="1:1" x14ac:dyDescent="0.25">
      <c r="A23" s="4" t="s">
        <v>19</v>
      </c>
    </row>
    <row r="24" ht="50" customHeight="1" spans="1:1" x14ac:dyDescent="0.25">
      <c r="A24" s="4" t="s">
        <v>20</v>
      </c>
    </row>
    <row r="25" ht="65" customHeight="1" spans="1:1" x14ac:dyDescent="0.25">
      <c r="A25" s="4" t="s">
        <v>21</v>
      </c>
    </row>
    <row r="27" spans="1:1" x14ac:dyDescent="0.25">
      <c r="A27" s="3" t="s">
        <v>22</v>
      </c>
    </row>
    <row r="28" ht="20" customHeight="1" spans="1:1" x14ac:dyDescent="0.25">
      <c r="A28" s="5" t="s">
        <v>23</v>
      </c>
    </row>
    <row r="29" ht="35" customHeight="1" spans="1:1" x14ac:dyDescent="0.25">
      <c r="A29" s="5" t="s">
        <v>24</v>
      </c>
    </row>
    <row r="30" ht="50" customHeight="1" spans="1:1" x14ac:dyDescent="0.25">
      <c r="A30" s="5" t="s">
        <v>25</v>
      </c>
    </row>
    <row r="31" ht="20" customHeight="1" spans="1:1" x14ac:dyDescent="0.25">
      <c r="A31" s="5" t="s">
        <v>26</v>
      </c>
    </row>
    <row r="32" ht="20" customHeight="1" spans="1:1" x14ac:dyDescent="0.25">
      <c r="A32" s="5" t="s">
        <v>27</v>
      </c>
    </row>
    <row r="33" ht="35" customHeight="1" spans="1:1" x14ac:dyDescent="0.25">
      <c r="A33" s="5" t="s">
        <v>28</v>
      </c>
    </row>
    <row r="34" ht="20" customHeight="1" spans="1:1" x14ac:dyDescent="0.25">
      <c r="A34" s="5" t="s">
        <v>29</v>
      </c>
    </row>
    <row r="35" ht="20" customHeight="1" spans="1:1" x14ac:dyDescent="0.25">
      <c r="A35" s="5" t="s">
        <v>30</v>
      </c>
    </row>
    <row r="36" ht="20" customHeight="1" spans="1:1" x14ac:dyDescent="0.25">
      <c r="A36" s="5" t="s">
        <v>31</v>
      </c>
    </row>
    <row r="37" ht="20" customHeight="1" spans="1:1" x14ac:dyDescent="0.25">
      <c r="A37" s="5" t="s">
        <v>32</v>
      </c>
    </row>
    <row r="38" ht="20" customHeight="1" spans="1:1" x14ac:dyDescent="0.25">
      <c r="A38" s="5" t="s">
        <v>33</v>
      </c>
    </row>
    <row r="39" ht="35" customHeight="1" spans="1:1" x14ac:dyDescent="0.25">
      <c r="A39" s="5" t="s">
        <v>34</v>
      </c>
    </row>
    <row r="40" ht="35" customHeight="1" spans="1:1" x14ac:dyDescent="0.25">
      <c r="A40" s="5" t="s">
        <v>35</v>
      </c>
    </row>
    <row r="41" ht="35" customHeight="1" spans="1:1" x14ac:dyDescent="0.25">
      <c r="A41" s="5" t="s">
        <v>36</v>
      </c>
    </row>
    <row r="42" ht="20" customHeight="1" spans="1:1" x14ac:dyDescent="0.25">
      <c r="A42" s="5" t="s">
        <v>37</v>
      </c>
    </row>
    <row r="43" ht="20" customHeight="1" spans="1:1" x14ac:dyDescent="0.25">
      <c r="A43" s="5" t="s">
        <v>38</v>
      </c>
    </row>
    <row r="44" ht="20" customHeight="1" spans="1:1" x14ac:dyDescent="0.25">
      <c r="A44" s="5" t="s">
        <v>39</v>
      </c>
    </row>
    <row r="45" ht="50" customHeight="1" spans="1:1" x14ac:dyDescent="0.25">
      <c r="A45" s="5" t="s">
        <v>40</v>
      </c>
    </row>
    <row r="46" ht="20" customHeight="1" spans="1:1" x14ac:dyDescent="0.25">
      <c r="A46" s="5" t="s">
        <v>41</v>
      </c>
    </row>
    <row r="48" spans="1:1" x14ac:dyDescent="0.25">
      <c r="A48" s="3" t="s">
        <v>42</v>
      </c>
    </row>
    <row r="49" ht="35" customHeight="1" spans="1:1" x14ac:dyDescent="0.25">
      <c r="A49" s="5" t="s">
        <v>43</v>
      </c>
    </row>
    <row r="50" ht="20" customHeight="1" spans="1:1" x14ac:dyDescent="0.25">
      <c r="A50" s="5" t="s">
        <v>44</v>
      </c>
    </row>
    <row r="51" ht="65" customHeight="1" spans="1:1" x14ac:dyDescent="0.25">
      <c r="A51" s="5" t="s">
        <v>45</v>
      </c>
    </row>
    <row r="52" ht="50" customHeight="1" spans="1:1" x14ac:dyDescent="0.25">
      <c r="A52" s="5" t="s">
        <v>46</v>
      </c>
    </row>
    <row r="53" ht="35" customHeight="1" spans="1:1" x14ac:dyDescent="0.25">
      <c r="A53" s="5" t="s">
        <v>47</v>
      </c>
    </row>
    <row r="54" ht="35" customHeight="1" spans="1:1" x14ac:dyDescent="0.25">
      <c r="A54" s="5" t="s">
        <v>48</v>
      </c>
    </row>
    <row r="55" ht="50" customHeight="1" spans="1:1" x14ac:dyDescent="0.25">
      <c r="A55" s="5" t="s">
        <v>49</v>
      </c>
    </row>
    <row r="56" ht="20" customHeight="1" spans="1:1" x14ac:dyDescent="0.25">
      <c r="A56" s="5" t="s">
        <v>50</v>
      </c>
    </row>
    <row r="57" ht="20" customHeight="1" spans="1:1" x14ac:dyDescent="0.25">
      <c r="A57" s="5" t="s">
        <v>51</v>
      </c>
    </row>
    <row r="58" ht="20" customHeight="1" spans="1:1" x14ac:dyDescent="0.25">
      <c r="A58" s="5" t="s">
        <v>52</v>
      </c>
    </row>
    <row r="59" ht="20" customHeight="1" spans="1:1" x14ac:dyDescent="0.25">
      <c r="A59" s="5" t="s">
        <v>53</v>
      </c>
    </row>
    <row r="60" ht="20" customHeight="1" spans="1:1" x14ac:dyDescent="0.25">
      <c r="A60" s="5" t="s">
        <v>54</v>
      </c>
    </row>
    <row r="61" ht="35" customHeight="1" spans="1:1" x14ac:dyDescent="0.25">
      <c r="A61" s="5" t="s">
        <v>55</v>
      </c>
    </row>
    <row r="62" ht="20" customHeight="1" spans="1:1" x14ac:dyDescent="0.25">
      <c r="A62" s="5" t="s">
        <v>56</v>
      </c>
    </row>
    <row r="63" ht="35" customHeight="1" spans="1:1" x14ac:dyDescent="0.25">
      <c r="A63" s="5" t="s">
        <v>57</v>
      </c>
    </row>
    <row r="64" ht="20" customHeight="1" spans="1:1" x14ac:dyDescent="0.25">
      <c r="A64" s="5" t="s">
        <v>58</v>
      </c>
    </row>
    <row r="65" ht="20" customHeight="1" spans="1:1" x14ac:dyDescent="0.25">
      <c r="A65" s="5" t="s">
        <v>59</v>
      </c>
    </row>
    <row r="66" ht="20" customHeight="1" spans="1:1" x14ac:dyDescent="0.25">
      <c r="A66" s="5" t="s">
        <v>60</v>
      </c>
    </row>
    <row r="67" ht="20" customHeight="1" spans="1:1" x14ac:dyDescent="0.25">
      <c r="A67" s="5" t="s">
        <v>61</v>
      </c>
    </row>
    <row r="69" spans="1:1" x14ac:dyDescent="0.25">
      <c r="A69" s="3" t="s">
        <v>62</v>
      </c>
    </row>
    <row r="70" ht="35" customHeight="1" spans="1:1" x14ac:dyDescent="0.25">
      <c r="A70" s="5" t="s">
        <v>63</v>
      </c>
    </row>
    <row r="71" ht="35" customHeight="1" spans="1:1" x14ac:dyDescent="0.25">
      <c r="A71" s="5" t="s">
        <v>64</v>
      </c>
    </row>
    <row r="72" ht="20" customHeight="1" spans="1:1" x14ac:dyDescent="0.25">
      <c r="A72" s="5" t="s">
        <v>65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2"/>
  <sheetFormatPr defaultRowHeight="15" outlineLevelRow="0" outlineLevelCol="0" x14ac:dyDescent="55"/>
  <sheetData>
    <row r="1" spans="1:4" x14ac:dyDescent="0.25">
      <c r="A1" t="s">
        <v>66</v>
      </c>
      <c r="B1">
        <v>0</v>
      </c>
      <c r="C1">
        <v>0</v>
      </c>
      <c r="D1">
        <v>20</v>
      </c>
    </row>
    <row r="2" spans="1:4" x14ac:dyDescent="0.25">
      <c r="A2" t="s">
        <v>67</v>
      </c>
      <c r="B2">
        <v>10</v>
      </c>
      <c r="C2">
        <v>10</v>
      </c>
      <c r="D2">
        <v>20</v>
      </c>
    </row>
    <row r="3" spans="1:4" x14ac:dyDescent="0.25">
      <c r="A3" t="s">
        <v>68</v>
      </c>
      <c r="B3">
        <v>10</v>
      </c>
      <c r="C3">
        <v>10</v>
      </c>
      <c r="D3">
        <v>20</v>
      </c>
    </row>
    <row r="4" spans="1:4" x14ac:dyDescent="0.25">
      <c r="A4" t="s">
        <v>69</v>
      </c>
      <c r="B4">
        <v>10</v>
      </c>
      <c r="C4">
        <v>10</v>
      </c>
      <c r="D4">
        <v>20</v>
      </c>
    </row>
    <row r="5" spans="1:4" x14ac:dyDescent="0.25">
      <c r="A5" t="s">
        <v>70</v>
      </c>
      <c r="B5">
        <v>10</v>
      </c>
      <c r="C5">
        <v>10</v>
      </c>
      <c r="D5">
        <v>20</v>
      </c>
    </row>
    <row r="6" spans="1:4" x14ac:dyDescent="0.25">
      <c r="A6" t="s">
        <v>71</v>
      </c>
      <c r="B6">
        <v>30</v>
      </c>
      <c r="C6">
        <v>30</v>
      </c>
      <c r="D6">
        <v>30</v>
      </c>
    </row>
    <row r="7" spans="1:4" x14ac:dyDescent="0.25">
      <c r="A7" t="s">
        <v>72</v>
      </c>
      <c r="B7">
        <v>30</v>
      </c>
      <c r="C7">
        <v>30</v>
      </c>
      <c r="D7">
        <v>30</v>
      </c>
    </row>
    <row r="8" spans="1:4" x14ac:dyDescent="0.25">
      <c r="A8" t="s">
        <v>73</v>
      </c>
      <c r="B8">
        <v>1</v>
      </c>
      <c r="C8">
        <v>2</v>
      </c>
      <c r="D8">
        <v>20</v>
      </c>
    </row>
    <row r="9" spans="1:4" x14ac:dyDescent="0.25">
      <c r="A9" t="s">
        <v>74</v>
      </c>
      <c r="B9">
        <v>2</v>
      </c>
      <c r="C9">
        <v>10</v>
      </c>
      <c r="D9">
        <v>20</v>
      </c>
    </row>
    <row r="10" spans="1:4" x14ac:dyDescent="0.25">
      <c r="A10" t="s">
        <v>75</v>
      </c>
      <c r="B10">
        <v>2</v>
      </c>
      <c r="C10">
        <v>2</v>
      </c>
      <c r="D10">
        <v>20</v>
      </c>
    </row>
    <row r="11" spans="1:4" x14ac:dyDescent="0.25">
      <c r="A11" t="s">
        <v>76</v>
      </c>
      <c r="B11">
        <v>2</v>
      </c>
      <c r="C11">
        <v>2</v>
      </c>
      <c r="D11">
        <v>20</v>
      </c>
    </row>
    <row r="12" spans="1:4" x14ac:dyDescent="0.25">
      <c r="A12" t="s">
        <v>77</v>
      </c>
      <c r="B12">
        <v>2</v>
      </c>
      <c r="C12">
        <v>2</v>
      </c>
      <c r="D12">
        <v>20</v>
      </c>
    </row>
    <row r="13" spans="1:4" x14ac:dyDescent="0.25">
      <c r="A13" t="s">
        <v>78</v>
      </c>
      <c r="B13">
        <v>2</v>
      </c>
      <c r="C13">
        <v>2</v>
      </c>
      <c r="D13">
        <v>20</v>
      </c>
    </row>
    <row r="14" spans="1:4" x14ac:dyDescent="0.25">
      <c r="A14" t="s">
        <v>79</v>
      </c>
      <c r="B14">
        <v>10</v>
      </c>
      <c r="C14">
        <v>10</v>
      </c>
      <c r="D14">
        <v>20</v>
      </c>
    </row>
    <row r="15" spans="1:4" x14ac:dyDescent="0.25">
      <c r="A15" t="s">
        <v>80</v>
      </c>
      <c r="B15">
        <v>1</v>
      </c>
      <c r="C15">
        <v>1</v>
      </c>
      <c r="D15">
        <v>20</v>
      </c>
    </row>
    <row r="16" spans="1:4" x14ac:dyDescent="0.25">
      <c r="A16" t="s">
        <v>81</v>
      </c>
      <c r="B16">
        <v>2</v>
      </c>
      <c r="C16">
        <v>0</v>
      </c>
      <c r="D16">
        <v>20</v>
      </c>
    </row>
    <row r="17" spans="1:4" x14ac:dyDescent="0.25">
      <c r="A17" t="s">
        <v>82</v>
      </c>
      <c r="B17">
        <v>10</v>
      </c>
      <c r="C17">
        <v>10</v>
      </c>
      <c r="D17">
        <v>20</v>
      </c>
    </row>
    <row r="18" spans="1:4" x14ac:dyDescent="0.25">
      <c r="A18" t="s">
        <v>83</v>
      </c>
      <c r="B18">
        <v>10</v>
      </c>
      <c r="C18">
        <v>10</v>
      </c>
      <c r="D18">
        <v>20</v>
      </c>
    </row>
    <row r="19" spans="1:4" x14ac:dyDescent="0.25">
      <c r="A19" t="s">
        <v>84</v>
      </c>
      <c r="B19">
        <v>2</v>
      </c>
      <c r="C19">
        <v>2</v>
      </c>
      <c r="D19">
        <v>20</v>
      </c>
    </row>
    <row r="20" spans="1:4" x14ac:dyDescent="0.25">
      <c r="A20" t="s">
        <v>85</v>
      </c>
      <c r="B20">
        <v>10</v>
      </c>
      <c r="C20">
        <v>10</v>
      </c>
      <c r="D20">
        <v>20</v>
      </c>
    </row>
    <row r="21" spans="1:4" x14ac:dyDescent="0.25">
      <c r="A21" t="s">
        <v>86</v>
      </c>
      <c r="B21">
        <v>10</v>
      </c>
      <c r="C21">
        <v>10</v>
      </c>
      <c r="D21">
        <v>20</v>
      </c>
    </row>
    <row r="22" spans="1:4" x14ac:dyDescent="0.25">
      <c r="A22" t="s">
        <v>87</v>
      </c>
      <c r="B22">
        <v>5</v>
      </c>
      <c r="C22">
        <v>5</v>
      </c>
      <c r="D22">
        <v>20</v>
      </c>
    </row>
    <row r="23" spans="1:4" x14ac:dyDescent="0.25">
      <c r="A23" t="s">
        <v>88</v>
      </c>
      <c r="B23">
        <v>2</v>
      </c>
      <c r="C23">
        <v>0</v>
      </c>
      <c r="D23">
        <v>20</v>
      </c>
    </row>
    <row r="24" spans="1:4" x14ac:dyDescent="0.25">
      <c r="A24" t="s">
        <v>89</v>
      </c>
      <c r="B24">
        <v>1</v>
      </c>
      <c r="C24">
        <v>1</v>
      </c>
      <c r="D24">
        <v>20</v>
      </c>
    </row>
    <row r="25" spans="1:4" x14ac:dyDescent="0.25">
      <c r="A25" t="s">
        <v>90</v>
      </c>
      <c r="B25">
        <v>0.1</v>
      </c>
      <c r="C25">
        <v>0.1</v>
      </c>
      <c r="D25">
        <v>5</v>
      </c>
    </row>
    <row r="26" spans="1:4" x14ac:dyDescent="0.25">
      <c r="A26" t="s">
        <v>91</v>
      </c>
      <c r="B26">
        <v>10</v>
      </c>
      <c r="C26">
        <v>10</v>
      </c>
      <c r="D26">
        <v>20</v>
      </c>
    </row>
    <row r="27" spans="1:4" x14ac:dyDescent="0.25">
      <c r="A27" t="s">
        <v>92</v>
      </c>
      <c r="B27">
        <v>1</v>
      </c>
      <c r="C27">
        <v>1</v>
      </c>
      <c r="D27">
        <v>20</v>
      </c>
    </row>
    <row r="28" spans="1:4" x14ac:dyDescent="0.25">
      <c r="A28" t="s">
        <v>93</v>
      </c>
      <c r="B28">
        <v>0</v>
      </c>
      <c r="C28">
        <v>0</v>
      </c>
      <c r="D28">
        <v>20</v>
      </c>
    </row>
    <row r="29" spans="1:4" x14ac:dyDescent="0.25">
      <c r="A29" t="s">
        <v>94</v>
      </c>
      <c r="B29">
        <v>10</v>
      </c>
      <c r="C29">
        <v>10</v>
      </c>
      <c r="D29">
        <v>20</v>
      </c>
    </row>
    <row r="30" spans="1:4" x14ac:dyDescent="0.25">
      <c r="A30" t="s">
        <v>95</v>
      </c>
      <c r="B30">
        <v>20</v>
      </c>
      <c r="C30">
        <v>20</v>
      </c>
      <c r="D30">
        <v>20</v>
      </c>
    </row>
    <row r="31" spans="1:4" x14ac:dyDescent="0.25">
      <c r="A31" t="s">
        <v>96</v>
      </c>
      <c r="B31">
        <v>1</v>
      </c>
      <c r="C31">
        <v>1</v>
      </c>
      <c r="D31">
        <v>5</v>
      </c>
    </row>
    <row r="32" spans="1:4" x14ac:dyDescent="0.25">
      <c r="A32" t="s">
        <v>97</v>
      </c>
      <c r="B32">
        <v>0.1</v>
      </c>
      <c r="C32">
        <v>0.1</v>
      </c>
      <c r="D32">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20" width="12" customWidth="1"/>
    <col min="21" max="21" width="18" customWidth="1"/>
    <col min="22" max="22" width="26" customWidth="1"/>
    <col min="23" max="38" width="12" customWidth="1"/>
    <col min="39" max="39" width="18" customWidth="1"/>
    <col min="40" max="42" width="12" customWidth="1"/>
    <col min="43" max="44" width="12" hidden="1" customWidth="1"/>
  </cols>
  <sheetData>
    <row r="1" ht="22" customHeight="1" spans="1:42" x14ac:dyDescent="0.25">
      <c r="A1" s="6" t="s">
        <v>98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99</v>
      </c>
      <c r="B3" s="8" t="s">
        <v>100</v>
      </c>
      <c r="C3" s="8" t="s">
        <v>101</v>
      </c>
      <c r="D3" s="8" t="s">
        <v>102</v>
      </c>
      <c r="E3" s="8" t="s">
        <v>103</v>
      </c>
      <c r="F3" s="8" t="s">
        <v>104</v>
      </c>
      <c r="G3" s="8" t="s">
        <v>105</v>
      </c>
      <c r="H3" s="8" t="s">
        <v>106</v>
      </c>
      <c r="I3" s="8" t="s">
        <v>107</v>
      </c>
      <c r="J3" s="8" t="s">
        <v>108</v>
      </c>
      <c r="K3" s="8" t="s">
        <v>109</v>
      </c>
      <c r="L3" s="8" t="s">
        <v>110</v>
      </c>
      <c r="M3" s="8" t="s">
        <v>111</v>
      </c>
      <c r="N3" s="8" t="s">
        <v>112</v>
      </c>
      <c r="O3" s="8" t="s">
        <v>113</v>
      </c>
      <c r="P3" s="8" t="s">
        <v>114</v>
      </c>
      <c r="Q3" s="8" t="s">
        <v>115</v>
      </c>
      <c r="R3" s="8" t="s">
        <v>116</v>
      </c>
      <c r="S3" s="8" t="s">
        <v>117</v>
      </c>
      <c r="T3" s="8" t="s">
        <v>118</v>
      </c>
      <c r="U3" s="8" t="s">
        <v>119</v>
      </c>
      <c r="V3" s="8" t="s">
        <v>120</v>
      </c>
      <c r="W3" s="8" t="s">
        <v>121</v>
      </c>
      <c r="X3" s="8" t="s">
        <v>122</v>
      </c>
      <c r="Y3" s="8" t="s">
        <v>123</v>
      </c>
      <c r="Z3" s="8" t="s">
        <v>124</v>
      </c>
      <c r="AA3" s="8" t="s">
        <v>125</v>
      </c>
      <c r="AB3" s="8" t="s">
        <v>126</v>
      </c>
      <c r="AC3" s="8" t="s">
        <v>127</v>
      </c>
      <c r="AD3" s="8" t="s">
        <v>128</v>
      </c>
      <c r="AE3" s="8" t="s">
        <v>129</v>
      </c>
      <c r="AF3" s="8" t="s">
        <v>130</v>
      </c>
      <c r="AG3" s="8" t="s">
        <v>131</v>
      </c>
      <c r="AH3" s="8" t="s">
        <v>132</v>
      </c>
      <c r="AI3" s="8" t="s">
        <v>133</v>
      </c>
      <c r="AJ3" s="8" t="s">
        <v>134</v>
      </c>
      <c r="AK3" s="8" t="s">
        <v>135</v>
      </c>
      <c r="AL3" s="8" t="s">
        <v>136</v>
      </c>
      <c r="AM3" s="8" t="s">
        <v>137</v>
      </c>
      <c r="AN3" s="8" t="s">
        <v>138</v>
      </c>
      <c r="AO3" s="8" t="s">
        <v>139</v>
      </c>
      <c r="AP3" s="8" t="s">
        <v>140</v>
      </c>
      <c r="AQ3" s="8" t="s">
        <v>141</v>
      </c>
      <c r="AR3" s="8" t="s">
        <v>142</v>
      </c>
    </row>
    <row r="4" spans="1:44" x14ac:dyDescent="0.25">
      <c r="A4" s="9">
        <f>IF($B4="Entry",COUNTIF($B$4:$B4,"Entry"),"")</f>
      </c>
      <c r="B4" s="10" t="s">
        <v>143</v>
      </c>
      <c r="C4" s="11" t="s">
        <v>144</v>
      </c>
      <c r="D4" s="11" t="s">
        <v>145</v>
      </c>
      <c r="E4" s="12">
        <f>IF($B4&lt;&gt;"Challan","",IF(ROUND(AN4-AO4,2)&gt;0,"Over-applied",IF(ROUND(AN4-AO4,2)=0,"Fully Utilised","Unconsumed")))</f>
      </c>
      <c r="F4" s="13">
        <v>46177</v>
      </c>
      <c r="G4" s="10" t="s">
        <v>146</v>
      </c>
      <c r="H4" s="10" t="s">
        <v>73</v>
      </c>
      <c r="I4" s="14">
        <v>6558</v>
      </c>
      <c r="J4" s="14">
        <v>0</v>
      </c>
      <c r="K4" s="14">
        <v>0</v>
      </c>
      <c r="L4" s="14">
        <v>0</v>
      </c>
      <c r="M4" s="14">
        <v>0</v>
      </c>
      <c r="N4" s="14">
        <v>0</v>
      </c>
      <c r="O4" s="14">
        <v>0</v>
      </c>
      <c r="P4" s="15">
        <f>IF($B4&lt;&gt;"Challan","",I4+J4+K4+L4+M4+N4)</f>
      </c>
      <c r="Q4" s="10" t="s">
        <v>147</v>
      </c>
      <c r="R4" s="10" t="s">
        <v>148</v>
      </c>
      <c r="S4" s="10"/>
      <c r="T4" s="10"/>
      <c r="U4" s="10" t="s">
        <v>149</v>
      </c>
      <c r="V4" s="10"/>
      <c r="W4" s="10"/>
      <c r="X4" s="12">
        <f>IF($B4&lt;&gt;"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f>
      </c>
      <c r="Y4" s="12">
        <f>IF($B4&lt;&gt;"Entry","",IF(LEN(W4)&lt;4,"",IF(UPPER(MID(W4,4,1))="P","Individual",IF(UPPER(MID(W4,4,1))="H","HUF",IF(UPPER(MID(W4,4,1))="C","Company",IF(UPPER(MID(W4,4,1))="F","Firm",IF(UPPER(MID(W4,4,1))="L","LLP",IF(UPPER(MID(W4,4,1))="T","Trust",IF(UPPER(MID(W4,4,1))="A","AOP",""))))))))</f>
      </c>
      <c r="Z4" s="10"/>
      <c r="AA4" s="16">
        <f>IF($B4&lt;&gt;"Entry","",IF(Z4="","",IF(X4="Y",SUMPRODUCT(('Rate Lookup'!$A$1:$A$32=Z4)*'Rate Lookup'!$D$1:$D$32),IF(OR(Y4="Individual",Y4="HUF"),SUMPRODUCT(('Rate Lookup'!$A$1:$A$32=Z4)*'Rate Lookup'!$B$1:$B$32),SUMPRODUCT(('Rate Lookup'!$A$1:$A$32=Z4)*'Rate Lookup'!$C$1:$C$32)))))</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IF($B4&lt;&gt;"Challan","",SUMIF($D$4:$D$207,D4,$AD$4:$AD$207)+SUMIF($D$4:$D$207,D4,$AG$4:$AG$207)+SUMIF($D$4:$D$207,D4,$AE$4:$AE$207))</f>
      </c>
      <c r="AO4" s="15">
        <f>IF($B4&lt;&gt;"Challan","",P4-N4)</f>
      </c>
      <c r="AP4" s="15">
        <f>IF($B4&lt;&gt;"Challan","",MAX(0,AO4-AN4))</f>
      </c>
      <c r="AQ4" s="18">
        <f>IF($B4&lt;&gt;"Entry","",SUMPRODUCT(($D$4:$D$207=D4)*($B$4:$B$207="Challan")*$F$4:$F$207))</f>
      </c>
      <c r="AR4" s="19">
        <f>IF(OR($B4&lt;&gt;"Entry",Z4=""),FALSE,AND(SUMPRODUCT(($D$4:$D$207=D4)*($B$4:$B$207="Challan")*($H$4:$H$207&lt;&gt;""))&gt;0,SUMPRODUCT(($D$4:$D$207=D4)*($B$4:$B$207="Challan")*($H$4:$H$207=Z4))=0))</f>
      </c>
    </row>
    <row r="5" spans="1:44" x14ac:dyDescent="0.25">
      <c r="A5" s="9">
        <f>IF($B5="Entry",COUNTIF($B$4:$B5,"Entry"),"")</f>
      </c>
      <c r="B5" s="10" t="s">
        <v>150</v>
      </c>
      <c r="C5" s="11"/>
      <c r="D5" s="11" t="s">
        <v>145</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151</v>
      </c>
      <c r="W5" s="10" t="s">
        <v>152</v>
      </c>
      <c r="X5" s="12">
        <f>IF($B5&lt;&gt;"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f>
      </c>
      <c r="Y5" s="12">
        <f>IF($B5&lt;&gt;"Entry","",IF(LEN(W5)&lt;4,"",IF(UPPER(MID(W5,4,1))="P","Individual",IF(UPPER(MID(W5,4,1))="H","HUF",IF(UPPER(MID(W5,4,1))="C","Company",IF(UPPER(MID(W5,4,1))="F","Firm",IF(UPPER(MID(W5,4,1))="L","LLP",IF(UPPER(MID(W5,4,1))="T","Trust",IF(UPPER(MID(W5,4,1))="A","AOP",""))))))))</f>
      </c>
      <c r="Z5" s="10" t="s">
        <v>73</v>
      </c>
      <c r="AA5" s="16">
        <f>IF($B5&lt;&gt;"Entry","",IF(Z5="","",IF(X5="Y",SUMPRODUCT(('Rate Lookup'!$A$1:$A$32=Z5)*'Rate Lookup'!$D$1:$D$32),IF(OR(Y5="Individual",Y5="HUF"),SUMPRODUCT(('Rate Lookup'!$A$1:$A$32=Z5)*'Rate Lookup'!$B$1:$B$32),SUMPRODUCT(('Rate Lookup'!$A$1:$A$32=Z5)*'Rate Lookup'!$C$1:$C$32)))))</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153</v>
      </c>
      <c r="AJ5" s="10" t="s">
        <v>153</v>
      </c>
      <c r="AK5" s="17" t="s">
        <v>153</v>
      </c>
      <c r="AL5" s="10"/>
      <c r="AM5" s="10" t="s">
        <v>153</v>
      </c>
      <c r="AN5" s="15">
        <f>IF($B5&lt;&gt;"Challan","",SUMIF($D$4:$D$207,D5,$AD$4:$AD$207)+SUMIF($D$4:$D$207,D5,$AG$4:$AG$207)+SUMIF($D$4:$D$207,D5,$AE$4:$AE$207))</f>
      </c>
      <c r="AO5" s="15">
        <f>IF($B5&lt;&gt;"Challan","",P5-N5)</f>
      </c>
      <c r="AP5" s="15">
        <f>IF($B5&lt;&gt;"Challan","",MAX(0,AO5-AN5))</f>
      </c>
      <c r="AQ5" s="18">
        <f>IF($B5&lt;&gt;"Entry","",SUMPRODUCT(($D$4:$D$207=D5)*($B$4:$B$207="Challan")*$F$4:$F$207))</f>
      </c>
      <c r="AR5" s="19">
        <f>IF(OR($B5&lt;&gt;"Entry",Z5=""),FALSE,AND(SUMPRODUCT(($D$4:$D$207=D5)*($B$4:$B$207="Challan")*($H$4:$H$207&lt;&gt;""))&gt;0,SUMPRODUCT(($D$4:$D$207=D5)*($B$4:$B$207="Challan")*($H$4:$H$207=Z5))=0))</f>
      </c>
    </row>
    <row r="6" spans="1:44" x14ac:dyDescent="0.25">
      <c r="A6" s="9">
        <f>IF($B6="Entry",COUNTIF($B$4:$B6,"Entry"),"")</f>
      </c>
      <c r="B6" s="10" t="s">
        <v>150</v>
      </c>
      <c r="C6" s="11"/>
      <c r="D6" s="11" t="s">
        <v>145</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154</v>
      </c>
      <c r="W6" s="10" t="s">
        <v>155</v>
      </c>
      <c r="X6" s="12">
        <f>IF($B6&lt;&gt;"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f>
      </c>
      <c r="Y6" s="12">
        <f>IF($B6&lt;&gt;"Entry","",IF(LEN(W6)&lt;4,"",IF(UPPER(MID(W6,4,1))="P","Individual",IF(UPPER(MID(W6,4,1))="H","HUF",IF(UPPER(MID(W6,4,1))="C","Company",IF(UPPER(MID(W6,4,1))="F","Firm",IF(UPPER(MID(W6,4,1))="L","LLP",IF(UPPER(MID(W6,4,1))="T","Trust",IF(UPPER(MID(W6,4,1))="A","AOP",""))))))))</f>
      </c>
      <c r="Z6" s="10" t="s">
        <v>73</v>
      </c>
      <c r="AA6" s="16">
        <f>IF($B6&lt;&gt;"Entry","",IF(Z6="","",IF(X6="Y",SUMPRODUCT(('Rate Lookup'!$A$1:$A$32=Z6)*'Rate Lookup'!$D$1:$D$32),IF(OR(Y6="Individual",Y6="HUF"),SUMPRODUCT(('Rate Lookup'!$A$1:$A$32=Z6)*'Rate Lookup'!$B$1:$B$32),SUMPRODUCT(('Rate Lookup'!$A$1:$A$32=Z6)*'Rate Lookup'!$C$1:$C$32)))))</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153</v>
      </c>
      <c r="AJ6" s="10" t="s">
        <v>153</v>
      </c>
      <c r="AK6" s="17" t="s">
        <v>153</v>
      </c>
      <c r="AL6" s="10"/>
      <c r="AM6" s="10" t="s">
        <v>153</v>
      </c>
      <c r="AN6" s="15">
        <f>IF($B6&lt;&gt;"Challan","",SUMIF($D$4:$D$207,D6,$AD$4:$AD$207)+SUMIF($D$4:$D$207,D6,$AG$4:$AG$207)+SUMIF($D$4:$D$207,D6,$AE$4:$AE$207))</f>
      </c>
      <c r="AO6" s="15">
        <f>IF($B6&lt;&gt;"Challan","",P6-N6)</f>
      </c>
      <c r="AP6" s="15">
        <f>IF($B6&lt;&gt;"Challan","",MAX(0,AO6-AN6))</f>
      </c>
      <c r="AQ6" s="18">
        <f>IF($B6&lt;&gt;"Entry","",SUMPRODUCT(($D$4:$D$207=D6)*($B$4:$B$207="Challan")*$F$4:$F$207))</f>
      </c>
      <c r="AR6" s="19">
        <f>IF(OR($B6&lt;&gt;"Entry",Z6=""),FALSE,AND(SUMPRODUCT(($D$4:$D$207=D6)*($B$4:$B$207="Challan")*($H$4:$H$207&lt;&gt;""))&gt;0,SUMPRODUCT(($D$4:$D$207=D6)*($B$4:$B$207="Challan")*($H$4:$H$207=Z6))=0))</f>
      </c>
    </row>
    <row r="7" spans="1:44" x14ac:dyDescent="0.25">
      <c r="A7" s="9">
        <f>IF($B7="Entry",COUNTIF($B$4:$B7,"Entry"),"")</f>
      </c>
      <c r="B7" s="10" t="s">
        <v>150</v>
      </c>
      <c r="C7" s="11"/>
      <c r="D7" s="11" t="s">
        <v>145</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156</v>
      </c>
      <c r="W7" s="10" t="s">
        <v>157</v>
      </c>
      <c r="X7" s="12">
        <f>IF($B7&lt;&gt;"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f>
      </c>
      <c r="Y7" s="12">
        <f>IF($B7&lt;&gt;"Entry","",IF(LEN(W7)&lt;4,"",IF(UPPER(MID(W7,4,1))="P","Individual",IF(UPPER(MID(W7,4,1))="H","HUF",IF(UPPER(MID(W7,4,1))="C","Company",IF(UPPER(MID(W7,4,1))="F","Firm",IF(UPPER(MID(W7,4,1))="L","LLP",IF(UPPER(MID(W7,4,1))="T","Trust",IF(UPPER(MID(W7,4,1))="A","AOP",""))))))))</f>
      </c>
      <c r="Z7" s="10" t="s">
        <v>83</v>
      </c>
      <c r="AA7" s="16">
        <f>IF($B7&lt;&gt;"Entry","",IF(Z7="","",IF(X7="Y",SUMPRODUCT(('Rate Lookup'!$A$1:$A$32=Z7)*'Rate Lookup'!$D$1:$D$32),IF(OR(Y7="Individual",Y7="HUF"),SUMPRODUCT(('Rate Lookup'!$A$1:$A$32=Z7)*'Rate Lookup'!$B$1:$B$32),SUMPRODUCT(('Rate Lookup'!$A$1:$A$32=Z7)*'Rate Lookup'!$C$1:$C$32)))))</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158</v>
      </c>
      <c r="AJ7" s="10" t="s">
        <v>159</v>
      </c>
      <c r="AK7" s="17">
        <v>0</v>
      </c>
      <c r="AL7" s="10"/>
      <c r="AM7" s="10" t="s">
        <v>160</v>
      </c>
      <c r="AN7" s="15">
        <f>IF($B7&lt;&gt;"Challan","",SUMIF($D$4:$D$207,D7,$AD$4:$AD$207)+SUMIF($D$4:$D$207,D7,$AG$4:$AG$207)+SUMIF($D$4:$D$207,D7,$AE$4:$AE$207))</f>
      </c>
      <c r="AO7" s="15">
        <f>IF($B7&lt;&gt;"Challan","",P7-N7)</f>
      </c>
      <c r="AP7" s="15">
        <f>IF($B7&lt;&gt;"Challan","",MAX(0,AO7-AN7))</f>
      </c>
      <c r="AQ7" s="18">
        <f>IF($B7&lt;&gt;"Entry","",SUMPRODUCT(($D$4:$D$207=D7)*($B$4:$B$207="Challan")*$F$4:$F$207))</f>
      </c>
      <c r="AR7" s="19">
        <f>IF(OR($B7&lt;&gt;"Entry",Z7=""),FALSE,AND(SUMPRODUCT(($D$4:$D$207=D7)*($B$4:$B$207="Challan")*($H$4:$H$207&lt;&gt;""))&gt;0,SUMPRODUCT(($D$4:$D$207=D7)*($B$4:$B$207="Challan")*($H$4:$H$207=Z7))=0))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lt;&gt;"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f>
      </c>
      <c r="Y8" s="23">
        <f>IF($B8&lt;&gt;"Entry","",IF(LEN(W8)&lt;4,"",IF(UPPER(MID(W8,4,1))="P","Individual",IF(UPPER(MID(W8,4,1))="H","HUF",IF(UPPER(MID(W8,4,1))="C","Company",IF(UPPER(MID(W8,4,1))="F","Firm",IF(UPPER(MID(W8,4,1))="L","LLP",IF(UPPER(MID(W8,4,1))="T","Trust",IF(UPPER(MID(W8,4,1))="A","AOP",""))))))))</f>
      </c>
      <c r="Z8" s="28"/>
      <c r="AA8" s="29">
        <f>IF($B8&lt;&gt;"Entry","",IF(Z8="","",IF(X8="Y",SUMPRODUCT(('Rate Lookup'!$A$1:$A$32=Z8)*'Rate Lookup'!$D$1:$D$32),IF(OR(Y8="Individual",Y8="HUF"),SUMPRODUCT(('Rate Lookup'!$A$1:$A$32=Z8)*'Rate Lookup'!$B$1:$B$32),SUMPRODUCT(('Rate Lookup'!$A$1:$A$32=Z8)*'Rate Lookup'!$C$1:$C$32)))))</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IF($B8&lt;&gt;"Challan","",SUMIF($D$4:$D$207,D8,$AD$4:$AD$207)+SUMIF($D$4:$D$207,D8,$AG$4:$AG$207)+SUMIF($D$4:$D$207,D8,$AE$4:$AE$207))</f>
      </c>
      <c r="AO8" s="27">
        <f>IF($B8&lt;&gt;"Challan","",P8-N8)</f>
      </c>
      <c r="AP8" s="27">
        <f>IF($B8&lt;&gt;"Challan","",MAX(0,AO8-AN8))</f>
      </c>
      <c r="AQ8" s="33">
        <f>IF($B8&lt;&gt;"Entry","",SUMPRODUCT(($D$4:$D$207=D8)*($B$4:$B$207="Challan")*$F$4:$F$207))</f>
      </c>
      <c r="AR8" s="34">
        <f>IF(OR($B8&lt;&gt;"Entry",Z8=""),FALSE,AND(SUMPRODUCT(($D$4:$D$207=D8)*($B$4:$B$207="Challan")*($H$4:$H$207&lt;&gt;""))&gt;0,SUMPRODUCT(($D$4:$D$207=D8)*($B$4:$B$207="Challan")*($H$4:$H$207=Z8))=0))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lt;&gt;"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f>
      </c>
      <c r="Y9" s="23">
        <f>IF($B9&lt;&gt;"Entry","",IF(LEN(W9)&lt;4,"",IF(UPPER(MID(W9,4,1))="P","Individual",IF(UPPER(MID(W9,4,1))="H","HUF",IF(UPPER(MID(W9,4,1))="C","Company",IF(UPPER(MID(W9,4,1))="F","Firm",IF(UPPER(MID(W9,4,1))="L","LLP",IF(UPPER(MID(W9,4,1))="T","Trust",IF(UPPER(MID(W9,4,1))="A","AOP",""))))))))</f>
      </c>
      <c r="Z9" s="28"/>
      <c r="AA9" s="29">
        <f>IF($B9&lt;&gt;"Entry","",IF(Z9="","",IF(X9="Y",SUMPRODUCT(('Rate Lookup'!$A$1:$A$32=Z9)*'Rate Lookup'!$D$1:$D$32),IF(OR(Y9="Individual",Y9="HUF"),SUMPRODUCT(('Rate Lookup'!$A$1:$A$32=Z9)*'Rate Lookup'!$B$1:$B$32),SUMPRODUCT(('Rate Lookup'!$A$1:$A$32=Z9)*'Rate Lookup'!$C$1:$C$32)))))</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IF($B9&lt;&gt;"Challan","",SUMIF($D$4:$D$207,D9,$AD$4:$AD$207)+SUMIF($D$4:$D$207,D9,$AG$4:$AG$207)+SUMIF($D$4:$D$207,D9,$AE$4:$AE$207))</f>
      </c>
      <c r="AO9" s="27">
        <f>IF($B9&lt;&gt;"Challan","",P9-N9)</f>
      </c>
      <c r="AP9" s="27">
        <f>IF($B9&lt;&gt;"Challan","",MAX(0,AO9-AN9))</f>
      </c>
      <c r="AQ9" s="33">
        <f>IF($B9&lt;&gt;"Entry","",SUMPRODUCT(($D$4:$D$207=D9)*($B$4:$B$207="Challan")*$F$4:$F$207))</f>
      </c>
      <c r="AR9" s="34">
        <f>IF(OR($B9&lt;&gt;"Entry",Z9=""),FALSE,AND(SUMPRODUCT(($D$4:$D$207=D9)*($B$4:$B$207="Challan")*($H$4:$H$207&lt;&gt;""))&gt;0,SUMPRODUCT(($D$4:$D$207=D9)*($B$4:$B$207="Challan")*($H$4:$H$207=Z9))=0))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lt;&gt;"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f>
      </c>
      <c r="Y10" s="23">
        <f>IF($B10&lt;&gt;"Entry","",IF(LEN(W10)&lt;4,"",IF(UPPER(MID(W10,4,1))="P","Individual",IF(UPPER(MID(W10,4,1))="H","HUF",IF(UPPER(MID(W10,4,1))="C","Company",IF(UPPER(MID(W10,4,1))="F","Firm",IF(UPPER(MID(W10,4,1))="L","LLP",IF(UPPER(MID(W10,4,1))="T","Trust",IF(UPPER(MID(W10,4,1))="A","AOP",""))))))))</f>
      </c>
      <c r="Z10" s="28"/>
      <c r="AA10" s="29">
        <f>IF($B10&lt;&gt;"Entry","",IF(Z10="","",IF(X10="Y",SUMPRODUCT(('Rate Lookup'!$A$1:$A$32=Z10)*'Rate Lookup'!$D$1:$D$32),IF(OR(Y10="Individual",Y10="HUF"),SUMPRODUCT(('Rate Lookup'!$A$1:$A$32=Z10)*'Rate Lookup'!$B$1:$B$32),SUMPRODUCT(('Rate Lookup'!$A$1:$A$32=Z10)*'Rate Lookup'!$C$1:$C$32)))))</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IF($B10&lt;&gt;"Challan","",SUMIF($D$4:$D$207,D10,$AD$4:$AD$207)+SUMIF($D$4:$D$207,D10,$AG$4:$AG$207)+SUMIF($D$4:$D$207,D10,$AE$4:$AE$207))</f>
      </c>
      <c r="AO10" s="27">
        <f>IF($B10&lt;&gt;"Challan","",P10-N10)</f>
      </c>
      <c r="AP10" s="27">
        <f>IF($B10&lt;&gt;"Challan","",MAX(0,AO10-AN10))</f>
      </c>
      <c r="AQ10" s="33">
        <f>IF($B10&lt;&gt;"Entry","",SUMPRODUCT(($D$4:$D$207=D10)*($B$4:$B$207="Challan")*$F$4:$F$207))</f>
      </c>
      <c r="AR10" s="34">
        <f>IF(OR($B10&lt;&gt;"Entry",Z10=""),FALSE,AND(SUMPRODUCT(($D$4:$D$207=D10)*($B$4:$B$207="Challan")*($H$4:$H$207&lt;&gt;""))&gt;0,SUMPRODUCT(($D$4:$D$207=D10)*($B$4:$B$207="Challan")*($H$4:$H$207=Z10))=0))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lt;&gt;"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f>
      </c>
      <c r="Y11" s="23">
        <f>IF($B11&lt;&gt;"Entry","",IF(LEN(W11)&lt;4,"",IF(UPPER(MID(W11,4,1))="P","Individual",IF(UPPER(MID(W11,4,1))="H","HUF",IF(UPPER(MID(W11,4,1))="C","Company",IF(UPPER(MID(W11,4,1))="F","Firm",IF(UPPER(MID(W11,4,1))="L","LLP",IF(UPPER(MID(W11,4,1))="T","Trust",IF(UPPER(MID(W11,4,1))="A","AOP",""))))))))</f>
      </c>
      <c r="Z11" s="28"/>
      <c r="AA11" s="29">
        <f>IF($B11&lt;&gt;"Entry","",IF(Z11="","",IF(X11="Y",SUMPRODUCT(('Rate Lookup'!$A$1:$A$32=Z11)*'Rate Lookup'!$D$1:$D$32),IF(OR(Y11="Individual",Y11="HUF"),SUMPRODUCT(('Rate Lookup'!$A$1:$A$32=Z11)*'Rate Lookup'!$B$1:$B$32),SUMPRODUCT(('Rate Lookup'!$A$1:$A$32=Z11)*'Rate Lookup'!$C$1:$C$32)))))</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IF($B11&lt;&gt;"Challan","",SUMIF($D$4:$D$207,D11,$AD$4:$AD$207)+SUMIF($D$4:$D$207,D11,$AG$4:$AG$207)+SUMIF($D$4:$D$207,D11,$AE$4:$AE$207))</f>
      </c>
      <c r="AO11" s="27">
        <f>IF($B11&lt;&gt;"Challan","",P11-N11)</f>
      </c>
      <c r="AP11" s="27">
        <f>IF($B11&lt;&gt;"Challan","",MAX(0,AO11-AN11))</f>
      </c>
      <c r="AQ11" s="33">
        <f>IF($B11&lt;&gt;"Entry","",SUMPRODUCT(($D$4:$D$207=D11)*($B$4:$B$207="Challan")*$F$4:$F$207))</f>
      </c>
      <c r="AR11" s="34">
        <f>IF(OR($B11&lt;&gt;"Entry",Z11=""),FALSE,AND(SUMPRODUCT(($D$4:$D$207=D11)*($B$4:$B$207="Challan")*($H$4:$H$207&lt;&gt;""))&gt;0,SUMPRODUCT(($D$4:$D$207=D11)*($B$4:$B$207="Challan")*($H$4:$H$207=Z11))=0))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lt;&gt;"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f>
      </c>
      <c r="Y12" s="23">
        <f>IF($B12&lt;&gt;"Entry","",IF(LEN(W12)&lt;4,"",IF(UPPER(MID(W12,4,1))="P","Individual",IF(UPPER(MID(W12,4,1))="H","HUF",IF(UPPER(MID(W12,4,1))="C","Company",IF(UPPER(MID(W12,4,1))="F","Firm",IF(UPPER(MID(W12,4,1))="L","LLP",IF(UPPER(MID(W12,4,1))="T","Trust",IF(UPPER(MID(W12,4,1))="A","AOP",""))))))))</f>
      </c>
      <c r="Z12" s="28"/>
      <c r="AA12" s="29">
        <f>IF($B12&lt;&gt;"Entry","",IF(Z12="","",IF(X12="Y",SUMPRODUCT(('Rate Lookup'!$A$1:$A$32=Z12)*'Rate Lookup'!$D$1:$D$32),IF(OR(Y12="Individual",Y12="HUF"),SUMPRODUCT(('Rate Lookup'!$A$1:$A$32=Z12)*'Rate Lookup'!$B$1:$B$32),SUMPRODUCT(('Rate Lookup'!$A$1:$A$32=Z12)*'Rate Lookup'!$C$1:$C$32)))))</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IF($B12&lt;&gt;"Challan","",SUMIF($D$4:$D$207,D12,$AD$4:$AD$207)+SUMIF($D$4:$D$207,D12,$AG$4:$AG$207)+SUMIF($D$4:$D$207,D12,$AE$4:$AE$207))</f>
      </c>
      <c r="AO12" s="27">
        <f>IF($B12&lt;&gt;"Challan","",P12-N12)</f>
      </c>
      <c r="AP12" s="27">
        <f>IF($B12&lt;&gt;"Challan","",MAX(0,AO12-AN12))</f>
      </c>
      <c r="AQ12" s="33">
        <f>IF($B12&lt;&gt;"Entry","",SUMPRODUCT(($D$4:$D$207=D12)*($B$4:$B$207="Challan")*$F$4:$F$207))</f>
      </c>
      <c r="AR12" s="34">
        <f>IF(OR($B12&lt;&gt;"Entry",Z12=""),FALSE,AND(SUMPRODUCT(($D$4:$D$207=D12)*($B$4:$B$207="Challan")*($H$4:$H$207&lt;&gt;""))&gt;0,SUMPRODUCT(($D$4:$D$207=D12)*($B$4:$B$207="Challan")*($H$4:$H$207=Z12))=0))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lt;&gt;"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f>
      </c>
      <c r="Y13" s="23">
        <f>IF($B13&lt;&gt;"Entry","",IF(LEN(W13)&lt;4,"",IF(UPPER(MID(W13,4,1))="P","Individual",IF(UPPER(MID(W13,4,1))="H","HUF",IF(UPPER(MID(W13,4,1))="C","Company",IF(UPPER(MID(W13,4,1))="F","Firm",IF(UPPER(MID(W13,4,1))="L","LLP",IF(UPPER(MID(W13,4,1))="T","Trust",IF(UPPER(MID(W13,4,1))="A","AOP",""))))))))</f>
      </c>
      <c r="Z13" s="28"/>
      <c r="AA13" s="29">
        <f>IF($B13&lt;&gt;"Entry","",IF(Z13="","",IF(X13="Y",SUMPRODUCT(('Rate Lookup'!$A$1:$A$32=Z13)*'Rate Lookup'!$D$1:$D$32),IF(OR(Y13="Individual",Y13="HUF"),SUMPRODUCT(('Rate Lookup'!$A$1:$A$32=Z13)*'Rate Lookup'!$B$1:$B$32),SUMPRODUCT(('Rate Lookup'!$A$1:$A$32=Z13)*'Rate Lookup'!$C$1:$C$32)))))</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IF($B13&lt;&gt;"Challan","",SUMIF($D$4:$D$207,D13,$AD$4:$AD$207)+SUMIF($D$4:$D$207,D13,$AG$4:$AG$207)+SUMIF($D$4:$D$207,D13,$AE$4:$AE$207))</f>
      </c>
      <c r="AO13" s="27">
        <f>IF($B13&lt;&gt;"Challan","",P13-N13)</f>
      </c>
      <c r="AP13" s="27">
        <f>IF($B13&lt;&gt;"Challan","",MAX(0,AO13-AN13))</f>
      </c>
      <c r="AQ13" s="33">
        <f>IF($B13&lt;&gt;"Entry","",SUMPRODUCT(($D$4:$D$207=D13)*($B$4:$B$207="Challan")*$F$4:$F$207))</f>
      </c>
      <c r="AR13" s="34">
        <f>IF(OR($B13&lt;&gt;"Entry",Z13=""),FALSE,AND(SUMPRODUCT(($D$4:$D$207=D13)*($B$4:$B$207="Challan")*($H$4:$H$207&lt;&gt;""))&gt;0,SUMPRODUCT(($D$4:$D$207=D13)*($B$4:$B$207="Challan")*($H$4:$H$207=Z13))=0))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lt;&gt;"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f>
      </c>
      <c r="Y14" s="23">
        <f>IF($B14&lt;&gt;"Entry","",IF(LEN(W14)&lt;4,"",IF(UPPER(MID(W14,4,1))="P","Individual",IF(UPPER(MID(W14,4,1))="H","HUF",IF(UPPER(MID(W14,4,1))="C","Company",IF(UPPER(MID(W14,4,1))="F","Firm",IF(UPPER(MID(W14,4,1))="L","LLP",IF(UPPER(MID(W14,4,1))="T","Trust",IF(UPPER(MID(W14,4,1))="A","AOP",""))))))))</f>
      </c>
      <c r="Z14" s="28"/>
      <c r="AA14" s="29">
        <f>IF($B14&lt;&gt;"Entry","",IF(Z14="","",IF(X14="Y",SUMPRODUCT(('Rate Lookup'!$A$1:$A$32=Z14)*'Rate Lookup'!$D$1:$D$32),IF(OR(Y14="Individual",Y14="HUF"),SUMPRODUCT(('Rate Lookup'!$A$1:$A$32=Z14)*'Rate Lookup'!$B$1:$B$32),SUMPRODUCT(('Rate Lookup'!$A$1:$A$32=Z14)*'Rate Lookup'!$C$1:$C$32)))))</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IF($B14&lt;&gt;"Challan","",SUMIF($D$4:$D$207,D14,$AD$4:$AD$207)+SUMIF($D$4:$D$207,D14,$AG$4:$AG$207)+SUMIF($D$4:$D$207,D14,$AE$4:$AE$207))</f>
      </c>
      <c r="AO14" s="27">
        <f>IF($B14&lt;&gt;"Challan","",P14-N14)</f>
      </c>
      <c r="AP14" s="27">
        <f>IF($B14&lt;&gt;"Challan","",MAX(0,AO14-AN14))</f>
      </c>
      <c r="AQ14" s="33">
        <f>IF($B14&lt;&gt;"Entry","",SUMPRODUCT(($D$4:$D$207=D14)*($B$4:$B$207="Challan")*$F$4:$F$207))</f>
      </c>
      <c r="AR14" s="34">
        <f>IF(OR($B14&lt;&gt;"Entry",Z14=""),FALSE,AND(SUMPRODUCT(($D$4:$D$207=D14)*($B$4:$B$207="Challan")*($H$4:$H$207&lt;&gt;""))&gt;0,SUMPRODUCT(($D$4:$D$207=D14)*($B$4:$B$207="Challan")*($H$4:$H$207=Z14))=0))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lt;&gt;"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f>
      </c>
      <c r="Y15" s="23">
        <f>IF($B15&lt;&gt;"Entry","",IF(LEN(W15)&lt;4,"",IF(UPPER(MID(W15,4,1))="P","Individual",IF(UPPER(MID(W15,4,1))="H","HUF",IF(UPPER(MID(W15,4,1))="C","Company",IF(UPPER(MID(W15,4,1))="F","Firm",IF(UPPER(MID(W15,4,1))="L","LLP",IF(UPPER(MID(W15,4,1))="T","Trust",IF(UPPER(MID(W15,4,1))="A","AOP",""))))))))</f>
      </c>
      <c r="Z15" s="28"/>
      <c r="AA15" s="29">
        <f>IF($B15&lt;&gt;"Entry","",IF(Z15="","",IF(X15="Y",SUMPRODUCT(('Rate Lookup'!$A$1:$A$32=Z15)*'Rate Lookup'!$D$1:$D$32),IF(OR(Y15="Individual",Y15="HUF"),SUMPRODUCT(('Rate Lookup'!$A$1:$A$32=Z15)*'Rate Lookup'!$B$1:$B$32),SUMPRODUCT(('Rate Lookup'!$A$1:$A$32=Z15)*'Rate Lookup'!$C$1:$C$32)))))</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IF($B15&lt;&gt;"Challan","",SUMIF($D$4:$D$207,D15,$AD$4:$AD$207)+SUMIF($D$4:$D$207,D15,$AG$4:$AG$207)+SUMIF($D$4:$D$207,D15,$AE$4:$AE$207))</f>
      </c>
      <c r="AO15" s="27">
        <f>IF($B15&lt;&gt;"Challan","",P15-N15)</f>
      </c>
      <c r="AP15" s="27">
        <f>IF($B15&lt;&gt;"Challan","",MAX(0,AO15-AN15))</f>
      </c>
      <c r="AQ15" s="33">
        <f>IF($B15&lt;&gt;"Entry","",SUMPRODUCT(($D$4:$D$207=D15)*($B$4:$B$207="Challan")*$F$4:$F$207))</f>
      </c>
      <c r="AR15" s="34">
        <f>IF(OR($B15&lt;&gt;"Entry",Z15=""),FALSE,AND(SUMPRODUCT(($D$4:$D$207=D15)*($B$4:$B$207="Challan")*($H$4:$H$207&lt;&gt;""))&gt;0,SUMPRODUCT(($D$4:$D$207=D15)*($B$4:$B$207="Challan")*($H$4:$H$207=Z15))=0))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lt;&gt;"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f>
      </c>
      <c r="Y16" s="23">
        <f>IF($B16&lt;&gt;"Entry","",IF(LEN(W16)&lt;4,"",IF(UPPER(MID(W16,4,1))="P","Individual",IF(UPPER(MID(W16,4,1))="H","HUF",IF(UPPER(MID(W16,4,1))="C","Company",IF(UPPER(MID(W16,4,1))="F","Firm",IF(UPPER(MID(W16,4,1))="L","LLP",IF(UPPER(MID(W16,4,1))="T","Trust",IF(UPPER(MID(W16,4,1))="A","AOP",""))))))))</f>
      </c>
      <c r="Z16" s="28"/>
      <c r="AA16" s="29">
        <f>IF($B16&lt;&gt;"Entry","",IF(Z16="","",IF(X16="Y",SUMPRODUCT(('Rate Lookup'!$A$1:$A$32=Z16)*'Rate Lookup'!$D$1:$D$32),IF(OR(Y16="Individual",Y16="HUF"),SUMPRODUCT(('Rate Lookup'!$A$1:$A$32=Z16)*'Rate Lookup'!$B$1:$B$32),SUMPRODUCT(('Rate Lookup'!$A$1:$A$32=Z16)*'Rate Lookup'!$C$1:$C$32)))))</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IF($B16&lt;&gt;"Challan","",SUMIF($D$4:$D$207,D16,$AD$4:$AD$207)+SUMIF($D$4:$D$207,D16,$AG$4:$AG$207)+SUMIF($D$4:$D$207,D16,$AE$4:$AE$207))</f>
      </c>
      <c r="AO16" s="27">
        <f>IF($B16&lt;&gt;"Challan","",P16-N16)</f>
      </c>
      <c r="AP16" s="27">
        <f>IF($B16&lt;&gt;"Challan","",MAX(0,AO16-AN16))</f>
      </c>
      <c r="AQ16" s="33">
        <f>IF($B16&lt;&gt;"Entry","",SUMPRODUCT(($D$4:$D$207=D16)*($B$4:$B$207="Challan")*$F$4:$F$207))</f>
      </c>
      <c r="AR16" s="34">
        <f>IF(OR($B16&lt;&gt;"Entry",Z16=""),FALSE,AND(SUMPRODUCT(($D$4:$D$207=D16)*($B$4:$B$207="Challan")*($H$4:$H$207&lt;&gt;""))&gt;0,SUMPRODUCT(($D$4:$D$207=D16)*($B$4:$B$207="Challan")*($H$4:$H$207=Z16))=0))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lt;&gt;"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f>
      </c>
      <c r="Y17" s="23">
        <f>IF($B17&lt;&gt;"Entry","",IF(LEN(W17)&lt;4,"",IF(UPPER(MID(W17,4,1))="P","Individual",IF(UPPER(MID(W17,4,1))="H","HUF",IF(UPPER(MID(W17,4,1))="C","Company",IF(UPPER(MID(W17,4,1))="F","Firm",IF(UPPER(MID(W17,4,1))="L","LLP",IF(UPPER(MID(W17,4,1))="T","Trust",IF(UPPER(MID(W17,4,1))="A","AOP",""))))))))</f>
      </c>
      <c r="Z17" s="28"/>
      <c r="AA17" s="29">
        <f>IF($B17&lt;&gt;"Entry","",IF(Z17="","",IF(X17="Y",SUMPRODUCT(('Rate Lookup'!$A$1:$A$32=Z17)*'Rate Lookup'!$D$1:$D$32),IF(OR(Y17="Individual",Y17="HUF"),SUMPRODUCT(('Rate Lookup'!$A$1:$A$32=Z17)*'Rate Lookup'!$B$1:$B$32),SUMPRODUCT(('Rate Lookup'!$A$1:$A$32=Z17)*'Rate Lookup'!$C$1:$C$32)))))</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IF($B17&lt;&gt;"Challan","",SUMIF($D$4:$D$207,D17,$AD$4:$AD$207)+SUMIF($D$4:$D$207,D17,$AG$4:$AG$207)+SUMIF($D$4:$D$207,D17,$AE$4:$AE$207))</f>
      </c>
      <c r="AO17" s="27">
        <f>IF($B17&lt;&gt;"Challan","",P17-N17)</f>
      </c>
      <c r="AP17" s="27">
        <f>IF($B17&lt;&gt;"Challan","",MAX(0,AO17-AN17))</f>
      </c>
      <c r="AQ17" s="33">
        <f>IF($B17&lt;&gt;"Entry","",SUMPRODUCT(($D$4:$D$207=D17)*($B$4:$B$207="Challan")*$F$4:$F$207))</f>
      </c>
      <c r="AR17" s="34">
        <f>IF(OR($B17&lt;&gt;"Entry",Z17=""),FALSE,AND(SUMPRODUCT(($D$4:$D$207=D17)*($B$4:$B$207="Challan")*($H$4:$H$207&lt;&gt;""))&gt;0,SUMPRODUCT(($D$4:$D$207=D17)*($B$4:$B$207="Challan")*($H$4:$H$207=Z17))=0))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lt;&gt;"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f>
      </c>
      <c r="Y18" s="23">
        <f>IF($B18&lt;&gt;"Entry","",IF(LEN(W18)&lt;4,"",IF(UPPER(MID(W18,4,1))="P","Individual",IF(UPPER(MID(W18,4,1))="H","HUF",IF(UPPER(MID(W18,4,1))="C","Company",IF(UPPER(MID(W18,4,1))="F","Firm",IF(UPPER(MID(W18,4,1))="L","LLP",IF(UPPER(MID(W18,4,1))="T","Trust",IF(UPPER(MID(W18,4,1))="A","AOP",""))))))))</f>
      </c>
      <c r="Z18" s="28"/>
      <c r="AA18" s="29">
        <f>IF($B18&lt;&gt;"Entry","",IF(Z18="","",IF(X18="Y",SUMPRODUCT(('Rate Lookup'!$A$1:$A$32=Z18)*'Rate Lookup'!$D$1:$D$32),IF(OR(Y18="Individual",Y18="HUF"),SUMPRODUCT(('Rate Lookup'!$A$1:$A$32=Z18)*'Rate Lookup'!$B$1:$B$32),SUMPRODUCT(('Rate Lookup'!$A$1:$A$32=Z18)*'Rate Lookup'!$C$1:$C$32)))))</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IF($B18&lt;&gt;"Challan","",SUMIF($D$4:$D$207,D18,$AD$4:$AD$207)+SUMIF($D$4:$D$207,D18,$AG$4:$AG$207)+SUMIF($D$4:$D$207,D18,$AE$4:$AE$207))</f>
      </c>
      <c r="AO18" s="27">
        <f>IF($B18&lt;&gt;"Challan","",P18-N18)</f>
      </c>
      <c r="AP18" s="27">
        <f>IF($B18&lt;&gt;"Challan","",MAX(0,AO18-AN18))</f>
      </c>
      <c r="AQ18" s="33">
        <f>IF($B18&lt;&gt;"Entry","",SUMPRODUCT(($D$4:$D$207=D18)*($B$4:$B$207="Challan")*$F$4:$F$207))</f>
      </c>
      <c r="AR18" s="34">
        <f>IF(OR($B18&lt;&gt;"Entry",Z18=""),FALSE,AND(SUMPRODUCT(($D$4:$D$207=D18)*($B$4:$B$207="Challan")*($H$4:$H$207&lt;&gt;""))&gt;0,SUMPRODUCT(($D$4:$D$207=D18)*($B$4:$B$207="Challan")*($H$4:$H$207=Z18))=0))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lt;&gt;"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f>
      </c>
      <c r="Y19" s="23">
        <f>IF($B19&lt;&gt;"Entry","",IF(LEN(W19)&lt;4,"",IF(UPPER(MID(W19,4,1))="P","Individual",IF(UPPER(MID(W19,4,1))="H","HUF",IF(UPPER(MID(W19,4,1))="C","Company",IF(UPPER(MID(W19,4,1))="F","Firm",IF(UPPER(MID(W19,4,1))="L","LLP",IF(UPPER(MID(W19,4,1))="T","Trust",IF(UPPER(MID(W19,4,1))="A","AOP",""))))))))</f>
      </c>
      <c r="Z19" s="28"/>
      <c r="AA19" s="29">
        <f>IF($B19&lt;&gt;"Entry","",IF(Z19="","",IF(X19="Y",SUMPRODUCT(('Rate Lookup'!$A$1:$A$32=Z19)*'Rate Lookup'!$D$1:$D$32),IF(OR(Y19="Individual",Y19="HUF"),SUMPRODUCT(('Rate Lookup'!$A$1:$A$32=Z19)*'Rate Lookup'!$B$1:$B$32),SUMPRODUCT(('Rate Lookup'!$A$1:$A$32=Z19)*'Rate Lookup'!$C$1:$C$32)))))</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IF($B19&lt;&gt;"Challan","",SUMIF($D$4:$D$207,D19,$AD$4:$AD$207)+SUMIF($D$4:$D$207,D19,$AG$4:$AG$207)+SUMIF($D$4:$D$207,D19,$AE$4:$AE$207))</f>
      </c>
      <c r="AO19" s="27">
        <f>IF($B19&lt;&gt;"Challan","",P19-N19)</f>
      </c>
      <c r="AP19" s="27">
        <f>IF($B19&lt;&gt;"Challan","",MAX(0,AO19-AN19))</f>
      </c>
      <c r="AQ19" s="33">
        <f>IF($B19&lt;&gt;"Entry","",SUMPRODUCT(($D$4:$D$207=D19)*($B$4:$B$207="Challan")*$F$4:$F$207))</f>
      </c>
      <c r="AR19" s="34">
        <f>IF(OR($B19&lt;&gt;"Entry",Z19=""),FALSE,AND(SUMPRODUCT(($D$4:$D$207=D19)*($B$4:$B$207="Challan")*($H$4:$H$207&lt;&gt;""))&gt;0,SUMPRODUCT(($D$4:$D$207=D19)*($B$4:$B$207="Challan")*($H$4:$H$207=Z19))=0))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lt;&gt;"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f>
      </c>
      <c r="Y20" s="23">
        <f>IF($B20&lt;&gt;"Entry","",IF(LEN(W20)&lt;4,"",IF(UPPER(MID(W20,4,1))="P","Individual",IF(UPPER(MID(W20,4,1))="H","HUF",IF(UPPER(MID(W20,4,1))="C","Company",IF(UPPER(MID(W20,4,1))="F","Firm",IF(UPPER(MID(W20,4,1))="L","LLP",IF(UPPER(MID(W20,4,1))="T","Trust",IF(UPPER(MID(W20,4,1))="A","AOP",""))))))))</f>
      </c>
      <c r="Z20" s="28"/>
      <c r="AA20" s="29">
        <f>IF($B20&lt;&gt;"Entry","",IF(Z20="","",IF(X20="Y",SUMPRODUCT(('Rate Lookup'!$A$1:$A$32=Z20)*'Rate Lookup'!$D$1:$D$32),IF(OR(Y20="Individual",Y20="HUF"),SUMPRODUCT(('Rate Lookup'!$A$1:$A$32=Z20)*'Rate Lookup'!$B$1:$B$32),SUMPRODUCT(('Rate Lookup'!$A$1:$A$32=Z20)*'Rate Lookup'!$C$1:$C$32)))))</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IF($B20&lt;&gt;"Challan","",SUMIF($D$4:$D$207,D20,$AD$4:$AD$207)+SUMIF($D$4:$D$207,D20,$AG$4:$AG$207)+SUMIF($D$4:$D$207,D20,$AE$4:$AE$207))</f>
      </c>
      <c r="AO20" s="27">
        <f>IF($B20&lt;&gt;"Challan","",P20-N20)</f>
      </c>
      <c r="AP20" s="27">
        <f>IF($B20&lt;&gt;"Challan","",MAX(0,AO20-AN20))</f>
      </c>
      <c r="AQ20" s="33">
        <f>IF($B20&lt;&gt;"Entry","",SUMPRODUCT(($D$4:$D$207=D20)*($B$4:$B$207="Challan")*$F$4:$F$207))</f>
      </c>
      <c r="AR20" s="34">
        <f>IF(OR($B20&lt;&gt;"Entry",Z20=""),FALSE,AND(SUMPRODUCT(($D$4:$D$207=D20)*($B$4:$B$207="Challan")*($H$4:$H$207&lt;&gt;""))&gt;0,SUMPRODUCT(($D$4:$D$207=D20)*($B$4:$B$207="Challan")*($H$4:$H$207=Z20))=0))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lt;&gt;"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f>
      </c>
      <c r="Y21" s="23">
        <f>IF($B21&lt;&gt;"Entry","",IF(LEN(W21)&lt;4,"",IF(UPPER(MID(W21,4,1))="P","Individual",IF(UPPER(MID(W21,4,1))="H","HUF",IF(UPPER(MID(W21,4,1))="C","Company",IF(UPPER(MID(W21,4,1))="F","Firm",IF(UPPER(MID(W21,4,1))="L","LLP",IF(UPPER(MID(W21,4,1))="T","Trust",IF(UPPER(MID(W21,4,1))="A","AOP",""))))))))</f>
      </c>
      <c r="Z21" s="28"/>
      <c r="AA21" s="29">
        <f>IF($B21&lt;&gt;"Entry","",IF(Z21="","",IF(X21="Y",SUMPRODUCT(('Rate Lookup'!$A$1:$A$32=Z21)*'Rate Lookup'!$D$1:$D$32),IF(OR(Y21="Individual",Y21="HUF"),SUMPRODUCT(('Rate Lookup'!$A$1:$A$32=Z21)*'Rate Lookup'!$B$1:$B$32),SUMPRODUCT(('Rate Lookup'!$A$1:$A$32=Z21)*'Rate Lookup'!$C$1:$C$32)))))</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IF($B21&lt;&gt;"Challan","",SUMIF($D$4:$D$207,D21,$AD$4:$AD$207)+SUMIF($D$4:$D$207,D21,$AG$4:$AG$207)+SUMIF($D$4:$D$207,D21,$AE$4:$AE$207))</f>
      </c>
      <c r="AO21" s="27">
        <f>IF($B21&lt;&gt;"Challan","",P21-N21)</f>
      </c>
      <c r="AP21" s="27">
        <f>IF($B21&lt;&gt;"Challan","",MAX(0,AO21-AN21))</f>
      </c>
      <c r="AQ21" s="33">
        <f>IF($B21&lt;&gt;"Entry","",SUMPRODUCT(($D$4:$D$207=D21)*($B$4:$B$207="Challan")*$F$4:$F$207))</f>
      </c>
      <c r="AR21" s="34">
        <f>IF(OR($B21&lt;&gt;"Entry",Z21=""),FALSE,AND(SUMPRODUCT(($D$4:$D$207=D21)*($B$4:$B$207="Challan")*($H$4:$H$207&lt;&gt;""))&gt;0,SUMPRODUCT(($D$4:$D$207=D21)*($B$4:$B$207="Challan")*($H$4:$H$207=Z21))=0))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lt;&gt;"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f>
      </c>
      <c r="Y22" s="23">
        <f>IF($B22&lt;&gt;"Entry","",IF(LEN(W22)&lt;4,"",IF(UPPER(MID(W22,4,1))="P","Individual",IF(UPPER(MID(W22,4,1))="H","HUF",IF(UPPER(MID(W22,4,1))="C","Company",IF(UPPER(MID(W22,4,1))="F","Firm",IF(UPPER(MID(W22,4,1))="L","LLP",IF(UPPER(MID(W22,4,1))="T","Trust",IF(UPPER(MID(W22,4,1))="A","AOP",""))))))))</f>
      </c>
      <c r="Z22" s="28"/>
      <c r="AA22" s="29">
        <f>IF($B22&lt;&gt;"Entry","",IF(Z22="","",IF(X22="Y",SUMPRODUCT(('Rate Lookup'!$A$1:$A$32=Z22)*'Rate Lookup'!$D$1:$D$32),IF(OR(Y22="Individual",Y22="HUF"),SUMPRODUCT(('Rate Lookup'!$A$1:$A$32=Z22)*'Rate Lookup'!$B$1:$B$32),SUMPRODUCT(('Rate Lookup'!$A$1:$A$32=Z22)*'Rate Lookup'!$C$1:$C$32)))))</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IF($B22&lt;&gt;"Challan","",SUMIF($D$4:$D$207,D22,$AD$4:$AD$207)+SUMIF($D$4:$D$207,D22,$AG$4:$AG$207)+SUMIF($D$4:$D$207,D22,$AE$4:$AE$207))</f>
      </c>
      <c r="AO22" s="27">
        <f>IF($B22&lt;&gt;"Challan","",P22-N22)</f>
      </c>
      <c r="AP22" s="27">
        <f>IF($B22&lt;&gt;"Challan","",MAX(0,AO22-AN22))</f>
      </c>
      <c r="AQ22" s="33">
        <f>IF($B22&lt;&gt;"Entry","",SUMPRODUCT(($D$4:$D$207=D22)*($B$4:$B$207="Challan")*$F$4:$F$207))</f>
      </c>
      <c r="AR22" s="34">
        <f>IF(OR($B22&lt;&gt;"Entry",Z22=""),FALSE,AND(SUMPRODUCT(($D$4:$D$207=D22)*($B$4:$B$207="Challan")*($H$4:$H$207&lt;&gt;""))&gt;0,SUMPRODUCT(($D$4:$D$207=D22)*($B$4:$B$207="Challan")*($H$4:$H$207=Z22))=0))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lt;&gt;"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f>
      </c>
      <c r="Y23" s="23">
        <f>IF($B23&lt;&gt;"Entry","",IF(LEN(W23)&lt;4,"",IF(UPPER(MID(W23,4,1))="P","Individual",IF(UPPER(MID(W23,4,1))="H","HUF",IF(UPPER(MID(W23,4,1))="C","Company",IF(UPPER(MID(W23,4,1))="F","Firm",IF(UPPER(MID(W23,4,1))="L","LLP",IF(UPPER(MID(W23,4,1))="T","Trust",IF(UPPER(MID(W23,4,1))="A","AOP",""))))))))</f>
      </c>
      <c r="Z23" s="28"/>
      <c r="AA23" s="29">
        <f>IF($B23&lt;&gt;"Entry","",IF(Z23="","",IF(X23="Y",SUMPRODUCT(('Rate Lookup'!$A$1:$A$32=Z23)*'Rate Lookup'!$D$1:$D$32),IF(OR(Y23="Individual",Y23="HUF"),SUMPRODUCT(('Rate Lookup'!$A$1:$A$32=Z23)*'Rate Lookup'!$B$1:$B$32),SUMPRODUCT(('Rate Lookup'!$A$1:$A$32=Z23)*'Rate Lookup'!$C$1:$C$32)))))</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IF($B23&lt;&gt;"Challan","",SUMIF($D$4:$D$207,D23,$AD$4:$AD$207)+SUMIF($D$4:$D$207,D23,$AG$4:$AG$207)+SUMIF($D$4:$D$207,D23,$AE$4:$AE$207))</f>
      </c>
      <c r="AO23" s="27">
        <f>IF($B23&lt;&gt;"Challan","",P23-N23)</f>
      </c>
      <c r="AP23" s="27">
        <f>IF($B23&lt;&gt;"Challan","",MAX(0,AO23-AN23))</f>
      </c>
      <c r="AQ23" s="33">
        <f>IF($B23&lt;&gt;"Entry","",SUMPRODUCT(($D$4:$D$207=D23)*($B$4:$B$207="Challan")*$F$4:$F$207))</f>
      </c>
      <c r="AR23" s="34">
        <f>IF(OR($B23&lt;&gt;"Entry",Z23=""),FALSE,AND(SUMPRODUCT(($D$4:$D$207=D23)*($B$4:$B$207="Challan")*($H$4:$H$207&lt;&gt;""))&gt;0,SUMPRODUCT(($D$4:$D$207=D23)*($B$4:$B$207="Challan")*($H$4:$H$207=Z23))=0))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lt;&gt;"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f>
      </c>
      <c r="Y24" s="23">
        <f>IF($B24&lt;&gt;"Entry","",IF(LEN(W24)&lt;4,"",IF(UPPER(MID(W24,4,1))="P","Individual",IF(UPPER(MID(W24,4,1))="H","HUF",IF(UPPER(MID(W24,4,1))="C","Company",IF(UPPER(MID(W24,4,1))="F","Firm",IF(UPPER(MID(W24,4,1))="L","LLP",IF(UPPER(MID(W24,4,1))="T","Trust",IF(UPPER(MID(W24,4,1))="A","AOP",""))))))))</f>
      </c>
      <c r="Z24" s="28"/>
      <c r="AA24" s="29">
        <f>IF($B24&lt;&gt;"Entry","",IF(Z24="","",IF(X24="Y",SUMPRODUCT(('Rate Lookup'!$A$1:$A$32=Z24)*'Rate Lookup'!$D$1:$D$32),IF(OR(Y24="Individual",Y24="HUF"),SUMPRODUCT(('Rate Lookup'!$A$1:$A$32=Z24)*'Rate Lookup'!$B$1:$B$32),SUMPRODUCT(('Rate Lookup'!$A$1:$A$32=Z24)*'Rate Lookup'!$C$1:$C$32)))))</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IF($B24&lt;&gt;"Challan","",SUMIF($D$4:$D$207,D24,$AD$4:$AD$207)+SUMIF($D$4:$D$207,D24,$AG$4:$AG$207)+SUMIF($D$4:$D$207,D24,$AE$4:$AE$207))</f>
      </c>
      <c r="AO24" s="27">
        <f>IF($B24&lt;&gt;"Challan","",P24-N24)</f>
      </c>
      <c r="AP24" s="27">
        <f>IF($B24&lt;&gt;"Challan","",MAX(0,AO24-AN24))</f>
      </c>
      <c r="AQ24" s="33">
        <f>IF($B24&lt;&gt;"Entry","",SUMPRODUCT(($D$4:$D$207=D24)*($B$4:$B$207="Challan")*$F$4:$F$207))</f>
      </c>
      <c r="AR24" s="34">
        <f>IF(OR($B24&lt;&gt;"Entry",Z24=""),FALSE,AND(SUMPRODUCT(($D$4:$D$207=D24)*($B$4:$B$207="Challan")*($H$4:$H$207&lt;&gt;""))&gt;0,SUMPRODUCT(($D$4:$D$207=D24)*($B$4:$B$207="Challan")*($H$4:$H$207=Z24))=0))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lt;&gt;"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f>
      </c>
      <c r="Y25" s="23">
        <f>IF($B25&lt;&gt;"Entry","",IF(LEN(W25)&lt;4,"",IF(UPPER(MID(W25,4,1))="P","Individual",IF(UPPER(MID(W25,4,1))="H","HUF",IF(UPPER(MID(W25,4,1))="C","Company",IF(UPPER(MID(W25,4,1))="F","Firm",IF(UPPER(MID(W25,4,1))="L","LLP",IF(UPPER(MID(W25,4,1))="T","Trust",IF(UPPER(MID(W25,4,1))="A","AOP",""))))))))</f>
      </c>
      <c r="Z25" s="28"/>
      <c r="AA25" s="29">
        <f>IF($B25&lt;&gt;"Entry","",IF(Z25="","",IF(X25="Y",SUMPRODUCT(('Rate Lookup'!$A$1:$A$32=Z25)*'Rate Lookup'!$D$1:$D$32),IF(OR(Y25="Individual",Y25="HUF"),SUMPRODUCT(('Rate Lookup'!$A$1:$A$32=Z25)*'Rate Lookup'!$B$1:$B$32),SUMPRODUCT(('Rate Lookup'!$A$1:$A$32=Z25)*'Rate Lookup'!$C$1:$C$32)))))</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IF($B25&lt;&gt;"Challan","",SUMIF($D$4:$D$207,D25,$AD$4:$AD$207)+SUMIF($D$4:$D$207,D25,$AG$4:$AG$207)+SUMIF($D$4:$D$207,D25,$AE$4:$AE$207))</f>
      </c>
      <c r="AO25" s="27">
        <f>IF($B25&lt;&gt;"Challan","",P25-N25)</f>
      </c>
      <c r="AP25" s="27">
        <f>IF($B25&lt;&gt;"Challan","",MAX(0,AO25-AN25))</f>
      </c>
      <c r="AQ25" s="33">
        <f>IF($B25&lt;&gt;"Entry","",SUMPRODUCT(($D$4:$D$207=D25)*($B$4:$B$207="Challan")*$F$4:$F$207))</f>
      </c>
      <c r="AR25" s="34">
        <f>IF(OR($B25&lt;&gt;"Entry",Z25=""),FALSE,AND(SUMPRODUCT(($D$4:$D$207=D25)*($B$4:$B$207="Challan")*($H$4:$H$207&lt;&gt;""))&gt;0,SUMPRODUCT(($D$4:$D$207=D25)*($B$4:$B$207="Challan")*($H$4:$H$207=Z25))=0))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lt;&gt;"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f>
      </c>
      <c r="Y26" s="23">
        <f>IF($B26&lt;&gt;"Entry","",IF(LEN(W26)&lt;4,"",IF(UPPER(MID(W26,4,1))="P","Individual",IF(UPPER(MID(W26,4,1))="H","HUF",IF(UPPER(MID(W26,4,1))="C","Company",IF(UPPER(MID(W26,4,1))="F","Firm",IF(UPPER(MID(W26,4,1))="L","LLP",IF(UPPER(MID(W26,4,1))="T","Trust",IF(UPPER(MID(W26,4,1))="A","AOP",""))))))))</f>
      </c>
      <c r="Z26" s="28"/>
      <c r="AA26" s="29">
        <f>IF($B26&lt;&gt;"Entry","",IF(Z26="","",IF(X26="Y",SUMPRODUCT(('Rate Lookup'!$A$1:$A$32=Z26)*'Rate Lookup'!$D$1:$D$32),IF(OR(Y26="Individual",Y26="HUF"),SUMPRODUCT(('Rate Lookup'!$A$1:$A$32=Z26)*'Rate Lookup'!$B$1:$B$32),SUMPRODUCT(('Rate Lookup'!$A$1:$A$32=Z26)*'Rate Lookup'!$C$1:$C$32)))))</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IF($B26&lt;&gt;"Challan","",SUMIF($D$4:$D$207,D26,$AD$4:$AD$207)+SUMIF($D$4:$D$207,D26,$AG$4:$AG$207)+SUMIF($D$4:$D$207,D26,$AE$4:$AE$207))</f>
      </c>
      <c r="AO26" s="27">
        <f>IF($B26&lt;&gt;"Challan","",P26-N26)</f>
      </c>
      <c r="AP26" s="27">
        <f>IF($B26&lt;&gt;"Challan","",MAX(0,AO26-AN26))</f>
      </c>
      <c r="AQ26" s="33">
        <f>IF($B26&lt;&gt;"Entry","",SUMPRODUCT(($D$4:$D$207=D26)*($B$4:$B$207="Challan")*$F$4:$F$207))</f>
      </c>
      <c r="AR26" s="34">
        <f>IF(OR($B26&lt;&gt;"Entry",Z26=""),FALSE,AND(SUMPRODUCT(($D$4:$D$207=D26)*($B$4:$B$207="Challan")*($H$4:$H$207&lt;&gt;""))&gt;0,SUMPRODUCT(($D$4:$D$207=D26)*($B$4:$B$207="Challan")*($H$4:$H$207=Z26))=0))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lt;&gt;"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f>
      </c>
      <c r="Y27" s="23">
        <f>IF($B27&lt;&gt;"Entry","",IF(LEN(W27)&lt;4,"",IF(UPPER(MID(W27,4,1))="P","Individual",IF(UPPER(MID(W27,4,1))="H","HUF",IF(UPPER(MID(W27,4,1))="C","Company",IF(UPPER(MID(W27,4,1))="F","Firm",IF(UPPER(MID(W27,4,1))="L","LLP",IF(UPPER(MID(W27,4,1))="T","Trust",IF(UPPER(MID(W27,4,1))="A","AOP",""))))))))</f>
      </c>
      <c r="Z27" s="28"/>
      <c r="AA27" s="29">
        <f>IF($B27&lt;&gt;"Entry","",IF(Z27="","",IF(X27="Y",SUMPRODUCT(('Rate Lookup'!$A$1:$A$32=Z27)*'Rate Lookup'!$D$1:$D$32),IF(OR(Y27="Individual",Y27="HUF"),SUMPRODUCT(('Rate Lookup'!$A$1:$A$32=Z27)*'Rate Lookup'!$B$1:$B$32),SUMPRODUCT(('Rate Lookup'!$A$1:$A$32=Z27)*'Rate Lookup'!$C$1:$C$32)))))</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IF($B27&lt;&gt;"Challan","",SUMIF($D$4:$D$207,D27,$AD$4:$AD$207)+SUMIF($D$4:$D$207,D27,$AG$4:$AG$207)+SUMIF($D$4:$D$207,D27,$AE$4:$AE$207))</f>
      </c>
      <c r="AO27" s="27">
        <f>IF($B27&lt;&gt;"Challan","",P27-N27)</f>
      </c>
      <c r="AP27" s="27">
        <f>IF($B27&lt;&gt;"Challan","",MAX(0,AO27-AN27))</f>
      </c>
      <c r="AQ27" s="33">
        <f>IF($B27&lt;&gt;"Entry","",SUMPRODUCT(($D$4:$D$207=D27)*($B$4:$B$207="Challan")*$F$4:$F$207))</f>
      </c>
      <c r="AR27" s="34">
        <f>IF(OR($B27&lt;&gt;"Entry",Z27=""),FALSE,AND(SUMPRODUCT(($D$4:$D$207=D27)*($B$4:$B$207="Challan")*($H$4:$H$207&lt;&gt;""))&gt;0,SUMPRODUCT(($D$4:$D$207=D27)*($B$4:$B$207="Challan")*($H$4:$H$207=Z27))=0))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lt;&gt;"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f>
      </c>
      <c r="Y28" s="23">
        <f>IF($B28&lt;&gt;"Entry","",IF(LEN(W28)&lt;4,"",IF(UPPER(MID(W28,4,1))="P","Individual",IF(UPPER(MID(W28,4,1))="H","HUF",IF(UPPER(MID(W28,4,1))="C","Company",IF(UPPER(MID(W28,4,1))="F","Firm",IF(UPPER(MID(W28,4,1))="L","LLP",IF(UPPER(MID(W28,4,1))="T","Trust",IF(UPPER(MID(W28,4,1))="A","AOP",""))))))))</f>
      </c>
      <c r="Z28" s="28"/>
      <c r="AA28" s="29">
        <f>IF($B28&lt;&gt;"Entry","",IF(Z28="","",IF(X28="Y",SUMPRODUCT(('Rate Lookup'!$A$1:$A$32=Z28)*'Rate Lookup'!$D$1:$D$32),IF(OR(Y28="Individual",Y28="HUF"),SUMPRODUCT(('Rate Lookup'!$A$1:$A$32=Z28)*'Rate Lookup'!$B$1:$B$32),SUMPRODUCT(('Rate Lookup'!$A$1:$A$32=Z28)*'Rate Lookup'!$C$1:$C$32)))))</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IF($B28&lt;&gt;"Challan","",SUMIF($D$4:$D$207,D28,$AD$4:$AD$207)+SUMIF($D$4:$D$207,D28,$AG$4:$AG$207)+SUMIF($D$4:$D$207,D28,$AE$4:$AE$207))</f>
      </c>
      <c r="AO28" s="27">
        <f>IF($B28&lt;&gt;"Challan","",P28-N28)</f>
      </c>
      <c r="AP28" s="27">
        <f>IF($B28&lt;&gt;"Challan","",MAX(0,AO28-AN28))</f>
      </c>
      <c r="AQ28" s="33">
        <f>IF($B28&lt;&gt;"Entry","",SUMPRODUCT(($D$4:$D$207=D28)*($B$4:$B$207="Challan")*$F$4:$F$207))</f>
      </c>
      <c r="AR28" s="34">
        <f>IF(OR($B28&lt;&gt;"Entry",Z28=""),FALSE,AND(SUMPRODUCT(($D$4:$D$207=D28)*($B$4:$B$207="Challan")*($H$4:$H$207&lt;&gt;""))&gt;0,SUMPRODUCT(($D$4:$D$207=D28)*($B$4:$B$207="Challan")*($H$4:$H$207=Z28))=0))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lt;&gt;"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f>
      </c>
      <c r="Y29" s="23">
        <f>IF($B29&lt;&gt;"Entry","",IF(LEN(W29)&lt;4,"",IF(UPPER(MID(W29,4,1))="P","Individual",IF(UPPER(MID(W29,4,1))="H","HUF",IF(UPPER(MID(W29,4,1))="C","Company",IF(UPPER(MID(W29,4,1))="F","Firm",IF(UPPER(MID(W29,4,1))="L","LLP",IF(UPPER(MID(W29,4,1))="T","Trust",IF(UPPER(MID(W29,4,1))="A","AOP",""))))))))</f>
      </c>
      <c r="Z29" s="28"/>
      <c r="AA29" s="29">
        <f>IF($B29&lt;&gt;"Entry","",IF(Z29="","",IF(X29="Y",SUMPRODUCT(('Rate Lookup'!$A$1:$A$32=Z29)*'Rate Lookup'!$D$1:$D$32),IF(OR(Y29="Individual",Y29="HUF"),SUMPRODUCT(('Rate Lookup'!$A$1:$A$32=Z29)*'Rate Lookup'!$B$1:$B$32),SUMPRODUCT(('Rate Lookup'!$A$1:$A$32=Z29)*'Rate Lookup'!$C$1:$C$32)))))</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IF($B29&lt;&gt;"Challan","",SUMIF($D$4:$D$207,D29,$AD$4:$AD$207)+SUMIF($D$4:$D$207,D29,$AG$4:$AG$207)+SUMIF($D$4:$D$207,D29,$AE$4:$AE$207))</f>
      </c>
      <c r="AO29" s="27">
        <f>IF($B29&lt;&gt;"Challan","",P29-N29)</f>
      </c>
      <c r="AP29" s="27">
        <f>IF($B29&lt;&gt;"Challan","",MAX(0,AO29-AN29))</f>
      </c>
      <c r="AQ29" s="33">
        <f>IF($B29&lt;&gt;"Entry","",SUMPRODUCT(($D$4:$D$207=D29)*($B$4:$B$207="Challan")*$F$4:$F$207))</f>
      </c>
      <c r="AR29" s="34">
        <f>IF(OR($B29&lt;&gt;"Entry",Z29=""),FALSE,AND(SUMPRODUCT(($D$4:$D$207=D29)*($B$4:$B$207="Challan")*($H$4:$H$207&lt;&gt;""))&gt;0,SUMPRODUCT(($D$4:$D$207=D29)*($B$4:$B$207="Challan")*($H$4:$H$207=Z29))=0))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lt;&gt;"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f>
      </c>
      <c r="Y30" s="23">
        <f>IF($B30&lt;&gt;"Entry","",IF(LEN(W30)&lt;4,"",IF(UPPER(MID(W30,4,1))="P","Individual",IF(UPPER(MID(W30,4,1))="H","HUF",IF(UPPER(MID(W30,4,1))="C","Company",IF(UPPER(MID(W30,4,1))="F","Firm",IF(UPPER(MID(W30,4,1))="L","LLP",IF(UPPER(MID(W30,4,1))="T","Trust",IF(UPPER(MID(W30,4,1))="A","AOP",""))))))))</f>
      </c>
      <c r="Z30" s="28"/>
      <c r="AA30" s="29">
        <f>IF($B30&lt;&gt;"Entry","",IF(Z30="","",IF(X30="Y",SUMPRODUCT(('Rate Lookup'!$A$1:$A$32=Z30)*'Rate Lookup'!$D$1:$D$32),IF(OR(Y30="Individual",Y30="HUF"),SUMPRODUCT(('Rate Lookup'!$A$1:$A$32=Z30)*'Rate Lookup'!$B$1:$B$32),SUMPRODUCT(('Rate Lookup'!$A$1:$A$32=Z30)*'Rate Lookup'!$C$1:$C$32)))))</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IF($B30&lt;&gt;"Challan","",SUMIF($D$4:$D$207,D30,$AD$4:$AD$207)+SUMIF($D$4:$D$207,D30,$AG$4:$AG$207)+SUMIF($D$4:$D$207,D30,$AE$4:$AE$207))</f>
      </c>
      <c r="AO30" s="27">
        <f>IF($B30&lt;&gt;"Challan","",P30-N30)</f>
      </c>
      <c r="AP30" s="27">
        <f>IF($B30&lt;&gt;"Challan","",MAX(0,AO30-AN30))</f>
      </c>
      <c r="AQ30" s="33">
        <f>IF($B30&lt;&gt;"Entry","",SUMPRODUCT(($D$4:$D$207=D30)*($B$4:$B$207="Challan")*$F$4:$F$207))</f>
      </c>
      <c r="AR30" s="34">
        <f>IF(OR($B30&lt;&gt;"Entry",Z30=""),FALSE,AND(SUMPRODUCT(($D$4:$D$207=D30)*($B$4:$B$207="Challan")*($H$4:$H$207&lt;&gt;""))&gt;0,SUMPRODUCT(($D$4:$D$207=D30)*($B$4:$B$207="Challan")*($H$4:$H$207=Z30))=0))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lt;&gt;"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f>
      </c>
      <c r="Y31" s="23">
        <f>IF($B31&lt;&gt;"Entry","",IF(LEN(W31)&lt;4,"",IF(UPPER(MID(W31,4,1))="P","Individual",IF(UPPER(MID(W31,4,1))="H","HUF",IF(UPPER(MID(W31,4,1))="C","Company",IF(UPPER(MID(W31,4,1))="F","Firm",IF(UPPER(MID(W31,4,1))="L","LLP",IF(UPPER(MID(W31,4,1))="T","Trust",IF(UPPER(MID(W31,4,1))="A","AOP",""))))))))</f>
      </c>
      <c r="Z31" s="28"/>
      <c r="AA31" s="29">
        <f>IF($B31&lt;&gt;"Entry","",IF(Z31="","",IF(X31="Y",SUMPRODUCT(('Rate Lookup'!$A$1:$A$32=Z31)*'Rate Lookup'!$D$1:$D$32),IF(OR(Y31="Individual",Y31="HUF"),SUMPRODUCT(('Rate Lookup'!$A$1:$A$32=Z31)*'Rate Lookup'!$B$1:$B$32),SUMPRODUCT(('Rate Lookup'!$A$1:$A$32=Z31)*'Rate Lookup'!$C$1:$C$32)))))</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IF($B31&lt;&gt;"Challan","",SUMIF($D$4:$D$207,D31,$AD$4:$AD$207)+SUMIF($D$4:$D$207,D31,$AG$4:$AG$207)+SUMIF($D$4:$D$207,D31,$AE$4:$AE$207))</f>
      </c>
      <c r="AO31" s="27">
        <f>IF($B31&lt;&gt;"Challan","",P31-N31)</f>
      </c>
      <c r="AP31" s="27">
        <f>IF($B31&lt;&gt;"Challan","",MAX(0,AO31-AN31))</f>
      </c>
      <c r="AQ31" s="33">
        <f>IF($B31&lt;&gt;"Entry","",SUMPRODUCT(($D$4:$D$207=D31)*($B$4:$B$207="Challan")*$F$4:$F$207))</f>
      </c>
      <c r="AR31" s="34">
        <f>IF(OR($B31&lt;&gt;"Entry",Z31=""),FALSE,AND(SUMPRODUCT(($D$4:$D$207=D31)*($B$4:$B$207="Challan")*($H$4:$H$207&lt;&gt;""))&gt;0,SUMPRODUCT(($D$4:$D$207=D31)*($B$4:$B$207="Challan")*($H$4:$H$207=Z31))=0))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lt;&gt;"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f>
      </c>
      <c r="Y32" s="23">
        <f>IF($B32&lt;&gt;"Entry","",IF(LEN(W32)&lt;4,"",IF(UPPER(MID(W32,4,1))="P","Individual",IF(UPPER(MID(W32,4,1))="H","HUF",IF(UPPER(MID(W32,4,1))="C","Company",IF(UPPER(MID(W32,4,1))="F","Firm",IF(UPPER(MID(W32,4,1))="L","LLP",IF(UPPER(MID(W32,4,1))="T","Trust",IF(UPPER(MID(W32,4,1))="A","AOP",""))))))))</f>
      </c>
      <c r="Z32" s="28"/>
      <c r="AA32" s="29">
        <f>IF($B32&lt;&gt;"Entry","",IF(Z32="","",IF(X32="Y",SUMPRODUCT(('Rate Lookup'!$A$1:$A$32=Z32)*'Rate Lookup'!$D$1:$D$32),IF(OR(Y32="Individual",Y32="HUF"),SUMPRODUCT(('Rate Lookup'!$A$1:$A$32=Z32)*'Rate Lookup'!$B$1:$B$32),SUMPRODUCT(('Rate Lookup'!$A$1:$A$32=Z32)*'Rate Lookup'!$C$1:$C$32)))))</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IF($B32&lt;&gt;"Challan","",SUMIF($D$4:$D$207,D32,$AD$4:$AD$207)+SUMIF($D$4:$D$207,D32,$AG$4:$AG$207)+SUMIF($D$4:$D$207,D32,$AE$4:$AE$207))</f>
      </c>
      <c r="AO32" s="27">
        <f>IF($B32&lt;&gt;"Challan","",P32-N32)</f>
      </c>
      <c r="AP32" s="27">
        <f>IF($B32&lt;&gt;"Challan","",MAX(0,AO32-AN32))</f>
      </c>
      <c r="AQ32" s="33">
        <f>IF($B32&lt;&gt;"Entry","",SUMPRODUCT(($D$4:$D$207=D32)*($B$4:$B$207="Challan")*$F$4:$F$207))</f>
      </c>
      <c r="AR32" s="34">
        <f>IF(OR($B32&lt;&gt;"Entry",Z32=""),FALSE,AND(SUMPRODUCT(($D$4:$D$207=D32)*($B$4:$B$207="Challan")*($H$4:$H$207&lt;&gt;""))&gt;0,SUMPRODUCT(($D$4:$D$207=D32)*($B$4:$B$207="Challan")*($H$4:$H$207=Z32))=0))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lt;&gt;"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f>
      </c>
      <c r="Y33" s="23">
        <f>IF($B33&lt;&gt;"Entry","",IF(LEN(W33)&lt;4,"",IF(UPPER(MID(W33,4,1))="P","Individual",IF(UPPER(MID(W33,4,1))="H","HUF",IF(UPPER(MID(W33,4,1))="C","Company",IF(UPPER(MID(W33,4,1))="F","Firm",IF(UPPER(MID(W33,4,1))="L","LLP",IF(UPPER(MID(W33,4,1))="T","Trust",IF(UPPER(MID(W33,4,1))="A","AOP",""))))))))</f>
      </c>
      <c r="Z33" s="28"/>
      <c r="AA33" s="29">
        <f>IF($B33&lt;&gt;"Entry","",IF(Z33="","",IF(X33="Y",SUMPRODUCT(('Rate Lookup'!$A$1:$A$32=Z33)*'Rate Lookup'!$D$1:$D$32),IF(OR(Y33="Individual",Y33="HUF"),SUMPRODUCT(('Rate Lookup'!$A$1:$A$32=Z33)*'Rate Lookup'!$B$1:$B$32),SUMPRODUCT(('Rate Lookup'!$A$1:$A$32=Z33)*'Rate Lookup'!$C$1:$C$32)))))</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IF($B33&lt;&gt;"Challan","",SUMIF($D$4:$D$207,D33,$AD$4:$AD$207)+SUMIF($D$4:$D$207,D33,$AG$4:$AG$207)+SUMIF($D$4:$D$207,D33,$AE$4:$AE$207))</f>
      </c>
      <c r="AO33" s="27">
        <f>IF($B33&lt;&gt;"Challan","",P33-N33)</f>
      </c>
      <c r="AP33" s="27">
        <f>IF($B33&lt;&gt;"Challan","",MAX(0,AO33-AN33))</f>
      </c>
      <c r="AQ33" s="33">
        <f>IF($B33&lt;&gt;"Entry","",SUMPRODUCT(($D$4:$D$207=D33)*($B$4:$B$207="Challan")*$F$4:$F$207))</f>
      </c>
      <c r="AR33" s="34">
        <f>IF(OR($B33&lt;&gt;"Entry",Z33=""),FALSE,AND(SUMPRODUCT(($D$4:$D$207=D33)*($B$4:$B$207="Challan")*($H$4:$H$207&lt;&gt;""))&gt;0,SUMPRODUCT(($D$4:$D$207=D33)*($B$4:$B$207="Challan")*($H$4:$H$207=Z33))=0))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lt;&gt;"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f>
      </c>
      <c r="Y34" s="23">
        <f>IF($B34&lt;&gt;"Entry","",IF(LEN(W34)&lt;4,"",IF(UPPER(MID(W34,4,1))="P","Individual",IF(UPPER(MID(W34,4,1))="H","HUF",IF(UPPER(MID(W34,4,1))="C","Company",IF(UPPER(MID(W34,4,1))="F","Firm",IF(UPPER(MID(W34,4,1))="L","LLP",IF(UPPER(MID(W34,4,1))="T","Trust",IF(UPPER(MID(W34,4,1))="A","AOP",""))))))))</f>
      </c>
      <c r="Z34" s="28"/>
      <c r="AA34" s="29">
        <f>IF($B34&lt;&gt;"Entry","",IF(Z34="","",IF(X34="Y",SUMPRODUCT(('Rate Lookup'!$A$1:$A$32=Z34)*'Rate Lookup'!$D$1:$D$32),IF(OR(Y34="Individual",Y34="HUF"),SUMPRODUCT(('Rate Lookup'!$A$1:$A$32=Z34)*'Rate Lookup'!$B$1:$B$32),SUMPRODUCT(('Rate Lookup'!$A$1:$A$32=Z34)*'Rate Lookup'!$C$1:$C$32)))))</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IF($B34&lt;&gt;"Challan","",SUMIF($D$4:$D$207,D34,$AD$4:$AD$207)+SUMIF($D$4:$D$207,D34,$AG$4:$AG$207)+SUMIF($D$4:$D$207,D34,$AE$4:$AE$207))</f>
      </c>
      <c r="AO34" s="27">
        <f>IF($B34&lt;&gt;"Challan","",P34-N34)</f>
      </c>
      <c r="AP34" s="27">
        <f>IF($B34&lt;&gt;"Challan","",MAX(0,AO34-AN34))</f>
      </c>
      <c r="AQ34" s="33">
        <f>IF($B34&lt;&gt;"Entry","",SUMPRODUCT(($D$4:$D$207=D34)*($B$4:$B$207="Challan")*$F$4:$F$207))</f>
      </c>
      <c r="AR34" s="34">
        <f>IF(OR($B34&lt;&gt;"Entry",Z34=""),FALSE,AND(SUMPRODUCT(($D$4:$D$207=D34)*($B$4:$B$207="Challan")*($H$4:$H$207&lt;&gt;""))&gt;0,SUMPRODUCT(($D$4:$D$207=D34)*($B$4:$B$207="Challan")*($H$4:$H$207=Z34))=0))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lt;&gt;"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f>
      </c>
      <c r="Y35" s="23">
        <f>IF($B35&lt;&gt;"Entry","",IF(LEN(W35)&lt;4,"",IF(UPPER(MID(W35,4,1))="P","Individual",IF(UPPER(MID(W35,4,1))="H","HUF",IF(UPPER(MID(W35,4,1))="C","Company",IF(UPPER(MID(W35,4,1))="F","Firm",IF(UPPER(MID(W35,4,1))="L","LLP",IF(UPPER(MID(W35,4,1))="T","Trust",IF(UPPER(MID(W35,4,1))="A","AOP",""))))))))</f>
      </c>
      <c r="Z35" s="28"/>
      <c r="AA35" s="29">
        <f>IF($B35&lt;&gt;"Entry","",IF(Z35="","",IF(X35="Y",SUMPRODUCT(('Rate Lookup'!$A$1:$A$32=Z35)*'Rate Lookup'!$D$1:$D$32),IF(OR(Y35="Individual",Y35="HUF"),SUMPRODUCT(('Rate Lookup'!$A$1:$A$32=Z35)*'Rate Lookup'!$B$1:$B$32),SUMPRODUCT(('Rate Lookup'!$A$1:$A$32=Z35)*'Rate Lookup'!$C$1:$C$32)))))</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IF($B35&lt;&gt;"Challan","",SUMIF($D$4:$D$207,D35,$AD$4:$AD$207)+SUMIF($D$4:$D$207,D35,$AG$4:$AG$207)+SUMIF($D$4:$D$207,D35,$AE$4:$AE$207))</f>
      </c>
      <c r="AO35" s="27">
        <f>IF($B35&lt;&gt;"Challan","",P35-N35)</f>
      </c>
      <c r="AP35" s="27">
        <f>IF($B35&lt;&gt;"Challan","",MAX(0,AO35-AN35))</f>
      </c>
      <c r="AQ35" s="33">
        <f>IF($B35&lt;&gt;"Entry","",SUMPRODUCT(($D$4:$D$207=D35)*($B$4:$B$207="Challan")*$F$4:$F$207))</f>
      </c>
      <c r="AR35" s="34">
        <f>IF(OR($B35&lt;&gt;"Entry",Z35=""),FALSE,AND(SUMPRODUCT(($D$4:$D$207=D35)*($B$4:$B$207="Challan")*($H$4:$H$207&lt;&gt;""))&gt;0,SUMPRODUCT(($D$4:$D$207=D35)*($B$4:$B$207="Challan")*($H$4:$H$207=Z35))=0))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lt;&gt;"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f>
      </c>
      <c r="Y36" s="23">
        <f>IF($B36&lt;&gt;"Entry","",IF(LEN(W36)&lt;4,"",IF(UPPER(MID(W36,4,1))="P","Individual",IF(UPPER(MID(W36,4,1))="H","HUF",IF(UPPER(MID(W36,4,1))="C","Company",IF(UPPER(MID(W36,4,1))="F","Firm",IF(UPPER(MID(W36,4,1))="L","LLP",IF(UPPER(MID(W36,4,1))="T","Trust",IF(UPPER(MID(W36,4,1))="A","AOP",""))))))))</f>
      </c>
      <c r="Z36" s="28"/>
      <c r="AA36" s="29">
        <f>IF($B36&lt;&gt;"Entry","",IF(Z36="","",IF(X36="Y",SUMPRODUCT(('Rate Lookup'!$A$1:$A$32=Z36)*'Rate Lookup'!$D$1:$D$32),IF(OR(Y36="Individual",Y36="HUF"),SUMPRODUCT(('Rate Lookup'!$A$1:$A$32=Z36)*'Rate Lookup'!$B$1:$B$32),SUMPRODUCT(('Rate Lookup'!$A$1:$A$32=Z36)*'Rate Lookup'!$C$1:$C$32)))))</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IF($B36&lt;&gt;"Challan","",SUMIF($D$4:$D$207,D36,$AD$4:$AD$207)+SUMIF($D$4:$D$207,D36,$AG$4:$AG$207)+SUMIF($D$4:$D$207,D36,$AE$4:$AE$207))</f>
      </c>
      <c r="AO36" s="27">
        <f>IF($B36&lt;&gt;"Challan","",P36-N36)</f>
      </c>
      <c r="AP36" s="27">
        <f>IF($B36&lt;&gt;"Challan","",MAX(0,AO36-AN36))</f>
      </c>
      <c r="AQ36" s="33">
        <f>IF($B36&lt;&gt;"Entry","",SUMPRODUCT(($D$4:$D$207=D36)*($B$4:$B$207="Challan")*$F$4:$F$207))</f>
      </c>
      <c r="AR36" s="34">
        <f>IF(OR($B36&lt;&gt;"Entry",Z36=""),FALSE,AND(SUMPRODUCT(($D$4:$D$207=D36)*($B$4:$B$207="Challan")*($H$4:$H$207&lt;&gt;""))&gt;0,SUMPRODUCT(($D$4:$D$207=D36)*($B$4:$B$207="Challan")*($H$4:$H$207=Z36))=0))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lt;&gt;"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f>
      </c>
      <c r="Y37" s="23">
        <f>IF($B37&lt;&gt;"Entry","",IF(LEN(W37)&lt;4,"",IF(UPPER(MID(W37,4,1))="P","Individual",IF(UPPER(MID(W37,4,1))="H","HUF",IF(UPPER(MID(W37,4,1))="C","Company",IF(UPPER(MID(W37,4,1))="F","Firm",IF(UPPER(MID(W37,4,1))="L","LLP",IF(UPPER(MID(W37,4,1))="T","Trust",IF(UPPER(MID(W37,4,1))="A","AOP",""))))))))</f>
      </c>
      <c r="Z37" s="28"/>
      <c r="AA37" s="29">
        <f>IF($B37&lt;&gt;"Entry","",IF(Z37="","",IF(X37="Y",SUMPRODUCT(('Rate Lookup'!$A$1:$A$32=Z37)*'Rate Lookup'!$D$1:$D$32),IF(OR(Y37="Individual",Y37="HUF"),SUMPRODUCT(('Rate Lookup'!$A$1:$A$32=Z37)*'Rate Lookup'!$B$1:$B$32),SUMPRODUCT(('Rate Lookup'!$A$1:$A$32=Z37)*'Rate Lookup'!$C$1:$C$32)))))</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IF($B37&lt;&gt;"Challan","",SUMIF($D$4:$D$207,D37,$AD$4:$AD$207)+SUMIF($D$4:$D$207,D37,$AG$4:$AG$207)+SUMIF($D$4:$D$207,D37,$AE$4:$AE$207))</f>
      </c>
      <c r="AO37" s="27">
        <f>IF($B37&lt;&gt;"Challan","",P37-N37)</f>
      </c>
      <c r="AP37" s="27">
        <f>IF($B37&lt;&gt;"Challan","",MAX(0,AO37-AN37))</f>
      </c>
      <c r="AQ37" s="33">
        <f>IF($B37&lt;&gt;"Entry","",SUMPRODUCT(($D$4:$D$207=D37)*($B$4:$B$207="Challan")*$F$4:$F$207))</f>
      </c>
      <c r="AR37" s="34">
        <f>IF(OR($B37&lt;&gt;"Entry",Z37=""),FALSE,AND(SUMPRODUCT(($D$4:$D$207=D37)*($B$4:$B$207="Challan")*($H$4:$H$207&lt;&gt;""))&gt;0,SUMPRODUCT(($D$4:$D$207=D37)*($B$4:$B$207="Challan")*($H$4:$H$207=Z37))=0))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lt;&gt;"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f>
      </c>
      <c r="Y38" s="23">
        <f>IF($B38&lt;&gt;"Entry","",IF(LEN(W38)&lt;4,"",IF(UPPER(MID(W38,4,1))="P","Individual",IF(UPPER(MID(W38,4,1))="H","HUF",IF(UPPER(MID(W38,4,1))="C","Company",IF(UPPER(MID(W38,4,1))="F","Firm",IF(UPPER(MID(W38,4,1))="L","LLP",IF(UPPER(MID(W38,4,1))="T","Trust",IF(UPPER(MID(W38,4,1))="A","AOP",""))))))))</f>
      </c>
      <c r="Z38" s="28"/>
      <c r="AA38" s="29">
        <f>IF($B38&lt;&gt;"Entry","",IF(Z38="","",IF(X38="Y",SUMPRODUCT(('Rate Lookup'!$A$1:$A$32=Z38)*'Rate Lookup'!$D$1:$D$32),IF(OR(Y38="Individual",Y38="HUF"),SUMPRODUCT(('Rate Lookup'!$A$1:$A$32=Z38)*'Rate Lookup'!$B$1:$B$32),SUMPRODUCT(('Rate Lookup'!$A$1:$A$32=Z38)*'Rate Lookup'!$C$1:$C$32)))))</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IF($B38&lt;&gt;"Challan","",SUMIF($D$4:$D$207,D38,$AD$4:$AD$207)+SUMIF($D$4:$D$207,D38,$AG$4:$AG$207)+SUMIF($D$4:$D$207,D38,$AE$4:$AE$207))</f>
      </c>
      <c r="AO38" s="27">
        <f>IF($B38&lt;&gt;"Challan","",P38-N38)</f>
      </c>
      <c r="AP38" s="27">
        <f>IF($B38&lt;&gt;"Challan","",MAX(0,AO38-AN38))</f>
      </c>
      <c r="AQ38" s="33">
        <f>IF($B38&lt;&gt;"Entry","",SUMPRODUCT(($D$4:$D$207=D38)*($B$4:$B$207="Challan")*$F$4:$F$207))</f>
      </c>
      <c r="AR38" s="34">
        <f>IF(OR($B38&lt;&gt;"Entry",Z38=""),FALSE,AND(SUMPRODUCT(($D$4:$D$207=D38)*($B$4:$B$207="Challan")*($H$4:$H$207&lt;&gt;""))&gt;0,SUMPRODUCT(($D$4:$D$207=D38)*($B$4:$B$207="Challan")*($H$4:$H$207=Z38))=0))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lt;&gt;"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f>
      </c>
      <c r="Y39" s="23">
        <f>IF($B39&lt;&gt;"Entry","",IF(LEN(W39)&lt;4,"",IF(UPPER(MID(W39,4,1))="P","Individual",IF(UPPER(MID(W39,4,1))="H","HUF",IF(UPPER(MID(W39,4,1))="C","Company",IF(UPPER(MID(W39,4,1))="F","Firm",IF(UPPER(MID(W39,4,1))="L","LLP",IF(UPPER(MID(W39,4,1))="T","Trust",IF(UPPER(MID(W39,4,1))="A","AOP",""))))))))</f>
      </c>
      <c r="Z39" s="28"/>
      <c r="AA39" s="29">
        <f>IF($B39&lt;&gt;"Entry","",IF(Z39="","",IF(X39="Y",SUMPRODUCT(('Rate Lookup'!$A$1:$A$32=Z39)*'Rate Lookup'!$D$1:$D$32),IF(OR(Y39="Individual",Y39="HUF"),SUMPRODUCT(('Rate Lookup'!$A$1:$A$32=Z39)*'Rate Lookup'!$B$1:$B$32),SUMPRODUCT(('Rate Lookup'!$A$1:$A$32=Z39)*'Rate Lookup'!$C$1:$C$32)))))</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IF($B39&lt;&gt;"Challan","",SUMIF($D$4:$D$207,D39,$AD$4:$AD$207)+SUMIF($D$4:$D$207,D39,$AG$4:$AG$207)+SUMIF($D$4:$D$207,D39,$AE$4:$AE$207))</f>
      </c>
      <c r="AO39" s="27">
        <f>IF($B39&lt;&gt;"Challan","",P39-N39)</f>
      </c>
      <c r="AP39" s="27">
        <f>IF($B39&lt;&gt;"Challan","",MAX(0,AO39-AN39))</f>
      </c>
      <c r="AQ39" s="33">
        <f>IF($B39&lt;&gt;"Entry","",SUMPRODUCT(($D$4:$D$207=D39)*($B$4:$B$207="Challan")*$F$4:$F$207))</f>
      </c>
      <c r="AR39" s="34">
        <f>IF(OR($B39&lt;&gt;"Entry",Z39=""),FALSE,AND(SUMPRODUCT(($D$4:$D$207=D39)*($B$4:$B$207="Challan")*($H$4:$H$207&lt;&gt;""))&gt;0,SUMPRODUCT(($D$4:$D$207=D39)*($B$4:$B$207="Challan")*($H$4:$H$207=Z39))=0))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lt;&gt;"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f>
      </c>
      <c r="Y40" s="23">
        <f>IF($B40&lt;&gt;"Entry","",IF(LEN(W40)&lt;4,"",IF(UPPER(MID(W40,4,1))="P","Individual",IF(UPPER(MID(W40,4,1))="H","HUF",IF(UPPER(MID(W40,4,1))="C","Company",IF(UPPER(MID(W40,4,1))="F","Firm",IF(UPPER(MID(W40,4,1))="L","LLP",IF(UPPER(MID(W40,4,1))="T","Trust",IF(UPPER(MID(W40,4,1))="A","AOP",""))))))))</f>
      </c>
      <c r="Z40" s="28"/>
      <c r="AA40" s="29">
        <f>IF($B40&lt;&gt;"Entry","",IF(Z40="","",IF(X40="Y",SUMPRODUCT(('Rate Lookup'!$A$1:$A$32=Z40)*'Rate Lookup'!$D$1:$D$32),IF(OR(Y40="Individual",Y40="HUF"),SUMPRODUCT(('Rate Lookup'!$A$1:$A$32=Z40)*'Rate Lookup'!$B$1:$B$32),SUMPRODUCT(('Rate Lookup'!$A$1:$A$32=Z40)*'Rate Lookup'!$C$1:$C$32)))))</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IF($B40&lt;&gt;"Challan","",SUMIF($D$4:$D$207,D40,$AD$4:$AD$207)+SUMIF($D$4:$D$207,D40,$AG$4:$AG$207)+SUMIF($D$4:$D$207,D40,$AE$4:$AE$207))</f>
      </c>
      <c r="AO40" s="27">
        <f>IF($B40&lt;&gt;"Challan","",P40-N40)</f>
      </c>
      <c r="AP40" s="27">
        <f>IF($B40&lt;&gt;"Challan","",MAX(0,AO40-AN40))</f>
      </c>
      <c r="AQ40" s="33">
        <f>IF($B40&lt;&gt;"Entry","",SUMPRODUCT(($D$4:$D$207=D40)*($B$4:$B$207="Challan")*$F$4:$F$207))</f>
      </c>
      <c r="AR40" s="34">
        <f>IF(OR($B40&lt;&gt;"Entry",Z40=""),FALSE,AND(SUMPRODUCT(($D$4:$D$207=D40)*($B$4:$B$207="Challan")*($H$4:$H$207&lt;&gt;""))&gt;0,SUMPRODUCT(($D$4:$D$207=D40)*($B$4:$B$207="Challan")*($H$4:$H$207=Z40))=0))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lt;&gt;"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f>
      </c>
      <c r="Y41" s="23">
        <f>IF($B41&lt;&gt;"Entry","",IF(LEN(W41)&lt;4,"",IF(UPPER(MID(W41,4,1))="P","Individual",IF(UPPER(MID(W41,4,1))="H","HUF",IF(UPPER(MID(W41,4,1))="C","Company",IF(UPPER(MID(W41,4,1))="F","Firm",IF(UPPER(MID(W41,4,1))="L","LLP",IF(UPPER(MID(W41,4,1))="T","Trust",IF(UPPER(MID(W41,4,1))="A","AOP",""))))))))</f>
      </c>
      <c r="Z41" s="28"/>
      <c r="AA41" s="29">
        <f>IF($B41&lt;&gt;"Entry","",IF(Z41="","",IF(X41="Y",SUMPRODUCT(('Rate Lookup'!$A$1:$A$32=Z41)*'Rate Lookup'!$D$1:$D$32),IF(OR(Y41="Individual",Y41="HUF"),SUMPRODUCT(('Rate Lookup'!$A$1:$A$32=Z41)*'Rate Lookup'!$B$1:$B$32),SUMPRODUCT(('Rate Lookup'!$A$1:$A$32=Z41)*'Rate Lookup'!$C$1:$C$32)))))</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IF($B41&lt;&gt;"Challan","",SUMIF($D$4:$D$207,D41,$AD$4:$AD$207)+SUMIF($D$4:$D$207,D41,$AG$4:$AG$207)+SUMIF($D$4:$D$207,D41,$AE$4:$AE$207))</f>
      </c>
      <c r="AO41" s="27">
        <f>IF($B41&lt;&gt;"Challan","",P41-N41)</f>
      </c>
      <c r="AP41" s="27">
        <f>IF($B41&lt;&gt;"Challan","",MAX(0,AO41-AN41))</f>
      </c>
      <c r="AQ41" s="33">
        <f>IF($B41&lt;&gt;"Entry","",SUMPRODUCT(($D$4:$D$207=D41)*($B$4:$B$207="Challan")*$F$4:$F$207))</f>
      </c>
      <c r="AR41" s="34">
        <f>IF(OR($B41&lt;&gt;"Entry",Z41=""),FALSE,AND(SUMPRODUCT(($D$4:$D$207=D41)*($B$4:$B$207="Challan")*($H$4:$H$207&lt;&gt;""))&gt;0,SUMPRODUCT(($D$4:$D$207=D41)*($B$4:$B$207="Challan")*($H$4:$H$207=Z41))=0))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lt;&gt;"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f>
      </c>
      <c r="Y42" s="23">
        <f>IF($B42&lt;&gt;"Entry","",IF(LEN(W42)&lt;4,"",IF(UPPER(MID(W42,4,1))="P","Individual",IF(UPPER(MID(W42,4,1))="H","HUF",IF(UPPER(MID(W42,4,1))="C","Company",IF(UPPER(MID(W42,4,1))="F","Firm",IF(UPPER(MID(W42,4,1))="L","LLP",IF(UPPER(MID(W42,4,1))="T","Trust",IF(UPPER(MID(W42,4,1))="A","AOP",""))))))))</f>
      </c>
      <c r="Z42" s="28"/>
      <c r="AA42" s="29">
        <f>IF($B42&lt;&gt;"Entry","",IF(Z42="","",IF(X42="Y",SUMPRODUCT(('Rate Lookup'!$A$1:$A$32=Z42)*'Rate Lookup'!$D$1:$D$32),IF(OR(Y42="Individual",Y42="HUF"),SUMPRODUCT(('Rate Lookup'!$A$1:$A$32=Z42)*'Rate Lookup'!$B$1:$B$32),SUMPRODUCT(('Rate Lookup'!$A$1:$A$32=Z42)*'Rate Lookup'!$C$1:$C$32)))))</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IF($B42&lt;&gt;"Challan","",SUMIF($D$4:$D$207,D42,$AD$4:$AD$207)+SUMIF($D$4:$D$207,D42,$AG$4:$AG$207)+SUMIF($D$4:$D$207,D42,$AE$4:$AE$207))</f>
      </c>
      <c r="AO42" s="27">
        <f>IF($B42&lt;&gt;"Challan","",P42-N42)</f>
      </c>
      <c r="AP42" s="27">
        <f>IF($B42&lt;&gt;"Challan","",MAX(0,AO42-AN42))</f>
      </c>
      <c r="AQ42" s="33">
        <f>IF($B42&lt;&gt;"Entry","",SUMPRODUCT(($D$4:$D$207=D42)*($B$4:$B$207="Challan")*$F$4:$F$207))</f>
      </c>
      <c r="AR42" s="34">
        <f>IF(OR($B42&lt;&gt;"Entry",Z42=""),FALSE,AND(SUMPRODUCT(($D$4:$D$207=D42)*($B$4:$B$207="Challan")*($H$4:$H$207&lt;&gt;""))&gt;0,SUMPRODUCT(($D$4:$D$207=D42)*($B$4:$B$207="Challan")*($H$4:$H$207=Z42))=0))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lt;&gt;"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f>
      </c>
      <c r="Y43" s="23">
        <f>IF($B43&lt;&gt;"Entry","",IF(LEN(W43)&lt;4,"",IF(UPPER(MID(W43,4,1))="P","Individual",IF(UPPER(MID(W43,4,1))="H","HUF",IF(UPPER(MID(W43,4,1))="C","Company",IF(UPPER(MID(W43,4,1))="F","Firm",IF(UPPER(MID(W43,4,1))="L","LLP",IF(UPPER(MID(W43,4,1))="T","Trust",IF(UPPER(MID(W43,4,1))="A","AOP",""))))))))</f>
      </c>
      <c r="Z43" s="28"/>
      <c r="AA43" s="29">
        <f>IF($B43&lt;&gt;"Entry","",IF(Z43="","",IF(X43="Y",SUMPRODUCT(('Rate Lookup'!$A$1:$A$32=Z43)*'Rate Lookup'!$D$1:$D$32),IF(OR(Y43="Individual",Y43="HUF"),SUMPRODUCT(('Rate Lookup'!$A$1:$A$32=Z43)*'Rate Lookup'!$B$1:$B$32),SUMPRODUCT(('Rate Lookup'!$A$1:$A$32=Z43)*'Rate Lookup'!$C$1:$C$32)))))</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IF($B43&lt;&gt;"Challan","",SUMIF($D$4:$D$207,D43,$AD$4:$AD$207)+SUMIF($D$4:$D$207,D43,$AG$4:$AG$207)+SUMIF($D$4:$D$207,D43,$AE$4:$AE$207))</f>
      </c>
      <c r="AO43" s="27">
        <f>IF($B43&lt;&gt;"Challan","",P43-N43)</f>
      </c>
      <c r="AP43" s="27">
        <f>IF($B43&lt;&gt;"Challan","",MAX(0,AO43-AN43))</f>
      </c>
      <c r="AQ43" s="33">
        <f>IF($B43&lt;&gt;"Entry","",SUMPRODUCT(($D$4:$D$207=D43)*($B$4:$B$207="Challan")*$F$4:$F$207))</f>
      </c>
      <c r="AR43" s="34">
        <f>IF(OR($B43&lt;&gt;"Entry",Z43=""),FALSE,AND(SUMPRODUCT(($D$4:$D$207=D43)*($B$4:$B$207="Challan")*($H$4:$H$207&lt;&gt;""))&gt;0,SUMPRODUCT(($D$4:$D$207=D43)*($B$4:$B$207="Challan")*($H$4:$H$207=Z43))=0))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lt;&gt;"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f>
      </c>
      <c r="Y44" s="23">
        <f>IF($B44&lt;&gt;"Entry","",IF(LEN(W44)&lt;4,"",IF(UPPER(MID(W44,4,1))="P","Individual",IF(UPPER(MID(W44,4,1))="H","HUF",IF(UPPER(MID(W44,4,1))="C","Company",IF(UPPER(MID(W44,4,1))="F","Firm",IF(UPPER(MID(W44,4,1))="L","LLP",IF(UPPER(MID(W44,4,1))="T","Trust",IF(UPPER(MID(W44,4,1))="A","AOP",""))))))))</f>
      </c>
      <c r="Z44" s="28"/>
      <c r="AA44" s="29">
        <f>IF($B44&lt;&gt;"Entry","",IF(Z44="","",IF(X44="Y",SUMPRODUCT(('Rate Lookup'!$A$1:$A$32=Z44)*'Rate Lookup'!$D$1:$D$32),IF(OR(Y44="Individual",Y44="HUF"),SUMPRODUCT(('Rate Lookup'!$A$1:$A$32=Z44)*'Rate Lookup'!$B$1:$B$32),SUMPRODUCT(('Rate Lookup'!$A$1:$A$32=Z44)*'Rate Lookup'!$C$1:$C$32)))))</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IF($B44&lt;&gt;"Challan","",SUMIF($D$4:$D$207,D44,$AD$4:$AD$207)+SUMIF($D$4:$D$207,D44,$AG$4:$AG$207)+SUMIF($D$4:$D$207,D44,$AE$4:$AE$207))</f>
      </c>
      <c r="AO44" s="27">
        <f>IF($B44&lt;&gt;"Challan","",P44-N44)</f>
      </c>
      <c r="AP44" s="27">
        <f>IF($B44&lt;&gt;"Challan","",MAX(0,AO44-AN44))</f>
      </c>
      <c r="AQ44" s="33">
        <f>IF($B44&lt;&gt;"Entry","",SUMPRODUCT(($D$4:$D$207=D44)*($B$4:$B$207="Challan")*$F$4:$F$207))</f>
      </c>
      <c r="AR44" s="34">
        <f>IF(OR($B44&lt;&gt;"Entry",Z44=""),FALSE,AND(SUMPRODUCT(($D$4:$D$207=D44)*($B$4:$B$207="Challan")*($H$4:$H$207&lt;&gt;""))&gt;0,SUMPRODUCT(($D$4:$D$207=D44)*($B$4:$B$207="Challan")*($H$4:$H$207=Z44))=0))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lt;&gt;"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f>
      </c>
      <c r="Y45" s="23">
        <f>IF($B45&lt;&gt;"Entry","",IF(LEN(W45)&lt;4,"",IF(UPPER(MID(W45,4,1))="P","Individual",IF(UPPER(MID(W45,4,1))="H","HUF",IF(UPPER(MID(W45,4,1))="C","Company",IF(UPPER(MID(W45,4,1))="F","Firm",IF(UPPER(MID(W45,4,1))="L","LLP",IF(UPPER(MID(W45,4,1))="T","Trust",IF(UPPER(MID(W45,4,1))="A","AOP",""))))))))</f>
      </c>
      <c r="Z45" s="28"/>
      <c r="AA45" s="29">
        <f>IF($B45&lt;&gt;"Entry","",IF(Z45="","",IF(X45="Y",SUMPRODUCT(('Rate Lookup'!$A$1:$A$32=Z45)*'Rate Lookup'!$D$1:$D$32),IF(OR(Y45="Individual",Y45="HUF"),SUMPRODUCT(('Rate Lookup'!$A$1:$A$32=Z45)*'Rate Lookup'!$B$1:$B$32),SUMPRODUCT(('Rate Lookup'!$A$1:$A$32=Z45)*'Rate Lookup'!$C$1:$C$32)))))</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IF($B45&lt;&gt;"Challan","",SUMIF($D$4:$D$207,D45,$AD$4:$AD$207)+SUMIF($D$4:$D$207,D45,$AG$4:$AG$207)+SUMIF($D$4:$D$207,D45,$AE$4:$AE$207))</f>
      </c>
      <c r="AO45" s="27">
        <f>IF($B45&lt;&gt;"Challan","",P45-N45)</f>
      </c>
      <c r="AP45" s="27">
        <f>IF($B45&lt;&gt;"Challan","",MAX(0,AO45-AN45))</f>
      </c>
      <c r="AQ45" s="33">
        <f>IF($B45&lt;&gt;"Entry","",SUMPRODUCT(($D$4:$D$207=D45)*($B$4:$B$207="Challan")*$F$4:$F$207))</f>
      </c>
      <c r="AR45" s="34">
        <f>IF(OR($B45&lt;&gt;"Entry",Z45=""),FALSE,AND(SUMPRODUCT(($D$4:$D$207=D45)*($B$4:$B$207="Challan")*($H$4:$H$207&lt;&gt;""))&gt;0,SUMPRODUCT(($D$4:$D$207=D45)*($B$4:$B$207="Challan")*($H$4:$H$207=Z45))=0))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lt;&gt;"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f>
      </c>
      <c r="Y46" s="23">
        <f>IF($B46&lt;&gt;"Entry","",IF(LEN(W46)&lt;4,"",IF(UPPER(MID(W46,4,1))="P","Individual",IF(UPPER(MID(W46,4,1))="H","HUF",IF(UPPER(MID(W46,4,1))="C","Company",IF(UPPER(MID(W46,4,1))="F","Firm",IF(UPPER(MID(W46,4,1))="L","LLP",IF(UPPER(MID(W46,4,1))="T","Trust",IF(UPPER(MID(W46,4,1))="A","AOP",""))))))))</f>
      </c>
      <c r="Z46" s="28"/>
      <c r="AA46" s="29">
        <f>IF($B46&lt;&gt;"Entry","",IF(Z46="","",IF(X46="Y",SUMPRODUCT(('Rate Lookup'!$A$1:$A$32=Z46)*'Rate Lookup'!$D$1:$D$32),IF(OR(Y46="Individual",Y46="HUF"),SUMPRODUCT(('Rate Lookup'!$A$1:$A$32=Z46)*'Rate Lookup'!$B$1:$B$32),SUMPRODUCT(('Rate Lookup'!$A$1:$A$32=Z46)*'Rate Lookup'!$C$1:$C$32)))))</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IF($B46&lt;&gt;"Challan","",SUMIF($D$4:$D$207,D46,$AD$4:$AD$207)+SUMIF($D$4:$D$207,D46,$AG$4:$AG$207)+SUMIF($D$4:$D$207,D46,$AE$4:$AE$207))</f>
      </c>
      <c r="AO46" s="27">
        <f>IF($B46&lt;&gt;"Challan","",P46-N46)</f>
      </c>
      <c r="AP46" s="27">
        <f>IF($B46&lt;&gt;"Challan","",MAX(0,AO46-AN46))</f>
      </c>
      <c r="AQ46" s="33">
        <f>IF($B46&lt;&gt;"Entry","",SUMPRODUCT(($D$4:$D$207=D46)*($B$4:$B$207="Challan")*$F$4:$F$207))</f>
      </c>
      <c r="AR46" s="34">
        <f>IF(OR($B46&lt;&gt;"Entry",Z46=""),FALSE,AND(SUMPRODUCT(($D$4:$D$207=D46)*($B$4:$B$207="Challan")*($H$4:$H$207&lt;&gt;""))&gt;0,SUMPRODUCT(($D$4:$D$207=D46)*($B$4:$B$207="Challan")*($H$4:$H$207=Z46))=0))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lt;&gt;"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f>
      </c>
      <c r="Y47" s="23">
        <f>IF($B47&lt;&gt;"Entry","",IF(LEN(W47)&lt;4,"",IF(UPPER(MID(W47,4,1))="P","Individual",IF(UPPER(MID(W47,4,1))="H","HUF",IF(UPPER(MID(W47,4,1))="C","Company",IF(UPPER(MID(W47,4,1))="F","Firm",IF(UPPER(MID(W47,4,1))="L","LLP",IF(UPPER(MID(W47,4,1))="T","Trust",IF(UPPER(MID(W47,4,1))="A","AOP",""))))))))</f>
      </c>
      <c r="Z47" s="28"/>
      <c r="AA47" s="29">
        <f>IF($B47&lt;&gt;"Entry","",IF(Z47="","",IF(X47="Y",SUMPRODUCT(('Rate Lookup'!$A$1:$A$32=Z47)*'Rate Lookup'!$D$1:$D$32),IF(OR(Y47="Individual",Y47="HUF"),SUMPRODUCT(('Rate Lookup'!$A$1:$A$32=Z47)*'Rate Lookup'!$B$1:$B$32),SUMPRODUCT(('Rate Lookup'!$A$1:$A$32=Z47)*'Rate Lookup'!$C$1:$C$32)))))</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IF($B47&lt;&gt;"Challan","",SUMIF($D$4:$D$207,D47,$AD$4:$AD$207)+SUMIF($D$4:$D$207,D47,$AG$4:$AG$207)+SUMIF($D$4:$D$207,D47,$AE$4:$AE$207))</f>
      </c>
      <c r="AO47" s="27">
        <f>IF($B47&lt;&gt;"Challan","",P47-N47)</f>
      </c>
      <c r="AP47" s="27">
        <f>IF($B47&lt;&gt;"Challan","",MAX(0,AO47-AN47))</f>
      </c>
      <c r="AQ47" s="33">
        <f>IF($B47&lt;&gt;"Entry","",SUMPRODUCT(($D$4:$D$207=D47)*($B$4:$B$207="Challan")*$F$4:$F$207))</f>
      </c>
      <c r="AR47" s="34">
        <f>IF(OR($B47&lt;&gt;"Entry",Z47=""),FALSE,AND(SUMPRODUCT(($D$4:$D$207=D47)*($B$4:$B$207="Challan")*($H$4:$H$207&lt;&gt;""))&gt;0,SUMPRODUCT(($D$4:$D$207=D47)*($B$4:$B$207="Challan")*($H$4:$H$207=Z47))=0))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lt;&gt;"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f>
      </c>
      <c r="Y48" s="23">
        <f>IF($B48&lt;&gt;"Entry","",IF(LEN(W48)&lt;4,"",IF(UPPER(MID(W48,4,1))="P","Individual",IF(UPPER(MID(W48,4,1))="H","HUF",IF(UPPER(MID(W48,4,1))="C","Company",IF(UPPER(MID(W48,4,1))="F","Firm",IF(UPPER(MID(W48,4,1))="L","LLP",IF(UPPER(MID(W48,4,1))="T","Trust",IF(UPPER(MID(W48,4,1))="A","AOP",""))))))))</f>
      </c>
      <c r="Z48" s="28"/>
      <c r="AA48" s="29">
        <f>IF($B48&lt;&gt;"Entry","",IF(Z48="","",IF(X48="Y",SUMPRODUCT(('Rate Lookup'!$A$1:$A$32=Z48)*'Rate Lookup'!$D$1:$D$32),IF(OR(Y48="Individual",Y48="HUF"),SUMPRODUCT(('Rate Lookup'!$A$1:$A$32=Z48)*'Rate Lookup'!$B$1:$B$32),SUMPRODUCT(('Rate Lookup'!$A$1:$A$32=Z48)*'Rate Lookup'!$C$1:$C$32)))))</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IF($B48&lt;&gt;"Challan","",SUMIF($D$4:$D$207,D48,$AD$4:$AD$207)+SUMIF($D$4:$D$207,D48,$AG$4:$AG$207)+SUMIF($D$4:$D$207,D48,$AE$4:$AE$207))</f>
      </c>
      <c r="AO48" s="27">
        <f>IF($B48&lt;&gt;"Challan","",P48-N48)</f>
      </c>
      <c r="AP48" s="27">
        <f>IF($B48&lt;&gt;"Challan","",MAX(0,AO48-AN48))</f>
      </c>
      <c r="AQ48" s="33">
        <f>IF($B48&lt;&gt;"Entry","",SUMPRODUCT(($D$4:$D$207=D48)*($B$4:$B$207="Challan")*$F$4:$F$207))</f>
      </c>
      <c r="AR48" s="34">
        <f>IF(OR($B48&lt;&gt;"Entry",Z48=""),FALSE,AND(SUMPRODUCT(($D$4:$D$207=D48)*($B$4:$B$207="Challan")*($H$4:$H$207&lt;&gt;""))&gt;0,SUMPRODUCT(($D$4:$D$207=D48)*($B$4:$B$207="Challan")*($H$4:$H$207=Z48))=0))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lt;&gt;"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f>
      </c>
      <c r="Y49" s="23">
        <f>IF($B49&lt;&gt;"Entry","",IF(LEN(W49)&lt;4,"",IF(UPPER(MID(W49,4,1))="P","Individual",IF(UPPER(MID(W49,4,1))="H","HUF",IF(UPPER(MID(W49,4,1))="C","Company",IF(UPPER(MID(W49,4,1))="F","Firm",IF(UPPER(MID(W49,4,1))="L","LLP",IF(UPPER(MID(W49,4,1))="T","Trust",IF(UPPER(MID(W49,4,1))="A","AOP",""))))))))</f>
      </c>
      <c r="Z49" s="28"/>
      <c r="AA49" s="29">
        <f>IF($B49&lt;&gt;"Entry","",IF(Z49="","",IF(X49="Y",SUMPRODUCT(('Rate Lookup'!$A$1:$A$32=Z49)*'Rate Lookup'!$D$1:$D$32),IF(OR(Y49="Individual",Y49="HUF"),SUMPRODUCT(('Rate Lookup'!$A$1:$A$32=Z49)*'Rate Lookup'!$B$1:$B$32),SUMPRODUCT(('Rate Lookup'!$A$1:$A$32=Z49)*'Rate Lookup'!$C$1:$C$32)))))</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IF($B49&lt;&gt;"Challan","",SUMIF($D$4:$D$207,D49,$AD$4:$AD$207)+SUMIF($D$4:$D$207,D49,$AG$4:$AG$207)+SUMIF($D$4:$D$207,D49,$AE$4:$AE$207))</f>
      </c>
      <c r="AO49" s="27">
        <f>IF($B49&lt;&gt;"Challan","",P49-N49)</f>
      </c>
      <c r="AP49" s="27">
        <f>IF($B49&lt;&gt;"Challan","",MAX(0,AO49-AN49))</f>
      </c>
      <c r="AQ49" s="33">
        <f>IF($B49&lt;&gt;"Entry","",SUMPRODUCT(($D$4:$D$207=D49)*($B$4:$B$207="Challan")*$F$4:$F$207))</f>
      </c>
      <c r="AR49" s="34">
        <f>IF(OR($B49&lt;&gt;"Entry",Z49=""),FALSE,AND(SUMPRODUCT(($D$4:$D$207=D49)*($B$4:$B$207="Challan")*($H$4:$H$207&lt;&gt;""))&gt;0,SUMPRODUCT(($D$4:$D$207=D49)*($B$4:$B$207="Challan")*($H$4:$H$207=Z49))=0))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lt;&gt;"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f>
      </c>
      <c r="Y50" s="23">
        <f>IF($B50&lt;&gt;"Entry","",IF(LEN(W50)&lt;4,"",IF(UPPER(MID(W50,4,1))="P","Individual",IF(UPPER(MID(W50,4,1))="H","HUF",IF(UPPER(MID(W50,4,1))="C","Company",IF(UPPER(MID(W50,4,1))="F","Firm",IF(UPPER(MID(W50,4,1))="L","LLP",IF(UPPER(MID(W50,4,1))="T","Trust",IF(UPPER(MID(W50,4,1))="A","AOP",""))))))))</f>
      </c>
      <c r="Z50" s="28"/>
      <c r="AA50" s="29">
        <f>IF($B50&lt;&gt;"Entry","",IF(Z50="","",IF(X50="Y",SUMPRODUCT(('Rate Lookup'!$A$1:$A$32=Z50)*'Rate Lookup'!$D$1:$D$32),IF(OR(Y50="Individual",Y50="HUF"),SUMPRODUCT(('Rate Lookup'!$A$1:$A$32=Z50)*'Rate Lookup'!$B$1:$B$32),SUMPRODUCT(('Rate Lookup'!$A$1:$A$32=Z50)*'Rate Lookup'!$C$1:$C$32)))))</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IF($B50&lt;&gt;"Challan","",SUMIF($D$4:$D$207,D50,$AD$4:$AD$207)+SUMIF($D$4:$D$207,D50,$AG$4:$AG$207)+SUMIF($D$4:$D$207,D50,$AE$4:$AE$207))</f>
      </c>
      <c r="AO50" s="27">
        <f>IF($B50&lt;&gt;"Challan","",P50-N50)</f>
      </c>
      <c r="AP50" s="27">
        <f>IF($B50&lt;&gt;"Challan","",MAX(0,AO50-AN50))</f>
      </c>
      <c r="AQ50" s="33">
        <f>IF($B50&lt;&gt;"Entry","",SUMPRODUCT(($D$4:$D$207=D50)*($B$4:$B$207="Challan")*$F$4:$F$207))</f>
      </c>
      <c r="AR50" s="34">
        <f>IF(OR($B50&lt;&gt;"Entry",Z50=""),FALSE,AND(SUMPRODUCT(($D$4:$D$207=D50)*($B$4:$B$207="Challan")*($H$4:$H$207&lt;&gt;""))&gt;0,SUMPRODUCT(($D$4:$D$207=D50)*($B$4:$B$207="Challan")*($H$4:$H$207=Z50))=0))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lt;&gt;"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f>
      </c>
      <c r="Y51" s="23">
        <f>IF($B51&lt;&gt;"Entry","",IF(LEN(W51)&lt;4,"",IF(UPPER(MID(W51,4,1))="P","Individual",IF(UPPER(MID(W51,4,1))="H","HUF",IF(UPPER(MID(W51,4,1))="C","Company",IF(UPPER(MID(W51,4,1))="F","Firm",IF(UPPER(MID(W51,4,1))="L","LLP",IF(UPPER(MID(W51,4,1))="T","Trust",IF(UPPER(MID(W51,4,1))="A","AOP",""))))))))</f>
      </c>
      <c r="Z51" s="28"/>
      <c r="AA51" s="29">
        <f>IF($B51&lt;&gt;"Entry","",IF(Z51="","",IF(X51="Y",SUMPRODUCT(('Rate Lookup'!$A$1:$A$32=Z51)*'Rate Lookup'!$D$1:$D$32),IF(OR(Y51="Individual",Y51="HUF"),SUMPRODUCT(('Rate Lookup'!$A$1:$A$32=Z51)*'Rate Lookup'!$B$1:$B$32),SUMPRODUCT(('Rate Lookup'!$A$1:$A$32=Z51)*'Rate Lookup'!$C$1:$C$32)))))</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IF($B51&lt;&gt;"Challan","",SUMIF($D$4:$D$207,D51,$AD$4:$AD$207)+SUMIF($D$4:$D$207,D51,$AG$4:$AG$207)+SUMIF($D$4:$D$207,D51,$AE$4:$AE$207))</f>
      </c>
      <c r="AO51" s="27">
        <f>IF($B51&lt;&gt;"Challan","",P51-N51)</f>
      </c>
      <c r="AP51" s="27">
        <f>IF($B51&lt;&gt;"Challan","",MAX(0,AO51-AN51))</f>
      </c>
      <c r="AQ51" s="33">
        <f>IF($B51&lt;&gt;"Entry","",SUMPRODUCT(($D$4:$D$207=D51)*($B$4:$B$207="Challan")*$F$4:$F$207))</f>
      </c>
      <c r="AR51" s="34">
        <f>IF(OR($B51&lt;&gt;"Entry",Z51=""),FALSE,AND(SUMPRODUCT(($D$4:$D$207=D51)*($B$4:$B$207="Challan")*($H$4:$H$207&lt;&gt;""))&gt;0,SUMPRODUCT(($D$4:$D$207=D51)*($B$4:$B$207="Challan")*($H$4:$H$207=Z51))=0))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lt;&gt;"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f>
      </c>
      <c r="Y52" s="23">
        <f>IF($B52&lt;&gt;"Entry","",IF(LEN(W52)&lt;4,"",IF(UPPER(MID(W52,4,1))="P","Individual",IF(UPPER(MID(W52,4,1))="H","HUF",IF(UPPER(MID(W52,4,1))="C","Company",IF(UPPER(MID(W52,4,1))="F","Firm",IF(UPPER(MID(W52,4,1))="L","LLP",IF(UPPER(MID(W52,4,1))="T","Trust",IF(UPPER(MID(W52,4,1))="A","AOP",""))))))))</f>
      </c>
      <c r="Z52" s="28"/>
      <c r="AA52" s="29">
        <f>IF($B52&lt;&gt;"Entry","",IF(Z52="","",IF(X52="Y",SUMPRODUCT(('Rate Lookup'!$A$1:$A$32=Z52)*'Rate Lookup'!$D$1:$D$32),IF(OR(Y52="Individual",Y52="HUF"),SUMPRODUCT(('Rate Lookup'!$A$1:$A$32=Z52)*'Rate Lookup'!$B$1:$B$32),SUMPRODUCT(('Rate Lookup'!$A$1:$A$32=Z52)*'Rate Lookup'!$C$1:$C$32)))))</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IF($B52&lt;&gt;"Challan","",SUMIF($D$4:$D$207,D52,$AD$4:$AD$207)+SUMIF($D$4:$D$207,D52,$AG$4:$AG$207)+SUMIF($D$4:$D$207,D52,$AE$4:$AE$207))</f>
      </c>
      <c r="AO52" s="27">
        <f>IF($B52&lt;&gt;"Challan","",P52-N52)</f>
      </c>
      <c r="AP52" s="27">
        <f>IF($B52&lt;&gt;"Challan","",MAX(0,AO52-AN52))</f>
      </c>
      <c r="AQ52" s="33">
        <f>IF($B52&lt;&gt;"Entry","",SUMPRODUCT(($D$4:$D$207=D52)*($B$4:$B$207="Challan")*$F$4:$F$207))</f>
      </c>
      <c r="AR52" s="34">
        <f>IF(OR($B52&lt;&gt;"Entry",Z52=""),FALSE,AND(SUMPRODUCT(($D$4:$D$207=D52)*($B$4:$B$207="Challan")*($H$4:$H$207&lt;&gt;""))&gt;0,SUMPRODUCT(($D$4:$D$207=D52)*($B$4:$B$207="Challan")*($H$4:$H$207=Z52))=0))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lt;&gt;"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f>
      </c>
      <c r="Y53" s="23">
        <f>IF($B53&lt;&gt;"Entry","",IF(LEN(W53)&lt;4,"",IF(UPPER(MID(W53,4,1))="P","Individual",IF(UPPER(MID(W53,4,1))="H","HUF",IF(UPPER(MID(W53,4,1))="C","Company",IF(UPPER(MID(W53,4,1))="F","Firm",IF(UPPER(MID(W53,4,1))="L","LLP",IF(UPPER(MID(W53,4,1))="T","Trust",IF(UPPER(MID(W53,4,1))="A","AOP",""))))))))</f>
      </c>
      <c r="Z53" s="28"/>
      <c r="AA53" s="29">
        <f>IF($B53&lt;&gt;"Entry","",IF(Z53="","",IF(X53="Y",SUMPRODUCT(('Rate Lookup'!$A$1:$A$32=Z53)*'Rate Lookup'!$D$1:$D$32),IF(OR(Y53="Individual",Y53="HUF"),SUMPRODUCT(('Rate Lookup'!$A$1:$A$32=Z53)*'Rate Lookup'!$B$1:$B$32),SUMPRODUCT(('Rate Lookup'!$A$1:$A$32=Z53)*'Rate Lookup'!$C$1:$C$32)))))</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IF($B53&lt;&gt;"Challan","",SUMIF($D$4:$D$207,D53,$AD$4:$AD$207)+SUMIF($D$4:$D$207,D53,$AG$4:$AG$207)+SUMIF($D$4:$D$207,D53,$AE$4:$AE$207))</f>
      </c>
      <c r="AO53" s="27">
        <f>IF($B53&lt;&gt;"Challan","",P53-N53)</f>
      </c>
      <c r="AP53" s="27">
        <f>IF($B53&lt;&gt;"Challan","",MAX(0,AO53-AN53))</f>
      </c>
      <c r="AQ53" s="33">
        <f>IF($B53&lt;&gt;"Entry","",SUMPRODUCT(($D$4:$D$207=D53)*($B$4:$B$207="Challan")*$F$4:$F$207))</f>
      </c>
      <c r="AR53" s="34">
        <f>IF(OR($B53&lt;&gt;"Entry",Z53=""),FALSE,AND(SUMPRODUCT(($D$4:$D$207=D53)*($B$4:$B$207="Challan")*($H$4:$H$207&lt;&gt;""))&gt;0,SUMPRODUCT(($D$4:$D$207=D53)*($B$4:$B$207="Challan")*($H$4:$H$207=Z53))=0))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lt;&gt;"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f>
      </c>
      <c r="Y54" s="23">
        <f>IF($B54&lt;&gt;"Entry","",IF(LEN(W54)&lt;4,"",IF(UPPER(MID(W54,4,1))="P","Individual",IF(UPPER(MID(W54,4,1))="H","HUF",IF(UPPER(MID(W54,4,1))="C","Company",IF(UPPER(MID(W54,4,1))="F","Firm",IF(UPPER(MID(W54,4,1))="L","LLP",IF(UPPER(MID(W54,4,1))="T","Trust",IF(UPPER(MID(W54,4,1))="A","AOP",""))))))))</f>
      </c>
      <c r="Z54" s="28"/>
      <c r="AA54" s="29">
        <f>IF($B54&lt;&gt;"Entry","",IF(Z54="","",IF(X54="Y",SUMPRODUCT(('Rate Lookup'!$A$1:$A$32=Z54)*'Rate Lookup'!$D$1:$D$32),IF(OR(Y54="Individual",Y54="HUF"),SUMPRODUCT(('Rate Lookup'!$A$1:$A$32=Z54)*'Rate Lookup'!$B$1:$B$32),SUMPRODUCT(('Rate Lookup'!$A$1:$A$32=Z54)*'Rate Lookup'!$C$1:$C$32)))))</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IF($B54&lt;&gt;"Challan","",SUMIF($D$4:$D$207,D54,$AD$4:$AD$207)+SUMIF($D$4:$D$207,D54,$AG$4:$AG$207)+SUMIF($D$4:$D$207,D54,$AE$4:$AE$207))</f>
      </c>
      <c r="AO54" s="27">
        <f>IF($B54&lt;&gt;"Challan","",P54-N54)</f>
      </c>
      <c r="AP54" s="27">
        <f>IF($B54&lt;&gt;"Challan","",MAX(0,AO54-AN54))</f>
      </c>
      <c r="AQ54" s="33">
        <f>IF($B54&lt;&gt;"Entry","",SUMPRODUCT(($D$4:$D$207=D54)*($B$4:$B$207="Challan")*$F$4:$F$207))</f>
      </c>
      <c r="AR54" s="34">
        <f>IF(OR($B54&lt;&gt;"Entry",Z54=""),FALSE,AND(SUMPRODUCT(($D$4:$D$207=D54)*($B$4:$B$207="Challan")*($H$4:$H$207&lt;&gt;""))&gt;0,SUMPRODUCT(($D$4:$D$207=D54)*($B$4:$B$207="Challan")*($H$4:$H$207=Z54))=0))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lt;&gt;"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f>
      </c>
      <c r="Y55" s="23">
        <f>IF($B55&lt;&gt;"Entry","",IF(LEN(W55)&lt;4,"",IF(UPPER(MID(W55,4,1))="P","Individual",IF(UPPER(MID(W55,4,1))="H","HUF",IF(UPPER(MID(W55,4,1))="C","Company",IF(UPPER(MID(W55,4,1))="F","Firm",IF(UPPER(MID(W55,4,1))="L","LLP",IF(UPPER(MID(W55,4,1))="T","Trust",IF(UPPER(MID(W55,4,1))="A","AOP",""))))))))</f>
      </c>
      <c r="Z55" s="28"/>
      <c r="AA55" s="29">
        <f>IF($B55&lt;&gt;"Entry","",IF(Z55="","",IF(X55="Y",SUMPRODUCT(('Rate Lookup'!$A$1:$A$32=Z55)*'Rate Lookup'!$D$1:$D$32),IF(OR(Y55="Individual",Y55="HUF"),SUMPRODUCT(('Rate Lookup'!$A$1:$A$32=Z55)*'Rate Lookup'!$B$1:$B$32),SUMPRODUCT(('Rate Lookup'!$A$1:$A$32=Z55)*'Rate Lookup'!$C$1:$C$32)))))</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IF($B55&lt;&gt;"Challan","",SUMIF($D$4:$D$207,D55,$AD$4:$AD$207)+SUMIF($D$4:$D$207,D55,$AG$4:$AG$207)+SUMIF($D$4:$D$207,D55,$AE$4:$AE$207))</f>
      </c>
      <c r="AO55" s="27">
        <f>IF($B55&lt;&gt;"Challan","",P55-N55)</f>
      </c>
      <c r="AP55" s="27">
        <f>IF($B55&lt;&gt;"Challan","",MAX(0,AO55-AN55))</f>
      </c>
      <c r="AQ55" s="33">
        <f>IF($B55&lt;&gt;"Entry","",SUMPRODUCT(($D$4:$D$207=D55)*($B$4:$B$207="Challan")*$F$4:$F$207))</f>
      </c>
      <c r="AR55" s="34">
        <f>IF(OR($B55&lt;&gt;"Entry",Z55=""),FALSE,AND(SUMPRODUCT(($D$4:$D$207=D55)*($B$4:$B$207="Challan")*($H$4:$H$207&lt;&gt;""))&gt;0,SUMPRODUCT(($D$4:$D$207=D55)*($B$4:$B$207="Challan")*($H$4:$H$207=Z55))=0))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lt;&gt;"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f>
      </c>
      <c r="Y56" s="23">
        <f>IF($B56&lt;&gt;"Entry","",IF(LEN(W56)&lt;4,"",IF(UPPER(MID(W56,4,1))="P","Individual",IF(UPPER(MID(W56,4,1))="H","HUF",IF(UPPER(MID(W56,4,1))="C","Company",IF(UPPER(MID(W56,4,1))="F","Firm",IF(UPPER(MID(W56,4,1))="L","LLP",IF(UPPER(MID(W56,4,1))="T","Trust",IF(UPPER(MID(W56,4,1))="A","AOP",""))))))))</f>
      </c>
      <c r="Z56" s="28"/>
      <c r="AA56" s="29">
        <f>IF($B56&lt;&gt;"Entry","",IF(Z56="","",IF(X56="Y",SUMPRODUCT(('Rate Lookup'!$A$1:$A$32=Z56)*'Rate Lookup'!$D$1:$D$32),IF(OR(Y56="Individual",Y56="HUF"),SUMPRODUCT(('Rate Lookup'!$A$1:$A$32=Z56)*'Rate Lookup'!$B$1:$B$32),SUMPRODUCT(('Rate Lookup'!$A$1:$A$32=Z56)*'Rate Lookup'!$C$1:$C$32)))))</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IF($B56&lt;&gt;"Challan","",SUMIF($D$4:$D$207,D56,$AD$4:$AD$207)+SUMIF($D$4:$D$207,D56,$AG$4:$AG$207)+SUMIF($D$4:$D$207,D56,$AE$4:$AE$207))</f>
      </c>
      <c r="AO56" s="27">
        <f>IF($B56&lt;&gt;"Challan","",P56-N56)</f>
      </c>
      <c r="AP56" s="27">
        <f>IF($B56&lt;&gt;"Challan","",MAX(0,AO56-AN56))</f>
      </c>
      <c r="AQ56" s="33">
        <f>IF($B56&lt;&gt;"Entry","",SUMPRODUCT(($D$4:$D$207=D56)*($B$4:$B$207="Challan")*$F$4:$F$207))</f>
      </c>
      <c r="AR56" s="34">
        <f>IF(OR($B56&lt;&gt;"Entry",Z56=""),FALSE,AND(SUMPRODUCT(($D$4:$D$207=D56)*($B$4:$B$207="Challan")*($H$4:$H$207&lt;&gt;""))&gt;0,SUMPRODUCT(($D$4:$D$207=D56)*($B$4:$B$207="Challan")*($H$4:$H$207=Z56))=0))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lt;&gt;"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f>
      </c>
      <c r="Y57" s="23">
        <f>IF($B57&lt;&gt;"Entry","",IF(LEN(W57)&lt;4,"",IF(UPPER(MID(W57,4,1))="P","Individual",IF(UPPER(MID(W57,4,1))="H","HUF",IF(UPPER(MID(W57,4,1))="C","Company",IF(UPPER(MID(W57,4,1))="F","Firm",IF(UPPER(MID(W57,4,1))="L","LLP",IF(UPPER(MID(W57,4,1))="T","Trust",IF(UPPER(MID(W57,4,1))="A","AOP",""))))))))</f>
      </c>
      <c r="Z57" s="28"/>
      <c r="AA57" s="29">
        <f>IF($B57&lt;&gt;"Entry","",IF(Z57="","",IF(X57="Y",SUMPRODUCT(('Rate Lookup'!$A$1:$A$32=Z57)*'Rate Lookup'!$D$1:$D$32),IF(OR(Y57="Individual",Y57="HUF"),SUMPRODUCT(('Rate Lookup'!$A$1:$A$32=Z57)*'Rate Lookup'!$B$1:$B$32),SUMPRODUCT(('Rate Lookup'!$A$1:$A$32=Z57)*'Rate Lookup'!$C$1:$C$32)))))</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IF($B57&lt;&gt;"Challan","",SUMIF($D$4:$D$207,D57,$AD$4:$AD$207)+SUMIF($D$4:$D$207,D57,$AG$4:$AG$207)+SUMIF($D$4:$D$207,D57,$AE$4:$AE$207))</f>
      </c>
      <c r="AO57" s="27">
        <f>IF($B57&lt;&gt;"Challan","",P57-N57)</f>
      </c>
      <c r="AP57" s="27">
        <f>IF($B57&lt;&gt;"Challan","",MAX(0,AO57-AN57))</f>
      </c>
      <c r="AQ57" s="33">
        <f>IF($B57&lt;&gt;"Entry","",SUMPRODUCT(($D$4:$D$207=D57)*($B$4:$B$207="Challan")*$F$4:$F$207))</f>
      </c>
      <c r="AR57" s="34">
        <f>IF(OR($B57&lt;&gt;"Entry",Z57=""),FALSE,AND(SUMPRODUCT(($D$4:$D$207=D57)*($B$4:$B$207="Challan")*($H$4:$H$207&lt;&gt;""))&gt;0,SUMPRODUCT(($D$4:$D$207=D57)*($B$4:$B$207="Challan")*($H$4:$H$207=Z57))=0))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lt;&gt;"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f>
      </c>
      <c r="Y58" s="23">
        <f>IF($B58&lt;&gt;"Entry","",IF(LEN(W58)&lt;4,"",IF(UPPER(MID(W58,4,1))="P","Individual",IF(UPPER(MID(W58,4,1))="H","HUF",IF(UPPER(MID(W58,4,1))="C","Company",IF(UPPER(MID(W58,4,1))="F","Firm",IF(UPPER(MID(W58,4,1))="L","LLP",IF(UPPER(MID(W58,4,1))="T","Trust",IF(UPPER(MID(W58,4,1))="A","AOP",""))))))))</f>
      </c>
      <c r="Z58" s="28"/>
      <c r="AA58" s="29">
        <f>IF($B58&lt;&gt;"Entry","",IF(Z58="","",IF(X58="Y",SUMPRODUCT(('Rate Lookup'!$A$1:$A$32=Z58)*'Rate Lookup'!$D$1:$D$32),IF(OR(Y58="Individual",Y58="HUF"),SUMPRODUCT(('Rate Lookup'!$A$1:$A$32=Z58)*'Rate Lookup'!$B$1:$B$32),SUMPRODUCT(('Rate Lookup'!$A$1:$A$32=Z58)*'Rate Lookup'!$C$1:$C$32)))))</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IF($B58&lt;&gt;"Challan","",SUMIF($D$4:$D$207,D58,$AD$4:$AD$207)+SUMIF($D$4:$D$207,D58,$AG$4:$AG$207)+SUMIF($D$4:$D$207,D58,$AE$4:$AE$207))</f>
      </c>
      <c r="AO58" s="27">
        <f>IF($B58&lt;&gt;"Challan","",P58-N58)</f>
      </c>
      <c r="AP58" s="27">
        <f>IF($B58&lt;&gt;"Challan","",MAX(0,AO58-AN58))</f>
      </c>
      <c r="AQ58" s="33">
        <f>IF($B58&lt;&gt;"Entry","",SUMPRODUCT(($D$4:$D$207=D58)*($B$4:$B$207="Challan")*$F$4:$F$207))</f>
      </c>
      <c r="AR58" s="34">
        <f>IF(OR($B58&lt;&gt;"Entry",Z58=""),FALSE,AND(SUMPRODUCT(($D$4:$D$207=D58)*($B$4:$B$207="Challan")*($H$4:$H$207&lt;&gt;""))&gt;0,SUMPRODUCT(($D$4:$D$207=D58)*($B$4:$B$207="Challan")*($H$4:$H$207=Z58))=0))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lt;&gt;"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f>
      </c>
      <c r="Y59" s="23">
        <f>IF($B59&lt;&gt;"Entry","",IF(LEN(W59)&lt;4,"",IF(UPPER(MID(W59,4,1))="P","Individual",IF(UPPER(MID(W59,4,1))="H","HUF",IF(UPPER(MID(W59,4,1))="C","Company",IF(UPPER(MID(W59,4,1))="F","Firm",IF(UPPER(MID(W59,4,1))="L","LLP",IF(UPPER(MID(W59,4,1))="T","Trust",IF(UPPER(MID(W59,4,1))="A","AOP",""))))))))</f>
      </c>
      <c r="Z59" s="28"/>
      <c r="AA59" s="29">
        <f>IF($B59&lt;&gt;"Entry","",IF(Z59="","",IF(X59="Y",SUMPRODUCT(('Rate Lookup'!$A$1:$A$32=Z59)*'Rate Lookup'!$D$1:$D$32),IF(OR(Y59="Individual",Y59="HUF"),SUMPRODUCT(('Rate Lookup'!$A$1:$A$32=Z59)*'Rate Lookup'!$B$1:$B$32),SUMPRODUCT(('Rate Lookup'!$A$1:$A$32=Z59)*'Rate Lookup'!$C$1:$C$32)))))</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IF($B59&lt;&gt;"Challan","",SUMIF($D$4:$D$207,D59,$AD$4:$AD$207)+SUMIF($D$4:$D$207,D59,$AG$4:$AG$207)+SUMIF($D$4:$D$207,D59,$AE$4:$AE$207))</f>
      </c>
      <c r="AO59" s="27">
        <f>IF($B59&lt;&gt;"Challan","",P59-N59)</f>
      </c>
      <c r="AP59" s="27">
        <f>IF($B59&lt;&gt;"Challan","",MAX(0,AO59-AN59))</f>
      </c>
      <c r="AQ59" s="33">
        <f>IF($B59&lt;&gt;"Entry","",SUMPRODUCT(($D$4:$D$207=D59)*($B$4:$B$207="Challan")*$F$4:$F$207))</f>
      </c>
      <c r="AR59" s="34">
        <f>IF(OR($B59&lt;&gt;"Entry",Z59=""),FALSE,AND(SUMPRODUCT(($D$4:$D$207=D59)*($B$4:$B$207="Challan")*($H$4:$H$207&lt;&gt;""))&gt;0,SUMPRODUCT(($D$4:$D$207=D59)*($B$4:$B$207="Challan")*($H$4:$H$207=Z59))=0))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lt;&gt;"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f>
      </c>
      <c r="Y60" s="23">
        <f>IF($B60&lt;&gt;"Entry","",IF(LEN(W60)&lt;4,"",IF(UPPER(MID(W60,4,1))="P","Individual",IF(UPPER(MID(W60,4,1))="H","HUF",IF(UPPER(MID(W60,4,1))="C","Company",IF(UPPER(MID(W60,4,1))="F","Firm",IF(UPPER(MID(W60,4,1))="L","LLP",IF(UPPER(MID(W60,4,1))="T","Trust",IF(UPPER(MID(W60,4,1))="A","AOP",""))))))))</f>
      </c>
      <c r="Z60" s="28"/>
      <c r="AA60" s="29">
        <f>IF($B60&lt;&gt;"Entry","",IF(Z60="","",IF(X60="Y",SUMPRODUCT(('Rate Lookup'!$A$1:$A$32=Z60)*'Rate Lookup'!$D$1:$D$32),IF(OR(Y60="Individual",Y60="HUF"),SUMPRODUCT(('Rate Lookup'!$A$1:$A$32=Z60)*'Rate Lookup'!$B$1:$B$32),SUMPRODUCT(('Rate Lookup'!$A$1:$A$32=Z60)*'Rate Lookup'!$C$1:$C$32)))))</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IF($B60&lt;&gt;"Challan","",SUMIF($D$4:$D$207,D60,$AD$4:$AD$207)+SUMIF($D$4:$D$207,D60,$AG$4:$AG$207)+SUMIF($D$4:$D$207,D60,$AE$4:$AE$207))</f>
      </c>
      <c r="AO60" s="27">
        <f>IF($B60&lt;&gt;"Challan","",P60-N60)</f>
      </c>
      <c r="AP60" s="27">
        <f>IF($B60&lt;&gt;"Challan","",MAX(0,AO60-AN60))</f>
      </c>
      <c r="AQ60" s="33">
        <f>IF($B60&lt;&gt;"Entry","",SUMPRODUCT(($D$4:$D$207=D60)*($B$4:$B$207="Challan")*$F$4:$F$207))</f>
      </c>
      <c r="AR60" s="34">
        <f>IF(OR($B60&lt;&gt;"Entry",Z60=""),FALSE,AND(SUMPRODUCT(($D$4:$D$207=D60)*($B$4:$B$207="Challan")*($H$4:$H$207&lt;&gt;""))&gt;0,SUMPRODUCT(($D$4:$D$207=D60)*($B$4:$B$207="Challan")*($H$4:$H$207=Z60))=0))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lt;&gt;"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f>
      </c>
      <c r="Y61" s="23">
        <f>IF($B61&lt;&gt;"Entry","",IF(LEN(W61)&lt;4,"",IF(UPPER(MID(W61,4,1))="P","Individual",IF(UPPER(MID(W61,4,1))="H","HUF",IF(UPPER(MID(W61,4,1))="C","Company",IF(UPPER(MID(W61,4,1))="F","Firm",IF(UPPER(MID(W61,4,1))="L","LLP",IF(UPPER(MID(W61,4,1))="T","Trust",IF(UPPER(MID(W61,4,1))="A","AOP",""))))))))</f>
      </c>
      <c r="Z61" s="28"/>
      <c r="AA61" s="29">
        <f>IF($B61&lt;&gt;"Entry","",IF(Z61="","",IF(X61="Y",SUMPRODUCT(('Rate Lookup'!$A$1:$A$32=Z61)*'Rate Lookup'!$D$1:$D$32),IF(OR(Y61="Individual",Y61="HUF"),SUMPRODUCT(('Rate Lookup'!$A$1:$A$32=Z61)*'Rate Lookup'!$B$1:$B$32),SUMPRODUCT(('Rate Lookup'!$A$1:$A$32=Z61)*'Rate Lookup'!$C$1:$C$32)))))</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IF($B61&lt;&gt;"Challan","",SUMIF($D$4:$D$207,D61,$AD$4:$AD$207)+SUMIF($D$4:$D$207,D61,$AG$4:$AG$207)+SUMIF($D$4:$D$207,D61,$AE$4:$AE$207))</f>
      </c>
      <c r="AO61" s="27">
        <f>IF($B61&lt;&gt;"Challan","",P61-N61)</f>
      </c>
      <c r="AP61" s="27">
        <f>IF($B61&lt;&gt;"Challan","",MAX(0,AO61-AN61))</f>
      </c>
      <c r="AQ61" s="33">
        <f>IF($B61&lt;&gt;"Entry","",SUMPRODUCT(($D$4:$D$207=D61)*($B$4:$B$207="Challan")*$F$4:$F$207))</f>
      </c>
      <c r="AR61" s="34">
        <f>IF(OR($B61&lt;&gt;"Entry",Z61=""),FALSE,AND(SUMPRODUCT(($D$4:$D$207=D61)*($B$4:$B$207="Challan")*($H$4:$H$207&lt;&gt;""))&gt;0,SUMPRODUCT(($D$4:$D$207=D61)*($B$4:$B$207="Challan")*($H$4:$H$207=Z61))=0))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lt;&gt;"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f>
      </c>
      <c r="Y62" s="23">
        <f>IF($B62&lt;&gt;"Entry","",IF(LEN(W62)&lt;4,"",IF(UPPER(MID(W62,4,1))="P","Individual",IF(UPPER(MID(W62,4,1))="H","HUF",IF(UPPER(MID(W62,4,1))="C","Company",IF(UPPER(MID(W62,4,1))="F","Firm",IF(UPPER(MID(W62,4,1))="L","LLP",IF(UPPER(MID(W62,4,1))="T","Trust",IF(UPPER(MID(W62,4,1))="A","AOP",""))))))))</f>
      </c>
      <c r="Z62" s="28"/>
      <c r="AA62" s="29">
        <f>IF($B62&lt;&gt;"Entry","",IF(Z62="","",IF(X62="Y",SUMPRODUCT(('Rate Lookup'!$A$1:$A$32=Z62)*'Rate Lookup'!$D$1:$D$32),IF(OR(Y62="Individual",Y62="HUF"),SUMPRODUCT(('Rate Lookup'!$A$1:$A$32=Z62)*'Rate Lookup'!$B$1:$B$32),SUMPRODUCT(('Rate Lookup'!$A$1:$A$32=Z62)*'Rate Lookup'!$C$1:$C$32)))))</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IF($B62&lt;&gt;"Challan","",SUMIF($D$4:$D$207,D62,$AD$4:$AD$207)+SUMIF($D$4:$D$207,D62,$AG$4:$AG$207)+SUMIF($D$4:$D$207,D62,$AE$4:$AE$207))</f>
      </c>
      <c r="AO62" s="27">
        <f>IF($B62&lt;&gt;"Challan","",P62-N62)</f>
      </c>
      <c r="AP62" s="27">
        <f>IF($B62&lt;&gt;"Challan","",MAX(0,AO62-AN62))</f>
      </c>
      <c r="AQ62" s="33">
        <f>IF($B62&lt;&gt;"Entry","",SUMPRODUCT(($D$4:$D$207=D62)*($B$4:$B$207="Challan")*$F$4:$F$207))</f>
      </c>
      <c r="AR62" s="34">
        <f>IF(OR($B62&lt;&gt;"Entry",Z62=""),FALSE,AND(SUMPRODUCT(($D$4:$D$207=D62)*($B$4:$B$207="Challan")*($H$4:$H$207&lt;&gt;""))&gt;0,SUMPRODUCT(($D$4:$D$207=D62)*($B$4:$B$207="Challan")*($H$4:$H$207=Z62))=0))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lt;&gt;"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f>
      </c>
      <c r="Y63" s="23">
        <f>IF($B63&lt;&gt;"Entry","",IF(LEN(W63)&lt;4,"",IF(UPPER(MID(W63,4,1))="P","Individual",IF(UPPER(MID(W63,4,1))="H","HUF",IF(UPPER(MID(W63,4,1))="C","Company",IF(UPPER(MID(W63,4,1))="F","Firm",IF(UPPER(MID(W63,4,1))="L","LLP",IF(UPPER(MID(W63,4,1))="T","Trust",IF(UPPER(MID(W63,4,1))="A","AOP",""))))))))</f>
      </c>
      <c r="Z63" s="28"/>
      <c r="AA63" s="29">
        <f>IF($B63&lt;&gt;"Entry","",IF(Z63="","",IF(X63="Y",SUMPRODUCT(('Rate Lookup'!$A$1:$A$32=Z63)*'Rate Lookup'!$D$1:$D$32),IF(OR(Y63="Individual",Y63="HUF"),SUMPRODUCT(('Rate Lookup'!$A$1:$A$32=Z63)*'Rate Lookup'!$B$1:$B$32),SUMPRODUCT(('Rate Lookup'!$A$1:$A$32=Z63)*'Rate Lookup'!$C$1:$C$32)))))</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IF($B63&lt;&gt;"Challan","",SUMIF($D$4:$D$207,D63,$AD$4:$AD$207)+SUMIF($D$4:$D$207,D63,$AG$4:$AG$207)+SUMIF($D$4:$D$207,D63,$AE$4:$AE$207))</f>
      </c>
      <c r="AO63" s="27">
        <f>IF($B63&lt;&gt;"Challan","",P63-N63)</f>
      </c>
      <c r="AP63" s="27">
        <f>IF($B63&lt;&gt;"Challan","",MAX(0,AO63-AN63))</f>
      </c>
      <c r="AQ63" s="33">
        <f>IF($B63&lt;&gt;"Entry","",SUMPRODUCT(($D$4:$D$207=D63)*($B$4:$B$207="Challan")*$F$4:$F$207))</f>
      </c>
      <c r="AR63" s="34">
        <f>IF(OR($B63&lt;&gt;"Entry",Z63=""),FALSE,AND(SUMPRODUCT(($D$4:$D$207=D63)*($B$4:$B$207="Challan")*($H$4:$H$207&lt;&gt;""))&gt;0,SUMPRODUCT(($D$4:$D$207=D63)*($B$4:$B$207="Challan")*($H$4:$H$207=Z63))=0))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lt;&gt;"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f>
      </c>
      <c r="Y64" s="23">
        <f>IF($B64&lt;&gt;"Entry","",IF(LEN(W64)&lt;4,"",IF(UPPER(MID(W64,4,1))="P","Individual",IF(UPPER(MID(W64,4,1))="H","HUF",IF(UPPER(MID(W64,4,1))="C","Company",IF(UPPER(MID(W64,4,1))="F","Firm",IF(UPPER(MID(W64,4,1))="L","LLP",IF(UPPER(MID(W64,4,1))="T","Trust",IF(UPPER(MID(W64,4,1))="A","AOP",""))))))))</f>
      </c>
      <c r="Z64" s="28"/>
      <c r="AA64" s="29">
        <f>IF($B64&lt;&gt;"Entry","",IF(Z64="","",IF(X64="Y",SUMPRODUCT(('Rate Lookup'!$A$1:$A$32=Z64)*'Rate Lookup'!$D$1:$D$32),IF(OR(Y64="Individual",Y64="HUF"),SUMPRODUCT(('Rate Lookup'!$A$1:$A$32=Z64)*'Rate Lookup'!$B$1:$B$32),SUMPRODUCT(('Rate Lookup'!$A$1:$A$32=Z64)*'Rate Lookup'!$C$1:$C$32)))))</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IF($B64&lt;&gt;"Challan","",SUMIF($D$4:$D$207,D64,$AD$4:$AD$207)+SUMIF($D$4:$D$207,D64,$AG$4:$AG$207)+SUMIF($D$4:$D$207,D64,$AE$4:$AE$207))</f>
      </c>
      <c r="AO64" s="27">
        <f>IF($B64&lt;&gt;"Challan","",P64-N64)</f>
      </c>
      <c r="AP64" s="27">
        <f>IF($B64&lt;&gt;"Challan","",MAX(0,AO64-AN64))</f>
      </c>
      <c r="AQ64" s="33">
        <f>IF($B64&lt;&gt;"Entry","",SUMPRODUCT(($D$4:$D$207=D64)*($B$4:$B$207="Challan")*$F$4:$F$207))</f>
      </c>
      <c r="AR64" s="34">
        <f>IF(OR($B64&lt;&gt;"Entry",Z64=""),FALSE,AND(SUMPRODUCT(($D$4:$D$207=D64)*($B$4:$B$207="Challan")*($H$4:$H$207&lt;&gt;""))&gt;0,SUMPRODUCT(($D$4:$D$207=D64)*($B$4:$B$207="Challan")*($H$4:$H$207=Z64))=0))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lt;&gt;"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f>
      </c>
      <c r="Y65" s="23">
        <f>IF($B65&lt;&gt;"Entry","",IF(LEN(W65)&lt;4,"",IF(UPPER(MID(W65,4,1))="P","Individual",IF(UPPER(MID(W65,4,1))="H","HUF",IF(UPPER(MID(W65,4,1))="C","Company",IF(UPPER(MID(W65,4,1))="F","Firm",IF(UPPER(MID(W65,4,1))="L","LLP",IF(UPPER(MID(W65,4,1))="T","Trust",IF(UPPER(MID(W65,4,1))="A","AOP",""))))))))</f>
      </c>
      <c r="Z65" s="28"/>
      <c r="AA65" s="29">
        <f>IF($B65&lt;&gt;"Entry","",IF(Z65="","",IF(X65="Y",SUMPRODUCT(('Rate Lookup'!$A$1:$A$32=Z65)*'Rate Lookup'!$D$1:$D$32),IF(OR(Y65="Individual",Y65="HUF"),SUMPRODUCT(('Rate Lookup'!$A$1:$A$32=Z65)*'Rate Lookup'!$B$1:$B$32),SUMPRODUCT(('Rate Lookup'!$A$1:$A$32=Z65)*'Rate Lookup'!$C$1:$C$32)))))</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IF($B65&lt;&gt;"Challan","",SUMIF($D$4:$D$207,D65,$AD$4:$AD$207)+SUMIF($D$4:$D$207,D65,$AG$4:$AG$207)+SUMIF($D$4:$D$207,D65,$AE$4:$AE$207))</f>
      </c>
      <c r="AO65" s="27">
        <f>IF($B65&lt;&gt;"Challan","",P65-N65)</f>
      </c>
      <c r="AP65" s="27">
        <f>IF($B65&lt;&gt;"Challan","",MAX(0,AO65-AN65))</f>
      </c>
      <c r="AQ65" s="33">
        <f>IF($B65&lt;&gt;"Entry","",SUMPRODUCT(($D$4:$D$207=D65)*($B$4:$B$207="Challan")*$F$4:$F$207))</f>
      </c>
      <c r="AR65" s="34">
        <f>IF(OR($B65&lt;&gt;"Entry",Z65=""),FALSE,AND(SUMPRODUCT(($D$4:$D$207=D65)*($B$4:$B$207="Challan")*($H$4:$H$207&lt;&gt;""))&gt;0,SUMPRODUCT(($D$4:$D$207=D65)*($B$4:$B$207="Challan")*($H$4:$H$207=Z65))=0))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lt;&gt;"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f>
      </c>
      <c r="Y66" s="23">
        <f>IF($B66&lt;&gt;"Entry","",IF(LEN(W66)&lt;4,"",IF(UPPER(MID(W66,4,1))="P","Individual",IF(UPPER(MID(W66,4,1))="H","HUF",IF(UPPER(MID(W66,4,1))="C","Company",IF(UPPER(MID(W66,4,1))="F","Firm",IF(UPPER(MID(W66,4,1))="L","LLP",IF(UPPER(MID(W66,4,1))="T","Trust",IF(UPPER(MID(W66,4,1))="A","AOP",""))))))))</f>
      </c>
      <c r="Z66" s="28"/>
      <c r="AA66" s="29">
        <f>IF($B66&lt;&gt;"Entry","",IF(Z66="","",IF(X66="Y",SUMPRODUCT(('Rate Lookup'!$A$1:$A$32=Z66)*'Rate Lookup'!$D$1:$D$32),IF(OR(Y66="Individual",Y66="HUF"),SUMPRODUCT(('Rate Lookup'!$A$1:$A$32=Z66)*'Rate Lookup'!$B$1:$B$32),SUMPRODUCT(('Rate Lookup'!$A$1:$A$32=Z66)*'Rate Lookup'!$C$1:$C$32)))))</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IF($B66&lt;&gt;"Challan","",SUMIF($D$4:$D$207,D66,$AD$4:$AD$207)+SUMIF($D$4:$D$207,D66,$AG$4:$AG$207)+SUMIF($D$4:$D$207,D66,$AE$4:$AE$207))</f>
      </c>
      <c r="AO66" s="27">
        <f>IF($B66&lt;&gt;"Challan","",P66-N66)</f>
      </c>
      <c r="AP66" s="27">
        <f>IF($B66&lt;&gt;"Challan","",MAX(0,AO66-AN66))</f>
      </c>
      <c r="AQ66" s="33">
        <f>IF($B66&lt;&gt;"Entry","",SUMPRODUCT(($D$4:$D$207=D66)*($B$4:$B$207="Challan")*$F$4:$F$207))</f>
      </c>
      <c r="AR66" s="34">
        <f>IF(OR($B66&lt;&gt;"Entry",Z66=""),FALSE,AND(SUMPRODUCT(($D$4:$D$207=D66)*($B$4:$B$207="Challan")*($H$4:$H$207&lt;&gt;""))&gt;0,SUMPRODUCT(($D$4:$D$207=D66)*($B$4:$B$207="Challan")*($H$4:$H$207=Z66))=0))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lt;&gt;"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f>
      </c>
      <c r="Y67" s="23">
        <f>IF($B67&lt;&gt;"Entry","",IF(LEN(W67)&lt;4,"",IF(UPPER(MID(W67,4,1))="P","Individual",IF(UPPER(MID(W67,4,1))="H","HUF",IF(UPPER(MID(W67,4,1))="C","Company",IF(UPPER(MID(W67,4,1))="F","Firm",IF(UPPER(MID(W67,4,1))="L","LLP",IF(UPPER(MID(W67,4,1))="T","Trust",IF(UPPER(MID(W67,4,1))="A","AOP",""))))))))</f>
      </c>
      <c r="Z67" s="28"/>
      <c r="AA67" s="29">
        <f>IF($B67&lt;&gt;"Entry","",IF(Z67="","",IF(X67="Y",SUMPRODUCT(('Rate Lookup'!$A$1:$A$32=Z67)*'Rate Lookup'!$D$1:$D$32),IF(OR(Y67="Individual",Y67="HUF"),SUMPRODUCT(('Rate Lookup'!$A$1:$A$32=Z67)*'Rate Lookup'!$B$1:$B$32),SUMPRODUCT(('Rate Lookup'!$A$1:$A$32=Z67)*'Rate Lookup'!$C$1:$C$32)))))</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IF($B67&lt;&gt;"Challan","",SUMIF($D$4:$D$207,D67,$AD$4:$AD$207)+SUMIF($D$4:$D$207,D67,$AG$4:$AG$207)+SUMIF($D$4:$D$207,D67,$AE$4:$AE$207))</f>
      </c>
      <c r="AO67" s="27">
        <f>IF($B67&lt;&gt;"Challan","",P67-N67)</f>
      </c>
      <c r="AP67" s="27">
        <f>IF($B67&lt;&gt;"Challan","",MAX(0,AO67-AN67))</f>
      </c>
      <c r="AQ67" s="33">
        <f>IF($B67&lt;&gt;"Entry","",SUMPRODUCT(($D$4:$D$207=D67)*($B$4:$B$207="Challan")*$F$4:$F$207))</f>
      </c>
      <c r="AR67" s="34">
        <f>IF(OR($B67&lt;&gt;"Entry",Z67=""),FALSE,AND(SUMPRODUCT(($D$4:$D$207=D67)*($B$4:$B$207="Challan")*($H$4:$H$207&lt;&gt;""))&gt;0,SUMPRODUCT(($D$4:$D$207=D67)*($B$4:$B$207="Challan")*($H$4:$H$207=Z67))=0))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lt;&gt;"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f>
      </c>
      <c r="Y68" s="23">
        <f>IF($B68&lt;&gt;"Entry","",IF(LEN(W68)&lt;4,"",IF(UPPER(MID(W68,4,1))="P","Individual",IF(UPPER(MID(W68,4,1))="H","HUF",IF(UPPER(MID(W68,4,1))="C","Company",IF(UPPER(MID(W68,4,1))="F","Firm",IF(UPPER(MID(W68,4,1))="L","LLP",IF(UPPER(MID(W68,4,1))="T","Trust",IF(UPPER(MID(W68,4,1))="A","AOP",""))))))))</f>
      </c>
      <c r="Z68" s="28"/>
      <c r="AA68" s="29">
        <f>IF($B68&lt;&gt;"Entry","",IF(Z68="","",IF(X68="Y",SUMPRODUCT(('Rate Lookup'!$A$1:$A$32=Z68)*'Rate Lookup'!$D$1:$D$32),IF(OR(Y68="Individual",Y68="HUF"),SUMPRODUCT(('Rate Lookup'!$A$1:$A$32=Z68)*'Rate Lookup'!$B$1:$B$32),SUMPRODUCT(('Rate Lookup'!$A$1:$A$32=Z68)*'Rate Lookup'!$C$1:$C$32)))))</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IF($B68&lt;&gt;"Challan","",SUMIF($D$4:$D$207,D68,$AD$4:$AD$207)+SUMIF($D$4:$D$207,D68,$AG$4:$AG$207)+SUMIF($D$4:$D$207,D68,$AE$4:$AE$207))</f>
      </c>
      <c r="AO68" s="27">
        <f>IF($B68&lt;&gt;"Challan","",P68-N68)</f>
      </c>
      <c r="AP68" s="27">
        <f>IF($B68&lt;&gt;"Challan","",MAX(0,AO68-AN68))</f>
      </c>
      <c r="AQ68" s="33">
        <f>IF($B68&lt;&gt;"Entry","",SUMPRODUCT(($D$4:$D$207=D68)*($B$4:$B$207="Challan")*$F$4:$F$207))</f>
      </c>
      <c r="AR68" s="34">
        <f>IF(OR($B68&lt;&gt;"Entry",Z68=""),FALSE,AND(SUMPRODUCT(($D$4:$D$207=D68)*($B$4:$B$207="Challan")*($H$4:$H$207&lt;&gt;""))&gt;0,SUMPRODUCT(($D$4:$D$207=D68)*($B$4:$B$207="Challan")*($H$4:$H$207=Z68))=0))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lt;&gt;"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f>
      </c>
      <c r="Y69" s="23">
        <f>IF($B69&lt;&gt;"Entry","",IF(LEN(W69)&lt;4,"",IF(UPPER(MID(W69,4,1))="P","Individual",IF(UPPER(MID(W69,4,1))="H","HUF",IF(UPPER(MID(W69,4,1))="C","Company",IF(UPPER(MID(W69,4,1))="F","Firm",IF(UPPER(MID(W69,4,1))="L","LLP",IF(UPPER(MID(W69,4,1))="T","Trust",IF(UPPER(MID(W69,4,1))="A","AOP",""))))))))</f>
      </c>
      <c r="Z69" s="28"/>
      <c r="AA69" s="29">
        <f>IF($B69&lt;&gt;"Entry","",IF(Z69="","",IF(X69="Y",SUMPRODUCT(('Rate Lookup'!$A$1:$A$32=Z69)*'Rate Lookup'!$D$1:$D$32),IF(OR(Y69="Individual",Y69="HUF"),SUMPRODUCT(('Rate Lookup'!$A$1:$A$32=Z69)*'Rate Lookup'!$B$1:$B$32),SUMPRODUCT(('Rate Lookup'!$A$1:$A$32=Z69)*'Rate Lookup'!$C$1:$C$32)))))</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IF($B69&lt;&gt;"Challan","",SUMIF($D$4:$D$207,D69,$AD$4:$AD$207)+SUMIF($D$4:$D$207,D69,$AG$4:$AG$207)+SUMIF($D$4:$D$207,D69,$AE$4:$AE$207))</f>
      </c>
      <c r="AO69" s="27">
        <f>IF($B69&lt;&gt;"Challan","",P69-N69)</f>
      </c>
      <c r="AP69" s="27">
        <f>IF($B69&lt;&gt;"Challan","",MAX(0,AO69-AN69))</f>
      </c>
      <c r="AQ69" s="33">
        <f>IF($B69&lt;&gt;"Entry","",SUMPRODUCT(($D$4:$D$207=D69)*($B$4:$B$207="Challan")*$F$4:$F$207))</f>
      </c>
      <c r="AR69" s="34">
        <f>IF(OR($B69&lt;&gt;"Entry",Z69=""),FALSE,AND(SUMPRODUCT(($D$4:$D$207=D69)*($B$4:$B$207="Challan")*($H$4:$H$207&lt;&gt;""))&gt;0,SUMPRODUCT(($D$4:$D$207=D69)*($B$4:$B$207="Challan")*($H$4:$H$207=Z69))=0))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lt;&gt;"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f>
      </c>
      <c r="Y70" s="23">
        <f>IF($B70&lt;&gt;"Entry","",IF(LEN(W70)&lt;4,"",IF(UPPER(MID(W70,4,1))="P","Individual",IF(UPPER(MID(W70,4,1))="H","HUF",IF(UPPER(MID(W70,4,1))="C","Company",IF(UPPER(MID(W70,4,1))="F","Firm",IF(UPPER(MID(W70,4,1))="L","LLP",IF(UPPER(MID(W70,4,1))="T","Trust",IF(UPPER(MID(W70,4,1))="A","AOP",""))))))))</f>
      </c>
      <c r="Z70" s="28"/>
      <c r="AA70" s="29">
        <f>IF($B70&lt;&gt;"Entry","",IF(Z70="","",IF(X70="Y",SUMPRODUCT(('Rate Lookup'!$A$1:$A$32=Z70)*'Rate Lookup'!$D$1:$D$32),IF(OR(Y70="Individual",Y70="HUF"),SUMPRODUCT(('Rate Lookup'!$A$1:$A$32=Z70)*'Rate Lookup'!$B$1:$B$32),SUMPRODUCT(('Rate Lookup'!$A$1:$A$32=Z70)*'Rate Lookup'!$C$1:$C$32)))))</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IF($B70&lt;&gt;"Challan","",SUMIF($D$4:$D$207,D70,$AD$4:$AD$207)+SUMIF($D$4:$D$207,D70,$AG$4:$AG$207)+SUMIF($D$4:$D$207,D70,$AE$4:$AE$207))</f>
      </c>
      <c r="AO70" s="27">
        <f>IF($B70&lt;&gt;"Challan","",P70-N70)</f>
      </c>
      <c r="AP70" s="27">
        <f>IF($B70&lt;&gt;"Challan","",MAX(0,AO70-AN70))</f>
      </c>
      <c r="AQ70" s="33">
        <f>IF($B70&lt;&gt;"Entry","",SUMPRODUCT(($D$4:$D$207=D70)*($B$4:$B$207="Challan")*$F$4:$F$207))</f>
      </c>
      <c r="AR70" s="34">
        <f>IF(OR($B70&lt;&gt;"Entry",Z70=""),FALSE,AND(SUMPRODUCT(($D$4:$D$207=D70)*($B$4:$B$207="Challan")*($H$4:$H$207&lt;&gt;""))&gt;0,SUMPRODUCT(($D$4:$D$207=D70)*($B$4:$B$207="Challan")*($H$4:$H$207=Z70))=0))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lt;&gt;"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f>
      </c>
      <c r="Y71" s="23">
        <f>IF($B71&lt;&gt;"Entry","",IF(LEN(W71)&lt;4,"",IF(UPPER(MID(W71,4,1))="P","Individual",IF(UPPER(MID(W71,4,1))="H","HUF",IF(UPPER(MID(W71,4,1))="C","Company",IF(UPPER(MID(W71,4,1))="F","Firm",IF(UPPER(MID(W71,4,1))="L","LLP",IF(UPPER(MID(W71,4,1))="T","Trust",IF(UPPER(MID(W71,4,1))="A","AOP",""))))))))</f>
      </c>
      <c r="Z71" s="28"/>
      <c r="AA71" s="29">
        <f>IF($B71&lt;&gt;"Entry","",IF(Z71="","",IF(X71="Y",SUMPRODUCT(('Rate Lookup'!$A$1:$A$32=Z71)*'Rate Lookup'!$D$1:$D$32),IF(OR(Y71="Individual",Y71="HUF"),SUMPRODUCT(('Rate Lookup'!$A$1:$A$32=Z71)*'Rate Lookup'!$B$1:$B$32),SUMPRODUCT(('Rate Lookup'!$A$1:$A$32=Z71)*'Rate Lookup'!$C$1:$C$32)))))</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IF($B71&lt;&gt;"Challan","",SUMIF($D$4:$D$207,D71,$AD$4:$AD$207)+SUMIF($D$4:$D$207,D71,$AG$4:$AG$207)+SUMIF($D$4:$D$207,D71,$AE$4:$AE$207))</f>
      </c>
      <c r="AO71" s="27">
        <f>IF($B71&lt;&gt;"Challan","",P71-N71)</f>
      </c>
      <c r="AP71" s="27">
        <f>IF($B71&lt;&gt;"Challan","",MAX(0,AO71-AN71))</f>
      </c>
      <c r="AQ71" s="33">
        <f>IF($B71&lt;&gt;"Entry","",SUMPRODUCT(($D$4:$D$207=D71)*($B$4:$B$207="Challan")*$F$4:$F$207))</f>
      </c>
      <c r="AR71" s="34">
        <f>IF(OR($B71&lt;&gt;"Entry",Z71=""),FALSE,AND(SUMPRODUCT(($D$4:$D$207=D71)*($B$4:$B$207="Challan")*($H$4:$H$207&lt;&gt;""))&gt;0,SUMPRODUCT(($D$4:$D$207=D71)*($B$4:$B$207="Challan")*($H$4:$H$207=Z71))=0))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lt;&gt;"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f>
      </c>
      <c r="Y72" s="23">
        <f>IF($B72&lt;&gt;"Entry","",IF(LEN(W72)&lt;4,"",IF(UPPER(MID(W72,4,1))="P","Individual",IF(UPPER(MID(W72,4,1))="H","HUF",IF(UPPER(MID(W72,4,1))="C","Company",IF(UPPER(MID(W72,4,1))="F","Firm",IF(UPPER(MID(W72,4,1))="L","LLP",IF(UPPER(MID(W72,4,1))="T","Trust",IF(UPPER(MID(W72,4,1))="A","AOP",""))))))))</f>
      </c>
      <c r="Z72" s="28"/>
      <c r="AA72" s="29">
        <f>IF($B72&lt;&gt;"Entry","",IF(Z72="","",IF(X72="Y",SUMPRODUCT(('Rate Lookup'!$A$1:$A$32=Z72)*'Rate Lookup'!$D$1:$D$32),IF(OR(Y72="Individual",Y72="HUF"),SUMPRODUCT(('Rate Lookup'!$A$1:$A$32=Z72)*'Rate Lookup'!$B$1:$B$32),SUMPRODUCT(('Rate Lookup'!$A$1:$A$32=Z72)*'Rate Lookup'!$C$1:$C$32)))))</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IF($B72&lt;&gt;"Challan","",SUMIF($D$4:$D$207,D72,$AD$4:$AD$207)+SUMIF($D$4:$D$207,D72,$AG$4:$AG$207)+SUMIF($D$4:$D$207,D72,$AE$4:$AE$207))</f>
      </c>
      <c r="AO72" s="27">
        <f>IF($B72&lt;&gt;"Challan","",P72-N72)</f>
      </c>
      <c r="AP72" s="27">
        <f>IF($B72&lt;&gt;"Challan","",MAX(0,AO72-AN72))</f>
      </c>
      <c r="AQ72" s="33">
        <f>IF($B72&lt;&gt;"Entry","",SUMPRODUCT(($D$4:$D$207=D72)*($B$4:$B$207="Challan")*$F$4:$F$207))</f>
      </c>
      <c r="AR72" s="34">
        <f>IF(OR($B72&lt;&gt;"Entry",Z72=""),FALSE,AND(SUMPRODUCT(($D$4:$D$207=D72)*($B$4:$B$207="Challan")*($H$4:$H$207&lt;&gt;""))&gt;0,SUMPRODUCT(($D$4:$D$207=D72)*($B$4:$B$207="Challan")*($H$4:$H$207=Z72))=0))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lt;&gt;"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f>
      </c>
      <c r="Y73" s="23">
        <f>IF($B73&lt;&gt;"Entry","",IF(LEN(W73)&lt;4,"",IF(UPPER(MID(W73,4,1))="P","Individual",IF(UPPER(MID(W73,4,1))="H","HUF",IF(UPPER(MID(W73,4,1))="C","Company",IF(UPPER(MID(W73,4,1))="F","Firm",IF(UPPER(MID(W73,4,1))="L","LLP",IF(UPPER(MID(W73,4,1))="T","Trust",IF(UPPER(MID(W73,4,1))="A","AOP",""))))))))</f>
      </c>
      <c r="Z73" s="28"/>
      <c r="AA73" s="29">
        <f>IF($B73&lt;&gt;"Entry","",IF(Z73="","",IF(X73="Y",SUMPRODUCT(('Rate Lookup'!$A$1:$A$32=Z73)*'Rate Lookup'!$D$1:$D$32),IF(OR(Y73="Individual",Y73="HUF"),SUMPRODUCT(('Rate Lookup'!$A$1:$A$32=Z73)*'Rate Lookup'!$B$1:$B$32),SUMPRODUCT(('Rate Lookup'!$A$1:$A$32=Z73)*'Rate Lookup'!$C$1:$C$32)))))</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IF($B73&lt;&gt;"Challan","",SUMIF($D$4:$D$207,D73,$AD$4:$AD$207)+SUMIF($D$4:$D$207,D73,$AG$4:$AG$207)+SUMIF($D$4:$D$207,D73,$AE$4:$AE$207))</f>
      </c>
      <c r="AO73" s="27">
        <f>IF($B73&lt;&gt;"Challan","",P73-N73)</f>
      </c>
      <c r="AP73" s="27">
        <f>IF($B73&lt;&gt;"Challan","",MAX(0,AO73-AN73))</f>
      </c>
      <c r="AQ73" s="33">
        <f>IF($B73&lt;&gt;"Entry","",SUMPRODUCT(($D$4:$D$207=D73)*($B$4:$B$207="Challan")*$F$4:$F$207))</f>
      </c>
      <c r="AR73" s="34">
        <f>IF(OR($B73&lt;&gt;"Entry",Z73=""),FALSE,AND(SUMPRODUCT(($D$4:$D$207=D73)*($B$4:$B$207="Challan")*($H$4:$H$207&lt;&gt;""))&gt;0,SUMPRODUCT(($D$4:$D$207=D73)*($B$4:$B$207="Challan")*($H$4:$H$207=Z73))=0))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lt;&gt;"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f>
      </c>
      <c r="Y74" s="23">
        <f>IF($B74&lt;&gt;"Entry","",IF(LEN(W74)&lt;4,"",IF(UPPER(MID(W74,4,1))="P","Individual",IF(UPPER(MID(W74,4,1))="H","HUF",IF(UPPER(MID(W74,4,1))="C","Company",IF(UPPER(MID(W74,4,1))="F","Firm",IF(UPPER(MID(W74,4,1))="L","LLP",IF(UPPER(MID(W74,4,1))="T","Trust",IF(UPPER(MID(W74,4,1))="A","AOP",""))))))))</f>
      </c>
      <c r="Z74" s="28"/>
      <c r="AA74" s="29">
        <f>IF($B74&lt;&gt;"Entry","",IF(Z74="","",IF(X74="Y",SUMPRODUCT(('Rate Lookup'!$A$1:$A$32=Z74)*'Rate Lookup'!$D$1:$D$32),IF(OR(Y74="Individual",Y74="HUF"),SUMPRODUCT(('Rate Lookup'!$A$1:$A$32=Z74)*'Rate Lookup'!$B$1:$B$32),SUMPRODUCT(('Rate Lookup'!$A$1:$A$32=Z74)*'Rate Lookup'!$C$1:$C$32)))))</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IF($B74&lt;&gt;"Challan","",SUMIF($D$4:$D$207,D74,$AD$4:$AD$207)+SUMIF($D$4:$D$207,D74,$AG$4:$AG$207)+SUMIF($D$4:$D$207,D74,$AE$4:$AE$207))</f>
      </c>
      <c r="AO74" s="27">
        <f>IF($B74&lt;&gt;"Challan","",P74-N74)</f>
      </c>
      <c r="AP74" s="27">
        <f>IF($B74&lt;&gt;"Challan","",MAX(0,AO74-AN74))</f>
      </c>
      <c r="AQ74" s="33">
        <f>IF($B74&lt;&gt;"Entry","",SUMPRODUCT(($D$4:$D$207=D74)*($B$4:$B$207="Challan")*$F$4:$F$207))</f>
      </c>
      <c r="AR74" s="34">
        <f>IF(OR($B74&lt;&gt;"Entry",Z74=""),FALSE,AND(SUMPRODUCT(($D$4:$D$207=D74)*($B$4:$B$207="Challan")*($H$4:$H$207&lt;&gt;""))&gt;0,SUMPRODUCT(($D$4:$D$207=D74)*($B$4:$B$207="Challan")*($H$4:$H$207=Z74))=0))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lt;&gt;"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f>
      </c>
      <c r="Y75" s="23">
        <f>IF($B75&lt;&gt;"Entry","",IF(LEN(W75)&lt;4,"",IF(UPPER(MID(W75,4,1))="P","Individual",IF(UPPER(MID(W75,4,1))="H","HUF",IF(UPPER(MID(W75,4,1))="C","Company",IF(UPPER(MID(W75,4,1))="F","Firm",IF(UPPER(MID(W75,4,1))="L","LLP",IF(UPPER(MID(W75,4,1))="T","Trust",IF(UPPER(MID(W75,4,1))="A","AOP",""))))))))</f>
      </c>
      <c r="Z75" s="28"/>
      <c r="AA75" s="29">
        <f>IF($B75&lt;&gt;"Entry","",IF(Z75="","",IF(X75="Y",SUMPRODUCT(('Rate Lookup'!$A$1:$A$32=Z75)*'Rate Lookup'!$D$1:$D$32),IF(OR(Y75="Individual",Y75="HUF"),SUMPRODUCT(('Rate Lookup'!$A$1:$A$32=Z75)*'Rate Lookup'!$B$1:$B$32),SUMPRODUCT(('Rate Lookup'!$A$1:$A$32=Z75)*'Rate Lookup'!$C$1:$C$32)))))</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IF($B75&lt;&gt;"Challan","",SUMIF($D$4:$D$207,D75,$AD$4:$AD$207)+SUMIF($D$4:$D$207,D75,$AG$4:$AG$207)+SUMIF($D$4:$D$207,D75,$AE$4:$AE$207))</f>
      </c>
      <c r="AO75" s="27">
        <f>IF($B75&lt;&gt;"Challan","",P75-N75)</f>
      </c>
      <c r="AP75" s="27">
        <f>IF($B75&lt;&gt;"Challan","",MAX(0,AO75-AN75))</f>
      </c>
      <c r="AQ75" s="33">
        <f>IF($B75&lt;&gt;"Entry","",SUMPRODUCT(($D$4:$D$207=D75)*($B$4:$B$207="Challan")*$F$4:$F$207))</f>
      </c>
      <c r="AR75" s="34">
        <f>IF(OR($B75&lt;&gt;"Entry",Z75=""),FALSE,AND(SUMPRODUCT(($D$4:$D$207=D75)*($B$4:$B$207="Challan")*($H$4:$H$207&lt;&gt;""))&gt;0,SUMPRODUCT(($D$4:$D$207=D75)*($B$4:$B$207="Challan")*($H$4:$H$207=Z75))=0))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lt;&gt;"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f>
      </c>
      <c r="Y76" s="23">
        <f>IF($B76&lt;&gt;"Entry","",IF(LEN(W76)&lt;4,"",IF(UPPER(MID(W76,4,1))="P","Individual",IF(UPPER(MID(W76,4,1))="H","HUF",IF(UPPER(MID(W76,4,1))="C","Company",IF(UPPER(MID(W76,4,1))="F","Firm",IF(UPPER(MID(W76,4,1))="L","LLP",IF(UPPER(MID(W76,4,1))="T","Trust",IF(UPPER(MID(W76,4,1))="A","AOP",""))))))))</f>
      </c>
      <c r="Z76" s="28"/>
      <c r="AA76" s="29">
        <f>IF($B76&lt;&gt;"Entry","",IF(Z76="","",IF(X76="Y",SUMPRODUCT(('Rate Lookup'!$A$1:$A$32=Z76)*'Rate Lookup'!$D$1:$D$32),IF(OR(Y76="Individual",Y76="HUF"),SUMPRODUCT(('Rate Lookup'!$A$1:$A$32=Z76)*'Rate Lookup'!$B$1:$B$32),SUMPRODUCT(('Rate Lookup'!$A$1:$A$32=Z76)*'Rate Lookup'!$C$1:$C$32)))))</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IF($B76&lt;&gt;"Challan","",SUMIF($D$4:$D$207,D76,$AD$4:$AD$207)+SUMIF($D$4:$D$207,D76,$AG$4:$AG$207)+SUMIF($D$4:$D$207,D76,$AE$4:$AE$207))</f>
      </c>
      <c r="AO76" s="27">
        <f>IF($B76&lt;&gt;"Challan","",P76-N76)</f>
      </c>
      <c r="AP76" s="27">
        <f>IF($B76&lt;&gt;"Challan","",MAX(0,AO76-AN76))</f>
      </c>
      <c r="AQ76" s="33">
        <f>IF($B76&lt;&gt;"Entry","",SUMPRODUCT(($D$4:$D$207=D76)*($B$4:$B$207="Challan")*$F$4:$F$207))</f>
      </c>
      <c r="AR76" s="34">
        <f>IF(OR($B76&lt;&gt;"Entry",Z76=""),FALSE,AND(SUMPRODUCT(($D$4:$D$207=D76)*($B$4:$B$207="Challan")*($H$4:$H$207&lt;&gt;""))&gt;0,SUMPRODUCT(($D$4:$D$207=D76)*($B$4:$B$207="Challan")*($H$4:$H$207=Z76))=0))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lt;&gt;"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f>
      </c>
      <c r="Y77" s="23">
        <f>IF($B77&lt;&gt;"Entry","",IF(LEN(W77)&lt;4,"",IF(UPPER(MID(W77,4,1))="P","Individual",IF(UPPER(MID(W77,4,1))="H","HUF",IF(UPPER(MID(W77,4,1))="C","Company",IF(UPPER(MID(W77,4,1))="F","Firm",IF(UPPER(MID(W77,4,1))="L","LLP",IF(UPPER(MID(W77,4,1))="T","Trust",IF(UPPER(MID(W77,4,1))="A","AOP",""))))))))</f>
      </c>
      <c r="Z77" s="28"/>
      <c r="AA77" s="29">
        <f>IF($B77&lt;&gt;"Entry","",IF(Z77="","",IF(X77="Y",SUMPRODUCT(('Rate Lookup'!$A$1:$A$32=Z77)*'Rate Lookup'!$D$1:$D$32),IF(OR(Y77="Individual",Y77="HUF"),SUMPRODUCT(('Rate Lookup'!$A$1:$A$32=Z77)*'Rate Lookup'!$B$1:$B$32),SUMPRODUCT(('Rate Lookup'!$A$1:$A$32=Z77)*'Rate Lookup'!$C$1:$C$32)))))</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IF($B77&lt;&gt;"Challan","",SUMIF($D$4:$D$207,D77,$AD$4:$AD$207)+SUMIF($D$4:$D$207,D77,$AG$4:$AG$207)+SUMIF($D$4:$D$207,D77,$AE$4:$AE$207))</f>
      </c>
      <c r="AO77" s="27">
        <f>IF($B77&lt;&gt;"Challan","",P77-N77)</f>
      </c>
      <c r="AP77" s="27">
        <f>IF($B77&lt;&gt;"Challan","",MAX(0,AO77-AN77))</f>
      </c>
      <c r="AQ77" s="33">
        <f>IF($B77&lt;&gt;"Entry","",SUMPRODUCT(($D$4:$D$207=D77)*($B$4:$B$207="Challan")*$F$4:$F$207))</f>
      </c>
      <c r="AR77" s="34">
        <f>IF(OR($B77&lt;&gt;"Entry",Z77=""),FALSE,AND(SUMPRODUCT(($D$4:$D$207=D77)*($B$4:$B$207="Challan")*($H$4:$H$207&lt;&gt;""))&gt;0,SUMPRODUCT(($D$4:$D$207=D77)*($B$4:$B$207="Challan")*($H$4:$H$207=Z77))=0))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lt;&gt;"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f>
      </c>
      <c r="Y78" s="23">
        <f>IF($B78&lt;&gt;"Entry","",IF(LEN(W78)&lt;4,"",IF(UPPER(MID(W78,4,1))="P","Individual",IF(UPPER(MID(W78,4,1))="H","HUF",IF(UPPER(MID(W78,4,1))="C","Company",IF(UPPER(MID(W78,4,1))="F","Firm",IF(UPPER(MID(W78,4,1))="L","LLP",IF(UPPER(MID(W78,4,1))="T","Trust",IF(UPPER(MID(W78,4,1))="A","AOP",""))))))))</f>
      </c>
      <c r="Z78" s="28"/>
      <c r="AA78" s="29">
        <f>IF($B78&lt;&gt;"Entry","",IF(Z78="","",IF(X78="Y",SUMPRODUCT(('Rate Lookup'!$A$1:$A$32=Z78)*'Rate Lookup'!$D$1:$D$32),IF(OR(Y78="Individual",Y78="HUF"),SUMPRODUCT(('Rate Lookup'!$A$1:$A$32=Z78)*'Rate Lookup'!$B$1:$B$32),SUMPRODUCT(('Rate Lookup'!$A$1:$A$32=Z78)*'Rate Lookup'!$C$1:$C$32)))))</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IF($B78&lt;&gt;"Challan","",SUMIF($D$4:$D$207,D78,$AD$4:$AD$207)+SUMIF($D$4:$D$207,D78,$AG$4:$AG$207)+SUMIF($D$4:$D$207,D78,$AE$4:$AE$207))</f>
      </c>
      <c r="AO78" s="27">
        <f>IF($B78&lt;&gt;"Challan","",P78-N78)</f>
      </c>
      <c r="AP78" s="27">
        <f>IF($B78&lt;&gt;"Challan","",MAX(0,AO78-AN78))</f>
      </c>
      <c r="AQ78" s="33">
        <f>IF($B78&lt;&gt;"Entry","",SUMPRODUCT(($D$4:$D$207=D78)*($B$4:$B$207="Challan")*$F$4:$F$207))</f>
      </c>
      <c r="AR78" s="34">
        <f>IF(OR($B78&lt;&gt;"Entry",Z78=""),FALSE,AND(SUMPRODUCT(($D$4:$D$207=D78)*($B$4:$B$207="Challan")*($H$4:$H$207&lt;&gt;""))&gt;0,SUMPRODUCT(($D$4:$D$207=D78)*($B$4:$B$207="Challan")*($H$4:$H$207=Z78))=0))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lt;&gt;"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f>
      </c>
      <c r="Y79" s="23">
        <f>IF($B79&lt;&gt;"Entry","",IF(LEN(W79)&lt;4,"",IF(UPPER(MID(W79,4,1))="P","Individual",IF(UPPER(MID(W79,4,1))="H","HUF",IF(UPPER(MID(W79,4,1))="C","Company",IF(UPPER(MID(W79,4,1))="F","Firm",IF(UPPER(MID(W79,4,1))="L","LLP",IF(UPPER(MID(W79,4,1))="T","Trust",IF(UPPER(MID(W79,4,1))="A","AOP",""))))))))</f>
      </c>
      <c r="Z79" s="28"/>
      <c r="AA79" s="29">
        <f>IF($B79&lt;&gt;"Entry","",IF(Z79="","",IF(X79="Y",SUMPRODUCT(('Rate Lookup'!$A$1:$A$32=Z79)*'Rate Lookup'!$D$1:$D$32),IF(OR(Y79="Individual",Y79="HUF"),SUMPRODUCT(('Rate Lookup'!$A$1:$A$32=Z79)*'Rate Lookup'!$B$1:$B$32),SUMPRODUCT(('Rate Lookup'!$A$1:$A$32=Z79)*'Rate Lookup'!$C$1:$C$32)))))</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IF($B79&lt;&gt;"Challan","",SUMIF($D$4:$D$207,D79,$AD$4:$AD$207)+SUMIF($D$4:$D$207,D79,$AG$4:$AG$207)+SUMIF($D$4:$D$207,D79,$AE$4:$AE$207))</f>
      </c>
      <c r="AO79" s="27">
        <f>IF($B79&lt;&gt;"Challan","",P79-N79)</f>
      </c>
      <c r="AP79" s="27">
        <f>IF($B79&lt;&gt;"Challan","",MAX(0,AO79-AN79))</f>
      </c>
      <c r="AQ79" s="33">
        <f>IF($B79&lt;&gt;"Entry","",SUMPRODUCT(($D$4:$D$207=D79)*($B$4:$B$207="Challan")*$F$4:$F$207))</f>
      </c>
      <c r="AR79" s="34">
        <f>IF(OR($B79&lt;&gt;"Entry",Z79=""),FALSE,AND(SUMPRODUCT(($D$4:$D$207=D79)*($B$4:$B$207="Challan")*($H$4:$H$207&lt;&gt;""))&gt;0,SUMPRODUCT(($D$4:$D$207=D79)*($B$4:$B$207="Challan")*($H$4:$H$207=Z79))=0))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lt;&gt;"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f>
      </c>
      <c r="Y80" s="23">
        <f>IF($B80&lt;&gt;"Entry","",IF(LEN(W80)&lt;4,"",IF(UPPER(MID(W80,4,1))="P","Individual",IF(UPPER(MID(W80,4,1))="H","HUF",IF(UPPER(MID(W80,4,1))="C","Company",IF(UPPER(MID(W80,4,1))="F","Firm",IF(UPPER(MID(W80,4,1))="L","LLP",IF(UPPER(MID(W80,4,1))="T","Trust",IF(UPPER(MID(W80,4,1))="A","AOP",""))))))))</f>
      </c>
      <c r="Z80" s="28"/>
      <c r="AA80" s="29">
        <f>IF($B80&lt;&gt;"Entry","",IF(Z80="","",IF(X80="Y",SUMPRODUCT(('Rate Lookup'!$A$1:$A$32=Z80)*'Rate Lookup'!$D$1:$D$32),IF(OR(Y80="Individual",Y80="HUF"),SUMPRODUCT(('Rate Lookup'!$A$1:$A$32=Z80)*'Rate Lookup'!$B$1:$B$32),SUMPRODUCT(('Rate Lookup'!$A$1:$A$32=Z80)*'Rate Lookup'!$C$1:$C$32)))))</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IF($B80&lt;&gt;"Challan","",SUMIF($D$4:$D$207,D80,$AD$4:$AD$207)+SUMIF($D$4:$D$207,D80,$AG$4:$AG$207)+SUMIF($D$4:$D$207,D80,$AE$4:$AE$207))</f>
      </c>
      <c r="AO80" s="27">
        <f>IF($B80&lt;&gt;"Challan","",P80-N80)</f>
      </c>
      <c r="AP80" s="27">
        <f>IF($B80&lt;&gt;"Challan","",MAX(0,AO80-AN80))</f>
      </c>
      <c r="AQ80" s="33">
        <f>IF($B80&lt;&gt;"Entry","",SUMPRODUCT(($D$4:$D$207=D80)*($B$4:$B$207="Challan")*$F$4:$F$207))</f>
      </c>
      <c r="AR80" s="34">
        <f>IF(OR($B80&lt;&gt;"Entry",Z80=""),FALSE,AND(SUMPRODUCT(($D$4:$D$207=D80)*($B$4:$B$207="Challan")*($H$4:$H$207&lt;&gt;""))&gt;0,SUMPRODUCT(($D$4:$D$207=D80)*($B$4:$B$207="Challan")*($H$4:$H$207=Z80))=0))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lt;&gt;"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f>
      </c>
      <c r="Y81" s="23">
        <f>IF($B81&lt;&gt;"Entry","",IF(LEN(W81)&lt;4,"",IF(UPPER(MID(W81,4,1))="P","Individual",IF(UPPER(MID(W81,4,1))="H","HUF",IF(UPPER(MID(W81,4,1))="C","Company",IF(UPPER(MID(W81,4,1))="F","Firm",IF(UPPER(MID(W81,4,1))="L","LLP",IF(UPPER(MID(W81,4,1))="T","Trust",IF(UPPER(MID(W81,4,1))="A","AOP",""))))))))</f>
      </c>
      <c r="Z81" s="28"/>
      <c r="AA81" s="29">
        <f>IF($B81&lt;&gt;"Entry","",IF(Z81="","",IF(X81="Y",SUMPRODUCT(('Rate Lookup'!$A$1:$A$32=Z81)*'Rate Lookup'!$D$1:$D$32),IF(OR(Y81="Individual",Y81="HUF"),SUMPRODUCT(('Rate Lookup'!$A$1:$A$32=Z81)*'Rate Lookup'!$B$1:$B$32),SUMPRODUCT(('Rate Lookup'!$A$1:$A$32=Z81)*'Rate Lookup'!$C$1:$C$32)))))</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IF($B81&lt;&gt;"Challan","",SUMIF($D$4:$D$207,D81,$AD$4:$AD$207)+SUMIF($D$4:$D$207,D81,$AG$4:$AG$207)+SUMIF($D$4:$D$207,D81,$AE$4:$AE$207))</f>
      </c>
      <c r="AO81" s="27">
        <f>IF($B81&lt;&gt;"Challan","",P81-N81)</f>
      </c>
      <c r="AP81" s="27">
        <f>IF($B81&lt;&gt;"Challan","",MAX(0,AO81-AN81))</f>
      </c>
      <c r="AQ81" s="33">
        <f>IF($B81&lt;&gt;"Entry","",SUMPRODUCT(($D$4:$D$207=D81)*($B$4:$B$207="Challan")*$F$4:$F$207))</f>
      </c>
      <c r="AR81" s="34">
        <f>IF(OR($B81&lt;&gt;"Entry",Z81=""),FALSE,AND(SUMPRODUCT(($D$4:$D$207=D81)*($B$4:$B$207="Challan")*($H$4:$H$207&lt;&gt;""))&gt;0,SUMPRODUCT(($D$4:$D$207=D81)*($B$4:$B$207="Challan")*($H$4:$H$207=Z81))=0))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lt;&gt;"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f>
      </c>
      <c r="Y82" s="23">
        <f>IF($B82&lt;&gt;"Entry","",IF(LEN(W82)&lt;4,"",IF(UPPER(MID(W82,4,1))="P","Individual",IF(UPPER(MID(W82,4,1))="H","HUF",IF(UPPER(MID(W82,4,1))="C","Company",IF(UPPER(MID(W82,4,1))="F","Firm",IF(UPPER(MID(W82,4,1))="L","LLP",IF(UPPER(MID(W82,4,1))="T","Trust",IF(UPPER(MID(W82,4,1))="A","AOP",""))))))))</f>
      </c>
      <c r="Z82" s="28"/>
      <c r="AA82" s="29">
        <f>IF($B82&lt;&gt;"Entry","",IF(Z82="","",IF(X82="Y",SUMPRODUCT(('Rate Lookup'!$A$1:$A$32=Z82)*'Rate Lookup'!$D$1:$D$32),IF(OR(Y82="Individual",Y82="HUF"),SUMPRODUCT(('Rate Lookup'!$A$1:$A$32=Z82)*'Rate Lookup'!$B$1:$B$32),SUMPRODUCT(('Rate Lookup'!$A$1:$A$32=Z82)*'Rate Lookup'!$C$1:$C$32)))))</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IF($B82&lt;&gt;"Challan","",SUMIF($D$4:$D$207,D82,$AD$4:$AD$207)+SUMIF($D$4:$D$207,D82,$AG$4:$AG$207)+SUMIF($D$4:$D$207,D82,$AE$4:$AE$207))</f>
      </c>
      <c r="AO82" s="27">
        <f>IF($B82&lt;&gt;"Challan","",P82-N82)</f>
      </c>
      <c r="AP82" s="27">
        <f>IF($B82&lt;&gt;"Challan","",MAX(0,AO82-AN82))</f>
      </c>
      <c r="AQ82" s="33">
        <f>IF($B82&lt;&gt;"Entry","",SUMPRODUCT(($D$4:$D$207=D82)*($B$4:$B$207="Challan")*$F$4:$F$207))</f>
      </c>
      <c r="AR82" s="34">
        <f>IF(OR($B82&lt;&gt;"Entry",Z82=""),FALSE,AND(SUMPRODUCT(($D$4:$D$207=D82)*($B$4:$B$207="Challan")*($H$4:$H$207&lt;&gt;""))&gt;0,SUMPRODUCT(($D$4:$D$207=D82)*($B$4:$B$207="Challan")*($H$4:$H$207=Z82))=0))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lt;&gt;"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f>
      </c>
      <c r="Y83" s="23">
        <f>IF($B83&lt;&gt;"Entry","",IF(LEN(W83)&lt;4,"",IF(UPPER(MID(W83,4,1))="P","Individual",IF(UPPER(MID(W83,4,1))="H","HUF",IF(UPPER(MID(W83,4,1))="C","Company",IF(UPPER(MID(W83,4,1))="F","Firm",IF(UPPER(MID(W83,4,1))="L","LLP",IF(UPPER(MID(W83,4,1))="T","Trust",IF(UPPER(MID(W83,4,1))="A","AOP",""))))))))</f>
      </c>
      <c r="Z83" s="28"/>
      <c r="AA83" s="29">
        <f>IF($B83&lt;&gt;"Entry","",IF(Z83="","",IF(X83="Y",SUMPRODUCT(('Rate Lookup'!$A$1:$A$32=Z83)*'Rate Lookup'!$D$1:$D$32),IF(OR(Y83="Individual",Y83="HUF"),SUMPRODUCT(('Rate Lookup'!$A$1:$A$32=Z83)*'Rate Lookup'!$B$1:$B$32),SUMPRODUCT(('Rate Lookup'!$A$1:$A$32=Z83)*'Rate Lookup'!$C$1:$C$32)))))</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IF($B83&lt;&gt;"Challan","",SUMIF($D$4:$D$207,D83,$AD$4:$AD$207)+SUMIF($D$4:$D$207,D83,$AG$4:$AG$207)+SUMIF($D$4:$D$207,D83,$AE$4:$AE$207))</f>
      </c>
      <c r="AO83" s="27">
        <f>IF($B83&lt;&gt;"Challan","",P83-N83)</f>
      </c>
      <c r="AP83" s="27">
        <f>IF($B83&lt;&gt;"Challan","",MAX(0,AO83-AN83))</f>
      </c>
      <c r="AQ83" s="33">
        <f>IF($B83&lt;&gt;"Entry","",SUMPRODUCT(($D$4:$D$207=D83)*($B$4:$B$207="Challan")*$F$4:$F$207))</f>
      </c>
      <c r="AR83" s="34">
        <f>IF(OR($B83&lt;&gt;"Entry",Z83=""),FALSE,AND(SUMPRODUCT(($D$4:$D$207=D83)*($B$4:$B$207="Challan")*($H$4:$H$207&lt;&gt;""))&gt;0,SUMPRODUCT(($D$4:$D$207=D83)*($B$4:$B$207="Challan")*($H$4:$H$207=Z83))=0))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lt;&gt;"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f>
      </c>
      <c r="Y84" s="23">
        <f>IF($B84&lt;&gt;"Entry","",IF(LEN(W84)&lt;4,"",IF(UPPER(MID(W84,4,1))="P","Individual",IF(UPPER(MID(W84,4,1))="H","HUF",IF(UPPER(MID(W84,4,1))="C","Company",IF(UPPER(MID(W84,4,1))="F","Firm",IF(UPPER(MID(W84,4,1))="L","LLP",IF(UPPER(MID(W84,4,1))="T","Trust",IF(UPPER(MID(W84,4,1))="A","AOP",""))))))))</f>
      </c>
      <c r="Z84" s="28"/>
      <c r="AA84" s="29">
        <f>IF($B84&lt;&gt;"Entry","",IF(Z84="","",IF(X84="Y",SUMPRODUCT(('Rate Lookup'!$A$1:$A$32=Z84)*'Rate Lookup'!$D$1:$D$32),IF(OR(Y84="Individual",Y84="HUF"),SUMPRODUCT(('Rate Lookup'!$A$1:$A$32=Z84)*'Rate Lookup'!$B$1:$B$32),SUMPRODUCT(('Rate Lookup'!$A$1:$A$32=Z84)*'Rate Lookup'!$C$1:$C$32)))))</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IF($B84&lt;&gt;"Challan","",SUMIF($D$4:$D$207,D84,$AD$4:$AD$207)+SUMIF($D$4:$D$207,D84,$AG$4:$AG$207)+SUMIF($D$4:$D$207,D84,$AE$4:$AE$207))</f>
      </c>
      <c r="AO84" s="27">
        <f>IF($B84&lt;&gt;"Challan","",P84-N84)</f>
      </c>
      <c r="AP84" s="27">
        <f>IF($B84&lt;&gt;"Challan","",MAX(0,AO84-AN84))</f>
      </c>
      <c r="AQ84" s="33">
        <f>IF($B84&lt;&gt;"Entry","",SUMPRODUCT(($D$4:$D$207=D84)*($B$4:$B$207="Challan")*$F$4:$F$207))</f>
      </c>
      <c r="AR84" s="34">
        <f>IF(OR($B84&lt;&gt;"Entry",Z84=""),FALSE,AND(SUMPRODUCT(($D$4:$D$207=D84)*($B$4:$B$207="Challan")*($H$4:$H$207&lt;&gt;""))&gt;0,SUMPRODUCT(($D$4:$D$207=D84)*($B$4:$B$207="Challan")*($H$4:$H$207=Z84))=0))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lt;&gt;"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f>
      </c>
      <c r="Y85" s="23">
        <f>IF($B85&lt;&gt;"Entry","",IF(LEN(W85)&lt;4,"",IF(UPPER(MID(W85,4,1))="P","Individual",IF(UPPER(MID(W85,4,1))="H","HUF",IF(UPPER(MID(W85,4,1))="C","Company",IF(UPPER(MID(W85,4,1))="F","Firm",IF(UPPER(MID(W85,4,1))="L","LLP",IF(UPPER(MID(W85,4,1))="T","Trust",IF(UPPER(MID(W85,4,1))="A","AOP",""))))))))</f>
      </c>
      <c r="Z85" s="28"/>
      <c r="AA85" s="29">
        <f>IF($B85&lt;&gt;"Entry","",IF(Z85="","",IF(X85="Y",SUMPRODUCT(('Rate Lookup'!$A$1:$A$32=Z85)*'Rate Lookup'!$D$1:$D$32),IF(OR(Y85="Individual",Y85="HUF"),SUMPRODUCT(('Rate Lookup'!$A$1:$A$32=Z85)*'Rate Lookup'!$B$1:$B$32),SUMPRODUCT(('Rate Lookup'!$A$1:$A$32=Z85)*'Rate Lookup'!$C$1:$C$32)))))</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IF($B85&lt;&gt;"Challan","",SUMIF($D$4:$D$207,D85,$AD$4:$AD$207)+SUMIF($D$4:$D$207,D85,$AG$4:$AG$207)+SUMIF($D$4:$D$207,D85,$AE$4:$AE$207))</f>
      </c>
      <c r="AO85" s="27">
        <f>IF($B85&lt;&gt;"Challan","",P85-N85)</f>
      </c>
      <c r="AP85" s="27">
        <f>IF($B85&lt;&gt;"Challan","",MAX(0,AO85-AN85))</f>
      </c>
      <c r="AQ85" s="33">
        <f>IF($B85&lt;&gt;"Entry","",SUMPRODUCT(($D$4:$D$207=D85)*($B$4:$B$207="Challan")*$F$4:$F$207))</f>
      </c>
      <c r="AR85" s="34">
        <f>IF(OR($B85&lt;&gt;"Entry",Z85=""),FALSE,AND(SUMPRODUCT(($D$4:$D$207=D85)*($B$4:$B$207="Challan")*($H$4:$H$207&lt;&gt;""))&gt;0,SUMPRODUCT(($D$4:$D$207=D85)*($B$4:$B$207="Challan")*($H$4:$H$207=Z85))=0))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lt;&gt;"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f>
      </c>
      <c r="Y86" s="23">
        <f>IF($B86&lt;&gt;"Entry","",IF(LEN(W86)&lt;4,"",IF(UPPER(MID(W86,4,1))="P","Individual",IF(UPPER(MID(W86,4,1))="H","HUF",IF(UPPER(MID(W86,4,1))="C","Company",IF(UPPER(MID(W86,4,1))="F","Firm",IF(UPPER(MID(W86,4,1))="L","LLP",IF(UPPER(MID(W86,4,1))="T","Trust",IF(UPPER(MID(W86,4,1))="A","AOP",""))))))))</f>
      </c>
      <c r="Z86" s="28"/>
      <c r="AA86" s="29">
        <f>IF($B86&lt;&gt;"Entry","",IF(Z86="","",IF(X86="Y",SUMPRODUCT(('Rate Lookup'!$A$1:$A$32=Z86)*'Rate Lookup'!$D$1:$D$32),IF(OR(Y86="Individual",Y86="HUF"),SUMPRODUCT(('Rate Lookup'!$A$1:$A$32=Z86)*'Rate Lookup'!$B$1:$B$32),SUMPRODUCT(('Rate Lookup'!$A$1:$A$32=Z86)*'Rate Lookup'!$C$1:$C$32)))))</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IF($B86&lt;&gt;"Challan","",SUMIF($D$4:$D$207,D86,$AD$4:$AD$207)+SUMIF($D$4:$D$207,D86,$AG$4:$AG$207)+SUMIF($D$4:$D$207,D86,$AE$4:$AE$207))</f>
      </c>
      <c r="AO86" s="27">
        <f>IF($B86&lt;&gt;"Challan","",P86-N86)</f>
      </c>
      <c r="AP86" s="27">
        <f>IF($B86&lt;&gt;"Challan","",MAX(0,AO86-AN86))</f>
      </c>
      <c r="AQ86" s="33">
        <f>IF($B86&lt;&gt;"Entry","",SUMPRODUCT(($D$4:$D$207=D86)*($B$4:$B$207="Challan")*$F$4:$F$207))</f>
      </c>
      <c r="AR86" s="34">
        <f>IF(OR($B86&lt;&gt;"Entry",Z86=""),FALSE,AND(SUMPRODUCT(($D$4:$D$207=D86)*($B$4:$B$207="Challan")*($H$4:$H$207&lt;&gt;""))&gt;0,SUMPRODUCT(($D$4:$D$207=D86)*($B$4:$B$207="Challan")*($H$4:$H$207=Z86))=0))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lt;&gt;"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f>
      </c>
      <c r="Y87" s="23">
        <f>IF($B87&lt;&gt;"Entry","",IF(LEN(W87)&lt;4,"",IF(UPPER(MID(W87,4,1))="P","Individual",IF(UPPER(MID(W87,4,1))="H","HUF",IF(UPPER(MID(W87,4,1))="C","Company",IF(UPPER(MID(W87,4,1))="F","Firm",IF(UPPER(MID(W87,4,1))="L","LLP",IF(UPPER(MID(W87,4,1))="T","Trust",IF(UPPER(MID(W87,4,1))="A","AOP",""))))))))</f>
      </c>
      <c r="Z87" s="28"/>
      <c r="AA87" s="29">
        <f>IF($B87&lt;&gt;"Entry","",IF(Z87="","",IF(X87="Y",SUMPRODUCT(('Rate Lookup'!$A$1:$A$32=Z87)*'Rate Lookup'!$D$1:$D$32),IF(OR(Y87="Individual",Y87="HUF"),SUMPRODUCT(('Rate Lookup'!$A$1:$A$32=Z87)*'Rate Lookup'!$B$1:$B$32),SUMPRODUCT(('Rate Lookup'!$A$1:$A$32=Z87)*'Rate Lookup'!$C$1:$C$32)))))</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IF($B87&lt;&gt;"Challan","",SUMIF($D$4:$D$207,D87,$AD$4:$AD$207)+SUMIF($D$4:$D$207,D87,$AG$4:$AG$207)+SUMIF($D$4:$D$207,D87,$AE$4:$AE$207))</f>
      </c>
      <c r="AO87" s="27">
        <f>IF($B87&lt;&gt;"Challan","",P87-N87)</f>
      </c>
      <c r="AP87" s="27">
        <f>IF($B87&lt;&gt;"Challan","",MAX(0,AO87-AN87))</f>
      </c>
      <c r="AQ87" s="33">
        <f>IF($B87&lt;&gt;"Entry","",SUMPRODUCT(($D$4:$D$207=D87)*($B$4:$B$207="Challan")*$F$4:$F$207))</f>
      </c>
      <c r="AR87" s="34">
        <f>IF(OR($B87&lt;&gt;"Entry",Z87=""),FALSE,AND(SUMPRODUCT(($D$4:$D$207=D87)*($B$4:$B$207="Challan")*($H$4:$H$207&lt;&gt;""))&gt;0,SUMPRODUCT(($D$4:$D$207=D87)*($B$4:$B$207="Challan")*($H$4:$H$207=Z87))=0))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lt;&gt;"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f>
      </c>
      <c r="Y88" s="23">
        <f>IF($B88&lt;&gt;"Entry","",IF(LEN(W88)&lt;4,"",IF(UPPER(MID(W88,4,1))="P","Individual",IF(UPPER(MID(W88,4,1))="H","HUF",IF(UPPER(MID(W88,4,1))="C","Company",IF(UPPER(MID(W88,4,1))="F","Firm",IF(UPPER(MID(W88,4,1))="L","LLP",IF(UPPER(MID(W88,4,1))="T","Trust",IF(UPPER(MID(W88,4,1))="A","AOP",""))))))))</f>
      </c>
      <c r="Z88" s="28"/>
      <c r="AA88" s="29">
        <f>IF($B88&lt;&gt;"Entry","",IF(Z88="","",IF(X88="Y",SUMPRODUCT(('Rate Lookup'!$A$1:$A$32=Z88)*'Rate Lookup'!$D$1:$D$32),IF(OR(Y88="Individual",Y88="HUF"),SUMPRODUCT(('Rate Lookup'!$A$1:$A$32=Z88)*'Rate Lookup'!$B$1:$B$32),SUMPRODUCT(('Rate Lookup'!$A$1:$A$32=Z88)*'Rate Lookup'!$C$1:$C$32)))))</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IF($B88&lt;&gt;"Challan","",SUMIF($D$4:$D$207,D88,$AD$4:$AD$207)+SUMIF($D$4:$D$207,D88,$AG$4:$AG$207)+SUMIF($D$4:$D$207,D88,$AE$4:$AE$207))</f>
      </c>
      <c r="AO88" s="27">
        <f>IF($B88&lt;&gt;"Challan","",P88-N88)</f>
      </c>
      <c r="AP88" s="27">
        <f>IF($B88&lt;&gt;"Challan","",MAX(0,AO88-AN88))</f>
      </c>
      <c r="AQ88" s="33">
        <f>IF($B88&lt;&gt;"Entry","",SUMPRODUCT(($D$4:$D$207=D88)*($B$4:$B$207="Challan")*$F$4:$F$207))</f>
      </c>
      <c r="AR88" s="34">
        <f>IF(OR($B88&lt;&gt;"Entry",Z88=""),FALSE,AND(SUMPRODUCT(($D$4:$D$207=D88)*($B$4:$B$207="Challan")*($H$4:$H$207&lt;&gt;""))&gt;0,SUMPRODUCT(($D$4:$D$207=D88)*($B$4:$B$207="Challan")*($H$4:$H$207=Z88))=0))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lt;&gt;"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f>
      </c>
      <c r="Y89" s="23">
        <f>IF($B89&lt;&gt;"Entry","",IF(LEN(W89)&lt;4,"",IF(UPPER(MID(W89,4,1))="P","Individual",IF(UPPER(MID(W89,4,1))="H","HUF",IF(UPPER(MID(W89,4,1))="C","Company",IF(UPPER(MID(W89,4,1))="F","Firm",IF(UPPER(MID(W89,4,1))="L","LLP",IF(UPPER(MID(W89,4,1))="T","Trust",IF(UPPER(MID(W89,4,1))="A","AOP",""))))))))</f>
      </c>
      <c r="Z89" s="28"/>
      <c r="AA89" s="29">
        <f>IF($B89&lt;&gt;"Entry","",IF(Z89="","",IF(X89="Y",SUMPRODUCT(('Rate Lookup'!$A$1:$A$32=Z89)*'Rate Lookup'!$D$1:$D$32),IF(OR(Y89="Individual",Y89="HUF"),SUMPRODUCT(('Rate Lookup'!$A$1:$A$32=Z89)*'Rate Lookup'!$B$1:$B$32),SUMPRODUCT(('Rate Lookup'!$A$1:$A$32=Z89)*'Rate Lookup'!$C$1:$C$32)))))</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IF($B89&lt;&gt;"Challan","",SUMIF($D$4:$D$207,D89,$AD$4:$AD$207)+SUMIF($D$4:$D$207,D89,$AG$4:$AG$207)+SUMIF($D$4:$D$207,D89,$AE$4:$AE$207))</f>
      </c>
      <c r="AO89" s="27">
        <f>IF($B89&lt;&gt;"Challan","",P89-N89)</f>
      </c>
      <c r="AP89" s="27">
        <f>IF($B89&lt;&gt;"Challan","",MAX(0,AO89-AN89))</f>
      </c>
      <c r="AQ89" s="33">
        <f>IF($B89&lt;&gt;"Entry","",SUMPRODUCT(($D$4:$D$207=D89)*($B$4:$B$207="Challan")*$F$4:$F$207))</f>
      </c>
      <c r="AR89" s="34">
        <f>IF(OR($B89&lt;&gt;"Entry",Z89=""),FALSE,AND(SUMPRODUCT(($D$4:$D$207=D89)*($B$4:$B$207="Challan")*($H$4:$H$207&lt;&gt;""))&gt;0,SUMPRODUCT(($D$4:$D$207=D89)*($B$4:$B$207="Challan")*($H$4:$H$207=Z89))=0))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lt;&gt;"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f>
      </c>
      <c r="Y90" s="23">
        <f>IF($B90&lt;&gt;"Entry","",IF(LEN(W90)&lt;4,"",IF(UPPER(MID(W90,4,1))="P","Individual",IF(UPPER(MID(W90,4,1))="H","HUF",IF(UPPER(MID(W90,4,1))="C","Company",IF(UPPER(MID(W90,4,1))="F","Firm",IF(UPPER(MID(W90,4,1))="L","LLP",IF(UPPER(MID(W90,4,1))="T","Trust",IF(UPPER(MID(W90,4,1))="A","AOP",""))))))))</f>
      </c>
      <c r="Z90" s="28"/>
      <c r="AA90" s="29">
        <f>IF($B90&lt;&gt;"Entry","",IF(Z90="","",IF(X90="Y",SUMPRODUCT(('Rate Lookup'!$A$1:$A$32=Z90)*'Rate Lookup'!$D$1:$D$32),IF(OR(Y90="Individual",Y90="HUF"),SUMPRODUCT(('Rate Lookup'!$A$1:$A$32=Z90)*'Rate Lookup'!$B$1:$B$32),SUMPRODUCT(('Rate Lookup'!$A$1:$A$32=Z90)*'Rate Lookup'!$C$1:$C$32)))))</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IF($B90&lt;&gt;"Challan","",SUMIF($D$4:$D$207,D90,$AD$4:$AD$207)+SUMIF($D$4:$D$207,D90,$AG$4:$AG$207)+SUMIF($D$4:$D$207,D90,$AE$4:$AE$207))</f>
      </c>
      <c r="AO90" s="27">
        <f>IF($B90&lt;&gt;"Challan","",P90-N90)</f>
      </c>
      <c r="AP90" s="27">
        <f>IF($B90&lt;&gt;"Challan","",MAX(0,AO90-AN90))</f>
      </c>
      <c r="AQ90" s="33">
        <f>IF($B90&lt;&gt;"Entry","",SUMPRODUCT(($D$4:$D$207=D90)*($B$4:$B$207="Challan")*$F$4:$F$207))</f>
      </c>
      <c r="AR90" s="34">
        <f>IF(OR($B90&lt;&gt;"Entry",Z90=""),FALSE,AND(SUMPRODUCT(($D$4:$D$207=D90)*($B$4:$B$207="Challan")*($H$4:$H$207&lt;&gt;""))&gt;0,SUMPRODUCT(($D$4:$D$207=D90)*($B$4:$B$207="Challan")*($H$4:$H$207=Z90))=0))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lt;&gt;"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f>
      </c>
      <c r="Y91" s="23">
        <f>IF($B91&lt;&gt;"Entry","",IF(LEN(W91)&lt;4,"",IF(UPPER(MID(W91,4,1))="P","Individual",IF(UPPER(MID(W91,4,1))="H","HUF",IF(UPPER(MID(W91,4,1))="C","Company",IF(UPPER(MID(W91,4,1))="F","Firm",IF(UPPER(MID(W91,4,1))="L","LLP",IF(UPPER(MID(W91,4,1))="T","Trust",IF(UPPER(MID(W91,4,1))="A","AOP",""))))))))</f>
      </c>
      <c r="Z91" s="28"/>
      <c r="AA91" s="29">
        <f>IF($B91&lt;&gt;"Entry","",IF(Z91="","",IF(X91="Y",SUMPRODUCT(('Rate Lookup'!$A$1:$A$32=Z91)*'Rate Lookup'!$D$1:$D$32),IF(OR(Y91="Individual",Y91="HUF"),SUMPRODUCT(('Rate Lookup'!$A$1:$A$32=Z91)*'Rate Lookup'!$B$1:$B$32),SUMPRODUCT(('Rate Lookup'!$A$1:$A$32=Z91)*'Rate Lookup'!$C$1:$C$32)))))</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IF($B91&lt;&gt;"Challan","",SUMIF($D$4:$D$207,D91,$AD$4:$AD$207)+SUMIF($D$4:$D$207,D91,$AG$4:$AG$207)+SUMIF($D$4:$D$207,D91,$AE$4:$AE$207))</f>
      </c>
      <c r="AO91" s="27">
        <f>IF($B91&lt;&gt;"Challan","",P91-N91)</f>
      </c>
      <c r="AP91" s="27">
        <f>IF($B91&lt;&gt;"Challan","",MAX(0,AO91-AN91))</f>
      </c>
      <c r="AQ91" s="33">
        <f>IF($B91&lt;&gt;"Entry","",SUMPRODUCT(($D$4:$D$207=D91)*($B$4:$B$207="Challan")*$F$4:$F$207))</f>
      </c>
      <c r="AR91" s="34">
        <f>IF(OR($B91&lt;&gt;"Entry",Z91=""),FALSE,AND(SUMPRODUCT(($D$4:$D$207=D91)*($B$4:$B$207="Challan")*($H$4:$H$207&lt;&gt;""))&gt;0,SUMPRODUCT(($D$4:$D$207=D91)*($B$4:$B$207="Challan")*($H$4:$H$207=Z91))=0))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lt;&gt;"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f>
      </c>
      <c r="Y92" s="23">
        <f>IF($B92&lt;&gt;"Entry","",IF(LEN(W92)&lt;4,"",IF(UPPER(MID(W92,4,1))="P","Individual",IF(UPPER(MID(W92,4,1))="H","HUF",IF(UPPER(MID(W92,4,1))="C","Company",IF(UPPER(MID(W92,4,1))="F","Firm",IF(UPPER(MID(W92,4,1))="L","LLP",IF(UPPER(MID(W92,4,1))="T","Trust",IF(UPPER(MID(W92,4,1))="A","AOP",""))))))))</f>
      </c>
      <c r="Z92" s="28"/>
      <c r="AA92" s="29">
        <f>IF($B92&lt;&gt;"Entry","",IF(Z92="","",IF(X92="Y",SUMPRODUCT(('Rate Lookup'!$A$1:$A$32=Z92)*'Rate Lookup'!$D$1:$D$32),IF(OR(Y92="Individual",Y92="HUF"),SUMPRODUCT(('Rate Lookup'!$A$1:$A$32=Z92)*'Rate Lookup'!$B$1:$B$32),SUMPRODUCT(('Rate Lookup'!$A$1:$A$32=Z92)*'Rate Lookup'!$C$1:$C$32)))))</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IF($B92&lt;&gt;"Challan","",SUMIF($D$4:$D$207,D92,$AD$4:$AD$207)+SUMIF($D$4:$D$207,D92,$AG$4:$AG$207)+SUMIF($D$4:$D$207,D92,$AE$4:$AE$207))</f>
      </c>
      <c r="AO92" s="27">
        <f>IF($B92&lt;&gt;"Challan","",P92-N92)</f>
      </c>
      <c r="AP92" s="27">
        <f>IF($B92&lt;&gt;"Challan","",MAX(0,AO92-AN92))</f>
      </c>
      <c r="AQ92" s="33">
        <f>IF($B92&lt;&gt;"Entry","",SUMPRODUCT(($D$4:$D$207=D92)*($B$4:$B$207="Challan")*$F$4:$F$207))</f>
      </c>
      <c r="AR92" s="34">
        <f>IF(OR($B92&lt;&gt;"Entry",Z92=""),FALSE,AND(SUMPRODUCT(($D$4:$D$207=D92)*($B$4:$B$207="Challan")*($H$4:$H$207&lt;&gt;""))&gt;0,SUMPRODUCT(($D$4:$D$207=D92)*($B$4:$B$207="Challan")*($H$4:$H$207=Z92))=0))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lt;&gt;"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f>
      </c>
      <c r="Y93" s="23">
        <f>IF($B93&lt;&gt;"Entry","",IF(LEN(W93)&lt;4,"",IF(UPPER(MID(W93,4,1))="P","Individual",IF(UPPER(MID(W93,4,1))="H","HUF",IF(UPPER(MID(W93,4,1))="C","Company",IF(UPPER(MID(W93,4,1))="F","Firm",IF(UPPER(MID(W93,4,1))="L","LLP",IF(UPPER(MID(W93,4,1))="T","Trust",IF(UPPER(MID(W93,4,1))="A","AOP",""))))))))</f>
      </c>
      <c r="Z93" s="28"/>
      <c r="AA93" s="29">
        <f>IF($B93&lt;&gt;"Entry","",IF(Z93="","",IF(X93="Y",SUMPRODUCT(('Rate Lookup'!$A$1:$A$32=Z93)*'Rate Lookup'!$D$1:$D$32),IF(OR(Y93="Individual",Y93="HUF"),SUMPRODUCT(('Rate Lookup'!$A$1:$A$32=Z93)*'Rate Lookup'!$B$1:$B$32),SUMPRODUCT(('Rate Lookup'!$A$1:$A$32=Z93)*'Rate Lookup'!$C$1:$C$32)))))</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IF($B93&lt;&gt;"Challan","",SUMIF($D$4:$D$207,D93,$AD$4:$AD$207)+SUMIF($D$4:$D$207,D93,$AG$4:$AG$207)+SUMIF($D$4:$D$207,D93,$AE$4:$AE$207))</f>
      </c>
      <c r="AO93" s="27">
        <f>IF($B93&lt;&gt;"Challan","",P93-N93)</f>
      </c>
      <c r="AP93" s="27">
        <f>IF($B93&lt;&gt;"Challan","",MAX(0,AO93-AN93))</f>
      </c>
      <c r="AQ93" s="33">
        <f>IF($B93&lt;&gt;"Entry","",SUMPRODUCT(($D$4:$D$207=D93)*($B$4:$B$207="Challan")*$F$4:$F$207))</f>
      </c>
      <c r="AR93" s="34">
        <f>IF(OR($B93&lt;&gt;"Entry",Z93=""),FALSE,AND(SUMPRODUCT(($D$4:$D$207=D93)*($B$4:$B$207="Challan")*($H$4:$H$207&lt;&gt;""))&gt;0,SUMPRODUCT(($D$4:$D$207=D93)*($B$4:$B$207="Challan")*($H$4:$H$207=Z93))=0))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lt;&gt;"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f>
      </c>
      <c r="Y94" s="23">
        <f>IF($B94&lt;&gt;"Entry","",IF(LEN(W94)&lt;4,"",IF(UPPER(MID(W94,4,1))="P","Individual",IF(UPPER(MID(W94,4,1))="H","HUF",IF(UPPER(MID(W94,4,1))="C","Company",IF(UPPER(MID(W94,4,1))="F","Firm",IF(UPPER(MID(W94,4,1))="L","LLP",IF(UPPER(MID(W94,4,1))="T","Trust",IF(UPPER(MID(W94,4,1))="A","AOP",""))))))))</f>
      </c>
      <c r="Z94" s="28"/>
      <c r="AA94" s="29">
        <f>IF($B94&lt;&gt;"Entry","",IF(Z94="","",IF(X94="Y",SUMPRODUCT(('Rate Lookup'!$A$1:$A$32=Z94)*'Rate Lookup'!$D$1:$D$32),IF(OR(Y94="Individual",Y94="HUF"),SUMPRODUCT(('Rate Lookup'!$A$1:$A$32=Z94)*'Rate Lookup'!$B$1:$B$32),SUMPRODUCT(('Rate Lookup'!$A$1:$A$32=Z94)*'Rate Lookup'!$C$1:$C$32)))))</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IF($B94&lt;&gt;"Challan","",SUMIF($D$4:$D$207,D94,$AD$4:$AD$207)+SUMIF($D$4:$D$207,D94,$AG$4:$AG$207)+SUMIF($D$4:$D$207,D94,$AE$4:$AE$207))</f>
      </c>
      <c r="AO94" s="27">
        <f>IF($B94&lt;&gt;"Challan","",P94-N94)</f>
      </c>
      <c r="AP94" s="27">
        <f>IF($B94&lt;&gt;"Challan","",MAX(0,AO94-AN94))</f>
      </c>
      <c r="AQ94" s="33">
        <f>IF($B94&lt;&gt;"Entry","",SUMPRODUCT(($D$4:$D$207=D94)*($B$4:$B$207="Challan")*$F$4:$F$207))</f>
      </c>
      <c r="AR94" s="34">
        <f>IF(OR($B94&lt;&gt;"Entry",Z94=""),FALSE,AND(SUMPRODUCT(($D$4:$D$207=D94)*($B$4:$B$207="Challan")*($H$4:$H$207&lt;&gt;""))&gt;0,SUMPRODUCT(($D$4:$D$207=D94)*($B$4:$B$207="Challan")*($H$4:$H$207=Z94))=0))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lt;&gt;"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f>
      </c>
      <c r="Y95" s="23">
        <f>IF($B95&lt;&gt;"Entry","",IF(LEN(W95)&lt;4,"",IF(UPPER(MID(W95,4,1))="P","Individual",IF(UPPER(MID(W95,4,1))="H","HUF",IF(UPPER(MID(W95,4,1))="C","Company",IF(UPPER(MID(W95,4,1))="F","Firm",IF(UPPER(MID(W95,4,1))="L","LLP",IF(UPPER(MID(W95,4,1))="T","Trust",IF(UPPER(MID(W95,4,1))="A","AOP",""))))))))</f>
      </c>
      <c r="Z95" s="28"/>
      <c r="AA95" s="29">
        <f>IF($B95&lt;&gt;"Entry","",IF(Z95="","",IF(X95="Y",SUMPRODUCT(('Rate Lookup'!$A$1:$A$32=Z95)*'Rate Lookup'!$D$1:$D$32),IF(OR(Y95="Individual",Y95="HUF"),SUMPRODUCT(('Rate Lookup'!$A$1:$A$32=Z95)*'Rate Lookup'!$B$1:$B$32),SUMPRODUCT(('Rate Lookup'!$A$1:$A$32=Z95)*'Rate Lookup'!$C$1:$C$32)))))</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IF($B95&lt;&gt;"Challan","",SUMIF($D$4:$D$207,D95,$AD$4:$AD$207)+SUMIF($D$4:$D$207,D95,$AG$4:$AG$207)+SUMIF($D$4:$D$207,D95,$AE$4:$AE$207))</f>
      </c>
      <c r="AO95" s="27">
        <f>IF($B95&lt;&gt;"Challan","",P95-N95)</f>
      </c>
      <c r="AP95" s="27">
        <f>IF($B95&lt;&gt;"Challan","",MAX(0,AO95-AN95))</f>
      </c>
      <c r="AQ95" s="33">
        <f>IF($B95&lt;&gt;"Entry","",SUMPRODUCT(($D$4:$D$207=D95)*($B$4:$B$207="Challan")*$F$4:$F$207))</f>
      </c>
      <c r="AR95" s="34">
        <f>IF(OR($B95&lt;&gt;"Entry",Z95=""),FALSE,AND(SUMPRODUCT(($D$4:$D$207=D95)*($B$4:$B$207="Challan")*($H$4:$H$207&lt;&gt;""))&gt;0,SUMPRODUCT(($D$4:$D$207=D95)*($B$4:$B$207="Challan")*($H$4:$H$207=Z95))=0))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lt;&gt;"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f>
      </c>
      <c r="Y96" s="23">
        <f>IF($B96&lt;&gt;"Entry","",IF(LEN(W96)&lt;4,"",IF(UPPER(MID(W96,4,1))="P","Individual",IF(UPPER(MID(W96,4,1))="H","HUF",IF(UPPER(MID(W96,4,1))="C","Company",IF(UPPER(MID(W96,4,1))="F","Firm",IF(UPPER(MID(W96,4,1))="L","LLP",IF(UPPER(MID(W96,4,1))="T","Trust",IF(UPPER(MID(W96,4,1))="A","AOP",""))))))))</f>
      </c>
      <c r="Z96" s="28"/>
      <c r="AA96" s="29">
        <f>IF($B96&lt;&gt;"Entry","",IF(Z96="","",IF(X96="Y",SUMPRODUCT(('Rate Lookup'!$A$1:$A$32=Z96)*'Rate Lookup'!$D$1:$D$32),IF(OR(Y96="Individual",Y96="HUF"),SUMPRODUCT(('Rate Lookup'!$A$1:$A$32=Z96)*'Rate Lookup'!$B$1:$B$32),SUMPRODUCT(('Rate Lookup'!$A$1:$A$32=Z96)*'Rate Lookup'!$C$1:$C$32)))))</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IF($B96&lt;&gt;"Challan","",SUMIF($D$4:$D$207,D96,$AD$4:$AD$207)+SUMIF($D$4:$D$207,D96,$AG$4:$AG$207)+SUMIF($D$4:$D$207,D96,$AE$4:$AE$207))</f>
      </c>
      <c r="AO96" s="27">
        <f>IF($B96&lt;&gt;"Challan","",P96-N96)</f>
      </c>
      <c r="AP96" s="27">
        <f>IF($B96&lt;&gt;"Challan","",MAX(0,AO96-AN96))</f>
      </c>
      <c r="AQ96" s="33">
        <f>IF($B96&lt;&gt;"Entry","",SUMPRODUCT(($D$4:$D$207=D96)*($B$4:$B$207="Challan")*$F$4:$F$207))</f>
      </c>
      <c r="AR96" s="34">
        <f>IF(OR($B96&lt;&gt;"Entry",Z96=""),FALSE,AND(SUMPRODUCT(($D$4:$D$207=D96)*($B$4:$B$207="Challan")*($H$4:$H$207&lt;&gt;""))&gt;0,SUMPRODUCT(($D$4:$D$207=D96)*($B$4:$B$207="Challan")*($H$4:$H$207=Z96))=0))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lt;&gt;"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f>
      </c>
      <c r="Y97" s="23">
        <f>IF($B97&lt;&gt;"Entry","",IF(LEN(W97)&lt;4,"",IF(UPPER(MID(W97,4,1))="P","Individual",IF(UPPER(MID(W97,4,1))="H","HUF",IF(UPPER(MID(W97,4,1))="C","Company",IF(UPPER(MID(W97,4,1))="F","Firm",IF(UPPER(MID(W97,4,1))="L","LLP",IF(UPPER(MID(W97,4,1))="T","Trust",IF(UPPER(MID(W97,4,1))="A","AOP",""))))))))</f>
      </c>
      <c r="Z97" s="28"/>
      <c r="AA97" s="29">
        <f>IF($B97&lt;&gt;"Entry","",IF(Z97="","",IF(X97="Y",SUMPRODUCT(('Rate Lookup'!$A$1:$A$32=Z97)*'Rate Lookup'!$D$1:$D$32),IF(OR(Y97="Individual",Y97="HUF"),SUMPRODUCT(('Rate Lookup'!$A$1:$A$32=Z97)*'Rate Lookup'!$B$1:$B$32),SUMPRODUCT(('Rate Lookup'!$A$1:$A$32=Z97)*'Rate Lookup'!$C$1:$C$32)))))</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IF($B97&lt;&gt;"Challan","",SUMIF($D$4:$D$207,D97,$AD$4:$AD$207)+SUMIF($D$4:$D$207,D97,$AG$4:$AG$207)+SUMIF($D$4:$D$207,D97,$AE$4:$AE$207))</f>
      </c>
      <c r="AO97" s="27">
        <f>IF($B97&lt;&gt;"Challan","",P97-N97)</f>
      </c>
      <c r="AP97" s="27">
        <f>IF($B97&lt;&gt;"Challan","",MAX(0,AO97-AN97))</f>
      </c>
      <c r="AQ97" s="33">
        <f>IF($B97&lt;&gt;"Entry","",SUMPRODUCT(($D$4:$D$207=D97)*($B$4:$B$207="Challan")*$F$4:$F$207))</f>
      </c>
      <c r="AR97" s="34">
        <f>IF(OR($B97&lt;&gt;"Entry",Z97=""),FALSE,AND(SUMPRODUCT(($D$4:$D$207=D97)*($B$4:$B$207="Challan")*($H$4:$H$207&lt;&gt;""))&gt;0,SUMPRODUCT(($D$4:$D$207=D97)*($B$4:$B$207="Challan")*($H$4:$H$207=Z97))=0))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lt;&gt;"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f>
      </c>
      <c r="Y98" s="23">
        <f>IF($B98&lt;&gt;"Entry","",IF(LEN(W98)&lt;4,"",IF(UPPER(MID(W98,4,1))="P","Individual",IF(UPPER(MID(W98,4,1))="H","HUF",IF(UPPER(MID(W98,4,1))="C","Company",IF(UPPER(MID(W98,4,1))="F","Firm",IF(UPPER(MID(W98,4,1))="L","LLP",IF(UPPER(MID(W98,4,1))="T","Trust",IF(UPPER(MID(W98,4,1))="A","AOP",""))))))))</f>
      </c>
      <c r="Z98" s="28"/>
      <c r="AA98" s="29">
        <f>IF($B98&lt;&gt;"Entry","",IF(Z98="","",IF(X98="Y",SUMPRODUCT(('Rate Lookup'!$A$1:$A$32=Z98)*'Rate Lookup'!$D$1:$D$32),IF(OR(Y98="Individual",Y98="HUF"),SUMPRODUCT(('Rate Lookup'!$A$1:$A$32=Z98)*'Rate Lookup'!$B$1:$B$32),SUMPRODUCT(('Rate Lookup'!$A$1:$A$32=Z98)*'Rate Lookup'!$C$1:$C$32)))))</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IF($B98&lt;&gt;"Challan","",SUMIF($D$4:$D$207,D98,$AD$4:$AD$207)+SUMIF($D$4:$D$207,D98,$AG$4:$AG$207)+SUMIF($D$4:$D$207,D98,$AE$4:$AE$207))</f>
      </c>
      <c r="AO98" s="27">
        <f>IF($B98&lt;&gt;"Challan","",P98-N98)</f>
      </c>
      <c r="AP98" s="27">
        <f>IF($B98&lt;&gt;"Challan","",MAX(0,AO98-AN98))</f>
      </c>
      <c r="AQ98" s="33">
        <f>IF($B98&lt;&gt;"Entry","",SUMPRODUCT(($D$4:$D$207=D98)*($B$4:$B$207="Challan")*$F$4:$F$207))</f>
      </c>
      <c r="AR98" s="34">
        <f>IF(OR($B98&lt;&gt;"Entry",Z98=""),FALSE,AND(SUMPRODUCT(($D$4:$D$207=D98)*($B$4:$B$207="Challan")*($H$4:$H$207&lt;&gt;""))&gt;0,SUMPRODUCT(($D$4:$D$207=D98)*($B$4:$B$207="Challan")*($H$4:$H$207=Z98))=0))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lt;&gt;"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f>
      </c>
      <c r="Y99" s="23">
        <f>IF($B99&lt;&gt;"Entry","",IF(LEN(W99)&lt;4,"",IF(UPPER(MID(W99,4,1))="P","Individual",IF(UPPER(MID(W99,4,1))="H","HUF",IF(UPPER(MID(W99,4,1))="C","Company",IF(UPPER(MID(W99,4,1))="F","Firm",IF(UPPER(MID(W99,4,1))="L","LLP",IF(UPPER(MID(W99,4,1))="T","Trust",IF(UPPER(MID(W99,4,1))="A","AOP",""))))))))</f>
      </c>
      <c r="Z99" s="28"/>
      <c r="AA99" s="29">
        <f>IF($B99&lt;&gt;"Entry","",IF(Z99="","",IF(X99="Y",SUMPRODUCT(('Rate Lookup'!$A$1:$A$32=Z99)*'Rate Lookup'!$D$1:$D$32),IF(OR(Y99="Individual",Y99="HUF"),SUMPRODUCT(('Rate Lookup'!$A$1:$A$32=Z99)*'Rate Lookup'!$B$1:$B$32),SUMPRODUCT(('Rate Lookup'!$A$1:$A$32=Z99)*'Rate Lookup'!$C$1:$C$32)))))</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IF($B99&lt;&gt;"Challan","",SUMIF($D$4:$D$207,D99,$AD$4:$AD$207)+SUMIF($D$4:$D$207,D99,$AG$4:$AG$207)+SUMIF($D$4:$D$207,D99,$AE$4:$AE$207))</f>
      </c>
      <c r="AO99" s="27">
        <f>IF($B99&lt;&gt;"Challan","",P99-N99)</f>
      </c>
      <c r="AP99" s="27">
        <f>IF($B99&lt;&gt;"Challan","",MAX(0,AO99-AN99))</f>
      </c>
      <c r="AQ99" s="33">
        <f>IF($B99&lt;&gt;"Entry","",SUMPRODUCT(($D$4:$D$207=D99)*($B$4:$B$207="Challan")*$F$4:$F$207))</f>
      </c>
      <c r="AR99" s="34">
        <f>IF(OR($B99&lt;&gt;"Entry",Z99=""),FALSE,AND(SUMPRODUCT(($D$4:$D$207=D99)*($B$4:$B$207="Challan")*($H$4:$H$207&lt;&gt;""))&gt;0,SUMPRODUCT(($D$4:$D$207=D99)*($B$4:$B$207="Challan")*($H$4:$H$207=Z99))=0))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lt;&gt;"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f>
      </c>
      <c r="Y100" s="23">
        <f>IF($B100&lt;&gt;"Entry","",IF(LEN(W100)&lt;4,"",IF(UPPER(MID(W100,4,1))="P","Individual",IF(UPPER(MID(W100,4,1))="H","HUF",IF(UPPER(MID(W100,4,1))="C","Company",IF(UPPER(MID(W100,4,1))="F","Firm",IF(UPPER(MID(W100,4,1))="L","LLP",IF(UPPER(MID(W100,4,1))="T","Trust",IF(UPPER(MID(W100,4,1))="A","AOP",""))))))))</f>
      </c>
      <c r="Z100" s="28"/>
      <c r="AA100" s="29">
        <f>IF($B100&lt;&gt;"Entry","",IF(Z100="","",IF(X100="Y",SUMPRODUCT(('Rate Lookup'!$A$1:$A$32=Z100)*'Rate Lookup'!$D$1:$D$32),IF(OR(Y100="Individual",Y100="HUF"),SUMPRODUCT(('Rate Lookup'!$A$1:$A$32=Z100)*'Rate Lookup'!$B$1:$B$32),SUMPRODUCT(('Rate Lookup'!$A$1:$A$32=Z100)*'Rate Lookup'!$C$1:$C$32)))))</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IF($B100&lt;&gt;"Challan","",SUMIF($D$4:$D$207,D100,$AD$4:$AD$207)+SUMIF($D$4:$D$207,D100,$AG$4:$AG$207)+SUMIF($D$4:$D$207,D100,$AE$4:$AE$207))</f>
      </c>
      <c r="AO100" s="27">
        <f>IF($B100&lt;&gt;"Challan","",P100-N100)</f>
      </c>
      <c r="AP100" s="27">
        <f>IF($B100&lt;&gt;"Challan","",MAX(0,AO100-AN100))</f>
      </c>
      <c r="AQ100" s="33">
        <f>IF($B100&lt;&gt;"Entry","",SUMPRODUCT(($D$4:$D$207=D100)*($B$4:$B$207="Challan")*$F$4:$F$207))</f>
      </c>
      <c r="AR100" s="34">
        <f>IF(OR($B100&lt;&gt;"Entry",Z100=""),FALSE,AND(SUMPRODUCT(($D$4:$D$207=D100)*($B$4:$B$207="Challan")*($H$4:$H$207&lt;&gt;""))&gt;0,SUMPRODUCT(($D$4:$D$207=D100)*($B$4:$B$207="Challan")*($H$4:$H$207=Z100))=0))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lt;&gt;"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f>
      </c>
      <c r="Y101" s="23">
        <f>IF($B101&lt;&gt;"Entry","",IF(LEN(W101)&lt;4,"",IF(UPPER(MID(W101,4,1))="P","Individual",IF(UPPER(MID(W101,4,1))="H","HUF",IF(UPPER(MID(W101,4,1))="C","Company",IF(UPPER(MID(W101,4,1))="F","Firm",IF(UPPER(MID(W101,4,1))="L","LLP",IF(UPPER(MID(W101,4,1))="T","Trust",IF(UPPER(MID(W101,4,1))="A","AOP",""))))))))</f>
      </c>
      <c r="Z101" s="28"/>
      <c r="AA101" s="29">
        <f>IF($B101&lt;&gt;"Entry","",IF(Z101="","",IF(X101="Y",SUMPRODUCT(('Rate Lookup'!$A$1:$A$32=Z101)*'Rate Lookup'!$D$1:$D$32),IF(OR(Y101="Individual",Y101="HUF"),SUMPRODUCT(('Rate Lookup'!$A$1:$A$32=Z101)*'Rate Lookup'!$B$1:$B$32),SUMPRODUCT(('Rate Lookup'!$A$1:$A$32=Z101)*'Rate Lookup'!$C$1:$C$32)))))</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IF($B101&lt;&gt;"Challan","",SUMIF($D$4:$D$207,D101,$AD$4:$AD$207)+SUMIF($D$4:$D$207,D101,$AG$4:$AG$207)+SUMIF($D$4:$D$207,D101,$AE$4:$AE$207))</f>
      </c>
      <c r="AO101" s="27">
        <f>IF($B101&lt;&gt;"Challan","",P101-N101)</f>
      </c>
      <c r="AP101" s="27">
        <f>IF($B101&lt;&gt;"Challan","",MAX(0,AO101-AN101))</f>
      </c>
      <c r="AQ101" s="33">
        <f>IF($B101&lt;&gt;"Entry","",SUMPRODUCT(($D$4:$D$207=D101)*($B$4:$B$207="Challan")*$F$4:$F$207))</f>
      </c>
      <c r="AR101" s="34">
        <f>IF(OR($B101&lt;&gt;"Entry",Z101=""),FALSE,AND(SUMPRODUCT(($D$4:$D$207=D101)*($B$4:$B$207="Challan")*($H$4:$H$207&lt;&gt;""))&gt;0,SUMPRODUCT(($D$4:$D$207=D101)*($B$4:$B$207="Challan")*($H$4:$H$207=Z101))=0))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lt;&gt;"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f>
      </c>
      <c r="Y102" s="23">
        <f>IF($B102&lt;&gt;"Entry","",IF(LEN(W102)&lt;4,"",IF(UPPER(MID(W102,4,1))="P","Individual",IF(UPPER(MID(W102,4,1))="H","HUF",IF(UPPER(MID(W102,4,1))="C","Company",IF(UPPER(MID(W102,4,1))="F","Firm",IF(UPPER(MID(W102,4,1))="L","LLP",IF(UPPER(MID(W102,4,1))="T","Trust",IF(UPPER(MID(W102,4,1))="A","AOP",""))))))))</f>
      </c>
      <c r="Z102" s="28"/>
      <c r="AA102" s="29">
        <f>IF($B102&lt;&gt;"Entry","",IF(Z102="","",IF(X102="Y",SUMPRODUCT(('Rate Lookup'!$A$1:$A$32=Z102)*'Rate Lookup'!$D$1:$D$32),IF(OR(Y102="Individual",Y102="HUF"),SUMPRODUCT(('Rate Lookup'!$A$1:$A$32=Z102)*'Rate Lookup'!$B$1:$B$32),SUMPRODUCT(('Rate Lookup'!$A$1:$A$32=Z102)*'Rate Lookup'!$C$1:$C$32)))))</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IF($B102&lt;&gt;"Challan","",SUMIF($D$4:$D$207,D102,$AD$4:$AD$207)+SUMIF($D$4:$D$207,D102,$AG$4:$AG$207)+SUMIF($D$4:$D$207,D102,$AE$4:$AE$207))</f>
      </c>
      <c r="AO102" s="27">
        <f>IF($B102&lt;&gt;"Challan","",P102-N102)</f>
      </c>
      <c r="AP102" s="27">
        <f>IF($B102&lt;&gt;"Challan","",MAX(0,AO102-AN102))</f>
      </c>
      <c r="AQ102" s="33">
        <f>IF($B102&lt;&gt;"Entry","",SUMPRODUCT(($D$4:$D$207=D102)*($B$4:$B$207="Challan")*$F$4:$F$207))</f>
      </c>
      <c r="AR102" s="34">
        <f>IF(OR($B102&lt;&gt;"Entry",Z102=""),FALSE,AND(SUMPRODUCT(($D$4:$D$207=D102)*($B$4:$B$207="Challan")*($H$4:$H$207&lt;&gt;""))&gt;0,SUMPRODUCT(($D$4:$D$207=D102)*($B$4:$B$207="Challan")*($H$4:$H$207=Z102))=0))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lt;&gt;"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f>
      </c>
      <c r="Y103" s="23">
        <f>IF($B103&lt;&gt;"Entry","",IF(LEN(W103)&lt;4,"",IF(UPPER(MID(W103,4,1))="P","Individual",IF(UPPER(MID(W103,4,1))="H","HUF",IF(UPPER(MID(W103,4,1))="C","Company",IF(UPPER(MID(W103,4,1))="F","Firm",IF(UPPER(MID(W103,4,1))="L","LLP",IF(UPPER(MID(W103,4,1))="T","Trust",IF(UPPER(MID(W103,4,1))="A","AOP",""))))))))</f>
      </c>
      <c r="Z103" s="28"/>
      <c r="AA103" s="29">
        <f>IF($B103&lt;&gt;"Entry","",IF(Z103="","",IF(X103="Y",SUMPRODUCT(('Rate Lookup'!$A$1:$A$32=Z103)*'Rate Lookup'!$D$1:$D$32),IF(OR(Y103="Individual",Y103="HUF"),SUMPRODUCT(('Rate Lookup'!$A$1:$A$32=Z103)*'Rate Lookup'!$B$1:$B$32),SUMPRODUCT(('Rate Lookup'!$A$1:$A$32=Z103)*'Rate Lookup'!$C$1:$C$32)))))</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IF($B103&lt;&gt;"Challan","",SUMIF($D$4:$D$207,D103,$AD$4:$AD$207)+SUMIF($D$4:$D$207,D103,$AG$4:$AG$207)+SUMIF($D$4:$D$207,D103,$AE$4:$AE$207))</f>
      </c>
      <c r="AO103" s="27">
        <f>IF($B103&lt;&gt;"Challan","",P103-N103)</f>
      </c>
      <c r="AP103" s="27">
        <f>IF($B103&lt;&gt;"Challan","",MAX(0,AO103-AN103))</f>
      </c>
      <c r="AQ103" s="33">
        <f>IF($B103&lt;&gt;"Entry","",SUMPRODUCT(($D$4:$D$207=D103)*($B$4:$B$207="Challan")*$F$4:$F$207))</f>
      </c>
      <c r="AR103" s="34">
        <f>IF(OR($B103&lt;&gt;"Entry",Z103=""),FALSE,AND(SUMPRODUCT(($D$4:$D$207=D103)*($B$4:$B$207="Challan")*($H$4:$H$207&lt;&gt;""))&gt;0,SUMPRODUCT(($D$4:$D$207=D103)*($B$4:$B$207="Challan")*($H$4:$H$207=Z103))=0))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lt;&gt;"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f>
      </c>
      <c r="Y104" s="23">
        <f>IF($B104&lt;&gt;"Entry","",IF(LEN(W104)&lt;4,"",IF(UPPER(MID(W104,4,1))="P","Individual",IF(UPPER(MID(W104,4,1))="H","HUF",IF(UPPER(MID(W104,4,1))="C","Company",IF(UPPER(MID(W104,4,1))="F","Firm",IF(UPPER(MID(W104,4,1))="L","LLP",IF(UPPER(MID(W104,4,1))="T","Trust",IF(UPPER(MID(W104,4,1))="A","AOP",""))))))))</f>
      </c>
      <c r="Z104" s="28"/>
      <c r="AA104" s="29">
        <f>IF($B104&lt;&gt;"Entry","",IF(Z104="","",IF(X104="Y",SUMPRODUCT(('Rate Lookup'!$A$1:$A$32=Z104)*'Rate Lookup'!$D$1:$D$32),IF(OR(Y104="Individual",Y104="HUF"),SUMPRODUCT(('Rate Lookup'!$A$1:$A$32=Z104)*'Rate Lookup'!$B$1:$B$32),SUMPRODUCT(('Rate Lookup'!$A$1:$A$32=Z104)*'Rate Lookup'!$C$1:$C$32)))))</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IF($B104&lt;&gt;"Challan","",SUMIF($D$4:$D$207,D104,$AD$4:$AD$207)+SUMIF($D$4:$D$207,D104,$AG$4:$AG$207)+SUMIF($D$4:$D$207,D104,$AE$4:$AE$207))</f>
      </c>
      <c r="AO104" s="27">
        <f>IF($B104&lt;&gt;"Challan","",P104-N104)</f>
      </c>
      <c r="AP104" s="27">
        <f>IF($B104&lt;&gt;"Challan","",MAX(0,AO104-AN104))</f>
      </c>
      <c r="AQ104" s="33">
        <f>IF($B104&lt;&gt;"Entry","",SUMPRODUCT(($D$4:$D$207=D104)*($B$4:$B$207="Challan")*$F$4:$F$207))</f>
      </c>
      <c r="AR104" s="34">
        <f>IF(OR($B104&lt;&gt;"Entry",Z104=""),FALSE,AND(SUMPRODUCT(($D$4:$D$207=D104)*($B$4:$B$207="Challan")*($H$4:$H$207&lt;&gt;""))&gt;0,SUMPRODUCT(($D$4:$D$207=D104)*($B$4:$B$207="Challan")*($H$4:$H$207=Z104))=0))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lt;&gt;"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f>
      </c>
      <c r="Y105" s="23">
        <f>IF($B105&lt;&gt;"Entry","",IF(LEN(W105)&lt;4,"",IF(UPPER(MID(W105,4,1))="P","Individual",IF(UPPER(MID(W105,4,1))="H","HUF",IF(UPPER(MID(W105,4,1))="C","Company",IF(UPPER(MID(W105,4,1))="F","Firm",IF(UPPER(MID(W105,4,1))="L","LLP",IF(UPPER(MID(W105,4,1))="T","Trust",IF(UPPER(MID(W105,4,1))="A","AOP",""))))))))</f>
      </c>
      <c r="Z105" s="28"/>
      <c r="AA105" s="29">
        <f>IF($B105&lt;&gt;"Entry","",IF(Z105="","",IF(X105="Y",SUMPRODUCT(('Rate Lookup'!$A$1:$A$32=Z105)*'Rate Lookup'!$D$1:$D$32),IF(OR(Y105="Individual",Y105="HUF"),SUMPRODUCT(('Rate Lookup'!$A$1:$A$32=Z105)*'Rate Lookup'!$B$1:$B$32),SUMPRODUCT(('Rate Lookup'!$A$1:$A$32=Z105)*'Rate Lookup'!$C$1:$C$32)))))</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IF($B105&lt;&gt;"Challan","",SUMIF($D$4:$D$207,D105,$AD$4:$AD$207)+SUMIF($D$4:$D$207,D105,$AG$4:$AG$207)+SUMIF($D$4:$D$207,D105,$AE$4:$AE$207))</f>
      </c>
      <c r="AO105" s="27">
        <f>IF($B105&lt;&gt;"Challan","",P105-N105)</f>
      </c>
      <c r="AP105" s="27">
        <f>IF($B105&lt;&gt;"Challan","",MAX(0,AO105-AN105))</f>
      </c>
      <c r="AQ105" s="33">
        <f>IF($B105&lt;&gt;"Entry","",SUMPRODUCT(($D$4:$D$207=D105)*($B$4:$B$207="Challan")*$F$4:$F$207))</f>
      </c>
      <c r="AR105" s="34">
        <f>IF(OR($B105&lt;&gt;"Entry",Z105=""),FALSE,AND(SUMPRODUCT(($D$4:$D$207=D105)*($B$4:$B$207="Challan")*($H$4:$H$207&lt;&gt;""))&gt;0,SUMPRODUCT(($D$4:$D$207=D105)*($B$4:$B$207="Challan")*($H$4:$H$207=Z105))=0))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lt;&gt;"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f>
      </c>
      <c r="Y106" s="23">
        <f>IF($B106&lt;&gt;"Entry","",IF(LEN(W106)&lt;4,"",IF(UPPER(MID(W106,4,1))="P","Individual",IF(UPPER(MID(W106,4,1))="H","HUF",IF(UPPER(MID(W106,4,1))="C","Company",IF(UPPER(MID(W106,4,1))="F","Firm",IF(UPPER(MID(W106,4,1))="L","LLP",IF(UPPER(MID(W106,4,1))="T","Trust",IF(UPPER(MID(W106,4,1))="A","AOP",""))))))))</f>
      </c>
      <c r="Z106" s="28"/>
      <c r="AA106" s="29">
        <f>IF($B106&lt;&gt;"Entry","",IF(Z106="","",IF(X106="Y",SUMPRODUCT(('Rate Lookup'!$A$1:$A$32=Z106)*'Rate Lookup'!$D$1:$D$32),IF(OR(Y106="Individual",Y106="HUF"),SUMPRODUCT(('Rate Lookup'!$A$1:$A$32=Z106)*'Rate Lookup'!$B$1:$B$32),SUMPRODUCT(('Rate Lookup'!$A$1:$A$32=Z106)*'Rate Lookup'!$C$1:$C$32)))))</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IF($B106&lt;&gt;"Challan","",SUMIF($D$4:$D$207,D106,$AD$4:$AD$207)+SUMIF($D$4:$D$207,D106,$AG$4:$AG$207)+SUMIF($D$4:$D$207,D106,$AE$4:$AE$207))</f>
      </c>
      <c r="AO106" s="27">
        <f>IF($B106&lt;&gt;"Challan","",P106-N106)</f>
      </c>
      <c r="AP106" s="27">
        <f>IF($B106&lt;&gt;"Challan","",MAX(0,AO106-AN106))</f>
      </c>
      <c r="AQ106" s="33">
        <f>IF($B106&lt;&gt;"Entry","",SUMPRODUCT(($D$4:$D$207=D106)*($B$4:$B$207="Challan")*$F$4:$F$207))</f>
      </c>
      <c r="AR106" s="34">
        <f>IF(OR($B106&lt;&gt;"Entry",Z106=""),FALSE,AND(SUMPRODUCT(($D$4:$D$207=D106)*($B$4:$B$207="Challan")*($H$4:$H$207&lt;&gt;""))&gt;0,SUMPRODUCT(($D$4:$D$207=D106)*($B$4:$B$207="Challan")*($H$4:$H$207=Z106))=0))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lt;&gt;"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f>
      </c>
      <c r="Y107" s="23">
        <f>IF($B107&lt;&gt;"Entry","",IF(LEN(W107)&lt;4,"",IF(UPPER(MID(W107,4,1))="P","Individual",IF(UPPER(MID(W107,4,1))="H","HUF",IF(UPPER(MID(W107,4,1))="C","Company",IF(UPPER(MID(W107,4,1))="F","Firm",IF(UPPER(MID(W107,4,1))="L","LLP",IF(UPPER(MID(W107,4,1))="T","Trust",IF(UPPER(MID(W107,4,1))="A","AOP",""))))))))</f>
      </c>
      <c r="Z107" s="28"/>
      <c r="AA107" s="29">
        <f>IF($B107&lt;&gt;"Entry","",IF(Z107="","",IF(X107="Y",SUMPRODUCT(('Rate Lookup'!$A$1:$A$32=Z107)*'Rate Lookup'!$D$1:$D$32),IF(OR(Y107="Individual",Y107="HUF"),SUMPRODUCT(('Rate Lookup'!$A$1:$A$32=Z107)*'Rate Lookup'!$B$1:$B$32),SUMPRODUCT(('Rate Lookup'!$A$1:$A$32=Z107)*'Rate Lookup'!$C$1:$C$32)))))</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IF($B107&lt;&gt;"Challan","",SUMIF($D$4:$D$207,D107,$AD$4:$AD$207)+SUMIF($D$4:$D$207,D107,$AG$4:$AG$207)+SUMIF($D$4:$D$207,D107,$AE$4:$AE$207))</f>
      </c>
      <c r="AO107" s="27">
        <f>IF($B107&lt;&gt;"Challan","",P107-N107)</f>
      </c>
      <c r="AP107" s="27">
        <f>IF($B107&lt;&gt;"Challan","",MAX(0,AO107-AN107))</f>
      </c>
      <c r="AQ107" s="33">
        <f>IF($B107&lt;&gt;"Entry","",SUMPRODUCT(($D$4:$D$207=D107)*($B$4:$B$207="Challan")*$F$4:$F$207))</f>
      </c>
      <c r="AR107" s="34">
        <f>IF(OR($B107&lt;&gt;"Entry",Z107=""),FALSE,AND(SUMPRODUCT(($D$4:$D$207=D107)*($B$4:$B$207="Challan")*($H$4:$H$207&lt;&gt;""))&gt;0,SUMPRODUCT(($D$4:$D$207=D107)*($B$4:$B$207="Challan")*($H$4:$H$207=Z107))=0))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lt;&gt;"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f>
      </c>
      <c r="Y108" s="23">
        <f>IF($B108&lt;&gt;"Entry","",IF(LEN(W108)&lt;4,"",IF(UPPER(MID(W108,4,1))="P","Individual",IF(UPPER(MID(W108,4,1))="H","HUF",IF(UPPER(MID(W108,4,1))="C","Company",IF(UPPER(MID(W108,4,1))="F","Firm",IF(UPPER(MID(W108,4,1))="L","LLP",IF(UPPER(MID(W108,4,1))="T","Trust",IF(UPPER(MID(W108,4,1))="A","AOP",""))))))))</f>
      </c>
      <c r="Z108" s="28"/>
      <c r="AA108" s="29">
        <f>IF($B108&lt;&gt;"Entry","",IF(Z108="","",IF(X108="Y",SUMPRODUCT(('Rate Lookup'!$A$1:$A$32=Z108)*'Rate Lookup'!$D$1:$D$32),IF(OR(Y108="Individual",Y108="HUF"),SUMPRODUCT(('Rate Lookup'!$A$1:$A$32=Z108)*'Rate Lookup'!$B$1:$B$32),SUMPRODUCT(('Rate Lookup'!$A$1:$A$32=Z108)*'Rate Lookup'!$C$1:$C$32)))))</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IF($B108&lt;&gt;"Challan","",SUMIF($D$4:$D$207,D108,$AD$4:$AD$207)+SUMIF($D$4:$D$207,D108,$AG$4:$AG$207)+SUMIF($D$4:$D$207,D108,$AE$4:$AE$207))</f>
      </c>
      <c r="AO108" s="27">
        <f>IF($B108&lt;&gt;"Challan","",P108-N108)</f>
      </c>
      <c r="AP108" s="27">
        <f>IF($B108&lt;&gt;"Challan","",MAX(0,AO108-AN108))</f>
      </c>
      <c r="AQ108" s="33">
        <f>IF($B108&lt;&gt;"Entry","",SUMPRODUCT(($D$4:$D$207=D108)*($B$4:$B$207="Challan")*$F$4:$F$207))</f>
      </c>
      <c r="AR108" s="34">
        <f>IF(OR($B108&lt;&gt;"Entry",Z108=""),FALSE,AND(SUMPRODUCT(($D$4:$D$207=D108)*($B$4:$B$207="Challan")*($H$4:$H$207&lt;&gt;""))&gt;0,SUMPRODUCT(($D$4:$D$207=D108)*($B$4:$B$207="Challan")*($H$4:$H$207=Z108))=0))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lt;&gt;"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f>
      </c>
      <c r="Y109" s="23">
        <f>IF($B109&lt;&gt;"Entry","",IF(LEN(W109)&lt;4,"",IF(UPPER(MID(W109,4,1))="P","Individual",IF(UPPER(MID(W109,4,1))="H","HUF",IF(UPPER(MID(W109,4,1))="C","Company",IF(UPPER(MID(W109,4,1))="F","Firm",IF(UPPER(MID(W109,4,1))="L","LLP",IF(UPPER(MID(W109,4,1))="T","Trust",IF(UPPER(MID(W109,4,1))="A","AOP",""))))))))</f>
      </c>
      <c r="Z109" s="28"/>
      <c r="AA109" s="29">
        <f>IF($B109&lt;&gt;"Entry","",IF(Z109="","",IF(X109="Y",SUMPRODUCT(('Rate Lookup'!$A$1:$A$32=Z109)*'Rate Lookup'!$D$1:$D$32),IF(OR(Y109="Individual",Y109="HUF"),SUMPRODUCT(('Rate Lookup'!$A$1:$A$32=Z109)*'Rate Lookup'!$B$1:$B$32),SUMPRODUCT(('Rate Lookup'!$A$1:$A$32=Z109)*'Rate Lookup'!$C$1:$C$32)))))</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IF($B109&lt;&gt;"Challan","",SUMIF($D$4:$D$207,D109,$AD$4:$AD$207)+SUMIF($D$4:$D$207,D109,$AG$4:$AG$207)+SUMIF($D$4:$D$207,D109,$AE$4:$AE$207))</f>
      </c>
      <c r="AO109" s="27">
        <f>IF($B109&lt;&gt;"Challan","",P109-N109)</f>
      </c>
      <c r="AP109" s="27">
        <f>IF($B109&lt;&gt;"Challan","",MAX(0,AO109-AN109))</f>
      </c>
      <c r="AQ109" s="33">
        <f>IF($B109&lt;&gt;"Entry","",SUMPRODUCT(($D$4:$D$207=D109)*($B$4:$B$207="Challan")*$F$4:$F$207))</f>
      </c>
      <c r="AR109" s="34">
        <f>IF(OR($B109&lt;&gt;"Entry",Z109=""),FALSE,AND(SUMPRODUCT(($D$4:$D$207=D109)*($B$4:$B$207="Challan")*($H$4:$H$207&lt;&gt;""))&gt;0,SUMPRODUCT(($D$4:$D$207=D109)*($B$4:$B$207="Challan")*($H$4:$H$207=Z109))=0))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lt;&gt;"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f>
      </c>
      <c r="Y110" s="23">
        <f>IF($B110&lt;&gt;"Entry","",IF(LEN(W110)&lt;4,"",IF(UPPER(MID(W110,4,1))="P","Individual",IF(UPPER(MID(W110,4,1))="H","HUF",IF(UPPER(MID(W110,4,1))="C","Company",IF(UPPER(MID(W110,4,1))="F","Firm",IF(UPPER(MID(W110,4,1))="L","LLP",IF(UPPER(MID(W110,4,1))="T","Trust",IF(UPPER(MID(W110,4,1))="A","AOP",""))))))))</f>
      </c>
      <c r="Z110" s="28"/>
      <c r="AA110" s="29">
        <f>IF($B110&lt;&gt;"Entry","",IF(Z110="","",IF(X110="Y",SUMPRODUCT(('Rate Lookup'!$A$1:$A$32=Z110)*'Rate Lookup'!$D$1:$D$32),IF(OR(Y110="Individual",Y110="HUF"),SUMPRODUCT(('Rate Lookup'!$A$1:$A$32=Z110)*'Rate Lookup'!$B$1:$B$32),SUMPRODUCT(('Rate Lookup'!$A$1:$A$32=Z110)*'Rate Lookup'!$C$1:$C$32)))))</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IF($B110&lt;&gt;"Challan","",SUMIF($D$4:$D$207,D110,$AD$4:$AD$207)+SUMIF($D$4:$D$207,D110,$AG$4:$AG$207)+SUMIF($D$4:$D$207,D110,$AE$4:$AE$207))</f>
      </c>
      <c r="AO110" s="27">
        <f>IF($B110&lt;&gt;"Challan","",P110-N110)</f>
      </c>
      <c r="AP110" s="27">
        <f>IF($B110&lt;&gt;"Challan","",MAX(0,AO110-AN110))</f>
      </c>
      <c r="AQ110" s="33">
        <f>IF($B110&lt;&gt;"Entry","",SUMPRODUCT(($D$4:$D$207=D110)*($B$4:$B$207="Challan")*$F$4:$F$207))</f>
      </c>
      <c r="AR110" s="34">
        <f>IF(OR($B110&lt;&gt;"Entry",Z110=""),FALSE,AND(SUMPRODUCT(($D$4:$D$207=D110)*($B$4:$B$207="Challan")*($H$4:$H$207&lt;&gt;""))&gt;0,SUMPRODUCT(($D$4:$D$207=D110)*($B$4:$B$207="Challan")*($H$4:$H$207=Z110))=0))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lt;&gt;"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f>
      </c>
      <c r="Y111" s="23">
        <f>IF($B111&lt;&gt;"Entry","",IF(LEN(W111)&lt;4,"",IF(UPPER(MID(W111,4,1))="P","Individual",IF(UPPER(MID(W111,4,1))="H","HUF",IF(UPPER(MID(W111,4,1))="C","Company",IF(UPPER(MID(W111,4,1))="F","Firm",IF(UPPER(MID(W111,4,1))="L","LLP",IF(UPPER(MID(W111,4,1))="T","Trust",IF(UPPER(MID(W111,4,1))="A","AOP",""))))))))</f>
      </c>
      <c r="Z111" s="28"/>
      <c r="AA111" s="29">
        <f>IF($B111&lt;&gt;"Entry","",IF(Z111="","",IF(X111="Y",SUMPRODUCT(('Rate Lookup'!$A$1:$A$32=Z111)*'Rate Lookup'!$D$1:$D$32),IF(OR(Y111="Individual",Y111="HUF"),SUMPRODUCT(('Rate Lookup'!$A$1:$A$32=Z111)*'Rate Lookup'!$B$1:$B$32),SUMPRODUCT(('Rate Lookup'!$A$1:$A$32=Z111)*'Rate Lookup'!$C$1:$C$32)))))</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IF($B111&lt;&gt;"Challan","",SUMIF($D$4:$D$207,D111,$AD$4:$AD$207)+SUMIF($D$4:$D$207,D111,$AG$4:$AG$207)+SUMIF($D$4:$D$207,D111,$AE$4:$AE$207))</f>
      </c>
      <c r="AO111" s="27">
        <f>IF($B111&lt;&gt;"Challan","",P111-N111)</f>
      </c>
      <c r="AP111" s="27">
        <f>IF($B111&lt;&gt;"Challan","",MAX(0,AO111-AN111))</f>
      </c>
      <c r="AQ111" s="33">
        <f>IF($B111&lt;&gt;"Entry","",SUMPRODUCT(($D$4:$D$207=D111)*($B$4:$B$207="Challan")*$F$4:$F$207))</f>
      </c>
      <c r="AR111" s="34">
        <f>IF(OR($B111&lt;&gt;"Entry",Z111=""),FALSE,AND(SUMPRODUCT(($D$4:$D$207=D111)*($B$4:$B$207="Challan")*($H$4:$H$207&lt;&gt;""))&gt;0,SUMPRODUCT(($D$4:$D$207=D111)*($B$4:$B$207="Challan")*($H$4:$H$207=Z111))=0))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lt;&gt;"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f>
      </c>
      <c r="Y112" s="23">
        <f>IF($B112&lt;&gt;"Entry","",IF(LEN(W112)&lt;4,"",IF(UPPER(MID(W112,4,1))="P","Individual",IF(UPPER(MID(W112,4,1))="H","HUF",IF(UPPER(MID(W112,4,1))="C","Company",IF(UPPER(MID(W112,4,1))="F","Firm",IF(UPPER(MID(W112,4,1))="L","LLP",IF(UPPER(MID(W112,4,1))="T","Trust",IF(UPPER(MID(W112,4,1))="A","AOP",""))))))))</f>
      </c>
      <c r="Z112" s="28"/>
      <c r="AA112" s="29">
        <f>IF($B112&lt;&gt;"Entry","",IF(Z112="","",IF(X112="Y",SUMPRODUCT(('Rate Lookup'!$A$1:$A$32=Z112)*'Rate Lookup'!$D$1:$D$32),IF(OR(Y112="Individual",Y112="HUF"),SUMPRODUCT(('Rate Lookup'!$A$1:$A$32=Z112)*'Rate Lookup'!$B$1:$B$32),SUMPRODUCT(('Rate Lookup'!$A$1:$A$32=Z112)*'Rate Lookup'!$C$1:$C$32)))))</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IF($B112&lt;&gt;"Challan","",SUMIF($D$4:$D$207,D112,$AD$4:$AD$207)+SUMIF($D$4:$D$207,D112,$AG$4:$AG$207)+SUMIF($D$4:$D$207,D112,$AE$4:$AE$207))</f>
      </c>
      <c r="AO112" s="27">
        <f>IF($B112&lt;&gt;"Challan","",P112-N112)</f>
      </c>
      <c r="AP112" s="27">
        <f>IF($B112&lt;&gt;"Challan","",MAX(0,AO112-AN112))</f>
      </c>
      <c r="AQ112" s="33">
        <f>IF($B112&lt;&gt;"Entry","",SUMPRODUCT(($D$4:$D$207=D112)*($B$4:$B$207="Challan")*$F$4:$F$207))</f>
      </c>
      <c r="AR112" s="34">
        <f>IF(OR($B112&lt;&gt;"Entry",Z112=""),FALSE,AND(SUMPRODUCT(($D$4:$D$207=D112)*($B$4:$B$207="Challan")*($H$4:$H$207&lt;&gt;""))&gt;0,SUMPRODUCT(($D$4:$D$207=D112)*($B$4:$B$207="Challan")*($H$4:$H$207=Z112))=0))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lt;&gt;"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f>
      </c>
      <c r="Y113" s="23">
        <f>IF($B113&lt;&gt;"Entry","",IF(LEN(W113)&lt;4,"",IF(UPPER(MID(W113,4,1))="P","Individual",IF(UPPER(MID(W113,4,1))="H","HUF",IF(UPPER(MID(W113,4,1))="C","Company",IF(UPPER(MID(W113,4,1))="F","Firm",IF(UPPER(MID(W113,4,1))="L","LLP",IF(UPPER(MID(W113,4,1))="T","Trust",IF(UPPER(MID(W113,4,1))="A","AOP",""))))))))</f>
      </c>
      <c r="Z113" s="28"/>
      <c r="AA113" s="29">
        <f>IF($B113&lt;&gt;"Entry","",IF(Z113="","",IF(X113="Y",SUMPRODUCT(('Rate Lookup'!$A$1:$A$32=Z113)*'Rate Lookup'!$D$1:$D$32),IF(OR(Y113="Individual",Y113="HUF"),SUMPRODUCT(('Rate Lookup'!$A$1:$A$32=Z113)*'Rate Lookup'!$B$1:$B$32),SUMPRODUCT(('Rate Lookup'!$A$1:$A$32=Z113)*'Rate Lookup'!$C$1:$C$32)))))</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IF($B113&lt;&gt;"Challan","",SUMIF($D$4:$D$207,D113,$AD$4:$AD$207)+SUMIF($D$4:$D$207,D113,$AG$4:$AG$207)+SUMIF($D$4:$D$207,D113,$AE$4:$AE$207))</f>
      </c>
      <c r="AO113" s="27">
        <f>IF($B113&lt;&gt;"Challan","",P113-N113)</f>
      </c>
      <c r="AP113" s="27">
        <f>IF($B113&lt;&gt;"Challan","",MAX(0,AO113-AN113))</f>
      </c>
      <c r="AQ113" s="33">
        <f>IF($B113&lt;&gt;"Entry","",SUMPRODUCT(($D$4:$D$207=D113)*($B$4:$B$207="Challan")*$F$4:$F$207))</f>
      </c>
      <c r="AR113" s="34">
        <f>IF(OR($B113&lt;&gt;"Entry",Z113=""),FALSE,AND(SUMPRODUCT(($D$4:$D$207=D113)*($B$4:$B$207="Challan")*($H$4:$H$207&lt;&gt;""))&gt;0,SUMPRODUCT(($D$4:$D$207=D113)*($B$4:$B$207="Challan")*($H$4:$H$207=Z113))=0))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lt;&gt;"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f>
      </c>
      <c r="Y114" s="23">
        <f>IF($B114&lt;&gt;"Entry","",IF(LEN(W114)&lt;4,"",IF(UPPER(MID(W114,4,1))="P","Individual",IF(UPPER(MID(W114,4,1))="H","HUF",IF(UPPER(MID(W114,4,1))="C","Company",IF(UPPER(MID(W114,4,1))="F","Firm",IF(UPPER(MID(W114,4,1))="L","LLP",IF(UPPER(MID(W114,4,1))="T","Trust",IF(UPPER(MID(W114,4,1))="A","AOP",""))))))))</f>
      </c>
      <c r="Z114" s="28"/>
      <c r="AA114" s="29">
        <f>IF($B114&lt;&gt;"Entry","",IF(Z114="","",IF(X114="Y",SUMPRODUCT(('Rate Lookup'!$A$1:$A$32=Z114)*'Rate Lookup'!$D$1:$D$32),IF(OR(Y114="Individual",Y114="HUF"),SUMPRODUCT(('Rate Lookup'!$A$1:$A$32=Z114)*'Rate Lookup'!$B$1:$B$32),SUMPRODUCT(('Rate Lookup'!$A$1:$A$32=Z114)*'Rate Lookup'!$C$1:$C$32)))))</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IF($B114&lt;&gt;"Challan","",SUMIF($D$4:$D$207,D114,$AD$4:$AD$207)+SUMIF($D$4:$D$207,D114,$AG$4:$AG$207)+SUMIF($D$4:$D$207,D114,$AE$4:$AE$207))</f>
      </c>
      <c r="AO114" s="27">
        <f>IF($B114&lt;&gt;"Challan","",P114-N114)</f>
      </c>
      <c r="AP114" s="27">
        <f>IF($B114&lt;&gt;"Challan","",MAX(0,AO114-AN114))</f>
      </c>
      <c r="AQ114" s="33">
        <f>IF($B114&lt;&gt;"Entry","",SUMPRODUCT(($D$4:$D$207=D114)*($B$4:$B$207="Challan")*$F$4:$F$207))</f>
      </c>
      <c r="AR114" s="34">
        <f>IF(OR($B114&lt;&gt;"Entry",Z114=""),FALSE,AND(SUMPRODUCT(($D$4:$D$207=D114)*($B$4:$B$207="Challan")*($H$4:$H$207&lt;&gt;""))&gt;0,SUMPRODUCT(($D$4:$D$207=D114)*($B$4:$B$207="Challan")*($H$4:$H$207=Z114))=0))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lt;&gt;"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f>
      </c>
      <c r="Y115" s="23">
        <f>IF($B115&lt;&gt;"Entry","",IF(LEN(W115)&lt;4,"",IF(UPPER(MID(W115,4,1))="P","Individual",IF(UPPER(MID(W115,4,1))="H","HUF",IF(UPPER(MID(W115,4,1))="C","Company",IF(UPPER(MID(W115,4,1))="F","Firm",IF(UPPER(MID(W115,4,1))="L","LLP",IF(UPPER(MID(W115,4,1))="T","Trust",IF(UPPER(MID(W115,4,1))="A","AOP",""))))))))</f>
      </c>
      <c r="Z115" s="28"/>
      <c r="AA115" s="29">
        <f>IF($B115&lt;&gt;"Entry","",IF(Z115="","",IF(X115="Y",SUMPRODUCT(('Rate Lookup'!$A$1:$A$32=Z115)*'Rate Lookup'!$D$1:$D$32),IF(OR(Y115="Individual",Y115="HUF"),SUMPRODUCT(('Rate Lookup'!$A$1:$A$32=Z115)*'Rate Lookup'!$B$1:$B$32),SUMPRODUCT(('Rate Lookup'!$A$1:$A$32=Z115)*'Rate Lookup'!$C$1:$C$32)))))</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IF($B115&lt;&gt;"Challan","",SUMIF($D$4:$D$207,D115,$AD$4:$AD$207)+SUMIF($D$4:$D$207,D115,$AG$4:$AG$207)+SUMIF($D$4:$D$207,D115,$AE$4:$AE$207))</f>
      </c>
      <c r="AO115" s="27">
        <f>IF($B115&lt;&gt;"Challan","",P115-N115)</f>
      </c>
      <c r="AP115" s="27">
        <f>IF($B115&lt;&gt;"Challan","",MAX(0,AO115-AN115))</f>
      </c>
      <c r="AQ115" s="33">
        <f>IF($B115&lt;&gt;"Entry","",SUMPRODUCT(($D$4:$D$207=D115)*($B$4:$B$207="Challan")*$F$4:$F$207))</f>
      </c>
      <c r="AR115" s="34">
        <f>IF(OR($B115&lt;&gt;"Entry",Z115=""),FALSE,AND(SUMPRODUCT(($D$4:$D$207=D115)*($B$4:$B$207="Challan")*($H$4:$H$207&lt;&gt;""))&gt;0,SUMPRODUCT(($D$4:$D$207=D115)*($B$4:$B$207="Challan")*($H$4:$H$207=Z115))=0))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lt;&gt;"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f>
      </c>
      <c r="Y116" s="23">
        <f>IF($B116&lt;&gt;"Entry","",IF(LEN(W116)&lt;4,"",IF(UPPER(MID(W116,4,1))="P","Individual",IF(UPPER(MID(W116,4,1))="H","HUF",IF(UPPER(MID(W116,4,1))="C","Company",IF(UPPER(MID(W116,4,1))="F","Firm",IF(UPPER(MID(W116,4,1))="L","LLP",IF(UPPER(MID(W116,4,1))="T","Trust",IF(UPPER(MID(W116,4,1))="A","AOP",""))))))))</f>
      </c>
      <c r="Z116" s="28"/>
      <c r="AA116" s="29">
        <f>IF($B116&lt;&gt;"Entry","",IF(Z116="","",IF(X116="Y",SUMPRODUCT(('Rate Lookup'!$A$1:$A$32=Z116)*'Rate Lookup'!$D$1:$D$32),IF(OR(Y116="Individual",Y116="HUF"),SUMPRODUCT(('Rate Lookup'!$A$1:$A$32=Z116)*'Rate Lookup'!$B$1:$B$32),SUMPRODUCT(('Rate Lookup'!$A$1:$A$32=Z116)*'Rate Lookup'!$C$1:$C$32)))))</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IF($B116&lt;&gt;"Challan","",SUMIF($D$4:$D$207,D116,$AD$4:$AD$207)+SUMIF($D$4:$D$207,D116,$AG$4:$AG$207)+SUMIF($D$4:$D$207,D116,$AE$4:$AE$207))</f>
      </c>
      <c r="AO116" s="27">
        <f>IF($B116&lt;&gt;"Challan","",P116-N116)</f>
      </c>
      <c r="AP116" s="27">
        <f>IF($B116&lt;&gt;"Challan","",MAX(0,AO116-AN116))</f>
      </c>
      <c r="AQ116" s="33">
        <f>IF($B116&lt;&gt;"Entry","",SUMPRODUCT(($D$4:$D$207=D116)*($B$4:$B$207="Challan")*$F$4:$F$207))</f>
      </c>
      <c r="AR116" s="34">
        <f>IF(OR($B116&lt;&gt;"Entry",Z116=""),FALSE,AND(SUMPRODUCT(($D$4:$D$207=D116)*($B$4:$B$207="Challan")*($H$4:$H$207&lt;&gt;""))&gt;0,SUMPRODUCT(($D$4:$D$207=D116)*($B$4:$B$207="Challan")*($H$4:$H$207=Z116))=0))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lt;&gt;"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f>
      </c>
      <c r="Y117" s="23">
        <f>IF($B117&lt;&gt;"Entry","",IF(LEN(W117)&lt;4,"",IF(UPPER(MID(W117,4,1))="P","Individual",IF(UPPER(MID(W117,4,1))="H","HUF",IF(UPPER(MID(W117,4,1))="C","Company",IF(UPPER(MID(W117,4,1))="F","Firm",IF(UPPER(MID(W117,4,1))="L","LLP",IF(UPPER(MID(W117,4,1))="T","Trust",IF(UPPER(MID(W117,4,1))="A","AOP",""))))))))</f>
      </c>
      <c r="Z117" s="28"/>
      <c r="AA117" s="29">
        <f>IF($B117&lt;&gt;"Entry","",IF(Z117="","",IF(X117="Y",SUMPRODUCT(('Rate Lookup'!$A$1:$A$32=Z117)*'Rate Lookup'!$D$1:$D$32),IF(OR(Y117="Individual",Y117="HUF"),SUMPRODUCT(('Rate Lookup'!$A$1:$A$32=Z117)*'Rate Lookup'!$B$1:$B$32),SUMPRODUCT(('Rate Lookup'!$A$1:$A$32=Z117)*'Rate Lookup'!$C$1:$C$32)))))</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IF($B117&lt;&gt;"Challan","",SUMIF($D$4:$D$207,D117,$AD$4:$AD$207)+SUMIF($D$4:$D$207,D117,$AG$4:$AG$207)+SUMIF($D$4:$D$207,D117,$AE$4:$AE$207))</f>
      </c>
      <c r="AO117" s="27">
        <f>IF($B117&lt;&gt;"Challan","",P117-N117)</f>
      </c>
      <c r="AP117" s="27">
        <f>IF($B117&lt;&gt;"Challan","",MAX(0,AO117-AN117))</f>
      </c>
      <c r="AQ117" s="33">
        <f>IF($B117&lt;&gt;"Entry","",SUMPRODUCT(($D$4:$D$207=D117)*($B$4:$B$207="Challan")*$F$4:$F$207))</f>
      </c>
      <c r="AR117" s="34">
        <f>IF(OR($B117&lt;&gt;"Entry",Z117=""),FALSE,AND(SUMPRODUCT(($D$4:$D$207=D117)*($B$4:$B$207="Challan")*($H$4:$H$207&lt;&gt;""))&gt;0,SUMPRODUCT(($D$4:$D$207=D117)*($B$4:$B$207="Challan")*($H$4:$H$207=Z117))=0))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lt;&gt;"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f>
      </c>
      <c r="Y118" s="23">
        <f>IF($B118&lt;&gt;"Entry","",IF(LEN(W118)&lt;4,"",IF(UPPER(MID(W118,4,1))="P","Individual",IF(UPPER(MID(W118,4,1))="H","HUF",IF(UPPER(MID(W118,4,1))="C","Company",IF(UPPER(MID(W118,4,1))="F","Firm",IF(UPPER(MID(W118,4,1))="L","LLP",IF(UPPER(MID(W118,4,1))="T","Trust",IF(UPPER(MID(W118,4,1))="A","AOP",""))))))))</f>
      </c>
      <c r="Z118" s="28"/>
      <c r="AA118" s="29">
        <f>IF($B118&lt;&gt;"Entry","",IF(Z118="","",IF(X118="Y",SUMPRODUCT(('Rate Lookup'!$A$1:$A$32=Z118)*'Rate Lookup'!$D$1:$D$32),IF(OR(Y118="Individual",Y118="HUF"),SUMPRODUCT(('Rate Lookup'!$A$1:$A$32=Z118)*'Rate Lookup'!$B$1:$B$32),SUMPRODUCT(('Rate Lookup'!$A$1:$A$32=Z118)*'Rate Lookup'!$C$1:$C$32)))))</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IF($B118&lt;&gt;"Challan","",SUMIF($D$4:$D$207,D118,$AD$4:$AD$207)+SUMIF($D$4:$D$207,D118,$AG$4:$AG$207)+SUMIF($D$4:$D$207,D118,$AE$4:$AE$207))</f>
      </c>
      <c r="AO118" s="27">
        <f>IF($B118&lt;&gt;"Challan","",P118-N118)</f>
      </c>
      <c r="AP118" s="27">
        <f>IF($B118&lt;&gt;"Challan","",MAX(0,AO118-AN118))</f>
      </c>
      <c r="AQ118" s="33">
        <f>IF($B118&lt;&gt;"Entry","",SUMPRODUCT(($D$4:$D$207=D118)*($B$4:$B$207="Challan")*$F$4:$F$207))</f>
      </c>
      <c r="AR118" s="34">
        <f>IF(OR($B118&lt;&gt;"Entry",Z118=""),FALSE,AND(SUMPRODUCT(($D$4:$D$207=D118)*($B$4:$B$207="Challan")*($H$4:$H$207&lt;&gt;""))&gt;0,SUMPRODUCT(($D$4:$D$207=D118)*($B$4:$B$207="Challan")*($H$4:$H$207=Z118))=0))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lt;&gt;"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f>
      </c>
      <c r="Y119" s="23">
        <f>IF($B119&lt;&gt;"Entry","",IF(LEN(W119)&lt;4,"",IF(UPPER(MID(W119,4,1))="P","Individual",IF(UPPER(MID(W119,4,1))="H","HUF",IF(UPPER(MID(W119,4,1))="C","Company",IF(UPPER(MID(W119,4,1))="F","Firm",IF(UPPER(MID(W119,4,1))="L","LLP",IF(UPPER(MID(W119,4,1))="T","Trust",IF(UPPER(MID(W119,4,1))="A","AOP",""))))))))</f>
      </c>
      <c r="Z119" s="28"/>
      <c r="AA119" s="29">
        <f>IF($B119&lt;&gt;"Entry","",IF(Z119="","",IF(X119="Y",SUMPRODUCT(('Rate Lookup'!$A$1:$A$32=Z119)*'Rate Lookup'!$D$1:$D$32),IF(OR(Y119="Individual",Y119="HUF"),SUMPRODUCT(('Rate Lookup'!$A$1:$A$32=Z119)*'Rate Lookup'!$B$1:$B$32),SUMPRODUCT(('Rate Lookup'!$A$1:$A$32=Z119)*'Rate Lookup'!$C$1:$C$32)))))</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IF($B119&lt;&gt;"Challan","",SUMIF($D$4:$D$207,D119,$AD$4:$AD$207)+SUMIF($D$4:$D$207,D119,$AG$4:$AG$207)+SUMIF($D$4:$D$207,D119,$AE$4:$AE$207))</f>
      </c>
      <c r="AO119" s="27">
        <f>IF($B119&lt;&gt;"Challan","",P119-N119)</f>
      </c>
      <c r="AP119" s="27">
        <f>IF($B119&lt;&gt;"Challan","",MAX(0,AO119-AN119))</f>
      </c>
      <c r="AQ119" s="33">
        <f>IF($B119&lt;&gt;"Entry","",SUMPRODUCT(($D$4:$D$207=D119)*($B$4:$B$207="Challan")*$F$4:$F$207))</f>
      </c>
      <c r="AR119" s="34">
        <f>IF(OR($B119&lt;&gt;"Entry",Z119=""),FALSE,AND(SUMPRODUCT(($D$4:$D$207=D119)*($B$4:$B$207="Challan")*($H$4:$H$207&lt;&gt;""))&gt;0,SUMPRODUCT(($D$4:$D$207=D119)*($B$4:$B$207="Challan")*($H$4:$H$207=Z119))=0))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lt;&gt;"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f>
      </c>
      <c r="Y120" s="23">
        <f>IF($B120&lt;&gt;"Entry","",IF(LEN(W120)&lt;4,"",IF(UPPER(MID(W120,4,1))="P","Individual",IF(UPPER(MID(W120,4,1))="H","HUF",IF(UPPER(MID(W120,4,1))="C","Company",IF(UPPER(MID(W120,4,1))="F","Firm",IF(UPPER(MID(W120,4,1))="L","LLP",IF(UPPER(MID(W120,4,1))="T","Trust",IF(UPPER(MID(W120,4,1))="A","AOP",""))))))))</f>
      </c>
      <c r="Z120" s="28"/>
      <c r="AA120" s="29">
        <f>IF($B120&lt;&gt;"Entry","",IF(Z120="","",IF(X120="Y",SUMPRODUCT(('Rate Lookup'!$A$1:$A$32=Z120)*'Rate Lookup'!$D$1:$D$32),IF(OR(Y120="Individual",Y120="HUF"),SUMPRODUCT(('Rate Lookup'!$A$1:$A$32=Z120)*'Rate Lookup'!$B$1:$B$32),SUMPRODUCT(('Rate Lookup'!$A$1:$A$32=Z120)*'Rate Lookup'!$C$1:$C$32)))))</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IF($B120&lt;&gt;"Challan","",SUMIF($D$4:$D$207,D120,$AD$4:$AD$207)+SUMIF($D$4:$D$207,D120,$AG$4:$AG$207)+SUMIF($D$4:$D$207,D120,$AE$4:$AE$207))</f>
      </c>
      <c r="AO120" s="27">
        <f>IF($B120&lt;&gt;"Challan","",P120-N120)</f>
      </c>
      <c r="AP120" s="27">
        <f>IF($B120&lt;&gt;"Challan","",MAX(0,AO120-AN120))</f>
      </c>
      <c r="AQ120" s="33">
        <f>IF($B120&lt;&gt;"Entry","",SUMPRODUCT(($D$4:$D$207=D120)*($B$4:$B$207="Challan")*$F$4:$F$207))</f>
      </c>
      <c r="AR120" s="34">
        <f>IF(OR($B120&lt;&gt;"Entry",Z120=""),FALSE,AND(SUMPRODUCT(($D$4:$D$207=D120)*($B$4:$B$207="Challan")*($H$4:$H$207&lt;&gt;""))&gt;0,SUMPRODUCT(($D$4:$D$207=D120)*($B$4:$B$207="Challan")*($H$4:$H$207=Z120))=0))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lt;&gt;"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f>
      </c>
      <c r="Y121" s="23">
        <f>IF($B121&lt;&gt;"Entry","",IF(LEN(W121)&lt;4,"",IF(UPPER(MID(W121,4,1))="P","Individual",IF(UPPER(MID(W121,4,1))="H","HUF",IF(UPPER(MID(W121,4,1))="C","Company",IF(UPPER(MID(W121,4,1))="F","Firm",IF(UPPER(MID(W121,4,1))="L","LLP",IF(UPPER(MID(W121,4,1))="T","Trust",IF(UPPER(MID(W121,4,1))="A","AOP",""))))))))</f>
      </c>
      <c r="Z121" s="28"/>
      <c r="AA121" s="29">
        <f>IF($B121&lt;&gt;"Entry","",IF(Z121="","",IF(X121="Y",SUMPRODUCT(('Rate Lookup'!$A$1:$A$32=Z121)*'Rate Lookup'!$D$1:$D$32),IF(OR(Y121="Individual",Y121="HUF"),SUMPRODUCT(('Rate Lookup'!$A$1:$A$32=Z121)*'Rate Lookup'!$B$1:$B$32),SUMPRODUCT(('Rate Lookup'!$A$1:$A$32=Z121)*'Rate Lookup'!$C$1:$C$32)))))</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IF($B121&lt;&gt;"Challan","",SUMIF($D$4:$D$207,D121,$AD$4:$AD$207)+SUMIF($D$4:$D$207,D121,$AG$4:$AG$207)+SUMIF($D$4:$D$207,D121,$AE$4:$AE$207))</f>
      </c>
      <c r="AO121" s="27">
        <f>IF($B121&lt;&gt;"Challan","",P121-N121)</f>
      </c>
      <c r="AP121" s="27">
        <f>IF($B121&lt;&gt;"Challan","",MAX(0,AO121-AN121))</f>
      </c>
      <c r="AQ121" s="33">
        <f>IF($B121&lt;&gt;"Entry","",SUMPRODUCT(($D$4:$D$207=D121)*($B$4:$B$207="Challan")*$F$4:$F$207))</f>
      </c>
      <c r="AR121" s="34">
        <f>IF(OR($B121&lt;&gt;"Entry",Z121=""),FALSE,AND(SUMPRODUCT(($D$4:$D$207=D121)*($B$4:$B$207="Challan")*($H$4:$H$207&lt;&gt;""))&gt;0,SUMPRODUCT(($D$4:$D$207=D121)*($B$4:$B$207="Challan")*($H$4:$H$207=Z121))=0))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lt;&gt;"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f>
      </c>
      <c r="Y122" s="23">
        <f>IF($B122&lt;&gt;"Entry","",IF(LEN(W122)&lt;4,"",IF(UPPER(MID(W122,4,1))="P","Individual",IF(UPPER(MID(W122,4,1))="H","HUF",IF(UPPER(MID(W122,4,1))="C","Company",IF(UPPER(MID(W122,4,1))="F","Firm",IF(UPPER(MID(W122,4,1))="L","LLP",IF(UPPER(MID(W122,4,1))="T","Trust",IF(UPPER(MID(W122,4,1))="A","AOP",""))))))))</f>
      </c>
      <c r="Z122" s="28"/>
      <c r="AA122" s="29">
        <f>IF($B122&lt;&gt;"Entry","",IF(Z122="","",IF(X122="Y",SUMPRODUCT(('Rate Lookup'!$A$1:$A$32=Z122)*'Rate Lookup'!$D$1:$D$32),IF(OR(Y122="Individual",Y122="HUF"),SUMPRODUCT(('Rate Lookup'!$A$1:$A$32=Z122)*'Rate Lookup'!$B$1:$B$32),SUMPRODUCT(('Rate Lookup'!$A$1:$A$32=Z122)*'Rate Lookup'!$C$1:$C$32)))))</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IF($B122&lt;&gt;"Challan","",SUMIF($D$4:$D$207,D122,$AD$4:$AD$207)+SUMIF($D$4:$D$207,D122,$AG$4:$AG$207)+SUMIF($D$4:$D$207,D122,$AE$4:$AE$207))</f>
      </c>
      <c r="AO122" s="27">
        <f>IF($B122&lt;&gt;"Challan","",P122-N122)</f>
      </c>
      <c r="AP122" s="27">
        <f>IF($B122&lt;&gt;"Challan","",MAX(0,AO122-AN122))</f>
      </c>
      <c r="AQ122" s="33">
        <f>IF($B122&lt;&gt;"Entry","",SUMPRODUCT(($D$4:$D$207=D122)*($B$4:$B$207="Challan")*$F$4:$F$207))</f>
      </c>
      <c r="AR122" s="34">
        <f>IF(OR($B122&lt;&gt;"Entry",Z122=""),FALSE,AND(SUMPRODUCT(($D$4:$D$207=D122)*($B$4:$B$207="Challan")*($H$4:$H$207&lt;&gt;""))&gt;0,SUMPRODUCT(($D$4:$D$207=D122)*($B$4:$B$207="Challan")*($H$4:$H$207=Z122))=0))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lt;&gt;"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f>
      </c>
      <c r="Y123" s="23">
        <f>IF($B123&lt;&gt;"Entry","",IF(LEN(W123)&lt;4,"",IF(UPPER(MID(W123,4,1))="P","Individual",IF(UPPER(MID(W123,4,1))="H","HUF",IF(UPPER(MID(W123,4,1))="C","Company",IF(UPPER(MID(W123,4,1))="F","Firm",IF(UPPER(MID(W123,4,1))="L","LLP",IF(UPPER(MID(W123,4,1))="T","Trust",IF(UPPER(MID(W123,4,1))="A","AOP",""))))))))</f>
      </c>
      <c r="Z123" s="28"/>
      <c r="AA123" s="29">
        <f>IF($B123&lt;&gt;"Entry","",IF(Z123="","",IF(X123="Y",SUMPRODUCT(('Rate Lookup'!$A$1:$A$32=Z123)*'Rate Lookup'!$D$1:$D$32),IF(OR(Y123="Individual",Y123="HUF"),SUMPRODUCT(('Rate Lookup'!$A$1:$A$32=Z123)*'Rate Lookup'!$B$1:$B$32),SUMPRODUCT(('Rate Lookup'!$A$1:$A$32=Z123)*'Rate Lookup'!$C$1:$C$32)))))</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IF($B123&lt;&gt;"Challan","",SUMIF($D$4:$D$207,D123,$AD$4:$AD$207)+SUMIF($D$4:$D$207,D123,$AG$4:$AG$207)+SUMIF($D$4:$D$207,D123,$AE$4:$AE$207))</f>
      </c>
      <c r="AO123" s="27">
        <f>IF($B123&lt;&gt;"Challan","",P123-N123)</f>
      </c>
      <c r="AP123" s="27">
        <f>IF($B123&lt;&gt;"Challan","",MAX(0,AO123-AN123))</f>
      </c>
      <c r="AQ123" s="33">
        <f>IF($B123&lt;&gt;"Entry","",SUMPRODUCT(($D$4:$D$207=D123)*($B$4:$B$207="Challan")*$F$4:$F$207))</f>
      </c>
      <c r="AR123" s="34">
        <f>IF(OR($B123&lt;&gt;"Entry",Z123=""),FALSE,AND(SUMPRODUCT(($D$4:$D$207=D123)*($B$4:$B$207="Challan")*($H$4:$H$207&lt;&gt;""))&gt;0,SUMPRODUCT(($D$4:$D$207=D123)*($B$4:$B$207="Challan")*($H$4:$H$207=Z123))=0))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lt;&gt;"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f>
      </c>
      <c r="Y124" s="23">
        <f>IF($B124&lt;&gt;"Entry","",IF(LEN(W124)&lt;4,"",IF(UPPER(MID(W124,4,1))="P","Individual",IF(UPPER(MID(W124,4,1))="H","HUF",IF(UPPER(MID(W124,4,1))="C","Company",IF(UPPER(MID(W124,4,1))="F","Firm",IF(UPPER(MID(W124,4,1))="L","LLP",IF(UPPER(MID(W124,4,1))="T","Trust",IF(UPPER(MID(W124,4,1))="A","AOP",""))))))))</f>
      </c>
      <c r="Z124" s="28"/>
      <c r="AA124" s="29">
        <f>IF($B124&lt;&gt;"Entry","",IF(Z124="","",IF(X124="Y",SUMPRODUCT(('Rate Lookup'!$A$1:$A$32=Z124)*'Rate Lookup'!$D$1:$D$32),IF(OR(Y124="Individual",Y124="HUF"),SUMPRODUCT(('Rate Lookup'!$A$1:$A$32=Z124)*'Rate Lookup'!$B$1:$B$32),SUMPRODUCT(('Rate Lookup'!$A$1:$A$32=Z124)*'Rate Lookup'!$C$1:$C$32)))))</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IF($B124&lt;&gt;"Challan","",SUMIF($D$4:$D$207,D124,$AD$4:$AD$207)+SUMIF($D$4:$D$207,D124,$AG$4:$AG$207)+SUMIF($D$4:$D$207,D124,$AE$4:$AE$207))</f>
      </c>
      <c r="AO124" s="27">
        <f>IF($B124&lt;&gt;"Challan","",P124-N124)</f>
      </c>
      <c r="AP124" s="27">
        <f>IF($B124&lt;&gt;"Challan","",MAX(0,AO124-AN124))</f>
      </c>
      <c r="AQ124" s="33">
        <f>IF($B124&lt;&gt;"Entry","",SUMPRODUCT(($D$4:$D$207=D124)*($B$4:$B$207="Challan")*$F$4:$F$207))</f>
      </c>
      <c r="AR124" s="34">
        <f>IF(OR($B124&lt;&gt;"Entry",Z124=""),FALSE,AND(SUMPRODUCT(($D$4:$D$207=D124)*($B$4:$B$207="Challan")*($H$4:$H$207&lt;&gt;""))&gt;0,SUMPRODUCT(($D$4:$D$207=D124)*($B$4:$B$207="Challan")*($H$4:$H$207=Z124))=0))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lt;&gt;"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f>
      </c>
      <c r="Y125" s="23">
        <f>IF($B125&lt;&gt;"Entry","",IF(LEN(W125)&lt;4,"",IF(UPPER(MID(W125,4,1))="P","Individual",IF(UPPER(MID(W125,4,1))="H","HUF",IF(UPPER(MID(W125,4,1))="C","Company",IF(UPPER(MID(W125,4,1))="F","Firm",IF(UPPER(MID(W125,4,1))="L","LLP",IF(UPPER(MID(W125,4,1))="T","Trust",IF(UPPER(MID(W125,4,1))="A","AOP",""))))))))</f>
      </c>
      <c r="Z125" s="28"/>
      <c r="AA125" s="29">
        <f>IF($B125&lt;&gt;"Entry","",IF(Z125="","",IF(X125="Y",SUMPRODUCT(('Rate Lookup'!$A$1:$A$32=Z125)*'Rate Lookup'!$D$1:$D$32),IF(OR(Y125="Individual",Y125="HUF"),SUMPRODUCT(('Rate Lookup'!$A$1:$A$32=Z125)*'Rate Lookup'!$B$1:$B$32),SUMPRODUCT(('Rate Lookup'!$A$1:$A$32=Z125)*'Rate Lookup'!$C$1:$C$32)))))</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IF($B125&lt;&gt;"Challan","",SUMIF($D$4:$D$207,D125,$AD$4:$AD$207)+SUMIF($D$4:$D$207,D125,$AG$4:$AG$207)+SUMIF($D$4:$D$207,D125,$AE$4:$AE$207))</f>
      </c>
      <c r="AO125" s="27">
        <f>IF($B125&lt;&gt;"Challan","",P125-N125)</f>
      </c>
      <c r="AP125" s="27">
        <f>IF($B125&lt;&gt;"Challan","",MAX(0,AO125-AN125))</f>
      </c>
      <c r="AQ125" s="33">
        <f>IF($B125&lt;&gt;"Entry","",SUMPRODUCT(($D$4:$D$207=D125)*($B$4:$B$207="Challan")*$F$4:$F$207))</f>
      </c>
      <c r="AR125" s="34">
        <f>IF(OR($B125&lt;&gt;"Entry",Z125=""),FALSE,AND(SUMPRODUCT(($D$4:$D$207=D125)*($B$4:$B$207="Challan")*($H$4:$H$207&lt;&gt;""))&gt;0,SUMPRODUCT(($D$4:$D$207=D125)*($B$4:$B$207="Challan")*($H$4:$H$207=Z125))=0))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lt;&gt;"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f>
      </c>
      <c r="Y126" s="23">
        <f>IF($B126&lt;&gt;"Entry","",IF(LEN(W126)&lt;4,"",IF(UPPER(MID(W126,4,1))="P","Individual",IF(UPPER(MID(W126,4,1))="H","HUF",IF(UPPER(MID(W126,4,1))="C","Company",IF(UPPER(MID(W126,4,1))="F","Firm",IF(UPPER(MID(W126,4,1))="L","LLP",IF(UPPER(MID(W126,4,1))="T","Trust",IF(UPPER(MID(W126,4,1))="A","AOP",""))))))))</f>
      </c>
      <c r="Z126" s="28"/>
      <c r="AA126" s="29">
        <f>IF($B126&lt;&gt;"Entry","",IF(Z126="","",IF(X126="Y",SUMPRODUCT(('Rate Lookup'!$A$1:$A$32=Z126)*'Rate Lookup'!$D$1:$D$32),IF(OR(Y126="Individual",Y126="HUF"),SUMPRODUCT(('Rate Lookup'!$A$1:$A$32=Z126)*'Rate Lookup'!$B$1:$B$32),SUMPRODUCT(('Rate Lookup'!$A$1:$A$32=Z126)*'Rate Lookup'!$C$1:$C$32)))))</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IF($B126&lt;&gt;"Challan","",SUMIF($D$4:$D$207,D126,$AD$4:$AD$207)+SUMIF($D$4:$D$207,D126,$AG$4:$AG$207)+SUMIF($D$4:$D$207,D126,$AE$4:$AE$207))</f>
      </c>
      <c r="AO126" s="27">
        <f>IF($B126&lt;&gt;"Challan","",P126-N126)</f>
      </c>
      <c r="AP126" s="27">
        <f>IF($B126&lt;&gt;"Challan","",MAX(0,AO126-AN126))</f>
      </c>
      <c r="AQ126" s="33">
        <f>IF($B126&lt;&gt;"Entry","",SUMPRODUCT(($D$4:$D$207=D126)*($B$4:$B$207="Challan")*$F$4:$F$207))</f>
      </c>
      <c r="AR126" s="34">
        <f>IF(OR($B126&lt;&gt;"Entry",Z126=""),FALSE,AND(SUMPRODUCT(($D$4:$D$207=D126)*($B$4:$B$207="Challan")*($H$4:$H$207&lt;&gt;""))&gt;0,SUMPRODUCT(($D$4:$D$207=D126)*($B$4:$B$207="Challan")*($H$4:$H$207=Z126))=0))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lt;&gt;"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f>
      </c>
      <c r="Y127" s="23">
        <f>IF($B127&lt;&gt;"Entry","",IF(LEN(W127)&lt;4,"",IF(UPPER(MID(W127,4,1))="P","Individual",IF(UPPER(MID(W127,4,1))="H","HUF",IF(UPPER(MID(W127,4,1))="C","Company",IF(UPPER(MID(W127,4,1))="F","Firm",IF(UPPER(MID(W127,4,1))="L","LLP",IF(UPPER(MID(W127,4,1))="T","Trust",IF(UPPER(MID(W127,4,1))="A","AOP",""))))))))</f>
      </c>
      <c r="Z127" s="28"/>
      <c r="AA127" s="29">
        <f>IF($B127&lt;&gt;"Entry","",IF(Z127="","",IF(X127="Y",SUMPRODUCT(('Rate Lookup'!$A$1:$A$32=Z127)*'Rate Lookup'!$D$1:$D$32),IF(OR(Y127="Individual",Y127="HUF"),SUMPRODUCT(('Rate Lookup'!$A$1:$A$32=Z127)*'Rate Lookup'!$B$1:$B$32),SUMPRODUCT(('Rate Lookup'!$A$1:$A$32=Z127)*'Rate Lookup'!$C$1:$C$32)))))</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IF($B127&lt;&gt;"Challan","",SUMIF($D$4:$D$207,D127,$AD$4:$AD$207)+SUMIF($D$4:$D$207,D127,$AG$4:$AG$207)+SUMIF($D$4:$D$207,D127,$AE$4:$AE$207))</f>
      </c>
      <c r="AO127" s="27">
        <f>IF($B127&lt;&gt;"Challan","",P127-N127)</f>
      </c>
      <c r="AP127" s="27">
        <f>IF($B127&lt;&gt;"Challan","",MAX(0,AO127-AN127))</f>
      </c>
      <c r="AQ127" s="33">
        <f>IF($B127&lt;&gt;"Entry","",SUMPRODUCT(($D$4:$D$207=D127)*($B$4:$B$207="Challan")*$F$4:$F$207))</f>
      </c>
      <c r="AR127" s="34">
        <f>IF(OR($B127&lt;&gt;"Entry",Z127=""),FALSE,AND(SUMPRODUCT(($D$4:$D$207=D127)*($B$4:$B$207="Challan")*($H$4:$H$207&lt;&gt;""))&gt;0,SUMPRODUCT(($D$4:$D$207=D127)*($B$4:$B$207="Challan")*($H$4:$H$207=Z127))=0))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lt;&gt;"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f>
      </c>
      <c r="Y128" s="23">
        <f>IF($B128&lt;&gt;"Entry","",IF(LEN(W128)&lt;4,"",IF(UPPER(MID(W128,4,1))="P","Individual",IF(UPPER(MID(W128,4,1))="H","HUF",IF(UPPER(MID(W128,4,1))="C","Company",IF(UPPER(MID(W128,4,1))="F","Firm",IF(UPPER(MID(W128,4,1))="L","LLP",IF(UPPER(MID(W128,4,1))="T","Trust",IF(UPPER(MID(W128,4,1))="A","AOP",""))))))))</f>
      </c>
      <c r="Z128" s="28"/>
      <c r="AA128" s="29">
        <f>IF($B128&lt;&gt;"Entry","",IF(Z128="","",IF(X128="Y",SUMPRODUCT(('Rate Lookup'!$A$1:$A$32=Z128)*'Rate Lookup'!$D$1:$D$32),IF(OR(Y128="Individual",Y128="HUF"),SUMPRODUCT(('Rate Lookup'!$A$1:$A$32=Z128)*'Rate Lookup'!$B$1:$B$32),SUMPRODUCT(('Rate Lookup'!$A$1:$A$32=Z128)*'Rate Lookup'!$C$1:$C$32)))))</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IF($B128&lt;&gt;"Challan","",SUMIF($D$4:$D$207,D128,$AD$4:$AD$207)+SUMIF($D$4:$D$207,D128,$AG$4:$AG$207)+SUMIF($D$4:$D$207,D128,$AE$4:$AE$207))</f>
      </c>
      <c r="AO128" s="27">
        <f>IF($B128&lt;&gt;"Challan","",P128-N128)</f>
      </c>
      <c r="AP128" s="27">
        <f>IF($B128&lt;&gt;"Challan","",MAX(0,AO128-AN128))</f>
      </c>
      <c r="AQ128" s="33">
        <f>IF($B128&lt;&gt;"Entry","",SUMPRODUCT(($D$4:$D$207=D128)*($B$4:$B$207="Challan")*$F$4:$F$207))</f>
      </c>
      <c r="AR128" s="34">
        <f>IF(OR($B128&lt;&gt;"Entry",Z128=""),FALSE,AND(SUMPRODUCT(($D$4:$D$207=D128)*($B$4:$B$207="Challan")*($H$4:$H$207&lt;&gt;""))&gt;0,SUMPRODUCT(($D$4:$D$207=D128)*($B$4:$B$207="Challan")*($H$4:$H$207=Z128))=0))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lt;&gt;"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f>
      </c>
      <c r="Y129" s="23">
        <f>IF($B129&lt;&gt;"Entry","",IF(LEN(W129)&lt;4,"",IF(UPPER(MID(W129,4,1))="P","Individual",IF(UPPER(MID(W129,4,1))="H","HUF",IF(UPPER(MID(W129,4,1))="C","Company",IF(UPPER(MID(W129,4,1))="F","Firm",IF(UPPER(MID(W129,4,1))="L","LLP",IF(UPPER(MID(W129,4,1))="T","Trust",IF(UPPER(MID(W129,4,1))="A","AOP",""))))))))</f>
      </c>
      <c r="Z129" s="28"/>
      <c r="AA129" s="29">
        <f>IF($B129&lt;&gt;"Entry","",IF(Z129="","",IF(X129="Y",SUMPRODUCT(('Rate Lookup'!$A$1:$A$32=Z129)*'Rate Lookup'!$D$1:$D$32),IF(OR(Y129="Individual",Y129="HUF"),SUMPRODUCT(('Rate Lookup'!$A$1:$A$32=Z129)*'Rate Lookup'!$B$1:$B$32),SUMPRODUCT(('Rate Lookup'!$A$1:$A$32=Z129)*'Rate Lookup'!$C$1:$C$32)))))</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IF($B129&lt;&gt;"Challan","",SUMIF($D$4:$D$207,D129,$AD$4:$AD$207)+SUMIF($D$4:$D$207,D129,$AG$4:$AG$207)+SUMIF($D$4:$D$207,D129,$AE$4:$AE$207))</f>
      </c>
      <c r="AO129" s="27">
        <f>IF($B129&lt;&gt;"Challan","",P129-N129)</f>
      </c>
      <c r="AP129" s="27">
        <f>IF($B129&lt;&gt;"Challan","",MAX(0,AO129-AN129))</f>
      </c>
      <c r="AQ129" s="33">
        <f>IF($B129&lt;&gt;"Entry","",SUMPRODUCT(($D$4:$D$207=D129)*($B$4:$B$207="Challan")*$F$4:$F$207))</f>
      </c>
      <c r="AR129" s="34">
        <f>IF(OR($B129&lt;&gt;"Entry",Z129=""),FALSE,AND(SUMPRODUCT(($D$4:$D$207=D129)*($B$4:$B$207="Challan")*($H$4:$H$207&lt;&gt;""))&gt;0,SUMPRODUCT(($D$4:$D$207=D129)*($B$4:$B$207="Challan")*($H$4:$H$207=Z129))=0))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lt;&gt;"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f>
      </c>
      <c r="Y130" s="23">
        <f>IF($B130&lt;&gt;"Entry","",IF(LEN(W130)&lt;4,"",IF(UPPER(MID(W130,4,1))="P","Individual",IF(UPPER(MID(W130,4,1))="H","HUF",IF(UPPER(MID(W130,4,1))="C","Company",IF(UPPER(MID(W130,4,1))="F","Firm",IF(UPPER(MID(W130,4,1))="L","LLP",IF(UPPER(MID(W130,4,1))="T","Trust",IF(UPPER(MID(W130,4,1))="A","AOP",""))))))))</f>
      </c>
      <c r="Z130" s="28"/>
      <c r="AA130" s="29">
        <f>IF($B130&lt;&gt;"Entry","",IF(Z130="","",IF(X130="Y",SUMPRODUCT(('Rate Lookup'!$A$1:$A$32=Z130)*'Rate Lookup'!$D$1:$D$32),IF(OR(Y130="Individual",Y130="HUF"),SUMPRODUCT(('Rate Lookup'!$A$1:$A$32=Z130)*'Rate Lookup'!$B$1:$B$32),SUMPRODUCT(('Rate Lookup'!$A$1:$A$32=Z130)*'Rate Lookup'!$C$1:$C$32)))))</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IF($B130&lt;&gt;"Challan","",SUMIF($D$4:$D$207,D130,$AD$4:$AD$207)+SUMIF($D$4:$D$207,D130,$AG$4:$AG$207)+SUMIF($D$4:$D$207,D130,$AE$4:$AE$207))</f>
      </c>
      <c r="AO130" s="27">
        <f>IF($B130&lt;&gt;"Challan","",P130-N130)</f>
      </c>
      <c r="AP130" s="27">
        <f>IF($B130&lt;&gt;"Challan","",MAX(0,AO130-AN130))</f>
      </c>
      <c r="AQ130" s="33">
        <f>IF($B130&lt;&gt;"Entry","",SUMPRODUCT(($D$4:$D$207=D130)*($B$4:$B$207="Challan")*$F$4:$F$207))</f>
      </c>
      <c r="AR130" s="34">
        <f>IF(OR($B130&lt;&gt;"Entry",Z130=""),FALSE,AND(SUMPRODUCT(($D$4:$D$207=D130)*($B$4:$B$207="Challan")*($H$4:$H$207&lt;&gt;""))&gt;0,SUMPRODUCT(($D$4:$D$207=D130)*($B$4:$B$207="Challan")*($H$4:$H$207=Z130))=0))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lt;&gt;"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f>
      </c>
      <c r="Y131" s="23">
        <f>IF($B131&lt;&gt;"Entry","",IF(LEN(W131)&lt;4,"",IF(UPPER(MID(W131,4,1))="P","Individual",IF(UPPER(MID(W131,4,1))="H","HUF",IF(UPPER(MID(W131,4,1))="C","Company",IF(UPPER(MID(W131,4,1))="F","Firm",IF(UPPER(MID(W131,4,1))="L","LLP",IF(UPPER(MID(W131,4,1))="T","Trust",IF(UPPER(MID(W131,4,1))="A","AOP",""))))))))</f>
      </c>
      <c r="Z131" s="28"/>
      <c r="AA131" s="29">
        <f>IF($B131&lt;&gt;"Entry","",IF(Z131="","",IF(X131="Y",SUMPRODUCT(('Rate Lookup'!$A$1:$A$32=Z131)*'Rate Lookup'!$D$1:$D$32),IF(OR(Y131="Individual",Y131="HUF"),SUMPRODUCT(('Rate Lookup'!$A$1:$A$32=Z131)*'Rate Lookup'!$B$1:$B$32),SUMPRODUCT(('Rate Lookup'!$A$1:$A$32=Z131)*'Rate Lookup'!$C$1:$C$32)))))</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IF($B131&lt;&gt;"Challan","",SUMIF($D$4:$D$207,D131,$AD$4:$AD$207)+SUMIF($D$4:$D$207,D131,$AG$4:$AG$207)+SUMIF($D$4:$D$207,D131,$AE$4:$AE$207))</f>
      </c>
      <c r="AO131" s="27">
        <f>IF($B131&lt;&gt;"Challan","",P131-N131)</f>
      </c>
      <c r="AP131" s="27">
        <f>IF($B131&lt;&gt;"Challan","",MAX(0,AO131-AN131))</f>
      </c>
      <c r="AQ131" s="33">
        <f>IF($B131&lt;&gt;"Entry","",SUMPRODUCT(($D$4:$D$207=D131)*($B$4:$B$207="Challan")*$F$4:$F$207))</f>
      </c>
      <c r="AR131" s="34">
        <f>IF(OR($B131&lt;&gt;"Entry",Z131=""),FALSE,AND(SUMPRODUCT(($D$4:$D$207=D131)*($B$4:$B$207="Challan")*($H$4:$H$207&lt;&gt;""))&gt;0,SUMPRODUCT(($D$4:$D$207=D131)*($B$4:$B$207="Challan")*($H$4:$H$207=Z131))=0))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lt;&gt;"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f>
      </c>
      <c r="Y132" s="23">
        <f>IF($B132&lt;&gt;"Entry","",IF(LEN(W132)&lt;4,"",IF(UPPER(MID(W132,4,1))="P","Individual",IF(UPPER(MID(W132,4,1))="H","HUF",IF(UPPER(MID(W132,4,1))="C","Company",IF(UPPER(MID(W132,4,1))="F","Firm",IF(UPPER(MID(W132,4,1))="L","LLP",IF(UPPER(MID(W132,4,1))="T","Trust",IF(UPPER(MID(W132,4,1))="A","AOP",""))))))))</f>
      </c>
      <c r="Z132" s="28"/>
      <c r="AA132" s="29">
        <f>IF($B132&lt;&gt;"Entry","",IF(Z132="","",IF(X132="Y",SUMPRODUCT(('Rate Lookup'!$A$1:$A$32=Z132)*'Rate Lookup'!$D$1:$D$32),IF(OR(Y132="Individual",Y132="HUF"),SUMPRODUCT(('Rate Lookup'!$A$1:$A$32=Z132)*'Rate Lookup'!$B$1:$B$32),SUMPRODUCT(('Rate Lookup'!$A$1:$A$32=Z132)*'Rate Lookup'!$C$1:$C$32)))))</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IF($B132&lt;&gt;"Challan","",SUMIF($D$4:$D$207,D132,$AD$4:$AD$207)+SUMIF($D$4:$D$207,D132,$AG$4:$AG$207)+SUMIF($D$4:$D$207,D132,$AE$4:$AE$207))</f>
      </c>
      <c r="AO132" s="27">
        <f>IF($B132&lt;&gt;"Challan","",P132-N132)</f>
      </c>
      <c r="AP132" s="27">
        <f>IF($B132&lt;&gt;"Challan","",MAX(0,AO132-AN132))</f>
      </c>
      <c r="AQ132" s="33">
        <f>IF($B132&lt;&gt;"Entry","",SUMPRODUCT(($D$4:$D$207=D132)*($B$4:$B$207="Challan")*$F$4:$F$207))</f>
      </c>
      <c r="AR132" s="34">
        <f>IF(OR($B132&lt;&gt;"Entry",Z132=""),FALSE,AND(SUMPRODUCT(($D$4:$D$207=D132)*($B$4:$B$207="Challan")*($H$4:$H$207&lt;&gt;""))&gt;0,SUMPRODUCT(($D$4:$D$207=D132)*($B$4:$B$207="Challan")*($H$4:$H$207=Z132))=0))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lt;&gt;"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f>
      </c>
      <c r="Y133" s="23">
        <f>IF($B133&lt;&gt;"Entry","",IF(LEN(W133)&lt;4,"",IF(UPPER(MID(W133,4,1))="P","Individual",IF(UPPER(MID(W133,4,1))="H","HUF",IF(UPPER(MID(W133,4,1))="C","Company",IF(UPPER(MID(W133,4,1))="F","Firm",IF(UPPER(MID(W133,4,1))="L","LLP",IF(UPPER(MID(W133,4,1))="T","Trust",IF(UPPER(MID(W133,4,1))="A","AOP",""))))))))</f>
      </c>
      <c r="Z133" s="28"/>
      <c r="AA133" s="29">
        <f>IF($B133&lt;&gt;"Entry","",IF(Z133="","",IF(X133="Y",SUMPRODUCT(('Rate Lookup'!$A$1:$A$32=Z133)*'Rate Lookup'!$D$1:$D$32),IF(OR(Y133="Individual",Y133="HUF"),SUMPRODUCT(('Rate Lookup'!$A$1:$A$32=Z133)*'Rate Lookup'!$B$1:$B$32),SUMPRODUCT(('Rate Lookup'!$A$1:$A$32=Z133)*'Rate Lookup'!$C$1:$C$32)))))</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IF($B133&lt;&gt;"Challan","",SUMIF($D$4:$D$207,D133,$AD$4:$AD$207)+SUMIF($D$4:$D$207,D133,$AG$4:$AG$207)+SUMIF($D$4:$D$207,D133,$AE$4:$AE$207))</f>
      </c>
      <c r="AO133" s="27">
        <f>IF($B133&lt;&gt;"Challan","",P133-N133)</f>
      </c>
      <c r="AP133" s="27">
        <f>IF($B133&lt;&gt;"Challan","",MAX(0,AO133-AN133))</f>
      </c>
      <c r="AQ133" s="33">
        <f>IF($B133&lt;&gt;"Entry","",SUMPRODUCT(($D$4:$D$207=D133)*($B$4:$B$207="Challan")*$F$4:$F$207))</f>
      </c>
      <c r="AR133" s="34">
        <f>IF(OR($B133&lt;&gt;"Entry",Z133=""),FALSE,AND(SUMPRODUCT(($D$4:$D$207=D133)*($B$4:$B$207="Challan")*($H$4:$H$207&lt;&gt;""))&gt;0,SUMPRODUCT(($D$4:$D$207=D133)*($B$4:$B$207="Challan")*($H$4:$H$207=Z133))=0))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lt;&gt;"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f>
      </c>
      <c r="Y134" s="23">
        <f>IF($B134&lt;&gt;"Entry","",IF(LEN(W134)&lt;4,"",IF(UPPER(MID(W134,4,1))="P","Individual",IF(UPPER(MID(W134,4,1))="H","HUF",IF(UPPER(MID(W134,4,1))="C","Company",IF(UPPER(MID(W134,4,1))="F","Firm",IF(UPPER(MID(W134,4,1))="L","LLP",IF(UPPER(MID(W134,4,1))="T","Trust",IF(UPPER(MID(W134,4,1))="A","AOP",""))))))))</f>
      </c>
      <c r="Z134" s="28"/>
      <c r="AA134" s="29">
        <f>IF($B134&lt;&gt;"Entry","",IF(Z134="","",IF(X134="Y",SUMPRODUCT(('Rate Lookup'!$A$1:$A$32=Z134)*'Rate Lookup'!$D$1:$D$32),IF(OR(Y134="Individual",Y134="HUF"),SUMPRODUCT(('Rate Lookup'!$A$1:$A$32=Z134)*'Rate Lookup'!$B$1:$B$32),SUMPRODUCT(('Rate Lookup'!$A$1:$A$32=Z134)*'Rate Lookup'!$C$1:$C$32)))))</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IF($B134&lt;&gt;"Challan","",SUMIF($D$4:$D$207,D134,$AD$4:$AD$207)+SUMIF($D$4:$D$207,D134,$AG$4:$AG$207)+SUMIF($D$4:$D$207,D134,$AE$4:$AE$207))</f>
      </c>
      <c r="AO134" s="27">
        <f>IF($B134&lt;&gt;"Challan","",P134-N134)</f>
      </c>
      <c r="AP134" s="27">
        <f>IF($B134&lt;&gt;"Challan","",MAX(0,AO134-AN134))</f>
      </c>
      <c r="AQ134" s="33">
        <f>IF($B134&lt;&gt;"Entry","",SUMPRODUCT(($D$4:$D$207=D134)*($B$4:$B$207="Challan")*$F$4:$F$207))</f>
      </c>
      <c r="AR134" s="34">
        <f>IF(OR($B134&lt;&gt;"Entry",Z134=""),FALSE,AND(SUMPRODUCT(($D$4:$D$207=D134)*($B$4:$B$207="Challan")*($H$4:$H$207&lt;&gt;""))&gt;0,SUMPRODUCT(($D$4:$D$207=D134)*($B$4:$B$207="Challan")*($H$4:$H$207=Z134))=0))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lt;&gt;"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f>
      </c>
      <c r="Y135" s="23">
        <f>IF($B135&lt;&gt;"Entry","",IF(LEN(W135)&lt;4,"",IF(UPPER(MID(W135,4,1))="P","Individual",IF(UPPER(MID(W135,4,1))="H","HUF",IF(UPPER(MID(W135,4,1))="C","Company",IF(UPPER(MID(W135,4,1))="F","Firm",IF(UPPER(MID(W135,4,1))="L","LLP",IF(UPPER(MID(W135,4,1))="T","Trust",IF(UPPER(MID(W135,4,1))="A","AOP",""))))))))</f>
      </c>
      <c r="Z135" s="28"/>
      <c r="AA135" s="29">
        <f>IF($B135&lt;&gt;"Entry","",IF(Z135="","",IF(X135="Y",SUMPRODUCT(('Rate Lookup'!$A$1:$A$32=Z135)*'Rate Lookup'!$D$1:$D$32),IF(OR(Y135="Individual",Y135="HUF"),SUMPRODUCT(('Rate Lookup'!$A$1:$A$32=Z135)*'Rate Lookup'!$B$1:$B$32),SUMPRODUCT(('Rate Lookup'!$A$1:$A$32=Z135)*'Rate Lookup'!$C$1:$C$32)))))</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IF($B135&lt;&gt;"Challan","",SUMIF($D$4:$D$207,D135,$AD$4:$AD$207)+SUMIF($D$4:$D$207,D135,$AG$4:$AG$207)+SUMIF($D$4:$D$207,D135,$AE$4:$AE$207))</f>
      </c>
      <c r="AO135" s="27">
        <f>IF($B135&lt;&gt;"Challan","",P135-N135)</f>
      </c>
      <c r="AP135" s="27">
        <f>IF($B135&lt;&gt;"Challan","",MAX(0,AO135-AN135))</f>
      </c>
      <c r="AQ135" s="33">
        <f>IF($B135&lt;&gt;"Entry","",SUMPRODUCT(($D$4:$D$207=D135)*($B$4:$B$207="Challan")*$F$4:$F$207))</f>
      </c>
      <c r="AR135" s="34">
        <f>IF(OR($B135&lt;&gt;"Entry",Z135=""),FALSE,AND(SUMPRODUCT(($D$4:$D$207=D135)*($B$4:$B$207="Challan")*($H$4:$H$207&lt;&gt;""))&gt;0,SUMPRODUCT(($D$4:$D$207=D135)*($B$4:$B$207="Challan")*($H$4:$H$207=Z135))=0))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lt;&gt;"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f>
      </c>
      <c r="Y136" s="23">
        <f>IF($B136&lt;&gt;"Entry","",IF(LEN(W136)&lt;4,"",IF(UPPER(MID(W136,4,1))="P","Individual",IF(UPPER(MID(W136,4,1))="H","HUF",IF(UPPER(MID(W136,4,1))="C","Company",IF(UPPER(MID(W136,4,1))="F","Firm",IF(UPPER(MID(W136,4,1))="L","LLP",IF(UPPER(MID(W136,4,1))="T","Trust",IF(UPPER(MID(W136,4,1))="A","AOP",""))))))))</f>
      </c>
      <c r="Z136" s="28"/>
      <c r="AA136" s="29">
        <f>IF($B136&lt;&gt;"Entry","",IF(Z136="","",IF(X136="Y",SUMPRODUCT(('Rate Lookup'!$A$1:$A$32=Z136)*'Rate Lookup'!$D$1:$D$32),IF(OR(Y136="Individual",Y136="HUF"),SUMPRODUCT(('Rate Lookup'!$A$1:$A$32=Z136)*'Rate Lookup'!$B$1:$B$32),SUMPRODUCT(('Rate Lookup'!$A$1:$A$32=Z136)*'Rate Lookup'!$C$1:$C$32)))))</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IF($B136&lt;&gt;"Challan","",SUMIF($D$4:$D$207,D136,$AD$4:$AD$207)+SUMIF($D$4:$D$207,D136,$AG$4:$AG$207)+SUMIF($D$4:$D$207,D136,$AE$4:$AE$207))</f>
      </c>
      <c r="AO136" s="27">
        <f>IF($B136&lt;&gt;"Challan","",P136-N136)</f>
      </c>
      <c r="AP136" s="27">
        <f>IF($B136&lt;&gt;"Challan","",MAX(0,AO136-AN136))</f>
      </c>
      <c r="AQ136" s="33">
        <f>IF($B136&lt;&gt;"Entry","",SUMPRODUCT(($D$4:$D$207=D136)*($B$4:$B$207="Challan")*$F$4:$F$207))</f>
      </c>
      <c r="AR136" s="34">
        <f>IF(OR($B136&lt;&gt;"Entry",Z136=""),FALSE,AND(SUMPRODUCT(($D$4:$D$207=D136)*($B$4:$B$207="Challan")*($H$4:$H$207&lt;&gt;""))&gt;0,SUMPRODUCT(($D$4:$D$207=D136)*($B$4:$B$207="Challan")*($H$4:$H$207=Z136))=0))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lt;&gt;"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f>
      </c>
      <c r="Y137" s="23">
        <f>IF($B137&lt;&gt;"Entry","",IF(LEN(W137)&lt;4,"",IF(UPPER(MID(W137,4,1))="P","Individual",IF(UPPER(MID(W137,4,1))="H","HUF",IF(UPPER(MID(W137,4,1))="C","Company",IF(UPPER(MID(W137,4,1))="F","Firm",IF(UPPER(MID(W137,4,1))="L","LLP",IF(UPPER(MID(W137,4,1))="T","Trust",IF(UPPER(MID(W137,4,1))="A","AOP",""))))))))</f>
      </c>
      <c r="Z137" s="28"/>
      <c r="AA137" s="29">
        <f>IF($B137&lt;&gt;"Entry","",IF(Z137="","",IF(X137="Y",SUMPRODUCT(('Rate Lookup'!$A$1:$A$32=Z137)*'Rate Lookup'!$D$1:$D$32),IF(OR(Y137="Individual",Y137="HUF"),SUMPRODUCT(('Rate Lookup'!$A$1:$A$32=Z137)*'Rate Lookup'!$B$1:$B$32),SUMPRODUCT(('Rate Lookup'!$A$1:$A$32=Z137)*'Rate Lookup'!$C$1:$C$32)))))</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IF($B137&lt;&gt;"Challan","",SUMIF($D$4:$D$207,D137,$AD$4:$AD$207)+SUMIF($D$4:$D$207,D137,$AG$4:$AG$207)+SUMIF($D$4:$D$207,D137,$AE$4:$AE$207))</f>
      </c>
      <c r="AO137" s="27">
        <f>IF($B137&lt;&gt;"Challan","",P137-N137)</f>
      </c>
      <c r="AP137" s="27">
        <f>IF($B137&lt;&gt;"Challan","",MAX(0,AO137-AN137))</f>
      </c>
      <c r="AQ137" s="33">
        <f>IF($B137&lt;&gt;"Entry","",SUMPRODUCT(($D$4:$D$207=D137)*($B$4:$B$207="Challan")*$F$4:$F$207))</f>
      </c>
      <c r="AR137" s="34">
        <f>IF(OR($B137&lt;&gt;"Entry",Z137=""),FALSE,AND(SUMPRODUCT(($D$4:$D$207=D137)*($B$4:$B$207="Challan")*($H$4:$H$207&lt;&gt;""))&gt;0,SUMPRODUCT(($D$4:$D$207=D137)*($B$4:$B$207="Challan")*($H$4:$H$207=Z137))=0))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lt;&gt;"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f>
      </c>
      <c r="Y138" s="23">
        <f>IF($B138&lt;&gt;"Entry","",IF(LEN(W138)&lt;4,"",IF(UPPER(MID(W138,4,1))="P","Individual",IF(UPPER(MID(W138,4,1))="H","HUF",IF(UPPER(MID(W138,4,1))="C","Company",IF(UPPER(MID(W138,4,1))="F","Firm",IF(UPPER(MID(W138,4,1))="L","LLP",IF(UPPER(MID(W138,4,1))="T","Trust",IF(UPPER(MID(W138,4,1))="A","AOP",""))))))))</f>
      </c>
      <c r="Z138" s="28"/>
      <c r="AA138" s="29">
        <f>IF($B138&lt;&gt;"Entry","",IF(Z138="","",IF(X138="Y",SUMPRODUCT(('Rate Lookup'!$A$1:$A$32=Z138)*'Rate Lookup'!$D$1:$D$32),IF(OR(Y138="Individual",Y138="HUF"),SUMPRODUCT(('Rate Lookup'!$A$1:$A$32=Z138)*'Rate Lookup'!$B$1:$B$32),SUMPRODUCT(('Rate Lookup'!$A$1:$A$32=Z138)*'Rate Lookup'!$C$1:$C$32)))))</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IF($B138&lt;&gt;"Challan","",SUMIF($D$4:$D$207,D138,$AD$4:$AD$207)+SUMIF($D$4:$D$207,D138,$AG$4:$AG$207)+SUMIF($D$4:$D$207,D138,$AE$4:$AE$207))</f>
      </c>
      <c r="AO138" s="27">
        <f>IF($B138&lt;&gt;"Challan","",P138-N138)</f>
      </c>
      <c r="AP138" s="27">
        <f>IF($B138&lt;&gt;"Challan","",MAX(0,AO138-AN138))</f>
      </c>
      <c r="AQ138" s="33">
        <f>IF($B138&lt;&gt;"Entry","",SUMPRODUCT(($D$4:$D$207=D138)*($B$4:$B$207="Challan")*$F$4:$F$207))</f>
      </c>
      <c r="AR138" s="34">
        <f>IF(OR($B138&lt;&gt;"Entry",Z138=""),FALSE,AND(SUMPRODUCT(($D$4:$D$207=D138)*($B$4:$B$207="Challan")*($H$4:$H$207&lt;&gt;""))&gt;0,SUMPRODUCT(($D$4:$D$207=D138)*($B$4:$B$207="Challan")*($H$4:$H$207=Z138))=0))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lt;&gt;"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f>
      </c>
      <c r="Y139" s="23">
        <f>IF($B139&lt;&gt;"Entry","",IF(LEN(W139)&lt;4,"",IF(UPPER(MID(W139,4,1))="P","Individual",IF(UPPER(MID(W139,4,1))="H","HUF",IF(UPPER(MID(W139,4,1))="C","Company",IF(UPPER(MID(W139,4,1))="F","Firm",IF(UPPER(MID(W139,4,1))="L","LLP",IF(UPPER(MID(W139,4,1))="T","Trust",IF(UPPER(MID(W139,4,1))="A","AOP",""))))))))</f>
      </c>
      <c r="Z139" s="28"/>
      <c r="AA139" s="29">
        <f>IF($B139&lt;&gt;"Entry","",IF(Z139="","",IF(X139="Y",SUMPRODUCT(('Rate Lookup'!$A$1:$A$32=Z139)*'Rate Lookup'!$D$1:$D$32),IF(OR(Y139="Individual",Y139="HUF"),SUMPRODUCT(('Rate Lookup'!$A$1:$A$32=Z139)*'Rate Lookup'!$B$1:$B$32),SUMPRODUCT(('Rate Lookup'!$A$1:$A$32=Z139)*'Rate Lookup'!$C$1:$C$32)))))</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IF($B139&lt;&gt;"Challan","",SUMIF($D$4:$D$207,D139,$AD$4:$AD$207)+SUMIF($D$4:$D$207,D139,$AG$4:$AG$207)+SUMIF($D$4:$D$207,D139,$AE$4:$AE$207))</f>
      </c>
      <c r="AO139" s="27">
        <f>IF($B139&lt;&gt;"Challan","",P139-N139)</f>
      </c>
      <c r="AP139" s="27">
        <f>IF($B139&lt;&gt;"Challan","",MAX(0,AO139-AN139))</f>
      </c>
      <c r="AQ139" s="33">
        <f>IF($B139&lt;&gt;"Entry","",SUMPRODUCT(($D$4:$D$207=D139)*($B$4:$B$207="Challan")*$F$4:$F$207))</f>
      </c>
      <c r="AR139" s="34">
        <f>IF(OR($B139&lt;&gt;"Entry",Z139=""),FALSE,AND(SUMPRODUCT(($D$4:$D$207=D139)*($B$4:$B$207="Challan")*($H$4:$H$207&lt;&gt;""))&gt;0,SUMPRODUCT(($D$4:$D$207=D139)*($B$4:$B$207="Challan")*($H$4:$H$207=Z139))=0))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lt;&gt;"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f>
      </c>
      <c r="Y140" s="23">
        <f>IF($B140&lt;&gt;"Entry","",IF(LEN(W140)&lt;4,"",IF(UPPER(MID(W140,4,1))="P","Individual",IF(UPPER(MID(W140,4,1))="H","HUF",IF(UPPER(MID(W140,4,1))="C","Company",IF(UPPER(MID(W140,4,1))="F","Firm",IF(UPPER(MID(W140,4,1))="L","LLP",IF(UPPER(MID(W140,4,1))="T","Trust",IF(UPPER(MID(W140,4,1))="A","AOP",""))))))))</f>
      </c>
      <c r="Z140" s="28"/>
      <c r="AA140" s="29">
        <f>IF($B140&lt;&gt;"Entry","",IF(Z140="","",IF(X140="Y",SUMPRODUCT(('Rate Lookup'!$A$1:$A$32=Z140)*'Rate Lookup'!$D$1:$D$32),IF(OR(Y140="Individual",Y140="HUF"),SUMPRODUCT(('Rate Lookup'!$A$1:$A$32=Z140)*'Rate Lookup'!$B$1:$B$32),SUMPRODUCT(('Rate Lookup'!$A$1:$A$32=Z140)*'Rate Lookup'!$C$1:$C$32)))))</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IF($B140&lt;&gt;"Challan","",SUMIF($D$4:$D$207,D140,$AD$4:$AD$207)+SUMIF($D$4:$D$207,D140,$AG$4:$AG$207)+SUMIF($D$4:$D$207,D140,$AE$4:$AE$207))</f>
      </c>
      <c r="AO140" s="27">
        <f>IF($B140&lt;&gt;"Challan","",P140-N140)</f>
      </c>
      <c r="AP140" s="27">
        <f>IF($B140&lt;&gt;"Challan","",MAX(0,AO140-AN140))</f>
      </c>
      <c r="AQ140" s="33">
        <f>IF($B140&lt;&gt;"Entry","",SUMPRODUCT(($D$4:$D$207=D140)*($B$4:$B$207="Challan")*$F$4:$F$207))</f>
      </c>
      <c r="AR140" s="34">
        <f>IF(OR($B140&lt;&gt;"Entry",Z140=""),FALSE,AND(SUMPRODUCT(($D$4:$D$207=D140)*($B$4:$B$207="Challan")*($H$4:$H$207&lt;&gt;""))&gt;0,SUMPRODUCT(($D$4:$D$207=D140)*($B$4:$B$207="Challan")*($H$4:$H$207=Z140))=0))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lt;&gt;"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f>
      </c>
      <c r="Y141" s="23">
        <f>IF($B141&lt;&gt;"Entry","",IF(LEN(W141)&lt;4,"",IF(UPPER(MID(W141,4,1))="P","Individual",IF(UPPER(MID(W141,4,1))="H","HUF",IF(UPPER(MID(W141,4,1))="C","Company",IF(UPPER(MID(W141,4,1))="F","Firm",IF(UPPER(MID(W141,4,1))="L","LLP",IF(UPPER(MID(W141,4,1))="T","Trust",IF(UPPER(MID(W141,4,1))="A","AOP",""))))))))</f>
      </c>
      <c r="Z141" s="28"/>
      <c r="AA141" s="29">
        <f>IF($B141&lt;&gt;"Entry","",IF(Z141="","",IF(X141="Y",SUMPRODUCT(('Rate Lookup'!$A$1:$A$32=Z141)*'Rate Lookup'!$D$1:$D$32),IF(OR(Y141="Individual",Y141="HUF"),SUMPRODUCT(('Rate Lookup'!$A$1:$A$32=Z141)*'Rate Lookup'!$B$1:$B$32),SUMPRODUCT(('Rate Lookup'!$A$1:$A$32=Z141)*'Rate Lookup'!$C$1:$C$32)))))</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IF($B141&lt;&gt;"Challan","",SUMIF($D$4:$D$207,D141,$AD$4:$AD$207)+SUMIF($D$4:$D$207,D141,$AG$4:$AG$207)+SUMIF($D$4:$D$207,D141,$AE$4:$AE$207))</f>
      </c>
      <c r="AO141" s="27">
        <f>IF($B141&lt;&gt;"Challan","",P141-N141)</f>
      </c>
      <c r="AP141" s="27">
        <f>IF($B141&lt;&gt;"Challan","",MAX(0,AO141-AN141))</f>
      </c>
      <c r="AQ141" s="33">
        <f>IF($B141&lt;&gt;"Entry","",SUMPRODUCT(($D$4:$D$207=D141)*($B$4:$B$207="Challan")*$F$4:$F$207))</f>
      </c>
      <c r="AR141" s="34">
        <f>IF(OR($B141&lt;&gt;"Entry",Z141=""),FALSE,AND(SUMPRODUCT(($D$4:$D$207=D141)*($B$4:$B$207="Challan")*($H$4:$H$207&lt;&gt;""))&gt;0,SUMPRODUCT(($D$4:$D$207=D141)*($B$4:$B$207="Challan")*($H$4:$H$207=Z141))=0))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lt;&gt;"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f>
      </c>
      <c r="Y142" s="23">
        <f>IF($B142&lt;&gt;"Entry","",IF(LEN(W142)&lt;4,"",IF(UPPER(MID(W142,4,1))="P","Individual",IF(UPPER(MID(W142,4,1))="H","HUF",IF(UPPER(MID(W142,4,1))="C","Company",IF(UPPER(MID(W142,4,1))="F","Firm",IF(UPPER(MID(W142,4,1))="L","LLP",IF(UPPER(MID(W142,4,1))="T","Trust",IF(UPPER(MID(W142,4,1))="A","AOP",""))))))))</f>
      </c>
      <c r="Z142" s="28"/>
      <c r="AA142" s="29">
        <f>IF($B142&lt;&gt;"Entry","",IF(Z142="","",IF(X142="Y",SUMPRODUCT(('Rate Lookup'!$A$1:$A$32=Z142)*'Rate Lookup'!$D$1:$D$32),IF(OR(Y142="Individual",Y142="HUF"),SUMPRODUCT(('Rate Lookup'!$A$1:$A$32=Z142)*'Rate Lookup'!$B$1:$B$32),SUMPRODUCT(('Rate Lookup'!$A$1:$A$32=Z142)*'Rate Lookup'!$C$1:$C$32)))))</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IF($B142&lt;&gt;"Challan","",SUMIF($D$4:$D$207,D142,$AD$4:$AD$207)+SUMIF($D$4:$D$207,D142,$AG$4:$AG$207)+SUMIF($D$4:$D$207,D142,$AE$4:$AE$207))</f>
      </c>
      <c r="AO142" s="27">
        <f>IF($B142&lt;&gt;"Challan","",P142-N142)</f>
      </c>
      <c r="AP142" s="27">
        <f>IF($B142&lt;&gt;"Challan","",MAX(0,AO142-AN142))</f>
      </c>
      <c r="AQ142" s="33">
        <f>IF($B142&lt;&gt;"Entry","",SUMPRODUCT(($D$4:$D$207=D142)*($B$4:$B$207="Challan")*$F$4:$F$207))</f>
      </c>
      <c r="AR142" s="34">
        <f>IF(OR($B142&lt;&gt;"Entry",Z142=""),FALSE,AND(SUMPRODUCT(($D$4:$D$207=D142)*($B$4:$B$207="Challan")*($H$4:$H$207&lt;&gt;""))&gt;0,SUMPRODUCT(($D$4:$D$207=D142)*($B$4:$B$207="Challan")*($H$4:$H$207=Z142))=0))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lt;&gt;"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f>
      </c>
      <c r="Y143" s="23">
        <f>IF($B143&lt;&gt;"Entry","",IF(LEN(W143)&lt;4,"",IF(UPPER(MID(W143,4,1))="P","Individual",IF(UPPER(MID(W143,4,1))="H","HUF",IF(UPPER(MID(W143,4,1))="C","Company",IF(UPPER(MID(W143,4,1))="F","Firm",IF(UPPER(MID(W143,4,1))="L","LLP",IF(UPPER(MID(W143,4,1))="T","Trust",IF(UPPER(MID(W143,4,1))="A","AOP",""))))))))</f>
      </c>
      <c r="Z143" s="28"/>
      <c r="AA143" s="29">
        <f>IF($B143&lt;&gt;"Entry","",IF(Z143="","",IF(X143="Y",SUMPRODUCT(('Rate Lookup'!$A$1:$A$32=Z143)*'Rate Lookup'!$D$1:$D$32),IF(OR(Y143="Individual",Y143="HUF"),SUMPRODUCT(('Rate Lookup'!$A$1:$A$32=Z143)*'Rate Lookup'!$B$1:$B$32),SUMPRODUCT(('Rate Lookup'!$A$1:$A$32=Z143)*'Rate Lookup'!$C$1:$C$32)))))</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IF($B143&lt;&gt;"Challan","",SUMIF($D$4:$D$207,D143,$AD$4:$AD$207)+SUMIF($D$4:$D$207,D143,$AG$4:$AG$207)+SUMIF($D$4:$D$207,D143,$AE$4:$AE$207))</f>
      </c>
      <c r="AO143" s="27">
        <f>IF($B143&lt;&gt;"Challan","",P143-N143)</f>
      </c>
      <c r="AP143" s="27">
        <f>IF($B143&lt;&gt;"Challan","",MAX(0,AO143-AN143))</f>
      </c>
      <c r="AQ143" s="33">
        <f>IF($B143&lt;&gt;"Entry","",SUMPRODUCT(($D$4:$D$207=D143)*($B$4:$B$207="Challan")*$F$4:$F$207))</f>
      </c>
      <c r="AR143" s="34">
        <f>IF(OR($B143&lt;&gt;"Entry",Z143=""),FALSE,AND(SUMPRODUCT(($D$4:$D$207=D143)*($B$4:$B$207="Challan")*($H$4:$H$207&lt;&gt;""))&gt;0,SUMPRODUCT(($D$4:$D$207=D143)*($B$4:$B$207="Challan")*($H$4:$H$207=Z143))=0))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lt;&gt;"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f>
      </c>
      <c r="Y144" s="23">
        <f>IF($B144&lt;&gt;"Entry","",IF(LEN(W144)&lt;4,"",IF(UPPER(MID(W144,4,1))="P","Individual",IF(UPPER(MID(W144,4,1))="H","HUF",IF(UPPER(MID(W144,4,1))="C","Company",IF(UPPER(MID(W144,4,1))="F","Firm",IF(UPPER(MID(W144,4,1))="L","LLP",IF(UPPER(MID(W144,4,1))="T","Trust",IF(UPPER(MID(W144,4,1))="A","AOP",""))))))))</f>
      </c>
      <c r="Z144" s="28"/>
      <c r="AA144" s="29">
        <f>IF($B144&lt;&gt;"Entry","",IF(Z144="","",IF(X144="Y",SUMPRODUCT(('Rate Lookup'!$A$1:$A$32=Z144)*'Rate Lookup'!$D$1:$D$32),IF(OR(Y144="Individual",Y144="HUF"),SUMPRODUCT(('Rate Lookup'!$A$1:$A$32=Z144)*'Rate Lookup'!$B$1:$B$32),SUMPRODUCT(('Rate Lookup'!$A$1:$A$32=Z144)*'Rate Lookup'!$C$1:$C$32)))))</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IF($B144&lt;&gt;"Challan","",SUMIF($D$4:$D$207,D144,$AD$4:$AD$207)+SUMIF($D$4:$D$207,D144,$AG$4:$AG$207)+SUMIF($D$4:$D$207,D144,$AE$4:$AE$207))</f>
      </c>
      <c r="AO144" s="27">
        <f>IF($B144&lt;&gt;"Challan","",P144-N144)</f>
      </c>
      <c r="AP144" s="27">
        <f>IF($B144&lt;&gt;"Challan","",MAX(0,AO144-AN144))</f>
      </c>
      <c r="AQ144" s="33">
        <f>IF($B144&lt;&gt;"Entry","",SUMPRODUCT(($D$4:$D$207=D144)*($B$4:$B$207="Challan")*$F$4:$F$207))</f>
      </c>
      <c r="AR144" s="34">
        <f>IF(OR($B144&lt;&gt;"Entry",Z144=""),FALSE,AND(SUMPRODUCT(($D$4:$D$207=D144)*($B$4:$B$207="Challan")*($H$4:$H$207&lt;&gt;""))&gt;0,SUMPRODUCT(($D$4:$D$207=D144)*($B$4:$B$207="Challan")*($H$4:$H$207=Z144))=0))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lt;&gt;"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f>
      </c>
      <c r="Y145" s="23">
        <f>IF($B145&lt;&gt;"Entry","",IF(LEN(W145)&lt;4,"",IF(UPPER(MID(W145,4,1))="P","Individual",IF(UPPER(MID(W145,4,1))="H","HUF",IF(UPPER(MID(W145,4,1))="C","Company",IF(UPPER(MID(W145,4,1))="F","Firm",IF(UPPER(MID(W145,4,1))="L","LLP",IF(UPPER(MID(W145,4,1))="T","Trust",IF(UPPER(MID(W145,4,1))="A","AOP",""))))))))</f>
      </c>
      <c r="Z145" s="28"/>
      <c r="AA145" s="29">
        <f>IF($B145&lt;&gt;"Entry","",IF(Z145="","",IF(X145="Y",SUMPRODUCT(('Rate Lookup'!$A$1:$A$32=Z145)*'Rate Lookup'!$D$1:$D$32),IF(OR(Y145="Individual",Y145="HUF"),SUMPRODUCT(('Rate Lookup'!$A$1:$A$32=Z145)*'Rate Lookup'!$B$1:$B$32),SUMPRODUCT(('Rate Lookup'!$A$1:$A$32=Z145)*'Rate Lookup'!$C$1:$C$32)))))</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IF($B145&lt;&gt;"Challan","",SUMIF($D$4:$D$207,D145,$AD$4:$AD$207)+SUMIF($D$4:$D$207,D145,$AG$4:$AG$207)+SUMIF($D$4:$D$207,D145,$AE$4:$AE$207))</f>
      </c>
      <c r="AO145" s="27">
        <f>IF($B145&lt;&gt;"Challan","",P145-N145)</f>
      </c>
      <c r="AP145" s="27">
        <f>IF($B145&lt;&gt;"Challan","",MAX(0,AO145-AN145))</f>
      </c>
      <c r="AQ145" s="33">
        <f>IF($B145&lt;&gt;"Entry","",SUMPRODUCT(($D$4:$D$207=D145)*($B$4:$B$207="Challan")*$F$4:$F$207))</f>
      </c>
      <c r="AR145" s="34">
        <f>IF(OR($B145&lt;&gt;"Entry",Z145=""),FALSE,AND(SUMPRODUCT(($D$4:$D$207=D145)*($B$4:$B$207="Challan")*($H$4:$H$207&lt;&gt;""))&gt;0,SUMPRODUCT(($D$4:$D$207=D145)*($B$4:$B$207="Challan")*($H$4:$H$207=Z145))=0))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lt;&gt;"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f>
      </c>
      <c r="Y146" s="23">
        <f>IF($B146&lt;&gt;"Entry","",IF(LEN(W146)&lt;4,"",IF(UPPER(MID(W146,4,1))="P","Individual",IF(UPPER(MID(W146,4,1))="H","HUF",IF(UPPER(MID(W146,4,1))="C","Company",IF(UPPER(MID(W146,4,1))="F","Firm",IF(UPPER(MID(W146,4,1))="L","LLP",IF(UPPER(MID(W146,4,1))="T","Trust",IF(UPPER(MID(W146,4,1))="A","AOP",""))))))))</f>
      </c>
      <c r="Z146" s="28"/>
      <c r="AA146" s="29">
        <f>IF($B146&lt;&gt;"Entry","",IF(Z146="","",IF(X146="Y",SUMPRODUCT(('Rate Lookup'!$A$1:$A$32=Z146)*'Rate Lookup'!$D$1:$D$32),IF(OR(Y146="Individual",Y146="HUF"),SUMPRODUCT(('Rate Lookup'!$A$1:$A$32=Z146)*'Rate Lookup'!$B$1:$B$32),SUMPRODUCT(('Rate Lookup'!$A$1:$A$32=Z146)*'Rate Lookup'!$C$1:$C$32)))))</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IF($B146&lt;&gt;"Challan","",SUMIF($D$4:$D$207,D146,$AD$4:$AD$207)+SUMIF($D$4:$D$207,D146,$AG$4:$AG$207)+SUMIF($D$4:$D$207,D146,$AE$4:$AE$207))</f>
      </c>
      <c r="AO146" s="27">
        <f>IF($B146&lt;&gt;"Challan","",P146-N146)</f>
      </c>
      <c r="AP146" s="27">
        <f>IF($B146&lt;&gt;"Challan","",MAX(0,AO146-AN146))</f>
      </c>
      <c r="AQ146" s="33">
        <f>IF($B146&lt;&gt;"Entry","",SUMPRODUCT(($D$4:$D$207=D146)*($B$4:$B$207="Challan")*$F$4:$F$207))</f>
      </c>
      <c r="AR146" s="34">
        <f>IF(OR($B146&lt;&gt;"Entry",Z146=""),FALSE,AND(SUMPRODUCT(($D$4:$D$207=D146)*($B$4:$B$207="Challan")*($H$4:$H$207&lt;&gt;""))&gt;0,SUMPRODUCT(($D$4:$D$207=D146)*($B$4:$B$207="Challan")*($H$4:$H$207=Z146))=0))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lt;&gt;"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f>
      </c>
      <c r="Y147" s="23">
        <f>IF($B147&lt;&gt;"Entry","",IF(LEN(W147)&lt;4,"",IF(UPPER(MID(W147,4,1))="P","Individual",IF(UPPER(MID(W147,4,1))="H","HUF",IF(UPPER(MID(W147,4,1))="C","Company",IF(UPPER(MID(W147,4,1))="F","Firm",IF(UPPER(MID(W147,4,1))="L","LLP",IF(UPPER(MID(W147,4,1))="T","Trust",IF(UPPER(MID(W147,4,1))="A","AOP",""))))))))</f>
      </c>
      <c r="Z147" s="28"/>
      <c r="AA147" s="29">
        <f>IF($B147&lt;&gt;"Entry","",IF(Z147="","",IF(X147="Y",SUMPRODUCT(('Rate Lookup'!$A$1:$A$32=Z147)*'Rate Lookup'!$D$1:$D$32),IF(OR(Y147="Individual",Y147="HUF"),SUMPRODUCT(('Rate Lookup'!$A$1:$A$32=Z147)*'Rate Lookup'!$B$1:$B$32),SUMPRODUCT(('Rate Lookup'!$A$1:$A$32=Z147)*'Rate Lookup'!$C$1:$C$32)))))</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IF($B147&lt;&gt;"Challan","",SUMIF($D$4:$D$207,D147,$AD$4:$AD$207)+SUMIF($D$4:$D$207,D147,$AG$4:$AG$207)+SUMIF($D$4:$D$207,D147,$AE$4:$AE$207))</f>
      </c>
      <c r="AO147" s="27">
        <f>IF($B147&lt;&gt;"Challan","",P147-N147)</f>
      </c>
      <c r="AP147" s="27">
        <f>IF($B147&lt;&gt;"Challan","",MAX(0,AO147-AN147))</f>
      </c>
      <c r="AQ147" s="33">
        <f>IF($B147&lt;&gt;"Entry","",SUMPRODUCT(($D$4:$D$207=D147)*($B$4:$B$207="Challan")*$F$4:$F$207))</f>
      </c>
      <c r="AR147" s="34">
        <f>IF(OR($B147&lt;&gt;"Entry",Z147=""),FALSE,AND(SUMPRODUCT(($D$4:$D$207=D147)*($B$4:$B$207="Challan")*($H$4:$H$207&lt;&gt;""))&gt;0,SUMPRODUCT(($D$4:$D$207=D147)*($B$4:$B$207="Challan")*($H$4:$H$207=Z147))=0))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lt;&gt;"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f>
      </c>
      <c r="Y148" s="23">
        <f>IF($B148&lt;&gt;"Entry","",IF(LEN(W148)&lt;4,"",IF(UPPER(MID(W148,4,1))="P","Individual",IF(UPPER(MID(W148,4,1))="H","HUF",IF(UPPER(MID(W148,4,1))="C","Company",IF(UPPER(MID(W148,4,1))="F","Firm",IF(UPPER(MID(W148,4,1))="L","LLP",IF(UPPER(MID(W148,4,1))="T","Trust",IF(UPPER(MID(W148,4,1))="A","AOP",""))))))))</f>
      </c>
      <c r="Z148" s="28"/>
      <c r="AA148" s="29">
        <f>IF($B148&lt;&gt;"Entry","",IF(Z148="","",IF(X148="Y",SUMPRODUCT(('Rate Lookup'!$A$1:$A$32=Z148)*'Rate Lookup'!$D$1:$D$32),IF(OR(Y148="Individual",Y148="HUF"),SUMPRODUCT(('Rate Lookup'!$A$1:$A$32=Z148)*'Rate Lookup'!$B$1:$B$32),SUMPRODUCT(('Rate Lookup'!$A$1:$A$32=Z148)*'Rate Lookup'!$C$1:$C$32)))))</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IF($B148&lt;&gt;"Challan","",SUMIF($D$4:$D$207,D148,$AD$4:$AD$207)+SUMIF($D$4:$D$207,D148,$AG$4:$AG$207)+SUMIF($D$4:$D$207,D148,$AE$4:$AE$207))</f>
      </c>
      <c r="AO148" s="27">
        <f>IF($B148&lt;&gt;"Challan","",P148-N148)</f>
      </c>
      <c r="AP148" s="27">
        <f>IF($B148&lt;&gt;"Challan","",MAX(0,AO148-AN148))</f>
      </c>
      <c r="AQ148" s="33">
        <f>IF($B148&lt;&gt;"Entry","",SUMPRODUCT(($D$4:$D$207=D148)*($B$4:$B$207="Challan")*$F$4:$F$207))</f>
      </c>
      <c r="AR148" s="34">
        <f>IF(OR($B148&lt;&gt;"Entry",Z148=""),FALSE,AND(SUMPRODUCT(($D$4:$D$207=D148)*($B$4:$B$207="Challan")*($H$4:$H$207&lt;&gt;""))&gt;0,SUMPRODUCT(($D$4:$D$207=D148)*($B$4:$B$207="Challan")*($H$4:$H$207=Z148))=0))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lt;&gt;"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f>
      </c>
      <c r="Y149" s="23">
        <f>IF($B149&lt;&gt;"Entry","",IF(LEN(W149)&lt;4,"",IF(UPPER(MID(W149,4,1))="P","Individual",IF(UPPER(MID(W149,4,1))="H","HUF",IF(UPPER(MID(W149,4,1))="C","Company",IF(UPPER(MID(W149,4,1))="F","Firm",IF(UPPER(MID(W149,4,1))="L","LLP",IF(UPPER(MID(W149,4,1))="T","Trust",IF(UPPER(MID(W149,4,1))="A","AOP",""))))))))</f>
      </c>
      <c r="Z149" s="28"/>
      <c r="AA149" s="29">
        <f>IF($B149&lt;&gt;"Entry","",IF(Z149="","",IF(X149="Y",SUMPRODUCT(('Rate Lookup'!$A$1:$A$32=Z149)*'Rate Lookup'!$D$1:$D$32),IF(OR(Y149="Individual",Y149="HUF"),SUMPRODUCT(('Rate Lookup'!$A$1:$A$32=Z149)*'Rate Lookup'!$B$1:$B$32),SUMPRODUCT(('Rate Lookup'!$A$1:$A$32=Z149)*'Rate Lookup'!$C$1:$C$32)))))</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IF($B149&lt;&gt;"Challan","",SUMIF($D$4:$D$207,D149,$AD$4:$AD$207)+SUMIF($D$4:$D$207,D149,$AG$4:$AG$207)+SUMIF($D$4:$D$207,D149,$AE$4:$AE$207))</f>
      </c>
      <c r="AO149" s="27">
        <f>IF($B149&lt;&gt;"Challan","",P149-N149)</f>
      </c>
      <c r="AP149" s="27">
        <f>IF($B149&lt;&gt;"Challan","",MAX(0,AO149-AN149))</f>
      </c>
      <c r="AQ149" s="33">
        <f>IF($B149&lt;&gt;"Entry","",SUMPRODUCT(($D$4:$D$207=D149)*($B$4:$B$207="Challan")*$F$4:$F$207))</f>
      </c>
      <c r="AR149" s="34">
        <f>IF(OR($B149&lt;&gt;"Entry",Z149=""),FALSE,AND(SUMPRODUCT(($D$4:$D$207=D149)*($B$4:$B$207="Challan")*($H$4:$H$207&lt;&gt;""))&gt;0,SUMPRODUCT(($D$4:$D$207=D149)*($B$4:$B$207="Challan")*($H$4:$H$207=Z149))=0))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lt;&gt;"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f>
      </c>
      <c r="Y150" s="23">
        <f>IF($B150&lt;&gt;"Entry","",IF(LEN(W150)&lt;4,"",IF(UPPER(MID(W150,4,1))="P","Individual",IF(UPPER(MID(W150,4,1))="H","HUF",IF(UPPER(MID(W150,4,1))="C","Company",IF(UPPER(MID(W150,4,1))="F","Firm",IF(UPPER(MID(W150,4,1))="L","LLP",IF(UPPER(MID(W150,4,1))="T","Trust",IF(UPPER(MID(W150,4,1))="A","AOP",""))))))))</f>
      </c>
      <c r="Z150" s="28"/>
      <c r="AA150" s="29">
        <f>IF($B150&lt;&gt;"Entry","",IF(Z150="","",IF(X150="Y",SUMPRODUCT(('Rate Lookup'!$A$1:$A$32=Z150)*'Rate Lookup'!$D$1:$D$32),IF(OR(Y150="Individual",Y150="HUF"),SUMPRODUCT(('Rate Lookup'!$A$1:$A$32=Z150)*'Rate Lookup'!$B$1:$B$32),SUMPRODUCT(('Rate Lookup'!$A$1:$A$32=Z150)*'Rate Lookup'!$C$1:$C$32)))))</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IF($B150&lt;&gt;"Challan","",SUMIF($D$4:$D$207,D150,$AD$4:$AD$207)+SUMIF($D$4:$D$207,D150,$AG$4:$AG$207)+SUMIF($D$4:$D$207,D150,$AE$4:$AE$207))</f>
      </c>
      <c r="AO150" s="27">
        <f>IF($B150&lt;&gt;"Challan","",P150-N150)</f>
      </c>
      <c r="AP150" s="27">
        <f>IF($B150&lt;&gt;"Challan","",MAX(0,AO150-AN150))</f>
      </c>
      <c r="AQ150" s="33">
        <f>IF($B150&lt;&gt;"Entry","",SUMPRODUCT(($D$4:$D$207=D150)*($B$4:$B$207="Challan")*$F$4:$F$207))</f>
      </c>
      <c r="AR150" s="34">
        <f>IF(OR($B150&lt;&gt;"Entry",Z150=""),FALSE,AND(SUMPRODUCT(($D$4:$D$207=D150)*($B$4:$B$207="Challan")*($H$4:$H$207&lt;&gt;""))&gt;0,SUMPRODUCT(($D$4:$D$207=D150)*($B$4:$B$207="Challan")*($H$4:$H$207=Z150))=0))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lt;&gt;"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f>
      </c>
      <c r="Y151" s="23">
        <f>IF($B151&lt;&gt;"Entry","",IF(LEN(W151)&lt;4,"",IF(UPPER(MID(W151,4,1))="P","Individual",IF(UPPER(MID(W151,4,1))="H","HUF",IF(UPPER(MID(W151,4,1))="C","Company",IF(UPPER(MID(W151,4,1))="F","Firm",IF(UPPER(MID(W151,4,1))="L","LLP",IF(UPPER(MID(W151,4,1))="T","Trust",IF(UPPER(MID(W151,4,1))="A","AOP",""))))))))</f>
      </c>
      <c r="Z151" s="28"/>
      <c r="AA151" s="29">
        <f>IF($B151&lt;&gt;"Entry","",IF(Z151="","",IF(X151="Y",SUMPRODUCT(('Rate Lookup'!$A$1:$A$32=Z151)*'Rate Lookup'!$D$1:$D$32),IF(OR(Y151="Individual",Y151="HUF"),SUMPRODUCT(('Rate Lookup'!$A$1:$A$32=Z151)*'Rate Lookup'!$B$1:$B$32),SUMPRODUCT(('Rate Lookup'!$A$1:$A$32=Z151)*'Rate Lookup'!$C$1:$C$32)))))</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IF($B151&lt;&gt;"Challan","",SUMIF($D$4:$D$207,D151,$AD$4:$AD$207)+SUMIF($D$4:$D$207,D151,$AG$4:$AG$207)+SUMIF($D$4:$D$207,D151,$AE$4:$AE$207))</f>
      </c>
      <c r="AO151" s="27">
        <f>IF($B151&lt;&gt;"Challan","",P151-N151)</f>
      </c>
      <c r="AP151" s="27">
        <f>IF($B151&lt;&gt;"Challan","",MAX(0,AO151-AN151))</f>
      </c>
      <c r="AQ151" s="33">
        <f>IF($B151&lt;&gt;"Entry","",SUMPRODUCT(($D$4:$D$207=D151)*($B$4:$B$207="Challan")*$F$4:$F$207))</f>
      </c>
      <c r="AR151" s="34">
        <f>IF(OR($B151&lt;&gt;"Entry",Z151=""),FALSE,AND(SUMPRODUCT(($D$4:$D$207=D151)*($B$4:$B$207="Challan")*($H$4:$H$207&lt;&gt;""))&gt;0,SUMPRODUCT(($D$4:$D$207=D151)*($B$4:$B$207="Challan")*($H$4:$H$207=Z151))=0))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lt;&gt;"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f>
      </c>
      <c r="Y152" s="23">
        <f>IF($B152&lt;&gt;"Entry","",IF(LEN(W152)&lt;4,"",IF(UPPER(MID(W152,4,1))="P","Individual",IF(UPPER(MID(W152,4,1))="H","HUF",IF(UPPER(MID(W152,4,1))="C","Company",IF(UPPER(MID(W152,4,1))="F","Firm",IF(UPPER(MID(W152,4,1))="L","LLP",IF(UPPER(MID(W152,4,1))="T","Trust",IF(UPPER(MID(W152,4,1))="A","AOP",""))))))))</f>
      </c>
      <c r="Z152" s="28"/>
      <c r="AA152" s="29">
        <f>IF($B152&lt;&gt;"Entry","",IF(Z152="","",IF(X152="Y",SUMPRODUCT(('Rate Lookup'!$A$1:$A$32=Z152)*'Rate Lookup'!$D$1:$D$32),IF(OR(Y152="Individual",Y152="HUF"),SUMPRODUCT(('Rate Lookup'!$A$1:$A$32=Z152)*'Rate Lookup'!$B$1:$B$32),SUMPRODUCT(('Rate Lookup'!$A$1:$A$32=Z152)*'Rate Lookup'!$C$1:$C$32)))))</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IF($B152&lt;&gt;"Challan","",SUMIF($D$4:$D$207,D152,$AD$4:$AD$207)+SUMIF($D$4:$D$207,D152,$AG$4:$AG$207)+SUMIF($D$4:$D$207,D152,$AE$4:$AE$207))</f>
      </c>
      <c r="AO152" s="27">
        <f>IF($B152&lt;&gt;"Challan","",P152-N152)</f>
      </c>
      <c r="AP152" s="27">
        <f>IF($B152&lt;&gt;"Challan","",MAX(0,AO152-AN152))</f>
      </c>
      <c r="AQ152" s="33">
        <f>IF($B152&lt;&gt;"Entry","",SUMPRODUCT(($D$4:$D$207=D152)*($B$4:$B$207="Challan")*$F$4:$F$207))</f>
      </c>
      <c r="AR152" s="34">
        <f>IF(OR($B152&lt;&gt;"Entry",Z152=""),FALSE,AND(SUMPRODUCT(($D$4:$D$207=D152)*($B$4:$B$207="Challan")*($H$4:$H$207&lt;&gt;""))&gt;0,SUMPRODUCT(($D$4:$D$207=D152)*($B$4:$B$207="Challan")*($H$4:$H$207=Z152))=0))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lt;&gt;"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f>
      </c>
      <c r="Y153" s="23">
        <f>IF($B153&lt;&gt;"Entry","",IF(LEN(W153)&lt;4,"",IF(UPPER(MID(W153,4,1))="P","Individual",IF(UPPER(MID(W153,4,1))="H","HUF",IF(UPPER(MID(W153,4,1))="C","Company",IF(UPPER(MID(W153,4,1))="F","Firm",IF(UPPER(MID(W153,4,1))="L","LLP",IF(UPPER(MID(W153,4,1))="T","Trust",IF(UPPER(MID(W153,4,1))="A","AOP",""))))))))</f>
      </c>
      <c r="Z153" s="28"/>
      <c r="AA153" s="29">
        <f>IF($B153&lt;&gt;"Entry","",IF(Z153="","",IF(X153="Y",SUMPRODUCT(('Rate Lookup'!$A$1:$A$32=Z153)*'Rate Lookup'!$D$1:$D$32),IF(OR(Y153="Individual",Y153="HUF"),SUMPRODUCT(('Rate Lookup'!$A$1:$A$32=Z153)*'Rate Lookup'!$B$1:$B$32),SUMPRODUCT(('Rate Lookup'!$A$1:$A$32=Z153)*'Rate Lookup'!$C$1:$C$32)))))</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IF($B153&lt;&gt;"Challan","",SUMIF($D$4:$D$207,D153,$AD$4:$AD$207)+SUMIF($D$4:$D$207,D153,$AG$4:$AG$207)+SUMIF($D$4:$D$207,D153,$AE$4:$AE$207))</f>
      </c>
      <c r="AO153" s="27">
        <f>IF($B153&lt;&gt;"Challan","",P153-N153)</f>
      </c>
      <c r="AP153" s="27">
        <f>IF($B153&lt;&gt;"Challan","",MAX(0,AO153-AN153))</f>
      </c>
      <c r="AQ153" s="33">
        <f>IF($B153&lt;&gt;"Entry","",SUMPRODUCT(($D$4:$D$207=D153)*($B$4:$B$207="Challan")*$F$4:$F$207))</f>
      </c>
      <c r="AR153" s="34">
        <f>IF(OR($B153&lt;&gt;"Entry",Z153=""),FALSE,AND(SUMPRODUCT(($D$4:$D$207=D153)*($B$4:$B$207="Challan")*($H$4:$H$207&lt;&gt;""))&gt;0,SUMPRODUCT(($D$4:$D$207=D153)*($B$4:$B$207="Challan")*($H$4:$H$207=Z153))=0))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lt;&gt;"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f>
      </c>
      <c r="Y154" s="23">
        <f>IF($B154&lt;&gt;"Entry","",IF(LEN(W154)&lt;4,"",IF(UPPER(MID(W154,4,1))="P","Individual",IF(UPPER(MID(W154,4,1))="H","HUF",IF(UPPER(MID(W154,4,1))="C","Company",IF(UPPER(MID(W154,4,1))="F","Firm",IF(UPPER(MID(W154,4,1))="L","LLP",IF(UPPER(MID(W154,4,1))="T","Trust",IF(UPPER(MID(W154,4,1))="A","AOP",""))))))))</f>
      </c>
      <c r="Z154" s="28"/>
      <c r="AA154" s="29">
        <f>IF($B154&lt;&gt;"Entry","",IF(Z154="","",IF(X154="Y",SUMPRODUCT(('Rate Lookup'!$A$1:$A$32=Z154)*'Rate Lookup'!$D$1:$D$32),IF(OR(Y154="Individual",Y154="HUF"),SUMPRODUCT(('Rate Lookup'!$A$1:$A$32=Z154)*'Rate Lookup'!$B$1:$B$32),SUMPRODUCT(('Rate Lookup'!$A$1:$A$32=Z154)*'Rate Lookup'!$C$1:$C$32)))))</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IF($B154&lt;&gt;"Challan","",SUMIF($D$4:$D$207,D154,$AD$4:$AD$207)+SUMIF($D$4:$D$207,D154,$AG$4:$AG$207)+SUMIF($D$4:$D$207,D154,$AE$4:$AE$207))</f>
      </c>
      <c r="AO154" s="27">
        <f>IF($B154&lt;&gt;"Challan","",P154-N154)</f>
      </c>
      <c r="AP154" s="27">
        <f>IF($B154&lt;&gt;"Challan","",MAX(0,AO154-AN154))</f>
      </c>
      <c r="AQ154" s="33">
        <f>IF($B154&lt;&gt;"Entry","",SUMPRODUCT(($D$4:$D$207=D154)*($B$4:$B$207="Challan")*$F$4:$F$207))</f>
      </c>
      <c r="AR154" s="34">
        <f>IF(OR($B154&lt;&gt;"Entry",Z154=""),FALSE,AND(SUMPRODUCT(($D$4:$D$207=D154)*($B$4:$B$207="Challan")*($H$4:$H$207&lt;&gt;""))&gt;0,SUMPRODUCT(($D$4:$D$207=D154)*($B$4:$B$207="Challan")*($H$4:$H$207=Z154))=0))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lt;&gt;"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f>
      </c>
      <c r="Y155" s="23">
        <f>IF($B155&lt;&gt;"Entry","",IF(LEN(W155)&lt;4,"",IF(UPPER(MID(W155,4,1))="P","Individual",IF(UPPER(MID(W155,4,1))="H","HUF",IF(UPPER(MID(W155,4,1))="C","Company",IF(UPPER(MID(W155,4,1))="F","Firm",IF(UPPER(MID(W155,4,1))="L","LLP",IF(UPPER(MID(W155,4,1))="T","Trust",IF(UPPER(MID(W155,4,1))="A","AOP",""))))))))</f>
      </c>
      <c r="Z155" s="28"/>
      <c r="AA155" s="29">
        <f>IF($B155&lt;&gt;"Entry","",IF(Z155="","",IF(X155="Y",SUMPRODUCT(('Rate Lookup'!$A$1:$A$32=Z155)*'Rate Lookup'!$D$1:$D$32),IF(OR(Y155="Individual",Y155="HUF"),SUMPRODUCT(('Rate Lookup'!$A$1:$A$32=Z155)*'Rate Lookup'!$B$1:$B$32),SUMPRODUCT(('Rate Lookup'!$A$1:$A$32=Z155)*'Rate Lookup'!$C$1:$C$32)))))</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IF($B155&lt;&gt;"Challan","",SUMIF($D$4:$D$207,D155,$AD$4:$AD$207)+SUMIF($D$4:$D$207,D155,$AG$4:$AG$207)+SUMIF($D$4:$D$207,D155,$AE$4:$AE$207))</f>
      </c>
      <c r="AO155" s="27">
        <f>IF($B155&lt;&gt;"Challan","",P155-N155)</f>
      </c>
      <c r="AP155" s="27">
        <f>IF($B155&lt;&gt;"Challan","",MAX(0,AO155-AN155))</f>
      </c>
      <c r="AQ155" s="33">
        <f>IF($B155&lt;&gt;"Entry","",SUMPRODUCT(($D$4:$D$207=D155)*($B$4:$B$207="Challan")*$F$4:$F$207))</f>
      </c>
      <c r="AR155" s="34">
        <f>IF(OR($B155&lt;&gt;"Entry",Z155=""),FALSE,AND(SUMPRODUCT(($D$4:$D$207=D155)*($B$4:$B$207="Challan")*($H$4:$H$207&lt;&gt;""))&gt;0,SUMPRODUCT(($D$4:$D$207=D155)*($B$4:$B$207="Challan")*($H$4:$H$207=Z155))=0))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lt;&gt;"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f>
      </c>
      <c r="Y156" s="23">
        <f>IF($B156&lt;&gt;"Entry","",IF(LEN(W156)&lt;4,"",IF(UPPER(MID(W156,4,1))="P","Individual",IF(UPPER(MID(W156,4,1))="H","HUF",IF(UPPER(MID(W156,4,1))="C","Company",IF(UPPER(MID(W156,4,1))="F","Firm",IF(UPPER(MID(W156,4,1))="L","LLP",IF(UPPER(MID(W156,4,1))="T","Trust",IF(UPPER(MID(W156,4,1))="A","AOP",""))))))))</f>
      </c>
      <c r="Z156" s="28"/>
      <c r="AA156" s="29">
        <f>IF($B156&lt;&gt;"Entry","",IF(Z156="","",IF(X156="Y",SUMPRODUCT(('Rate Lookup'!$A$1:$A$32=Z156)*'Rate Lookup'!$D$1:$D$32),IF(OR(Y156="Individual",Y156="HUF"),SUMPRODUCT(('Rate Lookup'!$A$1:$A$32=Z156)*'Rate Lookup'!$B$1:$B$32),SUMPRODUCT(('Rate Lookup'!$A$1:$A$32=Z156)*'Rate Lookup'!$C$1:$C$32)))))</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IF($B156&lt;&gt;"Challan","",SUMIF($D$4:$D$207,D156,$AD$4:$AD$207)+SUMIF($D$4:$D$207,D156,$AG$4:$AG$207)+SUMIF($D$4:$D$207,D156,$AE$4:$AE$207))</f>
      </c>
      <c r="AO156" s="27">
        <f>IF($B156&lt;&gt;"Challan","",P156-N156)</f>
      </c>
      <c r="AP156" s="27">
        <f>IF($B156&lt;&gt;"Challan","",MAX(0,AO156-AN156))</f>
      </c>
      <c r="AQ156" s="33">
        <f>IF($B156&lt;&gt;"Entry","",SUMPRODUCT(($D$4:$D$207=D156)*($B$4:$B$207="Challan")*$F$4:$F$207))</f>
      </c>
      <c r="AR156" s="34">
        <f>IF(OR($B156&lt;&gt;"Entry",Z156=""),FALSE,AND(SUMPRODUCT(($D$4:$D$207=D156)*($B$4:$B$207="Challan")*($H$4:$H$207&lt;&gt;""))&gt;0,SUMPRODUCT(($D$4:$D$207=D156)*($B$4:$B$207="Challan")*($H$4:$H$207=Z156))=0))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lt;&gt;"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f>
      </c>
      <c r="Y157" s="23">
        <f>IF($B157&lt;&gt;"Entry","",IF(LEN(W157)&lt;4,"",IF(UPPER(MID(W157,4,1))="P","Individual",IF(UPPER(MID(W157,4,1))="H","HUF",IF(UPPER(MID(W157,4,1))="C","Company",IF(UPPER(MID(W157,4,1))="F","Firm",IF(UPPER(MID(W157,4,1))="L","LLP",IF(UPPER(MID(W157,4,1))="T","Trust",IF(UPPER(MID(W157,4,1))="A","AOP",""))))))))</f>
      </c>
      <c r="Z157" s="28"/>
      <c r="AA157" s="29">
        <f>IF($B157&lt;&gt;"Entry","",IF(Z157="","",IF(X157="Y",SUMPRODUCT(('Rate Lookup'!$A$1:$A$32=Z157)*'Rate Lookup'!$D$1:$D$32),IF(OR(Y157="Individual",Y157="HUF"),SUMPRODUCT(('Rate Lookup'!$A$1:$A$32=Z157)*'Rate Lookup'!$B$1:$B$32),SUMPRODUCT(('Rate Lookup'!$A$1:$A$32=Z157)*'Rate Lookup'!$C$1:$C$32)))))</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IF($B157&lt;&gt;"Challan","",SUMIF($D$4:$D$207,D157,$AD$4:$AD$207)+SUMIF($D$4:$D$207,D157,$AG$4:$AG$207)+SUMIF($D$4:$D$207,D157,$AE$4:$AE$207))</f>
      </c>
      <c r="AO157" s="27">
        <f>IF($B157&lt;&gt;"Challan","",P157-N157)</f>
      </c>
      <c r="AP157" s="27">
        <f>IF($B157&lt;&gt;"Challan","",MAX(0,AO157-AN157))</f>
      </c>
      <c r="AQ157" s="33">
        <f>IF($B157&lt;&gt;"Entry","",SUMPRODUCT(($D$4:$D$207=D157)*($B$4:$B$207="Challan")*$F$4:$F$207))</f>
      </c>
      <c r="AR157" s="34">
        <f>IF(OR($B157&lt;&gt;"Entry",Z157=""),FALSE,AND(SUMPRODUCT(($D$4:$D$207=D157)*($B$4:$B$207="Challan")*($H$4:$H$207&lt;&gt;""))&gt;0,SUMPRODUCT(($D$4:$D$207=D157)*($B$4:$B$207="Challan")*($H$4:$H$207=Z157))=0))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lt;&gt;"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f>
      </c>
      <c r="Y158" s="23">
        <f>IF($B158&lt;&gt;"Entry","",IF(LEN(W158)&lt;4,"",IF(UPPER(MID(W158,4,1))="P","Individual",IF(UPPER(MID(W158,4,1))="H","HUF",IF(UPPER(MID(W158,4,1))="C","Company",IF(UPPER(MID(W158,4,1))="F","Firm",IF(UPPER(MID(W158,4,1))="L","LLP",IF(UPPER(MID(W158,4,1))="T","Trust",IF(UPPER(MID(W158,4,1))="A","AOP",""))))))))</f>
      </c>
      <c r="Z158" s="28"/>
      <c r="AA158" s="29">
        <f>IF($B158&lt;&gt;"Entry","",IF(Z158="","",IF(X158="Y",SUMPRODUCT(('Rate Lookup'!$A$1:$A$32=Z158)*'Rate Lookup'!$D$1:$D$32),IF(OR(Y158="Individual",Y158="HUF"),SUMPRODUCT(('Rate Lookup'!$A$1:$A$32=Z158)*'Rate Lookup'!$B$1:$B$32),SUMPRODUCT(('Rate Lookup'!$A$1:$A$32=Z158)*'Rate Lookup'!$C$1:$C$32)))))</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IF($B158&lt;&gt;"Challan","",SUMIF($D$4:$D$207,D158,$AD$4:$AD$207)+SUMIF($D$4:$D$207,D158,$AG$4:$AG$207)+SUMIF($D$4:$D$207,D158,$AE$4:$AE$207))</f>
      </c>
      <c r="AO158" s="27">
        <f>IF($B158&lt;&gt;"Challan","",P158-N158)</f>
      </c>
      <c r="AP158" s="27">
        <f>IF($B158&lt;&gt;"Challan","",MAX(0,AO158-AN158))</f>
      </c>
      <c r="AQ158" s="33">
        <f>IF($B158&lt;&gt;"Entry","",SUMPRODUCT(($D$4:$D$207=D158)*($B$4:$B$207="Challan")*$F$4:$F$207))</f>
      </c>
      <c r="AR158" s="34">
        <f>IF(OR($B158&lt;&gt;"Entry",Z158=""),FALSE,AND(SUMPRODUCT(($D$4:$D$207=D158)*($B$4:$B$207="Challan")*($H$4:$H$207&lt;&gt;""))&gt;0,SUMPRODUCT(($D$4:$D$207=D158)*($B$4:$B$207="Challan")*($H$4:$H$207=Z158))=0))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lt;&gt;"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f>
      </c>
      <c r="Y159" s="23">
        <f>IF($B159&lt;&gt;"Entry","",IF(LEN(W159)&lt;4,"",IF(UPPER(MID(W159,4,1))="P","Individual",IF(UPPER(MID(W159,4,1))="H","HUF",IF(UPPER(MID(W159,4,1))="C","Company",IF(UPPER(MID(W159,4,1))="F","Firm",IF(UPPER(MID(W159,4,1))="L","LLP",IF(UPPER(MID(W159,4,1))="T","Trust",IF(UPPER(MID(W159,4,1))="A","AOP",""))))))))</f>
      </c>
      <c r="Z159" s="28"/>
      <c r="AA159" s="29">
        <f>IF($B159&lt;&gt;"Entry","",IF(Z159="","",IF(X159="Y",SUMPRODUCT(('Rate Lookup'!$A$1:$A$32=Z159)*'Rate Lookup'!$D$1:$D$32),IF(OR(Y159="Individual",Y159="HUF"),SUMPRODUCT(('Rate Lookup'!$A$1:$A$32=Z159)*'Rate Lookup'!$B$1:$B$32),SUMPRODUCT(('Rate Lookup'!$A$1:$A$32=Z159)*'Rate Lookup'!$C$1:$C$32)))))</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IF($B159&lt;&gt;"Challan","",SUMIF($D$4:$D$207,D159,$AD$4:$AD$207)+SUMIF($D$4:$D$207,D159,$AG$4:$AG$207)+SUMIF($D$4:$D$207,D159,$AE$4:$AE$207))</f>
      </c>
      <c r="AO159" s="27">
        <f>IF($B159&lt;&gt;"Challan","",P159-N159)</f>
      </c>
      <c r="AP159" s="27">
        <f>IF($B159&lt;&gt;"Challan","",MAX(0,AO159-AN159))</f>
      </c>
      <c r="AQ159" s="33">
        <f>IF($B159&lt;&gt;"Entry","",SUMPRODUCT(($D$4:$D$207=D159)*($B$4:$B$207="Challan")*$F$4:$F$207))</f>
      </c>
      <c r="AR159" s="34">
        <f>IF(OR($B159&lt;&gt;"Entry",Z159=""),FALSE,AND(SUMPRODUCT(($D$4:$D$207=D159)*($B$4:$B$207="Challan")*($H$4:$H$207&lt;&gt;""))&gt;0,SUMPRODUCT(($D$4:$D$207=D159)*($B$4:$B$207="Challan")*($H$4:$H$207=Z159))=0))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lt;&gt;"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f>
      </c>
      <c r="Y160" s="23">
        <f>IF($B160&lt;&gt;"Entry","",IF(LEN(W160)&lt;4,"",IF(UPPER(MID(W160,4,1))="P","Individual",IF(UPPER(MID(W160,4,1))="H","HUF",IF(UPPER(MID(W160,4,1))="C","Company",IF(UPPER(MID(W160,4,1))="F","Firm",IF(UPPER(MID(W160,4,1))="L","LLP",IF(UPPER(MID(W160,4,1))="T","Trust",IF(UPPER(MID(W160,4,1))="A","AOP",""))))))))</f>
      </c>
      <c r="Z160" s="28"/>
      <c r="AA160" s="29">
        <f>IF($B160&lt;&gt;"Entry","",IF(Z160="","",IF(X160="Y",SUMPRODUCT(('Rate Lookup'!$A$1:$A$32=Z160)*'Rate Lookup'!$D$1:$D$32),IF(OR(Y160="Individual",Y160="HUF"),SUMPRODUCT(('Rate Lookup'!$A$1:$A$32=Z160)*'Rate Lookup'!$B$1:$B$32),SUMPRODUCT(('Rate Lookup'!$A$1:$A$32=Z160)*'Rate Lookup'!$C$1:$C$32)))))</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IF($B160&lt;&gt;"Challan","",SUMIF($D$4:$D$207,D160,$AD$4:$AD$207)+SUMIF($D$4:$D$207,D160,$AG$4:$AG$207)+SUMIF($D$4:$D$207,D160,$AE$4:$AE$207))</f>
      </c>
      <c r="AO160" s="27">
        <f>IF($B160&lt;&gt;"Challan","",P160-N160)</f>
      </c>
      <c r="AP160" s="27">
        <f>IF($B160&lt;&gt;"Challan","",MAX(0,AO160-AN160))</f>
      </c>
      <c r="AQ160" s="33">
        <f>IF($B160&lt;&gt;"Entry","",SUMPRODUCT(($D$4:$D$207=D160)*($B$4:$B$207="Challan")*$F$4:$F$207))</f>
      </c>
      <c r="AR160" s="34">
        <f>IF(OR($B160&lt;&gt;"Entry",Z160=""),FALSE,AND(SUMPRODUCT(($D$4:$D$207=D160)*($B$4:$B$207="Challan")*($H$4:$H$207&lt;&gt;""))&gt;0,SUMPRODUCT(($D$4:$D$207=D160)*($B$4:$B$207="Challan")*($H$4:$H$207=Z160))=0))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lt;&gt;"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f>
      </c>
      <c r="Y161" s="23">
        <f>IF($B161&lt;&gt;"Entry","",IF(LEN(W161)&lt;4,"",IF(UPPER(MID(W161,4,1))="P","Individual",IF(UPPER(MID(W161,4,1))="H","HUF",IF(UPPER(MID(W161,4,1))="C","Company",IF(UPPER(MID(W161,4,1))="F","Firm",IF(UPPER(MID(W161,4,1))="L","LLP",IF(UPPER(MID(W161,4,1))="T","Trust",IF(UPPER(MID(W161,4,1))="A","AOP",""))))))))</f>
      </c>
      <c r="Z161" s="28"/>
      <c r="AA161" s="29">
        <f>IF($B161&lt;&gt;"Entry","",IF(Z161="","",IF(X161="Y",SUMPRODUCT(('Rate Lookup'!$A$1:$A$32=Z161)*'Rate Lookup'!$D$1:$D$32),IF(OR(Y161="Individual",Y161="HUF"),SUMPRODUCT(('Rate Lookup'!$A$1:$A$32=Z161)*'Rate Lookup'!$B$1:$B$32),SUMPRODUCT(('Rate Lookup'!$A$1:$A$32=Z161)*'Rate Lookup'!$C$1:$C$32)))))</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IF($B161&lt;&gt;"Challan","",SUMIF($D$4:$D$207,D161,$AD$4:$AD$207)+SUMIF($D$4:$D$207,D161,$AG$4:$AG$207)+SUMIF($D$4:$D$207,D161,$AE$4:$AE$207))</f>
      </c>
      <c r="AO161" s="27">
        <f>IF($B161&lt;&gt;"Challan","",P161-N161)</f>
      </c>
      <c r="AP161" s="27">
        <f>IF($B161&lt;&gt;"Challan","",MAX(0,AO161-AN161))</f>
      </c>
      <c r="AQ161" s="33">
        <f>IF($B161&lt;&gt;"Entry","",SUMPRODUCT(($D$4:$D$207=D161)*($B$4:$B$207="Challan")*$F$4:$F$207))</f>
      </c>
      <c r="AR161" s="34">
        <f>IF(OR($B161&lt;&gt;"Entry",Z161=""),FALSE,AND(SUMPRODUCT(($D$4:$D$207=D161)*($B$4:$B$207="Challan")*($H$4:$H$207&lt;&gt;""))&gt;0,SUMPRODUCT(($D$4:$D$207=D161)*($B$4:$B$207="Challan")*($H$4:$H$207=Z161))=0))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lt;&gt;"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f>
      </c>
      <c r="Y162" s="23">
        <f>IF($B162&lt;&gt;"Entry","",IF(LEN(W162)&lt;4,"",IF(UPPER(MID(W162,4,1))="P","Individual",IF(UPPER(MID(W162,4,1))="H","HUF",IF(UPPER(MID(W162,4,1))="C","Company",IF(UPPER(MID(W162,4,1))="F","Firm",IF(UPPER(MID(W162,4,1))="L","LLP",IF(UPPER(MID(W162,4,1))="T","Trust",IF(UPPER(MID(W162,4,1))="A","AOP",""))))))))</f>
      </c>
      <c r="Z162" s="28"/>
      <c r="AA162" s="29">
        <f>IF($B162&lt;&gt;"Entry","",IF(Z162="","",IF(X162="Y",SUMPRODUCT(('Rate Lookup'!$A$1:$A$32=Z162)*'Rate Lookup'!$D$1:$D$32),IF(OR(Y162="Individual",Y162="HUF"),SUMPRODUCT(('Rate Lookup'!$A$1:$A$32=Z162)*'Rate Lookup'!$B$1:$B$32),SUMPRODUCT(('Rate Lookup'!$A$1:$A$32=Z162)*'Rate Lookup'!$C$1:$C$32)))))</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IF($B162&lt;&gt;"Challan","",SUMIF($D$4:$D$207,D162,$AD$4:$AD$207)+SUMIF($D$4:$D$207,D162,$AG$4:$AG$207)+SUMIF($D$4:$D$207,D162,$AE$4:$AE$207))</f>
      </c>
      <c r="AO162" s="27">
        <f>IF($B162&lt;&gt;"Challan","",P162-N162)</f>
      </c>
      <c r="AP162" s="27">
        <f>IF($B162&lt;&gt;"Challan","",MAX(0,AO162-AN162))</f>
      </c>
      <c r="AQ162" s="33">
        <f>IF($B162&lt;&gt;"Entry","",SUMPRODUCT(($D$4:$D$207=D162)*($B$4:$B$207="Challan")*$F$4:$F$207))</f>
      </c>
      <c r="AR162" s="34">
        <f>IF(OR($B162&lt;&gt;"Entry",Z162=""),FALSE,AND(SUMPRODUCT(($D$4:$D$207=D162)*($B$4:$B$207="Challan")*($H$4:$H$207&lt;&gt;""))&gt;0,SUMPRODUCT(($D$4:$D$207=D162)*($B$4:$B$207="Challan")*($H$4:$H$207=Z162))=0))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lt;&gt;"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f>
      </c>
      <c r="Y163" s="23">
        <f>IF($B163&lt;&gt;"Entry","",IF(LEN(W163)&lt;4,"",IF(UPPER(MID(W163,4,1))="P","Individual",IF(UPPER(MID(W163,4,1))="H","HUF",IF(UPPER(MID(W163,4,1))="C","Company",IF(UPPER(MID(W163,4,1))="F","Firm",IF(UPPER(MID(W163,4,1))="L","LLP",IF(UPPER(MID(W163,4,1))="T","Trust",IF(UPPER(MID(W163,4,1))="A","AOP",""))))))))</f>
      </c>
      <c r="Z163" s="28"/>
      <c r="AA163" s="29">
        <f>IF($B163&lt;&gt;"Entry","",IF(Z163="","",IF(X163="Y",SUMPRODUCT(('Rate Lookup'!$A$1:$A$32=Z163)*'Rate Lookup'!$D$1:$D$32),IF(OR(Y163="Individual",Y163="HUF"),SUMPRODUCT(('Rate Lookup'!$A$1:$A$32=Z163)*'Rate Lookup'!$B$1:$B$32),SUMPRODUCT(('Rate Lookup'!$A$1:$A$32=Z163)*'Rate Lookup'!$C$1:$C$32)))))</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IF($B163&lt;&gt;"Challan","",SUMIF($D$4:$D$207,D163,$AD$4:$AD$207)+SUMIF($D$4:$D$207,D163,$AG$4:$AG$207)+SUMIF($D$4:$D$207,D163,$AE$4:$AE$207))</f>
      </c>
      <c r="AO163" s="27">
        <f>IF($B163&lt;&gt;"Challan","",P163-N163)</f>
      </c>
      <c r="AP163" s="27">
        <f>IF($B163&lt;&gt;"Challan","",MAX(0,AO163-AN163))</f>
      </c>
      <c r="AQ163" s="33">
        <f>IF($B163&lt;&gt;"Entry","",SUMPRODUCT(($D$4:$D$207=D163)*($B$4:$B$207="Challan")*$F$4:$F$207))</f>
      </c>
      <c r="AR163" s="34">
        <f>IF(OR($B163&lt;&gt;"Entry",Z163=""),FALSE,AND(SUMPRODUCT(($D$4:$D$207=D163)*($B$4:$B$207="Challan")*($H$4:$H$207&lt;&gt;""))&gt;0,SUMPRODUCT(($D$4:$D$207=D163)*($B$4:$B$207="Challan")*($H$4:$H$207=Z163))=0))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lt;&gt;"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f>
      </c>
      <c r="Y164" s="23">
        <f>IF($B164&lt;&gt;"Entry","",IF(LEN(W164)&lt;4,"",IF(UPPER(MID(W164,4,1))="P","Individual",IF(UPPER(MID(W164,4,1))="H","HUF",IF(UPPER(MID(W164,4,1))="C","Company",IF(UPPER(MID(W164,4,1))="F","Firm",IF(UPPER(MID(W164,4,1))="L","LLP",IF(UPPER(MID(W164,4,1))="T","Trust",IF(UPPER(MID(W164,4,1))="A","AOP",""))))))))</f>
      </c>
      <c r="Z164" s="28"/>
      <c r="AA164" s="29">
        <f>IF($B164&lt;&gt;"Entry","",IF(Z164="","",IF(X164="Y",SUMPRODUCT(('Rate Lookup'!$A$1:$A$32=Z164)*'Rate Lookup'!$D$1:$D$32),IF(OR(Y164="Individual",Y164="HUF"),SUMPRODUCT(('Rate Lookup'!$A$1:$A$32=Z164)*'Rate Lookup'!$B$1:$B$32),SUMPRODUCT(('Rate Lookup'!$A$1:$A$32=Z164)*'Rate Lookup'!$C$1:$C$32)))))</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IF($B164&lt;&gt;"Challan","",SUMIF($D$4:$D$207,D164,$AD$4:$AD$207)+SUMIF($D$4:$D$207,D164,$AG$4:$AG$207)+SUMIF($D$4:$D$207,D164,$AE$4:$AE$207))</f>
      </c>
      <c r="AO164" s="27">
        <f>IF($B164&lt;&gt;"Challan","",P164-N164)</f>
      </c>
      <c r="AP164" s="27">
        <f>IF($B164&lt;&gt;"Challan","",MAX(0,AO164-AN164))</f>
      </c>
      <c r="AQ164" s="33">
        <f>IF($B164&lt;&gt;"Entry","",SUMPRODUCT(($D$4:$D$207=D164)*($B$4:$B$207="Challan")*$F$4:$F$207))</f>
      </c>
      <c r="AR164" s="34">
        <f>IF(OR($B164&lt;&gt;"Entry",Z164=""),FALSE,AND(SUMPRODUCT(($D$4:$D$207=D164)*($B$4:$B$207="Challan")*($H$4:$H$207&lt;&gt;""))&gt;0,SUMPRODUCT(($D$4:$D$207=D164)*($B$4:$B$207="Challan")*($H$4:$H$207=Z164))=0))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lt;&gt;"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f>
      </c>
      <c r="Y165" s="23">
        <f>IF($B165&lt;&gt;"Entry","",IF(LEN(W165)&lt;4,"",IF(UPPER(MID(W165,4,1))="P","Individual",IF(UPPER(MID(W165,4,1))="H","HUF",IF(UPPER(MID(W165,4,1))="C","Company",IF(UPPER(MID(W165,4,1))="F","Firm",IF(UPPER(MID(W165,4,1))="L","LLP",IF(UPPER(MID(W165,4,1))="T","Trust",IF(UPPER(MID(W165,4,1))="A","AOP",""))))))))</f>
      </c>
      <c r="Z165" s="28"/>
      <c r="AA165" s="29">
        <f>IF($B165&lt;&gt;"Entry","",IF(Z165="","",IF(X165="Y",SUMPRODUCT(('Rate Lookup'!$A$1:$A$32=Z165)*'Rate Lookup'!$D$1:$D$32),IF(OR(Y165="Individual",Y165="HUF"),SUMPRODUCT(('Rate Lookup'!$A$1:$A$32=Z165)*'Rate Lookup'!$B$1:$B$32),SUMPRODUCT(('Rate Lookup'!$A$1:$A$32=Z165)*'Rate Lookup'!$C$1:$C$32)))))</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IF($B165&lt;&gt;"Challan","",SUMIF($D$4:$D$207,D165,$AD$4:$AD$207)+SUMIF($D$4:$D$207,D165,$AG$4:$AG$207)+SUMIF($D$4:$D$207,D165,$AE$4:$AE$207))</f>
      </c>
      <c r="AO165" s="27">
        <f>IF($B165&lt;&gt;"Challan","",P165-N165)</f>
      </c>
      <c r="AP165" s="27">
        <f>IF($B165&lt;&gt;"Challan","",MAX(0,AO165-AN165))</f>
      </c>
      <c r="AQ165" s="33">
        <f>IF($B165&lt;&gt;"Entry","",SUMPRODUCT(($D$4:$D$207=D165)*($B$4:$B$207="Challan")*$F$4:$F$207))</f>
      </c>
      <c r="AR165" s="34">
        <f>IF(OR($B165&lt;&gt;"Entry",Z165=""),FALSE,AND(SUMPRODUCT(($D$4:$D$207=D165)*($B$4:$B$207="Challan")*($H$4:$H$207&lt;&gt;""))&gt;0,SUMPRODUCT(($D$4:$D$207=D165)*($B$4:$B$207="Challan")*($H$4:$H$207=Z165))=0))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lt;&gt;"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f>
      </c>
      <c r="Y166" s="23">
        <f>IF($B166&lt;&gt;"Entry","",IF(LEN(W166)&lt;4,"",IF(UPPER(MID(W166,4,1))="P","Individual",IF(UPPER(MID(W166,4,1))="H","HUF",IF(UPPER(MID(W166,4,1))="C","Company",IF(UPPER(MID(W166,4,1))="F","Firm",IF(UPPER(MID(W166,4,1))="L","LLP",IF(UPPER(MID(W166,4,1))="T","Trust",IF(UPPER(MID(W166,4,1))="A","AOP",""))))))))</f>
      </c>
      <c r="Z166" s="28"/>
      <c r="AA166" s="29">
        <f>IF($B166&lt;&gt;"Entry","",IF(Z166="","",IF(X166="Y",SUMPRODUCT(('Rate Lookup'!$A$1:$A$32=Z166)*'Rate Lookup'!$D$1:$D$32),IF(OR(Y166="Individual",Y166="HUF"),SUMPRODUCT(('Rate Lookup'!$A$1:$A$32=Z166)*'Rate Lookup'!$B$1:$B$32),SUMPRODUCT(('Rate Lookup'!$A$1:$A$32=Z166)*'Rate Lookup'!$C$1:$C$32)))))</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IF($B166&lt;&gt;"Challan","",SUMIF($D$4:$D$207,D166,$AD$4:$AD$207)+SUMIF($D$4:$D$207,D166,$AG$4:$AG$207)+SUMIF($D$4:$D$207,D166,$AE$4:$AE$207))</f>
      </c>
      <c r="AO166" s="27">
        <f>IF($B166&lt;&gt;"Challan","",P166-N166)</f>
      </c>
      <c r="AP166" s="27">
        <f>IF($B166&lt;&gt;"Challan","",MAX(0,AO166-AN166))</f>
      </c>
      <c r="AQ166" s="33">
        <f>IF($B166&lt;&gt;"Entry","",SUMPRODUCT(($D$4:$D$207=D166)*($B$4:$B$207="Challan")*$F$4:$F$207))</f>
      </c>
      <c r="AR166" s="34">
        <f>IF(OR($B166&lt;&gt;"Entry",Z166=""),FALSE,AND(SUMPRODUCT(($D$4:$D$207=D166)*($B$4:$B$207="Challan")*($H$4:$H$207&lt;&gt;""))&gt;0,SUMPRODUCT(($D$4:$D$207=D166)*($B$4:$B$207="Challan")*($H$4:$H$207=Z166))=0))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lt;&gt;"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f>
      </c>
      <c r="Y167" s="23">
        <f>IF($B167&lt;&gt;"Entry","",IF(LEN(W167)&lt;4,"",IF(UPPER(MID(W167,4,1))="P","Individual",IF(UPPER(MID(W167,4,1))="H","HUF",IF(UPPER(MID(W167,4,1))="C","Company",IF(UPPER(MID(W167,4,1))="F","Firm",IF(UPPER(MID(W167,4,1))="L","LLP",IF(UPPER(MID(W167,4,1))="T","Trust",IF(UPPER(MID(W167,4,1))="A","AOP",""))))))))</f>
      </c>
      <c r="Z167" s="28"/>
      <c r="AA167" s="29">
        <f>IF($B167&lt;&gt;"Entry","",IF(Z167="","",IF(X167="Y",SUMPRODUCT(('Rate Lookup'!$A$1:$A$32=Z167)*'Rate Lookup'!$D$1:$D$32),IF(OR(Y167="Individual",Y167="HUF"),SUMPRODUCT(('Rate Lookup'!$A$1:$A$32=Z167)*'Rate Lookup'!$B$1:$B$32),SUMPRODUCT(('Rate Lookup'!$A$1:$A$32=Z167)*'Rate Lookup'!$C$1:$C$32)))))</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IF($B167&lt;&gt;"Challan","",SUMIF($D$4:$D$207,D167,$AD$4:$AD$207)+SUMIF($D$4:$D$207,D167,$AG$4:$AG$207)+SUMIF($D$4:$D$207,D167,$AE$4:$AE$207))</f>
      </c>
      <c r="AO167" s="27">
        <f>IF($B167&lt;&gt;"Challan","",P167-N167)</f>
      </c>
      <c r="AP167" s="27">
        <f>IF($B167&lt;&gt;"Challan","",MAX(0,AO167-AN167))</f>
      </c>
      <c r="AQ167" s="33">
        <f>IF($B167&lt;&gt;"Entry","",SUMPRODUCT(($D$4:$D$207=D167)*($B$4:$B$207="Challan")*$F$4:$F$207))</f>
      </c>
      <c r="AR167" s="34">
        <f>IF(OR($B167&lt;&gt;"Entry",Z167=""),FALSE,AND(SUMPRODUCT(($D$4:$D$207=D167)*($B$4:$B$207="Challan")*($H$4:$H$207&lt;&gt;""))&gt;0,SUMPRODUCT(($D$4:$D$207=D167)*($B$4:$B$207="Challan")*($H$4:$H$207=Z167))=0))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lt;&gt;"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f>
      </c>
      <c r="Y168" s="23">
        <f>IF($B168&lt;&gt;"Entry","",IF(LEN(W168)&lt;4,"",IF(UPPER(MID(W168,4,1))="P","Individual",IF(UPPER(MID(W168,4,1))="H","HUF",IF(UPPER(MID(W168,4,1))="C","Company",IF(UPPER(MID(W168,4,1))="F","Firm",IF(UPPER(MID(W168,4,1))="L","LLP",IF(UPPER(MID(W168,4,1))="T","Trust",IF(UPPER(MID(W168,4,1))="A","AOP",""))))))))</f>
      </c>
      <c r="Z168" s="28"/>
      <c r="AA168" s="29">
        <f>IF($B168&lt;&gt;"Entry","",IF(Z168="","",IF(X168="Y",SUMPRODUCT(('Rate Lookup'!$A$1:$A$32=Z168)*'Rate Lookup'!$D$1:$D$32),IF(OR(Y168="Individual",Y168="HUF"),SUMPRODUCT(('Rate Lookup'!$A$1:$A$32=Z168)*'Rate Lookup'!$B$1:$B$32),SUMPRODUCT(('Rate Lookup'!$A$1:$A$32=Z168)*'Rate Lookup'!$C$1:$C$32)))))</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IF($B168&lt;&gt;"Challan","",SUMIF($D$4:$D$207,D168,$AD$4:$AD$207)+SUMIF($D$4:$D$207,D168,$AG$4:$AG$207)+SUMIF($D$4:$D$207,D168,$AE$4:$AE$207))</f>
      </c>
      <c r="AO168" s="27">
        <f>IF($B168&lt;&gt;"Challan","",P168-N168)</f>
      </c>
      <c r="AP168" s="27">
        <f>IF($B168&lt;&gt;"Challan","",MAX(0,AO168-AN168))</f>
      </c>
      <c r="AQ168" s="33">
        <f>IF($B168&lt;&gt;"Entry","",SUMPRODUCT(($D$4:$D$207=D168)*($B$4:$B$207="Challan")*$F$4:$F$207))</f>
      </c>
      <c r="AR168" s="34">
        <f>IF(OR($B168&lt;&gt;"Entry",Z168=""),FALSE,AND(SUMPRODUCT(($D$4:$D$207=D168)*($B$4:$B$207="Challan")*($H$4:$H$207&lt;&gt;""))&gt;0,SUMPRODUCT(($D$4:$D$207=D168)*($B$4:$B$207="Challan")*($H$4:$H$207=Z168))=0))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lt;&gt;"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f>
      </c>
      <c r="Y169" s="23">
        <f>IF($B169&lt;&gt;"Entry","",IF(LEN(W169)&lt;4,"",IF(UPPER(MID(W169,4,1))="P","Individual",IF(UPPER(MID(W169,4,1))="H","HUF",IF(UPPER(MID(W169,4,1))="C","Company",IF(UPPER(MID(W169,4,1))="F","Firm",IF(UPPER(MID(W169,4,1))="L","LLP",IF(UPPER(MID(W169,4,1))="T","Trust",IF(UPPER(MID(W169,4,1))="A","AOP",""))))))))</f>
      </c>
      <c r="Z169" s="28"/>
      <c r="AA169" s="29">
        <f>IF($B169&lt;&gt;"Entry","",IF(Z169="","",IF(X169="Y",SUMPRODUCT(('Rate Lookup'!$A$1:$A$32=Z169)*'Rate Lookup'!$D$1:$D$32),IF(OR(Y169="Individual",Y169="HUF"),SUMPRODUCT(('Rate Lookup'!$A$1:$A$32=Z169)*'Rate Lookup'!$B$1:$B$32),SUMPRODUCT(('Rate Lookup'!$A$1:$A$32=Z169)*'Rate Lookup'!$C$1:$C$32)))))</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IF($B169&lt;&gt;"Challan","",SUMIF($D$4:$D$207,D169,$AD$4:$AD$207)+SUMIF($D$4:$D$207,D169,$AG$4:$AG$207)+SUMIF($D$4:$D$207,D169,$AE$4:$AE$207))</f>
      </c>
      <c r="AO169" s="27">
        <f>IF($B169&lt;&gt;"Challan","",P169-N169)</f>
      </c>
      <c r="AP169" s="27">
        <f>IF($B169&lt;&gt;"Challan","",MAX(0,AO169-AN169))</f>
      </c>
      <c r="AQ169" s="33">
        <f>IF($B169&lt;&gt;"Entry","",SUMPRODUCT(($D$4:$D$207=D169)*($B$4:$B$207="Challan")*$F$4:$F$207))</f>
      </c>
      <c r="AR169" s="34">
        <f>IF(OR($B169&lt;&gt;"Entry",Z169=""),FALSE,AND(SUMPRODUCT(($D$4:$D$207=D169)*($B$4:$B$207="Challan")*($H$4:$H$207&lt;&gt;""))&gt;0,SUMPRODUCT(($D$4:$D$207=D169)*($B$4:$B$207="Challan")*($H$4:$H$207=Z169))=0))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lt;&gt;"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f>
      </c>
      <c r="Y170" s="23">
        <f>IF($B170&lt;&gt;"Entry","",IF(LEN(W170)&lt;4,"",IF(UPPER(MID(W170,4,1))="P","Individual",IF(UPPER(MID(W170,4,1))="H","HUF",IF(UPPER(MID(W170,4,1))="C","Company",IF(UPPER(MID(W170,4,1))="F","Firm",IF(UPPER(MID(W170,4,1))="L","LLP",IF(UPPER(MID(W170,4,1))="T","Trust",IF(UPPER(MID(W170,4,1))="A","AOP",""))))))))</f>
      </c>
      <c r="Z170" s="28"/>
      <c r="AA170" s="29">
        <f>IF($B170&lt;&gt;"Entry","",IF(Z170="","",IF(X170="Y",SUMPRODUCT(('Rate Lookup'!$A$1:$A$32=Z170)*'Rate Lookup'!$D$1:$D$32),IF(OR(Y170="Individual",Y170="HUF"),SUMPRODUCT(('Rate Lookup'!$A$1:$A$32=Z170)*'Rate Lookup'!$B$1:$B$32),SUMPRODUCT(('Rate Lookup'!$A$1:$A$32=Z170)*'Rate Lookup'!$C$1:$C$32)))))</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IF($B170&lt;&gt;"Challan","",SUMIF($D$4:$D$207,D170,$AD$4:$AD$207)+SUMIF($D$4:$D$207,D170,$AG$4:$AG$207)+SUMIF($D$4:$D$207,D170,$AE$4:$AE$207))</f>
      </c>
      <c r="AO170" s="27">
        <f>IF($B170&lt;&gt;"Challan","",P170-N170)</f>
      </c>
      <c r="AP170" s="27">
        <f>IF($B170&lt;&gt;"Challan","",MAX(0,AO170-AN170))</f>
      </c>
      <c r="AQ170" s="33">
        <f>IF($B170&lt;&gt;"Entry","",SUMPRODUCT(($D$4:$D$207=D170)*($B$4:$B$207="Challan")*$F$4:$F$207))</f>
      </c>
      <c r="AR170" s="34">
        <f>IF(OR($B170&lt;&gt;"Entry",Z170=""),FALSE,AND(SUMPRODUCT(($D$4:$D$207=D170)*($B$4:$B$207="Challan")*($H$4:$H$207&lt;&gt;""))&gt;0,SUMPRODUCT(($D$4:$D$207=D170)*($B$4:$B$207="Challan")*($H$4:$H$207=Z170))=0))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lt;&gt;"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f>
      </c>
      <c r="Y171" s="23">
        <f>IF($B171&lt;&gt;"Entry","",IF(LEN(W171)&lt;4,"",IF(UPPER(MID(W171,4,1))="P","Individual",IF(UPPER(MID(W171,4,1))="H","HUF",IF(UPPER(MID(W171,4,1))="C","Company",IF(UPPER(MID(W171,4,1))="F","Firm",IF(UPPER(MID(W171,4,1))="L","LLP",IF(UPPER(MID(W171,4,1))="T","Trust",IF(UPPER(MID(W171,4,1))="A","AOP",""))))))))</f>
      </c>
      <c r="Z171" s="28"/>
      <c r="AA171" s="29">
        <f>IF($B171&lt;&gt;"Entry","",IF(Z171="","",IF(X171="Y",SUMPRODUCT(('Rate Lookup'!$A$1:$A$32=Z171)*'Rate Lookup'!$D$1:$D$32),IF(OR(Y171="Individual",Y171="HUF"),SUMPRODUCT(('Rate Lookup'!$A$1:$A$32=Z171)*'Rate Lookup'!$B$1:$B$32),SUMPRODUCT(('Rate Lookup'!$A$1:$A$32=Z171)*'Rate Lookup'!$C$1:$C$32)))))</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IF($B171&lt;&gt;"Challan","",SUMIF($D$4:$D$207,D171,$AD$4:$AD$207)+SUMIF($D$4:$D$207,D171,$AG$4:$AG$207)+SUMIF($D$4:$D$207,D171,$AE$4:$AE$207))</f>
      </c>
      <c r="AO171" s="27">
        <f>IF($B171&lt;&gt;"Challan","",P171-N171)</f>
      </c>
      <c r="AP171" s="27">
        <f>IF($B171&lt;&gt;"Challan","",MAX(0,AO171-AN171))</f>
      </c>
      <c r="AQ171" s="33">
        <f>IF($B171&lt;&gt;"Entry","",SUMPRODUCT(($D$4:$D$207=D171)*($B$4:$B$207="Challan")*$F$4:$F$207))</f>
      </c>
      <c r="AR171" s="34">
        <f>IF(OR($B171&lt;&gt;"Entry",Z171=""),FALSE,AND(SUMPRODUCT(($D$4:$D$207=D171)*($B$4:$B$207="Challan")*($H$4:$H$207&lt;&gt;""))&gt;0,SUMPRODUCT(($D$4:$D$207=D171)*($B$4:$B$207="Challan")*($H$4:$H$207=Z171))=0))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lt;&gt;"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f>
      </c>
      <c r="Y172" s="23">
        <f>IF($B172&lt;&gt;"Entry","",IF(LEN(W172)&lt;4,"",IF(UPPER(MID(W172,4,1))="P","Individual",IF(UPPER(MID(W172,4,1))="H","HUF",IF(UPPER(MID(W172,4,1))="C","Company",IF(UPPER(MID(W172,4,1))="F","Firm",IF(UPPER(MID(W172,4,1))="L","LLP",IF(UPPER(MID(W172,4,1))="T","Trust",IF(UPPER(MID(W172,4,1))="A","AOP",""))))))))</f>
      </c>
      <c r="Z172" s="28"/>
      <c r="AA172" s="29">
        <f>IF($B172&lt;&gt;"Entry","",IF(Z172="","",IF(X172="Y",SUMPRODUCT(('Rate Lookup'!$A$1:$A$32=Z172)*'Rate Lookup'!$D$1:$D$32),IF(OR(Y172="Individual",Y172="HUF"),SUMPRODUCT(('Rate Lookup'!$A$1:$A$32=Z172)*'Rate Lookup'!$B$1:$B$32),SUMPRODUCT(('Rate Lookup'!$A$1:$A$32=Z172)*'Rate Lookup'!$C$1:$C$32)))))</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IF($B172&lt;&gt;"Challan","",SUMIF($D$4:$D$207,D172,$AD$4:$AD$207)+SUMIF($D$4:$D$207,D172,$AG$4:$AG$207)+SUMIF($D$4:$D$207,D172,$AE$4:$AE$207))</f>
      </c>
      <c r="AO172" s="27">
        <f>IF($B172&lt;&gt;"Challan","",P172-N172)</f>
      </c>
      <c r="AP172" s="27">
        <f>IF($B172&lt;&gt;"Challan","",MAX(0,AO172-AN172))</f>
      </c>
      <c r="AQ172" s="33">
        <f>IF($B172&lt;&gt;"Entry","",SUMPRODUCT(($D$4:$D$207=D172)*($B$4:$B$207="Challan")*$F$4:$F$207))</f>
      </c>
      <c r="AR172" s="34">
        <f>IF(OR($B172&lt;&gt;"Entry",Z172=""),FALSE,AND(SUMPRODUCT(($D$4:$D$207=D172)*($B$4:$B$207="Challan")*($H$4:$H$207&lt;&gt;""))&gt;0,SUMPRODUCT(($D$4:$D$207=D172)*($B$4:$B$207="Challan")*($H$4:$H$207=Z172))=0))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lt;&gt;"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f>
      </c>
      <c r="Y173" s="23">
        <f>IF($B173&lt;&gt;"Entry","",IF(LEN(W173)&lt;4,"",IF(UPPER(MID(W173,4,1))="P","Individual",IF(UPPER(MID(W173,4,1))="H","HUF",IF(UPPER(MID(W173,4,1))="C","Company",IF(UPPER(MID(W173,4,1))="F","Firm",IF(UPPER(MID(W173,4,1))="L","LLP",IF(UPPER(MID(W173,4,1))="T","Trust",IF(UPPER(MID(W173,4,1))="A","AOP",""))))))))</f>
      </c>
      <c r="Z173" s="28"/>
      <c r="AA173" s="29">
        <f>IF($B173&lt;&gt;"Entry","",IF(Z173="","",IF(X173="Y",SUMPRODUCT(('Rate Lookup'!$A$1:$A$32=Z173)*'Rate Lookup'!$D$1:$D$32),IF(OR(Y173="Individual",Y173="HUF"),SUMPRODUCT(('Rate Lookup'!$A$1:$A$32=Z173)*'Rate Lookup'!$B$1:$B$32),SUMPRODUCT(('Rate Lookup'!$A$1:$A$32=Z173)*'Rate Lookup'!$C$1:$C$32)))))</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IF($B173&lt;&gt;"Challan","",SUMIF($D$4:$D$207,D173,$AD$4:$AD$207)+SUMIF($D$4:$D$207,D173,$AG$4:$AG$207)+SUMIF($D$4:$D$207,D173,$AE$4:$AE$207))</f>
      </c>
      <c r="AO173" s="27">
        <f>IF($B173&lt;&gt;"Challan","",P173-N173)</f>
      </c>
      <c r="AP173" s="27">
        <f>IF($B173&lt;&gt;"Challan","",MAX(0,AO173-AN173))</f>
      </c>
      <c r="AQ173" s="33">
        <f>IF($B173&lt;&gt;"Entry","",SUMPRODUCT(($D$4:$D$207=D173)*($B$4:$B$207="Challan")*$F$4:$F$207))</f>
      </c>
      <c r="AR173" s="34">
        <f>IF(OR($B173&lt;&gt;"Entry",Z173=""),FALSE,AND(SUMPRODUCT(($D$4:$D$207=D173)*($B$4:$B$207="Challan")*($H$4:$H$207&lt;&gt;""))&gt;0,SUMPRODUCT(($D$4:$D$207=D173)*($B$4:$B$207="Challan")*($H$4:$H$207=Z173))=0))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lt;&gt;"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f>
      </c>
      <c r="Y174" s="23">
        <f>IF($B174&lt;&gt;"Entry","",IF(LEN(W174)&lt;4,"",IF(UPPER(MID(W174,4,1))="P","Individual",IF(UPPER(MID(W174,4,1))="H","HUF",IF(UPPER(MID(W174,4,1))="C","Company",IF(UPPER(MID(W174,4,1))="F","Firm",IF(UPPER(MID(W174,4,1))="L","LLP",IF(UPPER(MID(W174,4,1))="T","Trust",IF(UPPER(MID(W174,4,1))="A","AOP",""))))))))</f>
      </c>
      <c r="Z174" s="28"/>
      <c r="AA174" s="29">
        <f>IF($B174&lt;&gt;"Entry","",IF(Z174="","",IF(X174="Y",SUMPRODUCT(('Rate Lookup'!$A$1:$A$32=Z174)*'Rate Lookup'!$D$1:$D$32),IF(OR(Y174="Individual",Y174="HUF"),SUMPRODUCT(('Rate Lookup'!$A$1:$A$32=Z174)*'Rate Lookup'!$B$1:$B$32),SUMPRODUCT(('Rate Lookup'!$A$1:$A$32=Z174)*'Rate Lookup'!$C$1:$C$32)))))</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IF($B174&lt;&gt;"Challan","",SUMIF($D$4:$D$207,D174,$AD$4:$AD$207)+SUMIF($D$4:$D$207,D174,$AG$4:$AG$207)+SUMIF($D$4:$D$207,D174,$AE$4:$AE$207))</f>
      </c>
      <c r="AO174" s="27">
        <f>IF($B174&lt;&gt;"Challan","",P174-N174)</f>
      </c>
      <c r="AP174" s="27">
        <f>IF($B174&lt;&gt;"Challan","",MAX(0,AO174-AN174))</f>
      </c>
      <c r="AQ174" s="33">
        <f>IF($B174&lt;&gt;"Entry","",SUMPRODUCT(($D$4:$D$207=D174)*($B$4:$B$207="Challan")*$F$4:$F$207))</f>
      </c>
      <c r="AR174" s="34">
        <f>IF(OR($B174&lt;&gt;"Entry",Z174=""),FALSE,AND(SUMPRODUCT(($D$4:$D$207=D174)*($B$4:$B$207="Challan")*($H$4:$H$207&lt;&gt;""))&gt;0,SUMPRODUCT(($D$4:$D$207=D174)*($B$4:$B$207="Challan")*($H$4:$H$207=Z174))=0))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lt;&gt;"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f>
      </c>
      <c r="Y175" s="23">
        <f>IF($B175&lt;&gt;"Entry","",IF(LEN(W175)&lt;4,"",IF(UPPER(MID(W175,4,1))="P","Individual",IF(UPPER(MID(W175,4,1))="H","HUF",IF(UPPER(MID(W175,4,1))="C","Company",IF(UPPER(MID(W175,4,1))="F","Firm",IF(UPPER(MID(W175,4,1))="L","LLP",IF(UPPER(MID(W175,4,1))="T","Trust",IF(UPPER(MID(W175,4,1))="A","AOP",""))))))))</f>
      </c>
      <c r="Z175" s="28"/>
      <c r="AA175" s="29">
        <f>IF($B175&lt;&gt;"Entry","",IF(Z175="","",IF(X175="Y",SUMPRODUCT(('Rate Lookup'!$A$1:$A$32=Z175)*'Rate Lookup'!$D$1:$D$32),IF(OR(Y175="Individual",Y175="HUF"),SUMPRODUCT(('Rate Lookup'!$A$1:$A$32=Z175)*'Rate Lookup'!$B$1:$B$32),SUMPRODUCT(('Rate Lookup'!$A$1:$A$32=Z175)*'Rate Lookup'!$C$1:$C$32)))))</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IF($B175&lt;&gt;"Challan","",SUMIF($D$4:$D$207,D175,$AD$4:$AD$207)+SUMIF($D$4:$D$207,D175,$AG$4:$AG$207)+SUMIF($D$4:$D$207,D175,$AE$4:$AE$207))</f>
      </c>
      <c r="AO175" s="27">
        <f>IF($B175&lt;&gt;"Challan","",P175-N175)</f>
      </c>
      <c r="AP175" s="27">
        <f>IF($B175&lt;&gt;"Challan","",MAX(0,AO175-AN175))</f>
      </c>
      <c r="AQ175" s="33">
        <f>IF($B175&lt;&gt;"Entry","",SUMPRODUCT(($D$4:$D$207=D175)*($B$4:$B$207="Challan")*$F$4:$F$207))</f>
      </c>
      <c r="AR175" s="34">
        <f>IF(OR($B175&lt;&gt;"Entry",Z175=""),FALSE,AND(SUMPRODUCT(($D$4:$D$207=D175)*($B$4:$B$207="Challan")*($H$4:$H$207&lt;&gt;""))&gt;0,SUMPRODUCT(($D$4:$D$207=D175)*($B$4:$B$207="Challan")*($H$4:$H$207=Z175))=0))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lt;&gt;"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f>
      </c>
      <c r="Y176" s="23">
        <f>IF($B176&lt;&gt;"Entry","",IF(LEN(W176)&lt;4,"",IF(UPPER(MID(W176,4,1))="P","Individual",IF(UPPER(MID(W176,4,1))="H","HUF",IF(UPPER(MID(W176,4,1))="C","Company",IF(UPPER(MID(W176,4,1))="F","Firm",IF(UPPER(MID(W176,4,1))="L","LLP",IF(UPPER(MID(W176,4,1))="T","Trust",IF(UPPER(MID(W176,4,1))="A","AOP",""))))))))</f>
      </c>
      <c r="Z176" s="28"/>
      <c r="AA176" s="29">
        <f>IF($B176&lt;&gt;"Entry","",IF(Z176="","",IF(X176="Y",SUMPRODUCT(('Rate Lookup'!$A$1:$A$32=Z176)*'Rate Lookup'!$D$1:$D$32),IF(OR(Y176="Individual",Y176="HUF"),SUMPRODUCT(('Rate Lookup'!$A$1:$A$32=Z176)*'Rate Lookup'!$B$1:$B$32),SUMPRODUCT(('Rate Lookup'!$A$1:$A$32=Z176)*'Rate Lookup'!$C$1:$C$32)))))</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IF($B176&lt;&gt;"Challan","",SUMIF($D$4:$D$207,D176,$AD$4:$AD$207)+SUMIF($D$4:$D$207,D176,$AG$4:$AG$207)+SUMIF($D$4:$D$207,D176,$AE$4:$AE$207))</f>
      </c>
      <c r="AO176" s="27">
        <f>IF($B176&lt;&gt;"Challan","",P176-N176)</f>
      </c>
      <c r="AP176" s="27">
        <f>IF($B176&lt;&gt;"Challan","",MAX(0,AO176-AN176))</f>
      </c>
      <c r="AQ176" s="33">
        <f>IF($B176&lt;&gt;"Entry","",SUMPRODUCT(($D$4:$D$207=D176)*($B$4:$B$207="Challan")*$F$4:$F$207))</f>
      </c>
      <c r="AR176" s="34">
        <f>IF(OR($B176&lt;&gt;"Entry",Z176=""),FALSE,AND(SUMPRODUCT(($D$4:$D$207=D176)*($B$4:$B$207="Challan")*($H$4:$H$207&lt;&gt;""))&gt;0,SUMPRODUCT(($D$4:$D$207=D176)*($B$4:$B$207="Challan")*($H$4:$H$207=Z176))=0))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lt;&gt;"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f>
      </c>
      <c r="Y177" s="23">
        <f>IF($B177&lt;&gt;"Entry","",IF(LEN(W177)&lt;4,"",IF(UPPER(MID(W177,4,1))="P","Individual",IF(UPPER(MID(W177,4,1))="H","HUF",IF(UPPER(MID(W177,4,1))="C","Company",IF(UPPER(MID(W177,4,1))="F","Firm",IF(UPPER(MID(W177,4,1))="L","LLP",IF(UPPER(MID(W177,4,1))="T","Trust",IF(UPPER(MID(W177,4,1))="A","AOP",""))))))))</f>
      </c>
      <c r="Z177" s="28"/>
      <c r="AA177" s="29">
        <f>IF($B177&lt;&gt;"Entry","",IF(Z177="","",IF(X177="Y",SUMPRODUCT(('Rate Lookup'!$A$1:$A$32=Z177)*'Rate Lookup'!$D$1:$D$32),IF(OR(Y177="Individual",Y177="HUF"),SUMPRODUCT(('Rate Lookup'!$A$1:$A$32=Z177)*'Rate Lookup'!$B$1:$B$32),SUMPRODUCT(('Rate Lookup'!$A$1:$A$32=Z177)*'Rate Lookup'!$C$1:$C$32)))))</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IF($B177&lt;&gt;"Challan","",SUMIF($D$4:$D$207,D177,$AD$4:$AD$207)+SUMIF($D$4:$D$207,D177,$AG$4:$AG$207)+SUMIF($D$4:$D$207,D177,$AE$4:$AE$207))</f>
      </c>
      <c r="AO177" s="27">
        <f>IF($B177&lt;&gt;"Challan","",P177-N177)</f>
      </c>
      <c r="AP177" s="27">
        <f>IF($B177&lt;&gt;"Challan","",MAX(0,AO177-AN177))</f>
      </c>
      <c r="AQ177" s="33">
        <f>IF($B177&lt;&gt;"Entry","",SUMPRODUCT(($D$4:$D$207=D177)*($B$4:$B$207="Challan")*$F$4:$F$207))</f>
      </c>
      <c r="AR177" s="34">
        <f>IF(OR($B177&lt;&gt;"Entry",Z177=""),FALSE,AND(SUMPRODUCT(($D$4:$D$207=D177)*($B$4:$B$207="Challan")*($H$4:$H$207&lt;&gt;""))&gt;0,SUMPRODUCT(($D$4:$D$207=D177)*($B$4:$B$207="Challan")*($H$4:$H$207=Z177))=0))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lt;&gt;"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f>
      </c>
      <c r="Y178" s="23">
        <f>IF($B178&lt;&gt;"Entry","",IF(LEN(W178)&lt;4,"",IF(UPPER(MID(W178,4,1))="P","Individual",IF(UPPER(MID(W178,4,1))="H","HUF",IF(UPPER(MID(W178,4,1))="C","Company",IF(UPPER(MID(W178,4,1))="F","Firm",IF(UPPER(MID(W178,4,1))="L","LLP",IF(UPPER(MID(W178,4,1))="T","Trust",IF(UPPER(MID(W178,4,1))="A","AOP",""))))))))</f>
      </c>
      <c r="Z178" s="28"/>
      <c r="AA178" s="29">
        <f>IF($B178&lt;&gt;"Entry","",IF(Z178="","",IF(X178="Y",SUMPRODUCT(('Rate Lookup'!$A$1:$A$32=Z178)*'Rate Lookup'!$D$1:$D$32),IF(OR(Y178="Individual",Y178="HUF"),SUMPRODUCT(('Rate Lookup'!$A$1:$A$32=Z178)*'Rate Lookup'!$B$1:$B$32),SUMPRODUCT(('Rate Lookup'!$A$1:$A$32=Z178)*'Rate Lookup'!$C$1:$C$32)))))</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IF($B178&lt;&gt;"Challan","",SUMIF($D$4:$D$207,D178,$AD$4:$AD$207)+SUMIF($D$4:$D$207,D178,$AG$4:$AG$207)+SUMIF($D$4:$D$207,D178,$AE$4:$AE$207))</f>
      </c>
      <c r="AO178" s="27">
        <f>IF($B178&lt;&gt;"Challan","",P178-N178)</f>
      </c>
      <c r="AP178" s="27">
        <f>IF($B178&lt;&gt;"Challan","",MAX(0,AO178-AN178))</f>
      </c>
      <c r="AQ178" s="33">
        <f>IF($B178&lt;&gt;"Entry","",SUMPRODUCT(($D$4:$D$207=D178)*($B$4:$B$207="Challan")*$F$4:$F$207))</f>
      </c>
      <c r="AR178" s="34">
        <f>IF(OR($B178&lt;&gt;"Entry",Z178=""),FALSE,AND(SUMPRODUCT(($D$4:$D$207=D178)*($B$4:$B$207="Challan")*($H$4:$H$207&lt;&gt;""))&gt;0,SUMPRODUCT(($D$4:$D$207=D178)*($B$4:$B$207="Challan")*($H$4:$H$207=Z178))=0))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lt;&gt;"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f>
      </c>
      <c r="Y179" s="23">
        <f>IF($B179&lt;&gt;"Entry","",IF(LEN(W179)&lt;4,"",IF(UPPER(MID(W179,4,1))="P","Individual",IF(UPPER(MID(W179,4,1))="H","HUF",IF(UPPER(MID(W179,4,1))="C","Company",IF(UPPER(MID(W179,4,1))="F","Firm",IF(UPPER(MID(W179,4,1))="L","LLP",IF(UPPER(MID(W179,4,1))="T","Trust",IF(UPPER(MID(W179,4,1))="A","AOP",""))))))))</f>
      </c>
      <c r="Z179" s="28"/>
      <c r="AA179" s="29">
        <f>IF($B179&lt;&gt;"Entry","",IF(Z179="","",IF(X179="Y",SUMPRODUCT(('Rate Lookup'!$A$1:$A$32=Z179)*'Rate Lookup'!$D$1:$D$32),IF(OR(Y179="Individual",Y179="HUF"),SUMPRODUCT(('Rate Lookup'!$A$1:$A$32=Z179)*'Rate Lookup'!$B$1:$B$32),SUMPRODUCT(('Rate Lookup'!$A$1:$A$32=Z179)*'Rate Lookup'!$C$1:$C$32)))))</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IF($B179&lt;&gt;"Challan","",SUMIF($D$4:$D$207,D179,$AD$4:$AD$207)+SUMIF($D$4:$D$207,D179,$AG$4:$AG$207)+SUMIF($D$4:$D$207,D179,$AE$4:$AE$207))</f>
      </c>
      <c r="AO179" s="27">
        <f>IF($B179&lt;&gt;"Challan","",P179-N179)</f>
      </c>
      <c r="AP179" s="27">
        <f>IF($B179&lt;&gt;"Challan","",MAX(0,AO179-AN179))</f>
      </c>
      <c r="AQ179" s="33">
        <f>IF($B179&lt;&gt;"Entry","",SUMPRODUCT(($D$4:$D$207=D179)*($B$4:$B$207="Challan")*$F$4:$F$207))</f>
      </c>
      <c r="AR179" s="34">
        <f>IF(OR($B179&lt;&gt;"Entry",Z179=""),FALSE,AND(SUMPRODUCT(($D$4:$D$207=D179)*($B$4:$B$207="Challan")*($H$4:$H$207&lt;&gt;""))&gt;0,SUMPRODUCT(($D$4:$D$207=D179)*($B$4:$B$207="Challan")*($H$4:$H$207=Z179))=0))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lt;&gt;"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f>
      </c>
      <c r="Y180" s="23">
        <f>IF($B180&lt;&gt;"Entry","",IF(LEN(W180)&lt;4,"",IF(UPPER(MID(W180,4,1))="P","Individual",IF(UPPER(MID(W180,4,1))="H","HUF",IF(UPPER(MID(W180,4,1))="C","Company",IF(UPPER(MID(W180,4,1))="F","Firm",IF(UPPER(MID(W180,4,1))="L","LLP",IF(UPPER(MID(W180,4,1))="T","Trust",IF(UPPER(MID(W180,4,1))="A","AOP",""))))))))</f>
      </c>
      <c r="Z180" s="28"/>
      <c r="AA180" s="29">
        <f>IF($B180&lt;&gt;"Entry","",IF(Z180="","",IF(X180="Y",SUMPRODUCT(('Rate Lookup'!$A$1:$A$32=Z180)*'Rate Lookup'!$D$1:$D$32),IF(OR(Y180="Individual",Y180="HUF"),SUMPRODUCT(('Rate Lookup'!$A$1:$A$32=Z180)*'Rate Lookup'!$B$1:$B$32),SUMPRODUCT(('Rate Lookup'!$A$1:$A$32=Z180)*'Rate Lookup'!$C$1:$C$32)))))</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IF($B180&lt;&gt;"Challan","",SUMIF($D$4:$D$207,D180,$AD$4:$AD$207)+SUMIF($D$4:$D$207,D180,$AG$4:$AG$207)+SUMIF($D$4:$D$207,D180,$AE$4:$AE$207))</f>
      </c>
      <c r="AO180" s="27">
        <f>IF($B180&lt;&gt;"Challan","",P180-N180)</f>
      </c>
      <c r="AP180" s="27">
        <f>IF($B180&lt;&gt;"Challan","",MAX(0,AO180-AN180))</f>
      </c>
      <c r="AQ180" s="33">
        <f>IF($B180&lt;&gt;"Entry","",SUMPRODUCT(($D$4:$D$207=D180)*($B$4:$B$207="Challan")*$F$4:$F$207))</f>
      </c>
      <c r="AR180" s="34">
        <f>IF(OR($B180&lt;&gt;"Entry",Z180=""),FALSE,AND(SUMPRODUCT(($D$4:$D$207=D180)*($B$4:$B$207="Challan")*($H$4:$H$207&lt;&gt;""))&gt;0,SUMPRODUCT(($D$4:$D$207=D180)*($B$4:$B$207="Challan")*($H$4:$H$207=Z180))=0))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lt;&gt;"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f>
      </c>
      <c r="Y181" s="23">
        <f>IF($B181&lt;&gt;"Entry","",IF(LEN(W181)&lt;4,"",IF(UPPER(MID(W181,4,1))="P","Individual",IF(UPPER(MID(W181,4,1))="H","HUF",IF(UPPER(MID(W181,4,1))="C","Company",IF(UPPER(MID(W181,4,1))="F","Firm",IF(UPPER(MID(W181,4,1))="L","LLP",IF(UPPER(MID(W181,4,1))="T","Trust",IF(UPPER(MID(W181,4,1))="A","AOP",""))))))))</f>
      </c>
      <c r="Z181" s="28"/>
      <c r="AA181" s="29">
        <f>IF($B181&lt;&gt;"Entry","",IF(Z181="","",IF(X181="Y",SUMPRODUCT(('Rate Lookup'!$A$1:$A$32=Z181)*'Rate Lookup'!$D$1:$D$32),IF(OR(Y181="Individual",Y181="HUF"),SUMPRODUCT(('Rate Lookup'!$A$1:$A$32=Z181)*'Rate Lookup'!$B$1:$B$32),SUMPRODUCT(('Rate Lookup'!$A$1:$A$32=Z181)*'Rate Lookup'!$C$1:$C$32)))))</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IF($B181&lt;&gt;"Challan","",SUMIF($D$4:$D$207,D181,$AD$4:$AD$207)+SUMIF($D$4:$D$207,D181,$AG$4:$AG$207)+SUMIF($D$4:$D$207,D181,$AE$4:$AE$207))</f>
      </c>
      <c r="AO181" s="27">
        <f>IF($B181&lt;&gt;"Challan","",P181-N181)</f>
      </c>
      <c r="AP181" s="27">
        <f>IF($B181&lt;&gt;"Challan","",MAX(0,AO181-AN181))</f>
      </c>
      <c r="AQ181" s="33">
        <f>IF($B181&lt;&gt;"Entry","",SUMPRODUCT(($D$4:$D$207=D181)*($B$4:$B$207="Challan")*$F$4:$F$207))</f>
      </c>
      <c r="AR181" s="34">
        <f>IF(OR($B181&lt;&gt;"Entry",Z181=""),FALSE,AND(SUMPRODUCT(($D$4:$D$207=D181)*($B$4:$B$207="Challan")*($H$4:$H$207&lt;&gt;""))&gt;0,SUMPRODUCT(($D$4:$D$207=D181)*($B$4:$B$207="Challan")*($H$4:$H$207=Z181))=0))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lt;&gt;"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f>
      </c>
      <c r="Y182" s="23">
        <f>IF($B182&lt;&gt;"Entry","",IF(LEN(W182)&lt;4,"",IF(UPPER(MID(W182,4,1))="P","Individual",IF(UPPER(MID(W182,4,1))="H","HUF",IF(UPPER(MID(W182,4,1))="C","Company",IF(UPPER(MID(W182,4,1))="F","Firm",IF(UPPER(MID(W182,4,1))="L","LLP",IF(UPPER(MID(W182,4,1))="T","Trust",IF(UPPER(MID(W182,4,1))="A","AOP",""))))))))</f>
      </c>
      <c r="Z182" s="28"/>
      <c r="AA182" s="29">
        <f>IF($B182&lt;&gt;"Entry","",IF(Z182="","",IF(X182="Y",SUMPRODUCT(('Rate Lookup'!$A$1:$A$32=Z182)*'Rate Lookup'!$D$1:$D$32),IF(OR(Y182="Individual",Y182="HUF"),SUMPRODUCT(('Rate Lookup'!$A$1:$A$32=Z182)*'Rate Lookup'!$B$1:$B$32),SUMPRODUCT(('Rate Lookup'!$A$1:$A$32=Z182)*'Rate Lookup'!$C$1:$C$32)))))</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IF($B182&lt;&gt;"Challan","",SUMIF($D$4:$D$207,D182,$AD$4:$AD$207)+SUMIF($D$4:$D$207,D182,$AG$4:$AG$207)+SUMIF($D$4:$D$207,D182,$AE$4:$AE$207))</f>
      </c>
      <c r="AO182" s="27">
        <f>IF($B182&lt;&gt;"Challan","",P182-N182)</f>
      </c>
      <c r="AP182" s="27">
        <f>IF($B182&lt;&gt;"Challan","",MAX(0,AO182-AN182))</f>
      </c>
      <c r="AQ182" s="33">
        <f>IF($B182&lt;&gt;"Entry","",SUMPRODUCT(($D$4:$D$207=D182)*($B$4:$B$207="Challan")*$F$4:$F$207))</f>
      </c>
      <c r="AR182" s="34">
        <f>IF(OR($B182&lt;&gt;"Entry",Z182=""),FALSE,AND(SUMPRODUCT(($D$4:$D$207=D182)*($B$4:$B$207="Challan")*($H$4:$H$207&lt;&gt;""))&gt;0,SUMPRODUCT(($D$4:$D$207=D182)*($B$4:$B$207="Challan")*($H$4:$H$207=Z182))=0))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lt;&gt;"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f>
      </c>
      <c r="Y183" s="23">
        <f>IF($B183&lt;&gt;"Entry","",IF(LEN(W183)&lt;4,"",IF(UPPER(MID(W183,4,1))="P","Individual",IF(UPPER(MID(W183,4,1))="H","HUF",IF(UPPER(MID(W183,4,1))="C","Company",IF(UPPER(MID(W183,4,1))="F","Firm",IF(UPPER(MID(W183,4,1))="L","LLP",IF(UPPER(MID(W183,4,1))="T","Trust",IF(UPPER(MID(W183,4,1))="A","AOP",""))))))))</f>
      </c>
      <c r="Z183" s="28"/>
      <c r="AA183" s="29">
        <f>IF($B183&lt;&gt;"Entry","",IF(Z183="","",IF(X183="Y",SUMPRODUCT(('Rate Lookup'!$A$1:$A$32=Z183)*'Rate Lookup'!$D$1:$D$32),IF(OR(Y183="Individual",Y183="HUF"),SUMPRODUCT(('Rate Lookup'!$A$1:$A$32=Z183)*'Rate Lookup'!$B$1:$B$32),SUMPRODUCT(('Rate Lookup'!$A$1:$A$32=Z183)*'Rate Lookup'!$C$1:$C$32)))))</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IF($B183&lt;&gt;"Challan","",SUMIF($D$4:$D$207,D183,$AD$4:$AD$207)+SUMIF($D$4:$D$207,D183,$AG$4:$AG$207)+SUMIF($D$4:$D$207,D183,$AE$4:$AE$207))</f>
      </c>
      <c r="AO183" s="27">
        <f>IF($B183&lt;&gt;"Challan","",P183-N183)</f>
      </c>
      <c r="AP183" s="27">
        <f>IF($B183&lt;&gt;"Challan","",MAX(0,AO183-AN183))</f>
      </c>
      <c r="AQ183" s="33">
        <f>IF($B183&lt;&gt;"Entry","",SUMPRODUCT(($D$4:$D$207=D183)*($B$4:$B$207="Challan")*$F$4:$F$207))</f>
      </c>
      <c r="AR183" s="34">
        <f>IF(OR($B183&lt;&gt;"Entry",Z183=""),FALSE,AND(SUMPRODUCT(($D$4:$D$207=D183)*($B$4:$B$207="Challan")*($H$4:$H$207&lt;&gt;""))&gt;0,SUMPRODUCT(($D$4:$D$207=D183)*($B$4:$B$207="Challan")*($H$4:$H$207=Z183))=0))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lt;&gt;"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f>
      </c>
      <c r="Y184" s="23">
        <f>IF($B184&lt;&gt;"Entry","",IF(LEN(W184)&lt;4,"",IF(UPPER(MID(W184,4,1))="P","Individual",IF(UPPER(MID(W184,4,1))="H","HUF",IF(UPPER(MID(W184,4,1))="C","Company",IF(UPPER(MID(W184,4,1))="F","Firm",IF(UPPER(MID(W184,4,1))="L","LLP",IF(UPPER(MID(W184,4,1))="T","Trust",IF(UPPER(MID(W184,4,1))="A","AOP",""))))))))</f>
      </c>
      <c r="Z184" s="28"/>
      <c r="AA184" s="29">
        <f>IF($B184&lt;&gt;"Entry","",IF(Z184="","",IF(X184="Y",SUMPRODUCT(('Rate Lookup'!$A$1:$A$32=Z184)*'Rate Lookup'!$D$1:$D$32),IF(OR(Y184="Individual",Y184="HUF"),SUMPRODUCT(('Rate Lookup'!$A$1:$A$32=Z184)*'Rate Lookup'!$B$1:$B$32),SUMPRODUCT(('Rate Lookup'!$A$1:$A$32=Z184)*'Rate Lookup'!$C$1:$C$32)))))</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IF($B184&lt;&gt;"Challan","",SUMIF($D$4:$D$207,D184,$AD$4:$AD$207)+SUMIF($D$4:$D$207,D184,$AG$4:$AG$207)+SUMIF($D$4:$D$207,D184,$AE$4:$AE$207))</f>
      </c>
      <c r="AO184" s="27">
        <f>IF($B184&lt;&gt;"Challan","",P184-N184)</f>
      </c>
      <c r="AP184" s="27">
        <f>IF($B184&lt;&gt;"Challan","",MAX(0,AO184-AN184))</f>
      </c>
      <c r="AQ184" s="33">
        <f>IF($B184&lt;&gt;"Entry","",SUMPRODUCT(($D$4:$D$207=D184)*($B$4:$B$207="Challan")*$F$4:$F$207))</f>
      </c>
      <c r="AR184" s="34">
        <f>IF(OR($B184&lt;&gt;"Entry",Z184=""),FALSE,AND(SUMPRODUCT(($D$4:$D$207=D184)*($B$4:$B$207="Challan")*($H$4:$H$207&lt;&gt;""))&gt;0,SUMPRODUCT(($D$4:$D$207=D184)*($B$4:$B$207="Challan")*($H$4:$H$207=Z184))=0))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lt;&gt;"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f>
      </c>
      <c r="Y185" s="23">
        <f>IF($B185&lt;&gt;"Entry","",IF(LEN(W185)&lt;4,"",IF(UPPER(MID(W185,4,1))="P","Individual",IF(UPPER(MID(W185,4,1))="H","HUF",IF(UPPER(MID(W185,4,1))="C","Company",IF(UPPER(MID(W185,4,1))="F","Firm",IF(UPPER(MID(W185,4,1))="L","LLP",IF(UPPER(MID(W185,4,1))="T","Trust",IF(UPPER(MID(W185,4,1))="A","AOP",""))))))))</f>
      </c>
      <c r="Z185" s="28"/>
      <c r="AA185" s="29">
        <f>IF($B185&lt;&gt;"Entry","",IF(Z185="","",IF(X185="Y",SUMPRODUCT(('Rate Lookup'!$A$1:$A$32=Z185)*'Rate Lookup'!$D$1:$D$32),IF(OR(Y185="Individual",Y185="HUF"),SUMPRODUCT(('Rate Lookup'!$A$1:$A$32=Z185)*'Rate Lookup'!$B$1:$B$32),SUMPRODUCT(('Rate Lookup'!$A$1:$A$32=Z185)*'Rate Lookup'!$C$1:$C$32)))))</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IF($B185&lt;&gt;"Challan","",SUMIF($D$4:$D$207,D185,$AD$4:$AD$207)+SUMIF($D$4:$D$207,D185,$AG$4:$AG$207)+SUMIF($D$4:$D$207,D185,$AE$4:$AE$207))</f>
      </c>
      <c r="AO185" s="27">
        <f>IF($B185&lt;&gt;"Challan","",P185-N185)</f>
      </c>
      <c r="AP185" s="27">
        <f>IF($B185&lt;&gt;"Challan","",MAX(0,AO185-AN185))</f>
      </c>
      <c r="AQ185" s="33">
        <f>IF($B185&lt;&gt;"Entry","",SUMPRODUCT(($D$4:$D$207=D185)*($B$4:$B$207="Challan")*$F$4:$F$207))</f>
      </c>
      <c r="AR185" s="34">
        <f>IF(OR($B185&lt;&gt;"Entry",Z185=""),FALSE,AND(SUMPRODUCT(($D$4:$D$207=D185)*($B$4:$B$207="Challan")*($H$4:$H$207&lt;&gt;""))&gt;0,SUMPRODUCT(($D$4:$D$207=D185)*($B$4:$B$207="Challan")*($H$4:$H$207=Z185))=0))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lt;&gt;"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f>
      </c>
      <c r="Y186" s="23">
        <f>IF($B186&lt;&gt;"Entry","",IF(LEN(W186)&lt;4,"",IF(UPPER(MID(W186,4,1))="P","Individual",IF(UPPER(MID(W186,4,1))="H","HUF",IF(UPPER(MID(W186,4,1))="C","Company",IF(UPPER(MID(W186,4,1))="F","Firm",IF(UPPER(MID(W186,4,1))="L","LLP",IF(UPPER(MID(W186,4,1))="T","Trust",IF(UPPER(MID(W186,4,1))="A","AOP",""))))))))</f>
      </c>
      <c r="Z186" s="28"/>
      <c r="AA186" s="29">
        <f>IF($B186&lt;&gt;"Entry","",IF(Z186="","",IF(X186="Y",SUMPRODUCT(('Rate Lookup'!$A$1:$A$32=Z186)*'Rate Lookup'!$D$1:$D$32),IF(OR(Y186="Individual",Y186="HUF"),SUMPRODUCT(('Rate Lookup'!$A$1:$A$32=Z186)*'Rate Lookup'!$B$1:$B$32),SUMPRODUCT(('Rate Lookup'!$A$1:$A$32=Z186)*'Rate Lookup'!$C$1:$C$32)))))</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IF($B186&lt;&gt;"Challan","",SUMIF($D$4:$D$207,D186,$AD$4:$AD$207)+SUMIF($D$4:$D$207,D186,$AG$4:$AG$207)+SUMIF($D$4:$D$207,D186,$AE$4:$AE$207))</f>
      </c>
      <c r="AO186" s="27">
        <f>IF($B186&lt;&gt;"Challan","",P186-N186)</f>
      </c>
      <c r="AP186" s="27">
        <f>IF($B186&lt;&gt;"Challan","",MAX(0,AO186-AN186))</f>
      </c>
      <c r="AQ186" s="33">
        <f>IF($B186&lt;&gt;"Entry","",SUMPRODUCT(($D$4:$D$207=D186)*($B$4:$B$207="Challan")*$F$4:$F$207))</f>
      </c>
      <c r="AR186" s="34">
        <f>IF(OR($B186&lt;&gt;"Entry",Z186=""),FALSE,AND(SUMPRODUCT(($D$4:$D$207=D186)*($B$4:$B$207="Challan")*($H$4:$H$207&lt;&gt;""))&gt;0,SUMPRODUCT(($D$4:$D$207=D186)*($B$4:$B$207="Challan")*($H$4:$H$207=Z186))=0))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lt;&gt;"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f>
      </c>
      <c r="Y187" s="23">
        <f>IF($B187&lt;&gt;"Entry","",IF(LEN(W187)&lt;4,"",IF(UPPER(MID(W187,4,1))="P","Individual",IF(UPPER(MID(W187,4,1))="H","HUF",IF(UPPER(MID(W187,4,1))="C","Company",IF(UPPER(MID(W187,4,1))="F","Firm",IF(UPPER(MID(W187,4,1))="L","LLP",IF(UPPER(MID(W187,4,1))="T","Trust",IF(UPPER(MID(W187,4,1))="A","AOP",""))))))))</f>
      </c>
      <c r="Z187" s="28"/>
      <c r="AA187" s="29">
        <f>IF($B187&lt;&gt;"Entry","",IF(Z187="","",IF(X187="Y",SUMPRODUCT(('Rate Lookup'!$A$1:$A$32=Z187)*'Rate Lookup'!$D$1:$D$32),IF(OR(Y187="Individual",Y187="HUF"),SUMPRODUCT(('Rate Lookup'!$A$1:$A$32=Z187)*'Rate Lookup'!$B$1:$B$32),SUMPRODUCT(('Rate Lookup'!$A$1:$A$32=Z187)*'Rate Lookup'!$C$1:$C$32)))))</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IF($B187&lt;&gt;"Challan","",SUMIF($D$4:$D$207,D187,$AD$4:$AD$207)+SUMIF($D$4:$D$207,D187,$AG$4:$AG$207)+SUMIF($D$4:$D$207,D187,$AE$4:$AE$207))</f>
      </c>
      <c r="AO187" s="27">
        <f>IF($B187&lt;&gt;"Challan","",P187-N187)</f>
      </c>
      <c r="AP187" s="27">
        <f>IF($B187&lt;&gt;"Challan","",MAX(0,AO187-AN187))</f>
      </c>
      <c r="AQ187" s="33">
        <f>IF($B187&lt;&gt;"Entry","",SUMPRODUCT(($D$4:$D$207=D187)*($B$4:$B$207="Challan")*$F$4:$F$207))</f>
      </c>
      <c r="AR187" s="34">
        <f>IF(OR($B187&lt;&gt;"Entry",Z187=""),FALSE,AND(SUMPRODUCT(($D$4:$D$207=D187)*($B$4:$B$207="Challan")*($H$4:$H$207&lt;&gt;""))&gt;0,SUMPRODUCT(($D$4:$D$207=D187)*($B$4:$B$207="Challan")*($H$4:$H$207=Z187))=0))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lt;&gt;"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f>
      </c>
      <c r="Y188" s="23">
        <f>IF($B188&lt;&gt;"Entry","",IF(LEN(W188)&lt;4,"",IF(UPPER(MID(W188,4,1))="P","Individual",IF(UPPER(MID(W188,4,1))="H","HUF",IF(UPPER(MID(W188,4,1))="C","Company",IF(UPPER(MID(W188,4,1))="F","Firm",IF(UPPER(MID(W188,4,1))="L","LLP",IF(UPPER(MID(W188,4,1))="T","Trust",IF(UPPER(MID(W188,4,1))="A","AOP",""))))))))</f>
      </c>
      <c r="Z188" s="28"/>
      <c r="AA188" s="29">
        <f>IF($B188&lt;&gt;"Entry","",IF(Z188="","",IF(X188="Y",SUMPRODUCT(('Rate Lookup'!$A$1:$A$32=Z188)*'Rate Lookup'!$D$1:$D$32),IF(OR(Y188="Individual",Y188="HUF"),SUMPRODUCT(('Rate Lookup'!$A$1:$A$32=Z188)*'Rate Lookup'!$B$1:$B$32),SUMPRODUCT(('Rate Lookup'!$A$1:$A$32=Z188)*'Rate Lookup'!$C$1:$C$32)))))</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IF($B188&lt;&gt;"Challan","",SUMIF($D$4:$D$207,D188,$AD$4:$AD$207)+SUMIF($D$4:$D$207,D188,$AG$4:$AG$207)+SUMIF($D$4:$D$207,D188,$AE$4:$AE$207))</f>
      </c>
      <c r="AO188" s="27">
        <f>IF($B188&lt;&gt;"Challan","",P188-N188)</f>
      </c>
      <c r="AP188" s="27">
        <f>IF($B188&lt;&gt;"Challan","",MAX(0,AO188-AN188))</f>
      </c>
      <c r="AQ188" s="33">
        <f>IF($B188&lt;&gt;"Entry","",SUMPRODUCT(($D$4:$D$207=D188)*($B$4:$B$207="Challan")*$F$4:$F$207))</f>
      </c>
      <c r="AR188" s="34">
        <f>IF(OR($B188&lt;&gt;"Entry",Z188=""),FALSE,AND(SUMPRODUCT(($D$4:$D$207=D188)*($B$4:$B$207="Challan")*($H$4:$H$207&lt;&gt;""))&gt;0,SUMPRODUCT(($D$4:$D$207=D188)*($B$4:$B$207="Challan")*($H$4:$H$207=Z188))=0))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lt;&gt;"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f>
      </c>
      <c r="Y189" s="23">
        <f>IF($B189&lt;&gt;"Entry","",IF(LEN(W189)&lt;4,"",IF(UPPER(MID(W189,4,1))="P","Individual",IF(UPPER(MID(W189,4,1))="H","HUF",IF(UPPER(MID(W189,4,1))="C","Company",IF(UPPER(MID(W189,4,1))="F","Firm",IF(UPPER(MID(W189,4,1))="L","LLP",IF(UPPER(MID(W189,4,1))="T","Trust",IF(UPPER(MID(W189,4,1))="A","AOP",""))))))))</f>
      </c>
      <c r="Z189" s="28"/>
      <c r="AA189" s="29">
        <f>IF($B189&lt;&gt;"Entry","",IF(Z189="","",IF(X189="Y",SUMPRODUCT(('Rate Lookup'!$A$1:$A$32=Z189)*'Rate Lookup'!$D$1:$D$32),IF(OR(Y189="Individual",Y189="HUF"),SUMPRODUCT(('Rate Lookup'!$A$1:$A$32=Z189)*'Rate Lookup'!$B$1:$B$32),SUMPRODUCT(('Rate Lookup'!$A$1:$A$32=Z189)*'Rate Lookup'!$C$1:$C$32)))))</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IF($B189&lt;&gt;"Challan","",SUMIF($D$4:$D$207,D189,$AD$4:$AD$207)+SUMIF($D$4:$D$207,D189,$AG$4:$AG$207)+SUMIF($D$4:$D$207,D189,$AE$4:$AE$207))</f>
      </c>
      <c r="AO189" s="27">
        <f>IF($B189&lt;&gt;"Challan","",P189-N189)</f>
      </c>
      <c r="AP189" s="27">
        <f>IF($B189&lt;&gt;"Challan","",MAX(0,AO189-AN189))</f>
      </c>
      <c r="AQ189" s="33">
        <f>IF($B189&lt;&gt;"Entry","",SUMPRODUCT(($D$4:$D$207=D189)*($B$4:$B$207="Challan")*$F$4:$F$207))</f>
      </c>
      <c r="AR189" s="34">
        <f>IF(OR($B189&lt;&gt;"Entry",Z189=""),FALSE,AND(SUMPRODUCT(($D$4:$D$207=D189)*($B$4:$B$207="Challan")*($H$4:$H$207&lt;&gt;""))&gt;0,SUMPRODUCT(($D$4:$D$207=D189)*($B$4:$B$207="Challan")*($H$4:$H$207=Z189))=0))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lt;&gt;"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f>
      </c>
      <c r="Y190" s="23">
        <f>IF($B190&lt;&gt;"Entry","",IF(LEN(W190)&lt;4,"",IF(UPPER(MID(W190,4,1))="P","Individual",IF(UPPER(MID(W190,4,1))="H","HUF",IF(UPPER(MID(W190,4,1))="C","Company",IF(UPPER(MID(W190,4,1))="F","Firm",IF(UPPER(MID(W190,4,1))="L","LLP",IF(UPPER(MID(W190,4,1))="T","Trust",IF(UPPER(MID(W190,4,1))="A","AOP",""))))))))</f>
      </c>
      <c r="Z190" s="28"/>
      <c r="AA190" s="29">
        <f>IF($B190&lt;&gt;"Entry","",IF(Z190="","",IF(X190="Y",SUMPRODUCT(('Rate Lookup'!$A$1:$A$32=Z190)*'Rate Lookup'!$D$1:$D$32),IF(OR(Y190="Individual",Y190="HUF"),SUMPRODUCT(('Rate Lookup'!$A$1:$A$32=Z190)*'Rate Lookup'!$B$1:$B$32),SUMPRODUCT(('Rate Lookup'!$A$1:$A$32=Z190)*'Rate Lookup'!$C$1:$C$32)))))</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IF($B190&lt;&gt;"Challan","",SUMIF($D$4:$D$207,D190,$AD$4:$AD$207)+SUMIF($D$4:$D$207,D190,$AG$4:$AG$207)+SUMIF($D$4:$D$207,D190,$AE$4:$AE$207))</f>
      </c>
      <c r="AO190" s="27">
        <f>IF($B190&lt;&gt;"Challan","",P190-N190)</f>
      </c>
      <c r="AP190" s="27">
        <f>IF($B190&lt;&gt;"Challan","",MAX(0,AO190-AN190))</f>
      </c>
      <c r="AQ190" s="33">
        <f>IF($B190&lt;&gt;"Entry","",SUMPRODUCT(($D$4:$D$207=D190)*($B$4:$B$207="Challan")*$F$4:$F$207))</f>
      </c>
      <c r="AR190" s="34">
        <f>IF(OR($B190&lt;&gt;"Entry",Z190=""),FALSE,AND(SUMPRODUCT(($D$4:$D$207=D190)*($B$4:$B$207="Challan")*($H$4:$H$207&lt;&gt;""))&gt;0,SUMPRODUCT(($D$4:$D$207=D190)*($B$4:$B$207="Challan")*($H$4:$H$207=Z190))=0))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lt;&gt;"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f>
      </c>
      <c r="Y191" s="23">
        <f>IF($B191&lt;&gt;"Entry","",IF(LEN(W191)&lt;4,"",IF(UPPER(MID(W191,4,1))="P","Individual",IF(UPPER(MID(W191,4,1))="H","HUF",IF(UPPER(MID(W191,4,1))="C","Company",IF(UPPER(MID(W191,4,1))="F","Firm",IF(UPPER(MID(W191,4,1))="L","LLP",IF(UPPER(MID(W191,4,1))="T","Trust",IF(UPPER(MID(W191,4,1))="A","AOP",""))))))))</f>
      </c>
      <c r="Z191" s="28"/>
      <c r="AA191" s="29">
        <f>IF($B191&lt;&gt;"Entry","",IF(Z191="","",IF(X191="Y",SUMPRODUCT(('Rate Lookup'!$A$1:$A$32=Z191)*'Rate Lookup'!$D$1:$D$32),IF(OR(Y191="Individual",Y191="HUF"),SUMPRODUCT(('Rate Lookup'!$A$1:$A$32=Z191)*'Rate Lookup'!$B$1:$B$32),SUMPRODUCT(('Rate Lookup'!$A$1:$A$32=Z191)*'Rate Lookup'!$C$1:$C$32)))))</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IF($B191&lt;&gt;"Challan","",SUMIF($D$4:$D$207,D191,$AD$4:$AD$207)+SUMIF($D$4:$D$207,D191,$AG$4:$AG$207)+SUMIF($D$4:$D$207,D191,$AE$4:$AE$207))</f>
      </c>
      <c r="AO191" s="27">
        <f>IF($B191&lt;&gt;"Challan","",P191-N191)</f>
      </c>
      <c r="AP191" s="27">
        <f>IF($B191&lt;&gt;"Challan","",MAX(0,AO191-AN191))</f>
      </c>
      <c r="AQ191" s="33">
        <f>IF($B191&lt;&gt;"Entry","",SUMPRODUCT(($D$4:$D$207=D191)*($B$4:$B$207="Challan")*$F$4:$F$207))</f>
      </c>
      <c r="AR191" s="34">
        <f>IF(OR($B191&lt;&gt;"Entry",Z191=""),FALSE,AND(SUMPRODUCT(($D$4:$D$207=D191)*($B$4:$B$207="Challan")*($H$4:$H$207&lt;&gt;""))&gt;0,SUMPRODUCT(($D$4:$D$207=D191)*($B$4:$B$207="Challan")*($H$4:$H$207=Z191))=0))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lt;&gt;"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f>
      </c>
      <c r="Y192" s="23">
        <f>IF($B192&lt;&gt;"Entry","",IF(LEN(W192)&lt;4,"",IF(UPPER(MID(W192,4,1))="P","Individual",IF(UPPER(MID(W192,4,1))="H","HUF",IF(UPPER(MID(W192,4,1))="C","Company",IF(UPPER(MID(W192,4,1))="F","Firm",IF(UPPER(MID(W192,4,1))="L","LLP",IF(UPPER(MID(W192,4,1))="T","Trust",IF(UPPER(MID(W192,4,1))="A","AOP",""))))))))</f>
      </c>
      <c r="Z192" s="28"/>
      <c r="AA192" s="29">
        <f>IF($B192&lt;&gt;"Entry","",IF(Z192="","",IF(X192="Y",SUMPRODUCT(('Rate Lookup'!$A$1:$A$32=Z192)*'Rate Lookup'!$D$1:$D$32),IF(OR(Y192="Individual",Y192="HUF"),SUMPRODUCT(('Rate Lookup'!$A$1:$A$32=Z192)*'Rate Lookup'!$B$1:$B$32),SUMPRODUCT(('Rate Lookup'!$A$1:$A$32=Z192)*'Rate Lookup'!$C$1:$C$32)))))</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IF($B192&lt;&gt;"Challan","",SUMIF($D$4:$D$207,D192,$AD$4:$AD$207)+SUMIF($D$4:$D$207,D192,$AG$4:$AG$207)+SUMIF($D$4:$D$207,D192,$AE$4:$AE$207))</f>
      </c>
      <c r="AO192" s="27">
        <f>IF($B192&lt;&gt;"Challan","",P192-N192)</f>
      </c>
      <c r="AP192" s="27">
        <f>IF($B192&lt;&gt;"Challan","",MAX(0,AO192-AN192))</f>
      </c>
      <c r="AQ192" s="33">
        <f>IF($B192&lt;&gt;"Entry","",SUMPRODUCT(($D$4:$D$207=D192)*($B$4:$B$207="Challan")*$F$4:$F$207))</f>
      </c>
      <c r="AR192" s="34">
        <f>IF(OR($B192&lt;&gt;"Entry",Z192=""),FALSE,AND(SUMPRODUCT(($D$4:$D$207=D192)*($B$4:$B$207="Challan")*($H$4:$H$207&lt;&gt;""))&gt;0,SUMPRODUCT(($D$4:$D$207=D192)*($B$4:$B$207="Challan")*($H$4:$H$207=Z192))=0))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lt;&gt;"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f>
      </c>
      <c r="Y193" s="23">
        <f>IF($B193&lt;&gt;"Entry","",IF(LEN(W193)&lt;4,"",IF(UPPER(MID(W193,4,1))="P","Individual",IF(UPPER(MID(W193,4,1))="H","HUF",IF(UPPER(MID(W193,4,1))="C","Company",IF(UPPER(MID(W193,4,1))="F","Firm",IF(UPPER(MID(W193,4,1))="L","LLP",IF(UPPER(MID(W193,4,1))="T","Trust",IF(UPPER(MID(W193,4,1))="A","AOP",""))))))))</f>
      </c>
      <c r="Z193" s="28"/>
      <c r="AA193" s="29">
        <f>IF($B193&lt;&gt;"Entry","",IF(Z193="","",IF(X193="Y",SUMPRODUCT(('Rate Lookup'!$A$1:$A$32=Z193)*'Rate Lookup'!$D$1:$D$32),IF(OR(Y193="Individual",Y193="HUF"),SUMPRODUCT(('Rate Lookup'!$A$1:$A$32=Z193)*'Rate Lookup'!$B$1:$B$32),SUMPRODUCT(('Rate Lookup'!$A$1:$A$32=Z193)*'Rate Lookup'!$C$1:$C$32)))))</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IF($B193&lt;&gt;"Challan","",SUMIF($D$4:$D$207,D193,$AD$4:$AD$207)+SUMIF($D$4:$D$207,D193,$AG$4:$AG$207)+SUMIF($D$4:$D$207,D193,$AE$4:$AE$207))</f>
      </c>
      <c r="AO193" s="27">
        <f>IF($B193&lt;&gt;"Challan","",P193-N193)</f>
      </c>
      <c r="AP193" s="27">
        <f>IF($B193&lt;&gt;"Challan","",MAX(0,AO193-AN193))</f>
      </c>
      <c r="AQ193" s="33">
        <f>IF($B193&lt;&gt;"Entry","",SUMPRODUCT(($D$4:$D$207=D193)*($B$4:$B$207="Challan")*$F$4:$F$207))</f>
      </c>
      <c r="AR193" s="34">
        <f>IF(OR($B193&lt;&gt;"Entry",Z193=""),FALSE,AND(SUMPRODUCT(($D$4:$D$207=D193)*($B$4:$B$207="Challan")*($H$4:$H$207&lt;&gt;""))&gt;0,SUMPRODUCT(($D$4:$D$207=D193)*($B$4:$B$207="Challan")*($H$4:$H$207=Z193))=0))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lt;&gt;"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f>
      </c>
      <c r="Y194" s="23">
        <f>IF($B194&lt;&gt;"Entry","",IF(LEN(W194)&lt;4,"",IF(UPPER(MID(W194,4,1))="P","Individual",IF(UPPER(MID(W194,4,1))="H","HUF",IF(UPPER(MID(W194,4,1))="C","Company",IF(UPPER(MID(W194,4,1))="F","Firm",IF(UPPER(MID(W194,4,1))="L","LLP",IF(UPPER(MID(W194,4,1))="T","Trust",IF(UPPER(MID(W194,4,1))="A","AOP",""))))))))</f>
      </c>
      <c r="Z194" s="28"/>
      <c r="AA194" s="29">
        <f>IF($B194&lt;&gt;"Entry","",IF(Z194="","",IF(X194="Y",SUMPRODUCT(('Rate Lookup'!$A$1:$A$32=Z194)*'Rate Lookup'!$D$1:$D$32),IF(OR(Y194="Individual",Y194="HUF"),SUMPRODUCT(('Rate Lookup'!$A$1:$A$32=Z194)*'Rate Lookup'!$B$1:$B$32),SUMPRODUCT(('Rate Lookup'!$A$1:$A$32=Z194)*'Rate Lookup'!$C$1:$C$32)))))</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IF($B194&lt;&gt;"Challan","",SUMIF($D$4:$D$207,D194,$AD$4:$AD$207)+SUMIF($D$4:$D$207,D194,$AG$4:$AG$207)+SUMIF($D$4:$D$207,D194,$AE$4:$AE$207))</f>
      </c>
      <c r="AO194" s="27">
        <f>IF($B194&lt;&gt;"Challan","",P194-N194)</f>
      </c>
      <c r="AP194" s="27">
        <f>IF($B194&lt;&gt;"Challan","",MAX(0,AO194-AN194))</f>
      </c>
      <c r="AQ194" s="33">
        <f>IF($B194&lt;&gt;"Entry","",SUMPRODUCT(($D$4:$D$207=D194)*($B$4:$B$207="Challan")*$F$4:$F$207))</f>
      </c>
      <c r="AR194" s="34">
        <f>IF(OR($B194&lt;&gt;"Entry",Z194=""),FALSE,AND(SUMPRODUCT(($D$4:$D$207=D194)*($B$4:$B$207="Challan")*($H$4:$H$207&lt;&gt;""))&gt;0,SUMPRODUCT(($D$4:$D$207=D194)*($B$4:$B$207="Challan")*($H$4:$H$207=Z194))=0))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lt;&gt;"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f>
      </c>
      <c r="Y195" s="23">
        <f>IF($B195&lt;&gt;"Entry","",IF(LEN(W195)&lt;4,"",IF(UPPER(MID(W195,4,1))="P","Individual",IF(UPPER(MID(W195,4,1))="H","HUF",IF(UPPER(MID(W195,4,1))="C","Company",IF(UPPER(MID(W195,4,1))="F","Firm",IF(UPPER(MID(W195,4,1))="L","LLP",IF(UPPER(MID(W195,4,1))="T","Trust",IF(UPPER(MID(W195,4,1))="A","AOP",""))))))))</f>
      </c>
      <c r="Z195" s="28"/>
      <c r="AA195" s="29">
        <f>IF($B195&lt;&gt;"Entry","",IF(Z195="","",IF(X195="Y",SUMPRODUCT(('Rate Lookup'!$A$1:$A$32=Z195)*'Rate Lookup'!$D$1:$D$32),IF(OR(Y195="Individual",Y195="HUF"),SUMPRODUCT(('Rate Lookup'!$A$1:$A$32=Z195)*'Rate Lookup'!$B$1:$B$32),SUMPRODUCT(('Rate Lookup'!$A$1:$A$32=Z195)*'Rate Lookup'!$C$1:$C$32)))))</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IF($B195&lt;&gt;"Challan","",SUMIF($D$4:$D$207,D195,$AD$4:$AD$207)+SUMIF($D$4:$D$207,D195,$AG$4:$AG$207)+SUMIF($D$4:$D$207,D195,$AE$4:$AE$207))</f>
      </c>
      <c r="AO195" s="27">
        <f>IF($B195&lt;&gt;"Challan","",P195-N195)</f>
      </c>
      <c r="AP195" s="27">
        <f>IF($B195&lt;&gt;"Challan","",MAX(0,AO195-AN195))</f>
      </c>
      <c r="AQ195" s="33">
        <f>IF($B195&lt;&gt;"Entry","",SUMPRODUCT(($D$4:$D$207=D195)*($B$4:$B$207="Challan")*$F$4:$F$207))</f>
      </c>
      <c r="AR195" s="34">
        <f>IF(OR($B195&lt;&gt;"Entry",Z195=""),FALSE,AND(SUMPRODUCT(($D$4:$D$207=D195)*($B$4:$B$207="Challan")*($H$4:$H$207&lt;&gt;""))&gt;0,SUMPRODUCT(($D$4:$D$207=D195)*($B$4:$B$207="Challan")*($H$4:$H$207=Z195))=0))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lt;&gt;"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f>
      </c>
      <c r="Y196" s="23">
        <f>IF($B196&lt;&gt;"Entry","",IF(LEN(W196)&lt;4,"",IF(UPPER(MID(W196,4,1))="P","Individual",IF(UPPER(MID(W196,4,1))="H","HUF",IF(UPPER(MID(W196,4,1))="C","Company",IF(UPPER(MID(W196,4,1))="F","Firm",IF(UPPER(MID(W196,4,1))="L","LLP",IF(UPPER(MID(W196,4,1))="T","Trust",IF(UPPER(MID(W196,4,1))="A","AOP",""))))))))</f>
      </c>
      <c r="Z196" s="28"/>
      <c r="AA196" s="29">
        <f>IF($B196&lt;&gt;"Entry","",IF(Z196="","",IF(X196="Y",SUMPRODUCT(('Rate Lookup'!$A$1:$A$32=Z196)*'Rate Lookup'!$D$1:$D$32),IF(OR(Y196="Individual",Y196="HUF"),SUMPRODUCT(('Rate Lookup'!$A$1:$A$32=Z196)*'Rate Lookup'!$B$1:$B$32),SUMPRODUCT(('Rate Lookup'!$A$1:$A$32=Z196)*'Rate Lookup'!$C$1:$C$32)))))</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IF($B196&lt;&gt;"Challan","",SUMIF($D$4:$D$207,D196,$AD$4:$AD$207)+SUMIF($D$4:$D$207,D196,$AG$4:$AG$207)+SUMIF($D$4:$D$207,D196,$AE$4:$AE$207))</f>
      </c>
      <c r="AO196" s="27">
        <f>IF($B196&lt;&gt;"Challan","",P196-N196)</f>
      </c>
      <c r="AP196" s="27">
        <f>IF($B196&lt;&gt;"Challan","",MAX(0,AO196-AN196))</f>
      </c>
      <c r="AQ196" s="33">
        <f>IF($B196&lt;&gt;"Entry","",SUMPRODUCT(($D$4:$D$207=D196)*($B$4:$B$207="Challan")*$F$4:$F$207))</f>
      </c>
      <c r="AR196" s="34">
        <f>IF(OR($B196&lt;&gt;"Entry",Z196=""),FALSE,AND(SUMPRODUCT(($D$4:$D$207=D196)*($B$4:$B$207="Challan")*($H$4:$H$207&lt;&gt;""))&gt;0,SUMPRODUCT(($D$4:$D$207=D196)*($B$4:$B$207="Challan")*($H$4:$H$207=Z196))=0))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lt;&gt;"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f>
      </c>
      <c r="Y197" s="23">
        <f>IF($B197&lt;&gt;"Entry","",IF(LEN(W197)&lt;4,"",IF(UPPER(MID(W197,4,1))="P","Individual",IF(UPPER(MID(W197,4,1))="H","HUF",IF(UPPER(MID(W197,4,1))="C","Company",IF(UPPER(MID(W197,4,1))="F","Firm",IF(UPPER(MID(W197,4,1))="L","LLP",IF(UPPER(MID(W197,4,1))="T","Trust",IF(UPPER(MID(W197,4,1))="A","AOP",""))))))))</f>
      </c>
      <c r="Z197" s="28"/>
      <c r="AA197" s="29">
        <f>IF($B197&lt;&gt;"Entry","",IF(Z197="","",IF(X197="Y",SUMPRODUCT(('Rate Lookup'!$A$1:$A$32=Z197)*'Rate Lookup'!$D$1:$D$32),IF(OR(Y197="Individual",Y197="HUF"),SUMPRODUCT(('Rate Lookup'!$A$1:$A$32=Z197)*'Rate Lookup'!$B$1:$B$32),SUMPRODUCT(('Rate Lookup'!$A$1:$A$32=Z197)*'Rate Lookup'!$C$1:$C$32)))))</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IF($B197&lt;&gt;"Challan","",SUMIF($D$4:$D$207,D197,$AD$4:$AD$207)+SUMIF($D$4:$D$207,D197,$AG$4:$AG$207)+SUMIF($D$4:$D$207,D197,$AE$4:$AE$207))</f>
      </c>
      <c r="AO197" s="27">
        <f>IF($B197&lt;&gt;"Challan","",P197-N197)</f>
      </c>
      <c r="AP197" s="27">
        <f>IF($B197&lt;&gt;"Challan","",MAX(0,AO197-AN197))</f>
      </c>
      <c r="AQ197" s="33">
        <f>IF($B197&lt;&gt;"Entry","",SUMPRODUCT(($D$4:$D$207=D197)*($B$4:$B$207="Challan")*$F$4:$F$207))</f>
      </c>
      <c r="AR197" s="34">
        <f>IF(OR($B197&lt;&gt;"Entry",Z197=""),FALSE,AND(SUMPRODUCT(($D$4:$D$207=D197)*($B$4:$B$207="Challan")*($H$4:$H$207&lt;&gt;""))&gt;0,SUMPRODUCT(($D$4:$D$207=D197)*($B$4:$B$207="Challan")*($H$4:$H$207=Z197))=0))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lt;&gt;"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f>
      </c>
      <c r="Y198" s="23">
        <f>IF($B198&lt;&gt;"Entry","",IF(LEN(W198)&lt;4,"",IF(UPPER(MID(W198,4,1))="P","Individual",IF(UPPER(MID(W198,4,1))="H","HUF",IF(UPPER(MID(W198,4,1))="C","Company",IF(UPPER(MID(W198,4,1))="F","Firm",IF(UPPER(MID(W198,4,1))="L","LLP",IF(UPPER(MID(W198,4,1))="T","Trust",IF(UPPER(MID(W198,4,1))="A","AOP",""))))))))</f>
      </c>
      <c r="Z198" s="28"/>
      <c r="AA198" s="29">
        <f>IF($B198&lt;&gt;"Entry","",IF(Z198="","",IF(X198="Y",SUMPRODUCT(('Rate Lookup'!$A$1:$A$32=Z198)*'Rate Lookup'!$D$1:$D$32),IF(OR(Y198="Individual",Y198="HUF"),SUMPRODUCT(('Rate Lookup'!$A$1:$A$32=Z198)*'Rate Lookup'!$B$1:$B$32),SUMPRODUCT(('Rate Lookup'!$A$1:$A$32=Z198)*'Rate Lookup'!$C$1:$C$32)))))</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IF($B198&lt;&gt;"Challan","",SUMIF($D$4:$D$207,D198,$AD$4:$AD$207)+SUMIF($D$4:$D$207,D198,$AG$4:$AG$207)+SUMIF($D$4:$D$207,D198,$AE$4:$AE$207))</f>
      </c>
      <c r="AO198" s="27">
        <f>IF($B198&lt;&gt;"Challan","",P198-N198)</f>
      </c>
      <c r="AP198" s="27">
        <f>IF($B198&lt;&gt;"Challan","",MAX(0,AO198-AN198))</f>
      </c>
      <c r="AQ198" s="33">
        <f>IF($B198&lt;&gt;"Entry","",SUMPRODUCT(($D$4:$D$207=D198)*($B$4:$B$207="Challan")*$F$4:$F$207))</f>
      </c>
      <c r="AR198" s="34">
        <f>IF(OR($B198&lt;&gt;"Entry",Z198=""),FALSE,AND(SUMPRODUCT(($D$4:$D$207=D198)*($B$4:$B$207="Challan")*($H$4:$H$207&lt;&gt;""))&gt;0,SUMPRODUCT(($D$4:$D$207=D198)*($B$4:$B$207="Challan")*($H$4:$H$207=Z198))=0))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lt;&gt;"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f>
      </c>
      <c r="Y199" s="23">
        <f>IF($B199&lt;&gt;"Entry","",IF(LEN(W199)&lt;4,"",IF(UPPER(MID(W199,4,1))="P","Individual",IF(UPPER(MID(W199,4,1))="H","HUF",IF(UPPER(MID(W199,4,1))="C","Company",IF(UPPER(MID(W199,4,1))="F","Firm",IF(UPPER(MID(W199,4,1))="L","LLP",IF(UPPER(MID(W199,4,1))="T","Trust",IF(UPPER(MID(W199,4,1))="A","AOP",""))))))))</f>
      </c>
      <c r="Z199" s="28"/>
      <c r="AA199" s="29">
        <f>IF($B199&lt;&gt;"Entry","",IF(Z199="","",IF(X199="Y",SUMPRODUCT(('Rate Lookup'!$A$1:$A$32=Z199)*'Rate Lookup'!$D$1:$D$32),IF(OR(Y199="Individual",Y199="HUF"),SUMPRODUCT(('Rate Lookup'!$A$1:$A$32=Z199)*'Rate Lookup'!$B$1:$B$32),SUMPRODUCT(('Rate Lookup'!$A$1:$A$32=Z199)*'Rate Lookup'!$C$1:$C$32)))))</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IF($B199&lt;&gt;"Challan","",SUMIF($D$4:$D$207,D199,$AD$4:$AD$207)+SUMIF($D$4:$D$207,D199,$AG$4:$AG$207)+SUMIF($D$4:$D$207,D199,$AE$4:$AE$207))</f>
      </c>
      <c r="AO199" s="27">
        <f>IF($B199&lt;&gt;"Challan","",P199-N199)</f>
      </c>
      <c r="AP199" s="27">
        <f>IF($B199&lt;&gt;"Challan","",MAX(0,AO199-AN199))</f>
      </c>
      <c r="AQ199" s="33">
        <f>IF($B199&lt;&gt;"Entry","",SUMPRODUCT(($D$4:$D$207=D199)*($B$4:$B$207="Challan")*$F$4:$F$207))</f>
      </c>
      <c r="AR199" s="34">
        <f>IF(OR($B199&lt;&gt;"Entry",Z199=""),FALSE,AND(SUMPRODUCT(($D$4:$D$207=D199)*($B$4:$B$207="Challan")*($H$4:$H$207&lt;&gt;""))&gt;0,SUMPRODUCT(($D$4:$D$207=D199)*($B$4:$B$207="Challan")*($H$4:$H$207=Z199))=0))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lt;&gt;"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f>
      </c>
      <c r="Y200" s="23">
        <f>IF($B200&lt;&gt;"Entry","",IF(LEN(W200)&lt;4,"",IF(UPPER(MID(W200,4,1))="P","Individual",IF(UPPER(MID(W200,4,1))="H","HUF",IF(UPPER(MID(W200,4,1))="C","Company",IF(UPPER(MID(W200,4,1))="F","Firm",IF(UPPER(MID(W200,4,1))="L","LLP",IF(UPPER(MID(W200,4,1))="T","Trust",IF(UPPER(MID(W200,4,1))="A","AOP",""))))))))</f>
      </c>
      <c r="Z200" s="28"/>
      <c r="AA200" s="29">
        <f>IF($B200&lt;&gt;"Entry","",IF(Z200="","",IF(X200="Y",SUMPRODUCT(('Rate Lookup'!$A$1:$A$32=Z200)*'Rate Lookup'!$D$1:$D$32),IF(OR(Y200="Individual",Y200="HUF"),SUMPRODUCT(('Rate Lookup'!$A$1:$A$32=Z200)*'Rate Lookup'!$B$1:$B$32),SUMPRODUCT(('Rate Lookup'!$A$1:$A$32=Z200)*'Rate Lookup'!$C$1:$C$32)))))</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IF($B200&lt;&gt;"Challan","",SUMIF($D$4:$D$207,D200,$AD$4:$AD$207)+SUMIF($D$4:$D$207,D200,$AG$4:$AG$207)+SUMIF($D$4:$D$207,D200,$AE$4:$AE$207))</f>
      </c>
      <c r="AO200" s="27">
        <f>IF($B200&lt;&gt;"Challan","",P200-N200)</f>
      </c>
      <c r="AP200" s="27">
        <f>IF($B200&lt;&gt;"Challan","",MAX(0,AO200-AN200))</f>
      </c>
      <c r="AQ200" s="33">
        <f>IF($B200&lt;&gt;"Entry","",SUMPRODUCT(($D$4:$D$207=D200)*($B$4:$B$207="Challan")*$F$4:$F$207))</f>
      </c>
      <c r="AR200" s="34">
        <f>IF(OR($B200&lt;&gt;"Entry",Z200=""),FALSE,AND(SUMPRODUCT(($D$4:$D$207=D200)*($B$4:$B$207="Challan")*($H$4:$H$207&lt;&gt;""))&gt;0,SUMPRODUCT(($D$4:$D$207=D200)*($B$4:$B$207="Challan")*($H$4:$H$207=Z200))=0))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lt;&gt;"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f>
      </c>
      <c r="Y201" s="23">
        <f>IF($B201&lt;&gt;"Entry","",IF(LEN(W201)&lt;4,"",IF(UPPER(MID(W201,4,1))="P","Individual",IF(UPPER(MID(W201,4,1))="H","HUF",IF(UPPER(MID(W201,4,1))="C","Company",IF(UPPER(MID(W201,4,1))="F","Firm",IF(UPPER(MID(W201,4,1))="L","LLP",IF(UPPER(MID(W201,4,1))="T","Trust",IF(UPPER(MID(W201,4,1))="A","AOP",""))))))))</f>
      </c>
      <c r="Z201" s="28"/>
      <c r="AA201" s="29">
        <f>IF($B201&lt;&gt;"Entry","",IF(Z201="","",IF(X201="Y",SUMPRODUCT(('Rate Lookup'!$A$1:$A$32=Z201)*'Rate Lookup'!$D$1:$D$32),IF(OR(Y201="Individual",Y201="HUF"),SUMPRODUCT(('Rate Lookup'!$A$1:$A$32=Z201)*'Rate Lookup'!$B$1:$B$32),SUMPRODUCT(('Rate Lookup'!$A$1:$A$32=Z201)*'Rate Lookup'!$C$1:$C$32)))))</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IF($B201&lt;&gt;"Challan","",SUMIF($D$4:$D$207,D201,$AD$4:$AD$207)+SUMIF($D$4:$D$207,D201,$AG$4:$AG$207)+SUMIF($D$4:$D$207,D201,$AE$4:$AE$207))</f>
      </c>
      <c r="AO201" s="27">
        <f>IF($B201&lt;&gt;"Challan","",P201-N201)</f>
      </c>
      <c r="AP201" s="27">
        <f>IF($B201&lt;&gt;"Challan","",MAX(0,AO201-AN201))</f>
      </c>
      <c r="AQ201" s="33">
        <f>IF($B201&lt;&gt;"Entry","",SUMPRODUCT(($D$4:$D$207=D201)*($B$4:$B$207="Challan")*$F$4:$F$207))</f>
      </c>
      <c r="AR201" s="34">
        <f>IF(OR($B201&lt;&gt;"Entry",Z201=""),FALSE,AND(SUMPRODUCT(($D$4:$D$207=D201)*($B$4:$B$207="Challan")*($H$4:$H$207&lt;&gt;""))&gt;0,SUMPRODUCT(($D$4:$D$207=D201)*($B$4:$B$207="Challan")*($H$4:$H$207=Z201))=0))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lt;&gt;"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f>
      </c>
      <c r="Y202" s="23">
        <f>IF($B202&lt;&gt;"Entry","",IF(LEN(W202)&lt;4,"",IF(UPPER(MID(W202,4,1))="P","Individual",IF(UPPER(MID(W202,4,1))="H","HUF",IF(UPPER(MID(W202,4,1))="C","Company",IF(UPPER(MID(W202,4,1))="F","Firm",IF(UPPER(MID(W202,4,1))="L","LLP",IF(UPPER(MID(W202,4,1))="T","Trust",IF(UPPER(MID(W202,4,1))="A","AOP",""))))))))</f>
      </c>
      <c r="Z202" s="28"/>
      <c r="AA202" s="29">
        <f>IF($B202&lt;&gt;"Entry","",IF(Z202="","",IF(X202="Y",SUMPRODUCT(('Rate Lookup'!$A$1:$A$32=Z202)*'Rate Lookup'!$D$1:$D$32),IF(OR(Y202="Individual",Y202="HUF"),SUMPRODUCT(('Rate Lookup'!$A$1:$A$32=Z202)*'Rate Lookup'!$B$1:$B$32),SUMPRODUCT(('Rate Lookup'!$A$1:$A$32=Z202)*'Rate Lookup'!$C$1:$C$32)))))</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IF($B202&lt;&gt;"Challan","",SUMIF($D$4:$D$207,D202,$AD$4:$AD$207)+SUMIF($D$4:$D$207,D202,$AG$4:$AG$207)+SUMIF($D$4:$D$207,D202,$AE$4:$AE$207))</f>
      </c>
      <c r="AO202" s="27">
        <f>IF($B202&lt;&gt;"Challan","",P202-N202)</f>
      </c>
      <c r="AP202" s="27">
        <f>IF($B202&lt;&gt;"Challan","",MAX(0,AO202-AN202))</f>
      </c>
      <c r="AQ202" s="33">
        <f>IF($B202&lt;&gt;"Entry","",SUMPRODUCT(($D$4:$D$207=D202)*($B$4:$B$207="Challan")*$F$4:$F$207))</f>
      </c>
      <c r="AR202" s="34">
        <f>IF(OR($B202&lt;&gt;"Entry",Z202=""),FALSE,AND(SUMPRODUCT(($D$4:$D$207=D202)*($B$4:$B$207="Challan")*($H$4:$H$207&lt;&gt;""))&gt;0,SUMPRODUCT(($D$4:$D$207=D202)*($B$4:$B$207="Challan")*($H$4:$H$207=Z202))=0))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lt;&gt;"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f>
      </c>
      <c r="Y203" s="23">
        <f>IF($B203&lt;&gt;"Entry","",IF(LEN(W203)&lt;4,"",IF(UPPER(MID(W203,4,1))="P","Individual",IF(UPPER(MID(W203,4,1))="H","HUF",IF(UPPER(MID(W203,4,1))="C","Company",IF(UPPER(MID(W203,4,1))="F","Firm",IF(UPPER(MID(W203,4,1))="L","LLP",IF(UPPER(MID(W203,4,1))="T","Trust",IF(UPPER(MID(W203,4,1))="A","AOP",""))))))))</f>
      </c>
      <c r="Z203" s="28"/>
      <c r="AA203" s="29">
        <f>IF($B203&lt;&gt;"Entry","",IF(Z203="","",IF(X203="Y",SUMPRODUCT(('Rate Lookup'!$A$1:$A$32=Z203)*'Rate Lookup'!$D$1:$D$32),IF(OR(Y203="Individual",Y203="HUF"),SUMPRODUCT(('Rate Lookup'!$A$1:$A$32=Z203)*'Rate Lookup'!$B$1:$B$32),SUMPRODUCT(('Rate Lookup'!$A$1:$A$32=Z203)*'Rate Lookup'!$C$1:$C$32)))))</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IF($B203&lt;&gt;"Challan","",SUMIF($D$4:$D$207,D203,$AD$4:$AD$207)+SUMIF($D$4:$D$207,D203,$AG$4:$AG$207)+SUMIF($D$4:$D$207,D203,$AE$4:$AE$207))</f>
      </c>
      <c r="AO203" s="27">
        <f>IF($B203&lt;&gt;"Challan","",P203-N203)</f>
      </c>
      <c r="AP203" s="27">
        <f>IF($B203&lt;&gt;"Challan","",MAX(0,AO203-AN203))</f>
      </c>
      <c r="AQ203" s="33">
        <f>IF($B203&lt;&gt;"Entry","",SUMPRODUCT(($D$4:$D$207=D203)*($B$4:$B$207="Challan")*$F$4:$F$207))</f>
      </c>
      <c r="AR203" s="34">
        <f>IF(OR($B203&lt;&gt;"Entry",Z203=""),FALSE,AND(SUMPRODUCT(($D$4:$D$207=D203)*($B$4:$B$207="Challan")*($H$4:$H$207&lt;&gt;""))&gt;0,SUMPRODUCT(($D$4:$D$207=D203)*($B$4:$B$207="Challan")*($H$4:$H$207=Z203))=0))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lt;&gt;"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f>
      </c>
      <c r="Y204" s="23">
        <f>IF($B204&lt;&gt;"Entry","",IF(LEN(W204)&lt;4,"",IF(UPPER(MID(W204,4,1))="P","Individual",IF(UPPER(MID(W204,4,1))="H","HUF",IF(UPPER(MID(W204,4,1))="C","Company",IF(UPPER(MID(W204,4,1))="F","Firm",IF(UPPER(MID(W204,4,1))="L","LLP",IF(UPPER(MID(W204,4,1))="T","Trust",IF(UPPER(MID(W204,4,1))="A","AOP",""))))))))</f>
      </c>
      <c r="Z204" s="28"/>
      <c r="AA204" s="29">
        <f>IF($B204&lt;&gt;"Entry","",IF(Z204="","",IF(X204="Y",SUMPRODUCT(('Rate Lookup'!$A$1:$A$32=Z204)*'Rate Lookup'!$D$1:$D$32),IF(OR(Y204="Individual",Y204="HUF"),SUMPRODUCT(('Rate Lookup'!$A$1:$A$32=Z204)*'Rate Lookup'!$B$1:$B$32),SUMPRODUCT(('Rate Lookup'!$A$1:$A$32=Z204)*'Rate Lookup'!$C$1:$C$32)))))</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IF($B204&lt;&gt;"Challan","",SUMIF($D$4:$D$207,D204,$AD$4:$AD$207)+SUMIF($D$4:$D$207,D204,$AG$4:$AG$207)+SUMIF($D$4:$D$207,D204,$AE$4:$AE$207))</f>
      </c>
      <c r="AO204" s="27">
        <f>IF($B204&lt;&gt;"Challan","",P204-N204)</f>
      </c>
      <c r="AP204" s="27">
        <f>IF($B204&lt;&gt;"Challan","",MAX(0,AO204-AN204))</f>
      </c>
      <c r="AQ204" s="33">
        <f>IF($B204&lt;&gt;"Entry","",SUMPRODUCT(($D$4:$D$207=D204)*($B$4:$B$207="Challan")*$F$4:$F$207))</f>
      </c>
      <c r="AR204" s="34">
        <f>IF(OR($B204&lt;&gt;"Entry",Z204=""),FALSE,AND(SUMPRODUCT(($D$4:$D$207=D204)*($B$4:$B$207="Challan")*($H$4:$H$207&lt;&gt;""))&gt;0,SUMPRODUCT(($D$4:$D$207=D204)*($B$4:$B$207="Challan")*($H$4:$H$207=Z204))=0))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lt;&gt;"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f>
      </c>
      <c r="Y205" s="23">
        <f>IF($B205&lt;&gt;"Entry","",IF(LEN(W205)&lt;4,"",IF(UPPER(MID(W205,4,1))="P","Individual",IF(UPPER(MID(W205,4,1))="H","HUF",IF(UPPER(MID(W205,4,1))="C","Company",IF(UPPER(MID(W205,4,1))="F","Firm",IF(UPPER(MID(W205,4,1))="L","LLP",IF(UPPER(MID(W205,4,1))="T","Trust",IF(UPPER(MID(W205,4,1))="A","AOP",""))))))))</f>
      </c>
      <c r="Z205" s="28"/>
      <c r="AA205" s="29">
        <f>IF($B205&lt;&gt;"Entry","",IF(Z205="","",IF(X205="Y",SUMPRODUCT(('Rate Lookup'!$A$1:$A$32=Z205)*'Rate Lookup'!$D$1:$D$32),IF(OR(Y205="Individual",Y205="HUF"),SUMPRODUCT(('Rate Lookup'!$A$1:$A$32=Z205)*'Rate Lookup'!$B$1:$B$32),SUMPRODUCT(('Rate Lookup'!$A$1:$A$32=Z205)*'Rate Lookup'!$C$1:$C$32)))))</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IF($B205&lt;&gt;"Challan","",SUMIF($D$4:$D$207,D205,$AD$4:$AD$207)+SUMIF($D$4:$D$207,D205,$AG$4:$AG$207)+SUMIF($D$4:$D$207,D205,$AE$4:$AE$207))</f>
      </c>
      <c r="AO205" s="27">
        <f>IF($B205&lt;&gt;"Challan","",P205-N205)</f>
      </c>
      <c r="AP205" s="27">
        <f>IF($B205&lt;&gt;"Challan","",MAX(0,AO205-AN205))</f>
      </c>
      <c r="AQ205" s="33">
        <f>IF($B205&lt;&gt;"Entry","",SUMPRODUCT(($D$4:$D$207=D205)*($B$4:$B$207="Challan")*$F$4:$F$207))</f>
      </c>
      <c r="AR205" s="34">
        <f>IF(OR($B205&lt;&gt;"Entry",Z205=""),FALSE,AND(SUMPRODUCT(($D$4:$D$207=D205)*($B$4:$B$207="Challan")*($H$4:$H$207&lt;&gt;""))&gt;0,SUMPRODUCT(($D$4:$D$207=D205)*($B$4:$B$207="Challan")*($H$4:$H$207=Z205))=0))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lt;&gt;"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f>
      </c>
      <c r="Y206" s="23">
        <f>IF($B206&lt;&gt;"Entry","",IF(LEN(W206)&lt;4,"",IF(UPPER(MID(W206,4,1))="P","Individual",IF(UPPER(MID(W206,4,1))="H","HUF",IF(UPPER(MID(W206,4,1))="C","Company",IF(UPPER(MID(W206,4,1))="F","Firm",IF(UPPER(MID(W206,4,1))="L","LLP",IF(UPPER(MID(W206,4,1))="T","Trust",IF(UPPER(MID(W206,4,1))="A","AOP",""))))))))</f>
      </c>
      <c r="Z206" s="28"/>
      <c r="AA206" s="29">
        <f>IF($B206&lt;&gt;"Entry","",IF(Z206="","",IF(X206="Y",SUMPRODUCT(('Rate Lookup'!$A$1:$A$32=Z206)*'Rate Lookup'!$D$1:$D$32),IF(OR(Y206="Individual",Y206="HUF"),SUMPRODUCT(('Rate Lookup'!$A$1:$A$32=Z206)*'Rate Lookup'!$B$1:$B$32),SUMPRODUCT(('Rate Lookup'!$A$1:$A$32=Z206)*'Rate Lookup'!$C$1:$C$32)))))</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IF($B206&lt;&gt;"Challan","",SUMIF($D$4:$D$207,D206,$AD$4:$AD$207)+SUMIF($D$4:$D$207,D206,$AG$4:$AG$207)+SUMIF($D$4:$D$207,D206,$AE$4:$AE$207))</f>
      </c>
      <c r="AO206" s="27">
        <f>IF($B206&lt;&gt;"Challan","",P206-N206)</f>
      </c>
      <c r="AP206" s="27">
        <f>IF($B206&lt;&gt;"Challan","",MAX(0,AO206-AN206))</f>
      </c>
      <c r="AQ206" s="33">
        <f>IF($B206&lt;&gt;"Entry","",SUMPRODUCT(($D$4:$D$207=D206)*($B$4:$B$207="Challan")*$F$4:$F$207))</f>
      </c>
      <c r="AR206" s="34">
        <f>IF(OR($B206&lt;&gt;"Entry",Z206=""),FALSE,AND(SUMPRODUCT(($D$4:$D$207=D206)*($B$4:$B$207="Challan")*($H$4:$H$207&lt;&gt;""))&gt;0,SUMPRODUCT(($D$4:$D$207=D206)*($B$4:$B$207="Challan")*($H$4:$H$207=Z206))=0))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lt;&gt;"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f>
      </c>
      <c r="Y207" s="23">
        <f>IF($B207&lt;&gt;"Entry","",IF(LEN(W207)&lt;4,"",IF(UPPER(MID(W207,4,1))="P","Individual",IF(UPPER(MID(W207,4,1))="H","HUF",IF(UPPER(MID(W207,4,1))="C","Company",IF(UPPER(MID(W207,4,1))="F","Firm",IF(UPPER(MID(W207,4,1))="L","LLP",IF(UPPER(MID(W207,4,1))="T","Trust",IF(UPPER(MID(W207,4,1))="A","AOP",""))))))))</f>
      </c>
      <c r="Z207" s="28"/>
      <c r="AA207" s="29">
        <f>IF($B207&lt;&gt;"Entry","",IF(Z207="","",IF(X207="Y",SUMPRODUCT(('Rate Lookup'!$A$1:$A$32=Z207)*'Rate Lookup'!$D$1:$D$32),IF(OR(Y207="Individual",Y207="HUF"),SUMPRODUCT(('Rate Lookup'!$A$1:$A$32=Z207)*'Rate Lookup'!$B$1:$B$32),SUMPRODUCT(('Rate Lookup'!$A$1:$A$32=Z207)*'Rate Lookup'!$C$1:$C$32)))))</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IF($B207&lt;&gt;"Challan","",SUMIF($D$4:$D$207,D207,$AD$4:$AD$207)+SUMIF($D$4:$D$207,D207,$AG$4:$AG$207)+SUMIF($D$4:$D$207,D207,$AE$4:$AE$207))</f>
      </c>
      <c r="AO207" s="27">
        <f>IF($B207&lt;&gt;"Challan","",P207-N207)</f>
      </c>
      <c r="AP207" s="27">
        <f>IF($B207&lt;&gt;"Challan","",MAX(0,AO207-AN207))</f>
      </c>
      <c r="AQ207" s="33">
        <f>IF($B207&lt;&gt;"Entry","",SUMPRODUCT(($D$4:$D$207=D207)*($B$4:$B$207="Challan")*$F$4:$F$207))</f>
      </c>
      <c r="AR207" s="34">
        <f>IF(OR($B207&lt;&gt;"Entry",Z207=""),FALSE,AND(SUMPRODUCT(($D$4:$D$207=D207)*($B$4:$B$207="Challan")*($H$4:$H$207&lt;&gt;""))&gt;0,SUMPRODUCT(($D$4:$D$207=D207)*($B$4:$B$207="Challan")*($H$4:$H$207=Z207))=0))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"192,192A,193,194,194A,194B,194BB,194C,194D,194DA,194G,194H,194I(a),194I(b),194IA,194IB,194IC,194J(a),194J(b),194K,194LA,194LB,194M,194O,194Q,194R,194S,195,196A,196D,206C(1),206C(1H)"</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"192,192A,193,194,194A,194B,194BB,194C,194D,194DA,194G,194H,194I(a),194I(b),194IA,194IB,194IC,194J(a),194J(b),194K,194LA,194LB,194M,194O,194Q,194R,194S,195,196A,196D,206C(1),206C(1H)"</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2026-07-30T10:15:41Z</dcterms:created>
  <dcterms:modified xsi:type="dcterms:W3CDTF">2026-07-30T10:15:41Z</dcterms:modified>
</cp:coreProperties>
</file>