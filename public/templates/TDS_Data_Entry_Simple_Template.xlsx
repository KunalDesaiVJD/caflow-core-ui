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s>
  <calcPr calcId="171027" fullCalcOnLoad="1"/>
</workbook>
</file>

<file path=xl/sharedStrings.xml><?xml version="1.0" encoding="utf-8"?>
<sst xmlns="http://schemas.openxmlformats.org/spreadsheetml/2006/main" count="193" uniqueCount="121">
  <si>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</si>
  <si>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</si>
  <si>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</si>
  <si>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</si>
  <si>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</si>
  <si>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all appear together in the single grey "Challan Details (ref)" column right next to it, instead of spread across separate columns.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</si>
  <si>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</si>
  <si>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</si>
  <si>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</si>
  <si>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</si>
  <si>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</si>
  <si>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</si>
  <si>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</si>
  <si>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Q1’s rows 4–6 are a worked example (one Challan Master row with THREE linked entries) — otherwise ordinary rows using the same dropdowns/formulas as any row you fill in. Delete them, overwrite them, or leave them; the software recognises the example Challan Serial No. and always excludes it from import.</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</si>
  <si>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</si>
  <si>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</si>
  <si>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</si>
  <si>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</si>
  <si>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</si>
  <si>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</si>
  <si>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</si>
  <si>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</si>
  <si>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</si>
  <si>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</si>
  <si>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</si>
  <si>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</si>
  <si>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</si>
  <si>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</si>
  <si>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</si>
  <si>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</si>
  <si>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</si>
  <si>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</si>
  <si>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</si>
  <si>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</si>
  <si>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</si>
  <si>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</si>
  <si>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</si>
  <si>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</si>
  <si>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</si>
  <si>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</si>
  <si>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</si>
  <si>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</si>
  <si>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</si>
  <si>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</si>
  <si>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</si>
  <si>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</si>
  <si>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</si>
  <si>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</si>
  <si>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</si>
  <si>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</si>
  <si>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</si>
  <si>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</si>
  <si>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</si>
  <si>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</si>
  <si>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</si>
  <si>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</si>
  <si>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</si>
  <si>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</si>
  <si>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</si>
  <si>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</si>
  <si>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</si>
  <si>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</si>
  <si>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</si>
  <si>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</si>
  <si>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</si>
  <si>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</si>
  <si>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</si>
  <si>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</si>
  <si>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</si>
  <si>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</si>
  <si>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</si>
  <si>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</si>
  <si>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</si>
  <si>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</si>
  <si>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</si>
  <si>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</si>
  <si>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</si>
  <si>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</si>
  <si>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</si>
  <si>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</si>
  <si>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</si>
  <si>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</si>
  <si>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0510002</t>
  </si>
  <si>
    <t>EXAMPLE-DO-NOT-IMPORT</t>
  </si>
  <si>
    <t>200</t>
  </si>
  <si>
    <t>HDFC Bank</t>
  </si>
  <si>
    <t>N</t>
  </si>
  <si>
    <t>Worked example — see Instructions</t>
  </si>
  <si>
    <t>Q1 — pick a Challan for every deductee entry below</t>
  </si>
  <si>
    <t>Challan (select)*</t>
  </si>
  <si>
    <t>Challan Details (ref)</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</si>
  <si>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</si>
  <si>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</si>
  <si>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</si>
  <si>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</si>
  <si>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</si>
  <si>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</si>
  <si>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</si>
  <si>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</si>
  <si>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</si>
  <si>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</si>
  <si>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</si>
  <si>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</si>
  <si>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</si>
  <si>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</si>
  <si>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</si>
  <si>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</si>
  <si>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</si>
  <si>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</si>
  <si>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ADINATH PROCESSING INDUSTRIES PRIVATE LIMITED</t>
  </si>
  <si>
    <t>AACCP6899F</t>
  </si>
  <si>
    <t>A-ONE CHEM TRADE PVT. LTD.</t>
  </si>
  <si>
    <t>AAGCA2480D</t>
  </si>
  <si>
    <t>KHYATI CHEMICALS PRIVATE LIMITED</t>
  </si>
  <si>
    <t>AAACK6277E</t>
  </si>
  <si>
    <t>B</t>
  </si>
  <si>
    <t>LDC/2026/001</t>
  </si>
  <si>
    <t>NIL rate, LDC on file</t>
  </si>
  <si>
    <t>Q2 — pick a Challan for every deductee entry below</t>
  </si>
  <si>
    <t>Q3 — pick a Challan for every deductee entry below</t>
  </si>
  <si>
    <t>Q4 — pick a Challan for every deductee entry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</si>
</sst>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xf numFmtId="14" fontId="8" fillId="0" borderId="2" xfId="0" applyNumberFormat="1" applyFont="1" applyBorder="1" applyProtection="1">
      <protection locked="0"/>
    </xf>
  </cellXfs>
  <cellStyles count="1">
    <cellStyle name="Normal" xfId="0" builtinId="0"/>
  </cellStyles>
  <dxfs count="28">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row r="19" spans="1:1" x14ac:dyDescent="0.25">
      <c r="A19" s="4" t="s">
        <v>16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17</v>
      </c>
      <c r="B1">
        <v>10</v>
      </c>
      <c r="C1">
        <v>10</v>
      </c>
      <c r="D1">
        <v>20</v>
      </c>
    </row>
    <row r="2" spans="1:4" x14ac:dyDescent="0.25">
      <c r="A2" t="s">
        <v>18</v>
      </c>
      <c r="B2">
        <v>0</v>
      </c>
      <c r="C2">
        <v>0</v>
      </c>
      <c r="D2">
        <v>20</v>
      </c>
    </row>
    <row r="3" spans="1:4" x14ac:dyDescent="0.25">
      <c r="A3" t="s">
        <v>19</v>
      </c>
      <c r="B3">
        <v>10</v>
      </c>
      <c r="C3">
        <v>10</v>
      </c>
      <c r="D3">
        <v>20</v>
      </c>
    </row>
    <row r="4" spans="1:4" x14ac:dyDescent="0.25">
      <c r="A4" t="s">
        <v>20</v>
      </c>
      <c r="B4">
        <v>10</v>
      </c>
      <c r="C4">
        <v>10</v>
      </c>
      <c r="D4">
        <v>20</v>
      </c>
    </row>
    <row r="5" spans="1:4" x14ac:dyDescent="0.25">
      <c r="A5" t="s">
        <v>21</v>
      </c>
      <c r="B5">
        <v>10</v>
      </c>
      <c r="C5">
        <v>10</v>
      </c>
      <c r="D5">
        <v>20</v>
      </c>
    </row>
    <row r="6" spans="1:4" x14ac:dyDescent="0.25">
      <c r="A6" t="s">
        <v>22</v>
      </c>
      <c r="B6">
        <v>10</v>
      </c>
      <c r="C6">
        <v>10</v>
      </c>
      <c r="D6">
        <v>20</v>
      </c>
    </row>
    <row r="7" spans="1:4" x14ac:dyDescent="0.25">
      <c r="A7" t="s">
        <v>23</v>
      </c>
      <c r="B7">
        <v>10</v>
      </c>
      <c r="C7">
        <v>10</v>
      </c>
      <c r="D7">
        <v>20</v>
      </c>
    </row>
    <row r="8" spans="1:4" x14ac:dyDescent="0.25">
      <c r="A8" t="s">
        <v>24</v>
      </c>
      <c r="B8">
        <v>30</v>
      </c>
      <c r="C8">
        <v>30</v>
      </c>
      <c r="D8">
        <v>30</v>
      </c>
    </row>
    <row r="9" spans="1:4" x14ac:dyDescent="0.25">
      <c r="A9" t="s">
        <v>25</v>
      </c>
      <c r="B9">
        <v>30</v>
      </c>
      <c r="C9">
        <v>30</v>
      </c>
      <c r="D9">
        <v>30</v>
      </c>
    </row>
    <row r="10" spans="1:4" x14ac:dyDescent="0.25">
      <c r="A10" t="s">
        <v>26</v>
      </c>
      <c r="B10">
        <v>1</v>
      </c>
      <c r="C10">
        <v>2</v>
      </c>
      <c r="D10">
        <v>20</v>
      </c>
    </row>
    <row r="11" spans="1:4" x14ac:dyDescent="0.25">
      <c r="A11" t="s">
        <v>27</v>
      </c>
      <c r="B11">
        <v>1</v>
      </c>
      <c r="C11">
        <v>1</v>
      </c>
      <c r="D11">
        <v>20</v>
      </c>
    </row>
    <row r="12" spans="1:4" x14ac:dyDescent="0.25">
      <c r="A12" t="s">
        <v>28</v>
      </c>
      <c r="B12">
        <v>2</v>
      </c>
      <c r="C12">
        <v>2</v>
      </c>
      <c r="D12">
        <v>20</v>
      </c>
    </row>
    <row r="13" spans="1:4" x14ac:dyDescent="0.25">
      <c r="A13" t="s">
        <v>29</v>
      </c>
      <c r="B13">
        <v>2</v>
      </c>
      <c r="C13">
        <v>10</v>
      </c>
      <c r="D13">
        <v>20</v>
      </c>
    </row>
    <row r="14" spans="1:4" x14ac:dyDescent="0.25">
      <c r="A14" t="s">
        <v>30</v>
      </c>
      <c r="B14">
        <v>2</v>
      </c>
      <c r="C14">
        <v>2</v>
      </c>
      <c r="D14">
        <v>20</v>
      </c>
    </row>
    <row r="15" spans="1:4" x14ac:dyDescent="0.25">
      <c r="A15" t="s">
        <v>31</v>
      </c>
      <c r="B15">
        <v>2</v>
      </c>
      <c r="C15">
        <v>2</v>
      </c>
      <c r="D15">
        <v>20</v>
      </c>
    </row>
    <row r="16" spans="1:4" x14ac:dyDescent="0.25">
      <c r="A16" t="s">
        <v>32</v>
      </c>
      <c r="B16">
        <v>2</v>
      </c>
      <c r="C16">
        <v>2</v>
      </c>
      <c r="D16">
        <v>20</v>
      </c>
    </row>
    <row r="17" spans="1:4" x14ac:dyDescent="0.25">
      <c r="A17" t="s">
        <v>33</v>
      </c>
      <c r="B17">
        <v>2</v>
      </c>
      <c r="C17">
        <v>2</v>
      </c>
      <c r="D17">
        <v>20</v>
      </c>
    </row>
    <row r="18" spans="1:4" x14ac:dyDescent="0.25">
      <c r="A18" t="s">
        <v>34</v>
      </c>
      <c r="B18">
        <v>10</v>
      </c>
      <c r="C18">
        <v>10</v>
      </c>
      <c r="D18">
        <v>20</v>
      </c>
    </row>
    <row r="19" spans="1:4" x14ac:dyDescent="0.25">
      <c r="A19" t="s">
        <v>35</v>
      </c>
      <c r="B19">
        <v>1</v>
      </c>
      <c r="C19">
        <v>1</v>
      </c>
      <c r="D19">
        <v>20</v>
      </c>
    </row>
    <row r="20" spans="1:4" x14ac:dyDescent="0.25">
      <c r="A20" t="s">
        <v>36</v>
      </c>
      <c r="B20">
        <v>2</v>
      </c>
      <c r="C20">
        <v>0</v>
      </c>
      <c r="D20">
        <v>20</v>
      </c>
    </row>
    <row r="21" spans="1:4" x14ac:dyDescent="0.25">
      <c r="A21" t="s">
        <v>37</v>
      </c>
      <c r="B21">
        <v>10</v>
      </c>
      <c r="C21">
        <v>10</v>
      </c>
      <c r="D21">
        <v>20</v>
      </c>
    </row>
    <row r="22" spans="1:4" x14ac:dyDescent="0.25">
      <c r="A22" t="s">
        <v>38</v>
      </c>
      <c r="B22">
        <v>10</v>
      </c>
      <c r="C22">
        <v>10</v>
      </c>
      <c r="D22">
        <v>20</v>
      </c>
    </row>
    <row r="23" spans="1:4" x14ac:dyDescent="0.25">
      <c r="A23" t="s">
        <v>39</v>
      </c>
      <c r="B23">
        <v>2</v>
      </c>
      <c r="C23">
        <v>2</v>
      </c>
      <c r="D23">
        <v>20</v>
      </c>
    </row>
    <row r="24" spans="1:4" x14ac:dyDescent="0.25">
      <c r="A24" t="s">
        <v>40</v>
      </c>
      <c r="B24">
        <v>10</v>
      </c>
      <c r="C24">
        <v>10</v>
      </c>
      <c r="D24">
        <v>20</v>
      </c>
    </row>
    <row r="25" spans="1:4" x14ac:dyDescent="0.25">
      <c r="A25" t="s">
        <v>41</v>
      </c>
      <c r="B25">
        <v>10</v>
      </c>
      <c r="C25">
        <v>10</v>
      </c>
      <c r="D25">
        <v>20</v>
      </c>
    </row>
    <row r="26" spans="1:4" x14ac:dyDescent="0.25">
      <c r="A26" t="s">
        <v>42</v>
      </c>
      <c r="B26">
        <v>5</v>
      </c>
      <c r="C26">
        <v>5</v>
      </c>
      <c r="D26">
        <v>20</v>
      </c>
    </row>
    <row r="27" spans="1:4" x14ac:dyDescent="0.25">
      <c r="A27" t="s">
        <v>43</v>
      </c>
      <c r="B27">
        <v>10</v>
      </c>
      <c r="C27">
        <v>10</v>
      </c>
      <c r="D27">
        <v>20</v>
      </c>
    </row>
    <row r="28" spans="1:4" x14ac:dyDescent="0.25">
      <c r="A28" t="s">
        <v>44</v>
      </c>
      <c r="B28">
        <v>2</v>
      </c>
      <c r="C28">
        <v>0</v>
      </c>
      <c r="D28">
        <v>20</v>
      </c>
    </row>
    <row r="29" spans="1:4" x14ac:dyDescent="0.25">
      <c r="A29" t="s">
        <v>45</v>
      </c>
      <c r="B29">
        <v>2</v>
      </c>
      <c r="C29">
        <v>2</v>
      </c>
      <c r="D29">
        <v>20</v>
      </c>
    </row>
    <row r="30" spans="1:4" x14ac:dyDescent="0.25">
      <c r="A30" t="s">
        <v>46</v>
      </c>
      <c r="B30">
        <v>2</v>
      </c>
      <c r="C30">
        <v>2</v>
      </c>
      <c r="D30">
        <v>20</v>
      </c>
    </row>
    <row r="31" spans="1:4" x14ac:dyDescent="0.25">
      <c r="A31" t="s">
        <v>47</v>
      </c>
      <c r="B31">
        <v>0.1</v>
      </c>
      <c r="C31">
        <v>0.1</v>
      </c>
      <c r="D31">
        <v>20</v>
      </c>
    </row>
    <row r="32" spans="1:4" x14ac:dyDescent="0.25">
      <c r="A32" t="s">
        <v>48</v>
      </c>
      <c r="B32">
        <v>0.1</v>
      </c>
      <c r="C32">
        <v>0.1</v>
      </c>
      <c r="D32">
        <v>5</v>
      </c>
    </row>
    <row r="33" spans="1:4" x14ac:dyDescent="0.25">
      <c r="A33" t="s">
        <v>49</v>
      </c>
      <c r="B33">
        <v>10</v>
      </c>
      <c r="C33">
        <v>10</v>
      </c>
      <c r="D33">
        <v>20</v>
      </c>
    </row>
    <row r="34" spans="1:4" x14ac:dyDescent="0.25">
      <c r="A34" t="s">
        <v>50</v>
      </c>
      <c r="B34">
        <v>10</v>
      </c>
      <c r="C34">
        <v>10</v>
      </c>
      <c r="D34">
        <v>20</v>
      </c>
    </row>
    <row r="35" spans="1:4" x14ac:dyDescent="0.25">
      <c r="A35" t="s">
        <v>51</v>
      </c>
      <c r="B35">
        <v>10</v>
      </c>
      <c r="C35">
        <v>10</v>
      </c>
      <c r="D35">
        <v>20</v>
      </c>
    </row>
    <row r="36" spans="1:4" x14ac:dyDescent="0.25">
      <c r="A36" t="s">
        <v>52</v>
      </c>
      <c r="B36">
        <v>1</v>
      </c>
      <c r="C36">
        <v>1</v>
      </c>
      <c r="D36">
        <v>20</v>
      </c>
    </row>
    <row r="37" spans="1:4" x14ac:dyDescent="0.25">
      <c r="A37" t="s">
        <v>53</v>
      </c>
      <c r="B37">
        <v>10</v>
      </c>
      <c r="C37">
        <v>0</v>
      </c>
      <c r="D37">
        <v>20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54</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55</v>
      </c>
      <c r="B3" s="6" t="s">
        <v>56</v>
      </c>
      <c r="C3" s="6" t="s">
        <v>57</v>
      </c>
      <c r="D3" s="6" t="s">
        <v>58</v>
      </c>
      <c r="E3" s="6" t="s">
        <v>59</v>
      </c>
      <c r="F3" s="6" t="s">
        <v>60</v>
      </c>
      <c r="G3" s="6" t="s">
        <v>61</v>
      </c>
      <c r="H3" s="6" t="s">
        <v>62</v>
      </c>
      <c r="I3" s="6" t="s">
        <v>63</v>
      </c>
      <c r="J3" s="6" t="s">
        <v>64</v>
      </c>
      <c r="K3" s="6" t="s">
        <v>65</v>
      </c>
      <c r="L3" s="6" t="s">
        <v>66</v>
      </c>
      <c r="M3" s="6" t="s">
        <v>67</v>
      </c>
      <c r="N3" s="6" t="s">
        <v>68</v>
      </c>
      <c r="O3" s="6" t="s">
        <v>69</v>
      </c>
      <c r="P3" s="6" t="s">
        <v>70</v>
      </c>
      <c r="Q3" s="6" t="s">
        <v>71</v>
      </c>
      <c r="R3" s="6" t="s">
        <v>72</v>
      </c>
      <c r="S3" s="6" t="s">
        <v>73</v>
      </c>
      <c r="T3" s="6" t="s">
        <v>74</v>
      </c>
      <c r="U3" s="6" t="s">
        <v>75</v>
      </c>
      <c r="V3" s="6" t="s">
        <v>76</v>
      </c>
      <c r="W3" s="6" t="s">
        <v>77</v>
      </c>
      <c r="X3" s="6" t="s">
        <v>78</v>
      </c>
      <c r="Y3" s="6" t="s">
        <v>79</v>
      </c>
      <c r="Z3" s="6" t="s">
        <v>80</v>
      </c>
      <c r="AA3" s="6" t="s">
        <v>81</v>
      </c>
    </row>
    <row r="4" spans="1:27" x14ac:dyDescent="0.25">
      <c r="A4" s="7">
        <f>IF($C4="","",COUNTIF($C$4:$C4,"&lt;&gt;"))</f>
      </c>
      <c r="B4" s="8" t="s">
        <v>82</v>
      </c>
      <c r="C4" s="8" t="s">
        <v>83</v>
      </c>
      <c r="D4" s="9">
        <v>46131.77083333333</v>
      </c>
      <c r="E4" s="8" t="s">
        <v>84</v>
      </c>
      <c r="F4" s="8" t="s">
        <v>28</v>
      </c>
      <c r="G4" s="8">
        <v>16000</v>
      </c>
      <c r="H4" s="8"/>
      <c r="I4" s="8"/>
      <c r="J4" s="8"/>
      <c r="K4" s="8"/>
      <c r="L4" s="8"/>
      <c r="M4" s="7">
        <f>IF($C4="","",G4+H4+I4+J4+K4+L4)</f>
      </c>
      <c r="N4" s="8" t="s">
        <v>85</v>
      </c>
      <c r="O4" s="8" t="s">
        <v>86</v>
      </c>
      <c r="P4" s="8"/>
      <c r="Q4" s="8"/>
      <c r="R4" s="8" t="s">
        <v>87</v>
      </c>
      <c r="S4" s="7">
        <f>IF($C4="","",C4&amp;" | BSR "&amp;B4&amp;" | "&amp;TEXT(D4,"dd-mm-yyyy")&amp;" | ₹"&amp;TEXT(M4,"#,##0"))</f>
      </c>
      <c r="T4" s="7">
        <f>IF($C4="","",SUMIFS('Q1 Data'!$L$4:$L$207,'Q1 Data'!$B$4:$B$207,$S4)+SUMIFS('Q1 Data'!$O$4:$O$207,'Q1 Data'!$B$4:$B$207,$S4)+SUMIFS('Q1 Data'!$M$4:$M$207,'Q1 Data'!$B$4:$B$207,$S4))</f>
      </c>
      <c r="U4" s="7">
        <f>IF($C4="","",SUMIFS('Q2 Data'!$L$4:$L$207,'Q2 Data'!$B$4:$B$207,$S4)+SUMIFS('Q2 Data'!$O$4:$O$207,'Q2 Data'!$B$4:$B$207,$S4)+SUMIFS('Q2 Data'!$M$4:$M$207,'Q2 Data'!$B$4:$B$207,$S4))</f>
      </c>
      <c r="V4" s="7">
        <f>IF($C4="","",SUMIFS('Q3 Data'!$L$4:$L$207,'Q3 Data'!$B$4:$B$207,$S4)+SUMIFS('Q3 Data'!$O$4:$O$207,'Q3 Data'!$B$4:$B$207,$S4)+SUMIFS('Q3 Data'!$M$4:$M$207,'Q3 Data'!$B$4:$B$207,$S4))</f>
      </c>
      <c r="W4" s="7">
        <f>IF($C4="","",SUMIFS('Q4 Data'!$L$4:$L$207,'Q4 Data'!$B$4:$B$207,$S4)+SUMIFS('Q4 Data'!$O$4:$O$207,'Q4 Data'!$B$4:$B$207,$S4)+SUMIFS('Q4 Data'!$M$4:$M$207,'Q4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Data'!$L$4:$L$207,'Q1 Data'!$B$4:$B$207,$S5)+SUMIFS('Q1 Data'!$O$4:$O$207,'Q1 Data'!$B$4:$B$207,$S5)+SUMIFS('Q1 Data'!$M$4:$M$207,'Q1 Data'!$B$4:$B$207,$S5))</f>
      </c>
      <c r="U5" s="7">
        <f>IF($C5="","",SUMIFS('Q2 Data'!$L$4:$L$207,'Q2 Data'!$B$4:$B$207,$S5)+SUMIFS('Q2 Data'!$O$4:$O$207,'Q2 Data'!$B$4:$B$207,$S5)+SUMIFS('Q2 Data'!$M$4:$M$207,'Q2 Data'!$B$4:$B$207,$S5))</f>
      </c>
      <c r="V5" s="7">
        <f>IF($C5="","",SUMIFS('Q3 Data'!$L$4:$L$207,'Q3 Data'!$B$4:$B$207,$S5)+SUMIFS('Q3 Data'!$O$4:$O$207,'Q3 Data'!$B$4:$B$207,$S5)+SUMIFS('Q3 Data'!$M$4:$M$207,'Q3 Data'!$B$4:$B$207,$S5))</f>
      </c>
      <c r="W5" s="7">
        <f>IF($C5="","",SUMIFS('Q4 Data'!$L$4:$L$207,'Q4 Data'!$B$4:$B$207,$S5)+SUMIFS('Q4 Data'!$O$4:$O$207,'Q4 Data'!$B$4:$B$207,$S5)+SUMIFS('Q4 Data'!$M$4:$M$207,'Q4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Data'!$L$4:$L$207,'Q1 Data'!$B$4:$B$207,$S6)+SUMIFS('Q1 Data'!$O$4:$O$207,'Q1 Data'!$B$4:$B$207,$S6)+SUMIFS('Q1 Data'!$M$4:$M$207,'Q1 Data'!$B$4:$B$207,$S6))</f>
      </c>
      <c r="U6" s="7">
        <f>IF($C6="","",SUMIFS('Q2 Data'!$L$4:$L$207,'Q2 Data'!$B$4:$B$207,$S6)+SUMIFS('Q2 Data'!$O$4:$O$207,'Q2 Data'!$B$4:$B$207,$S6)+SUMIFS('Q2 Data'!$M$4:$M$207,'Q2 Data'!$B$4:$B$207,$S6))</f>
      </c>
      <c r="V6" s="7">
        <f>IF($C6="","",SUMIFS('Q3 Data'!$L$4:$L$207,'Q3 Data'!$B$4:$B$207,$S6)+SUMIFS('Q3 Data'!$O$4:$O$207,'Q3 Data'!$B$4:$B$207,$S6)+SUMIFS('Q3 Data'!$M$4:$M$207,'Q3 Data'!$B$4:$B$207,$S6))</f>
      </c>
      <c r="W6" s="7">
        <f>IF($C6="","",SUMIFS('Q4 Data'!$L$4:$L$207,'Q4 Data'!$B$4:$B$207,$S6)+SUMIFS('Q4 Data'!$O$4:$O$207,'Q4 Data'!$B$4:$B$207,$S6)+SUMIFS('Q4 Data'!$M$4:$M$207,'Q4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Data'!$L$4:$L$207,'Q1 Data'!$B$4:$B$207,$S7)+SUMIFS('Q1 Data'!$O$4:$O$207,'Q1 Data'!$B$4:$B$207,$S7)+SUMIFS('Q1 Data'!$M$4:$M$207,'Q1 Data'!$B$4:$B$207,$S7))</f>
      </c>
      <c r="U7" s="7">
        <f>IF($C7="","",SUMIFS('Q2 Data'!$L$4:$L$207,'Q2 Data'!$B$4:$B$207,$S7)+SUMIFS('Q2 Data'!$O$4:$O$207,'Q2 Data'!$B$4:$B$207,$S7)+SUMIFS('Q2 Data'!$M$4:$M$207,'Q2 Data'!$B$4:$B$207,$S7))</f>
      </c>
      <c r="V7" s="7">
        <f>IF($C7="","",SUMIFS('Q3 Data'!$L$4:$L$207,'Q3 Data'!$B$4:$B$207,$S7)+SUMIFS('Q3 Data'!$O$4:$O$207,'Q3 Data'!$B$4:$B$207,$S7)+SUMIFS('Q3 Data'!$M$4:$M$207,'Q3 Data'!$B$4:$B$207,$S7))</f>
      </c>
      <c r="W7" s="7">
        <f>IF($C7="","",SUMIFS('Q4 Data'!$L$4:$L$207,'Q4 Data'!$B$4:$B$207,$S7)+SUMIFS('Q4 Data'!$O$4:$O$207,'Q4 Data'!$B$4:$B$207,$S7)+SUMIFS('Q4 Data'!$M$4:$M$207,'Q4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Data'!$L$4:$L$207,'Q1 Data'!$B$4:$B$207,$S8)+SUMIFS('Q1 Data'!$O$4:$O$207,'Q1 Data'!$B$4:$B$207,$S8)+SUMIFS('Q1 Data'!$M$4:$M$207,'Q1 Data'!$B$4:$B$207,$S8))</f>
      </c>
      <c r="U8" s="7">
        <f>IF($C8="","",SUMIFS('Q2 Data'!$L$4:$L$207,'Q2 Data'!$B$4:$B$207,$S8)+SUMIFS('Q2 Data'!$O$4:$O$207,'Q2 Data'!$B$4:$B$207,$S8)+SUMIFS('Q2 Data'!$M$4:$M$207,'Q2 Data'!$B$4:$B$207,$S8))</f>
      </c>
      <c r="V8" s="7">
        <f>IF($C8="","",SUMIFS('Q3 Data'!$L$4:$L$207,'Q3 Data'!$B$4:$B$207,$S8)+SUMIFS('Q3 Data'!$O$4:$O$207,'Q3 Data'!$B$4:$B$207,$S8)+SUMIFS('Q3 Data'!$M$4:$M$207,'Q3 Data'!$B$4:$B$207,$S8))</f>
      </c>
      <c r="W8" s="7">
        <f>IF($C8="","",SUMIFS('Q4 Data'!$L$4:$L$207,'Q4 Data'!$B$4:$B$207,$S8)+SUMIFS('Q4 Data'!$O$4:$O$207,'Q4 Data'!$B$4:$B$207,$S8)+SUMIFS('Q4 Data'!$M$4:$M$207,'Q4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Data'!$L$4:$L$207,'Q1 Data'!$B$4:$B$207,$S9)+SUMIFS('Q1 Data'!$O$4:$O$207,'Q1 Data'!$B$4:$B$207,$S9)+SUMIFS('Q1 Data'!$M$4:$M$207,'Q1 Data'!$B$4:$B$207,$S9))</f>
      </c>
      <c r="U9" s="7">
        <f>IF($C9="","",SUMIFS('Q2 Data'!$L$4:$L$207,'Q2 Data'!$B$4:$B$207,$S9)+SUMIFS('Q2 Data'!$O$4:$O$207,'Q2 Data'!$B$4:$B$207,$S9)+SUMIFS('Q2 Data'!$M$4:$M$207,'Q2 Data'!$B$4:$B$207,$S9))</f>
      </c>
      <c r="V9" s="7">
        <f>IF($C9="","",SUMIFS('Q3 Data'!$L$4:$L$207,'Q3 Data'!$B$4:$B$207,$S9)+SUMIFS('Q3 Data'!$O$4:$O$207,'Q3 Data'!$B$4:$B$207,$S9)+SUMIFS('Q3 Data'!$M$4:$M$207,'Q3 Data'!$B$4:$B$207,$S9))</f>
      </c>
      <c r="W9" s="7">
        <f>IF($C9="","",SUMIFS('Q4 Data'!$L$4:$L$207,'Q4 Data'!$B$4:$B$207,$S9)+SUMIFS('Q4 Data'!$O$4:$O$207,'Q4 Data'!$B$4:$B$207,$S9)+SUMIFS('Q4 Data'!$M$4:$M$207,'Q4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Data'!$L$4:$L$207,'Q1 Data'!$B$4:$B$207,$S10)+SUMIFS('Q1 Data'!$O$4:$O$207,'Q1 Data'!$B$4:$B$207,$S10)+SUMIFS('Q1 Data'!$M$4:$M$207,'Q1 Data'!$B$4:$B$207,$S10))</f>
      </c>
      <c r="U10" s="7">
        <f>IF($C10="","",SUMIFS('Q2 Data'!$L$4:$L$207,'Q2 Data'!$B$4:$B$207,$S10)+SUMIFS('Q2 Data'!$O$4:$O$207,'Q2 Data'!$B$4:$B$207,$S10)+SUMIFS('Q2 Data'!$M$4:$M$207,'Q2 Data'!$B$4:$B$207,$S10))</f>
      </c>
      <c r="V10" s="7">
        <f>IF($C10="","",SUMIFS('Q3 Data'!$L$4:$L$207,'Q3 Data'!$B$4:$B$207,$S10)+SUMIFS('Q3 Data'!$O$4:$O$207,'Q3 Data'!$B$4:$B$207,$S10)+SUMIFS('Q3 Data'!$M$4:$M$207,'Q3 Data'!$B$4:$B$207,$S10))</f>
      </c>
      <c r="W10" s="7">
        <f>IF($C10="","",SUMIFS('Q4 Data'!$L$4:$L$207,'Q4 Data'!$B$4:$B$207,$S10)+SUMIFS('Q4 Data'!$O$4:$O$207,'Q4 Data'!$B$4:$B$207,$S10)+SUMIFS('Q4 Data'!$M$4:$M$207,'Q4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Data'!$L$4:$L$207,'Q1 Data'!$B$4:$B$207,$S11)+SUMIFS('Q1 Data'!$O$4:$O$207,'Q1 Data'!$B$4:$B$207,$S11)+SUMIFS('Q1 Data'!$M$4:$M$207,'Q1 Data'!$B$4:$B$207,$S11))</f>
      </c>
      <c r="U11" s="7">
        <f>IF($C11="","",SUMIFS('Q2 Data'!$L$4:$L$207,'Q2 Data'!$B$4:$B$207,$S11)+SUMIFS('Q2 Data'!$O$4:$O$207,'Q2 Data'!$B$4:$B$207,$S11)+SUMIFS('Q2 Data'!$M$4:$M$207,'Q2 Data'!$B$4:$B$207,$S11))</f>
      </c>
      <c r="V11" s="7">
        <f>IF($C11="","",SUMIFS('Q3 Data'!$L$4:$L$207,'Q3 Data'!$B$4:$B$207,$S11)+SUMIFS('Q3 Data'!$O$4:$O$207,'Q3 Data'!$B$4:$B$207,$S11)+SUMIFS('Q3 Data'!$M$4:$M$207,'Q3 Data'!$B$4:$B$207,$S11))</f>
      </c>
      <c r="W11" s="7">
        <f>IF($C11="","",SUMIFS('Q4 Data'!$L$4:$L$207,'Q4 Data'!$B$4:$B$207,$S11)+SUMIFS('Q4 Data'!$O$4:$O$207,'Q4 Data'!$B$4:$B$207,$S11)+SUMIFS('Q4 Data'!$M$4:$M$207,'Q4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Data'!$L$4:$L$207,'Q1 Data'!$B$4:$B$207,$S12)+SUMIFS('Q1 Data'!$O$4:$O$207,'Q1 Data'!$B$4:$B$207,$S12)+SUMIFS('Q1 Data'!$M$4:$M$207,'Q1 Data'!$B$4:$B$207,$S12))</f>
      </c>
      <c r="U12" s="7">
        <f>IF($C12="","",SUMIFS('Q2 Data'!$L$4:$L$207,'Q2 Data'!$B$4:$B$207,$S12)+SUMIFS('Q2 Data'!$O$4:$O$207,'Q2 Data'!$B$4:$B$207,$S12)+SUMIFS('Q2 Data'!$M$4:$M$207,'Q2 Data'!$B$4:$B$207,$S12))</f>
      </c>
      <c r="V12" s="7">
        <f>IF($C12="","",SUMIFS('Q3 Data'!$L$4:$L$207,'Q3 Data'!$B$4:$B$207,$S12)+SUMIFS('Q3 Data'!$O$4:$O$207,'Q3 Data'!$B$4:$B$207,$S12)+SUMIFS('Q3 Data'!$M$4:$M$207,'Q3 Data'!$B$4:$B$207,$S12))</f>
      </c>
      <c r="W12" s="7">
        <f>IF($C12="","",SUMIFS('Q4 Data'!$L$4:$L$207,'Q4 Data'!$B$4:$B$207,$S12)+SUMIFS('Q4 Data'!$O$4:$O$207,'Q4 Data'!$B$4:$B$207,$S12)+SUMIFS('Q4 Data'!$M$4:$M$207,'Q4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Data'!$L$4:$L$207,'Q1 Data'!$B$4:$B$207,$S13)+SUMIFS('Q1 Data'!$O$4:$O$207,'Q1 Data'!$B$4:$B$207,$S13)+SUMIFS('Q1 Data'!$M$4:$M$207,'Q1 Data'!$B$4:$B$207,$S13))</f>
      </c>
      <c r="U13" s="7">
        <f>IF($C13="","",SUMIFS('Q2 Data'!$L$4:$L$207,'Q2 Data'!$B$4:$B$207,$S13)+SUMIFS('Q2 Data'!$O$4:$O$207,'Q2 Data'!$B$4:$B$207,$S13)+SUMIFS('Q2 Data'!$M$4:$M$207,'Q2 Data'!$B$4:$B$207,$S13))</f>
      </c>
      <c r="V13" s="7">
        <f>IF($C13="","",SUMIFS('Q3 Data'!$L$4:$L$207,'Q3 Data'!$B$4:$B$207,$S13)+SUMIFS('Q3 Data'!$O$4:$O$207,'Q3 Data'!$B$4:$B$207,$S13)+SUMIFS('Q3 Data'!$M$4:$M$207,'Q3 Data'!$B$4:$B$207,$S13))</f>
      </c>
      <c r="W13" s="7">
        <f>IF($C13="","",SUMIFS('Q4 Data'!$L$4:$L$207,'Q4 Data'!$B$4:$B$207,$S13)+SUMIFS('Q4 Data'!$O$4:$O$207,'Q4 Data'!$B$4:$B$207,$S13)+SUMIFS('Q4 Data'!$M$4:$M$207,'Q4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Data'!$L$4:$L$207,'Q1 Data'!$B$4:$B$207,$S14)+SUMIFS('Q1 Data'!$O$4:$O$207,'Q1 Data'!$B$4:$B$207,$S14)+SUMIFS('Q1 Data'!$M$4:$M$207,'Q1 Data'!$B$4:$B$207,$S14))</f>
      </c>
      <c r="U14" s="7">
        <f>IF($C14="","",SUMIFS('Q2 Data'!$L$4:$L$207,'Q2 Data'!$B$4:$B$207,$S14)+SUMIFS('Q2 Data'!$O$4:$O$207,'Q2 Data'!$B$4:$B$207,$S14)+SUMIFS('Q2 Data'!$M$4:$M$207,'Q2 Data'!$B$4:$B$207,$S14))</f>
      </c>
      <c r="V14" s="7">
        <f>IF($C14="","",SUMIFS('Q3 Data'!$L$4:$L$207,'Q3 Data'!$B$4:$B$207,$S14)+SUMIFS('Q3 Data'!$O$4:$O$207,'Q3 Data'!$B$4:$B$207,$S14)+SUMIFS('Q3 Data'!$M$4:$M$207,'Q3 Data'!$B$4:$B$207,$S14))</f>
      </c>
      <c r="W14" s="7">
        <f>IF($C14="","",SUMIFS('Q4 Data'!$L$4:$L$207,'Q4 Data'!$B$4:$B$207,$S14)+SUMIFS('Q4 Data'!$O$4:$O$207,'Q4 Data'!$B$4:$B$207,$S14)+SUMIFS('Q4 Data'!$M$4:$M$207,'Q4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Data'!$L$4:$L$207,'Q1 Data'!$B$4:$B$207,$S15)+SUMIFS('Q1 Data'!$O$4:$O$207,'Q1 Data'!$B$4:$B$207,$S15)+SUMIFS('Q1 Data'!$M$4:$M$207,'Q1 Data'!$B$4:$B$207,$S15))</f>
      </c>
      <c r="U15" s="7">
        <f>IF($C15="","",SUMIFS('Q2 Data'!$L$4:$L$207,'Q2 Data'!$B$4:$B$207,$S15)+SUMIFS('Q2 Data'!$O$4:$O$207,'Q2 Data'!$B$4:$B$207,$S15)+SUMIFS('Q2 Data'!$M$4:$M$207,'Q2 Data'!$B$4:$B$207,$S15))</f>
      </c>
      <c r="V15" s="7">
        <f>IF($C15="","",SUMIFS('Q3 Data'!$L$4:$L$207,'Q3 Data'!$B$4:$B$207,$S15)+SUMIFS('Q3 Data'!$O$4:$O$207,'Q3 Data'!$B$4:$B$207,$S15)+SUMIFS('Q3 Data'!$M$4:$M$207,'Q3 Data'!$B$4:$B$207,$S15))</f>
      </c>
      <c r="W15" s="7">
        <f>IF($C15="","",SUMIFS('Q4 Data'!$L$4:$L$207,'Q4 Data'!$B$4:$B$207,$S15)+SUMIFS('Q4 Data'!$O$4:$O$207,'Q4 Data'!$B$4:$B$207,$S15)+SUMIFS('Q4 Data'!$M$4:$M$207,'Q4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Data'!$L$4:$L$207,'Q1 Data'!$B$4:$B$207,$S16)+SUMIFS('Q1 Data'!$O$4:$O$207,'Q1 Data'!$B$4:$B$207,$S16)+SUMIFS('Q1 Data'!$M$4:$M$207,'Q1 Data'!$B$4:$B$207,$S16))</f>
      </c>
      <c r="U16" s="7">
        <f>IF($C16="","",SUMIFS('Q2 Data'!$L$4:$L$207,'Q2 Data'!$B$4:$B$207,$S16)+SUMIFS('Q2 Data'!$O$4:$O$207,'Q2 Data'!$B$4:$B$207,$S16)+SUMIFS('Q2 Data'!$M$4:$M$207,'Q2 Data'!$B$4:$B$207,$S16))</f>
      </c>
      <c r="V16" s="7">
        <f>IF($C16="","",SUMIFS('Q3 Data'!$L$4:$L$207,'Q3 Data'!$B$4:$B$207,$S16)+SUMIFS('Q3 Data'!$O$4:$O$207,'Q3 Data'!$B$4:$B$207,$S16)+SUMIFS('Q3 Data'!$M$4:$M$207,'Q3 Data'!$B$4:$B$207,$S16))</f>
      </c>
      <c r="W16" s="7">
        <f>IF($C16="","",SUMIFS('Q4 Data'!$L$4:$L$207,'Q4 Data'!$B$4:$B$207,$S16)+SUMIFS('Q4 Data'!$O$4:$O$207,'Q4 Data'!$B$4:$B$207,$S16)+SUMIFS('Q4 Data'!$M$4:$M$207,'Q4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Data'!$L$4:$L$207,'Q1 Data'!$B$4:$B$207,$S17)+SUMIFS('Q1 Data'!$O$4:$O$207,'Q1 Data'!$B$4:$B$207,$S17)+SUMIFS('Q1 Data'!$M$4:$M$207,'Q1 Data'!$B$4:$B$207,$S17))</f>
      </c>
      <c r="U17" s="7">
        <f>IF($C17="","",SUMIFS('Q2 Data'!$L$4:$L$207,'Q2 Data'!$B$4:$B$207,$S17)+SUMIFS('Q2 Data'!$O$4:$O$207,'Q2 Data'!$B$4:$B$207,$S17)+SUMIFS('Q2 Data'!$M$4:$M$207,'Q2 Data'!$B$4:$B$207,$S17))</f>
      </c>
      <c r="V17" s="7">
        <f>IF($C17="","",SUMIFS('Q3 Data'!$L$4:$L$207,'Q3 Data'!$B$4:$B$207,$S17)+SUMIFS('Q3 Data'!$O$4:$O$207,'Q3 Data'!$B$4:$B$207,$S17)+SUMIFS('Q3 Data'!$M$4:$M$207,'Q3 Data'!$B$4:$B$207,$S17))</f>
      </c>
      <c r="W17" s="7">
        <f>IF($C17="","",SUMIFS('Q4 Data'!$L$4:$L$207,'Q4 Data'!$B$4:$B$207,$S17)+SUMIFS('Q4 Data'!$O$4:$O$207,'Q4 Data'!$B$4:$B$207,$S17)+SUMIFS('Q4 Data'!$M$4:$M$207,'Q4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Data'!$L$4:$L$207,'Q1 Data'!$B$4:$B$207,$S18)+SUMIFS('Q1 Data'!$O$4:$O$207,'Q1 Data'!$B$4:$B$207,$S18)+SUMIFS('Q1 Data'!$M$4:$M$207,'Q1 Data'!$B$4:$B$207,$S18))</f>
      </c>
      <c r="U18" s="7">
        <f>IF($C18="","",SUMIFS('Q2 Data'!$L$4:$L$207,'Q2 Data'!$B$4:$B$207,$S18)+SUMIFS('Q2 Data'!$O$4:$O$207,'Q2 Data'!$B$4:$B$207,$S18)+SUMIFS('Q2 Data'!$M$4:$M$207,'Q2 Data'!$B$4:$B$207,$S18))</f>
      </c>
      <c r="V18" s="7">
        <f>IF($C18="","",SUMIFS('Q3 Data'!$L$4:$L$207,'Q3 Data'!$B$4:$B$207,$S18)+SUMIFS('Q3 Data'!$O$4:$O$207,'Q3 Data'!$B$4:$B$207,$S18)+SUMIFS('Q3 Data'!$M$4:$M$207,'Q3 Data'!$B$4:$B$207,$S18))</f>
      </c>
      <c r="W18" s="7">
        <f>IF($C18="","",SUMIFS('Q4 Data'!$L$4:$L$207,'Q4 Data'!$B$4:$B$207,$S18)+SUMIFS('Q4 Data'!$O$4:$O$207,'Q4 Data'!$B$4:$B$207,$S18)+SUMIFS('Q4 Data'!$M$4:$M$207,'Q4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Data'!$L$4:$L$207,'Q1 Data'!$B$4:$B$207,$S19)+SUMIFS('Q1 Data'!$O$4:$O$207,'Q1 Data'!$B$4:$B$207,$S19)+SUMIFS('Q1 Data'!$M$4:$M$207,'Q1 Data'!$B$4:$B$207,$S19))</f>
      </c>
      <c r="U19" s="7">
        <f>IF($C19="","",SUMIFS('Q2 Data'!$L$4:$L$207,'Q2 Data'!$B$4:$B$207,$S19)+SUMIFS('Q2 Data'!$O$4:$O$207,'Q2 Data'!$B$4:$B$207,$S19)+SUMIFS('Q2 Data'!$M$4:$M$207,'Q2 Data'!$B$4:$B$207,$S19))</f>
      </c>
      <c r="V19" s="7">
        <f>IF($C19="","",SUMIFS('Q3 Data'!$L$4:$L$207,'Q3 Data'!$B$4:$B$207,$S19)+SUMIFS('Q3 Data'!$O$4:$O$207,'Q3 Data'!$B$4:$B$207,$S19)+SUMIFS('Q3 Data'!$M$4:$M$207,'Q3 Data'!$B$4:$B$207,$S19))</f>
      </c>
      <c r="W19" s="7">
        <f>IF($C19="","",SUMIFS('Q4 Data'!$L$4:$L$207,'Q4 Data'!$B$4:$B$207,$S19)+SUMIFS('Q4 Data'!$O$4:$O$207,'Q4 Data'!$B$4:$B$207,$S19)+SUMIFS('Q4 Data'!$M$4:$M$207,'Q4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Data'!$L$4:$L$207,'Q1 Data'!$B$4:$B$207,$S20)+SUMIFS('Q1 Data'!$O$4:$O$207,'Q1 Data'!$B$4:$B$207,$S20)+SUMIFS('Q1 Data'!$M$4:$M$207,'Q1 Data'!$B$4:$B$207,$S20))</f>
      </c>
      <c r="U20" s="7">
        <f>IF($C20="","",SUMIFS('Q2 Data'!$L$4:$L$207,'Q2 Data'!$B$4:$B$207,$S20)+SUMIFS('Q2 Data'!$O$4:$O$207,'Q2 Data'!$B$4:$B$207,$S20)+SUMIFS('Q2 Data'!$M$4:$M$207,'Q2 Data'!$B$4:$B$207,$S20))</f>
      </c>
      <c r="V20" s="7">
        <f>IF($C20="","",SUMIFS('Q3 Data'!$L$4:$L$207,'Q3 Data'!$B$4:$B$207,$S20)+SUMIFS('Q3 Data'!$O$4:$O$207,'Q3 Data'!$B$4:$B$207,$S20)+SUMIFS('Q3 Data'!$M$4:$M$207,'Q3 Data'!$B$4:$B$207,$S20))</f>
      </c>
      <c r="W20" s="7">
        <f>IF($C20="","",SUMIFS('Q4 Data'!$L$4:$L$207,'Q4 Data'!$B$4:$B$207,$S20)+SUMIFS('Q4 Data'!$O$4:$O$207,'Q4 Data'!$B$4:$B$207,$S20)+SUMIFS('Q4 Data'!$M$4:$M$207,'Q4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Data'!$L$4:$L$207,'Q1 Data'!$B$4:$B$207,$S21)+SUMIFS('Q1 Data'!$O$4:$O$207,'Q1 Data'!$B$4:$B$207,$S21)+SUMIFS('Q1 Data'!$M$4:$M$207,'Q1 Data'!$B$4:$B$207,$S21))</f>
      </c>
      <c r="U21" s="7">
        <f>IF($C21="","",SUMIFS('Q2 Data'!$L$4:$L$207,'Q2 Data'!$B$4:$B$207,$S21)+SUMIFS('Q2 Data'!$O$4:$O$207,'Q2 Data'!$B$4:$B$207,$S21)+SUMIFS('Q2 Data'!$M$4:$M$207,'Q2 Data'!$B$4:$B$207,$S21))</f>
      </c>
      <c r="V21" s="7">
        <f>IF($C21="","",SUMIFS('Q3 Data'!$L$4:$L$207,'Q3 Data'!$B$4:$B$207,$S21)+SUMIFS('Q3 Data'!$O$4:$O$207,'Q3 Data'!$B$4:$B$207,$S21)+SUMIFS('Q3 Data'!$M$4:$M$207,'Q3 Data'!$B$4:$B$207,$S21))</f>
      </c>
      <c r="W21" s="7">
        <f>IF($C21="","",SUMIFS('Q4 Data'!$L$4:$L$207,'Q4 Data'!$B$4:$B$207,$S21)+SUMIFS('Q4 Data'!$O$4:$O$207,'Q4 Data'!$B$4:$B$207,$S21)+SUMIFS('Q4 Data'!$M$4:$M$207,'Q4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Data'!$L$4:$L$207,'Q1 Data'!$B$4:$B$207,$S22)+SUMIFS('Q1 Data'!$O$4:$O$207,'Q1 Data'!$B$4:$B$207,$S22)+SUMIFS('Q1 Data'!$M$4:$M$207,'Q1 Data'!$B$4:$B$207,$S22))</f>
      </c>
      <c r="U22" s="7">
        <f>IF($C22="","",SUMIFS('Q2 Data'!$L$4:$L$207,'Q2 Data'!$B$4:$B$207,$S22)+SUMIFS('Q2 Data'!$O$4:$O$207,'Q2 Data'!$B$4:$B$207,$S22)+SUMIFS('Q2 Data'!$M$4:$M$207,'Q2 Data'!$B$4:$B$207,$S22))</f>
      </c>
      <c r="V22" s="7">
        <f>IF($C22="","",SUMIFS('Q3 Data'!$L$4:$L$207,'Q3 Data'!$B$4:$B$207,$S22)+SUMIFS('Q3 Data'!$O$4:$O$207,'Q3 Data'!$B$4:$B$207,$S22)+SUMIFS('Q3 Data'!$M$4:$M$207,'Q3 Data'!$B$4:$B$207,$S22))</f>
      </c>
      <c r="W22" s="7">
        <f>IF($C22="","",SUMIFS('Q4 Data'!$L$4:$L$207,'Q4 Data'!$B$4:$B$207,$S22)+SUMIFS('Q4 Data'!$O$4:$O$207,'Q4 Data'!$B$4:$B$207,$S22)+SUMIFS('Q4 Data'!$M$4:$M$207,'Q4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Data'!$L$4:$L$207,'Q1 Data'!$B$4:$B$207,$S23)+SUMIFS('Q1 Data'!$O$4:$O$207,'Q1 Data'!$B$4:$B$207,$S23)+SUMIFS('Q1 Data'!$M$4:$M$207,'Q1 Data'!$B$4:$B$207,$S23))</f>
      </c>
      <c r="U23" s="7">
        <f>IF($C23="","",SUMIFS('Q2 Data'!$L$4:$L$207,'Q2 Data'!$B$4:$B$207,$S23)+SUMIFS('Q2 Data'!$O$4:$O$207,'Q2 Data'!$B$4:$B$207,$S23)+SUMIFS('Q2 Data'!$M$4:$M$207,'Q2 Data'!$B$4:$B$207,$S23))</f>
      </c>
      <c r="V23" s="7">
        <f>IF($C23="","",SUMIFS('Q3 Data'!$L$4:$L$207,'Q3 Data'!$B$4:$B$207,$S23)+SUMIFS('Q3 Data'!$O$4:$O$207,'Q3 Data'!$B$4:$B$207,$S23)+SUMIFS('Q3 Data'!$M$4:$M$207,'Q3 Data'!$B$4:$B$207,$S23))</f>
      </c>
      <c r="W23" s="7">
        <f>IF($C23="","",SUMIFS('Q4 Data'!$L$4:$L$207,'Q4 Data'!$B$4:$B$207,$S23)+SUMIFS('Q4 Data'!$O$4:$O$207,'Q4 Data'!$B$4:$B$207,$S23)+SUMIFS('Q4 Data'!$M$4:$M$207,'Q4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Data'!$L$4:$L$207,'Q1 Data'!$B$4:$B$207,$S24)+SUMIFS('Q1 Data'!$O$4:$O$207,'Q1 Data'!$B$4:$B$207,$S24)+SUMIFS('Q1 Data'!$M$4:$M$207,'Q1 Data'!$B$4:$B$207,$S24))</f>
      </c>
      <c r="U24" s="7">
        <f>IF($C24="","",SUMIFS('Q2 Data'!$L$4:$L$207,'Q2 Data'!$B$4:$B$207,$S24)+SUMIFS('Q2 Data'!$O$4:$O$207,'Q2 Data'!$B$4:$B$207,$S24)+SUMIFS('Q2 Data'!$M$4:$M$207,'Q2 Data'!$B$4:$B$207,$S24))</f>
      </c>
      <c r="V24" s="7">
        <f>IF($C24="","",SUMIFS('Q3 Data'!$L$4:$L$207,'Q3 Data'!$B$4:$B$207,$S24)+SUMIFS('Q3 Data'!$O$4:$O$207,'Q3 Data'!$B$4:$B$207,$S24)+SUMIFS('Q3 Data'!$M$4:$M$207,'Q3 Data'!$B$4:$B$207,$S24))</f>
      </c>
      <c r="W24" s="7">
        <f>IF($C24="","",SUMIFS('Q4 Data'!$L$4:$L$207,'Q4 Data'!$B$4:$B$207,$S24)+SUMIFS('Q4 Data'!$O$4:$O$207,'Q4 Data'!$B$4:$B$207,$S24)+SUMIFS('Q4 Data'!$M$4:$M$207,'Q4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Data'!$L$4:$L$207,'Q1 Data'!$B$4:$B$207,$S25)+SUMIFS('Q1 Data'!$O$4:$O$207,'Q1 Data'!$B$4:$B$207,$S25)+SUMIFS('Q1 Data'!$M$4:$M$207,'Q1 Data'!$B$4:$B$207,$S25))</f>
      </c>
      <c r="U25" s="7">
        <f>IF($C25="","",SUMIFS('Q2 Data'!$L$4:$L$207,'Q2 Data'!$B$4:$B$207,$S25)+SUMIFS('Q2 Data'!$O$4:$O$207,'Q2 Data'!$B$4:$B$207,$S25)+SUMIFS('Q2 Data'!$M$4:$M$207,'Q2 Data'!$B$4:$B$207,$S25))</f>
      </c>
      <c r="V25" s="7">
        <f>IF($C25="","",SUMIFS('Q3 Data'!$L$4:$L$207,'Q3 Data'!$B$4:$B$207,$S25)+SUMIFS('Q3 Data'!$O$4:$O$207,'Q3 Data'!$B$4:$B$207,$S25)+SUMIFS('Q3 Data'!$M$4:$M$207,'Q3 Data'!$B$4:$B$207,$S25))</f>
      </c>
      <c r="W25" s="7">
        <f>IF($C25="","",SUMIFS('Q4 Data'!$L$4:$L$207,'Q4 Data'!$B$4:$B$207,$S25)+SUMIFS('Q4 Data'!$O$4:$O$207,'Q4 Data'!$B$4:$B$207,$S25)+SUMIFS('Q4 Data'!$M$4:$M$207,'Q4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Data'!$L$4:$L$207,'Q1 Data'!$B$4:$B$207,$S26)+SUMIFS('Q1 Data'!$O$4:$O$207,'Q1 Data'!$B$4:$B$207,$S26)+SUMIFS('Q1 Data'!$M$4:$M$207,'Q1 Data'!$B$4:$B$207,$S26))</f>
      </c>
      <c r="U26" s="7">
        <f>IF($C26="","",SUMIFS('Q2 Data'!$L$4:$L$207,'Q2 Data'!$B$4:$B$207,$S26)+SUMIFS('Q2 Data'!$O$4:$O$207,'Q2 Data'!$B$4:$B$207,$S26)+SUMIFS('Q2 Data'!$M$4:$M$207,'Q2 Data'!$B$4:$B$207,$S26))</f>
      </c>
      <c r="V26" s="7">
        <f>IF($C26="","",SUMIFS('Q3 Data'!$L$4:$L$207,'Q3 Data'!$B$4:$B$207,$S26)+SUMIFS('Q3 Data'!$O$4:$O$207,'Q3 Data'!$B$4:$B$207,$S26)+SUMIFS('Q3 Data'!$M$4:$M$207,'Q3 Data'!$B$4:$B$207,$S26))</f>
      </c>
      <c r="W26" s="7">
        <f>IF($C26="","",SUMIFS('Q4 Data'!$L$4:$L$207,'Q4 Data'!$B$4:$B$207,$S26)+SUMIFS('Q4 Data'!$O$4:$O$207,'Q4 Data'!$B$4:$B$207,$S26)+SUMIFS('Q4 Data'!$M$4:$M$207,'Q4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Data'!$L$4:$L$207,'Q1 Data'!$B$4:$B$207,$S27)+SUMIFS('Q1 Data'!$O$4:$O$207,'Q1 Data'!$B$4:$B$207,$S27)+SUMIFS('Q1 Data'!$M$4:$M$207,'Q1 Data'!$B$4:$B$207,$S27))</f>
      </c>
      <c r="U27" s="7">
        <f>IF($C27="","",SUMIFS('Q2 Data'!$L$4:$L$207,'Q2 Data'!$B$4:$B$207,$S27)+SUMIFS('Q2 Data'!$O$4:$O$207,'Q2 Data'!$B$4:$B$207,$S27)+SUMIFS('Q2 Data'!$M$4:$M$207,'Q2 Data'!$B$4:$B$207,$S27))</f>
      </c>
      <c r="V27" s="7">
        <f>IF($C27="","",SUMIFS('Q3 Data'!$L$4:$L$207,'Q3 Data'!$B$4:$B$207,$S27)+SUMIFS('Q3 Data'!$O$4:$O$207,'Q3 Data'!$B$4:$B$207,$S27)+SUMIFS('Q3 Data'!$M$4:$M$207,'Q3 Data'!$B$4:$B$207,$S27))</f>
      </c>
      <c r="W27" s="7">
        <f>IF($C27="","",SUMIFS('Q4 Data'!$L$4:$L$207,'Q4 Data'!$B$4:$B$207,$S27)+SUMIFS('Q4 Data'!$O$4:$O$207,'Q4 Data'!$B$4:$B$207,$S27)+SUMIFS('Q4 Data'!$M$4:$M$207,'Q4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Data'!$L$4:$L$207,'Q1 Data'!$B$4:$B$207,$S28)+SUMIFS('Q1 Data'!$O$4:$O$207,'Q1 Data'!$B$4:$B$207,$S28)+SUMIFS('Q1 Data'!$M$4:$M$207,'Q1 Data'!$B$4:$B$207,$S28))</f>
      </c>
      <c r="U28" s="7">
        <f>IF($C28="","",SUMIFS('Q2 Data'!$L$4:$L$207,'Q2 Data'!$B$4:$B$207,$S28)+SUMIFS('Q2 Data'!$O$4:$O$207,'Q2 Data'!$B$4:$B$207,$S28)+SUMIFS('Q2 Data'!$M$4:$M$207,'Q2 Data'!$B$4:$B$207,$S28))</f>
      </c>
      <c r="V28" s="7">
        <f>IF($C28="","",SUMIFS('Q3 Data'!$L$4:$L$207,'Q3 Data'!$B$4:$B$207,$S28)+SUMIFS('Q3 Data'!$O$4:$O$207,'Q3 Data'!$B$4:$B$207,$S28)+SUMIFS('Q3 Data'!$M$4:$M$207,'Q3 Data'!$B$4:$B$207,$S28))</f>
      </c>
      <c r="W28" s="7">
        <f>IF($C28="","",SUMIFS('Q4 Data'!$L$4:$L$207,'Q4 Data'!$B$4:$B$207,$S28)+SUMIFS('Q4 Data'!$O$4:$O$207,'Q4 Data'!$B$4:$B$207,$S28)+SUMIFS('Q4 Data'!$M$4:$M$207,'Q4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Data'!$L$4:$L$207,'Q1 Data'!$B$4:$B$207,$S29)+SUMIFS('Q1 Data'!$O$4:$O$207,'Q1 Data'!$B$4:$B$207,$S29)+SUMIFS('Q1 Data'!$M$4:$M$207,'Q1 Data'!$B$4:$B$207,$S29))</f>
      </c>
      <c r="U29" s="7">
        <f>IF($C29="","",SUMIFS('Q2 Data'!$L$4:$L$207,'Q2 Data'!$B$4:$B$207,$S29)+SUMIFS('Q2 Data'!$O$4:$O$207,'Q2 Data'!$B$4:$B$207,$S29)+SUMIFS('Q2 Data'!$M$4:$M$207,'Q2 Data'!$B$4:$B$207,$S29))</f>
      </c>
      <c r="V29" s="7">
        <f>IF($C29="","",SUMIFS('Q3 Data'!$L$4:$L$207,'Q3 Data'!$B$4:$B$207,$S29)+SUMIFS('Q3 Data'!$O$4:$O$207,'Q3 Data'!$B$4:$B$207,$S29)+SUMIFS('Q3 Data'!$M$4:$M$207,'Q3 Data'!$B$4:$B$207,$S29))</f>
      </c>
      <c r="W29" s="7">
        <f>IF($C29="","",SUMIFS('Q4 Data'!$L$4:$L$207,'Q4 Data'!$B$4:$B$207,$S29)+SUMIFS('Q4 Data'!$O$4:$O$207,'Q4 Data'!$B$4:$B$207,$S29)+SUMIFS('Q4 Data'!$M$4:$M$207,'Q4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Data'!$L$4:$L$207,'Q1 Data'!$B$4:$B$207,$S30)+SUMIFS('Q1 Data'!$O$4:$O$207,'Q1 Data'!$B$4:$B$207,$S30)+SUMIFS('Q1 Data'!$M$4:$M$207,'Q1 Data'!$B$4:$B$207,$S30))</f>
      </c>
      <c r="U30" s="7">
        <f>IF($C30="","",SUMIFS('Q2 Data'!$L$4:$L$207,'Q2 Data'!$B$4:$B$207,$S30)+SUMIFS('Q2 Data'!$O$4:$O$207,'Q2 Data'!$B$4:$B$207,$S30)+SUMIFS('Q2 Data'!$M$4:$M$207,'Q2 Data'!$B$4:$B$207,$S30))</f>
      </c>
      <c r="V30" s="7">
        <f>IF($C30="","",SUMIFS('Q3 Data'!$L$4:$L$207,'Q3 Data'!$B$4:$B$207,$S30)+SUMIFS('Q3 Data'!$O$4:$O$207,'Q3 Data'!$B$4:$B$207,$S30)+SUMIFS('Q3 Data'!$M$4:$M$207,'Q3 Data'!$B$4:$B$207,$S30))</f>
      </c>
      <c r="W30" s="7">
        <f>IF($C30="","",SUMIFS('Q4 Data'!$L$4:$L$207,'Q4 Data'!$B$4:$B$207,$S30)+SUMIFS('Q4 Data'!$O$4:$O$207,'Q4 Data'!$B$4:$B$207,$S30)+SUMIFS('Q4 Data'!$M$4:$M$207,'Q4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Data'!$L$4:$L$207,'Q1 Data'!$B$4:$B$207,$S31)+SUMIFS('Q1 Data'!$O$4:$O$207,'Q1 Data'!$B$4:$B$207,$S31)+SUMIFS('Q1 Data'!$M$4:$M$207,'Q1 Data'!$B$4:$B$207,$S31))</f>
      </c>
      <c r="U31" s="7">
        <f>IF($C31="","",SUMIFS('Q2 Data'!$L$4:$L$207,'Q2 Data'!$B$4:$B$207,$S31)+SUMIFS('Q2 Data'!$O$4:$O$207,'Q2 Data'!$B$4:$B$207,$S31)+SUMIFS('Q2 Data'!$M$4:$M$207,'Q2 Data'!$B$4:$B$207,$S31))</f>
      </c>
      <c r="V31" s="7">
        <f>IF($C31="","",SUMIFS('Q3 Data'!$L$4:$L$207,'Q3 Data'!$B$4:$B$207,$S31)+SUMIFS('Q3 Data'!$O$4:$O$207,'Q3 Data'!$B$4:$B$207,$S31)+SUMIFS('Q3 Data'!$M$4:$M$207,'Q3 Data'!$B$4:$B$207,$S31))</f>
      </c>
      <c r="W31" s="7">
        <f>IF($C31="","",SUMIFS('Q4 Data'!$L$4:$L$207,'Q4 Data'!$B$4:$B$207,$S31)+SUMIFS('Q4 Data'!$O$4:$O$207,'Q4 Data'!$B$4:$B$207,$S31)+SUMIFS('Q4 Data'!$M$4:$M$207,'Q4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Data'!$L$4:$L$207,'Q1 Data'!$B$4:$B$207,$S32)+SUMIFS('Q1 Data'!$O$4:$O$207,'Q1 Data'!$B$4:$B$207,$S32)+SUMIFS('Q1 Data'!$M$4:$M$207,'Q1 Data'!$B$4:$B$207,$S32))</f>
      </c>
      <c r="U32" s="7">
        <f>IF($C32="","",SUMIFS('Q2 Data'!$L$4:$L$207,'Q2 Data'!$B$4:$B$207,$S32)+SUMIFS('Q2 Data'!$O$4:$O$207,'Q2 Data'!$B$4:$B$207,$S32)+SUMIFS('Q2 Data'!$M$4:$M$207,'Q2 Data'!$B$4:$B$207,$S32))</f>
      </c>
      <c r="V32" s="7">
        <f>IF($C32="","",SUMIFS('Q3 Data'!$L$4:$L$207,'Q3 Data'!$B$4:$B$207,$S32)+SUMIFS('Q3 Data'!$O$4:$O$207,'Q3 Data'!$B$4:$B$207,$S32)+SUMIFS('Q3 Data'!$M$4:$M$207,'Q3 Data'!$B$4:$B$207,$S32))</f>
      </c>
      <c r="W32" s="7">
        <f>IF($C32="","",SUMIFS('Q4 Data'!$L$4:$L$207,'Q4 Data'!$B$4:$B$207,$S32)+SUMIFS('Q4 Data'!$O$4:$O$207,'Q4 Data'!$B$4:$B$207,$S32)+SUMIFS('Q4 Data'!$M$4:$M$207,'Q4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Data'!$L$4:$L$207,'Q1 Data'!$B$4:$B$207,$S33)+SUMIFS('Q1 Data'!$O$4:$O$207,'Q1 Data'!$B$4:$B$207,$S33)+SUMIFS('Q1 Data'!$M$4:$M$207,'Q1 Data'!$B$4:$B$207,$S33))</f>
      </c>
      <c r="U33" s="7">
        <f>IF($C33="","",SUMIFS('Q2 Data'!$L$4:$L$207,'Q2 Data'!$B$4:$B$207,$S33)+SUMIFS('Q2 Data'!$O$4:$O$207,'Q2 Data'!$B$4:$B$207,$S33)+SUMIFS('Q2 Data'!$M$4:$M$207,'Q2 Data'!$B$4:$B$207,$S33))</f>
      </c>
      <c r="V33" s="7">
        <f>IF($C33="","",SUMIFS('Q3 Data'!$L$4:$L$207,'Q3 Data'!$B$4:$B$207,$S33)+SUMIFS('Q3 Data'!$O$4:$O$207,'Q3 Data'!$B$4:$B$207,$S33)+SUMIFS('Q3 Data'!$M$4:$M$207,'Q3 Data'!$B$4:$B$207,$S33))</f>
      </c>
      <c r="W33" s="7">
        <f>IF($C33="","",SUMIFS('Q4 Data'!$L$4:$L$207,'Q4 Data'!$B$4:$B$207,$S33)+SUMIFS('Q4 Data'!$O$4:$O$207,'Q4 Data'!$B$4:$B$207,$S33)+SUMIFS('Q4 Data'!$M$4:$M$207,'Q4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Data'!$L$4:$L$207,'Q1 Data'!$B$4:$B$207,$S34)+SUMIFS('Q1 Data'!$O$4:$O$207,'Q1 Data'!$B$4:$B$207,$S34)+SUMIFS('Q1 Data'!$M$4:$M$207,'Q1 Data'!$B$4:$B$207,$S34))</f>
      </c>
      <c r="U34" s="7">
        <f>IF($C34="","",SUMIFS('Q2 Data'!$L$4:$L$207,'Q2 Data'!$B$4:$B$207,$S34)+SUMIFS('Q2 Data'!$O$4:$O$207,'Q2 Data'!$B$4:$B$207,$S34)+SUMIFS('Q2 Data'!$M$4:$M$207,'Q2 Data'!$B$4:$B$207,$S34))</f>
      </c>
      <c r="V34" s="7">
        <f>IF($C34="","",SUMIFS('Q3 Data'!$L$4:$L$207,'Q3 Data'!$B$4:$B$207,$S34)+SUMIFS('Q3 Data'!$O$4:$O$207,'Q3 Data'!$B$4:$B$207,$S34)+SUMIFS('Q3 Data'!$M$4:$M$207,'Q3 Data'!$B$4:$B$207,$S34))</f>
      </c>
      <c r="W34" s="7">
        <f>IF($C34="","",SUMIFS('Q4 Data'!$L$4:$L$207,'Q4 Data'!$B$4:$B$207,$S34)+SUMIFS('Q4 Data'!$O$4:$O$207,'Q4 Data'!$B$4:$B$207,$S34)+SUMIFS('Q4 Data'!$M$4:$M$207,'Q4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Data'!$L$4:$L$207,'Q1 Data'!$B$4:$B$207,$S35)+SUMIFS('Q1 Data'!$O$4:$O$207,'Q1 Data'!$B$4:$B$207,$S35)+SUMIFS('Q1 Data'!$M$4:$M$207,'Q1 Data'!$B$4:$B$207,$S35))</f>
      </c>
      <c r="U35" s="7">
        <f>IF($C35="","",SUMIFS('Q2 Data'!$L$4:$L$207,'Q2 Data'!$B$4:$B$207,$S35)+SUMIFS('Q2 Data'!$O$4:$O$207,'Q2 Data'!$B$4:$B$207,$S35)+SUMIFS('Q2 Data'!$M$4:$M$207,'Q2 Data'!$B$4:$B$207,$S35))</f>
      </c>
      <c r="V35" s="7">
        <f>IF($C35="","",SUMIFS('Q3 Data'!$L$4:$L$207,'Q3 Data'!$B$4:$B$207,$S35)+SUMIFS('Q3 Data'!$O$4:$O$207,'Q3 Data'!$B$4:$B$207,$S35)+SUMIFS('Q3 Data'!$M$4:$M$207,'Q3 Data'!$B$4:$B$207,$S35))</f>
      </c>
      <c r="W35" s="7">
        <f>IF($C35="","",SUMIFS('Q4 Data'!$L$4:$L$207,'Q4 Data'!$B$4:$B$207,$S35)+SUMIFS('Q4 Data'!$O$4:$O$207,'Q4 Data'!$B$4:$B$207,$S35)+SUMIFS('Q4 Data'!$M$4:$M$207,'Q4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Data'!$L$4:$L$207,'Q1 Data'!$B$4:$B$207,$S36)+SUMIFS('Q1 Data'!$O$4:$O$207,'Q1 Data'!$B$4:$B$207,$S36)+SUMIFS('Q1 Data'!$M$4:$M$207,'Q1 Data'!$B$4:$B$207,$S36))</f>
      </c>
      <c r="U36" s="7">
        <f>IF($C36="","",SUMIFS('Q2 Data'!$L$4:$L$207,'Q2 Data'!$B$4:$B$207,$S36)+SUMIFS('Q2 Data'!$O$4:$O$207,'Q2 Data'!$B$4:$B$207,$S36)+SUMIFS('Q2 Data'!$M$4:$M$207,'Q2 Data'!$B$4:$B$207,$S36))</f>
      </c>
      <c r="V36" s="7">
        <f>IF($C36="","",SUMIFS('Q3 Data'!$L$4:$L$207,'Q3 Data'!$B$4:$B$207,$S36)+SUMIFS('Q3 Data'!$O$4:$O$207,'Q3 Data'!$B$4:$B$207,$S36)+SUMIFS('Q3 Data'!$M$4:$M$207,'Q3 Data'!$B$4:$B$207,$S36))</f>
      </c>
      <c r="W36" s="7">
        <f>IF($C36="","",SUMIFS('Q4 Data'!$L$4:$L$207,'Q4 Data'!$B$4:$B$207,$S36)+SUMIFS('Q4 Data'!$O$4:$O$207,'Q4 Data'!$B$4:$B$207,$S36)+SUMIFS('Q4 Data'!$M$4:$M$207,'Q4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Data'!$L$4:$L$207,'Q1 Data'!$B$4:$B$207,$S37)+SUMIFS('Q1 Data'!$O$4:$O$207,'Q1 Data'!$B$4:$B$207,$S37)+SUMIFS('Q1 Data'!$M$4:$M$207,'Q1 Data'!$B$4:$B$207,$S37))</f>
      </c>
      <c r="U37" s="7">
        <f>IF($C37="","",SUMIFS('Q2 Data'!$L$4:$L$207,'Q2 Data'!$B$4:$B$207,$S37)+SUMIFS('Q2 Data'!$O$4:$O$207,'Q2 Data'!$B$4:$B$207,$S37)+SUMIFS('Q2 Data'!$M$4:$M$207,'Q2 Data'!$B$4:$B$207,$S37))</f>
      </c>
      <c r="V37" s="7">
        <f>IF($C37="","",SUMIFS('Q3 Data'!$L$4:$L$207,'Q3 Data'!$B$4:$B$207,$S37)+SUMIFS('Q3 Data'!$O$4:$O$207,'Q3 Data'!$B$4:$B$207,$S37)+SUMIFS('Q3 Data'!$M$4:$M$207,'Q3 Data'!$B$4:$B$207,$S37))</f>
      </c>
      <c r="W37" s="7">
        <f>IF($C37="","",SUMIFS('Q4 Data'!$L$4:$L$207,'Q4 Data'!$B$4:$B$207,$S37)+SUMIFS('Q4 Data'!$O$4:$O$207,'Q4 Data'!$B$4:$B$207,$S37)+SUMIFS('Q4 Data'!$M$4:$M$207,'Q4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Data'!$L$4:$L$207,'Q1 Data'!$B$4:$B$207,$S38)+SUMIFS('Q1 Data'!$O$4:$O$207,'Q1 Data'!$B$4:$B$207,$S38)+SUMIFS('Q1 Data'!$M$4:$M$207,'Q1 Data'!$B$4:$B$207,$S38))</f>
      </c>
      <c r="U38" s="7">
        <f>IF($C38="","",SUMIFS('Q2 Data'!$L$4:$L$207,'Q2 Data'!$B$4:$B$207,$S38)+SUMIFS('Q2 Data'!$O$4:$O$207,'Q2 Data'!$B$4:$B$207,$S38)+SUMIFS('Q2 Data'!$M$4:$M$207,'Q2 Data'!$B$4:$B$207,$S38))</f>
      </c>
      <c r="V38" s="7">
        <f>IF($C38="","",SUMIFS('Q3 Data'!$L$4:$L$207,'Q3 Data'!$B$4:$B$207,$S38)+SUMIFS('Q3 Data'!$O$4:$O$207,'Q3 Data'!$B$4:$B$207,$S38)+SUMIFS('Q3 Data'!$M$4:$M$207,'Q3 Data'!$B$4:$B$207,$S38))</f>
      </c>
      <c r="W38" s="7">
        <f>IF($C38="","",SUMIFS('Q4 Data'!$L$4:$L$207,'Q4 Data'!$B$4:$B$207,$S38)+SUMIFS('Q4 Data'!$O$4:$O$207,'Q4 Data'!$B$4:$B$207,$S38)+SUMIFS('Q4 Data'!$M$4:$M$207,'Q4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Data'!$L$4:$L$207,'Q1 Data'!$B$4:$B$207,$S39)+SUMIFS('Q1 Data'!$O$4:$O$207,'Q1 Data'!$B$4:$B$207,$S39)+SUMIFS('Q1 Data'!$M$4:$M$207,'Q1 Data'!$B$4:$B$207,$S39))</f>
      </c>
      <c r="U39" s="7">
        <f>IF($C39="","",SUMIFS('Q2 Data'!$L$4:$L$207,'Q2 Data'!$B$4:$B$207,$S39)+SUMIFS('Q2 Data'!$O$4:$O$207,'Q2 Data'!$B$4:$B$207,$S39)+SUMIFS('Q2 Data'!$M$4:$M$207,'Q2 Data'!$B$4:$B$207,$S39))</f>
      </c>
      <c r="V39" s="7">
        <f>IF($C39="","",SUMIFS('Q3 Data'!$L$4:$L$207,'Q3 Data'!$B$4:$B$207,$S39)+SUMIFS('Q3 Data'!$O$4:$O$207,'Q3 Data'!$B$4:$B$207,$S39)+SUMIFS('Q3 Data'!$M$4:$M$207,'Q3 Data'!$B$4:$B$207,$S39))</f>
      </c>
      <c r="W39" s="7">
        <f>IF($C39="","",SUMIFS('Q4 Data'!$L$4:$L$207,'Q4 Data'!$B$4:$B$207,$S39)+SUMIFS('Q4 Data'!$O$4:$O$207,'Q4 Data'!$B$4:$B$207,$S39)+SUMIFS('Q4 Data'!$M$4:$M$207,'Q4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Data'!$L$4:$L$207,'Q1 Data'!$B$4:$B$207,$S40)+SUMIFS('Q1 Data'!$O$4:$O$207,'Q1 Data'!$B$4:$B$207,$S40)+SUMIFS('Q1 Data'!$M$4:$M$207,'Q1 Data'!$B$4:$B$207,$S40))</f>
      </c>
      <c r="U40" s="7">
        <f>IF($C40="","",SUMIFS('Q2 Data'!$L$4:$L$207,'Q2 Data'!$B$4:$B$207,$S40)+SUMIFS('Q2 Data'!$O$4:$O$207,'Q2 Data'!$B$4:$B$207,$S40)+SUMIFS('Q2 Data'!$M$4:$M$207,'Q2 Data'!$B$4:$B$207,$S40))</f>
      </c>
      <c r="V40" s="7">
        <f>IF($C40="","",SUMIFS('Q3 Data'!$L$4:$L$207,'Q3 Data'!$B$4:$B$207,$S40)+SUMIFS('Q3 Data'!$O$4:$O$207,'Q3 Data'!$B$4:$B$207,$S40)+SUMIFS('Q3 Data'!$M$4:$M$207,'Q3 Data'!$B$4:$B$207,$S40))</f>
      </c>
      <c r="W40" s="7">
        <f>IF($C40="","",SUMIFS('Q4 Data'!$L$4:$L$207,'Q4 Data'!$B$4:$B$207,$S40)+SUMIFS('Q4 Data'!$O$4:$O$207,'Q4 Data'!$B$4:$B$207,$S40)+SUMIFS('Q4 Data'!$M$4:$M$207,'Q4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Data'!$L$4:$L$207,'Q1 Data'!$B$4:$B$207,$S41)+SUMIFS('Q1 Data'!$O$4:$O$207,'Q1 Data'!$B$4:$B$207,$S41)+SUMIFS('Q1 Data'!$M$4:$M$207,'Q1 Data'!$B$4:$B$207,$S41))</f>
      </c>
      <c r="U41" s="7">
        <f>IF($C41="","",SUMIFS('Q2 Data'!$L$4:$L$207,'Q2 Data'!$B$4:$B$207,$S41)+SUMIFS('Q2 Data'!$O$4:$O$207,'Q2 Data'!$B$4:$B$207,$S41)+SUMIFS('Q2 Data'!$M$4:$M$207,'Q2 Data'!$B$4:$B$207,$S41))</f>
      </c>
      <c r="V41" s="7">
        <f>IF($C41="","",SUMIFS('Q3 Data'!$L$4:$L$207,'Q3 Data'!$B$4:$B$207,$S41)+SUMIFS('Q3 Data'!$O$4:$O$207,'Q3 Data'!$B$4:$B$207,$S41)+SUMIFS('Q3 Data'!$M$4:$M$207,'Q3 Data'!$B$4:$B$207,$S41))</f>
      </c>
      <c r="W41" s="7">
        <f>IF($C41="","",SUMIFS('Q4 Data'!$L$4:$L$207,'Q4 Data'!$B$4:$B$207,$S41)+SUMIFS('Q4 Data'!$O$4:$O$207,'Q4 Data'!$B$4:$B$207,$S41)+SUMIFS('Q4 Data'!$M$4:$M$207,'Q4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Data'!$L$4:$L$207,'Q1 Data'!$B$4:$B$207,$S42)+SUMIFS('Q1 Data'!$O$4:$O$207,'Q1 Data'!$B$4:$B$207,$S42)+SUMIFS('Q1 Data'!$M$4:$M$207,'Q1 Data'!$B$4:$B$207,$S42))</f>
      </c>
      <c r="U42" s="7">
        <f>IF($C42="","",SUMIFS('Q2 Data'!$L$4:$L$207,'Q2 Data'!$B$4:$B$207,$S42)+SUMIFS('Q2 Data'!$O$4:$O$207,'Q2 Data'!$B$4:$B$207,$S42)+SUMIFS('Q2 Data'!$M$4:$M$207,'Q2 Data'!$B$4:$B$207,$S42))</f>
      </c>
      <c r="V42" s="7">
        <f>IF($C42="","",SUMIFS('Q3 Data'!$L$4:$L$207,'Q3 Data'!$B$4:$B$207,$S42)+SUMIFS('Q3 Data'!$O$4:$O$207,'Q3 Data'!$B$4:$B$207,$S42)+SUMIFS('Q3 Data'!$M$4:$M$207,'Q3 Data'!$B$4:$B$207,$S42))</f>
      </c>
      <c r="W42" s="7">
        <f>IF($C42="","",SUMIFS('Q4 Data'!$L$4:$L$207,'Q4 Data'!$B$4:$B$207,$S42)+SUMIFS('Q4 Data'!$O$4:$O$207,'Q4 Data'!$B$4:$B$207,$S42)+SUMIFS('Q4 Data'!$M$4:$M$207,'Q4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Data'!$L$4:$L$207,'Q1 Data'!$B$4:$B$207,$S43)+SUMIFS('Q1 Data'!$O$4:$O$207,'Q1 Data'!$B$4:$B$207,$S43)+SUMIFS('Q1 Data'!$M$4:$M$207,'Q1 Data'!$B$4:$B$207,$S43))</f>
      </c>
      <c r="U43" s="7">
        <f>IF($C43="","",SUMIFS('Q2 Data'!$L$4:$L$207,'Q2 Data'!$B$4:$B$207,$S43)+SUMIFS('Q2 Data'!$O$4:$O$207,'Q2 Data'!$B$4:$B$207,$S43)+SUMIFS('Q2 Data'!$M$4:$M$207,'Q2 Data'!$B$4:$B$207,$S43))</f>
      </c>
      <c r="V43" s="7">
        <f>IF($C43="","",SUMIFS('Q3 Data'!$L$4:$L$207,'Q3 Data'!$B$4:$B$207,$S43)+SUMIFS('Q3 Data'!$O$4:$O$207,'Q3 Data'!$B$4:$B$207,$S43)+SUMIFS('Q3 Data'!$M$4:$M$207,'Q3 Data'!$B$4:$B$207,$S43))</f>
      </c>
      <c r="W43" s="7">
        <f>IF($C43="","",SUMIFS('Q4 Data'!$L$4:$L$207,'Q4 Data'!$B$4:$B$207,$S43)+SUMIFS('Q4 Data'!$O$4:$O$207,'Q4 Data'!$B$4:$B$207,$S43)+SUMIFS('Q4 Data'!$M$4:$M$207,'Q4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Data'!$L$4:$L$207,'Q1 Data'!$B$4:$B$207,$S44)+SUMIFS('Q1 Data'!$O$4:$O$207,'Q1 Data'!$B$4:$B$207,$S44)+SUMIFS('Q1 Data'!$M$4:$M$207,'Q1 Data'!$B$4:$B$207,$S44))</f>
      </c>
      <c r="U44" s="7">
        <f>IF($C44="","",SUMIFS('Q2 Data'!$L$4:$L$207,'Q2 Data'!$B$4:$B$207,$S44)+SUMIFS('Q2 Data'!$O$4:$O$207,'Q2 Data'!$B$4:$B$207,$S44)+SUMIFS('Q2 Data'!$M$4:$M$207,'Q2 Data'!$B$4:$B$207,$S44))</f>
      </c>
      <c r="V44" s="7">
        <f>IF($C44="","",SUMIFS('Q3 Data'!$L$4:$L$207,'Q3 Data'!$B$4:$B$207,$S44)+SUMIFS('Q3 Data'!$O$4:$O$207,'Q3 Data'!$B$4:$B$207,$S44)+SUMIFS('Q3 Data'!$M$4:$M$207,'Q3 Data'!$B$4:$B$207,$S44))</f>
      </c>
      <c r="W44" s="7">
        <f>IF($C44="","",SUMIFS('Q4 Data'!$L$4:$L$207,'Q4 Data'!$B$4:$B$207,$S44)+SUMIFS('Q4 Data'!$O$4:$O$207,'Q4 Data'!$B$4:$B$207,$S44)+SUMIFS('Q4 Data'!$M$4:$M$207,'Q4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Data'!$L$4:$L$207,'Q1 Data'!$B$4:$B$207,$S45)+SUMIFS('Q1 Data'!$O$4:$O$207,'Q1 Data'!$B$4:$B$207,$S45)+SUMIFS('Q1 Data'!$M$4:$M$207,'Q1 Data'!$B$4:$B$207,$S45))</f>
      </c>
      <c r="U45" s="7">
        <f>IF($C45="","",SUMIFS('Q2 Data'!$L$4:$L$207,'Q2 Data'!$B$4:$B$207,$S45)+SUMIFS('Q2 Data'!$O$4:$O$207,'Q2 Data'!$B$4:$B$207,$S45)+SUMIFS('Q2 Data'!$M$4:$M$207,'Q2 Data'!$B$4:$B$207,$S45))</f>
      </c>
      <c r="V45" s="7">
        <f>IF($C45="","",SUMIFS('Q3 Data'!$L$4:$L$207,'Q3 Data'!$B$4:$B$207,$S45)+SUMIFS('Q3 Data'!$O$4:$O$207,'Q3 Data'!$B$4:$B$207,$S45)+SUMIFS('Q3 Data'!$M$4:$M$207,'Q3 Data'!$B$4:$B$207,$S45))</f>
      </c>
      <c r="W45" s="7">
        <f>IF($C45="","",SUMIFS('Q4 Data'!$L$4:$L$207,'Q4 Data'!$B$4:$B$207,$S45)+SUMIFS('Q4 Data'!$O$4:$O$207,'Q4 Data'!$B$4:$B$207,$S45)+SUMIFS('Q4 Data'!$M$4:$M$207,'Q4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Data'!$L$4:$L$207,'Q1 Data'!$B$4:$B$207,$S46)+SUMIFS('Q1 Data'!$O$4:$O$207,'Q1 Data'!$B$4:$B$207,$S46)+SUMIFS('Q1 Data'!$M$4:$M$207,'Q1 Data'!$B$4:$B$207,$S46))</f>
      </c>
      <c r="U46" s="7">
        <f>IF($C46="","",SUMIFS('Q2 Data'!$L$4:$L$207,'Q2 Data'!$B$4:$B$207,$S46)+SUMIFS('Q2 Data'!$O$4:$O$207,'Q2 Data'!$B$4:$B$207,$S46)+SUMIFS('Q2 Data'!$M$4:$M$207,'Q2 Data'!$B$4:$B$207,$S46))</f>
      </c>
      <c r="V46" s="7">
        <f>IF($C46="","",SUMIFS('Q3 Data'!$L$4:$L$207,'Q3 Data'!$B$4:$B$207,$S46)+SUMIFS('Q3 Data'!$O$4:$O$207,'Q3 Data'!$B$4:$B$207,$S46)+SUMIFS('Q3 Data'!$M$4:$M$207,'Q3 Data'!$B$4:$B$207,$S46))</f>
      </c>
      <c r="W46" s="7">
        <f>IF($C46="","",SUMIFS('Q4 Data'!$L$4:$L$207,'Q4 Data'!$B$4:$B$207,$S46)+SUMIFS('Q4 Data'!$O$4:$O$207,'Q4 Data'!$B$4:$B$207,$S46)+SUMIFS('Q4 Data'!$M$4:$M$207,'Q4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Data'!$L$4:$L$207,'Q1 Data'!$B$4:$B$207,$S47)+SUMIFS('Q1 Data'!$O$4:$O$207,'Q1 Data'!$B$4:$B$207,$S47)+SUMIFS('Q1 Data'!$M$4:$M$207,'Q1 Data'!$B$4:$B$207,$S47))</f>
      </c>
      <c r="U47" s="7">
        <f>IF($C47="","",SUMIFS('Q2 Data'!$L$4:$L$207,'Q2 Data'!$B$4:$B$207,$S47)+SUMIFS('Q2 Data'!$O$4:$O$207,'Q2 Data'!$B$4:$B$207,$S47)+SUMIFS('Q2 Data'!$M$4:$M$207,'Q2 Data'!$B$4:$B$207,$S47))</f>
      </c>
      <c r="V47" s="7">
        <f>IF($C47="","",SUMIFS('Q3 Data'!$L$4:$L$207,'Q3 Data'!$B$4:$B$207,$S47)+SUMIFS('Q3 Data'!$O$4:$O$207,'Q3 Data'!$B$4:$B$207,$S47)+SUMIFS('Q3 Data'!$M$4:$M$207,'Q3 Data'!$B$4:$B$207,$S47))</f>
      </c>
      <c r="W47" s="7">
        <f>IF($C47="","",SUMIFS('Q4 Data'!$L$4:$L$207,'Q4 Data'!$B$4:$B$207,$S47)+SUMIFS('Q4 Data'!$O$4:$O$207,'Q4 Data'!$B$4:$B$207,$S47)+SUMIFS('Q4 Data'!$M$4:$M$207,'Q4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Data'!$L$4:$L$207,'Q1 Data'!$B$4:$B$207,$S48)+SUMIFS('Q1 Data'!$O$4:$O$207,'Q1 Data'!$B$4:$B$207,$S48)+SUMIFS('Q1 Data'!$M$4:$M$207,'Q1 Data'!$B$4:$B$207,$S48))</f>
      </c>
      <c r="U48" s="7">
        <f>IF($C48="","",SUMIFS('Q2 Data'!$L$4:$L$207,'Q2 Data'!$B$4:$B$207,$S48)+SUMIFS('Q2 Data'!$O$4:$O$207,'Q2 Data'!$B$4:$B$207,$S48)+SUMIFS('Q2 Data'!$M$4:$M$207,'Q2 Data'!$B$4:$B$207,$S48))</f>
      </c>
      <c r="V48" s="7">
        <f>IF($C48="","",SUMIFS('Q3 Data'!$L$4:$L$207,'Q3 Data'!$B$4:$B$207,$S48)+SUMIFS('Q3 Data'!$O$4:$O$207,'Q3 Data'!$B$4:$B$207,$S48)+SUMIFS('Q3 Data'!$M$4:$M$207,'Q3 Data'!$B$4:$B$207,$S48))</f>
      </c>
      <c r="W48" s="7">
        <f>IF($C48="","",SUMIFS('Q4 Data'!$L$4:$L$207,'Q4 Data'!$B$4:$B$207,$S48)+SUMIFS('Q4 Data'!$O$4:$O$207,'Q4 Data'!$B$4:$B$207,$S48)+SUMIFS('Q4 Data'!$M$4:$M$207,'Q4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Data'!$L$4:$L$207,'Q1 Data'!$B$4:$B$207,$S49)+SUMIFS('Q1 Data'!$O$4:$O$207,'Q1 Data'!$B$4:$B$207,$S49)+SUMIFS('Q1 Data'!$M$4:$M$207,'Q1 Data'!$B$4:$B$207,$S49))</f>
      </c>
      <c r="U49" s="7">
        <f>IF($C49="","",SUMIFS('Q2 Data'!$L$4:$L$207,'Q2 Data'!$B$4:$B$207,$S49)+SUMIFS('Q2 Data'!$O$4:$O$207,'Q2 Data'!$B$4:$B$207,$S49)+SUMIFS('Q2 Data'!$M$4:$M$207,'Q2 Data'!$B$4:$B$207,$S49))</f>
      </c>
      <c r="V49" s="7">
        <f>IF($C49="","",SUMIFS('Q3 Data'!$L$4:$L$207,'Q3 Data'!$B$4:$B$207,$S49)+SUMIFS('Q3 Data'!$O$4:$O$207,'Q3 Data'!$B$4:$B$207,$S49)+SUMIFS('Q3 Data'!$M$4:$M$207,'Q3 Data'!$B$4:$B$207,$S49))</f>
      </c>
      <c r="W49" s="7">
        <f>IF($C49="","",SUMIFS('Q4 Data'!$L$4:$L$207,'Q4 Data'!$B$4:$B$207,$S49)+SUMIFS('Q4 Data'!$O$4:$O$207,'Q4 Data'!$B$4:$B$207,$S49)+SUMIFS('Q4 Data'!$M$4:$M$207,'Q4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Data'!$L$4:$L$207,'Q1 Data'!$B$4:$B$207,$S50)+SUMIFS('Q1 Data'!$O$4:$O$207,'Q1 Data'!$B$4:$B$207,$S50)+SUMIFS('Q1 Data'!$M$4:$M$207,'Q1 Data'!$B$4:$B$207,$S50))</f>
      </c>
      <c r="U50" s="7">
        <f>IF($C50="","",SUMIFS('Q2 Data'!$L$4:$L$207,'Q2 Data'!$B$4:$B$207,$S50)+SUMIFS('Q2 Data'!$O$4:$O$207,'Q2 Data'!$B$4:$B$207,$S50)+SUMIFS('Q2 Data'!$M$4:$M$207,'Q2 Data'!$B$4:$B$207,$S50))</f>
      </c>
      <c r="V50" s="7">
        <f>IF($C50="","",SUMIFS('Q3 Data'!$L$4:$L$207,'Q3 Data'!$B$4:$B$207,$S50)+SUMIFS('Q3 Data'!$O$4:$O$207,'Q3 Data'!$B$4:$B$207,$S50)+SUMIFS('Q3 Data'!$M$4:$M$207,'Q3 Data'!$B$4:$B$207,$S50))</f>
      </c>
      <c r="W50" s="7">
        <f>IF($C50="","",SUMIFS('Q4 Data'!$L$4:$L$207,'Q4 Data'!$B$4:$B$207,$S50)+SUMIFS('Q4 Data'!$O$4:$O$207,'Q4 Data'!$B$4:$B$207,$S50)+SUMIFS('Q4 Data'!$M$4:$M$207,'Q4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Data'!$L$4:$L$207,'Q1 Data'!$B$4:$B$207,$S51)+SUMIFS('Q1 Data'!$O$4:$O$207,'Q1 Data'!$B$4:$B$207,$S51)+SUMIFS('Q1 Data'!$M$4:$M$207,'Q1 Data'!$B$4:$B$207,$S51))</f>
      </c>
      <c r="U51" s="7">
        <f>IF($C51="","",SUMIFS('Q2 Data'!$L$4:$L$207,'Q2 Data'!$B$4:$B$207,$S51)+SUMIFS('Q2 Data'!$O$4:$O$207,'Q2 Data'!$B$4:$B$207,$S51)+SUMIFS('Q2 Data'!$M$4:$M$207,'Q2 Data'!$B$4:$B$207,$S51))</f>
      </c>
      <c r="V51" s="7">
        <f>IF($C51="","",SUMIFS('Q3 Data'!$L$4:$L$207,'Q3 Data'!$B$4:$B$207,$S51)+SUMIFS('Q3 Data'!$O$4:$O$207,'Q3 Data'!$B$4:$B$207,$S51)+SUMIFS('Q3 Data'!$M$4:$M$207,'Q3 Data'!$B$4:$B$207,$S51))</f>
      </c>
      <c r="W51" s="7">
        <f>IF($C51="","",SUMIFS('Q4 Data'!$L$4:$L$207,'Q4 Data'!$B$4:$B$207,$S51)+SUMIFS('Q4 Data'!$O$4:$O$207,'Q4 Data'!$B$4:$B$207,$S51)+SUMIFS('Q4 Data'!$M$4:$M$207,'Q4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Data'!$L$4:$L$207,'Q1 Data'!$B$4:$B$207,$S52)+SUMIFS('Q1 Data'!$O$4:$O$207,'Q1 Data'!$B$4:$B$207,$S52)+SUMIFS('Q1 Data'!$M$4:$M$207,'Q1 Data'!$B$4:$B$207,$S52))</f>
      </c>
      <c r="U52" s="7">
        <f>IF($C52="","",SUMIFS('Q2 Data'!$L$4:$L$207,'Q2 Data'!$B$4:$B$207,$S52)+SUMIFS('Q2 Data'!$O$4:$O$207,'Q2 Data'!$B$4:$B$207,$S52)+SUMIFS('Q2 Data'!$M$4:$M$207,'Q2 Data'!$B$4:$B$207,$S52))</f>
      </c>
      <c r="V52" s="7">
        <f>IF($C52="","",SUMIFS('Q3 Data'!$L$4:$L$207,'Q3 Data'!$B$4:$B$207,$S52)+SUMIFS('Q3 Data'!$O$4:$O$207,'Q3 Data'!$B$4:$B$207,$S52)+SUMIFS('Q3 Data'!$M$4:$M$207,'Q3 Data'!$B$4:$B$207,$S52))</f>
      </c>
      <c r="W52" s="7">
        <f>IF($C52="","",SUMIFS('Q4 Data'!$L$4:$L$207,'Q4 Data'!$B$4:$B$207,$S52)+SUMIFS('Q4 Data'!$O$4:$O$207,'Q4 Data'!$B$4:$B$207,$S52)+SUMIFS('Q4 Data'!$M$4:$M$207,'Q4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Data'!$L$4:$L$207,'Q1 Data'!$B$4:$B$207,$S53)+SUMIFS('Q1 Data'!$O$4:$O$207,'Q1 Data'!$B$4:$B$207,$S53)+SUMIFS('Q1 Data'!$M$4:$M$207,'Q1 Data'!$B$4:$B$207,$S53))</f>
      </c>
      <c r="U53" s="7">
        <f>IF($C53="","",SUMIFS('Q2 Data'!$L$4:$L$207,'Q2 Data'!$B$4:$B$207,$S53)+SUMIFS('Q2 Data'!$O$4:$O$207,'Q2 Data'!$B$4:$B$207,$S53)+SUMIFS('Q2 Data'!$M$4:$M$207,'Q2 Data'!$B$4:$B$207,$S53))</f>
      </c>
      <c r="V53" s="7">
        <f>IF($C53="","",SUMIFS('Q3 Data'!$L$4:$L$207,'Q3 Data'!$B$4:$B$207,$S53)+SUMIFS('Q3 Data'!$O$4:$O$207,'Q3 Data'!$B$4:$B$207,$S53)+SUMIFS('Q3 Data'!$M$4:$M$207,'Q3 Data'!$B$4:$B$207,$S53))</f>
      </c>
      <c r="W53" s="7">
        <f>IF($C53="","",SUMIFS('Q4 Data'!$L$4:$L$207,'Q4 Data'!$B$4:$B$207,$S53)+SUMIFS('Q4 Data'!$O$4:$O$207,'Q4 Data'!$B$4:$B$207,$S53)+SUMIFS('Q4 Data'!$M$4:$M$207,'Q4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Data'!$L$4:$L$207,'Q1 Data'!$B$4:$B$207,$S54)+SUMIFS('Q1 Data'!$O$4:$O$207,'Q1 Data'!$B$4:$B$207,$S54)+SUMIFS('Q1 Data'!$M$4:$M$207,'Q1 Data'!$B$4:$B$207,$S54))</f>
      </c>
      <c r="U54" s="7">
        <f>IF($C54="","",SUMIFS('Q2 Data'!$L$4:$L$207,'Q2 Data'!$B$4:$B$207,$S54)+SUMIFS('Q2 Data'!$O$4:$O$207,'Q2 Data'!$B$4:$B$207,$S54)+SUMIFS('Q2 Data'!$M$4:$M$207,'Q2 Data'!$B$4:$B$207,$S54))</f>
      </c>
      <c r="V54" s="7">
        <f>IF($C54="","",SUMIFS('Q3 Data'!$L$4:$L$207,'Q3 Data'!$B$4:$B$207,$S54)+SUMIFS('Q3 Data'!$O$4:$O$207,'Q3 Data'!$B$4:$B$207,$S54)+SUMIFS('Q3 Data'!$M$4:$M$207,'Q3 Data'!$B$4:$B$207,$S54))</f>
      </c>
      <c r="W54" s="7">
        <f>IF($C54="","",SUMIFS('Q4 Data'!$L$4:$L$207,'Q4 Data'!$B$4:$B$207,$S54)+SUMIFS('Q4 Data'!$O$4:$O$207,'Q4 Data'!$B$4:$B$207,$S54)+SUMIFS('Q4 Data'!$M$4:$M$207,'Q4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Data'!$L$4:$L$207,'Q1 Data'!$B$4:$B$207,$S55)+SUMIFS('Q1 Data'!$O$4:$O$207,'Q1 Data'!$B$4:$B$207,$S55)+SUMIFS('Q1 Data'!$M$4:$M$207,'Q1 Data'!$B$4:$B$207,$S55))</f>
      </c>
      <c r="U55" s="7">
        <f>IF($C55="","",SUMIFS('Q2 Data'!$L$4:$L$207,'Q2 Data'!$B$4:$B$207,$S55)+SUMIFS('Q2 Data'!$O$4:$O$207,'Q2 Data'!$B$4:$B$207,$S55)+SUMIFS('Q2 Data'!$M$4:$M$207,'Q2 Data'!$B$4:$B$207,$S55))</f>
      </c>
      <c r="V55" s="7">
        <f>IF($C55="","",SUMIFS('Q3 Data'!$L$4:$L$207,'Q3 Data'!$B$4:$B$207,$S55)+SUMIFS('Q3 Data'!$O$4:$O$207,'Q3 Data'!$B$4:$B$207,$S55)+SUMIFS('Q3 Data'!$M$4:$M$207,'Q3 Data'!$B$4:$B$207,$S55))</f>
      </c>
      <c r="W55" s="7">
        <f>IF($C55="","",SUMIFS('Q4 Data'!$L$4:$L$207,'Q4 Data'!$B$4:$B$207,$S55)+SUMIFS('Q4 Data'!$O$4:$O$207,'Q4 Data'!$B$4:$B$207,$S55)+SUMIFS('Q4 Data'!$M$4:$M$207,'Q4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Data'!$L$4:$L$207,'Q1 Data'!$B$4:$B$207,$S56)+SUMIFS('Q1 Data'!$O$4:$O$207,'Q1 Data'!$B$4:$B$207,$S56)+SUMIFS('Q1 Data'!$M$4:$M$207,'Q1 Data'!$B$4:$B$207,$S56))</f>
      </c>
      <c r="U56" s="7">
        <f>IF($C56="","",SUMIFS('Q2 Data'!$L$4:$L$207,'Q2 Data'!$B$4:$B$207,$S56)+SUMIFS('Q2 Data'!$O$4:$O$207,'Q2 Data'!$B$4:$B$207,$S56)+SUMIFS('Q2 Data'!$M$4:$M$207,'Q2 Data'!$B$4:$B$207,$S56))</f>
      </c>
      <c r="V56" s="7">
        <f>IF($C56="","",SUMIFS('Q3 Data'!$L$4:$L$207,'Q3 Data'!$B$4:$B$207,$S56)+SUMIFS('Q3 Data'!$O$4:$O$207,'Q3 Data'!$B$4:$B$207,$S56)+SUMIFS('Q3 Data'!$M$4:$M$207,'Q3 Data'!$B$4:$B$207,$S56))</f>
      </c>
      <c r="W56" s="7">
        <f>IF($C56="","",SUMIFS('Q4 Data'!$L$4:$L$207,'Q4 Data'!$B$4:$B$207,$S56)+SUMIFS('Q4 Data'!$O$4:$O$207,'Q4 Data'!$B$4:$B$207,$S56)+SUMIFS('Q4 Data'!$M$4:$M$207,'Q4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Data'!$L$4:$L$207,'Q1 Data'!$B$4:$B$207,$S57)+SUMIFS('Q1 Data'!$O$4:$O$207,'Q1 Data'!$B$4:$B$207,$S57)+SUMIFS('Q1 Data'!$M$4:$M$207,'Q1 Data'!$B$4:$B$207,$S57))</f>
      </c>
      <c r="U57" s="7">
        <f>IF($C57="","",SUMIFS('Q2 Data'!$L$4:$L$207,'Q2 Data'!$B$4:$B$207,$S57)+SUMIFS('Q2 Data'!$O$4:$O$207,'Q2 Data'!$B$4:$B$207,$S57)+SUMIFS('Q2 Data'!$M$4:$M$207,'Q2 Data'!$B$4:$B$207,$S57))</f>
      </c>
      <c r="V57" s="7">
        <f>IF($C57="","",SUMIFS('Q3 Data'!$L$4:$L$207,'Q3 Data'!$B$4:$B$207,$S57)+SUMIFS('Q3 Data'!$O$4:$O$207,'Q3 Data'!$B$4:$B$207,$S57)+SUMIFS('Q3 Data'!$M$4:$M$207,'Q3 Data'!$B$4:$B$207,$S57))</f>
      </c>
      <c r="W57" s="7">
        <f>IF($C57="","",SUMIFS('Q4 Data'!$L$4:$L$207,'Q4 Data'!$B$4:$B$207,$S57)+SUMIFS('Q4 Data'!$O$4:$O$207,'Q4 Data'!$B$4:$B$207,$S57)+SUMIFS('Q4 Data'!$M$4:$M$207,'Q4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Data'!$L$4:$L$207,'Q1 Data'!$B$4:$B$207,$S58)+SUMIFS('Q1 Data'!$O$4:$O$207,'Q1 Data'!$B$4:$B$207,$S58)+SUMIFS('Q1 Data'!$M$4:$M$207,'Q1 Data'!$B$4:$B$207,$S58))</f>
      </c>
      <c r="U58" s="7">
        <f>IF($C58="","",SUMIFS('Q2 Data'!$L$4:$L$207,'Q2 Data'!$B$4:$B$207,$S58)+SUMIFS('Q2 Data'!$O$4:$O$207,'Q2 Data'!$B$4:$B$207,$S58)+SUMIFS('Q2 Data'!$M$4:$M$207,'Q2 Data'!$B$4:$B$207,$S58))</f>
      </c>
      <c r="V58" s="7">
        <f>IF($C58="","",SUMIFS('Q3 Data'!$L$4:$L$207,'Q3 Data'!$B$4:$B$207,$S58)+SUMIFS('Q3 Data'!$O$4:$O$207,'Q3 Data'!$B$4:$B$207,$S58)+SUMIFS('Q3 Data'!$M$4:$M$207,'Q3 Data'!$B$4:$B$207,$S58))</f>
      </c>
      <c r="W58" s="7">
        <f>IF($C58="","",SUMIFS('Q4 Data'!$L$4:$L$207,'Q4 Data'!$B$4:$B$207,$S58)+SUMIFS('Q4 Data'!$O$4:$O$207,'Q4 Data'!$B$4:$B$207,$S58)+SUMIFS('Q4 Data'!$M$4:$M$207,'Q4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Data'!$L$4:$L$207,'Q1 Data'!$B$4:$B$207,$S59)+SUMIFS('Q1 Data'!$O$4:$O$207,'Q1 Data'!$B$4:$B$207,$S59)+SUMIFS('Q1 Data'!$M$4:$M$207,'Q1 Data'!$B$4:$B$207,$S59))</f>
      </c>
      <c r="U59" s="7">
        <f>IF($C59="","",SUMIFS('Q2 Data'!$L$4:$L$207,'Q2 Data'!$B$4:$B$207,$S59)+SUMIFS('Q2 Data'!$O$4:$O$207,'Q2 Data'!$B$4:$B$207,$S59)+SUMIFS('Q2 Data'!$M$4:$M$207,'Q2 Data'!$B$4:$B$207,$S59))</f>
      </c>
      <c r="V59" s="7">
        <f>IF($C59="","",SUMIFS('Q3 Data'!$L$4:$L$207,'Q3 Data'!$B$4:$B$207,$S59)+SUMIFS('Q3 Data'!$O$4:$O$207,'Q3 Data'!$B$4:$B$207,$S59)+SUMIFS('Q3 Data'!$M$4:$M$207,'Q3 Data'!$B$4:$B$207,$S59))</f>
      </c>
      <c r="W59" s="7">
        <f>IF($C59="","",SUMIFS('Q4 Data'!$L$4:$L$207,'Q4 Data'!$B$4:$B$207,$S59)+SUMIFS('Q4 Data'!$O$4:$O$207,'Q4 Data'!$B$4:$B$207,$S59)+SUMIFS('Q4 Data'!$M$4:$M$207,'Q4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Data'!$L$4:$L$207,'Q1 Data'!$B$4:$B$207,$S60)+SUMIFS('Q1 Data'!$O$4:$O$207,'Q1 Data'!$B$4:$B$207,$S60)+SUMIFS('Q1 Data'!$M$4:$M$207,'Q1 Data'!$B$4:$B$207,$S60))</f>
      </c>
      <c r="U60" s="7">
        <f>IF($C60="","",SUMIFS('Q2 Data'!$L$4:$L$207,'Q2 Data'!$B$4:$B$207,$S60)+SUMIFS('Q2 Data'!$O$4:$O$207,'Q2 Data'!$B$4:$B$207,$S60)+SUMIFS('Q2 Data'!$M$4:$M$207,'Q2 Data'!$B$4:$B$207,$S60))</f>
      </c>
      <c r="V60" s="7">
        <f>IF($C60="","",SUMIFS('Q3 Data'!$L$4:$L$207,'Q3 Data'!$B$4:$B$207,$S60)+SUMIFS('Q3 Data'!$O$4:$O$207,'Q3 Data'!$B$4:$B$207,$S60)+SUMIFS('Q3 Data'!$M$4:$M$207,'Q3 Data'!$B$4:$B$207,$S60))</f>
      </c>
      <c r="W60" s="7">
        <f>IF($C60="","",SUMIFS('Q4 Data'!$L$4:$L$207,'Q4 Data'!$B$4:$B$207,$S60)+SUMIFS('Q4 Data'!$O$4:$O$207,'Q4 Data'!$B$4:$B$207,$S60)+SUMIFS('Q4 Data'!$M$4:$M$207,'Q4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Data'!$L$4:$L$207,'Q1 Data'!$B$4:$B$207,$S61)+SUMIFS('Q1 Data'!$O$4:$O$207,'Q1 Data'!$B$4:$B$207,$S61)+SUMIFS('Q1 Data'!$M$4:$M$207,'Q1 Data'!$B$4:$B$207,$S61))</f>
      </c>
      <c r="U61" s="7">
        <f>IF($C61="","",SUMIFS('Q2 Data'!$L$4:$L$207,'Q2 Data'!$B$4:$B$207,$S61)+SUMIFS('Q2 Data'!$O$4:$O$207,'Q2 Data'!$B$4:$B$207,$S61)+SUMIFS('Q2 Data'!$M$4:$M$207,'Q2 Data'!$B$4:$B$207,$S61))</f>
      </c>
      <c r="V61" s="7">
        <f>IF($C61="","",SUMIFS('Q3 Data'!$L$4:$L$207,'Q3 Data'!$B$4:$B$207,$S61)+SUMIFS('Q3 Data'!$O$4:$O$207,'Q3 Data'!$B$4:$B$207,$S61)+SUMIFS('Q3 Data'!$M$4:$M$207,'Q3 Data'!$B$4:$B$207,$S61))</f>
      </c>
      <c r="W61" s="7">
        <f>IF($C61="","",SUMIFS('Q4 Data'!$L$4:$L$207,'Q4 Data'!$B$4:$B$207,$S61)+SUMIFS('Q4 Data'!$O$4:$O$207,'Q4 Data'!$B$4:$B$207,$S61)+SUMIFS('Q4 Data'!$M$4:$M$207,'Q4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Data'!$L$4:$L$207,'Q1 Data'!$B$4:$B$207,$S62)+SUMIFS('Q1 Data'!$O$4:$O$207,'Q1 Data'!$B$4:$B$207,$S62)+SUMIFS('Q1 Data'!$M$4:$M$207,'Q1 Data'!$B$4:$B$207,$S62))</f>
      </c>
      <c r="U62" s="7">
        <f>IF($C62="","",SUMIFS('Q2 Data'!$L$4:$L$207,'Q2 Data'!$B$4:$B$207,$S62)+SUMIFS('Q2 Data'!$O$4:$O$207,'Q2 Data'!$B$4:$B$207,$S62)+SUMIFS('Q2 Data'!$M$4:$M$207,'Q2 Data'!$B$4:$B$207,$S62))</f>
      </c>
      <c r="V62" s="7">
        <f>IF($C62="","",SUMIFS('Q3 Data'!$L$4:$L$207,'Q3 Data'!$B$4:$B$207,$S62)+SUMIFS('Q3 Data'!$O$4:$O$207,'Q3 Data'!$B$4:$B$207,$S62)+SUMIFS('Q3 Data'!$M$4:$M$207,'Q3 Data'!$B$4:$B$207,$S62))</f>
      </c>
      <c r="W62" s="7">
        <f>IF($C62="","",SUMIFS('Q4 Data'!$L$4:$L$207,'Q4 Data'!$B$4:$B$207,$S62)+SUMIFS('Q4 Data'!$O$4:$O$207,'Q4 Data'!$B$4:$B$207,$S62)+SUMIFS('Q4 Data'!$M$4:$M$207,'Q4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Data'!$L$4:$L$207,'Q1 Data'!$B$4:$B$207,$S63)+SUMIFS('Q1 Data'!$O$4:$O$207,'Q1 Data'!$B$4:$B$207,$S63)+SUMIFS('Q1 Data'!$M$4:$M$207,'Q1 Data'!$B$4:$B$207,$S63))</f>
      </c>
      <c r="U63" s="7">
        <f>IF($C63="","",SUMIFS('Q2 Data'!$L$4:$L$207,'Q2 Data'!$B$4:$B$207,$S63)+SUMIFS('Q2 Data'!$O$4:$O$207,'Q2 Data'!$B$4:$B$207,$S63)+SUMIFS('Q2 Data'!$M$4:$M$207,'Q2 Data'!$B$4:$B$207,$S63))</f>
      </c>
      <c r="V63" s="7">
        <f>IF($C63="","",SUMIFS('Q3 Data'!$L$4:$L$207,'Q3 Data'!$B$4:$B$207,$S63)+SUMIFS('Q3 Data'!$O$4:$O$207,'Q3 Data'!$B$4:$B$207,$S63)+SUMIFS('Q3 Data'!$M$4:$M$207,'Q3 Data'!$B$4:$B$207,$S63))</f>
      </c>
      <c r="W63" s="7">
        <f>IF($C63="","",SUMIFS('Q4 Data'!$L$4:$L$207,'Q4 Data'!$B$4:$B$207,$S63)+SUMIFS('Q4 Data'!$O$4:$O$207,'Q4 Data'!$B$4:$B$207,$S63)+SUMIFS('Q4 Data'!$M$4:$M$207,'Q4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Data'!$L$4:$L$207,'Q1 Data'!$B$4:$B$207,$S64)+SUMIFS('Q1 Data'!$O$4:$O$207,'Q1 Data'!$B$4:$B$207,$S64)+SUMIFS('Q1 Data'!$M$4:$M$207,'Q1 Data'!$B$4:$B$207,$S64))</f>
      </c>
      <c r="U64" s="7">
        <f>IF($C64="","",SUMIFS('Q2 Data'!$L$4:$L$207,'Q2 Data'!$B$4:$B$207,$S64)+SUMIFS('Q2 Data'!$O$4:$O$207,'Q2 Data'!$B$4:$B$207,$S64)+SUMIFS('Q2 Data'!$M$4:$M$207,'Q2 Data'!$B$4:$B$207,$S64))</f>
      </c>
      <c r="V64" s="7">
        <f>IF($C64="","",SUMIFS('Q3 Data'!$L$4:$L$207,'Q3 Data'!$B$4:$B$207,$S64)+SUMIFS('Q3 Data'!$O$4:$O$207,'Q3 Data'!$B$4:$B$207,$S64)+SUMIFS('Q3 Data'!$M$4:$M$207,'Q3 Data'!$B$4:$B$207,$S64))</f>
      </c>
      <c r="W64" s="7">
        <f>IF($C64="","",SUMIFS('Q4 Data'!$L$4:$L$207,'Q4 Data'!$B$4:$B$207,$S64)+SUMIFS('Q4 Data'!$O$4:$O$207,'Q4 Data'!$B$4:$B$207,$S64)+SUMIFS('Q4 Data'!$M$4:$M$207,'Q4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Data'!$L$4:$L$207,'Q1 Data'!$B$4:$B$207,$S65)+SUMIFS('Q1 Data'!$O$4:$O$207,'Q1 Data'!$B$4:$B$207,$S65)+SUMIFS('Q1 Data'!$M$4:$M$207,'Q1 Data'!$B$4:$B$207,$S65))</f>
      </c>
      <c r="U65" s="7">
        <f>IF($C65="","",SUMIFS('Q2 Data'!$L$4:$L$207,'Q2 Data'!$B$4:$B$207,$S65)+SUMIFS('Q2 Data'!$O$4:$O$207,'Q2 Data'!$B$4:$B$207,$S65)+SUMIFS('Q2 Data'!$M$4:$M$207,'Q2 Data'!$B$4:$B$207,$S65))</f>
      </c>
      <c r="V65" s="7">
        <f>IF($C65="","",SUMIFS('Q3 Data'!$L$4:$L$207,'Q3 Data'!$B$4:$B$207,$S65)+SUMIFS('Q3 Data'!$O$4:$O$207,'Q3 Data'!$B$4:$B$207,$S65)+SUMIFS('Q3 Data'!$M$4:$M$207,'Q3 Data'!$B$4:$B$207,$S65))</f>
      </c>
      <c r="W65" s="7">
        <f>IF($C65="","",SUMIFS('Q4 Data'!$L$4:$L$207,'Q4 Data'!$B$4:$B$207,$S65)+SUMIFS('Q4 Data'!$O$4:$O$207,'Q4 Data'!$B$4:$B$207,$S65)+SUMIFS('Q4 Data'!$M$4:$M$207,'Q4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Data'!$L$4:$L$207,'Q1 Data'!$B$4:$B$207,$S66)+SUMIFS('Q1 Data'!$O$4:$O$207,'Q1 Data'!$B$4:$B$207,$S66)+SUMIFS('Q1 Data'!$M$4:$M$207,'Q1 Data'!$B$4:$B$207,$S66))</f>
      </c>
      <c r="U66" s="7">
        <f>IF($C66="","",SUMIFS('Q2 Data'!$L$4:$L$207,'Q2 Data'!$B$4:$B$207,$S66)+SUMIFS('Q2 Data'!$O$4:$O$207,'Q2 Data'!$B$4:$B$207,$S66)+SUMIFS('Q2 Data'!$M$4:$M$207,'Q2 Data'!$B$4:$B$207,$S66))</f>
      </c>
      <c r="V66" s="7">
        <f>IF($C66="","",SUMIFS('Q3 Data'!$L$4:$L$207,'Q3 Data'!$B$4:$B$207,$S66)+SUMIFS('Q3 Data'!$O$4:$O$207,'Q3 Data'!$B$4:$B$207,$S66)+SUMIFS('Q3 Data'!$M$4:$M$207,'Q3 Data'!$B$4:$B$207,$S66))</f>
      </c>
      <c r="W66" s="7">
        <f>IF($C66="","",SUMIFS('Q4 Data'!$L$4:$L$207,'Q4 Data'!$B$4:$B$207,$S66)+SUMIFS('Q4 Data'!$O$4:$O$207,'Q4 Data'!$B$4:$B$207,$S66)+SUMIFS('Q4 Data'!$M$4:$M$207,'Q4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Data'!$L$4:$L$207,'Q1 Data'!$B$4:$B$207,$S67)+SUMIFS('Q1 Data'!$O$4:$O$207,'Q1 Data'!$B$4:$B$207,$S67)+SUMIFS('Q1 Data'!$M$4:$M$207,'Q1 Data'!$B$4:$B$207,$S67))</f>
      </c>
      <c r="U67" s="7">
        <f>IF($C67="","",SUMIFS('Q2 Data'!$L$4:$L$207,'Q2 Data'!$B$4:$B$207,$S67)+SUMIFS('Q2 Data'!$O$4:$O$207,'Q2 Data'!$B$4:$B$207,$S67)+SUMIFS('Q2 Data'!$M$4:$M$207,'Q2 Data'!$B$4:$B$207,$S67))</f>
      </c>
      <c r="V67" s="7">
        <f>IF($C67="","",SUMIFS('Q3 Data'!$L$4:$L$207,'Q3 Data'!$B$4:$B$207,$S67)+SUMIFS('Q3 Data'!$O$4:$O$207,'Q3 Data'!$B$4:$B$207,$S67)+SUMIFS('Q3 Data'!$M$4:$M$207,'Q3 Data'!$B$4:$B$207,$S67))</f>
      </c>
      <c r="W67" s="7">
        <f>IF($C67="","",SUMIFS('Q4 Data'!$L$4:$L$207,'Q4 Data'!$B$4:$B$207,$S67)+SUMIFS('Q4 Data'!$O$4:$O$207,'Q4 Data'!$B$4:$B$207,$S67)+SUMIFS('Q4 Data'!$M$4:$M$207,'Q4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Data'!$L$4:$L$207,'Q1 Data'!$B$4:$B$207,$S68)+SUMIFS('Q1 Data'!$O$4:$O$207,'Q1 Data'!$B$4:$B$207,$S68)+SUMIFS('Q1 Data'!$M$4:$M$207,'Q1 Data'!$B$4:$B$207,$S68))</f>
      </c>
      <c r="U68" s="7">
        <f>IF($C68="","",SUMIFS('Q2 Data'!$L$4:$L$207,'Q2 Data'!$B$4:$B$207,$S68)+SUMIFS('Q2 Data'!$O$4:$O$207,'Q2 Data'!$B$4:$B$207,$S68)+SUMIFS('Q2 Data'!$M$4:$M$207,'Q2 Data'!$B$4:$B$207,$S68))</f>
      </c>
      <c r="V68" s="7">
        <f>IF($C68="","",SUMIFS('Q3 Data'!$L$4:$L$207,'Q3 Data'!$B$4:$B$207,$S68)+SUMIFS('Q3 Data'!$O$4:$O$207,'Q3 Data'!$B$4:$B$207,$S68)+SUMIFS('Q3 Data'!$M$4:$M$207,'Q3 Data'!$B$4:$B$207,$S68))</f>
      </c>
      <c r="W68" s="7">
        <f>IF($C68="","",SUMIFS('Q4 Data'!$L$4:$L$207,'Q4 Data'!$B$4:$B$207,$S68)+SUMIFS('Q4 Data'!$O$4:$O$207,'Q4 Data'!$B$4:$B$207,$S68)+SUMIFS('Q4 Data'!$M$4:$M$207,'Q4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Data'!$L$4:$L$207,'Q1 Data'!$B$4:$B$207,$S69)+SUMIFS('Q1 Data'!$O$4:$O$207,'Q1 Data'!$B$4:$B$207,$S69)+SUMIFS('Q1 Data'!$M$4:$M$207,'Q1 Data'!$B$4:$B$207,$S69))</f>
      </c>
      <c r="U69" s="7">
        <f>IF($C69="","",SUMIFS('Q2 Data'!$L$4:$L$207,'Q2 Data'!$B$4:$B$207,$S69)+SUMIFS('Q2 Data'!$O$4:$O$207,'Q2 Data'!$B$4:$B$207,$S69)+SUMIFS('Q2 Data'!$M$4:$M$207,'Q2 Data'!$B$4:$B$207,$S69))</f>
      </c>
      <c r="V69" s="7">
        <f>IF($C69="","",SUMIFS('Q3 Data'!$L$4:$L$207,'Q3 Data'!$B$4:$B$207,$S69)+SUMIFS('Q3 Data'!$O$4:$O$207,'Q3 Data'!$B$4:$B$207,$S69)+SUMIFS('Q3 Data'!$M$4:$M$207,'Q3 Data'!$B$4:$B$207,$S69))</f>
      </c>
      <c r="W69" s="7">
        <f>IF($C69="","",SUMIFS('Q4 Data'!$L$4:$L$207,'Q4 Data'!$B$4:$B$207,$S69)+SUMIFS('Q4 Data'!$O$4:$O$207,'Q4 Data'!$B$4:$B$207,$S69)+SUMIFS('Q4 Data'!$M$4:$M$207,'Q4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Data'!$L$4:$L$207,'Q1 Data'!$B$4:$B$207,$S70)+SUMIFS('Q1 Data'!$O$4:$O$207,'Q1 Data'!$B$4:$B$207,$S70)+SUMIFS('Q1 Data'!$M$4:$M$207,'Q1 Data'!$B$4:$B$207,$S70))</f>
      </c>
      <c r="U70" s="7">
        <f>IF($C70="","",SUMIFS('Q2 Data'!$L$4:$L$207,'Q2 Data'!$B$4:$B$207,$S70)+SUMIFS('Q2 Data'!$O$4:$O$207,'Q2 Data'!$B$4:$B$207,$S70)+SUMIFS('Q2 Data'!$M$4:$M$207,'Q2 Data'!$B$4:$B$207,$S70))</f>
      </c>
      <c r="V70" s="7">
        <f>IF($C70="","",SUMIFS('Q3 Data'!$L$4:$L$207,'Q3 Data'!$B$4:$B$207,$S70)+SUMIFS('Q3 Data'!$O$4:$O$207,'Q3 Data'!$B$4:$B$207,$S70)+SUMIFS('Q3 Data'!$M$4:$M$207,'Q3 Data'!$B$4:$B$207,$S70))</f>
      </c>
      <c r="W70" s="7">
        <f>IF($C70="","",SUMIFS('Q4 Data'!$L$4:$L$207,'Q4 Data'!$B$4:$B$207,$S70)+SUMIFS('Q4 Data'!$O$4:$O$207,'Q4 Data'!$B$4:$B$207,$S70)+SUMIFS('Q4 Data'!$M$4:$M$207,'Q4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Data'!$L$4:$L$207,'Q1 Data'!$B$4:$B$207,$S71)+SUMIFS('Q1 Data'!$O$4:$O$207,'Q1 Data'!$B$4:$B$207,$S71)+SUMIFS('Q1 Data'!$M$4:$M$207,'Q1 Data'!$B$4:$B$207,$S71))</f>
      </c>
      <c r="U71" s="7">
        <f>IF($C71="","",SUMIFS('Q2 Data'!$L$4:$L$207,'Q2 Data'!$B$4:$B$207,$S71)+SUMIFS('Q2 Data'!$O$4:$O$207,'Q2 Data'!$B$4:$B$207,$S71)+SUMIFS('Q2 Data'!$M$4:$M$207,'Q2 Data'!$B$4:$B$207,$S71))</f>
      </c>
      <c r="V71" s="7">
        <f>IF($C71="","",SUMIFS('Q3 Data'!$L$4:$L$207,'Q3 Data'!$B$4:$B$207,$S71)+SUMIFS('Q3 Data'!$O$4:$O$207,'Q3 Data'!$B$4:$B$207,$S71)+SUMIFS('Q3 Data'!$M$4:$M$207,'Q3 Data'!$B$4:$B$207,$S71))</f>
      </c>
      <c r="W71" s="7">
        <f>IF($C71="","",SUMIFS('Q4 Data'!$L$4:$L$207,'Q4 Data'!$B$4:$B$207,$S71)+SUMIFS('Q4 Data'!$O$4:$O$207,'Q4 Data'!$B$4:$B$207,$S71)+SUMIFS('Q4 Data'!$M$4:$M$207,'Q4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Data'!$L$4:$L$207,'Q1 Data'!$B$4:$B$207,$S72)+SUMIFS('Q1 Data'!$O$4:$O$207,'Q1 Data'!$B$4:$B$207,$S72)+SUMIFS('Q1 Data'!$M$4:$M$207,'Q1 Data'!$B$4:$B$207,$S72))</f>
      </c>
      <c r="U72" s="7">
        <f>IF($C72="","",SUMIFS('Q2 Data'!$L$4:$L$207,'Q2 Data'!$B$4:$B$207,$S72)+SUMIFS('Q2 Data'!$O$4:$O$207,'Q2 Data'!$B$4:$B$207,$S72)+SUMIFS('Q2 Data'!$M$4:$M$207,'Q2 Data'!$B$4:$B$207,$S72))</f>
      </c>
      <c r="V72" s="7">
        <f>IF($C72="","",SUMIFS('Q3 Data'!$L$4:$L$207,'Q3 Data'!$B$4:$B$207,$S72)+SUMIFS('Q3 Data'!$O$4:$O$207,'Q3 Data'!$B$4:$B$207,$S72)+SUMIFS('Q3 Data'!$M$4:$M$207,'Q3 Data'!$B$4:$B$207,$S72))</f>
      </c>
      <c r="W72" s="7">
        <f>IF($C72="","",SUMIFS('Q4 Data'!$L$4:$L$207,'Q4 Data'!$B$4:$B$207,$S72)+SUMIFS('Q4 Data'!$O$4:$O$207,'Q4 Data'!$B$4:$B$207,$S72)+SUMIFS('Q4 Data'!$M$4:$M$207,'Q4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Data'!$L$4:$L$207,'Q1 Data'!$B$4:$B$207,$S73)+SUMIFS('Q1 Data'!$O$4:$O$207,'Q1 Data'!$B$4:$B$207,$S73)+SUMIFS('Q1 Data'!$M$4:$M$207,'Q1 Data'!$B$4:$B$207,$S73))</f>
      </c>
      <c r="U73" s="7">
        <f>IF($C73="","",SUMIFS('Q2 Data'!$L$4:$L$207,'Q2 Data'!$B$4:$B$207,$S73)+SUMIFS('Q2 Data'!$O$4:$O$207,'Q2 Data'!$B$4:$B$207,$S73)+SUMIFS('Q2 Data'!$M$4:$M$207,'Q2 Data'!$B$4:$B$207,$S73))</f>
      </c>
      <c r="V73" s="7">
        <f>IF($C73="","",SUMIFS('Q3 Data'!$L$4:$L$207,'Q3 Data'!$B$4:$B$207,$S73)+SUMIFS('Q3 Data'!$O$4:$O$207,'Q3 Data'!$B$4:$B$207,$S73)+SUMIFS('Q3 Data'!$M$4:$M$207,'Q3 Data'!$B$4:$B$207,$S73))</f>
      </c>
      <c r="W73" s="7">
        <f>IF($C73="","",SUMIFS('Q4 Data'!$L$4:$L$207,'Q4 Data'!$B$4:$B$207,$S73)+SUMIFS('Q4 Data'!$O$4:$O$207,'Q4 Data'!$B$4:$B$207,$S73)+SUMIFS('Q4 Data'!$M$4:$M$207,'Q4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Data'!$L$4:$L$207,'Q1 Data'!$B$4:$B$207,$S74)+SUMIFS('Q1 Data'!$O$4:$O$207,'Q1 Data'!$B$4:$B$207,$S74)+SUMIFS('Q1 Data'!$M$4:$M$207,'Q1 Data'!$B$4:$B$207,$S74))</f>
      </c>
      <c r="U74" s="7">
        <f>IF($C74="","",SUMIFS('Q2 Data'!$L$4:$L$207,'Q2 Data'!$B$4:$B$207,$S74)+SUMIFS('Q2 Data'!$O$4:$O$207,'Q2 Data'!$B$4:$B$207,$S74)+SUMIFS('Q2 Data'!$M$4:$M$207,'Q2 Data'!$B$4:$B$207,$S74))</f>
      </c>
      <c r="V74" s="7">
        <f>IF($C74="","",SUMIFS('Q3 Data'!$L$4:$L$207,'Q3 Data'!$B$4:$B$207,$S74)+SUMIFS('Q3 Data'!$O$4:$O$207,'Q3 Data'!$B$4:$B$207,$S74)+SUMIFS('Q3 Data'!$M$4:$M$207,'Q3 Data'!$B$4:$B$207,$S74))</f>
      </c>
      <c r="W74" s="7">
        <f>IF($C74="","",SUMIFS('Q4 Data'!$L$4:$L$207,'Q4 Data'!$B$4:$B$207,$S74)+SUMIFS('Q4 Data'!$O$4:$O$207,'Q4 Data'!$B$4:$B$207,$S74)+SUMIFS('Q4 Data'!$M$4:$M$207,'Q4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Data'!$L$4:$L$207,'Q1 Data'!$B$4:$B$207,$S75)+SUMIFS('Q1 Data'!$O$4:$O$207,'Q1 Data'!$B$4:$B$207,$S75)+SUMIFS('Q1 Data'!$M$4:$M$207,'Q1 Data'!$B$4:$B$207,$S75))</f>
      </c>
      <c r="U75" s="7">
        <f>IF($C75="","",SUMIFS('Q2 Data'!$L$4:$L$207,'Q2 Data'!$B$4:$B$207,$S75)+SUMIFS('Q2 Data'!$O$4:$O$207,'Q2 Data'!$B$4:$B$207,$S75)+SUMIFS('Q2 Data'!$M$4:$M$207,'Q2 Data'!$B$4:$B$207,$S75))</f>
      </c>
      <c r="V75" s="7">
        <f>IF($C75="","",SUMIFS('Q3 Data'!$L$4:$L$207,'Q3 Data'!$B$4:$B$207,$S75)+SUMIFS('Q3 Data'!$O$4:$O$207,'Q3 Data'!$B$4:$B$207,$S75)+SUMIFS('Q3 Data'!$M$4:$M$207,'Q3 Data'!$B$4:$B$207,$S75))</f>
      </c>
      <c r="W75" s="7">
        <f>IF($C75="","",SUMIFS('Q4 Data'!$L$4:$L$207,'Q4 Data'!$B$4:$B$207,$S75)+SUMIFS('Q4 Data'!$O$4:$O$207,'Q4 Data'!$B$4:$B$207,$S75)+SUMIFS('Q4 Data'!$M$4:$M$207,'Q4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Data'!$L$4:$L$207,'Q1 Data'!$B$4:$B$207,$S76)+SUMIFS('Q1 Data'!$O$4:$O$207,'Q1 Data'!$B$4:$B$207,$S76)+SUMIFS('Q1 Data'!$M$4:$M$207,'Q1 Data'!$B$4:$B$207,$S76))</f>
      </c>
      <c r="U76" s="7">
        <f>IF($C76="","",SUMIFS('Q2 Data'!$L$4:$L$207,'Q2 Data'!$B$4:$B$207,$S76)+SUMIFS('Q2 Data'!$O$4:$O$207,'Q2 Data'!$B$4:$B$207,$S76)+SUMIFS('Q2 Data'!$M$4:$M$207,'Q2 Data'!$B$4:$B$207,$S76))</f>
      </c>
      <c r="V76" s="7">
        <f>IF($C76="","",SUMIFS('Q3 Data'!$L$4:$L$207,'Q3 Data'!$B$4:$B$207,$S76)+SUMIFS('Q3 Data'!$O$4:$O$207,'Q3 Data'!$B$4:$B$207,$S76)+SUMIFS('Q3 Data'!$M$4:$M$207,'Q3 Data'!$B$4:$B$207,$S76))</f>
      </c>
      <c r="W76" s="7">
        <f>IF($C76="","",SUMIFS('Q4 Data'!$L$4:$L$207,'Q4 Data'!$B$4:$B$207,$S76)+SUMIFS('Q4 Data'!$O$4:$O$207,'Q4 Data'!$B$4:$B$207,$S76)+SUMIFS('Q4 Data'!$M$4:$M$207,'Q4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Data'!$L$4:$L$207,'Q1 Data'!$B$4:$B$207,$S77)+SUMIFS('Q1 Data'!$O$4:$O$207,'Q1 Data'!$B$4:$B$207,$S77)+SUMIFS('Q1 Data'!$M$4:$M$207,'Q1 Data'!$B$4:$B$207,$S77))</f>
      </c>
      <c r="U77" s="7">
        <f>IF($C77="","",SUMIFS('Q2 Data'!$L$4:$L$207,'Q2 Data'!$B$4:$B$207,$S77)+SUMIFS('Q2 Data'!$O$4:$O$207,'Q2 Data'!$B$4:$B$207,$S77)+SUMIFS('Q2 Data'!$M$4:$M$207,'Q2 Data'!$B$4:$B$207,$S77))</f>
      </c>
      <c r="V77" s="7">
        <f>IF($C77="","",SUMIFS('Q3 Data'!$L$4:$L$207,'Q3 Data'!$B$4:$B$207,$S77)+SUMIFS('Q3 Data'!$O$4:$O$207,'Q3 Data'!$B$4:$B$207,$S77)+SUMIFS('Q3 Data'!$M$4:$M$207,'Q3 Data'!$B$4:$B$207,$S77))</f>
      </c>
      <c r="W77" s="7">
        <f>IF($C77="","",SUMIFS('Q4 Data'!$L$4:$L$207,'Q4 Data'!$B$4:$B$207,$S77)+SUMIFS('Q4 Data'!$O$4:$O$207,'Q4 Data'!$B$4:$B$207,$S77)+SUMIFS('Q4 Data'!$M$4:$M$207,'Q4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Data'!$L$4:$L$207,'Q1 Data'!$B$4:$B$207,$S78)+SUMIFS('Q1 Data'!$O$4:$O$207,'Q1 Data'!$B$4:$B$207,$S78)+SUMIFS('Q1 Data'!$M$4:$M$207,'Q1 Data'!$B$4:$B$207,$S78))</f>
      </c>
      <c r="U78" s="7">
        <f>IF($C78="","",SUMIFS('Q2 Data'!$L$4:$L$207,'Q2 Data'!$B$4:$B$207,$S78)+SUMIFS('Q2 Data'!$O$4:$O$207,'Q2 Data'!$B$4:$B$207,$S78)+SUMIFS('Q2 Data'!$M$4:$M$207,'Q2 Data'!$B$4:$B$207,$S78))</f>
      </c>
      <c r="V78" s="7">
        <f>IF($C78="","",SUMIFS('Q3 Data'!$L$4:$L$207,'Q3 Data'!$B$4:$B$207,$S78)+SUMIFS('Q3 Data'!$O$4:$O$207,'Q3 Data'!$B$4:$B$207,$S78)+SUMIFS('Q3 Data'!$M$4:$M$207,'Q3 Data'!$B$4:$B$207,$S78))</f>
      </c>
      <c r="W78" s="7">
        <f>IF($C78="","",SUMIFS('Q4 Data'!$L$4:$L$207,'Q4 Data'!$B$4:$B$207,$S78)+SUMIFS('Q4 Data'!$O$4:$O$207,'Q4 Data'!$B$4:$B$207,$S78)+SUMIFS('Q4 Data'!$M$4:$M$207,'Q4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Data'!$L$4:$L$207,'Q1 Data'!$B$4:$B$207,$S79)+SUMIFS('Q1 Data'!$O$4:$O$207,'Q1 Data'!$B$4:$B$207,$S79)+SUMIFS('Q1 Data'!$M$4:$M$207,'Q1 Data'!$B$4:$B$207,$S79))</f>
      </c>
      <c r="U79" s="7">
        <f>IF($C79="","",SUMIFS('Q2 Data'!$L$4:$L$207,'Q2 Data'!$B$4:$B$207,$S79)+SUMIFS('Q2 Data'!$O$4:$O$207,'Q2 Data'!$B$4:$B$207,$S79)+SUMIFS('Q2 Data'!$M$4:$M$207,'Q2 Data'!$B$4:$B$207,$S79))</f>
      </c>
      <c r="V79" s="7">
        <f>IF($C79="","",SUMIFS('Q3 Data'!$L$4:$L$207,'Q3 Data'!$B$4:$B$207,$S79)+SUMIFS('Q3 Data'!$O$4:$O$207,'Q3 Data'!$B$4:$B$207,$S79)+SUMIFS('Q3 Data'!$M$4:$M$207,'Q3 Data'!$B$4:$B$207,$S79))</f>
      </c>
      <c r="W79" s="7">
        <f>IF($C79="","",SUMIFS('Q4 Data'!$L$4:$L$207,'Q4 Data'!$B$4:$B$207,$S79)+SUMIFS('Q4 Data'!$O$4:$O$207,'Q4 Data'!$B$4:$B$207,$S79)+SUMIFS('Q4 Data'!$M$4:$M$207,'Q4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Data'!$L$4:$L$207,'Q1 Data'!$B$4:$B$207,$S80)+SUMIFS('Q1 Data'!$O$4:$O$207,'Q1 Data'!$B$4:$B$207,$S80)+SUMIFS('Q1 Data'!$M$4:$M$207,'Q1 Data'!$B$4:$B$207,$S80))</f>
      </c>
      <c r="U80" s="7">
        <f>IF($C80="","",SUMIFS('Q2 Data'!$L$4:$L$207,'Q2 Data'!$B$4:$B$207,$S80)+SUMIFS('Q2 Data'!$O$4:$O$207,'Q2 Data'!$B$4:$B$207,$S80)+SUMIFS('Q2 Data'!$M$4:$M$207,'Q2 Data'!$B$4:$B$207,$S80))</f>
      </c>
      <c r="V80" s="7">
        <f>IF($C80="","",SUMIFS('Q3 Data'!$L$4:$L$207,'Q3 Data'!$B$4:$B$207,$S80)+SUMIFS('Q3 Data'!$O$4:$O$207,'Q3 Data'!$B$4:$B$207,$S80)+SUMIFS('Q3 Data'!$M$4:$M$207,'Q3 Data'!$B$4:$B$207,$S80))</f>
      </c>
      <c r="W80" s="7">
        <f>IF($C80="","",SUMIFS('Q4 Data'!$L$4:$L$207,'Q4 Data'!$B$4:$B$207,$S80)+SUMIFS('Q4 Data'!$O$4:$O$207,'Q4 Data'!$B$4:$B$207,$S80)+SUMIFS('Q4 Data'!$M$4:$M$207,'Q4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Data'!$L$4:$L$207,'Q1 Data'!$B$4:$B$207,$S81)+SUMIFS('Q1 Data'!$O$4:$O$207,'Q1 Data'!$B$4:$B$207,$S81)+SUMIFS('Q1 Data'!$M$4:$M$207,'Q1 Data'!$B$4:$B$207,$S81))</f>
      </c>
      <c r="U81" s="7">
        <f>IF($C81="","",SUMIFS('Q2 Data'!$L$4:$L$207,'Q2 Data'!$B$4:$B$207,$S81)+SUMIFS('Q2 Data'!$O$4:$O$207,'Q2 Data'!$B$4:$B$207,$S81)+SUMIFS('Q2 Data'!$M$4:$M$207,'Q2 Data'!$B$4:$B$207,$S81))</f>
      </c>
      <c r="V81" s="7">
        <f>IF($C81="","",SUMIFS('Q3 Data'!$L$4:$L$207,'Q3 Data'!$B$4:$B$207,$S81)+SUMIFS('Q3 Data'!$O$4:$O$207,'Q3 Data'!$B$4:$B$207,$S81)+SUMIFS('Q3 Data'!$M$4:$M$207,'Q3 Data'!$B$4:$B$207,$S81))</f>
      </c>
      <c r="W81" s="7">
        <f>IF($C81="","",SUMIFS('Q4 Data'!$L$4:$L$207,'Q4 Data'!$B$4:$B$207,$S81)+SUMIFS('Q4 Data'!$O$4:$O$207,'Q4 Data'!$B$4:$B$207,$S81)+SUMIFS('Q4 Data'!$M$4:$M$207,'Q4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Data'!$L$4:$L$207,'Q1 Data'!$B$4:$B$207,$S82)+SUMIFS('Q1 Data'!$O$4:$O$207,'Q1 Data'!$B$4:$B$207,$S82)+SUMIFS('Q1 Data'!$M$4:$M$207,'Q1 Data'!$B$4:$B$207,$S82))</f>
      </c>
      <c r="U82" s="7">
        <f>IF($C82="","",SUMIFS('Q2 Data'!$L$4:$L$207,'Q2 Data'!$B$4:$B$207,$S82)+SUMIFS('Q2 Data'!$O$4:$O$207,'Q2 Data'!$B$4:$B$207,$S82)+SUMIFS('Q2 Data'!$M$4:$M$207,'Q2 Data'!$B$4:$B$207,$S82))</f>
      </c>
      <c r="V82" s="7">
        <f>IF($C82="","",SUMIFS('Q3 Data'!$L$4:$L$207,'Q3 Data'!$B$4:$B$207,$S82)+SUMIFS('Q3 Data'!$O$4:$O$207,'Q3 Data'!$B$4:$B$207,$S82)+SUMIFS('Q3 Data'!$M$4:$M$207,'Q3 Data'!$B$4:$B$207,$S82))</f>
      </c>
      <c r="W82" s="7">
        <f>IF($C82="","",SUMIFS('Q4 Data'!$L$4:$L$207,'Q4 Data'!$B$4:$B$207,$S82)+SUMIFS('Q4 Data'!$O$4:$O$207,'Q4 Data'!$B$4:$B$207,$S82)+SUMIFS('Q4 Data'!$M$4:$M$207,'Q4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Data'!$L$4:$L$207,'Q1 Data'!$B$4:$B$207,$S83)+SUMIFS('Q1 Data'!$O$4:$O$207,'Q1 Data'!$B$4:$B$207,$S83)+SUMIFS('Q1 Data'!$M$4:$M$207,'Q1 Data'!$B$4:$B$207,$S83))</f>
      </c>
      <c r="U83" s="7">
        <f>IF($C83="","",SUMIFS('Q2 Data'!$L$4:$L$207,'Q2 Data'!$B$4:$B$207,$S83)+SUMIFS('Q2 Data'!$O$4:$O$207,'Q2 Data'!$B$4:$B$207,$S83)+SUMIFS('Q2 Data'!$M$4:$M$207,'Q2 Data'!$B$4:$B$207,$S83))</f>
      </c>
      <c r="V83" s="7">
        <f>IF($C83="","",SUMIFS('Q3 Data'!$L$4:$L$207,'Q3 Data'!$B$4:$B$207,$S83)+SUMIFS('Q3 Data'!$O$4:$O$207,'Q3 Data'!$B$4:$B$207,$S83)+SUMIFS('Q3 Data'!$M$4:$M$207,'Q3 Data'!$B$4:$B$207,$S83))</f>
      </c>
      <c r="W83" s="7">
        <f>IF($C83="","",SUMIFS('Q4 Data'!$L$4:$L$207,'Q4 Data'!$B$4:$B$207,$S83)+SUMIFS('Q4 Data'!$O$4:$O$207,'Q4 Data'!$B$4:$B$207,$S83)+SUMIFS('Q4 Data'!$M$4:$M$207,'Q4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Data'!$L$4:$L$207,'Q1 Data'!$B$4:$B$207,$S84)+SUMIFS('Q1 Data'!$O$4:$O$207,'Q1 Data'!$B$4:$B$207,$S84)+SUMIFS('Q1 Data'!$M$4:$M$207,'Q1 Data'!$B$4:$B$207,$S84))</f>
      </c>
      <c r="U84" s="7">
        <f>IF($C84="","",SUMIFS('Q2 Data'!$L$4:$L$207,'Q2 Data'!$B$4:$B$207,$S84)+SUMIFS('Q2 Data'!$O$4:$O$207,'Q2 Data'!$B$4:$B$207,$S84)+SUMIFS('Q2 Data'!$M$4:$M$207,'Q2 Data'!$B$4:$B$207,$S84))</f>
      </c>
      <c r="V84" s="7">
        <f>IF($C84="","",SUMIFS('Q3 Data'!$L$4:$L$207,'Q3 Data'!$B$4:$B$207,$S84)+SUMIFS('Q3 Data'!$O$4:$O$207,'Q3 Data'!$B$4:$B$207,$S84)+SUMIFS('Q3 Data'!$M$4:$M$207,'Q3 Data'!$B$4:$B$207,$S84))</f>
      </c>
      <c r="W84" s="7">
        <f>IF($C84="","",SUMIFS('Q4 Data'!$L$4:$L$207,'Q4 Data'!$B$4:$B$207,$S84)+SUMIFS('Q4 Data'!$O$4:$O$207,'Q4 Data'!$B$4:$B$207,$S84)+SUMIFS('Q4 Data'!$M$4:$M$207,'Q4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Data'!$L$4:$L$207,'Q1 Data'!$B$4:$B$207,$S85)+SUMIFS('Q1 Data'!$O$4:$O$207,'Q1 Data'!$B$4:$B$207,$S85)+SUMIFS('Q1 Data'!$M$4:$M$207,'Q1 Data'!$B$4:$B$207,$S85))</f>
      </c>
      <c r="U85" s="7">
        <f>IF($C85="","",SUMIFS('Q2 Data'!$L$4:$L$207,'Q2 Data'!$B$4:$B$207,$S85)+SUMIFS('Q2 Data'!$O$4:$O$207,'Q2 Data'!$B$4:$B$207,$S85)+SUMIFS('Q2 Data'!$M$4:$M$207,'Q2 Data'!$B$4:$B$207,$S85))</f>
      </c>
      <c r="V85" s="7">
        <f>IF($C85="","",SUMIFS('Q3 Data'!$L$4:$L$207,'Q3 Data'!$B$4:$B$207,$S85)+SUMIFS('Q3 Data'!$O$4:$O$207,'Q3 Data'!$B$4:$B$207,$S85)+SUMIFS('Q3 Data'!$M$4:$M$207,'Q3 Data'!$B$4:$B$207,$S85))</f>
      </c>
      <c r="W85" s="7">
        <f>IF($C85="","",SUMIFS('Q4 Data'!$L$4:$L$207,'Q4 Data'!$B$4:$B$207,$S85)+SUMIFS('Q4 Data'!$O$4:$O$207,'Q4 Data'!$B$4:$B$207,$S85)+SUMIFS('Q4 Data'!$M$4:$M$207,'Q4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Data'!$L$4:$L$207,'Q1 Data'!$B$4:$B$207,$S86)+SUMIFS('Q1 Data'!$O$4:$O$207,'Q1 Data'!$B$4:$B$207,$S86)+SUMIFS('Q1 Data'!$M$4:$M$207,'Q1 Data'!$B$4:$B$207,$S86))</f>
      </c>
      <c r="U86" s="7">
        <f>IF($C86="","",SUMIFS('Q2 Data'!$L$4:$L$207,'Q2 Data'!$B$4:$B$207,$S86)+SUMIFS('Q2 Data'!$O$4:$O$207,'Q2 Data'!$B$4:$B$207,$S86)+SUMIFS('Q2 Data'!$M$4:$M$207,'Q2 Data'!$B$4:$B$207,$S86))</f>
      </c>
      <c r="V86" s="7">
        <f>IF($C86="","",SUMIFS('Q3 Data'!$L$4:$L$207,'Q3 Data'!$B$4:$B$207,$S86)+SUMIFS('Q3 Data'!$O$4:$O$207,'Q3 Data'!$B$4:$B$207,$S86)+SUMIFS('Q3 Data'!$M$4:$M$207,'Q3 Data'!$B$4:$B$207,$S86))</f>
      </c>
      <c r="W86" s="7">
        <f>IF($C86="","",SUMIFS('Q4 Data'!$L$4:$L$207,'Q4 Data'!$B$4:$B$207,$S86)+SUMIFS('Q4 Data'!$O$4:$O$207,'Q4 Data'!$B$4:$B$207,$S86)+SUMIFS('Q4 Data'!$M$4:$M$207,'Q4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Data'!$L$4:$L$207,'Q1 Data'!$B$4:$B$207,$S87)+SUMIFS('Q1 Data'!$O$4:$O$207,'Q1 Data'!$B$4:$B$207,$S87)+SUMIFS('Q1 Data'!$M$4:$M$207,'Q1 Data'!$B$4:$B$207,$S87))</f>
      </c>
      <c r="U87" s="7">
        <f>IF($C87="","",SUMIFS('Q2 Data'!$L$4:$L$207,'Q2 Data'!$B$4:$B$207,$S87)+SUMIFS('Q2 Data'!$O$4:$O$207,'Q2 Data'!$B$4:$B$207,$S87)+SUMIFS('Q2 Data'!$M$4:$M$207,'Q2 Data'!$B$4:$B$207,$S87))</f>
      </c>
      <c r="V87" s="7">
        <f>IF($C87="","",SUMIFS('Q3 Data'!$L$4:$L$207,'Q3 Data'!$B$4:$B$207,$S87)+SUMIFS('Q3 Data'!$O$4:$O$207,'Q3 Data'!$B$4:$B$207,$S87)+SUMIFS('Q3 Data'!$M$4:$M$207,'Q3 Data'!$B$4:$B$207,$S87))</f>
      </c>
      <c r="W87" s="7">
        <f>IF($C87="","",SUMIFS('Q4 Data'!$L$4:$L$207,'Q4 Data'!$B$4:$B$207,$S87)+SUMIFS('Q4 Data'!$O$4:$O$207,'Q4 Data'!$B$4:$B$207,$S87)+SUMIFS('Q4 Data'!$M$4:$M$207,'Q4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Data'!$L$4:$L$207,'Q1 Data'!$B$4:$B$207,$S88)+SUMIFS('Q1 Data'!$O$4:$O$207,'Q1 Data'!$B$4:$B$207,$S88)+SUMIFS('Q1 Data'!$M$4:$M$207,'Q1 Data'!$B$4:$B$207,$S88))</f>
      </c>
      <c r="U88" s="7">
        <f>IF($C88="","",SUMIFS('Q2 Data'!$L$4:$L$207,'Q2 Data'!$B$4:$B$207,$S88)+SUMIFS('Q2 Data'!$O$4:$O$207,'Q2 Data'!$B$4:$B$207,$S88)+SUMIFS('Q2 Data'!$M$4:$M$207,'Q2 Data'!$B$4:$B$207,$S88))</f>
      </c>
      <c r="V88" s="7">
        <f>IF($C88="","",SUMIFS('Q3 Data'!$L$4:$L$207,'Q3 Data'!$B$4:$B$207,$S88)+SUMIFS('Q3 Data'!$O$4:$O$207,'Q3 Data'!$B$4:$B$207,$S88)+SUMIFS('Q3 Data'!$M$4:$M$207,'Q3 Data'!$B$4:$B$207,$S88))</f>
      </c>
      <c r="W88" s="7">
        <f>IF($C88="","",SUMIFS('Q4 Data'!$L$4:$L$207,'Q4 Data'!$B$4:$B$207,$S88)+SUMIFS('Q4 Data'!$O$4:$O$207,'Q4 Data'!$B$4:$B$207,$S88)+SUMIFS('Q4 Data'!$M$4:$M$207,'Q4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Data'!$L$4:$L$207,'Q1 Data'!$B$4:$B$207,$S89)+SUMIFS('Q1 Data'!$O$4:$O$207,'Q1 Data'!$B$4:$B$207,$S89)+SUMIFS('Q1 Data'!$M$4:$M$207,'Q1 Data'!$B$4:$B$207,$S89))</f>
      </c>
      <c r="U89" s="7">
        <f>IF($C89="","",SUMIFS('Q2 Data'!$L$4:$L$207,'Q2 Data'!$B$4:$B$207,$S89)+SUMIFS('Q2 Data'!$O$4:$O$207,'Q2 Data'!$B$4:$B$207,$S89)+SUMIFS('Q2 Data'!$M$4:$M$207,'Q2 Data'!$B$4:$B$207,$S89))</f>
      </c>
      <c r="V89" s="7">
        <f>IF($C89="","",SUMIFS('Q3 Data'!$L$4:$L$207,'Q3 Data'!$B$4:$B$207,$S89)+SUMIFS('Q3 Data'!$O$4:$O$207,'Q3 Data'!$B$4:$B$207,$S89)+SUMIFS('Q3 Data'!$M$4:$M$207,'Q3 Data'!$B$4:$B$207,$S89))</f>
      </c>
      <c r="W89" s="7">
        <f>IF($C89="","",SUMIFS('Q4 Data'!$L$4:$L$207,'Q4 Data'!$B$4:$B$207,$S89)+SUMIFS('Q4 Data'!$O$4:$O$207,'Q4 Data'!$B$4:$B$207,$S89)+SUMIFS('Q4 Data'!$M$4:$M$207,'Q4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Data'!$L$4:$L$207,'Q1 Data'!$B$4:$B$207,$S90)+SUMIFS('Q1 Data'!$O$4:$O$207,'Q1 Data'!$B$4:$B$207,$S90)+SUMIFS('Q1 Data'!$M$4:$M$207,'Q1 Data'!$B$4:$B$207,$S90))</f>
      </c>
      <c r="U90" s="7">
        <f>IF($C90="","",SUMIFS('Q2 Data'!$L$4:$L$207,'Q2 Data'!$B$4:$B$207,$S90)+SUMIFS('Q2 Data'!$O$4:$O$207,'Q2 Data'!$B$4:$B$207,$S90)+SUMIFS('Q2 Data'!$M$4:$M$207,'Q2 Data'!$B$4:$B$207,$S90))</f>
      </c>
      <c r="V90" s="7">
        <f>IF($C90="","",SUMIFS('Q3 Data'!$L$4:$L$207,'Q3 Data'!$B$4:$B$207,$S90)+SUMIFS('Q3 Data'!$O$4:$O$207,'Q3 Data'!$B$4:$B$207,$S90)+SUMIFS('Q3 Data'!$M$4:$M$207,'Q3 Data'!$B$4:$B$207,$S90))</f>
      </c>
      <c r="W90" s="7">
        <f>IF($C90="","",SUMIFS('Q4 Data'!$L$4:$L$207,'Q4 Data'!$B$4:$B$207,$S90)+SUMIFS('Q4 Data'!$O$4:$O$207,'Q4 Data'!$B$4:$B$207,$S90)+SUMIFS('Q4 Data'!$M$4:$M$207,'Q4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Data'!$L$4:$L$207,'Q1 Data'!$B$4:$B$207,$S91)+SUMIFS('Q1 Data'!$O$4:$O$207,'Q1 Data'!$B$4:$B$207,$S91)+SUMIFS('Q1 Data'!$M$4:$M$207,'Q1 Data'!$B$4:$B$207,$S91))</f>
      </c>
      <c r="U91" s="7">
        <f>IF($C91="","",SUMIFS('Q2 Data'!$L$4:$L$207,'Q2 Data'!$B$4:$B$207,$S91)+SUMIFS('Q2 Data'!$O$4:$O$207,'Q2 Data'!$B$4:$B$207,$S91)+SUMIFS('Q2 Data'!$M$4:$M$207,'Q2 Data'!$B$4:$B$207,$S91))</f>
      </c>
      <c r="V91" s="7">
        <f>IF($C91="","",SUMIFS('Q3 Data'!$L$4:$L$207,'Q3 Data'!$B$4:$B$207,$S91)+SUMIFS('Q3 Data'!$O$4:$O$207,'Q3 Data'!$B$4:$B$207,$S91)+SUMIFS('Q3 Data'!$M$4:$M$207,'Q3 Data'!$B$4:$B$207,$S91))</f>
      </c>
      <c r="W91" s="7">
        <f>IF($C91="","",SUMIFS('Q4 Data'!$L$4:$L$207,'Q4 Data'!$B$4:$B$207,$S91)+SUMIFS('Q4 Data'!$O$4:$O$207,'Q4 Data'!$B$4:$B$207,$S91)+SUMIFS('Q4 Data'!$M$4:$M$207,'Q4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Data'!$L$4:$L$207,'Q1 Data'!$B$4:$B$207,$S92)+SUMIFS('Q1 Data'!$O$4:$O$207,'Q1 Data'!$B$4:$B$207,$S92)+SUMIFS('Q1 Data'!$M$4:$M$207,'Q1 Data'!$B$4:$B$207,$S92))</f>
      </c>
      <c r="U92" s="7">
        <f>IF($C92="","",SUMIFS('Q2 Data'!$L$4:$L$207,'Q2 Data'!$B$4:$B$207,$S92)+SUMIFS('Q2 Data'!$O$4:$O$207,'Q2 Data'!$B$4:$B$207,$S92)+SUMIFS('Q2 Data'!$M$4:$M$207,'Q2 Data'!$B$4:$B$207,$S92))</f>
      </c>
      <c r="V92" s="7">
        <f>IF($C92="","",SUMIFS('Q3 Data'!$L$4:$L$207,'Q3 Data'!$B$4:$B$207,$S92)+SUMIFS('Q3 Data'!$O$4:$O$207,'Q3 Data'!$B$4:$B$207,$S92)+SUMIFS('Q3 Data'!$M$4:$M$207,'Q3 Data'!$B$4:$B$207,$S92))</f>
      </c>
      <c r="W92" s="7">
        <f>IF($C92="","",SUMIFS('Q4 Data'!$L$4:$L$207,'Q4 Data'!$B$4:$B$207,$S92)+SUMIFS('Q4 Data'!$O$4:$O$207,'Q4 Data'!$B$4:$B$207,$S92)+SUMIFS('Q4 Data'!$M$4:$M$207,'Q4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Data'!$L$4:$L$207,'Q1 Data'!$B$4:$B$207,$S93)+SUMIFS('Q1 Data'!$O$4:$O$207,'Q1 Data'!$B$4:$B$207,$S93)+SUMIFS('Q1 Data'!$M$4:$M$207,'Q1 Data'!$B$4:$B$207,$S93))</f>
      </c>
      <c r="U93" s="7">
        <f>IF($C93="","",SUMIFS('Q2 Data'!$L$4:$L$207,'Q2 Data'!$B$4:$B$207,$S93)+SUMIFS('Q2 Data'!$O$4:$O$207,'Q2 Data'!$B$4:$B$207,$S93)+SUMIFS('Q2 Data'!$M$4:$M$207,'Q2 Data'!$B$4:$B$207,$S93))</f>
      </c>
      <c r="V93" s="7">
        <f>IF($C93="","",SUMIFS('Q3 Data'!$L$4:$L$207,'Q3 Data'!$B$4:$B$207,$S93)+SUMIFS('Q3 Data'!$O$4:$O$207,'Q3 Data'!$B$4:$B$207,$S93)+SUMIFS('Q3 Data'!$M$4:$M$207,'Q3 Data'!$B$4:$B$207,$S93))</f>
      </c>
      <c r="W93" s="7">
        <f>IF($C93="","",SUMIFS('Q4 Data'!$L$4:$L$207,'Q4 Data'!$B$4:$B$207,$S93)+SUMIFS('Q4 Data'!$O$4:$O$207,'Q4 Data'!$B$4:$B$207,$S93)+SUMIFS('Q4 Data'!$M$4:$M$207,'Q4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Data'!$L$4:$L$207,'Q1 Data'!$B$4:$B$207,$S94)+SUMIFS('Q1 Data'!$O$4:$O$207,'Q1 Data'!$B$4:$B$207,$S94)+SUMIFS('Q1 Data'!$M$4:$M$207,'Q1 Data'!$B$4:$B$207,$S94))</f>
      </c>
      <c r="U94" s="7">
        <f>IF($C94="","",SUMIFS('Q2 Data'!$L$4:$L$207,'Q2 Data'!$B$4:$B$207,$S94)+SUMIFS('Q2 Data'!$O$4:$O$207,'Q2 Data'!$B$4:$B$207,$S94)+SUMIFS('Q2 Data'!$M$4:$M$207,'Q2 Data'!$B$4:$B$207,$S94))</f>
      </c>
      <c r="V94" s="7">
        <f>IF($C94="","",SUMIFS('Q3 Data'!$L$4:$L$207,'Q3 Data'!$B$4:$B$207,$S94)+SUMIFS('Q3 Data'!$O$4:$O$207,'Q3 Data'!$B$4:$B$207,$S94)+SUMIFS('Q3 Data'!$M$4:$M$207,'Q3 Data'!$B$4:$B$207,$S94))</f>
      </c>
      <c r="W94" s="7">
        <f>IF($C94="","",SUMIFS('Q4 Data'!$L$4:$L$207,'Q4 Data'!$B$4:$B$207,$S94)+SUMIFS('Q4 Data'!$O$4:$O$207,'Q4 Data'!$B$4:$B$207,$S94)+SUMIFS('Q4 Data'!$M$4:$M$207,'Q4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Data'!$L$4:$L$207,'Q1 Data'!$B$4:$B$207,$S95)+SUMIFS('Q1 Data'!$O$4:$O$207,'Q1 Data'!$B$4:$B$207,$S95)+SUMIFS('Q1 Data'!$M$4:$M$207,'Q1 Data'!$B$4:$B$207,$S95))</f>
      </c>
      <c r="U95" s="7">
        <f>IF($C95="","",SUMIFS('Q2 Data'!$L$4:$L$207,'Q2 Data'!$B$4:$B$207,$S95)+SUMIFS('Q2 Data'!$O$4:$O$207,'Q2 Data'!$B$4:$B$207,$S95)+SUMIFS('Q2 Data'!$M$4:$M$207,'Q2 Data'!$B$4:$B$207,$S95))</f>
      </c>
      <c r="V95" s="7">
        <f>IF($C95="","",SUMIFS('Q3 Data'!$L$4:$L$207,'Q3 Data'!$B$4:$B$207,$S95)+SUMIFS('Q3 Data'!$O$4:$O$207,'Q3 Data'!$B$4:$B$207,$S95)+SUMIFS('Q3 Data'!$M$4:$M$207,'Q3 Data'!$B$4:$B$207,$S95))</f>
      </c>
      <c r="W95" s="7">
        <f>IF($C95="","",SUMIFS('Q4 Data'!$L$4:$L$207,'Q4 Data'!$B$4:$B$207,$S95)+SUMIFS('Q4 Data'!$O$4:$O$207,'Q4 Data'!$B$4:$B$207,$S95)+SUMIFS('Q4 Data'!$M$4:$M$207,'Q4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Data'!$L$4:$L$207,'Q1 Data'!$B$4:$B$207,$S96)+SUMIFS('Q1 Data'!$O$4:$O$207,'Q1 Data'!$B$4:$B$207,$S96)+SUMIFS('Q1 Data'!$M$4:$M$207,'Q1 Data'!$B$4:$B$207,$S96))</f>
      </c>
      <c r="U96" s="7">
        <f>IF($C96="","",SUMIFS('Q2 Data'!$L$4:$L$207,'Q2 Data'!$B$4:$B$207,$S96)+SUMIFS('Q2 Data'!$O$4:$O$207,'Q2 Data'!$B$4:$B$207,$S96)+SUMIFS('Q2 Data'!$M$4:$M$207,'Q2 Data'!$B$4:$B$207,$S96))</f>
      </c>
      <c r="V96" s="7">
        <f>IF($C96="","",SUMIFS('Q3 Data'!$L$4:$L$207,'Q3 Data'!$B$4:$B$207,$S96)+SUMIFS('Q3 Data'!$O$4:$O$207,'Q3 Data'!$B$4:$B$207,$S96)+SUMIFS('Q3 Data'!$M$4:$M$207,'Q3 Data'!$B$4:$B$207,$S96))</f>
      </c>
      <c r="W96" s="7">
        <f>IF($C96="","",SUMIFS('Q4 Data'!$L$4:$L$207,'Q4 Data'!$B$4:$B$207,$S96)+SUMIFS('Q4 Data'!$O$4:$O$207,'Q4 Data'!$B$4:$B$207,$S96)+SUMIFS('Q4 Data'!$M$4:$M$207,'Q4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Data'!$L$4:$L$207,'Q1 Data'!$B$4:$B$207,$S97)+SUMIFS('Q1 Data'!$O$4:$O$207,'Q1 Data'!$B$4:$B$207,$S97)+SUMIFS('Q1 Data'!$M$4:$M$207,'Q1 Data'!$B$4:$B$207,$S97))</f>
      </c>
      <c r="U97" s="7">
        <f>IF($C97="","",SUMIFS('Q2 Data'!$L$4:$L$207,'Q2 Data'!$B$4:$B$207,$S97)+SUMIFS('Q2 Data'!$O$4:$O$207,'Q2 Data'!$B$4:$B$207,$S97)+SUMIFS('Q2 Data'!$M$4:$M$207,'Q2 Data'!$B$4:$B$207,$S97))</f>
      </c>
      <c r="V97" s="7">
        <f>IF($C97="","",SUMIFS('Q3 Data'!$L$4:$L$207,'Q3 Data'!$B$4:$B$207,$S97)+SUMIFS('Q3 Data'!$O$4:$O$207,'Q3 Data'!$B$4:$B$207,$S97)+SUMIFS('Q3 Data'!$M$4:$M$207,'Q3 Data'!$B$4:$B$207,$S97))</f>
      </c>
      <c r="W97" s="7">
        <f>IF($C97="","",SUMIFS('Q4 Data'!$L$4:$L$207,'Q4 Data'!$B$4:$B$207,$S97)+SUMIFS('Q4 Data'!$O$4:$O$207,'Q4 Data'!$B$4:$B$207,$S97)+SUMIFS('Q4 Data'!$M$4:$M$207,'Q4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Data'!$L$4:$L$207,'Q1 Data'!$B$4:$B$207,$S98)+SUMIFS('Q1 Data'!$O$4:$O$207,'Q1 Data'!$B$4:$B$207,$S98)+SUMIFS('Q1 Data'!$M$4:$M$207,'Q1 Data'!$B$4:$B$207,$S98))</f>
      </c>
      <c r="U98" s="7">
        <f>IF($C98="","",SUMIFS('Q2 Data'!$L$4:$L$207,'Q2 Data'!$B$4:$B$207,$S98)+SUMIFS('Q2 Data'!$O$4:$O$207,'Q2 Data'!$B$4:$B$207,$S98)+SUMIFS('Q2 Data'!$M$4:$M$207,'Q2 Data'!$B$4:$B$207,$S98))</f>
      </c>
      <c r="V98" s="7">
        <f>IF($C98="","",SUMIFS('Q3 Data'!$L$4:$L$207,'Q3 Data'!$B$4:$B$207,$S98)+SUMIFS('Q3 Data'!$O$4:$O$207,'Q3 Data'!$B$4:$B$207,$S98)+SUMIFS('Q3 Data'!$M$4:$M$207,'Q3 Data'!$B$4:$B$207,$S98))</f>
      </c>
      <c r="W98" s="7">
        <f>IF($C98="","",SUMIFS('Q4 Data'!$L$4:$L$207,'Q4 Data'!$B$4:$B$207,$S98)+SUMIFS('Q4 Data'!$O$4:$O$207,'Q4 Data'!$B$4:$B$207,$S98)+SUMIFS('Q4 Data'!$M$4:$M$207,'Q4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Data'!$L$4:$L$207,'Q1 Data'!$B$4:$B$207,$S99)+SUMIFS('Q1 Data'!$O$4:$O$207,'Q1 Data'!$B$4:$B$207,$S99)+SUMIFS('Q1 Data'!$M$4:$M$207,'Q1 Data'!$B$4:$B$207,$S99))</f>
      </c>
      <c r="U99" s="7">
        <f>IF($C99="","",SUMIFS('Q2 Data'!$L$4:$L$207,'Q2 Data'!$B$4:$B$207,$S99)+SUMIFS('Q2 Data'!$O$4:$O$207,'Q2 Data'!$B$4:$B$207,$S99)+SUMIFS('Q2 Data'!$M$4:$M$207,'Q2 Data'!$B$4:$B$207,$S99))</f>
      </c>
      <c r="V99" s="7">
        <f>IF($C99="","",SUMIFS('Q3 Data'!$L$4:$L$207,'Q3 Data'!$B$4:$B$207,$S99)+SUMIFS('Q3 Data'!$O$4:$O$207,'Q3 Data'!$B$4:$B$207,$S99)+SUMIFS('Q3 Data'!$M$4:$M$207,'Q3 Data'!$B$4:$B$207,$S99))</f>
      </c>
      <c r="W99" s="7">
        <f>IF($C99="","",SUMIFS('Q4 Data'!$L$4:$L$207,'Q4 Data'!$B$4:$B$207,$S99)+SUMIFS('Q4 Data'!$O$4:$O$207,'Q4 Data'!$B$4:$B$207,$S99)+SUMIFS('Q4 Data'!$M$4:$M$207,'Q4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Data'!$L$4:$L$207,'Q1 Data'!$B$4:$B$207,$S100)+SUMIFS('Q1 Data'!$O$4:$O$207,'Q1 Data'!$B$4:$B$207,$S100)+SUMIFS('Q1 Data'!$M$4:$M$207,'Q1 Data'!$B$4:$B$207,$S100))</f>
      </c>
      <c r="U100" s="7">
        <f>IF($C100="","",SUMIFS('Q2 Data'!$L$4:$L$207,'Q2 Data'!$B$4:$B$207,$S100)+SUMIFS('Q2 Data'!$O$4:$O$207,'Q2 Data'!$B$4:$B$207,$S100)+SUMIFS('Q2 Data'!$M$4:$M$207,'Q2 Data'!$B$4:$B$207,$S100))</f>
      </c>
      <c r="V100" s="7">
        <f>IF($C100="","",SUMIFS('Q3 Data'!$L$4:$L$207,'Q3 Data'!$B$4:$B$207,$S100)+SUMIFS('Q3 Data'!$O$4:$O$207,'Q3 Data'!$B$4:$B$207,$S100)+SUMIFS('Q3 Data'!$M$4:$M$207,'Q3 Data'!$B$4:$B$207,$S100))</f>
      </c>
      <c r="W100" s="7">
        <f>IF($C100="","",SUMIFS('Q4 Data'!$L$4:$L$207,'Q4 Data'!$B$4:$B$207,$S100)+SUMIFS('Q4 Data'!$O$4:$O$207,'Q4 Data'!$B$4:$B$207,$S100)+SUMIFS('Q4 Data'!$M$4:$M$207,'Q4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Data'!$L$4:$L$207,'Q1 Data'!$B$4:$B$207,$S101)+SUMIFS('Q1 Data'!$O$4:$O$207,'Q1 Data'!$B$4:$B$207,$S101)+SUMIFS('Q1 Data'!$M$4:$M$207,'Q1 Data'!$B$4:$B$207,$S101))</f>
      </c>
      <c r="U101" s="7">
        <f>IF($C101="","",SUMIFS('Q2 Data'!$L$4:$L$207,'Q2 Data'!$B$4:$B$207,$S101)+SUMIFS('Q2 Data'!$O$4:$O$207,'Q2 Data'!$B$4:$B$207,$S101)+SUMIFS('Q2 Data'!$M$4:$M$207,'Q2 Data'!$B$4:$B$207,$S101))</f>
      </c>
      <c r="V101" s="7">
        <f>IF($C101="","",SUMIFS('Q3 Data'!$L$4:$L$207,'Q3 Data'!$B$4:$B$207,$S101)+SUMIFS('Q3 Data'!$O$4:$O$207,'Q3 Data'!$B$4:$B$207,$S101)+SUMIFS('Q3 Data'!$M$4:$M$207,'Q3 Data'!$B$4:$B$207,$S101))</f>
      </c>
      <c r="W101" s="7">
        <f>IF($C101="","",SUMIFS('Q4 Data'!$L$4:$L$207,'Q4 Data'!$B$4:$B$207,$S101)+SUMIFS('Q4 Data'!$O$4:$O$207,'Q4 Data'!$B$4:$B$207,$S101)+SUMIFS('Q4 Data'!$M$4:$M$207,'Q4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Data'!$L$4:$L$207,'Q1 Data'!$B$4:$B$207,$S102)+SUMIFS('Q1 Data'!$O$4:$O$207,'Q1 Data'!$B$4:$B$207,$S102)+SUMIFS('Q1 Data'!$M$4:$M$207,'Q1 Data'!$B$4:$B$207,$S102))</f>
      </c>
      <c r="U102" s="7">
        <f>IF($C102="","",SUMIFS('Q2 Data'!$L$4:$L$207,'Q2 Data'!$B$4:$B$207,$S102)+SUMIFS('Q2 Data'!$O$4:$O$207,'Q2 Data'!$B$4:$B$207,$S102)+SUMIFS('Q2 Data'!$M$4:$M$207,'Q2 Data'!$B$4:$B$207,$S102))</f>
      </c>
      <c r="V102" s="7">
        <f>IF($C102="","",SUMIFS('Q3 Data'!$L$4:$L$207,'Q3 Data'!$B$4:$B$207,$S102)+SUMIFS('Q3 Data'!$O$4:$O$207,'Q3 Data'!$B$4:$B$207,$S102)+SUMIFS('Q3 Data'!$M$4:$M$207,'Q3 Data'!$B$4:$B$207,$S102))</f>
      </c>
      <c r="W102" s="7">
        <f>IF($C102="","",SUMIFS('Q4 Data'!$L$4:$L$207,'Q4 Data'!$B$4:$B$207,$S102)+SUMIFS('Q4 Data'!$O$4:$O$207,'Q4 Data'!$B$4:$B$207,$S102)+SUMIFS('Q4 Data'!$M$4:$M$207,'Q4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Data'!$L$4:$L$207,'Q1 Data'!$B$4:$B$207,$S103)+SUMIFS('Q1 Data'!$O$4:$O$207,'Q1 Data'!$B$4:$B$207,$S103)+SUMIFS('Q1 Data'!$M$4:$M$207,'Q1 Data'!$B$4:$B$207,$S103))</f>
      </c>
      <c r="U103" s="7">
        <f>IF($C103="","",SUMIFS('Q2 Data'!$L$4:$L$207,'Q2 Data'!$B$4:$B$207,$S103)+SUMIFS('Q2 Data'!$O$4:$O$207,'Q2 Data'!$B$4:$B$207,$S103)+SUMIFS('Q2 Data'!$M$4:$M$207,'Q2 Data'!$B$4:$B$207,$S103))</f>
      </c>
      <c r="V103" s="7">
        <f>IF($C103="","",SUMIFS('Q3 Data'!$L$4:$L$207,'Q3 Data'!$B$4:$B$207,$S103)+SUMIFS('Q3 Data'!$O$4:$O$207,'Q3 Data'!$B$4:$B$207,$S103)+SUMIFS('Q3 Data'!$M$4:$M$207,'Q3 Data'!$B$4:$B$207,$S103))</f>
      </c>
      <c r="W103" s="7">
        <f>IF($C103="","",SUMIFS('Q4 Data'!$L$4:$L$207,'Q4 Data'!$B$4:$B$207,$S103)+SUMIFS('Q4 Data'!$O$4:$O$207,'Q4 Data'!$B$4:$B$207,$S103)+SUMIFS('Q4 Data'!$M$4:$M$207,'Q4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Data'!$L$4:$L$207,'Q1 Data'!$B$4:$B$207,$S104)+SUMIFS('Q1 Data'!$O$4:$O$207,'Q1 Data'!$B$4:$B$207,$S104)+SUMIFS('Q1 Data'!$M$4:$M$207,'Q1 Data'!$B$4:$B$207,$S104))</f>
      </c>
      <c r="U104" s="7">
        <f>IF($C104="","",SUMIFS('Q2 Data'!$L$4:$L$207,'Q2 Data'!$B$4:$B$207,$S104)+SUMIFS('Q2 Data'!$O$4:$O$207,'Q2 Data'!$B$4:$B$207,$S104)+SUMIFS('Q2 Data'!$M$4:$M$207,'Q2 Data'!$B$4:$B$207,$S104))</f>
      </c>
      <c r="V104" s="7">
        <f>IF($C104="","",SUMIFS('Q3 Data'!$L$4:$L$207,'Q3 Data'!$B$4:$B$207,$S104)+SUMIFS('Q3 Data'!$O$4:$O$207,'Q3 Data'!$B$4:$B$207,$S104)+SUMIFS('Q3 Data'!$M$4:$M$207,'Q3 Data'!$B$4:$B$207,$S104))</f>
      </c>
      <c r="W104" s="7">
        <f>IF($C104="","",SUMIFS('Q4 Data'!$L$4:$L$207,'Q4 Data'!$B$4:$B$207,$S104)+SUMIFS('Q4 Data'!$O$4:$O$207,'Q4 Data'!$B$4:$B$207,$S104)+SUMIFS('Q4 Data'!$M$4:$M$207,'Q4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Data'!$L$4:$L$207,'Q1 Data'!$B$4:$B$207,$S105)+SUMIFS('Q1 Data'!$O$4:$O$207,'Q1 Data'!$B$4:$B$207,$S105)+SUMIFS('Q1 Data'!$M$4:$M$207,'Q1 Data'!$B$4:$B$207,$S105))</f>
      </c>
      <c r="U105" s="7">
        <f>IF($C105="","",SUMIFS('Q2 Data'!$L$4:$L$207,'Q2 Data'!$B$4:$B$207,$S105)+SUMIFS('Q2 Data'!$O$4:$O$207,'Q2 Data'!$B$4:$B$207,$S105)+SUMIFS('Q2 Data'!$M$4:$M$207,'Q2 Data'!$B$4:$B$207,$S105))</f>
      </c>
      <c r="V105" s="7">
        <f>IF($C105="","",SUMIFS('Q3 Data'!$L$4:$L$207,'Q3 Data'!$B$4:$B$207,$S105)+SUMIFS('Q3 Data'!$O$4:$O$207,'Q3 Data'!$B$4:$B$207,$S105)+SUMIFS('Q3 Data'!$M$4:$M$207,'Q3 Data'!$B$4:$B$207,$S105))</f>
      </c>
      <c r="W105" s="7">
        <f>IF($C105="","",SUMIFS('Q4 Data'!$L$4:$L$207,'Q4 Data'!$B$4:$B$207,$S105)+SUMIFS('Q4 Data'!$O$4:$O$207,'Q4 Data'!$B$4:$B$207,$S105)+SUMIFS('Q4 Data'!$M$4:$M$207,'Q4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Data'!$L$4:$L$207,'Q1 Data'!$B$4:$B$207,$S106)+SUMIFS('Q1 Data'!$O$4:$O$207,'Q1 Data'!$B$4:$B$207,$S106)+SUMIFS('Q1 Data'!$M$4:$M$207,'Q1 Data'!$B$4:$B$207,$S106))</f>
      </c>
      <c r="U106" s="7">
        <f>IF($C106="","",SUMIFS('Q2 Data'!$L$4:$L$207,'Q2 Data'!$B$4:$B$207,$S106)+SUMIFS('Q2 Data'!$O$4:$O$207,'Q2 Data'!$B$4:$B$207,$S106)+SUMIFS('Q2 Data'!$M$4:$M$207,'Q2 Data'!$B$4:$B$207,$S106))</f>
      </c>
      <c r="V106" s="7">
        <f>IF($C106="","",SUMIFS('Q3 Data'!$L$4:$L$207,'Q3 Data'!$B$4:$B$207,$S106)+SUMIFS('Q3 Data'!$O$4:$O$207,'Q3 Data'!$B$4:$B$207,$S106)+SUMIFS('Q3 Data'!$M$4:$M$207,'Q3 Data'!$B$4:$B$207,$S106))</f>
      </c>
      <c r="W106" s="7">
        <f>IF($C106="","",SUMIFS('Q4 Data'!$L$4:$L$207,'Q4 Data'!$B$4:$B$207,$S106)+SUMIFS('Q4 Data'!$O$4:$O$207,'Q4 Data'!$B$4:$B$207,$S106)+SUMIFS('Q4 Data'!$M$4:$M$207,'Q4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Data'!$L$4:$L$207,'Q1 Data'!$B$4:$B$207,$S107)+SUMIFS('Q1 Data'!$O$4:$O$207,'Q1 Data'!$B$4:$B$207,$S107)+SUMIFS('Q1 Data'!$M$4:$M$207,'Q1 Data'!$B$4:$B$207,$S107))</f>
      </c>
      <c r="U107" s="7">
        <f>IF($C107="","",SUMIFS('Q2 Data'!$L$4:$L$207,'Q2 Data'!$B$4:$B$207,$S107)+SUMIFS('Q2 Data'!$O$4:$O$207,'Q2 Data'!$B$4:$B$207,$S107)+SUMIFS('Q2 Data'!$M$4:$M$207,'Q2 Data'!$B$4:$B$207,$S107))</f>
      </c>
      <c r="V107" s="7">
        <f>IF($C107="","",SUMIFS('Q3 Data'!$L$4:$L$207,'Q3 Data'!$B$4:$B$207,$S107)+SUMIFS('Q3 Data'!$O$4:$O$207,'Q3 Data'!$B$4:$B$207,$S107)+SUMIFS('Q3 Data'!$M$4:$M$207,'Q3 Data'!$B$4:$B$207,$S107))</f>
      </c>
      <c r="W107" s="7">
        <f>IF($C107="","",SUMIFS('Q4 Data'!$L$4:$L$207,'Q4 Data'!$B$4:$B$207,$S107)+SUMIFS('Q4 Data'!$O$4:$O$207,'Q4 Data'!$B$4:$B$207,$S107)+SUMIFS('Q4 Data'!$M$4:$M$207,'Q4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Data'!$L$4:$L$207,'Q1 Data'!$B$4:$B$207,$S108)+SUMIFS('Q1 Data'!$O$4:$O$207,'Q1 Data'!$B$4:$B$207,$S108)+SUMIFS('Q1 Data'!$M$4:$M$207,'Q1 Data'!$B$4:$B$207,$S108))</f>
      </c>
      <c r="U108" s="7">
        <f>IF($C108="","",SUMIFS('Q2 Data'!$L$4:$L$207,'Q2 Data'!$B$4:$B$207,$S108)+SUMIFS('Q2 Data'!$O$4:$O$207,'Q2 Data'!$B$4:$B$207,$S108)+SUMIFS('Q2 Data'!$M$4:$M$207,'Q2 Data'!$B$4:$B$207,$S108))</f>
      </c>
      <c r="V108" s="7">
        <f>IF($C108="","",SUMIFS('Q3 Data'!$L$4:$L$207,'Q3 Data'!$B$4:$B$207,$S108)+SUMIFS('Q3 Data'!$O$4:$O$207,'Q3 Data'!$B$4:$B$207,$S108)+SUMIFS('Q3 Data'!$M$4:$M$207,'Q3 Data'!$B$4:$B$207,$S108))</f>
      </c>
      <c r="W108" s="7">
        <f>IF($C108="","",SUMIFS('Q4 Data'!$L$4:$L$207,'Q4 Data'!$B$4:$B$207,$S108)+SUMIFS('Q4 Data'!$O$4:$O$207,'Q4 Data'!$B$4:$B$207,$S108)+SUMIFS('Q4 Data'!$M$4:$M$207,'Q4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Data'!$L$4:$L$207,'Q1 Data'!$B$4:$B$207,$S109)+SUMIFS('Q1 Data'!$O$4:$O$207,'Q1 Data'!$B$4:$B$207,$S109)+SUMIFS('Q1 Data'!$M$4:$M$207,'Q1 Data'!$B$4:$B$207,$S109))</f>
      </c>
      <c r="U109" s="7">
        <f>IF($C109="","",SUMIFS('Q2 Data'!$L$4:$L$207,'Q2 Data'!$B$4:$B$207,$S109)+SUMIFS('Q2 Data'!$O$4:$O$207,'Q2 Data'!$B$4:$B$207,$S109)+SUMIFS('Q2 Data'!$M$4:$M$207,'Q2 Data'!$B$4:$B$207,$S109))</f>
      </c>
      <c r="V109" s="7">
        <f>IF($C109="","",SUMIFS('Q3 Data'!$L$4:$L$207,'Q3 Data'!$B$4:$B$207,$S109)+SUMIFS('Q3 Data'!$O$4:$O$207,'Q3 Data'!$B$4:$B$207,$S109)+SUMIFS('Q3 Data'!$M$4:$M$207,'Q3 Data'!$B$4:$B$207,$S109))</f>
      </c>
      <c r="W109" s="7">
        <f>IF($C109="","",SUMIFS('Q4 Data'!$L$4:$L$207,'Q4 Data'!$B$4:$B$207,$S109)+SUMIFS('Q4 Data'!$O$4:$O$207,'Q4 Data'!$B$4:$B$207,$S109)+SUMIFS('Q4 Data'!$M$4:$M$207,'Q4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Data'!$L$4:$L$207,'Q1 Data'!$B$4:$B$207,$S110)+SUMIFS('Q1 Data'!$O$4:$O$207,'Q1 Data'!$B$4:$B$207,$S110)+SUMIFS('Q1 Data'!$M$4:$M$207,'Q1 Data'!$B$4:$B$207,$S110))</f>
      </c>
      <c r="U110" s="7">
        <f>IF($C110="","",SUMIFS('Q2 Data'!$L$4:$L$207,'Q2 Data'!$B$4:$B$207,$S110)+SUMIFS('Q2 Data'!$O$4:$O$207,'Q2 Data'!$B$4:$B$207,$S110)+SUMIFS('Q2 Data'!$M$4:$M$207,'Q2 Data'!$B$4:$B$207,$S110))</f>
      </c>
      <c r="V110" s="7">
        <f>IF($C110="","",SUMIFS('Q3 Data'!$L$4:$L$207,'Q3 Data'!$B$4:$B$207,$S110)+SUMIFS('Q3 Data'!$O$4:$O$207,'Q3 Data'!$B$4:$B$207,$S110)+SUMIFS('Q3 Data'!$M$4:$M$207,'Q3 Data'!$B$4:$B$207,$S110))</f>
      </c>
      <c r="W110" s="7">
        <f>IF($C110="","",SUMIFS('Q4 Data'!$L$4:$L$207,'Q4 Data'!$B$4:$B$207,$S110)+SUMIFS('Q4 Data'!$O$4:$O$207,'Q4 Data'!$B$4:$B$207,$S110)+SUMIFS('Q4 Data'!$M$4:$M$207,'Q4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Data'!$L$4:$L$207,'Q1 Data'!$B$4:$B$207,$S111)+SUMIFS('Q1 Data'!$O$4:$O$207,'Q1 Data'!$B$4:$B$207,$S111)+SUMIFS('Q1 Data'!$M$4:$M$207,'Q1 Data'!$B$4:$B$207,$S111))</f>
      </c>
      <c r="U111" s="7">
        <f>IF($C111="","",SUMIFS('Q2 Data'!$L$4:$L$207,'Q2 Data'!$B$4:$B$207,$S111)+SUMIFS('Q2 Data'!$O$4:$O$207,'Q2 Data'!$B$4:$B$207,$S111)+SUMIFS('Q2 Data'!$M$4:$M$207,'Q2 Data'!$B$4:$B$207,$S111))</f>
      </c>
      <c r="V111" s="7">
        <f>IF($C111="","",SUMIFS('Q3 Data'!$L$4:$L$207,'Q3 Data'!$B$4:$B$207,$S111)+SUMIFS('Q3 Data'!$O$4:$O$207,'Q3 Data'!$B$4:$B$207,$S111)+SUMIFS('Q3 Data'!$M$4:$M$207,'Q3 Data'!$B$4:$B$207,$S111))</f>
      </c>
      <c r="W111" s="7">
        <f>IF($C111="","",SUMIFS('Q4 Data'!$L$4:$L$207,'Q4 Data'!$B$4:$B$207,$S111)+SUMIFS('Q4 Data'!$O$4:$O$207,'Q4 Data'!$B$4:$B$207,$S111)+SUMIFS('Q4 Data'!$M$4:$M$207,'Q4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Data'!$L$4:$L$207,'Q1 Data'!$B$4:$B$207,$S112)+SUMIFS('Q1 Data'!$O$4:$O$207,'Q1 Data'!$B$4:$B$207,$S112)+SUMIFS('Q1 Data'!$M$4:$M$207,'Q1 Data'!$B$4:$B$207,$S112))</f>
      </c>
      <c r="U112" s="7">
        <f>IF($C112="","",SUMIFS('Q2 Data'!$L$4:$L$207,'Q2 Data'!$B$4:$B$207,$S112)+SUMIFS('Q2 Data'!$O$4:$O$207,'Q2 Data'!$B$4:$B$207,$S112)+SUMIFS('Q2 Data'!$M$4:$M$207,'Q2 Data'!$B$4:$B$207,$S112))</f>
      </c>
      <c r="V112" s="7">
        <f>IF($C112="","",SUMIFS('Q3 Data'!$L$4:$L$207,'Q3 Data'!$B$4:$B$207,$S112)+SUMIFS('Q3 Data'!$O$4:$O$207,'Q3 Data'!$B$4:$B$207,$S112)+SUMIFS('Q3 Data'!$M$4:$M$207,'Q3 Data'!$B$4:$B$207,$S112))</f>
      </c>
      <c r="W112" s="7">
        <f>IF($C112="","",SUMIFS('Q4 Data'!$L$4:$L$207,'Q4 Data'!$B$4:$B$207,$S112)+SUMIFS('Q4 Data'!$O$4:$O$207,'Q4 Data'!$B$4:$B$207,$S112)+SUMIFS('Q4 Data'!$M$4:$M$207,'Q4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Data'!$L$4:$L$207,'Q1 Data'!$B$4:$B$207,$S113)+SUMIFS('Q1 Data'!$O$4:$O$207,'Q1 Data'!$B$4:$B$207,$S113)+SUMIFS('Q1 Data'!$M$4:$M$207,'Q1 Data'!$B$4:$B$207,$S113))</f>
      </c>
      <c r="U113" s="7">
        <f>IF($C113="","",SUMIFS('Q2 Data'!$L$4:$L$207,'Q2 Data'!$B$4:$B$207,$S113)+SUMIFS('Q2 Data'!$O$4:$O$207,'Q2 Data'!$B$4:$B$207,$S113)+SUMIFS('Q2 Data'!$M$4:$M$207,'Q2 Data'!$B$4:$B$207,$S113))</f>
      </c>
      <c r="V113" s="7">
        <f>IF($C113="","",SUMIFS('Q3 Data'!$L$4:$L$207,'Q3 Data'!$B$4:$B$207,$S113)+SUMIFS('Q3 Data'!$O$4:$O$207,'Q3 Data'!$B$4:$B$207,$S113)+SUMIFS('Q3 Data'!$M$4:$M$207,'Q3 Data'!$B$4:$B$207,$S113))</f>
      </c>
      <c r="W113" s="7">
        <f>IF($C113="","",SUMIFS('Q4 Data'!$L$4:$L$207,'Q4 Data'!$B$4:$B$207,$S113)+SUMIFS('Q4 Data'!$O$4:$O$207,'Q4 Data'!$B$4:$B$207,$S113)+SUMIFS('Q4 Data'!$M$4:$M$207,'Q4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Data'!$L$4:$L$207,'Q1 Data'!$B$4:$B$207,$S114)+SUMIFS('Q1 Data'!$O$4:$O$207,'Q1 Data'!$B$4:$B$207,$S114)+SUMIFS('Q1 Data'!$M$4:$M$207,'Q1 Data'!$B$4:$B$207,$S114))</f>
      </c>
      <c r="U114" s="7">
        <f>IF($C114="","",SUMIFS('Q2 Data'!$L$4:$L$207,'Q2 Data'!$B$4:$B$207,$S114)+SUMIFS('Q2 Data'!$O$4:$O$207,'Q2 Data'!$B$4:$B$207,$S114)+SUMIFS('Q2 Data'!$M$4:$M$207,'Q2 Data'!$B$4:$B$207,$S114))</f>
      </c>
      <c r="V114" s="7">
        <f>IF($C114="","",SUMIFS('Q3 Data'!$L$4:$L$207,'Q3 Data'!$B$4:$B$207,$S114)+SUMIFS('Q3 Data'!$O$4:$O$207,'Q3 Data'!$B$4:$B$207,$S114)+SUMIFS('Q3 Data'!$M$4:$M$207,'Q3 Data'!$B$4:$B$207,$S114))</f>
      </c>
      <c r="W114" s="7">
        <f>IF($C114="","",SUMIFS('Q4 Data'!$L$4:$L$207,'Q4 Data'!$B$4:$B$207,$S114)+SUMIFS('Q4 Data'!$O$4:$O$207,'Q4 Data'!$B$4:$B$207,$S114)+SUMIFS('Q4 Data'!$M$4:$M$207,'Q4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Data'!$L$4:$L$207,'Q1 Data'!$B$4:$B$207,$S115)+SUMIFS('Q1 Data'!$O$4:$O$207,'Q1 Data'!$B$4:$B$207,$S115)+SUMIFS('Q1 Data'!$M$4:$M$207,'Q1 Data'!$B$4:$B$207,$S115))</f>
      </c>
      <c r="U115" s="7">
        <f>IF($C115="","",SUMIFS('Q2 Data'!$L$4:$L$207,'Q2 Data'!$B$4:$B$207,$S115)+SUMIFS('Q2 Data'!$O$4:$O$207,'Q2 Data'!$B$4:$B$207,$S115)+SUMIFS('Q2 Data'!$M$4:$M$207,'Q2 Data'!$B$4:$B$207,$S115))</f>
      </c>
      <c r="V115" s="7">
        <f>IF($C115="","",SUMIFS('Q3 Data'!$L$4:$L$207,'Q3 Data'!$B$4:$B$207,$S115)+SUMIFS('Q3 Data'!$O$4:$O$207,'Q3 Data'!$B$4:$B$207,$S115)+SUMIFS('Q3 Data'!$M$4:$M$207,'Q3 Data'!$B$4:$B$207,$S115))</f>
      </c>
      <c r="W115" s="7">
        <f>IF($C115="","",SUMIFS('Q4 Data'!$L$4:$L$207,'Q4 Data'!$B$4:$B$207,$S115)+SUMIFS('Q4 Data'!$O$4:$O$207,'Q4 Data'!$B$4:$B$207,$S115)+SUMIFS('Q4 Data'!$M$4:$M$207,'Q4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Data'!$L$4:$L$207,'Q1 Data'!$B$4:$B$207,$S116)+SUMIFS('Q1 Data'!$O$4:$O$207,'Q1 Data'!$B$4:$B$207,$S116)+SUMIFS('Q1 Data'!$M$4:$M$207,'Q1 Data'!$B$4:$B$207,$S116))</f>
      </c>
      <c r="U116" s="7">
        <f>IF($C116="","",SUMIFS('Q2 Data'!$L$4:$L$207,'Q2 Data'!$B$4:$B$207,$S116)+SUMIFS('Q2 Data'!$O$4:$O$207,'Q2 Data'!$B$4:$B$207,$S116)+SUMIFS('Q2 Data'!$M$4:$M$207,'Q2 Data'!$B$4:$B$207,$S116))</f>
      </c>
      <c r="V116" s="7">
        <f>IF($C116="","",SUMIFS('Q3 Data'!$L$4:$L$207,'Q3 Data'!$B$4:$B$207,$S116)+SUMIFS('Q3 Data'!$O$4:$O$207,'Q3 Data'!$B$4:$B$207,$S116)+SUMIFS('Q3 Data'!$M$4:$M$207,'Q3 Data'!$B$4:$B$207,$S116))</f>
      </c>
      <c r="W116" s="7">
        <f>IF($C116="","",SUMIFS('Q4 Data'!$L$4:$L$207,'Q4 Data'!$B$4:$B$207,$S116)+SUMIFS('Q4 Data'!$O$4:$O$207,'Q4 Data'!$B$4:$B$207,$S116)+SUMIFS('Q4 Data'!$M$4:$M$207,'Q4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Data'!$L$4:$L$207,'Q1 Data'!$B$4:$B$207,$S117)+SUMIFS('Q1 Data'!$O$4:$O$207,'Q1 Data'!$B$4:$B$207,$S117)+SUMIFS('Q1 Data'!$M$4:$M$207,'Q1 Data'!$B$4:$B$207,$S117))</f>
      </c>
      <c r="U117" s="7">
        <f>IF($C117="","",SUMIFS('Q2 Data'!$L$4:$L$207,'Q2 Data'!$B$4:$B$207,$S117)+SUMIFS('Q2 Data'!$O$4:$O$207,'Q2 Data'!$B$4:$B$207,$S117)+SUMIFS('Q2 Data'!$M$4:$M$207,'Q2 Data'!$B$4:$B$207,$S117))</f>
      </c>
      <c r="V117" s="7">
        <f>IF($C117="","",SUMIFS('Q3 Data'!$L$4:$L$207,'Q3 Data'!$B$4:$B$207,$S117)+SUMIFS('Q3 Data'!$O$4:$O$207,'Q3 Data'!$B$4:$B$207,$S117)+SUMIFS('Q3 Data'!$M$4:$M$207,'Q3 Data'!$B$4:$B$207,$S117))</f>
      </c>
      <c r="W117" s="7">
        <f>IF($C117="","",SUMIFS('Q4 Data'!$L$4:$L$207,'Q4 Data'!$B$4:$B$207,$S117)+SUMIFS('Q4 Data'!$O$4:$O$207,'Q4 Data'!$B$4:$B$207,$S117)+SUMIFS('Q4 Data'!$M$4:$M$207,'Q4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Data'!$L$4:$L$207,'Q1 Data'!$B$4:$B$207,$S118)+SUMIFS('Q1 Data'!$O$4:$O$207,'Q1 Data'!$B$4:$B$207,$S118)+SUMIFS('Q1 Data'!$M$4:$M$207,'Q1 Data'!$B$4:$B$207,$S118))</f>
      </c>
      <c r="U118" s="7">
        <f>IF($C118="","",SUMIFS('Q2 Data'!$L$4:$L$207,'Q2 Data'!$B$4:$B$207,$S118)+SUMIFS('Q2 Data'!$O$4:$O$207,'Q2 Data'!$B$4:$B$207,$S118)+SUMIFS('Q2 Data'!$M$4:$M$207,'Q2 Data'!$B$4:$B$207,$S118))</f>
      </c>
      <c r="V118" s="7">
        <f>IF($C118="","",SUMIFS('Q3 Data'!$L$4:$L$207,'Q3 Data'!$B$4:$B$207,$S118)+SUMIFS('Q3 Data'!$O$4:$O$207,'Q3 Data'!$B$4:$B$207,$S118)+SUMIFS('Q3 Data'!$M$4:$M$207,'Q3 Data'!$B$4:$B$207,$S118))</f>
      </c>
      <c r="W118" s="7">
        <f>IF($C118="","",SUMIFS('Q4 Data'!$L$4:$L$207,'Q4 Data'!$B$4:$B$207,$S118)+SUMIFS('Q4 Data'!$O$4:$O$207,'Q4 Data'!$B$4:$B$207,$S118)+SUMIFS('Q4 Data'!$M$4:$M$207,'Q4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Data'!$L$4:$L$207,'Q1 Data'!$B$4:$B$207,$S119)+SUMIFS('Q1 Data'!$O$4:$O$207,'Q1 Data'!$B$4:$B$207,$S119)+SUMIFS('Q1 Data'!$M$4:$M$207,'Q1 Data'!$B$4:$B$207,$S119))</f>
      </c>
      <c r="U119" s="7">
        <f>IF($C119="","",SUMIFS('Q2 Data'!$L$4:$L$207,'Q2 Data'!$B$4:$B$207,$S119)+SUMIFS('Q2 Data'!$O$4:$O$207,'Q2 Data'!$B$4:$B$207,$S119)+SUMIFS('Q2 Data'!$M$4:$M$207,'Q2 Data'!$B$4:$B$207,$S119))</f>
      </c>
      <c r="V119" s="7">
        <f>IF($C119="","",SUMIFS('Q3 Data'!$L$4:$L$207,'Q3 Data'!$B$4:$B$207,$S119)+SUMIFS('Q3 Data'!$O$4:$O$207,'Q3 Data'!$B$4:$B$207,$S119)+SUMIFS('Q3 Data'!$M$4:$M$207,'Q3 Data'!$B$4:$B$207,$S119))</f>
      </c>
      <c r="W119" s="7">
        <f>IF($C119="","",SUMIFS('Q4 Data'!$L$4:$L$207,'Q4 Data'!$B$4:$B$207,$S119)+SUMIFS('Q4 Data'!$O$4:$O$207,'Q4 Data'!$B$4:$B$207,$S119)+SUMIFS('Q4 Data'!$M$4:$M$207,'Q4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Data'!$L$4:$L$207,'Q1 Data'!$B$4:$B$207,$S120)+SUMIFS('Q1 Data'!$O$4:$O$207,'Q1 Data'!$B$4:$B$207,$S120)+SUMIFS('Q1 Data'!$M$4:$M$207,'Q1 Data'!$B$4:$B$207,$S120))</f>
      </c>
      <c r="U120" s="7">
        <f>IF($C120="","",SUMIFS('Q2 Data'!$L$4:$L$207,'Q2 Data'!$B$4:$B$207,$S120)+SUMIFS('Q2 Data'!$O$4:$O$207,'Q2 Data'!$B$4:$B$207,$S120)+SUMIFS('Q2 Data'!$M$4:$M$207,'Q2 Data'!$B$4:$B$207,$S120))</f>
      </c>
      <c r="V120" s="7">
        <f>IF($C120="","",SUMIFS('Q3 Data'!$L$4:$L$207,'Q3 Data'!$B$4:$B$207,$S120)+SUMIFS('Q3 Data'!$O$4:$O$207,'Q3 Data'!$B$4:$B$207,$S120)+SUMIFS('Q3 Data'!$M$4:$M$207,'Q3 Data'!$B$4:$B$207,$S120))</f>
      </c>
      <c r="W120" s="7">
        <f>IF($C120="","",SUMIFS('Q4 Data'!$L$4:$L$207,'Q4 Data'!$B$4:$B$207,$S120)+SUMIFS('Q4 Data'!$O$4:$O$207,'Q4 Data'!$B$4:$B$207,$S120)+SUMIFS('Q4 Data'!$M$4:$M$207,'Q4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Data'!$L$4:$L$207,'Q1 Data'!$B$4:$B$207,$S121)+SUMIFS('Q1 Data'!$O$4:$O$207,'Q1 Data'!$B$4:$B$207,$S121)+SUMIFS('Q1 Data'!$M$4:$M$207,'Q1 Data'!$B$4:$B$207,$S121))</f>
      </c>
      <c r="U121" s="7">
        <f>IF($C121="","",SUMIFS('Q2 Data'!$L$4:$L$207,'Q2 Data'!$B$4:$B$207,$S121)+SUMIFS('Q2 Data'!$O$4:$O$207,'Q2 Data'!$B$4:$B$207,$S121)+SUMIFS('Q2 Data'!$M$4:$M$207,'Q2 Data'!$B$4:$B$207,$S121))</f>
      </c>
      <c r="V121" s="7">
        <f>IF($C121="","",SUMIFS('Q3 Data'!$L$4:$L$207,'Q3 Data'!$B$4:$B$207,$S121)+SUMIFS('Q3 Data'!$O$4:$O$207,'Q3 Data'!$B$4:$B$207,$S121)+SUMIFS('Q3 Data'!$M$4:$M$207,'Q3 Data'!$B$4:$B$207,$S121))</f>
      </c>
      <c r="W121" s="7">
        <f>IF($C121="","",SUMIFS('Q4 Data'!$L$4:$L$207,'Q4 Data'!$B$4:$B$207,$S121)+SUMIFS('Q4 Data'!$O$4:$O$207,'Q4 Data'!$B$4:$B$207,$S121)+SUMIFS('Q4 Data'!$M$4:$M$207,'Q4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Data'!$L$4:$L$207,'Q1 Data'!$B$4:$B$207,$S122)+SUMIFS('Q1 Data'!$O$4:$O$207,'Q1 Data'!$B$4:$B$207,$S122)+SUMIFS('Q1 Data'!$M$4:$M$207,'Q1 Data'!$B$4:$B$207,$S122))</f>
      </c>
      <c r="U122" s="7">
        <f>IF($C122="","",SUMIFS('Q2 Data'!$L$4:$L$207,'Q2 Data'!$B$4:$B$207,$S122)+SUMIFS('Q2 Data'!$O$4:$O$207,'Q2 Data'!$B$4:$B$207,$S122)+SUMIFS('Q2 Data'!$M$4:$M$207,'Q2 Data'!$B$4:$B$207,$S122))</f>
      </c>
      <c r="V122" s="7">
        <f>IF($C122="","",SUMIFS('Q3 Data'!$L$4:$L$207,'Q3 Data'!$B$4:$B$207,$S122)+SUMIFS('Q3 Data'!$O$4:$O$207,'Q3 Data'!$B$4:$B$207,$S122)+SUMIFS('Q3 Data'!$M$4:$M$207,'Q3 Data'!$B$4:$B$207,$S122))</f>
      </c>
      <c r="W122" s="7">
        <f>IF($C122="","",SUMIFS('Q4 Data'!$L$4:$L$207,'Q4 Data'!$B$4:$B$207,$S122)+SUMIFS('Q4 Data'!$O$4:$O$207,'Q4 Data'!$B$4:$B$207,$S122)+SUMIFS('Q4 Data'!$M$4:$M$207,'Q4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Data'!$L$4:$L$207,'Q1 Data'!$B$4:$B$207,$S123)+SUMIFS('Q1 Data'!$O$4:$O$207,'Q1 Data'!$B$4:$B$207,$S123)+SUMIFS('Q1 Data'!$M$4:$M$207,'Q1 Data'!$B$4:$B$207,$S123))</f>
      </c>
      <c r="U123" s="7">
        <f>IF($C123="","",SUMIFS('Q2 Data'!$L$4:$L$207,'Q2 Data'!$B$4:$B$207,$S123)+SUMIFS('Q2 Data'!$O$4:$O$207,'Q2 Data'!$B$4:$B$207,$S123)+SUMIFS('Q2 Data'!$M$4:$M$207,'Q2 Data'!$B$4:$B$207,$S123))</f>
      </c>
      <c r="V123" s="7">
        <f>IF($C123="","",SUMIFS('Q3 Data'!$L$4:$L$207,'Q3 Data'!$B$4:$B$207,$S123)+SUMIFS('Q3 Data'!$O$4:$O$207,'Q3 Data'!$B$4:$B$207,$S123)+SUMIFS('Q3 Data'!$M$4:$M$207,'Q3 Data'!$B$4:$B$207,$S123))</f>
      </c>
      <c r="W123" s="7">
        <f>IF($C123="","",SUMIFS('Q4 Data'!$L$4:$L$207,'Q4 Data'!$B$4:$B$207,$S123)+SUMIFS('Q4 Data'!$O$4:$O$207,'Q4 Data'!$B$4:$B$207,$S123)+SUMIFS('Q4 Data'!$M$4:$M$207,'Q4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Data'!$L$4:$L$207,'Q1 Data'!$B$4:$B$207,$S124)+SUMIFS('Q1 Data'!$O$4:$O$207,'Q1 Data'!$B$4:$B$207,$S124)+SUMIFS('Q1 Data'!$M$4:$M$207,'Q1 Data'!$B$4:$B$207,$S124))</f>
      </c>
      <c r="U124" s="7">
        <f>IF($C124="","",SUMIFS('Q2 Data'!$L$4:$L$207,'Q2 Data'!$B$4:$B$207,$S124)+SUMIFS('Q2 Data'!$O$4:$O$207,'Q2 Data'!$B$4:$B$207,$S124)+SUMIFS('Q2 Data'!$M$4:$M$207,'Q2 Data'!$B$4:$B$207,$S124))</f>
      </c>
      <c r="V124" s="7">
        <f>IF($C124="","",SUMIFS('Q3 Data'!$L$4:$L$207,'Q3 Data'!$B$4:$B$207,$S124)+SUMIFS('Q3 Data'!$O$4:$O$207,'Q3 Data'!$B$4:$B$207,$S124)+SUMIFS('Q3 Data'!$M$4:$M$207,'Q3 Data'!$B$4:$B$207,$S124))</f>
      </c>
      <c r="W124" s="7">
        <f>IF($C124="","",SUMIFS('Q4 Data'!$L$4:$L$207,'Q4 Data'!$B$4:$B$207,$S124)+SUMIFS('Q4 Data'!$O$4:$O$207,'Q4 Data'!$B$4:$B$207,$S124)+SUMIFS('Q4 Data'!$M$4:$M$207,'Q4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Data'!$L$4:$L$207,'Q1 Data'!$B$4:$B$207,$S125)+SUMIFS('Q1 Data'!$O$4:$O$207,'Q1 Data'!$B$4:$B$207,$S125)+SUMIFS('Q1 Data'!$M$4:$M$207,'Q1 Data'!$B$4:$B$207,$S125))</f>
      </c>
      <c r="U125" s="7">
        <f>IF($C125="","",SUMIFS('Q2 Data'!$L$4:$L$207,'Q2 Data'!$B$4:$B$207,$S125)+SUMIFS('Q2 Data'!$O$4:$O$207,'Q2 Data'!$B$4:$B$207,$S125)+SUMIFS('Q2 Data'!$M$4:$M$207,'Q2 Data'!$B$4:$B$207,$S125))</f>
      </c>
      <c r="V125" s="7">
        <f>IF($C125="","",SUMIFS('Q3 Data'!$L$4:$L$207,'Q3 Data'!$B$4:$B$207,$S125)+SUMIFS('Q3 Data'!$O$4:$O$207,'Q3 Data'!$B$4:$B$207,$S125)+SUMIFS('Q3 Data'!$M$4:$M$207,'Q3 Data'!$B$4:$B$207,$S125))</f>
      </c>
      <c r="W125" s="7">
        <f>IF($C125="","",SUMIFS('Q4 Data'!$L$4:$L$207,'Q4 Data'!$B$4:$B$207,$S125)+SUMIFS('Q4 Data'!$O$4:$O$207,'Q4 Data'!$B$4:$B$207,$S125)+SUMIFS('Q4 Data'!$M$4:$M$207,'Q4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Data'!$L$4:$L$207,'Q1 Data'!$B$4:$B$207,$S126)+SUMIFS('Q1 Data'!$O$4:$O$207,'Q1 Data'!$B$4:$B$207,$S126)+SUMIFS('Q1 Data'!$M$4:$M$207,'Q1 Data'!$B$4:$B$207,$S126))</f>
      </c>
      <c r="U126" s="7">
        <f>IF($C126="","",SUMIFS('Q2 Data'!$L$4:$L$207,'Q2 Data'!$B$4:$B$207,$S126)+SUMIFS('Q2 Data'!$O$4:$O$207,'Q2 Data'!$B$4:$B$207,$S126)+SUMIFS('Q2 Data'!$M$4:$M$207,'Q2 Data'!$B$4:$B$207,$S126))</f>
      </c>
      <c r="V126" s="7">
        <f>IF($C126="","",SUMIFS('Q3 Data'!$L$4:$L$207,'Q3 Data'!$B$4:$B$207,$S126)+SUMIFS('Q3 Data'!$O$4:$O$207,'Q3 Data'!$B$4:$B$207,$S126)+SUMIFS('Q3 Data'!$M$4:$M$207,'Q3 Data'!$B$4:$B$207,$S126))</f>
      </c>
      <c r="W126" s="7">
        <f>IF($C126="","",SUMIFS('Q4 Data'!$L$4:$L$207,'Q4 Data'!$B$4:$B$207,$S126)+SUMIFS('Q4 Data'!$O$4:$O$207,'Q4 Data'!$B$4:$B$207,$S126)+SUMIFS('Q4 Data'!$M$4:$M$207,'Q4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Data'!$L$4:$L$207,'Q1 Data'!$B$4:$B$207,$S127)+SUMIFS('Q1 Data'!$O$4:$O$207,'Q1 Data'!$B$4:$B$207,$S127)+SUMIFS('Q1 Data'!$M$4:$M$207,'Q1 Data'!$B$4:$B$207,$S127))</f>
      </c>
      <c r="U127" s="7">
        <f>IF($C127="","",SUMIFS('Q2 Data'!$L$4:$L$207,'Q2 Data'!$B$4:$B$207,$S127)+SUMIFS('Q2 Data'!$O$4:$O$207,'Q2 Data'!$B$4:$B$207,$S127)+SUMIFS('Q2 Data'!$M$4:$M$207,'Q2 Data'!$B$4:$B$207,$S127))</f>
      </c>
      <c r="V127" s="7">
        <f>IF($C127="","",SUMIFS('Q3 Data'!$L$4:$L$207,'Q3 Data'!$B$4:$B$207,$S127)+SUMIFS('Q3 Data'!$O$4:$O$207,'Q3 Data'!$B$4:$B$207,$S127)+SUMIFS('Q3 Data'!$M$4:$M$207,'Q3 Data'!$B$4:$B$207,$S127))</f>
      </c>
      <c r="W127" s="7">
        <f>IF($C127="","",SUMIFS('Q4 Data'!$L$4:$L$207,'Q4 Data'!$B$4:$B$207,$S127)+SUMIFS('Q4 Data'!$O$4:$O$207,'Q4 Data'!$B$4:$B$207,$S127)+SUMIFS('Q4 Data'!$M$4:$M$207,'Q4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Data'!$L$4:$L$207,'Q1 Data'!$B$4:$B$207,$S128)+SUMIFS('Q1 Data'!$O$4:$O$207,'Q1 Data'!$B$4:$B$207,$S128)+SUMIFS('Q1 Data'!$M$4:$M$207,'Q1 Data'!$B$4:$B$207,$S128))</f>
      </c>
      <c r="U128" s="7">
        <f>IF($C128="","",SUMIFS('Q2 Data'!$L$4:$L$207,'Q2 Data'!$B$4:$B$207,$S128)+SUMIFS('Q2 Data'!$O$4:$O$207,'Q2 Data'!$B$4:$B$207,$S128)+SUMIFS('Q2 Data'!$M$4:$M$207,'Q2 Data'!$B$4:$B$207,$S128))</f>
      </c>
      <c r="V128" s="7">
        <f>IF($C128="","",SUMIFS('Q3 Data'!$L$4:$L$207,'Q3 Data'!$B$4:$B$207,$S128)+SUMIFS('Q3 Data'!$O$4:$O$207,'Q3 Data'!$B$4:$B$207,$S128)+SUMIFS('Q3 Data'!$M$4:$M$207,'Q3 Data'!$B$4:$B$207,$S128))</f>
      </c>
      <c r="W128" s="7">
        <f>IF($C128="","",SUMIFS('Q4 Data'!$L$4:$L$207,'Q4 Data'!$B$4:$B$207,$S128)+SUMIFS('Q4 Data'!$O$4:$O$207,'Q4 Data'!$B$4:$B$207,$S128)+SUMIFS('Q4 Data'!$M$4:$M$207,'Q4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Data'!$L$4:$L$207,'Q1 Data'!$B$4:$B$207,$S129)+SUMIFS('Q1 Data'!$O$4:$O$207,'Q1 Data'!$B$4:$B$207,$S129)+SUMIFS('Q1 Data'!$M$4:$M$207,'Q1 Data'!$B$4:$B$207,$S129))</f>
      </c>
      <c r="U129" s="7">
        <f>IF($C129="","",SUMIFS('Q2 Data'!$L$4:$L$207,'Q2 Data'!$B$4:$B$207,$S129)+SUMIFS('Q2 Data'!$O$4:$O$207,'Q2 Data'!$B$4:$B$207,$S129)+SUMIFS('Q2 Data'!$M$4:$M$207,'Q2 Data'!$B$4:$B$207,$S129))</f>
      </c>
      <c r="V129" s="7">
        <f>IF($C129="","",SUMIFS('Q3 Data'!$L$4:$L$207,'Q3 Data'!$B$4:$B$207,$S129)+SUMIFS('Q3 Data'!$O$4:$O$207,'Q3 Data'!$B$4:$B$207,$S129)+SUMIFS('Q3 Data'!$M$4:$M$207,'Q3 Data'!$B$4:$B$207,$S129))</f>
      </c>
      <c r="W129" s="7">
        <f>IF($C129="","",SUMIFS('Q4 Data'!$L$4:$L$207,'Q4 Data'!$B$4:$B$207,$S129)+SUMIFS('Q4 Data'!$O$4:$O$207,'Q4 Data'!$B$4:$B$207,$S129)+SUMIFS('Q4 Data'!$M$4:$M$207,'Q4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Data'!$L$4:$L$207,'Q1 Data'!$B$4:$B$207,$S130)+SUMIFS('Q1 Data'!$O$4:$O$207,'Q1 Data'!$B$4:$B$207,$S130)+SUMIFS('Q1 Data'!$M$4:$M$207,'Q1 Data'!$B$4:$B$207,$S130))</f>
      </c>
      <c r="U130" s="7">
        <f>IF($C130="","",SUMIFS('Q2 Data'!$L$4:$L$207,'Q2 Data'!$B$4:$B$207,$S130)+SUMIFS('Q2 Data'!$O$4:$O$207,'Q2 Data'!$B$4:$B$207,$S130)+SUMIFS('Q2 Data'!$M$4:$M$207,'Q2 Data'!$B$4:$B$207,$S130))</f>
      </c>
      <c r="V130" s="7">
        <f>IF($C130="","",SUMIFS('Q3 Data'!$L$4:$L$207,'Q3 Data'!$B$4:$B$207,$S130)+SUMIFS('Q3 Data'!$O$4:$O$207,'Q3 Data'!$B$4:$B$207,$S130)+SUMIFS('Q3 Data'!$M$4:$M$207,'Q3 Data'!$B$4:$B$207,$S130))</f>
      </c>
      <c r="W130" s="7">
        <f>IF($C130="","",SUMIFS('Q4 Data'!$L$4:$L$207,'Q4 Data'!$B$4:$B$207,$S130)+SUMIFS('Q4 Data'!$O$4:$O$207,'Q4 Data'!$B$4:$B$207,$S130)+SUMIFS('Q4 Data'!$M$4:$M$207,'Q4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Data'!$L$4:$L$207,'Q1 Data'!$B$4:$B$207,$S131)+SUMIFS('Q1 Data'!$O$4:$O$207,'Q1 Data'!$B$4:$B$207,$S131)+SUMIFS('Q1 Data'!$M$4:$M$207,'Q1 Data'!$B$4:$B$207,$S131))</f>
      </c>
      <c r="U131" s="7">
        <f>IF($C131="","",SUMIFS('Q2 Data'!$L$4:$L$207,'Q2 Data'!$B$4:$B$207,$S131)+SUMIFS('Q2 Data'!$O$4:$O$207,'Q2 Data'!$B$4:$B$207,$S131)+SUMIFS('Q2 Data'!$M$4:$M$207,'Q2 Data'!$B$4:$B$207,$S131))</f>
      </c>
      <c r="V131" s="7">
        <f>IF($C131="","",SUMIFS('Q3 Data'!$L$4:$L$207,'Q3 Data'!$B$4:$B$207,$S131)+SUMIFS('Q3 Data'!$O$4:$O$207,'Q3 Data'!$B$4:$B$207,$S131)+SUMIFS('Q3 Data'!$M$4:$M$207,'Q3 Data'!$B$4:$B$207,$S131))</f>
      </c>
      <c r="W131" s="7">
        <f>IF($C131="","",SUMIFS('Q4 Data'!$L$4:$L$207,'Q4 Data'!$B$4:$B$207,$S131)+SUMIFS('Q4 Data'!$O$4:$O$207,'Q4 Data'!$B$4:$B$207,$S131)+SUMIFS('Q4 Data'!$M$4:$M$207,'Q4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Data'!$L$4:$L$207,'Q1 Data'!$B$4:$B$207,$S132)+SUMIFS('Q1 Data'!$O$4:$O$207,'Q1 Data'!$B$4:$B$207,$S132)+SUMIFS('Q1 Data'!$M$4:$M$207,'Q1 Data'!$B$4:$B$207,$S132))</f>
      </c>
      <c r="U132" s="7">
        <f>IF($C132="","",SUMIFS('Q2 Data'!$L$4:$L$207,'Q2 Data'!$B$4:$B$207,$S132)+SUMIFS('Q2 Data'!$O$4:$O$207,'Q2 Data'!$B$4:$B$207,$S132)+SUMIFS('Q2 Data'!$M$4:$M$207,'Q2 Data'!$B$4:$B$207,$S132))</f>
      </c>
      <c r="V132" s="7">
        <f>IF($C132="","",SUMIFS('Q3 Data'!$L$4:$L$207,'Q3 Data'!$B$4:$B$207,$S132)+SUMIFS('Q3 Data'!$O$4:$O$207,'Q3 Data'!$B$4:$B$207,$S132)+SUMIFS('Q3 Data'!$M$4:$M$207,'Q3 Data'!$B$4:$B$207,$S132))</f>
      </c>
      <c r="W132" s="7">
        <f>IF($C132="","",SUMIFS('Q4 Data'!$L$4:$L$207,'Q4 Data'!$B$4:$B$207,$S132)+SUMIFS('Q4 Data'!$O$4:$O$207,'Q4 Data'!$B$4:$B$207,$S132)+SUMIFS('Q4 Data'!$M$4:$M$207,'Q4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Data'!$L$4:$L$207,'Q1 Data'!$B$4:$B$207,$S133)+SUMIFS('Q1 Data'!$O$4:$O$207,'Q1 Data'!$B$4:$B$207,$S133)+SUMIFS('Q1 Data'!$M$4:$M$207,'Q1 Data'!$B$4:$B$207,$S133))</f>
      </c>
      <c r="U133" s="7">
        <f>IF($C133="","",SUMIFS('Q2 Data'!$L$4:$L$207,'Q2 Data'!$B$4:$B$207,$S133)+SUMIFS('Q2 Data'!$O$4:$O$207,'Q2 Data'!$B$4:$B$207,$S133)+SUMIFS('Q2 Data'!$M$4:$M$207,'Q2 Data'!$B$4:$B$207,$S133))</f>
      </c>
      <c r="V133" s="7">
        <f>IF($C133="","",SUMIFS('Q3 Data'!$L$4:$L$207,'Q3 Data'!$B$4:$B$207,$S133)+SUMIFS('Q3 Data'!$O$4:$O$207,'Q3 Data'!$B$4:$B$207,$S133)+SUMIFS('Q3 Data'!$M$4:$M$207,'Q3 Data'!$B$4:$B$207,$S133))</f>
      </c>
      <c r="W133" s="7">
        <f>IF($C133="","",SUMIFS('Q4 Data'!$L$4:$L$207,'Q4 Data'!$B$4:$B$207,$S133)+SUMIFS('Q4 Data'!$O$4:$O$207,'Q4 Data'!$B$4:$B$207,$S133)+SUMIFS('Q4 Data'!$M$4:$M$207,'Q4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Data'!$L$4:$L$207,'Q1 Data'!$B$4:$B$207,$S134)+SUMIFS('Q1 Data'!$O$4:$O$207,'Q1 Data'!$B$4:$B$207,$S134)+SUMIFS('Q1 Data'!$M$4:$M$207,'Q1 Data'!$B$4:$B$207,$S134))</f>
      </c>
      <c r="U134" s="7">
        <f>IF($C134="","",SUMIFS('Q2 Data'!$L$4:$L$207,'Q2 Data'!$B$4:$B$207,$S134)+SUMIFS('Q2 Data'!$O$4:$O$207,'Q2 Data'!$B$4:$B$207,$S134)+SUMIFS('Q2 Data'!$M$4:$M$207,'Q2 Data'!$B$4:$B$207,$S134))</f>
      </c>
      <c r="V134" s="7">
        <f>IF($C134="","",SUMIFS('Q3 Data'!$L$4:$L$207,'Q3 Data'!$B$4:$B$207,$S134)+SUMIFS('Q3 Data'!$O$4:$O$207,'Q3 Data'!$B$4:$B$207,$S134)+SUMIFS('Q3 Data'!$M$4:$M$207,'Q3 Data'!$B$4:$B$207,$S134))</f>
      </c>
      <c r="W134" s="7">
        <f>IF($C134="","",SUMIFS('Q4 Data'!$L$4:$L$207,'Q4 Data'!$B$4:$B$207,$S134)+SUMIFS('Q4 Data'!$O$4:$O$207,'Q4 Data'!$B$4:$B$207,$S134)+SUMIFS('Q4 Data'!$M$4:$M$207,'Q4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Data'!$L$4:$L$207,'Q1 Data'!$B$4:$B$207,$S135)+SUMIFS('Q1 Data'!$O$4:$O$207,'Q1 Data'!$B$4:$B$207,$S135)+SUMIFS('Q1 Data'!$M$4:$M$207,'Q1 Data'!$B$4:$B$207,$S135))</f>
      </c>
      <c r="U135" s="7">
        <f>IF($C135="","",SUMIFS('Q2 Data'!$L$4:$L$207,'Q2 Data'!$B$4:$B$207,$S135)+SUMIFS('Q2 Data'!$O$4:$O$207,'Q2 Data'!$B$4:$B$207,$S135)+SUMIFS('Q2 Data'!$M$4:$M$207,'Q2 Data'!$B$4:$B$207,$S135))</f>
      </c>
      <c r="V135" s="7">
        <f>IF($C135="","",SUMIFS('Q3 Data'!$L$4:$L$207,'Q3 Data'!$B$4:$B$207,$S135)+SUMIFS('Q3 Data'!$O$4:$O$207,'Q3 Data'!$B$4:$B$207,$S135)+SUMIFS('Q3 Data'!$M$4:$M$207,'Q3 Data'!$B$4:$B$207,$S135))</f>
      </c>
      <c r="W135" s="7">
        <f>IF($C135="","",SUMIFS('Q4 Data'!$L$4:$L$207,'Q4 Data'!$B$4:$B$207,$S135)+SUMIFS('Q4 Data'!$O$4:$O$207,'Q4 Data'!$B$4:$B$207,$S135)+SUMIFS('Q4 Data'!$M$4:$M$207,'Q4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Data'!$L$4:$L$207,'Q1 Data'!$B$4:$B$207,$S136)+SUMIFS('Q1 Data'!$O$4:$O$207,'Q1 Data'!$B$4:$B$207,$S136)+SUMIFS('Q1 Data'!$M$4:$M$207,'Q1 Data'!$B$4:$B$207,$S136))</f>
      </c>
      <c r="U136" s="7">
        <f>IF($C136="","",SUMIFS('Q2 Data'!$L$4:$L$207,'Q2 Data'!$B$4:$B$207,$S136)+SUMIFS('Q2 Data'!$O$4:$O$207,'Q2 Data'!$B$4:$B$207,$S136)+SUMIFS('Q2 Data'!$M$4:$M$207,'Q2 Data'!$B$4:$B$207,$S136))</f>
      </c>
      <c r="V136" s="7">
        <f>IF($C136="","",SUMIFS('Q3 Data'!$L$4:$L$207,'Q3 Data'!$B$4:$B$207,$S136)+SUMIFS('Q3 Data'!$O$4:$O$207,'Q3 Data'!$B$4:$B$207,$S136)+SUMIFS('Q3 Data'!$M$4:$M$207,'Q3 Data'!$B$4:$B$207,$S136))</f>
      </c>
      <c r="W136" s="7">
        <f>IF($C136="","",SUMIFS('Q4 Data'!$L$4:$L$207,'Q4 Data'!$B$4:$B$207,$S136)+SUMIFS('Q4 Data'!$O$4:$O$207,'Q4 Data'!$B$4:$B$207,$S136)+SUMIFS('Q4 Data'!$M$4:$M$207,'Q4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Data'!$L$4:$L$207,'Q1 Data'!$B$4:$B$207,$S137)+SUMIFS('Q1 Data'!$O$4:$O$207,'Q1 Data'!$B$4:$B$207,$S137)+SUMIFS('Q1 Data'!$M$4:$M$207,'Q1 Data'!$B$4:$B$207,$S137))</f>
      </c>
      <c r="U137" s="7">
        <f>IF($C137="","",SUMIFS('Q2 Data'!$L$4:$L$207,'Q2 Data'!$B$4:$B$207,$S137)+SUMIFS('Q2 Data'!$O$4:$O$207,'Q2 Data'!$B$4:$B$207,$S137)+SUMIFS('Q2 Data'!$M$4:$M$207,'Q2 Data'!$B$4:$B$207,$S137))</f>
      </c>
      <c r="V137" s="7">
        <f>IF($C137="","",SUMIFS('Q3 Data'!$L$4:$L$207,'Q3 Data'!$B$4:$B$207,$S137)+SUMIFS('Q3 Data'!$O$4:$O$207,'Q3 Data'!$B$4:$B$207,$S137)+SUMIFS('Q3 Data'!$M$4:$M$207,'Q3 Data'!$B$4:$B$207,$S137))</f>
      </c>
      <c r="W137" s="7">
        <f>IF($C137="","",SUMIFS('Q4 Data'!$L$4:$L$207,'Q4 Data'!$B$4:$B$207,$S137)+SUMIFS('Q4 Data'!$O$4:$O$207,'Q4 Data'!$B$4:$B$207,$S137)+SUMIFS('Q4 Data'!$M$4:$M$207,'Q4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Data'!$L$4:$L$207,'Q1 Data'!$B$4:$B$207,$S138)+SUMIFS('Q1 Data'!$O$4:$O$207,'Q1 Data'!$B$4:$B$207,$S138)+SUMIFS('Q1 Data'!$M$4:$M$207,'Q1 Data'!$B$4:$B$207,$S138))</f>
      </c>
      <c r="U138" s="7">
        <f>IF($C138="","",SUMIFS('Q2 Data'!$L$4:$L$207,'Q2 Data'!$B$4:$B$207,$S138)+SUMIFS('Q2 Data'!$O$4:$O$207,'Q2 Data'!$B$4:$B$207,$S138)+SUMIFS('Q2 Data'!$M$4:$M$207,'Q2 Data'!$B$4:$B$207,$S138))</f>
      </c>
      <c r="V138" s="7">
        <f>IF($C138="","",SUMIFS('Q3 Data'!$L$4:$L$207,'Q3 Data'!$B$4:$B$207,$S138)+SUMIFS('Q3 Data'!$O$4:$O$207,'Q3 Data'!$B$4:$B$207,$S138)+SUMIFS('Q3 Data'!$M$4:$M$207,'Q3 Data'!$B$4:$B$207,$S138))</f>
      </c>
      <c r="W138" s="7">
        <f>IF($C138="","",SUMIFS('Q4 Data'!$L$4:$L$207,'Q4 Data'!$B$4:$B$207,$S138)+SUMIFS('Q4 Data'!$O$4:$O$207,'Q4 Data'!$B$4:$B$207,$S138)+SUMIFS('Q4 Data'!$M$4:$M$207,'Q4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Data'!$L$4:$L$207,'Q1 Data'!$B$4:$B$207,$S139)+SUMIFS('Q1 Data'!$O$4:$O$207,'Q1 Data'!$B$4:$B$207,$S139)+SUMIFS('Q1 Data'!$M$4:$M$207,'Q1 Data'!$B$4:$B$207,$S139))</f>
      </c>
      <c r="U139" s="7">
        <f>IF($C139="","",SUMIFS('Q2 Data'!$L$4:$L$207,'Q2 Data'!$B$4:$B$207,$S139)+SUMIFS('Q2 Data'!$O$4:$O$207,'Q2 Data'!$B$4:$B$207,$S139)+SUMIFS('Q2 Data'!$M$4:$M$207,'Q2 Data'!$B$4:$B$207,$S139))</f>
      </c>
      <c r="V139" s="7">
        <f>IF($C139="","",SUMIFS('Q3 Data'!$L$4:$L$207,'Q3 Data'!$B$4:$B$207,$S139)+SUMIFS('Q3 Data'!$O$4:$O$207,'Q3 Data'!$B$4:$B$207,$S139)+SUMIFS('Q3 Data'!$M$4:$M$207,'Q3 Data'!$B$4:$B$207,$S139))</f>
      </c>
      <c r="W139" s="7">
        <f>IF($C139="","",SUMIFS('Q4 Data'!$L$4:$L$207,'Q4 Data'!$B$4:$B$207,$S139)+SUMIFS('Q4 Data'!$O$4:$O$207,'Q4 Data'!$B$4:$B$207,$S139)+SUMIFS('Q4 Data'!$M$4:$M$207,'Q4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Data'!$L$4:$L$207,'Q1 Data'!$B$4:$B$207,$S140)+SUMIFS('Q1 Data'!$O$4:$O$207,'Q1 Data'!$B$4:$B$207,$S140)+SUMIFS('Q1 Data'!$M$4:$M$207,'Q1 Data'!$B$4:$B$207,$S140))</f>
      </c>
      <c r="U140" s="7">
        <f>IF($C140="","",SUMIFS('Q2 Data'!$L$4:$L$207,'Q2 Data'!$B$4:$B$207,$S140)+SUMIFS('Q2 Data'!$O$4:$O$207,'Q2 Data'!$B$4:$B$207,$S140)+SUMIFS('Q2 Data'!$M$4:$M$207,'Q2 Data'!$B$4:$B$207,$S140))</f>
      </c>
      <c r="V140" s="7">
        <f>IF($C140="","",SUMIFS('Q3 Data'!$L$4:$L$207,'Q3 Data'!$B$4:$B$207,$S140)+SUMIFS('Q3 Data'!$O$4:$O$207,'Q3 Data'!$B$4:$B$207,$S140)+SUMIFS('Q3 Data'!$M$4:$M$207,'Q3 Data'!$B$4:$B$207,$S140))</f>
      </c>
      <c r="W140" s="7">
        <f>IF($C140="","",SUMIFS('Q4 Data'!$L$4:$L$207,'Q4 Data'!$B$4:$B$207,$S140)+SUMIFS('Q4 Data'!$O$4:$O$207,'Q4 Data'!$B$4:$B$207,$S140)+SUMIFS('Q4 Data'!$M$4:$M$207,'Q4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Data'!$L$4:$L$207,'Q1 Data'!$B$4:$B$207,$S141)+SUMIFS('Q1 Data'!$O$4:$O$207,'Q1 Data'!$B$4:$B$207,$S141)+SUMIFS('Q1 Data'!$M$4:$M$207,'Q1 Data'!$B$4:$B$207,$S141))</f>
      </c>
      <c r="U141" s="7">
        <f>IF($C141="","",SUMIFS('Q2 Data'!$L$4:$L$207,'Q2 Data'!$B$4:$B$207,$S141)+SUMIFS('Q2 Data'!$O$4:$O$207,'Q2 Data'!$B$4:$B$207,$S141)+SUMIFS('Q2 Data'!$M$4:$M$207,'Q2 Data'!$B$4:$B$207,$S141))</f>
      </c>
      <c r="V141" s="7">
        <f>IF($C141="","",SUMIFS('Q3 Data'!$L$4:$L$207,'Q3 Data'!$B$4:$B$207,$S141)+SUMIFS('Q3 Data'!$O$4:$O$207,'Q3 Data'!$B$4:$B$207,$S141)+SUMIFS('Q3 Data'!$M$4:$M$207,'Q3 Data'!$B$4:$B$207,$S141))</f>
      </c>
      <c r="W141" s="7">
        <f>IF($C141="","",SUMIFS('Q4 Data'!$L$4:$L$207,'Q4 Data'!$B$4:$B$207,$S141)+SUMIFS('Q4 Data'!$O$4:$O$207,'Q4 Data'!$B$4:$B$207,$S141)+SUMIFS('Q4 Data'!$M$4:$M$207,'Q4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Data'!$L$4:$L$207,'Q1 Data'!$B$4:$B$207,$S142)+SUMIFS('Q1 Data'!$O$4:$O$207,'Q1 Data'!$B$4:$B$207,$S142)+SUMIFS('Q1 Data'!$M$4:$M$207,'Q1 Data'!$B$4:$B$207,$S142))</f>
      </c>
      <c r="U142" s="7">
        <f>IF($C142="","",SUMIFS('Q2 Data'!$L$4:$L$207,'Q2 Data'!$B$4:$B$207,$S142)+SUMIFS('Q2 Data'!$O$4:$O$207,'Q2 Data'!$B$4:$B$207,$S142)+SUMIFS('Q2 Data'!$M$4:$M$207,'Q2 Data'!$B$4:$B$207,$S142))</f>
      </c>
      <c r="V142" s="7">
        <f>IF($C142="","",SUMIFS('Q3 Data'!$L$4:$L$207,'Q3 Data'!$B$4:$B$207,$S142)+SUMIFS('Q3 Data'!$O$4:$O$207,'Q3 Data'!$B$4:$B$207,$S142)+SUMIFS('Q3 Data'!$M$4:$M$207,'Q3 Data'!$B$4:$B$207,$S142))</f>
      </c>
      <c r="W142" s="7">
        <f>IF($C142="","",SUMIFS('Q4 Data'!$L$4:$L$207,'Q4 Data'!$B$4:$B$207,$S142)+SUMIFS('Q4 Data'!$O$4:$O$207,'Q4 Data'!$B$4:$B$207,$S142)+SUMIFS('Q4 Data'!$M$4:$M$207,'Q4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Data'!$L$4:$L$207,'Q1 Data'!$B$4:$B$207,$S143)+SUMIFS('Q1 Data'!$O$4:$O$207,'Q1 Data'!$B$4:$B$207,$S143)+SUMIFS('Q1 Data'!$M$4:$M$207,'Q1 Data'!$B$4:$B$207,$S143))</f>
      </c>
      <c r="U143" s="7">
        <f>IF($C143="","",SUMIFS('Q2 Data'!$L$4:$L$207,'Q2 Data'!$B$4:$B$207,$S143)+SUMIFS('Q2 Data'!$O$4:$O$207,'Q2 Data'!$B$4:$B$207,$S143)+SUMIFS('Q2 Data'!$M$4:$M$207,'Q2 Data'!$B$4:$B$207,$S143))</f>
      </c>
      <c r="V143" s="7">
        <f>IF($C143="","",SUMIFS('Q3 Data'!$L$4:$L$207,'Q3 Data'!$B$4:$B$207,$S143)+SUMIFS('Q3 Data'!$O$4:$O$207,'Q3 Data'!$B$4:$B$207,$S143)+SUMIFS('Q3 Data'!$M$4:$M$207,'Q3 Data'!$B$4:$B$207,$S143))</f>
      </c>
      <c r="W143" s="7">
        <f>IF($C143="","",SUMIFS('Q4 Data'!$L$4:$L$207,'Q4 Data'!$B$4:$B$207,$S143)+SUMIFS('Q4 Data'!$O$4:$O$207,'Q4 Data'!$B$4:$B$207,$S143)+SUMIFS('Q4 Data'!$M$4:$M$207,'Q4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Data'!$L$4:$L$207,'Q1 Data'!$B$4:$B$207,$S144)+SUMIFS('Q1 Data'!$O$4:$O$207,'Q1 Data'!$B$4:$B$207,$S144)+SUMIFS('Q1 Data'!$M$4:$M$207,'Q1 Data'!$B$4:$B$207,$S144))</f>
      </c>
      <c r="U144" s="7">
        <f>IF($C144="","",SUMIFS('Q2 Data'!$L$4:$L$207,'Q2 Data'!$B$4:$B$207,$S144)+SUMIFS('Q2 Data'!$O$4:$O$207,'Q2 Data'!$B$4:$B$207,$S144)+SUMIFS('Q2 Data'!$M$4:$M$207,'Q2 Data'!$B$4:$B$207,$S144))</f>
      </c>
      <c r="V144" s="7">
        <f>IF($C144="","",SUMIFS('Q3 Data'!$L$4:$L$207,'Q3 Data'!$B$4:$B$207,$S144)+SUMIFS('Q3 Data'!$O$4:$O$207,'Q3 Data'!$B$4:$B$207,$S144)+SUMIFS('Q3 Data'!$M$4:$M$207,'Q3 Data'!$B$4:$B$207,$S144))</f>
      </c>
      <c r="W144" s="7">
        <f>IF($C144="","",SUMIFS('Q4 Data'!$L$4:$L$207,'Q4 Data'!$B$4:$B$207,$S144)+SUMIFS('Q4 Data'!$O$4:$O$207,'Q4 Data'!$B$4:$B$207,$S144)+SUMIFS('Q4 Data'!$M$4:$M$207,'Q4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Data'!$L$4:$L$207,'Q1 Data'!$B$4:$B$207,$S145)+SUMIFS('Q1 Data'!$O$4:$O$207,'Q1 Data'!$B$4:$B$207,$S145)+SUMIFS('Q1 Data'!$M$4:$M$207,'Q1 Data'!$B$4:$B$207,$S145))</f>
      </c>
      <c r="U145" s="7">
        <f>IF($C145="","",SUMIFS('Q2 Data'!$L$4:$L$207,'Q2 Data'!$B$4:$B$207,$S145)+SUMIFS('Q2 Data'!$O$4:$O$207,'Q2 Data'!$B$4:$B$207,$S145)+SUMIFS('Q2 Data'!$M$4:$M$207,'Q2 Data'!$B$4:$B$207,$S145))</f>
      </c>
      <c r="V145" s="7">
        <f>IF($C145="","",SUMIFS('Q3 Data'!$L$4:$L$207,'Q3 Data'!$B$4:$B$207,$S145)+SUMIFS('Q3 Data'!$O$4:$O$207,'Q3 Data'!$B$4:$B$207,$S145)+SUMIFS('Q3 Data'!$M$4:$M$207,'Q3 Data'!$B$4:$B$207,$S145))</f>
      </c>
      <c r="W145" s="7">
        <f>IF($C145="","",SUMIFS('Q4 Data'!$L$4:$L$207,'Q4 Data'!$B$4:$B$207,$S145)+SUMIFS('Q4 Data'!$O$4:$O$207,'Q4 Data'!$B$4:$B$207,$S145)+SUMIFS('Q4 Data'!$M$4:$M$207,'Q4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Data'!$L$4:$L$207,'Q1 Data'!$B$4:$B$207,$S146)+SUMIFS('Q1 Data'!$O$4:$O$207,'Q1 Data'!$B$4:$B$207,$S146)+SUMIFS('Q1 Data'!$M$4:$M$207,'Q1 Data'!$B$4:$B$207,$S146))</f>
      </c>
      <c r="U146" s="7">
        <f>IF($C146="","",SUMIFS('Q2 Data'!$L$4:$L$207,'Q2 Data'!$B$4:$B$207,$S146)+SUMIFS('Q2 Data'!$O$4:$O$207,'Q2 Data'!$B$4:$B$207,$S146)+SUMIFS('Q2 Data'!$M$4:$M$207,'Q2 Data'!$B$4:$B$207,$S146))</f>
      </c>
      <c r="V146" s="7">
        <f>IF($C146="","",SUMIFS('Q3 Data'!$L$4:$L$207,'Q3 Data'!$B$4:$B$207,$S146)+SUMIFS('Q3 Data'!$O$4:$O$207,'Q3 Data'!$B$4:$B$207,$S146)+SUMIFS('Q3 Data'!$M$4:$M$207,'Q3 Data'!$B$4:$B$207,$S146))</f>
      </c>
      <c r="W146" s="7">
        <f>IF($C146="","",SUMIFS('Q4 Data'!$L$4:$L$207,'Q4 Data'!$B$4:$B$207,$S146)+SUMIFS('Q4 Data'!$O$4:$O$207,'Q4 Data'!$B$4:$B$207,$S146)+SUMIFS('Q4 Data'!$M$4:$M$207,'Q4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Data'!$L$4:$L$207,'Q1 Data'!$B$4:$B$207,$S147)+SUMIFS('Q1 Data'!$O$4:$O$207,'Q1 Data'!$B$4:$B$207,$S147)+SUMIFS('Q1 Data'!$M$4:$M$207,'Q1 Data'!$B$4:$B$207,$S147))</f>
      </c>
      <c r="U147" s="7">
        <f>IF($C147="","",SUMIFS('Q2 Data'!$L$4:$L$207,'Q2 Data'!$B$4:$B$207,$S147)+SUMIFS('Q2 Data'!$O$4:$O$207,'Q2 Data'!$B$4:$B$207,$S147)+SUMIFS('Q2 Data'!$M$4:$M$207,'Q2 Data'!$B$4:$B$207,$S147))</f>
      </c>
      <c r="V147" s="7">
        <f>IF($C147="","",SUMIFS('Q3 Data'!$L$4:$L$207,'Q3 Data'!$B$4:$B$207,$S147)+SUMIFS('Q3 Data'!$O$4:$O$207,'Q3 Data'!$B$4:$B$207,$S147)+SUMIFS('Q3 Data'!$M$4:$M$207,'Q3 Data'!$B$4:$B$207,$S147))</f>
      </c>
      <c r="W147" s="7">
        <f>IF($C147="","",SUMIFS('Q4 Data'!$L$4:$L$207,'Q4 Data'!$B$4:$B$207,$S147)+SUMIFS('Q4 Data'!$O$4:$O$207,'Q4 Data'!$B$4:$B$207,$S147)+SUMIFS('Q4 Data'!$M$4:$M$207,'Q4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Data'!$L$4:$L$207,'Q1 Data'!$B$4:$B$207,$S148)+SUMIFS('Q1 Data'!$O$4:$O$207,'Q1 Data'!$B$4:$B$207,$S148)+SUMIFS('Q1 Data'!$M$4:$M$207,'Q1 Data'!$B$4:$B$207,$S148))</f>
      </c>
      <c r="U148" s="7">
        <f>IF($C148="","",SUMIFS('Q2 Data'!$L$4:$L$207,'Q2 Data'!$B$4:$B$207,$S148)+SUMIFS('Q2 Data'!$O$4:$O$207,'Q2 Data'!$B$4:$B$207,$S148)+SUMIFS('Q2 Data'!$M$4:$M$207,'Q2 Data'!$B$4:$B$207,$S148))</f>
      </c>
      <c r="V148" s="7">
        <f>IF($C148="","",SUMIFS('Q3 Data'!$L$4:$L$207,'Q3 Data'!$B$4:$B$207,$S148)+SUMIFS('Q3 Data'!$O$4:$O$207,'Q3 Data'!$B$4:$B$207,$S148)+SUMIFS('Q3 Data'!$M$4:$M$207,'Q3 Data'!$B$4:$B$207,$S148))</f>
      </c>
      <c r="W148" s="7">
        <f>IF($C148="","",SUMIFS('Q4 Data'!$L$4:$L$207,'Q4 Data'!$B$4:$B$207,$S148)+SUMIFS('Q4 Data'!$O$4:$O$207,'Q4 Data'!$B$4:$B$207,$S148)+SUMIFS('Q4 Data'!$M$4:$M$207,'Q4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Data'!$L$4:$L$207,'Q1 Data'!$B$4:$B$207,$S149)+SUMIFS('Q1 Data'!$O$4:$O$207,'Q1 Data'!$B$4:$B$207,$S149)+SUMIFS('Q1 Data'!$M$4:$M$207,'Q1 Data'!$B$4:$B$207,$S149))</f>
      </c>
      <c r="U149" s="7">
        <f>IF($C149="","",SUMIFS('Q2 Data'!$L$4:$L$207,'Q2 Data'!$B$4:$B$207,$S149)+SUMIFS('Q2 Data'!$O$4:$O$207,'Q2 Data'!$B$4:$B$207,$S149)+SUMIFS('Q2 Data'!$M$4:$M$207,'Q2 Data'!$B$4:$B$207,$S149))</f>
      </c>
      <c r="V149" s="7">
        <f>IF($C149="","",SUMIFS('Q3 Data'!$L$4:$L$207,'Q3 Data'!$B$4:$B$207,$S149)+SUMIFS('Q3 Data'!$O$4:$O$207,'Q3 Data'!$B$4:$B$207,$S149)+SUMIFS('Q3 Data'!$M$4:$M$207,'Q3 Data'!$B$4:$B$207,$S149))</f>
      </c>
      <c r="W149" s="7">
        <f>IF($C149="","",SUMIFS('Q4 Data'!$L$4:$L$207,'Q4 Data'!$B$4:$B$207,$S149)+SUMIFS('Q4 Data'!$O$4:$O$207,'Q4 Data'!$B$4:$B$207,$S149)+SUMIFS('Q4 Data'!$M$4:$M$207,'Q4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Data'!$L$4:$L$207,'Q1 Data'!$B$4:$B$207,$S150)+SUMIFS('Q1 Data'!$O$4:$O$207,'Q1 Data'!$B$4:$B$207,$S150)+SUMIFS('Q1 Data'!$M$4:$M$207,'Q1 Data'!$B$4:$B$207,$S150))</f>
      </c>
      <c r="U150" s="7">
        <f>IF($C150="","",SUMIFS('Q2 Data'!$L$4:$L$207,'Q2 Data'!$B$4:$B$207,$S150)+SUMIFS('Q2 Data'!$O$4:$O$207,'Q2 Data'!$B$4:$B$207,$S150)+SUMIFS('Q2 Data'!$M$4:$M$207,'Q2 Data'!$B$4:$B$207,$S150))</f>
      </c>
      <c r="V150" s="7">
        <f>IF($C150="","",SUMIFS('Q3 Data'!$L$4:$L$207,'Q3 Data'!$B$4:$B$207,$S150)+SUMIFS('Q3 Data'!$O$4:$O$207,'Q3 Data'!$B$4:$B$207,$S150)+SUMIFS('Q3 Data'!$M$4:$M$207,'Q3 Data'!$B$4:$B$207,$S150))</f>
      </c>
      <c r="W150" s="7">
        <f>IF($C150="","",SUMIFS('Q4 Data'!$L$4:$L$207,'Q4 Data'!$B$4:$B$207,$S150)+SUMIFS('Q4 Data'!$O$4:$O$207,'Q4 Data'!$B$4:$B$207,$S150)+SUMIFS('Q4 Data'!$M$4:$M$207,'Q4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Data'!$L$4:$L$207,'Q1 Data'!$B$4:$B$207,$S151)+SUMIFS('Q1 Data'!$O$4:$O$207,'Q1 Data'!$B$4:$B$207,$S151)+SUMIFS('Q1 Data'!$M$4:$M$207,'Q1 Data'!$B$4:$B$207,$S151))</f>
      </c>
      <c r="U151" s="7">
        <f>IF($C151="","",SUMIFS('Q2 Data'!$L$4:$L$207,'Q2 Data'!$B$4:$B$207,$S151)+SUMIFS('Q2 Data'!$O$4:$O$207,'Q2 Data'!$B$4:$B$207,$S151)+SUMIFS('Q2 Data'!$M$4:$M$207,'Q2 Data'!$B$4:$B$207,$S151))</f>
      </c>
      <c r="V151" s="7">
        <f>IF($C151="","",SUMIFS('Q3 Data'!$L$4:$L$207,'Q3 Data'!$B$4:$B$207,$S151)+SUMIFS('Q3 Data'!$O$4:$O$207,'Q3 Data'!$B$4:$B$207,$S151)+SUMIFS('Q3 Data'!$M$4:$M$207,'Q3 Data'!$B$4:$B$207,$S151))</f>
      </c>
      <c r="W151" s="7">
        <f>IF($C151="","",SUMIFS('Q4 Data'!$L$4:$L$207,'Q4 Data'!$B$4:$B$207,$S151)+SUMIFS('Q4 Data'!$O$4:$O$207,'Q4 Data'!$B$4:$B$207,$S151)+SUMIFS('Q4 Data'!$M$4:$M$207,'Q4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Data'!$L$4:$L$207,'Q1 Data'!$B$4:$B$207,$S152)+SUMIFS('Q1 Data'!$O$4:$O$207,'Q1 Data'!$B$4:$B$207,$S152)+SUMIFS('Q1 Data'!$M$4:$M$207,'Q1 Data'!$B$4:$B$207,$S152))</f>
      </c>
      <c r="U152" s="7">
        <f>IF($C152="","",SUMIFS('Q2 Data'!$L$4:$L$207,'Q2 Data'!$B$4:$B$207,$S152)+SUMIFS('Q2 Data'!$O$4:$O$207,'Q2 Data'!$B$4:$B$207,$S152)+SUMIFS('Q2 Data'!$M$4:$M$207,'Q2 Data'!$B$4:$B$207,$S152))</f>
      </c>
      <c r="V152" s="7">
        <f>IF($C152="","",SUMIFS('Q3 Data'!$L$4:$L$207,'Q3 Data'!$B$4:$B$207,$S152)+SUMIFS('Q3 Data'!$O$4:$O$207,'Q3 Data'!$B$4:$B$207,$S152)+SUMIFS('Q3 Data'!$M$4:$M$207,'Q3 Data'!$B$4:$B$207,$S152))</f>
      </c>
      <c r="W152" s="7">
        <f>IF($C152="","",SUMIFS('Q4 Data'!$L$4:$L$207,'Q4 Data'!$B$4:$B$207,$S152)+SUMIFS('Q4 Data'!$O$4:$O$207,'Q4 Data'!$B$4:$B$207,$S152)+SUMIFS('Q4 Data'!$M$4:$M$207,'Q4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Data'!$L$4:$L$207,'Q1 Data'!$B$4:$B$207,$S153)+SUMIFS('Q1 Data'!$O$4:$O$207,'Q1 Data'!$B$4:$B$207,$S153)+SUMIFS('Q1 Data'!$M$4:$M$207,'Q1 Data'!$B$4:$B$207,$S153))</f>
      </c>
      <c r="U153" s="7">
        <f>IF($C153="","",SUMIFS('Q2 Data'!$L$4:$L$207,'Q2 Data'!$B$4:$B$207,$S153)+SUMIFS('Q2 Data'!$O$4:$O$207,'Q2 Data'!$B$4:$B$207,$S153)+SUMIFS('Q2 Data'!$M$4:$M$207,'Q2 Data'!$B$4:$B$207,$S153))</f>
      </c>
      <c r="V153" s="7">
        <f>IF($C153="","",SUMIFS('Q3 Data'!$L$4:$L$207,'Q3 Data'!$B$4:$B$207,$S153)+SUMIFS('Q3 Data'!$O$4:$O$207,'Q3 Data'!$B$4:$B$207,$S153)+SUMIFS('Q3 Data'!$M$4:$M$207,'Q3 Data'!$B$4:$B$207,$S153))</f>
      </c>
      <c r="W153" s="7">
        <f>IF($C153="","",SUMIFS('Q4 Data'!$L$4:$L$207,'Q4 Data'!$B$4:$B$207,$S153)+SUMIFS('Q4 Data'!$O$4:$O$207,'Q4 Data'!$B$4:$B$207,$S153)+SUMIFS('Q4 Data'!$M$4:$M$207,'Q4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Data'!$L$4:$L$207,'Q1 Data'!$B$4:$B$207,$S154)+SUMIFS('Q1 Data'!$O$4:$O$207,'Q1 Data'!$B$4:$B$207,$S154)+SUMIFS('Q1 Data'!$M$4:$M$207,'Q1 Data'!$B$4:$B$207,$S154))</f>
      </c>
      <c r="U154" s="7">
        <f>IF($C154="","",SUMIFS('Q2 Data'!$L$4:$L$207,'Q2 Data'!$B$4:$B$207,$S154)+SUMIFS('Q2 Data'!$O$4:$O$207,'Q2 Data'!$B$4:$B$207,$S154)+SUMIFS('Q2 Data'!$M$4:$M$207,'Q2 Data'!$B$4:$B$207,$S154))</f>
      </c>
      <c r="V154" s="7">
        <f>IF($C154="","",SUMIFS('Q3 Data'!$L$4:$L$207,'Q3 Data'!$B$4:$B$207,$S154)+SUMIFS('Q3 Data'!$O$4:$O$207,'Q3 Data'!$B$4:$B$207,$S154)+SUMIFS('Q3 Data'!$M$4:$M$207,'Q3 Data'!$B$4:$B$207,$S154))</f>
      </c>
      <c r="W154" s="7">
        <f>IF($C154="","",SUMIFS('Q4 Data'!$L$4:$L$207,'Q4 Data'!$B$4:$B$207,$S154)+SUMIFS('Q4 Data'!$O$4:$O$207,'Q4 Data'!$B$4:$B$207,$S154)+SUMIFS('Q4 Data'!$M$4:$M$207,'Q4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Data'!$L$4:$L$207,'Q1 Data'!$B$4:$B$207,$S155)+SUMIFS('Q1 Data'!$O$4:$O$207,'Q1 Data'!$B$4:$B$207,$S155)+SUMIFS('Q1 Data'!$M$4:$M$207,'Q1 Data'!$B$4:$B$207,$S155))</f>
      </c>
      <c r="U155" s="7">
        <f>IF($C155="","",SUMIFS('Q2 Data'!$L$4:$L$207,'Q2 Data'!$B$4:$B$207,$S155)+SUMIFS('Q2 Data'!$O$4:$O$207,'Q2 Data'!$B$4:$B$207,$S155)+SUMIFS('Q2 Data'!$M$4:$M$207,'Q2 Data'!$B$4:$B$207,$S155))</f>
      </c>
      <c r="V155" s="7">
        <f>IF($C155="","",SUMIFS('Q3 Data'!$L$4:$L$207,'Q3 Data'!$B$4:$B$207,$S155)+SUMIFS('Q3 Data'!$O$4:$O$207,'Q3 Data'!$B$4:$B$207,$S155)+SUMIFS('Q3 Data'!$M$4:$M$207,'Q3 Data'!$B$4:$B$207,$S155))</f>
      </c>
      <c r="W155" s="7">
        <f>IF($C155="","",SUMIFS('Q4 Data'!$L$4:$L$207,'Q4 Data'!$B$4:$B$207,$S155)+SUMIFS('Q4 Data'!$O$4:$O$207,'Q4 Data'!$B$4:$B$207,$S155)+SUMIFS('Q4 Data'!$M$4:$M$207,'Q4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Data'!$L$4:$L$207,'Q1 Data'!$B$4:$B$207,$S156)+SUMIFS('Q1 Data'!$O$4:$O$207,'Q1 Data'!$B$4:$B$207,$S156)+SUMIFS('Q1 Data'!$M$4:$M$207,'Q1 Data'!$B$4:$B$207,$S156))</f>
      </c>
      <c r="U156" s="7">
        <f>IF($C156="","",SUMIFS('Q2 Data'!$L$4:$L$207,'Q2 Data'!$B$4:$B$207,$S156)+SUMIFS('Q2 Data'!$O$4:$O$207,'Q2 Data'!$B$4:$B$207,$S156)+SUMIFS('Q2 Data'!$M$4:$M$207,'Q2 Data'!$B$4:$B$207,$S156))</f>
      </c>
      <c r="V156" s="7">
        <f>IF($C156="","",SUMIFS('Q3 Data'!$L$4:$L$207,'Q3 Data'!$B$4:$B$207,$S156)+SUMIFS('Q3 Data'!$O$4:$O$207,'Q3 Data'!$B$4:$B$207,$S156)+SUMIFS('Q3 Data'!$M$4:$M$207,'Q3 Data'!$B$4:$B$207,$S156))</f>
      </c>
      <c r="W156" s="7">
        <f>IF($C156="","",SUMIFS('Q4 Data'!$L$4:$L$207,'Q4 Data'!$B$4:$B$207,$S156)+SUMIFS('Q4 Data'!$O$4:$O$207,'Q4 Data'!$B$4:$B$207,$S156)+SUMIFS('Q4 Data'!$M$4:$M$207,'Q4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Data'!$L$4:$L$207,'Q1 Data'!$B$4:$B$207,$S157)+SUMIFS('Q1 Data'!$O$4:$O$207,'Q1 Data'!$B$4:$B$207,$S157)+SUMIFS('Q1 Data'!$M$4:$M$207,'Q1 Data'!$B$4:$B$207,$S157))</f>
      </c>
      <c r="U157" s="7">
        <f>IF($C157="","",SUMIFS('Q2 Data'!$L$4:$L$207,'Q2 Data'!$B$4:$B$207,$S157)+SUMIFS('Q2 Data'!$O$4:$O$207,'Q2 Data'!$B$4:$B$207,$S157)+SUMIFS('Q2 Data'!$M$4:$M$207,'Q2 Data'!$B$4:$B$207,$S157))</f>
      </c>
      <c r="V157" s="7">
        <f>IF($C157="","",SUMIFS('Q3 Data'!$L$4:$L$207,'Q3 Data'!$B$4:$B$207,$S157)+SUMIFS('Q3 Data'!$O$4:$O$207,'Q3 Data'!$B$4:$B$207,$S157)+SUMIFS('Q3 Data'!$M$4:$M$207,'Q3 Data'!$B$4:$B$207,$S157))</f>
      </c>
      <c r="W157" s="7">
        <f>IF($C157="","",SUMIFS('Q4 Data'!$L$4:$L$207,'Q4 Data'!$B$4:$B$207,$S157)+SUMIFS('Q4 Data'!$O$4:$O$207,'Q4 Data'!$B$4:$B$207,$S157)+SUMIFS('Q4 Data'!$M$4:$M$207,'Q4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Data'!$L$4:$L$207,'Q1 Data'!$B$4:$B$207,$S158)+SUMIFS('Q1 Data'!$O$4:$O$207,'Q1 Data'!$B$4:$B$207,$S158)+SUMIFS('Q1 Data'!$M$4:$M$207,'Q1 Data'!$B$4:$B$207,$S158))</f>
      </c>
      <c r="U158" s="7">
        <f>IF($C158="","",SUMIFS('Q2 Data'!$L$4:$L$207,'Q2 Data'!$B$4:$B$207,$S158)+SUMIFS('Q2 Data'!$O$4:$O$207,'Q2 Data'!$B$4:$B$207,$S158)+SUMIFS('Q2 Data'!$M$4:$M$207,'Q2 Data'!$B$4:$B$207,$S158))</f>
      </c>
      <c r="V158" s="7">
        <f>IF($C158="","",SUMIFS('Q3 Data'!$L$4:$L$207,'Q3 Data'!$B$4:$B$207,$S158)+SUMIFS('Q3 Data'!$O$4:$O$207,'Q3 Data'!$B$4:$B$207,$S158)+SUMIFS('Q3 Data'!$M$4:$M$207,'Q3 Data'!$B$4:$B$207,$S158))</f>
      </c>
      <c r="W158" s="7">
        <f>IF($C158="","",SUMIFS('Q4 Data'!$L$4:$L$207,'Q4 Data'!$B$4:$B$207,$S158)+SUMIFS('Q4 Data'!$O$4:$O$207,'Q4 Data'!$B$4:$B$207,$S158)+SUMIFS('Q4 Data'!$M$4:$M$207,'Q4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Data'!$L$4:$L$207,'Q1 Data'!$B$4:$B$207,$S159)+SUMIFS('Q1 Data'!$O$4:$O$207,'Q1 Data'!$B$4:$B$207,$S159)+SUMIFS('Q1 Data'!$M$4:$M$207,'Q1 Data'!$B$4:$B$207,$S159))</f>
      </c>
      <c r="U159" s="7">
        <f>IF($C159="","",SUMIFS('Q2 Data'!$L$4:$L$207,'Q2 Data'!$B$4:$B$207,$S159)+SUMIFS('Q2 Data'!$O$4:$O$207,'Q2 Data'!$B$4:$B$207,$S159)+SUMIFS('Q2 Data'!$M$4:$M$207,'Q2 Data'!$B$4:$B$207,$S159))</f>
      </c>
      <c r="V159" s="7">
        <f>IF($C159="","",SUMIFS('Q3 Data'!$L$4:$L$207,'Q3 Data'!$B$4:$B$207,$S159)+SUMIFS('Q3 Data'!$O$4:$O$207,'Q3 Data'!$B$4:$B$207,$S159)+SUMIFS('Q3 Data'!$M$4:$M$207,'Q3 Data'!$B$4:$B$207,$S159))</f>
      </c>
      <c r="W159" s="7">
        <f>IF($C159="","",SUMIFS('Q4 Data'!$L$4:$L$207,'Q4 Data'!$B$4:$B$207,$S159)+SUMIFS('Q4 Data'!$O$4:$O$207,'Q4 Data'!$B$4:$B$207,$S159)+SUMIFS('Q4 Data'!$M$4:$M$207,'Q4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Data'!$L$4:$L$207,'Q1 Data'!$B$4:$B$207,$S160)+SUMIFS('Q1 Data'!$O$4:$O$207,'Q1 Data'!$B$4:$B$207,$S160)+SUMIFS('Q1 Data'!$M$4:$M$207,'Q1 Data'!$B$4:$B$207,$S160))</f>
      </c>
      <c r="U160" s="7">
        <f>IF($C160="","",SUMIFS('Q2 Data'!$L$4:$L$207,'Q2 Data'!$B$4:$B$207,$S160)+SUMIFS('Q2 Data'!$O$4:$O$207,'Q2 Data'!$B$4:$B$207,$S160)+SUMIFS('Q2 Data'!$M$4:$M$207,'Q2 Data'!$B$4:$B$207,$S160))</f>
      </c>
      <c r="V160" s="7">
        <f>IF($C160="","",SUMIFS('Q3 Data'!$L$4:$L$207,'Q3 Data'!$B$4:$B$207,$S160)+SUMIFS('Q3 Data'!$O$4:$O$207,'Q3 Data'!$B$4:$B$207,$S160)+SUMIFS('Q3 Data'!$M$4:$M$207,'Q3 Data'!$B$4:$B$207,$S160))</f>
      </c>
      <c r="W160" s="7">
        <f>IF($C160="","",SUMIFS('Q4 Data'!$L$4:$L$207,'Q4 Data'!$B$4:$B$207,$S160)+SUMIFS('Q4 Data'!$O$4:$O$207,'Q4 Data'!$B$4:$B$207,$S160)+SUMIFS('Q4 Data'!$M$4:$M$207,'Q4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Data'!$L$4:$L$207,'Q1 Data'!$B$4:$B$207,$S161)+SUMIFS('Q1 Data'!$O$4:$O$207,'Q1 Data'!$B$4:$B$207,$S161)+SUMIFS('Q1 Data'!$M$4:$M$207,'Q1 Data'!$B$4:$B$207,$S161))</f>
      </c>
      <c r="U161" s="7">
        <f>IF($C161="","",SUMIFS('Q2 Data'!$L$4:$L$207,'Q2 Data'!$B$4:$B$207,$S161)+SUMIFS('Q2 Data'!$O$4:$O$207,'Q2 Data'!$B$4:$B$207,$S161)+SUMIFS('Q2 Data'!$M$4:$M$207,'Q2 Data'!$B$4:$B$207,$S161))</f>
      </c>
      <c r="V161" s="7">
        <f>IF($C161="","",SUMIFS('Q3 Data'!$L$4:$L$207,'Q3 Data'!$B$4:$B$207,$S161)+SUMIFS('Q3 Data'!$O$4:$O$207,'Q3 Data'!$B$4:$B$207,$S161)+SUMIFS('Q3 Data'!$M$4:$M$207,'Q3 Data'!$B$4:$B$207,$S161))</f>
      </c>
      <c r="W161" s="7">
        <f>IF($C161="","",SUMIFS('Q4 Data'!$L$4:$L$207,'Q4 Data'!$B$4:$B$207,$S161)+SUMIFS('Q4 Data'!$O$4:$O$207,'Q4 Data'!$B$4:$B$207,$S161)+SUMIFS('Q4 Data'!$M$4:$M$207,'Q4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Data'!$L$4:$L$207,'Q1 Data'!$B$4:$B$207,$S162)+SUMIFS('Q1 Data'!$O$4:$O$207,'Q1 Data'!$B$4:$B$207,$S162)+SUMIFS('Q1 Data'!$M$4:$M$207,'Q1 Data'!$B$4:$B$207,$S162))</f>
      </c>
      <c r="U162" s="7">
        <f>IF($C162="","",SUMIFS('Q2 Data'!$L$4:$L$207,'Q2 Data'!$B$4:$B$207,$S162)+SUMIFS('Q2 Data'!$O$4:$O$207,'Q2 Data'!$B$4:$B$207,$S162)+SUMIFS('Q2 Data'!$M$4:$M$207,'Q2 Data'!$B$4:$B$207,$S162))</f>
      </c>
      <c r="V162" s="7">
        <f>IF($C162="","",SUMIFS('Q3 Data'!$L$4:$L$207,'Q3 Data'!$B$4:$B$207,$S162)+SUMIFS('Q3 Data'!$O$4:$O$207,'Q3 Data'!$B$4:$B$207,$S162)+SUMIFS('Q3 Data'!$M$4:$M$207,'Q3 Data'!$B$4:$B$207,$S162))</f>
      </c>
      <c r="W162" s="7">
        <f>IF($C162="","",SUMIFS('Q4 Data'!$L$4:$L$207,'Q4 Data'!$B$4:$B$207,$S162)+SUMIFS('Q4 Data'!$O$4:$O$207,'Q4 Data'!$B$4:$B$207,$S162)+SUMIFS('Q4 Data'!$M$4:$M$207,'Q4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Data'!$L$4:$L$207,'Q1 Data'!$B$4:$B$207,$S163)+SUMIFS('Q1 Data'!$O$4:$O$207,'Q1 Data'!$B$4:$B$207,$S163)+SUMIFS('Q1 Data'!$M$4:$M$207,'Q1 Data'!$B$4:$B$207,$S163))</f>
      </c>
      <c r="U163" s="7">
        <f>IF($C163="","",SUMIFS('Q2 Data'!$L$4:$L$207,'Q2 Data'!$B$4:$B$207,$S163)+SUMIFS('Q2 Data'!$O$4:$O$207,'Q2 Data'!$B$4:$B$207,$S163)+SUMIFS('Q2 Data'!$M$4:$M$207,'Q2 Data'!$B$4:$B$207,$S163))</f>
      </c>
      <c r="V163" s="7">
        <f>IF($C163="","",SUMIFS('Q3 Data'!$L$4:$L$207,'Q3 Data'!$B$4:$B$207,$S163)+SUMIFS('Q3 Data'!$O$4:$O$207,'Q3 Data'!$B$4:$B$207,$S163)+SUMIFS('Q3 Data'!$M$4:$M$207,'Q3 Data'!$B$4:$B$207,$S163))</f>
      </c>
      <c r="W163" s="7">
        <f>IF($C163="","",SUMIFS('Q4 Data'!$L$4:$L$207,'Q4 Data'!$B$4:$B$207,$S163)+SUMIFS('Q4 Data'!$O$4:$O$207,'Q4 Data'!$B$4:$B$207,$S163)+SUMIFS('Q4 Data'!$M$4:$M$207,'Q4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Data'!$L$4:$L$207,'Q1 Data'!$B$4:$B$207,$S164)+SUMIFS('Q1 Data'!$O$4:$O$207,'Q1 Data'!$B$4:$B$207,$S164)+SUMIFS('Q1 Data'!$M$4:$M$207,'Q1 Data'!$B$4:$B$207,$S164))</f>
      </c>
      <c r="U164" s="7">
        <f>IF($C164="","",SUMIFS('Q2 Data'!$L$4:$L$207,'Q2 Data'!$B$4:$B$207,$S164)+SUMIFS('Q2 Data'!$O$4:$O$207,'Q2 Data'!$B$4:$B$207,$S164)+SUMIFS('Q2 Data'!$M$4:$M$207,'Q2 Data'!$B$4:$B$207,$S164))</f>
      </c>
      <c r="V164" s="7">
        <f>IF($C164="","",SUMIFS('Q3 Data'!$L$4:$L$207,'Q3 Data'!$B$4:$B$207,$S164)+SUMIFS('Q3 Data'!$O$4:$O$207,'Q3 Data'!$B$4:$B$207,$S164)+SUMIFS('Q3 Data'!$M$4:$M$207,'Q3 Data'!$B$4:$B$207,$S164))</f>
      </c>
      <c r="W164" s="7">
        <f>IF($C164="","",SUMIFS('Q4 Data'!$L$4:$L$207,'Q4 Data'!$B$4:$B$207,$S164)+SUMIFS('Q4 Data'!$O$4:$O$207,'Q4 Data'!$B$4:$B$207,$S164)+SUMIFS('Q4 Data'!$M$4:$M$207,'Q4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Data'!$L$4:$L$207,'Q1 Data'!$B$4:$B$207,$S165)+SUMIFS('Q1 Data'!$O$4:$O$207,'Q1 Data'!$B$4:$B$207,$S165)+SUMIFS('Q1 Data'!$M$4:$M$207,'Q1 Data'!$B$4:$B$207,$S165))</f>
      </c>
      <c r="U165" s="7">
        <f>IF($C165="","",SUMIFS('Q2 Data'!$L$4:$L$207,'Q2 Data'!$B$4:$B$207,$S165)+SUMIFS('Q2 Data'!$O$4:$O$207,'Q2 Data'!$B$4:$B$207,$S165)+SUMIFS('Q2 Data'!$M$4:$M$207,'Q2 Data'!$B$4:$B$207,$S165))</f>
      </c>
      <c r="V165" s="7">
        <f>IF($C165="","",SUMIFS('Q3 Data'!$L$4:$L$207,'Q3 Data'!$B$4:$B$207,$S165)+SUMIFS('Q3 Data'!$O$4:$O$207,'Q3 Data'!$B$4:$B$207,$S165)+SUMIFS('Q3 Data'!$M$4:$M$207,'Q3 Data'!$B$4:$B$207,$S165))</f>
      </c>
      <c r="W165" s="7">
        <f>IF($C165="","",SUMIFS('Q4 Data'!$L$4:$L$207,'Q4 Data'!$B$4:$B$207,$S165)+SUMIFS('Q4 Data'!$O$4:$O$207,'Q4 Data'!$B$4:$B$207,$S165)+SUMIFS('Q4 Data'!$M$4:$M$207,'Q4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Data'!$L$4:$L$207,'Q1 Data'!$B$4:$B$207,$S166)+SUMIFS('Q1 Data'!$O$4:$O$207,'Q1 Data'!$B$4:$B$207,$S166)+SUMIFS('Q1 Data'!$M$4:$M$207,'Q1 Data'!$B$4:$B$207,$S166))</f>
      </c>
      <c r="U166" s="7">
        <f>IF($C166="","",SUMIFS('Q2 Data'!$L$4:$L$207,'Q2 Data'!$B$4:$B$207,$S166)+SUMIFS('Q2 Data'!$O$4:$O$207,'Q2 Data'!$B$4:$B$207,$S166)+SUMIFS('Q2 Data'!$M$4:$M$207,'Q2 Data'!$B$4:$B$207,$S166))</f>
      </c>
      <c r="V166" s="7">
        <f>IF($C166="","",SUMIFS('Q3 Data'!$L$4:$L$207,'Q3 Data'!$B$4:$B$207,$S166)+SUMIFS('Q3 Data'!$O$4:$O$207,'Q3 Data'!$B$4:$B$207,$S166)+SUMIFS('Q3 Data'!$M$4:$M$207,'Q3 Data'!$B$4:$B$207,$S166))</f>
      </c>
      <c r="W166" s="7">
        <f>IF($C166="","",SUMIFS('Q4 Data'!$L$4:$L$207,'Q4 Data'!$B$4:$B$207,$S166)+SUMIFS('Q4 Data'!$O$4:$O$207,'Q4 Data'!$B$4:$B$207,$S166)+SUMIFS('Q4 Data'!$M$4:$M$207,'Q4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Data'!$L$4:$L$207,'Q1 Data'!$B$4:$B$207,$S167)+SUMIFS('Q1 Data'!$O$4:$O$207,'Q1 Data'!$B$4:$B$207,$S167)+SUMIFS('Q1 Data'!$M$4:$M$207,'Q1 Data'!$B$4:$B$207,$S167))</f>
      </c>
      <c r="U167" s="7">
        <f>IF($C167="","",SUMIFS('Q2 Data'!$L$4:$L$207,'Q2 Data'!$B$4:$B$207,$S167)+SUMIFS('Q2 Data'!$O$4:$O$207,'Q2 Data'!$B$4:$B$207,$S167)+SUMIFS('Q2 Data'!$M$4:$M$207,'Q2 Data'!$B$4:$B$207,$S167))</f>
      </c>
      <c r="V167" s="7">
        <f>IF($C167="","",SUMIFS('Q3 Data'!$L$4:$L$207,'Q3 Data'!$B$4:$B$207,$S167)+SUMIFS('Q3 Data'!$O$4:$O$207,'Q3 Data'!$B$4:$B$207,$S167)+SUMIFS('Q3 Data'!$M$4:$M$207,'Q3 Data'!$B$4:$B$207,$S167))</f>
      </c>
      <c r="W167" s="7">
        <f>IF($C167="","",SUMIFS('Q4 Data'!$L$4:$L$207,'Q4 Data'!$B$4:$B$207,$S167)+SUMIFS('Q4 Data'!$O$4:$O$207,'Q4 Data'!$B$4:$B$207,$S167)+SUMIFS('Q4 Data'!$M$4:$M$207,'Q4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Data'!$L$4:$L$207,'Q1 Data'!$B$4:$B$207,$S168)+SUMIFS('Q1 Data'!$O$4:$O$207,'Q1 Data'!$B$4:$B$207,$S168)+SUMIFS('Q1 Data'!$M$4:$M$207,'Q1 Data'!$B$4:$B$207,$S168))</f>
      </c>
      <c r="U168" s="7">
        <f>IF($C168="","",SUMIFS('Q2 Data'!$L$4:$L$207,'Q2 Data'!$B$4:$B$207,$S168)+SUMIFS('Q2 Data'!$O$4:$O$207,'Q2 Data'!$B$4:$B$207,$S168)+SUMIFS('Q2 Data'!$M$4:$M$207,'Q2 Data'!$B$4:$B$207,$S168))</f>
      </c>
      <c r="V168" s="7">
        <f>IF($C168="","",SUMIFS('Q3 Data'!$L$4:$L$207,'Q3 Data'!$B$4:$B$207,$S168)+SUMIFS('Q3 Data'!$O$4:$O$207,'Q3 Data'!$B$4:$B$207,$S168)+SUMIFS('Q3 Data'!$M$4:$M$207,'Q3 Data'!$B$4:$B$207,$S168))</f>
      </c>
      <c r="W168" s="7">
        <f>IF($C168="","",SUMIFS('Q4 Data'!$L$4:$L$207,'Q4 Data'!$B$4:$B$207,$S168)+SUMIFS('Q4 Data'!$O$4:$O$207,'Q4 Data'!$B$4:$B$207,$S168)+SUMIFS('Q4 Data'!$M$4:$M$207,'Q4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Data'!$L$4:$L$207,'Q1 Data'!$B$4:$B$207,$S169)+SUMIFS('Q1 Data'!$O$4:$O$207,'Q1 Data'!$B$4:$B$207,$S169)+SUMIFS('Q1 Data'!$M$4:$M$207,'Q1 Data'!$B$4:$B$207,$S169))</f>
      </c>
      <c r="U169" s="7">
        <f>IF($C169="","",SUMIFS('Q2 Data'!$L$4:$L$207,'Q2 Data'!$B$4:$B$207,$S169)+SUMIFS('Q2 Data'!$O$4:$O$207,'Q2 Data'!$B$4:$B$207,$S169)+SUMIFS('Q2 Data'!$M$4:$M$207,'Q2 Data'!$B$4:$B$207,$S169))</f>
      </c>
      <c r="V169" s="7">
        <f>IF($C169="","",SUMIFS('Q3 Data'!$L$4:$L$207,'Q3 Data'!$B$4:$B$207,$S169)+SUMIFS('Q3 Data'!$O$4:$O$207,'Q3 Data'!$B$4:$B$207,$S169)+SUMIFS('Q3 Data'!$M$4:$M$207,'Q3 Data'!$B$4:$B$207,$S169))</f>
      </c>
      <c r="W169" s="7">
        <f>IF($C169="","",SUMIFS('Q4 Data'!$L$4:$L$207,'Q4 Data'!$B$4:$B$207,$S169)+SUMIFS('Q4 Data'!$O$4:$O$207,'Q4 Data'!$B$4:$B$207,$S169)+SUMIFS('Q4 Data'!$M$4:$M$207,'Q4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Data'!$L$4:$L$207,'Q1 Data'!$B$4:$B$207,$S170)+SUMIFS('Q1 Data'!$O$4:$O$207,'Q1 Data'!$B$4:$B$207,$S170)+SUMIFS('Q1 Data'!$M$4:$M$207,'Q1 Data'!$B$4:$B$207,$S170))</f>
      </c>
      <c r="U170" s="7">
        <f>IF($C170="","",SUMIFS('Q2 Data'!$L$4:$L$207,'Q2 Data'!$B$4:$B$207,$S170)+SUMIFS('Q2 Data'!$O$4:$O$207,'Q2 Data'!$B$4:$B$207,$S170)+SUMIFS('Q2 Data'!$M$4:$M$207,'Q2 Data'!$B$4:$B$207,$S170))</f>
      </c>
      <c r="V170" s="7">
        <f>IF($C170="","",SUMIFS('Q3 Data'!$L$4:$L$207,'Q3 Data'!$B$4:$B$207,$S170)+SUMIFS('Q3 Data'!$O$4:$O$207,'Q3 Data'!$B$4:$B$207,$S170)+SUMIFS('Q3 Data'!$M$4:$M$207,'Q3 Data'!$B$4:$B$207,$S170))</f>
      </c>
      <c r="W170" s="7">
        <f>IF($C170="","",SUMIFS('Q4 Data'!$L$4:$L$207,'Q4 Data'!$B$4:$B$207,$S170)+SUMIFS('Q4 Data'!$O$4:$O$207,'Q4 Data'!$B$4:$B$207,$S170)+SUMIFS('Q4 Data'!$M$4:$M$207,'Q4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Data'!$L$4:$L$207,'Q1 Data'!$B$4:$B$207,$S171)+SUMIFS('Q1 Data'!$O$4:$O$207,'Q1 Data'!$B$4:$B$207,$S171)+SUMIFS('Q1 Data'!$M$4:$M$207,'Q1 Data'!$B$4:$B$207,$S171))</f>
      </c>
      <c r="U171" s="7">
        <f>IF($C171="","",SUMIFS('Q2 Data'!$L$4:$L$207,'Q2 Data'!$B$4:$B$207,$S171)+SUMIFS('Q2 Data'!$O$4:$O$207,'Q2 Data'!$B$4:$B$207,$S171)+SUMIFS('Q2 Data'!$M$4:$M$207,'Q2 Data'!$B$4:$B$207,$S171))</f>
      </c>
      <c r="V171" s="7">
        <f>IF($C171="","",SUMIFS('Q3 Data'!$L$4:$L$207,'Q3 Data'!$B$4:$B$207,$S171)+SUMIFS('Q3 Data'!$O$4:$O$207,'Q3 Data'!$B$4:$B$207,$S171)+SUMIFS('Q3 Data'!$M$4:$M$207,'Q3 Data'!$B$4:$B$207,$S171))</f>
      </c>
      <c r="W171" s="7">
        <f>IF($C171="","",SUMIFS('Q4 Data'!$L$4:$L$207,'Q4 Data'!$B$4:$B$207,$S171)+SUMIFS('Q4 Data'!$O$4:$O$207,'Q4 Data'!$B$4:$B$207,$S171)+SUMIFS('Q4 Data'!$M$4:$M$207,'Q4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Data'!$L$4:$L$207,'Q1 Data'!$B$4:$B$207,$S172)+SUMIFS('Q1 Data'!$O$4:$O$207,'Q1 Data'!$B$4:$B$207,$S172)+SUMIFS('Q1 Data'!$M$4:$M$207,'Q1 Data'!$B$4:$B$207,$S172))</f>
      </c>
      <c r="U172" s="7">
        <f>IF($C172="","",SUMIFS('Q2 Data'!$L$4:$L$207,'Q2 Data'!$B$4:$B$207,$S172)+SUMIFS('Q2 Data'!$O$4:$O$207,'Q2 Data'!$B$4:$B$207,$S172)+SUMIFS('Q2 Data'!$M$4:$M$207,'Q2 Data'!$B$4:$B$207,$S172))</f>
      </c>
      <c r="V172" s="7">
        <f>IF($C172="","",SUMIFS('Q3 Data'!$L$4:$L$207,'Q3 Data'!$B$4:$B$207,$S172)+SUMIFS('Q3 Data'!$O$4:$O$207,'Q3 Data'!$B$4:$B$207,$S172)+SUMIFS('Q3 Data'!$M$4:$M$207,'Q3 Data'!$B$4:$B$207,$S172))</f>
      </c>
      <c r="W172" s="7">
        <f>IF($C172="","",SUMIFS('Q4 Data'!$L$4:$L$207,'Q4 Data'!$B$4:$B$207,$S172)+SUMIFS('Q4 Data'!$O$4:$O$207,'Q4 Data'!$B$4:$B$207,$S172)+SUMIFS('Q4 Data'!$M$4:$M$207,'Q4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Data'!$L$4:$L$207,'Q1 Data'!$B$4:$B$207,$S173)+SUMIFS('Q1 Data'!$O$4:$O$207,'Q1 Data'!$B$4:$B$207,$S173)+SUMIFS('Q1 Data'!$M$4:$M$207,'Q1 Data'!$B$4:$B$207,$S173))</f>
      </c>
      <c r="U173" s="7">
        <f>IF($C173="","",SUMIFS('Q2 Data'!$L$4:$L$207,'Q2 Data'!$B$4:$B$207,$S173)+SUMIFS('Q2 Data'!$O$4:$O$207,'Q2 Data'!$B$4:$B$207,$S173)+SUMIFS('Q2 Data'!$M$4:$M$207,'Q2 Data'!$B$4:$B$207,$S173))</f>
      </c>
      <c r="V173" s="7">
        <f>IF($C173="","",SUMIFS('Q3 Data'!$L$4:$L$207,'Q3 Data'!$B$4:$B$207,$S173)+SUMIFS('Q3 Data'!$O$4:$O$207,'Q3 Data'!$B$4:$B$207,$S173)+SUMIFS('Q3 Data'!$M$4:$M$207,'Q3 Data'!$B$4:$B$207,$S173))</f>
      </c>
      <c r="W173" s="7">
        <f>IF($C173="","",SUMIFS('Q4 Data'!$L$4:$L$207,'Q4 Data'!$B$4:$B$207,$S173)+SUMIFS('Q4 Data'!$O$4:$O$207,'Q4 Data'!$B$4:$B$207,$S173)+SUMIFS('Q4 Data'!$M$4:$M$207,'Q4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Data'!$L$4:$L$207,'Q1 Data'!$B$4:$B$207,$S174)+SUMIFS('Q1 Data'!$O$4:$O$207,'Q1 Data'!$B$4:$B$207,$S174)+SUMIFS('Q1 Data'!$M$4:$M$207,'Q1 Data'!$B$4:$B$207,$S174))</f>
      </c>
      <c r="U174" s="7">
        <f>IF($C174="","",SUMIFS('Q2 Data'!$L$4:$L$207,'Q2 Data'!$B$4:$B$207,$S174)+SUMIFS('Q2 Data'!$O$4:$O$207,'Q2 Data'!$B$4:$B$207,$S174)+SUMIFS('Q2 Data'!$M$4:$M$207,'Q2 Data'!$B$4:$B$207,$S174))</f>
      </c>
      <c r="V174" s="7">
        <f>IF($C174="","",SUMIFS('Q3 Data'!$L$4:$L$207,'Q3 Data'!$B$4:$B$207,$S174)+SUMIFS('Q3 Data'!$O$4:$O$207,'Q3 Data'!$B$4:$B$207,$S174)+SUMIFS('Q3 Data'!$M$4:$M$207,'Q3 Data'!$B$4:$B$207,$S174))</f>
      </c>
      <c r="W174" s="7">
        <f>IF($C174="","",SUMIFS('Q4 Data'!$L$4:$L$207,'Q4 Data'!$B$4:$B$207,$S174)+SUMIFS('Q4 Data'!$O$4:$O$207,'Q4 Data'!$B$4:$B$207,$S174)+SUMIFS('Q4 Data'!$M$4:$M$207,'Q4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Data'!$L$4:$L$207,'Q1 Data'!$B$4:$B$207,$S175)+SUMIFS('Q1 Data'!$O$4:$O$207,'Q1 Data'!$B$4:$B$207,$S175)+SUMIFS('Q1 Data'!$M$4:$M$207,'Q1 Data'!$B$4:$B$207,$S175))</f>
      </c>
      <c r="U175" s="7">
        <f>IF($C175="","",SUMIFS('Q2 Data'!$L$4:$L$207,'Q2 Data'!$B$4:$B$207,$S175)+SUMIFS('Q2 Data'!$O$4:$O$207,'Q2 Data'!$B$4:$B$207,$S175)+SUMIFS('Q2 Data'!$M$4:$M$207,'Q2 Data'!$B$4:$B$207,$S175))</f>
      </c>
      <c r="V175" s="7">
        <f>IF($C175="","",SUMIFS('Q3 Data'!$L$4:$L$207,'Q3 Data'!$B$4:$B$207,$S175)+SUMIFS('Q3 Data'!$O$4:$O$207,'Q3 Data'!$B$4:$B$207,$S175)+SUMIFS('Q3 Data'!$M$4:$M$207,'Q3 Data'!$B$4:$B$207,$S175))</f>
      </c>
      <c r="W175" s="7">
        <f>IF($C175="","",SUMIFS('Q4 Data'!$L$4:$L$207,'Q4 Data'!$B$4:$B$207,$S175)+SUMIFS('Q4 Data'!$O$4:$O$207,'Q4 Data'!$B$4:$B$207,$S175)+SUMIFS('Q4 Data'!$M$4:$M$207,'Q4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Data'!$L$4:$L$207,'Q1 Data'!$B$4:$B$207,$S176)+SUMIFS('Q1 Data'!$O$4:$O$207,'Q1 Data'!$B$4:$B$207,$S176)+SUMIFS('Q1 Data'!$M$4:$M$207,'Q1 Data'!$B$4:$B$207,$S176))</f>
      </c>
      <c r="U176" s="7">
        <f>IF($C176="","",SUMIFS('Q2 Data'!$L$4:$L$207,'Q2 Data'!$B$4:$B$207,$S176)+SUMIFS('Q2 Data'!$O$4:$O$207,'Q2 Data'!$B$4:$B$207,$S176)+SUMIFS('Q2 Data'!$M$4:$M$207,'Q2 Data'!$B$4:$B$207,$S176))</f>
      </c>
      <c r="V176" s="7">
        <f>IF($C176="","",SUMIFS('Q3 Data'!$L$4:$L$207,'Q3 Data'!$B$4:$B$207,$S176)+SUMIFS('Q3 Data'!$O$4:$O$207,'Q3 Data'!$B$4:$B$207,$S176)+SUMIFS('Q3 Data'!$M$4:$M$207,'Q3 Data'!$B$4:$B$207,$S176))</f>
      </c>
      <c r="W176" s="7">
        <f>IF($C176="","",SUMIFS('Q4 Data'!$L$4:$L$207,'Q4 Data'!$B$4:$B$207,$S176)+SUMIFS('Q4 Data'!$O$4:$O$207,'Q4 Data'!$B$4:$B$207,$S176)+SUMIFS('Q4 Data'!$M$4:$M$207,'Q4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Data'!$L$4:$L$207,'Q1 Data'!$B$4:$B$207,$S177)+SUMIFS('Q1 Data'!$O$4:$O$207,'Q1 Data'!$B$4:$B$207,$S177)+SUMIFS('Q1 Data'!$M$4:$M$207,'Q1 Data'!$B$4:$B$207,$S177))</f>
      </c>
      <c r="U177" s="7">
        <f>IF($C177="","",SUMIFS('Q2 Data'!$L$4:$L$207,'Q2 Data'!$B$4:$B$207,$S177)+SUMIFS('Q2 Data'!$O$4:$O$207,'Q2 Data'!$B$4:$B$207,$S177)+SUMIFS('Q2 Data'!$M$4:$M$207,'Q2 Data'!$B$4:$B$207,$S177))</f>
      </c>
      <c r="V177" s="7">
        <f>IF($C177="","",SUMIFS('Q3 Data'!$L$4:$L$207,'Q3 Data'!$B$4:$B$207,$S177)+SUMIFS('Q3 Data'!$O$4:$O$207,'Q3 Data'!$B$4:$B$207,$S177)+SUMIFS('Q3 Data'!$M$4:$M$207,'Q3 Data'!$B$4:$B$207,$S177))</f>
      </c>
      <c r="W177" s="7">
        <f>IF($C177="","",SUMIFS('Q4 Data'!$L$4:$L$207,'Q4 Data'!$B$4:$B$207,$S177)+SUMIFS('Q4 Data'!$O$4:$O$207,'Q4 Data'!$B$4:$B$207,$S177)+SUMIFS('Q4 Data'!$M$4:$M$207,'Q4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Data'!$L$4:$L$207,'Q1 Data'!$B$4:$B$207,$S178)+SUMIFS('Q1 Data'!$O$4:$O$207,'Q1 Data'!$B$4:$B$207,$S178)+SUMIFS('Q1 Data'!$M$4:$M$207,'Q1 Data'!$B$4:$B$207,$S178))</f>
      </c>
      <c r="U178" s="7">
        <f>IF($C178="","",SUMIFS('Q2 Data'!$L$4:$L$207,'Q2 Data'!$B$4:$B$207,$S178)+SUMIFS('Q2 Data'!$O$4:$O$207,'Q2 Data'!$B$4:$B$207,$S178)+SUMIFS('Q2 Data'!$M$4:$M$207,'Q2 Data'!$B$4:$B$207,$S178))</f>
      </c>
      <c r="V178" s="7">
        <f>IF($C178="","",SUMIFS('Q3 Data'!$L$4:$L$207,'Q3 Data'!$B$4:$B$207,$S178)+SUMIFS('Q3 Data'!$O$4:$O$207,'Q3 Data'!$B$4:$B$207,$S178)+SUMIFS('Q3 Data'!$M$4:$M$207,'Q3 Data'!$B$4:$B$207,$S178))</f>
      </c>
      <c r="W178" s="7">
        <f>IF($C178="","",SUMIFS('Q4 Data'!$L$4:$L$207,'Q4 Data'!$B$4:$B$207,$S178)+SUMIFS('Q4 Data'!$O$4:$O$207,'Q4 Data'!$B$4:$B$207,$S178)+SUMIFS('Q4 Data'!$M$4:$M$207,'Q4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Data'!$L$4:$L$207,'Q1 Data'!$B$4:$B$207,$S179)+SUMIFS('Q1 Data'!$O$4:$O$207,'Q1 Data'!$B$4:$B$207,$S179)+SUMIFS('Q1 Data'!$M$4:$M$207,'Q1 Data'!$B$4:$B$207,$S179))</f>
      </c>
      <c r="U179" s="7">
        <f>IF($C179="","",SUMIFS('Q2 Data'!$L$4:$L$207,'Q2 Data'!$B$4:$B$207,$S179)+SUMIFS('Q2 Data'!$O$4:$O$207,'Q2 Data'!$B$4:$B$207,$S179)+SUMIFS('Q2 Data'!$M$4:$M$207,'Q2 Data'!$B$4:$B$207,$S179))</f>
      </c>
      <c r="V179" s="7">
        <f>IF($C179="","",SUMIFS('Q3 Data'!$L$4:$L$207,'Q3 Data'!$B$4:$B$207,$S179)+SUMIFS('Q3 Data'!$O$4:$O$207,'Q3 Data'!$B$4:$B$207,$S179)+SUMIFS('Q3 Data'!$M$4:$M$207,'Q3 Data'!$B$4:$B$207,$S179))</f>
      </c>
      <c r="W179" s="7">
        <f>IF($C179="","",SUMIFS('Q4 Data'!$L$4:$L$207,'Q4 Data'!$B$4:$B$207,$S179)+SUMIFS('Q4 Data'!$O$4:$O$207,'Q4 Data'!$B$4:$B$207,$S179)+SUMIFS('Q4 Data'!$M$4:$M$207,'Q4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Data'!$L$4:$L$207,'Q1 Data'!$B$4:$B$207,$S180)+SUMIFS('Q1 Data'!$O$4:$O$207,'Q1 Data'!$B$4:$B$207,$S180)+SUMIFS('Q1 Data'!$M$4:$M$207,'Q1 Data'!$B$4:$B$207,$S180))</f>
      </c>
      <c r="U180" s="7">
        <f>IF($C180="","",SUMIFS('Q2 Data'!$L$4:$L$207,'Q2 Data'!$B$4:$B$207,$S180)+SUMIFS('Q2 Data'!$O$4:$O$207,'Q2 Data'!$B$4:$B$207,$S180)+SUMIFS('Q2 Data'!$M$4:$M$207,'Q2 Data'!$B$4:$B$207,$S180))</f>
      </c>
      <c r="V180" s="7">
        <f>IF($C180="","",SUMIFS('Q3 Data'!$L$4:$L$207,'Q3 Data'!$B$4:$B$207,$S180)+SUMIFS('Q3 Data'!$O$4:$O$207,'Q3 Data'!$B$4:$B$207,$S180)+SUMIFS('Q3 Data'!$M$4:$M$207,'Q3 Data'!$B$4:$B$207,$S180))</f>
      </c>
      <c r="W180" s="7">
        <f>IF($C180="","",SUMIFS('Q4 Data'!$L$4:$L$207,'Q4 Data'!$B$4:$B$207,$S180)+SUMIFS('Q4 Data'!$O$4:$O$207,'Q4 Data'!$B$4:$B$207,$S180)+SUMIFS('Q4 Data'!$M$4:$M$207,'Q4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Data'!$L$4:$L$207,'Q1 Data'!$B$4:$B$207,$S181)+SUMIFS('Q1 Data'!$O$4:$O$207,'Q1 Data'!$B$4:$B$207,$S181)+SUMIFS('Q1 Data'!$M$4:$M$207,'Q1 Data'!$B$4:$B$207,$S181))</f>
      </c>
      <c r="U181" s="7">
        <f>IF($C181="","",SUMIFS('Q2 Data'!$L$4:$L$207,'Q2 Data'!$B$4:$B$207,$S181)+SUMIFS('Q2 Data'!$O$4:$O$207,'Q2 Data'!$B$4:$B$207,$S181)+SUMIFS('Q2 Data'!$M$4:$M$207,'Q2 Data'!$B$4:$B$207,$S181))</f>
      </c>
      <c r="V181" s="7">
        <f>IF($C181="","",SUMIFS('Q3 Data'!$L$4:$L$207,'Q3 Data'!$B$4:$B$207,$S181)+SUMIFS('Q3 Data'!$O$4:$O$207,'Q3 Data'!$B$4:$B$207,$S181)+SUMIFS('Q3 Data'!$M$4:$M$207,'Q3 Data'!$B$4:$B$207,$S181))</f>
      </c>
      <c r="W181" s="7">
        <f>IF($C181="","",SUMIFS('Q4 Data'!$L$4:$L$207,'Q4 Data'!$B$4:$B$207,$S181)+SUMIFS('Q4 Data'!$O$4:$O$207,'Q4 Data'!$B$4:$B$207,$S181)+SUMIFS('Q4 Data'!$M$4:$M$207,'Q4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Data'!$L$4:$L$207,'Q1 Data'!$B$4:$B$207,$S182)+SUMIFS('Q1 Data'!$O$4:$O$207,'Q1 Data'!$B$4:$B$207,$S182)+SUMIFS('Q1 Data'!$M$4:$M$207,'Q1 Data'!$B$4:$B$207,$S182))</f>
      </c>
      <c r="U182" s="7">
        <f>IF($C182="","",SUMIFS('Q2 Data'!$L$4:$L$207,'Q2 Data'!$B$4:$B$207,$S182)+SUMIFS('Q2 Data'!$O$4:$O$207,'Q2 Data'!$B$4:$B$207,$S182)+SUMIFS('Q2 Data'!$M$4:$M$207,'Q2 Data'!$B$4:$B$207,$S182))</f>
      </c>
      <c r="V182" s="7">
        <f>IF($C182="","",SUMIFS('Q3 Data'!$L$4:$L$207,'Q3 Data'!$B$4:$B$207,$S182)+SUMIFS('Q3 Data'!$O$4:$O$207,'Q3 Data'!$B$4:$B$207,$S182)+SUMIFS('Q3 Data'!$M$4:$M$207,'Q3 Data'!$B$4:$B$207,$S182))</f>
      </c>
      <c r="W182" s="7">
        <f>IF($C182="","",SUMIFS('Q4 Data'!$L$4:$L$207,'Q4 Data'!$B$4:$B$207,$S182)+SUMIFS('Q4 Data'!$O$4:$O$207,'Q4 Data'!$B$4:$B$207,$S182)+SUMIFS('Q4 Data'!$M$4:$M$207,'Q4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Data'!$L$4:$L$207,'Q1 Data'!$B$4:$B$207,$S183)+SUMIFS('Q1 Data'!$O$4:$O$207,'Q1 Data'!$B$4:$B$207,$S183)+SUMIFS('Q1 Data'!$M$4:$M$207,'Q1 Data'!$B$4:$B$207,$S183))</f>
      </c>
      <c r="U183" s="7">
        <f>IF($C183="","",SUMIFS('Q2 Data'!$L$4:$L$207,'Q2 Data'!$B$4:$B$207,$S183)+SUMIFS('Q2 Data'!$O$4:$O$207,'Q2 Data'!$B$4:$B$207,$S183)+SUMIFS('Q2 Data'!$M$4:$M$207,'Q2 Data'!$B$4:$B$207,$S183))</f>
      </c>
      <c r="V183" s="7">
        <f>IF($C183="","",SUMIFS('Q3 Data'!$L$4:$L$207,'Q3 Data'!$B$4:$B$207,$S183)+SUMIFS('Q3 Data'!$O$4:$O$207,'Q3 Data'!$B$4:$B$207,$S183)+SUMIFS('Q3 Data'!$M$4:$M$207,'Q3 Data'!$B$4:$B$207,$S183))</f>
      </c>
      <c r="W183" s="7">
        <f>IF($C183="","",SUMIFS('Q4 Data'!$L$4:$L$207,'Q4 Data'!$B$4:$B$207,$S183)+SUMIFS('Q4 Data'!$O$4:$O$207,'Q4 Data'!$B$4:$B$207,$S183)+SUMIFS('Q4 Data'!$M$4:$M$207,'Q4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Data'!$L$4:$L$207,'Q1 Data'!$B$4:$B$207,$S184)+SUMIFS('Q1 Data'!$O$4:$O$207,'Q1 Data'!$B$4:$B$207,$S184)+SUMIFS('Q1 Data'!$M$4:$M$207,'Q1 Data'!$B$4:$B$207,$S184))</f>
      </c>
      <c r="U184" s="7">
        <f>IF($C184="","",SUMIFS('Q2 Data'!$L$4:$L$207,'Q2 Data'!$B$4:$B$207,$S184)+SUMIFS('Q2 Data'!$O$4:$O$207,'Q2 Data'!$B$4:$B$207,$S184)+SUMIFS('Q2 Data'!$M$4:$M$207,'Q2 Data'!$B$4:$B$207,$S184))</f>
      </c>
      <c r="V184" s="7">
        <f>IF($C184="","",SUMIFS('Q3 Data'!$L$4:$L$207,'Q3 Data'!$B$4:$B$207,$S184)+SUMIFS('Q3 Data'!$O$4:$O$207,'Q3 Data'!$B$4:$B$207,$S184)+SUMIFS('Q3 Data'!$M$4:$M$207,'Q3 Data'!$B$4:$B$207,$S184))</f>
      </c>
      <c r="W184" s="7">
        <f>IF($C184="","",SUMIFS('Q4 Data'!$L$4:$L$207,'Q4 Data'!$B$4:$B$207,$S184)+SUMIFS('Q4 Data'!$O$4:$O$207,'Q4 Data'!$B$4:$B$207,$S184)+SUMIFS('Q4 Data'!$M$4:$M$207,'Q4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Data'!$L$4:$L$207,'Q1 Data'!$B$4:$B$207,$S185)+SUMIFS('Q1 Data'!$O$4:$O$207,'Q1 Data'!$B$4:$B$207,$S185)+SUMIFS('Q1 Data'!$M$4:$M$207,'Q1 Data'!$B$4:$B$207,$S185))</f>
      </c>
      <c r="U185" s="7">
        <f>IF($C185="","",SUMIFS('Q2 Data'!$L$4:$L$207,'Q2 Data'!$B$4:$B$207,$S185)+SUMIFS('Q2 Data'!$O$4:$O$207,'Q2 Data'!$B$4:$B$207,$S185)+SUMIFS('Q2 Data'!$M$4:$M$207,'Q2 Data'!$B$4:$B$207,$S185))</f>
      </c>
      <c r="V185" s="7">
        <f>IF($C185="","",SUMIFS('Q3 Data'!$L$4:$L$207,'Q3 Data'!$B$4:$B$207,$S185)+SUMIFS('Q3 Data'!$O$4:$O$207,'Q3 Data'!$B$4:$B$207,$S185)+SUMIFS('Q3 Data'!$M$4:$M$207,'Q3 Data'!$B$4:$B$207,$S185))</f>
      </c>
      <c r="W185" s="7">
        <f>IF($C185="","",SUMIFS('Q4 Data'!$L$4:$L$207,'Q4 Data'!$B$4:$B$207,$S185)+SUMIFS('Q4 Data'!$O$4:$O$207,'Q4 Data'!$B$4:$B$207,$S185)+SUMIFS('Q4 Data'!$M$4:$M$207,'Q4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Data'!$L$4:$L$207,'Q1 Data'!$B$4:$B$207,$S186)+SUMIFS('Q1 Data'!$O$4:$O$207,'Q1 Data'!$B$4:$B$207,$S186)+SUMIFS('Q1 Data'!$M$4:$M$207,'Q1 Data'!$B$4:$B$207,$S186))</f>
      </c>
      <c r="U186" s="7">
        <f>IF($C186="","",SUMIFS('Q2 Data'!$L$4:$L$207,'Q2 Data'!$B$4:$B$207,$S186)+SUMIFS('Q2 Data'!$O$4:$O$207,'Q2 Data'!$B$4:$B$207,$S186)+SUMIFS('Q2 Data'!$M$4:$M$207,'Q2 Data'!$B$4:$B$207,$S186))</f>
      </c>
      <c r="V186" s="7">
        <f>IF($C186="","",SUMIFS('Q3 Data'!$L$4:$L$207,'Q3 Data'!$B$4:$B$207,$S186)+SUMIFS('Q3 Data'!$O$4:$O$207,'Q3 Data'!$B$4:$B$207,$S186)+SUMIFS('Q3 Data'!$M$4:$M$207,'Q3 Data'!$B$4:$B$207,$S186))</f>
      </c>
      <c r="W186" s="7">
        <f>IF($C186="","",SUMIFS('Q4 Data'!$L$4:$L$207,'Q4 Data'!$B$4:$B$207,$S186)+SUMIFS('Q4 Data'!$O$4:$O$207,'Q4 Data'!$B$4:$B$207,$S186)+SUMIFS('Q4 Data'!$M$4:$M$207,'Q4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Data'!$L$4:$L$207,'Q1 Data'!$B$4:$B$207,$S187)+SUMIFS('Q1 Data'!$O$4:$O$207,'Q1 Data'!$B$4:$B$207,$S187)+SUMIFS('Q1 Data'!$M$4:$M$207,'Q1 Data'!$B$4:$B$207,$S187))</f>
      </c>
      <c r="U187" s="7">
        <f>IF($C187="","",SUMIFS('Q2 Data'!$L$4:$L$207,'Q2 Data'!$B$4:$B$207,$S187)+SUMIFS('Q2 Data'!$O$4:$O$207,'Q2 Data'!$B$4:$B$207,$S187)+SUMIFS('Q2 Data'!$M$4:$M$207,'Q2 Data'!$B$4:$B$207,$S187))</f>
      </c>
      <c r="V187" s="7">
        <f>IF($C187="","",SUMIFS('Q3 Data'!$L$4:$L$207,'Q3 Data'!$B$4:$B$207,$S187)+SUMIFS('Q3 Data'!$O$4:$O$207,'Q3 Data'!$B$4:$B$207,$S187)+SUMIFS('Q3 Data'!$M$4:$M$207,'Q3 Data'!$B$4:$B$207,$S187))</f>
      </c>
      <c r="W187" s="7">
        <f>IF($C187="","",SUMIFS('Q4 Data'!$L$4:$L$207,'Q4 Data'!$B$4:$B$207,$S187)+SUMIFS('Q4 Data'!$O$4:$O$207,'Q4 Data'!$B$4:$B$207,$S187)+SUMIFS('Q4 Data'!$M$4:$M$207,'Q4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Data'!$L$4:$L$207,'Q1 Data'!$B$4:$B$207,$S188)+SUMIFS('Q1 Data'!$O$4:$O$207,'Q1 Data'!$B$4:$B$207,$S188)+SUMIFS('Q1 Data'!$M$4:$M$207,'Q1 Data'!$B$4:$B$207,$S188))</f>
      </c>
      <c r="U188" s="7">
        <f>IF($C188="","",SUMIFS('Q2 Data'!$L$4:$L$207,'Q2 Data'!$B$4:$B$207,$S188)+SUMIFS('Q2 Data'!$O$4:$O$207,'Q2 Data'!$B$4:$B$207,$S188)+SUMIFS('Q2 Data'!$M$4:$M$207,'Q2 Data'!$B$4:$B$207,$S188))</f>
      </c>
      <c r="V188" s="7">
        <f>IF($C188="","",SUMIFS('Q3 Data'!$L$4:$L$207,'Q3 Data'!$B$4:$B$207,$S188)+SUMIFS('Q3 Data'!$O$4:$O$207,'Q3 Data'!$B$4:$B$207,$S188)+SUMIFS('Q3 Data'!$M$4:$M$207,'Q3 Data'!$B$4:$B$207,$S188))</f>
      </c>
      <c r="W188" s="7">
        <f>IF($C188="","",SUMIFS('Q4 Data'!$L$4:$L$207,'Q4 Data'!$B$4:$B$207,$S188)+SUMIFS('Q4 Data'!$O$4:$O$207,'Q4 Data'!$B$4:$B$207,$S188)+SUMIFS('Q4 Data'!$M$4:$M$207,'Q4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Data'!$L$4:$L$207,'Q1 Data'!$B$4:$B$207,$S189)+SUMIFS('Q1 Data'!$O$4:$O$207,'Q1 Data'!$B$4:$B$207,$S189)+SUMIFS('Q1 Data'!$M$4:$M$207,'Q1 Data'!$B$4:$B$207,$S189))</f>
      </c>
      <c r="U189" s="7">
        <f>IF($C189="","",SUMIFS('Q2 Data'!$L$4:$L$207,'Q2 Data'!$B$4:$B$207,$S189)+SUMIFS('Q2 Data'!$O$4:$O$207,'Q2 Data'!$B$4:$B$207,$S189)+SUMIFS('Q2 Data'!$M$4:$M$207,'Q2 Data'!$B$4:$B$207,$S189))</f>
      </c>
      <c r="V189" s="7">
        <f>IF($C189="","",SUMIFS('Q3 Data'!$L$4:$L$207,'Q3 Data'!$B$4:$B$207,$S189)+SUMIFS('Q3 Data'!$O$4:$O$207,'Q3 Data'!$B$4:$B$207,$S189)+SUMIFS('Q3 Data'!$M$4:$M$207,'Q3 Data'!$B$4:$B$207,$S189))</f>
      </c>
      <c r="W189" s="7">
        <f>IF($C189="","",SUMIFS('Q4 Data'!$L$4:$L$207,'Q4 Data'!$B$4:$B$207,$S189)+SUMIFS('Q4 Data'!$O$4:$O$207,'Q4 Data'!$B$4:$B$207,$S189)+SUMIFS('Q4 Data'!$M$4:$M$207,'Q4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Data'!$L$4:$L$207,'Q1 Data'!$B$4:$B$207,$S190)+SUMIFS('Q1 Data'!$O$4:$O$207,'Q1 Data'!$B$4:$B$207,$S190)+SUMIFS('Q1 Data'!$M$4:$M$207,'Q1 Data'!$B$4:$B$207,$S190))</f>
      </c>
      <c r="U190" s="7">
        <f>IF($C190="","",SUMIFS('Q2 Data'!$L$4:$L$207,'Q2 Data'!$B$4:$B$207,$S190)+SUMIFS('Q2 Data'!$O$4:$O$207,'Q2 Data'!$B$4:$B$207,$S190)+SUMIFS('Q2 Data'!$M$4:$M$207,'Q2 Data'!$B$4:$B$207,$S190))</f>
      </c>
      <c r="V190" s="7">
        <f>IF($C190="","",SUMIFS('Q3 Data'!$L$4:$L$207,'Q3 Data'!$B$4:$B$207,$S190)+SUMIFS('Q3 Data'!$O$4:$O$207,'Q3 Data'!$B$4:$B$207,$S190)+SUMIFS('Q3 Data'!$M$4:$M$207,'Q3 Data'!$B$4:$B$207,$S190))</f>
      </c>
      <c r="W190" s="7">
        <f>IF($C190="","",SUMIFS('Q4 Data'!$L$4:$L$207,'Q4 Data'!$B$4:$B$207,$S190)+SUMIFS('Q4 Data'!$O$4:$O$207,'Q4 Data'!$B$4:$B$207,$S190)+SUMIFS('Q4 Data'!$M$4:$M$207,'Q4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Data'!$L$4:$L$207,'Q1 Data'!$B$4:$B$207,$S191)+SUMIFS('Q1 Data'!$O$4:$O$207,'Q1 Data'!$B$4:$B$207,$S191)+SUMIFS('Q1 Data'!$M$4:$M$207,'Q1 Data'!$B$4:$B$207,$S191))</f>
      </c>
      <c r="U191" s="7">
        <f>IF($C191="","",SUMIFS('Q2 Data'!$L$4:$L$207,'Q2 Data'!$B$4:$B$207,$S191)+SUMIFS('Q2 Data'!$O$4:$O$207,'Q2 Data'!$B$4:$B$207,$S191)+SUMIFS('Q2 Data'!$M$4:$M$207,'Q2 Data'!$B$4:$B$207,$S191))</f>
      </c>
      <c r="V191" s="7">
        <f>IF($C191="","",SUMIFS('Q3 Data'!$L$4:$L$207,'Q3 Data'!$B$4:$B$207,$S191)+SUMIFS('Q3 Data'!$O$4:$O$207,'Q3 Data'!$B$4:$B$207,$S191)+SUMIFS('Q3 Data'!$M$4:$M$207,'Q3 Data'!$B$4:$B$207,$S191))</f>
      </c>
      <c r="W191" s="7">
        <f>IF($C191="","",SUMIFS('Q4 Data'!$L$4:$L$207,'Q4 Data'!$B$4:$B$207,$S191)+SUMIFS('Q4 Data'!$O$4:$O$207,'Q4 Data'!$B$4:$B$207,$S191)+SUMIFS('Q4 Data'!$M$4:$M$207,'Q4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Data'!$L$4:$L$207,'Q1 Data'!$B$4:$B$207,$S192)+SUMIFS('Q1 Data'!$O$4:$O$207,'Q1 Data'!$B$4:$B$207,$S192)+SUMIFS('Q1 Data'!$M$4:$M$207,'Q1 Data'!$B$4:$B$207,$S192))</f>
      </c>
      <c r="U192" s="7">
        <f>IF($C192="","",SUMIFS('Q2 Data'!$L$4:$L$207,'Q2 Data'!$B$4:$B$207,$S192)+SUMIFS('Q2 Data'!$O$4:$O$207,'Q2 Data'!$B$4:$B$207,$S192)+SUMIFS('Q2 Data'!$M$4:$M$207,'Q2 Data'!$B$4:$B$207,$S192))</f>
      </c>
      <c r="V192" s="7">
        <f>IF($C192="","",SUMIFS('Q3 Data'!$L$4:$L$207,'Q3 Data'!$B$4:$B$207,$S192)+SUMIFS('Q3 Data'!$O$4:$O$207,'Q3 Data'!$B$4:$B$207,$S192)+SUMIFS('Q3 Data'!$M$4:$M$207,'Q3 Data'!$B$4:$B$207,$S192))</f>
      </c>
      <c r="W192" s="7">
        <f>IF($C192="","",SUMIFS('Q4 Data'!$L$4:$L$207,'Q4 Data'!$B$4:$B$207,$S192)+SUMIFS('Q4 Data'!$O$4:$O$207,'Q4 Data'!$B$4:$B$207,$S192)+SUMIFS('Q4 Data'!$M$4:$M$207,'Q4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Data'!$L$4:$L$207,'Q1 Data'!$B$4:$B$207,$S193)+SUMIFS('Q1 Data'!$O$4:$O$207,'Q1 Data'!$B$4:$B$207,$S193)+SUMIFS('Q1 Data'!$M$4:$M$207,'Q1 Data'!$B$4:$B$207,$S193))</f>
      </c>
      <c r="U193" s="7">
        <f>IF($C193="","",SUMIFS('Q2 Data'!$L$4:$L$207,'Q2 Data'!$B$4:$B$207,$S193)+SUMIFS('Q2 Data'!$O$4:$O$207,'Q2 Data'!$B$4:$B$207,$S193)+SUMIFS('Q2 Data'!$M$4:$M$207,'Q2 Data'!$B$4:$B$207,$S193))</f>
      </c>
      <c r="V193" s="7">
        <f>IF($C193="","",SUMIFS('Q3 Data'!$L$4:$L$207,'Q3 Data'!$B$4:$B$207,$S193)+SUMIFS('Q3 Data'!$O$4:$O$207,'Q3 Data'!$B$4:$B$207,$S193)+SUMIFS('Q3 Data'!$M$4:$M$207,'Q3 Data'!$B$4:$B$207,$S193))</f>
      </c>
      <c r="W193" s="7">
        <f>IF($C193="","",SUMIFS('Q4 Data'!$L$4:$L$207,'Q4 Data'!$B$4:$B$207,$S193)+SUMIFS('Q4 Data'!$O$4:$O$207,'Q4 Data'!$B$4:$B$207,$S193)+SUMIFS('Q4 Data'!$M$4:$M$207,'Q4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Data'!$L$4:$L$207,'Q1 Data'!$B$4:$B$207,$S194)+SUMIFS('Q1 Data'!$O$4:$O$207,'Q1 Data'!$B$4:$B$207,$S194)+SUMIFS('Q1 Data'!$M$4:$M$207,'Q1 Data'!$B$4:$B$207,$S194))</f>
      </c>
      <c r="U194" s="7">
        <f>IF($C194="","",SUMIFS('Q2 Data'!$L$4:$L$207,'Q2 Data'!$B$4:$B$207,$S194)+SUMIFS('Q2 Data'!$O$4:$O$207,'Q2 Data'!$B$4:$B$207,$S194)+SUMIFS('Q2 Data'!$M$4:$M$207,'Q2 Data'!$B$4:$B$207,$S194))</f>
      </c>
      <c r="V194" s="7">
        <f>IF($C194="","",SUMIFS('Q3 Data'!$L$4:$L$207,'Q3 Data'!$B$4:$B$207,$S194)+SUMIFS('Q3 Data'!$O$4:$O$207,'Q3 Data'!$B$4:$B$207,$S194)+SUMIFS('Q3 Data'!$M$4:$M$207,'Q3 Data'!$B$4:$B$207,$S194))</f>
      </c>
      <c r="W194" s="7">
        <f>IF($C194="","",SUMIFS('Q4 Data'!$L$4:$L$207,'Q4 Data'!$B$4:$B$207,$S194)+SUMIFS('Q4 Data'!$O$4:$O$207,'Q4 Data'!$B$4:$B$207,$S194)+SUMIFS('Q4 Data'!$M$4:$M$207,'Q4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Data'!$L$4:$L$207,'Q1 Data'!$B$4:$B$207,$S195)+SUMIFS('Q1 Data'!$O$4:$O$207,'Q1 Data'!$B$4:$B$207,$S195)+SUMIFS('Q1 Data'!$M$4:$M$207,'Q1 Data'!$B$4:$B$207,$S195))</f>
      </c>
      <c r="U195" s="7">
        <f>IF($C195="","",SUMIFS('Q2 Data'!$L$4:$L$207,'Q2 Data'!$B$4:$B$207,$S195)+SUMIFS('Q2 Data'!$O$4:$O$207,'Q2 Data'!$B$4:$B$207,$S195)+SUMIFS('Q2 Data'!$M$4:$M$207,'Q2 Data'!$B$4:$B$207,$S195))</f>
      </c>
      <c r="V195" s="7">
        <f>IF($C195="","",SUMIFS('Q3 Data'!$L$4:$L$207,'Q3 Data'!$B$4:$B$207,$S195)+SUMIFS('Q3 Data'!$O$4:$O$207,'Q3 Data'!$B$4:$B$207,$S195)+SUMIFS('Q3 Data'!$M$4:$M$207,'Q3 Data'!$B$4:$B$207,$S195))</f>
      </c>
      <c r="W195" s="7">
        <f>IF($C195="","",SUMIFS('Q4 Data'!$L$4:$L$207,'Q4 Data'!$B$4:$B$207,$S195)+SUMIFS('Q4 Data'!$O$4:$O$207,'Q4 Data'!$B$4:$B$207,$S195)+SUMIFS('Q4 Data'!$M$4:$M$207,'Q4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Data'!$L$4:$L$207,'Q1 Data'!$B$4:$B$207,$S196)+SUMIFS('Q1 Data'!$O$4:$O$207,'Q1 Data'!$B$4:$B$207,$S196)+SUMIFS('Q1 Data'!$M$4:$M$207,'Q1 Data'!$B$4:$B$207,$S196))</f>
      </c>
      <c r="U196" s="7">
        <f>IF($C196="","",SUMIFS('Q2 Data'!$L$4:$L$207,'Q2 Data'!$B$4:$B$207,$S196)+SUMIFS('Q2 Data'!$O$4:$O$207,'Q2 Data'!$B$4:$B$207,$S196)+SUMIFS('Q2 Data'!$M$4:$M$207,'Q2 Data'!$B$4:$B$207,$S196))</f>
      </c>
      <c r="V196" s="7">
        <f>IF($C196="","",SUMIFS('Q3 Data'!$L$4:$L$207,'Q3 Data'!$B$4:$B$207,$S196)+SUMIFS('Q3 Data'!$O$4:$O$207,'Q3 Data'!$B$4:$B$207,$S196)+SUMIFS('Q3 Data'!$M$4:$M$207,'Q3 Data'!$B$4:$B$207,$S196))</f>
      </c>
      <c r="W196" s="7">
        <f>IF($C196="","",SUMIFS('Q4 Data'!$L$4:$L$207,'Q4 Data'!$B$4:$B$207,$S196)+SUMIFS('Q4 Data'!$O$4:$O$207,'Q4 Data'!$B$4:$B$207,$S196)+SUMIFS('Q4 Data'!$M$4:$M$207,'Q4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Data'!$L$4:$L$207,'Q1 Data'!$B$4:$B$207,$S197)+SUMIFS('Q1 Data'!$O$4:$O$207,'Q1 Data'!$B$4:$B$207,$S197)+SUMIFS('Q1 Data'!$M$4:$M$207,'Q1 Data'!$B$4:$B$207,$S197))</f>
      </c>
      <c r="U197" s="7">
        <f>IF($C197="","",SUMIFS('Q2 Data'!$L$4:$L$207,'Q2 Data'!$B$4:$B$207,$S197)+SUMIFS('Q2 Data'!$O$4:$O$207,'Q2 Data'!$B$4:$B$207,$S197)+SUMIFS('Q2 Data'!$M$4:$M$207,'Q2 Data'!$B$4:$B$207,$S197))</f>
      </c>
      <c r="V197" s="7">
        <f>IF($C197="","",SUMIFS('Q3 Data'!$L$4:$L$207,'Q3 Data'!$B$4:$B$207,$S197)+SUMIFS('Q3 Data'!$O$4:$O$207,'Q3 Data'!$B$4:$B$207,$S197)+SUMIFS('Q3 Data'!$M$4:$M$207,'Q3 Data'!$B$4:$B$207,$S197))</f>
      </c>
      <c r="W197" s="7">
        <f>IF($C197="","",SUMIFS('Q4 Data'!$L$4:$L$207,'Q4 Data'!$B$4:$B$207,$S197)+SUMIFS('Q4 Data'!$O$4:$O$207,'Q4 Data'!$B$4:$B$207,$S197)+SUMIFS('Q4 Data'!$M$4:$M$207,'Q4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Data'!$L$4:$L$207,'Q1 Data'!$B$4:$B$207,$S198)+SUMIFS('Q1 Data'!$O$4:$O$207,'Q1 Data'!$B$4:$B$207,$S198)+SUMIFS('Q1 Data'!$M$4:$M$207,'Q1 Data'!$B$4:$B$207,$S198))</f>
      </c>
      <c r="U198" s="7">
        <f>IF($C198="","",SUMIFS('Q2 Data'!$L$4:$L$207,'Q2 Data'!$B$4:$B$207,$S198)+SUMIFS('Q2 Data'!$O$4:$O$207,'Q2 Data'!$B$4:$B$207,$S198)+SUMIFS('Q2 Data'!$M$4:$M$207,'Q2 Data'!$B$4:$B$207,$S198))</f>
      </c>
      <c r="V198" s="7">
        <f>IF($C198="","",SUMIFS('Q3 Data'!$L$4:$L$207,'Q3 Data'!$B$4:$B$207,$S198)+SUMIFS('Q3 Data'!$O$4:$O$207,'Q3 Data'!$B$4:$B$207,$S198)+SUMIFS('Q3 Data'!$M$4:$M$207,'Q3 Data'!$B$4:$B$207,$S198))</f>
      </c>
      <c r="W198" s="7">
        <f>IF($C198="","",SUMIFS('Q4 Data'!$L$4:$L$207,'Q4 Data'!$B$4:$B$207,$S198)+SUMIFS('Q4 Data'!$O$4:$O$207,'Q4 Data'!$B$4:$B$207,$S198)+SUMIFS('Q4 Data'!$M$4:$M$207,'Q4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Data'!$L$4:$L$207,'Q1 Data'!$B$4:$B$207,$S199)+SUMIFS('Q1 Data'!$O$4:$O$207,'Q1 Data'!$B$4:$B$207,$S199)+SUMIFS('Q1 Data'!$M$4:$M$207,'Q1 Data'!$B$4:$B$207,$S199))</f>
      </c>
      <c r="U199" s="7">
        <f>IF($C199="","",SUMIFS('Q2 Data'!$L$4:$L$207,'Q2 Data'!$B$4:$B$207,$S199)+SUMIFS('Q2 Data'!$O$4:$O$207,'Q2 Data'!$B$4:$B$207,$S199)+SUMIFS('Q2 Data'!$M$4:$M$207,'Q2 Data'!$B$4:$B$207,$S199))</f>
      </c>
      <c r="V199" s="7">
        <f>IF($C199="","",SUMIFS('Q3 Data'!$L$4:$L$207,'Q3 Data'!$B$4:$B$207,$S199)+SUMIFS('Q3 Data'!$O$4:$O$207,'Q3 Data'!$B$4:$B$207,$S199)+SUMIFS('Q3 Data'!$M$4:$M$207,'Q3 Data'!$B$4:$B$207,$S199))</f>
      </c>
      <c r="W199" s="7">
        <f>IF($C199="","",SUMIFS('Q4 Data'!$L$4:$L$207,'Q4 Data'!$B$4:$B$207,$S199)+SUMIFS('Q4 Data'!$O$4:$O$207,'Q4 Data'!$B$4:$B$207,$S199)+SUMIFS('Q4 Data'!$M$4:$M$207,'Q4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Data'!$L$4:$L$207,'Q1 Data'!$B$4:$B$207,$S200)+SUMIFS('Q1 Data'!$O$4:$O$207,'Q1 Data'!$B$4:$B$207,$S200)+SUMIFS('Q1 Data'!$M$4:$M$207,'Q1 Data'!$B$4:$B$207,$S200))</f>
      </c>
      <c r="U200" s="7">
        <f>IF($C200="","",SUMIFS('Q2 Data'!$L$4:$L$207,'Q2 Data'!$B$4:$B$207,$S200)+SUMIFS('Q2 Data'!$O$4:$O$207,'Q2 Data'!$B$4:$B$207,$S200)+SUMIFS('Q2 Data'!$M$4:$M$207,'Q2 Data'!$B$4:$B$207,$S200))</f>
      </c>
      <c r="V200" s="7">
        <f>IF($C200="","",SUMIFS('Q3 Data'!$L$4:$L$207,'Q3 Data'!$B$4:$B$207,$S200)+SUMIFS('Q3 Data'!$O$4:$O$207,'Q3 Data'!$B$4:$B$207,$S200)+SUMIFS('Q3 Data'!$M$4:$M$207,'Q3 Data'!$B$4:$B$207,$S200))</f>
      </c>
      <c r="W200" s="7">
        <f>IF($C200="","",SUMIFS('Q4 Data'!$L$4:$L$207,'Q4 Data'!$B$4:$B$207,$S200)+SUMIFS('Q4 Data'!$O$4:$O$207,'Q4 Data'!$B$4:$B$207,$S200)+SUMIFS('Q4 Data'!$M$4:$M$207,'Q4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Data'!$L$4:$L$207,'Q1 Data'!$B$4:$B$207,$S201)+SUMIFS('Q1 Data'!$O$4:$O$207,'Q1 Data'!$B$4:$B$207,$S201)+SUMIFS('Q1 Data'!$M$4:$M$207,'Q1 Data'!$B$4:$B$207,$S201))</f>
      </c>
      <c r="U201" s="7">
        <f>IF($C201="","",SUMIFS('Q2 Data'!$L$4:$L$207,'Q2 Data'!$B$4:$B$207,$S201)+SUMIFS('Q2 Data'!$O$4:$O$207,'Q2 Data'!$B$4:$B$207,$S201)+SUMIFS('Q2 Data'!$M$4:$M$207,'Q2 Data'!$B$4:$B$207,$S201))</f>
      </c>
      <c r="V201" s="7">
        <f>IF($C201="","",SUMIFS('Q3 Data'!$L$4:$L$207,'Q3 Data'!$B$4:$B$207,$S201)+SUMIFS('Q3 Data'!$O$4:$O$207,'Q3 Data'!$B$4:$B$207,$S201)+SUMIFS('Q3 Data'!$M$4:$M$207,'Q3 Data'!$B$4:$B$207,$S201))</f>
      </c>
      <c r="W201" s="7">
        <f>IF($C201="","",SUMIFS('Q4 Data'!$L$4:$L$207,'Q4 Data'!$B$4:$B$207,$S201)+SUMIFS('Q4 Data'!$O$4:$O$207,'Q4 Data'!$B$4:$B$207,$S201)+SUMIFS('Q4 Data'!$M$4:$M$207,'Q4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Data'!$L$4:$L$207,'Q1 Data'!$B$4:$B$207,$S202)+SUMIFS('Q1 Data'!$O$4:$O$207,'Q1 Data'!$B$4:$B$207,$S202)+SUMIFS('Q1 Data'!$M$4:$M$207,'Q1 Data'!$B$4:$B$207,$S202))</f>
      </c>
      <c r="U202" s="7">
        <f>IF($C202="","",SUMIFS('Q2 Data'!$L$4:$L$207,'Q2 Data'!$B$4:$B$207,$S202)+SUMIFS('Q2 Data'!$O$4:$O$207,'Q2 Data'!$B$4:$B$207,$S202)+SUMIFS('Q2 Data'!$M$4:$M$207,'Q2 Data'!$B$4:$B$207,$S202))</f>
      </c>
      <c r="V202" s="7">
        <f>IF($C202="","",SUMIFS('Q3 Data'!$L$4:$L$207,'Q3 Data'!$B$4:$B$207,$S202)+SUMIFS('Q3 Data'!$O$4:$O$207,'Q3 Data'!$B$4:$B$207,$S202)+SUMIFS('Q3 Data'!$M$4:$M$207,'Q3 Data'!$B$4:$B$207,$S202))</f>
      </c>
      <c r="W202" s="7">
        <f>IF($C202="","",SUMIFS('Q4 Data'!$L$4:$L$207,'Q4 Data'!$B$4:$B$207,$S202)+SUMIFS('Q4 Data'!$O$4:$O$207,'Q4 Data'!$B$4:$B$207,$S202)+SUMIFS('Q4 Data'!$M$4:$M$207,'Q4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Data'!$L$4:$L$207,'Q1 Data'!$B$4:$B$207,$S203)+SUMIFS('Q1 Data'!$O$4:$O$207,'Q1 Data'!$B$4:$B$207,$S203)+SUMIFS('Q1 Data'!$M$4:$M$207,'Q1 Data'!$B$4:$B$207,$S203))</f>
      </c>
      <c r="U203" s="7">
        <f>IF($C203="","",SUMIFS('Q2 Data'!$L$4:$L$207,'Q2 Data'!$B$4:$B$207,$S203)+SUMIFS('Q2 Data'!$O$4:$O$207,'Q2 Data'!$B$4:$B$207,$S203)+SUMIFS('Q2 Data'!$M$4:$M$207,'Q2 Data'!$B$4:$B$207,$S203))</f>
      </c>
      <c r="V203" s="7">
        <f>IF($C203="","",SUMIFS('Q3 Data'!$L$4:$L$207,'Q3 Data'!$B$4:$B$207,$S203)+SUMIFS('Q3 Data'!$O$4:$O$207,'Q3 Data'!$B$4:$B$207,$S203)+SUMIFS('Q3 Data'!$M$4:$M$207,'Q3 Data'!$B$4:$B$207,$S203))</f>
      </c>
      <c r="W203" s="7">
        <f>IF($C203="","",SUMIFS('Q4 Data'!$L$4:$L$207,'Q4 Data'!$B$4:$B$207,$S203)+SUMIFS('Q4 Data'!$O$4:$O$207,'Q4 Data'!$B$4:$B$207,$S203)+SUMIFS('Q4 Data'!$M$4:$M$207,'Q4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Data'!$L$4:$L$207,'Q1 Data'!$B$4:$B$207,$S204)+SUMIFS('Q1 Data'!$O$4:$O$207,'Q1 Data'!$B$4:$B$207,$S204)+SUMIFS('Q1 Data'!$M$4:$M$207,'Q1 Data'!$B$4:$B$207,$S204))</f>
      </c>
      <c r="U204" s="7">
        <f>IF($C204="","",SUMIFS('Q2 Data'!$L$4:$L$207,'Q2 Data'!$B$4:$B$207,$S204)+SUMIFS('Q2 Data'!$O$4:$O$207,'Q2 Data'!$B$4:$B$207,$S204)+SUMIFS('Q2 Data'!$M$4:$M$207,'Q2 Data'!$B$4:$B$207,$S204))</f>
      </c>
      <c r="V204" s="7">
        <f>IF($C204="","",SUMIFS('Q3 Data'!$L$4:$L$207,'Q3 Data'!$B$4:$B$207,$S204)+SUMIFS('Q3 Data'!$O$4:$O$207,'Q3 Data'!$B$4:$B$207,$S204)+SUMIFS('Q3 Data'!$M$4:$M$207,'Q3 Data'!$B$4:$B$207,$S204))</f>
      </c>
      <c r="W204" s="7">
        <f>IF($C204="","",SUMIFS('Q4 Data'!$L$4:$L$207,'Q4 Data'!$B$4:$B$207,$S204)+SUMIFS('Q4 Data'!$O$4:$O$207,'Q4 Data'!$B$4:$B$207,$S204)+SUMIFS('Q4 Data'!$M$4:$M$207,'Q4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Data'!$L$4:$L$207,'Q1 Data'!$B$4:$B$207,$S205)+SUMIFS('Q1 Data'!$O$4:$O$207,'Q1 Data'!$B$4:$B$207,$S205)+SUMIFS('Q1 Data'!$M$4:$M$207,'Q1 Data'!$B$4:$B$207,$S205))</f>
      </c>
      <c r="U205" s="7">
        <f>IF($C205="","",SUMIFS('Q2 Data'!$L$4:$L$207,'Q2 Data'!$B$4:$B$207,$S205)+SUMIFS('Q2 Data'!$O$4:$O$207,'Q2 Data'!$B$4:$B$207,$S205)+SUMIFS('Q2 Data'!$M$4:$M$207,'Q2 Data'!$B$4:$B$207,$S205))</f>
      </c>
      <c r="V205" s="7">
        <f>IF($C205="","",SUMIFS('Q3 Data'!$L$4:$L$207,'Q3 Data'!$B$4:$B$207,$S205)+SUMIFS('Q3 Data'!$O$4:$O$207,'Q3 Data'!$B$4:$B$207,$S205)+SUMIFS('Q3 Data'!$M$4:$M$207,'Q3 Data'!$B$4:$B$207,$S205))</f>
      </c>
      <c r="W205" s="7">
        <f>IF($C205="","",SUMIFS('Q4 Data'!$L$4:$L$207,'Q4 Data'!$B$4:$B$207,$S205)+SUMIFS('Q4 Data'!$O$4:$O$207,'Q4 Data'!$B$4:$B$207,$S205)+SUMIFS('Q4 Data'!$M$4:$M$207,'Q4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Data'!$L$4:$L$207,'Q1 Data'!$B$4:$B$207,$S206)+SUMIFS('Q1 Data'!$O$4:$O$207,'Q1 Data'!$B$4:$B$207,$S206)+SUMIFS('Q1 Data'!$M$4:$M$207,'Q1 Data'!$B$4:$B$207,$S206))</f>
      </c>
      <c r="U206" s="7">
        <f>IF($C206="","",SUMIFS('Q2 Data'!$L$4:$L$207,'Q2 Data'!$B$4:$B$207,$S206)+SUMIFS('Q2 Data'!$O$4:$O$207,'Q2 Data'!$B$4:$B$207,$S206)+SUMIFS('Q2 Data'!$M$4:$M$207,'Q2 Data'!$B$4:$B$207,$S206))</f>
      </c>
      <c r="V206" s="7">
        <f>IF($C206="","",SUMIFS('Q3 Data'!$L$4:$L$207,'Q3 Data'!$B$4:$B$207,$S206)+SUMIFS('Q3 Data'!$O$4:$O$207,'Q3 Data'!$B$4:$B$207,$S206)+SUMIFS('Q3 Data'!$M$4:$M$207,'Q3 Data'!$B$4:$B$207,$S206))</f>
      </c>
      <c r="W206" s="7">
        <f>IF($C206="","",SUMIFS('Q4 Data'!$L$4:$L$207,'Q4 Data'!$B$4:$B$207,$S206)+SUMIFS('Q4 Data'!$O$4:$O$207,'Q4 Data'!$B$4:$B$207,$S206)+SUMIFS('Q4 Data'!$M$4:$M$207,'Q4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Data'!$L$4:$L$207,'Q1 Data'!$B$4:$B$207,$S207)+SUMIFS('Q1 Data'!$O$4:$O$207,'Q1 Data'!$B$4:$B$207,$S207)+SUMIFS('Q1 Data'!$M$4:$M$207,'Q1 Data'!$B$4:$B$207,$S207))</f>
      </c>
      <c r="U207" s="7">
        <f>IF($C207="","",SUMIFS('Q2 Data'!$L$4:$L$207,'Q2 Data'!$B$4:$B$207,$S207)+SUMIFS('Q2 Data'!$O$4:$O$207,'Q2 Data'!$B$4:$B$207,$S207)+SUMIFS('Q2 Data'!$M$4:$M$207,'Q2 Data'!$B$4:$B$207,$S207))</f>
      </c>
      <c r="V207" s="7">
        <f>IF($C207="","",SUMIFS('Q3 Data'!$L$4:$L$207,'Q3 Data'!$B$4:$B$207,$S207)+SUMIFS('Q3 Data'!$O$4:$O$207,'Q3 Data'!$B$4:$B$207,$S207)+SUMIFS('Q3 Data'!$M$4:$M$207,'Q3 Data'!$B$4:$B$207,$S207))</f>
      </c>
      <c r="W207" s="7">
        <f>IF($C207="","",SUMIFS('Q4 Data'!$L$4:$L$207,'Q4 Data'!$B$4:$B$207,$S207)+SUMIFS('Q4 Data'!$O$4:$O$207,'Q4 Data'!$B$4:$B$207,$S207)+SUMIFS('Q4 Data'!$M$4:$M$207,'Q4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88</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55</v>
      </c>
      <c r="B3" s="6" t="s">
        <v>89</v>
      </c>
      <c r="C3" s="6" t="s">
        <v>90</v>
      </c>
      <c r="D3" s="6" t="s">
        <v>91</v>
      </c>
      <c r="E3" s="6" t="s">
        <v>92</v>
      </c>
      <c r="F3" s="6" t="s">
        <v>93</v>
      </c>
      <c r="G3" s="6" t="s">
        <v>94</v>
      </c>
      <c r="H3" s="6" t="s">
        <v>95</v>
      </c>
      <c r="I3" s="6" t="s">
        <v>96</v>
      </c>
      <c r="J3" s="6" t="s">
        <v>97</v>
      </c>
      <c r="K3" s="6" t="s">
        <v>98</v>
      </c>
      <c r="L3" s="6" t="s">
        <v>99</v>
      </c>
      <c r="M3" s="6" t="s">
        <v>100</v>
      </c>
      <c r="N3" s="6" t="s">
        <v>101</v>
      </c>
      <c r="O3" s="6" t="s">
        <v>102</v>
      </c>
      <c r="P3" s="6" t="s">
        <v>103</v>
      </c>
      <c r="Q3" s="6" t="s">
        <v>104</v>
      </c>
      <c r="R3" s="6" t="s">
        <v>105</v>
      </c>
      <c r="S3" s="6" t="s">
        <v>106</v>
      </c>
      <c r="T3" s="6" t="s">
        <v>107</v>
      </c>
      <c r="U3" s="6" t="s">
        <v>72</v>
      </c>
      <c r="V3" s="6" t="s">
        <v>108</v>
      </c>
    </row>
    <row r="4" spans="1:22" x14ac:dyDescent="0.25">
      <c r="A4" s="7">
        <f>IF($D4="","",COUNTIF($D$4:$D4,"&lt;&gt;"))</f>
      </c>
      <c r="B4" s="8">
        <f>'Challan Master'!$S$4</f>
      </c>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t="s">
        <v>109</v>
      </c>
      <c r="E4" s="8" t="s">
        <v>110</v>
      </c>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t="s">
        <v>28</v>
      </c>
      <c r="I4" s="7">
        <f>IF($D4="","",IF(H4="","",IF(F4="Y",SUMPRODUCT(('Rate Lookup'!$A$1:$A$37=H4)*'Rate Lookup'!$D$1:$D$37),IF(OR(G4="Individual",G4="HUF"),SUMPRODUCT(('Rate Lookup'!$A$1:$A$37=H4)*'Rate Lookup'!$B$1:$B$37),SUMPRODUCT(('Rate Lookup'!$A$1:$A$37=H4)*'Rate Lookup'!$C$1:$C$37)))))</f>
      </c>
      <c r="J4" s="9">
        <v>46128.77083333333</v>
      </c>
      <c r="K4" s="8">
        <v>200000</v>
      </c>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f>'Challan Master'!$S$4</f>
      </c>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t="s">
        <v>111</v>
      </c>
      <c r="E5" s="8" t="s">
        <v>112</v>
      </c>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t="s">
        <v>28</v>
      </c>
      <c r="I5" s="7">
        <f>IF($D5="","",IF(H5="","",IF(F5="Y",SUMPRODUCT(('Rate Lookup'!$A$1:$A$37=H5)*'Rate Lookup'!$D$1:$D$37),IF(OR(G5="Individual",G5="HUF"),SUMPRODUCT(('Rate Lookup'!$A$1:$A$37=H5)*'Rate Lookup'!$B$1:$B$37),SUMPRODUCT(('Rate Lookup'!$A$1:$A$37=H5)*'Rate Lookup'!$C$1:$C$37)))))</f>
      </c>
      <c r="J5" s="9">
        <v>46128.77083333333</v>
      </c>
      <c r="K5" s="8">
        <v>100000</v>
      </c>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f>'Challan Master'!$S$4</f>
      </c>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t="s">
        <v>113</v>
      </c>
      <c r="E6" s="8" t="s">
        <v>114</v>
      </c>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t="s">
        <v>38</v>
      </c>
      <c r="I6" s="7">
        <f>IF($D6="","",IF(H6="","",IF(F6="Y",SUMPRODUCT(('Rate Lookup'!$A$1:$A$37=H6)*'Rate Lookup'!$D$1:$D$37),IF(OR(G6="Individual",G6="HUF"),SUMPRODUCT(('Rate Lookup'!$A$1:$A$37=H6)*'Rate Lookup'!$B$1:$B$37),SUMPRODUCT(('Rate Lookup'!$A$1:$A$37=H6)*'Rate Lookup'!$C$1:$C$37)))))</f>
      </c>
      <c r="J6" s="9">
        <v>46128.77083333333</v>
      </c>
      <c r="K6" s="8">
        <v>100000</v>
      </c>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t="s">
        <v>115</v>
      </c>
      <c r="R6" s="8" t="s">
        <v>116</v>
      </c>
      <c r="S6" s="8">
        <v>0</v>
      </c>
      <c r="T6" s="8"/>
      <c r="U6" s="8" t="s">
        <v>117</v>
      </c>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1">
      <formula>AND($D4&lt;&gt;"",$B4="")</formula>
    </cfRule>
  </conditionalFormatting>
  <conditionalFormatting sqref="E4:E207">
    <cfRule type="expression" dxfId="11" priority="2">
      <formula>$F4="Y"</formula>
    </cfRule>
  </conditionalFormatting>
  <conditionalFormatting sqref="A4:V207">
    <cfRule type="expression" dxfId="12"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118</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55</v>
      </c>
      <c r="B3" s="6" t="s">
        <v>89</v>
      </c>
      <c r="C3" s="6" t="s">
        <v>90</v>
      </c>
      <c r="D3" s="6" t="s">
        <v>91</v>
      </c>
      <c r="E3" s="6" t="s">
        <v>92</v>
      </c>
      <c r="F3" s="6" t="s">
        <v>93</v>
      </c>
      <c r="G3" s="6" t="s">
        <v>94</v>
      </c>
      <c r="H3" s="6" t="s">
        <v>95</v>
      </c>
      <c r="I3" s="6" t="s">
        <v>96</v>
      </c>
      <c r="J3" s="6" t="s">
        <v>97</v>
      </c>
      <c r="K3" s="6" t="s">
        <v>98</v>
      </c>
      <c r="L3" s="6" t="s">
        <v>99</v>
      </c>
      <c r="M3" s="6" t="s">
        <v>100</v>
      </c>
      <c r="N3" s="6" t="s">
        <v>101</v>
      </c>
      <c r="O3" s="6" t="s">
        <v>102</v>
      </c>
      <c r="P3" s="6" t="s">
        <v>103</v>
      </c>
      <c r="Q3" s="6" t="s">
        <v>104</v>
      </c>
      <c r="R3" s="6" t="s">
        <v>105</v>
      </c>
      <c r="S3" s="6" t="s">
        <v>106</v>
      </c>
      <c r="T3" s="6" t="s">
        <v>107</v>
      </c>
      <c r="U3" s="6" t="s">
        <v>72</v>
      </c>
      <c r="V3" s="6" t="s">
        <v>108</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13" priority="1">
      <formula>ISNUMBER(SEARCH("VALIDATION FAILED",$A2))</formula>
    </cfRule>
    <cfRule type="expression" dxfId="14" priority="2">
      <formula>ISNUMBER(SEARCH("Validation Successful",$A2))</formula>
    </cfRule>
  </conditionalFormatting>
  <conditionalFormatting sqref="B4:B207">
    <cfRule type="expression" dxfId="15" priority="1">
      <formula>AND($D4&lt;&gt;"",$B4="")</formula>
    </cfRule>
  </conditionalFormatting>
  <conditionalFormatting sqref="E4:E207">
    <cfRule type="expression" dxfId="16" priority="2">
      <formula>$F4="Y"</formula>
    </cfRule>
  </conditionalFormatting>
  <conditionalFormatting sqref="A4:V207">
    <cfRule type="expression" dxfId="17"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119</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55</v>
      </c>
      <c r="B3" s="6" t="s">
        <v>89</v>
      </c>
      <c r="C3" s="6" t="s">
        <v>90</v>
      </c>
      <c r="D3" s="6" t="s">
        <v>91</v>
      </c>
      <c r="E3" s="6" t="s">
        <v>92</v>
      </c>
      <c r="F3" s="6" t="s">
        <v>93</v>
      </c>
      <c r="G3" s="6" t="s">
        <v>94</v>
      </c>
      <c r="H3" s="6" t="s">
        <v>95</v>
      </c>
      <c r="I3" s="6" t="s">
        <v>96</v>
      </c>
      <c r="J3" s="6" t="s">
        <v>97</v>
      </c>
      <c r="K3" s="6" t="s">
        <v>98</v>
      </c>
      <c r="L3" s="6" t="s">
        <v>99</v>
      </c>
      <c r="M3" s="6" t="s">
        <v>100</v>
      </c>
      <c r="N3" s="6" t="s">
        <v>101</v>
      </c>
      <c r="O3" s="6" t="s">
        <v>102</v>
      </c>
      <c r="P3" s="6" t="s">
        <v>103</v>
      </c>
      <c r="Q3" s="6" t="s">
        <v>104</v>
      </c>
      <c r="R3" s="6" t="s">
        <v>105</v>
      </c>
      <c r="S3" s="6" t="s">
        <v>106</v>
      </c>
      <c r="T3" s="6" t="s">
        <v>107</v>
      </c>
      <c r="U3" s="6" t="s">
        <v>72</v>
      </c>
      <c r="V3" s="6" t="s">
        <v>108</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18" priority="1">
      <formula>ISNUMBER(SEARCH("VALIDATION FAILED",$A2))</formula>
    </cfRule>
    <cfRule type="expression" dxfId="19" priority="2">
      <formula>ISNUMBER(SEARCH("Validation Successful",$A2))</formula>
    </cfRule>
  </conditionalFormatting>
  <conditionalFormatting sqref="B4:B207">
    <cfRule type="expression" dxfId="20" priority="1">
      <formula>AND($D4&lt;&gt;"",$B4="")</formula>
    </cfRule>
  </conditionalFormatting>
  <conditionalFormatting sqref="E4:E207">
    <cfRule type="expression" dxfId="21" priority="2">
      <formula>$F4="Y"</formula>
    </cfRule>
  </conditionalFormatting>
  <conditionalFormatting sqref="A4:V207">
    <cfRule type="expression" dxfId="22"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120</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55</v>
      </c>
      <c r="B3" s="6" t="s">
        <v>89</v>
      </c>
      <c r="C3" s="6" t="s">
        <v>90</v>
      </c>
      <c r="D3" s="6" t="s">
        <v>91</v>
      </c>
      <c r="E3" s="6" t="s">
        <v>92</v>
      </c>
      <c r="F3" s="6" t="s">
        <v>93</v>
      </c>
      <c r="G3" s="6" t="s">
        <v>94</v>
      </c>
      <c r="H3" s="6" t="s">
        <v>95</v>
      </c>
      <c r="I3" s="6" t="s">
        <v>96</v>
      </c>
      <c r="J3" s="6" t="s">
        <v>97</v>
      </c>
      <c r="K3" s="6" t="s">
        <v>98</v>
      </c>
      <c r="L3" s="6" t="s">
        <v>99</v>
      </c>
      <c r="M3" s="6" t="s">
        <v>100</v>
      </c>
      <c r="N3" s="6" t="s">
        <v>101</v>
      </c>
      <c r="O3" s="6" t="s">
        <v>102</v>
      </c>
      <c r="P3" s="6" t="s">
        <v>103</v>
      </c>
      <c r="Q3" s="6" t="s">
        <v>104</v>
      </c>
      <c r="R3" s="6" t="s">
        <v>105</v>
      </c>
      <c r="S3" s="6" t="s">
        <v>106</v>
      </c>
      <c r="T3" s="6" t="s">
        <v>107</v>
      </c>
      <c r="U3" s="6" t="s">
        <v>72</v>
      </c>
      <c r="V3" s="6" t="s">
        <v>108</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23" priority="1">
      <formula>ISNUMBER(SEARCH("VALIDATION FAILED",$A2))</formula>
    </cfRule>
    <cfRule type="expression" dxfId="24" priority="2">
      <formula>ISNUMBER(SEARCH("Validation Successful",$A2))</formula>
    </cfRule>
  </conditionalFormatting>
  <conditionalFormatting sqref="B4:B207">
    <cfRule type="expression" dxfId="25" priority="1">
      <formula>AND($D4&lt;&gt;"",$B4="")</formula>
    </cfRule>
  </conditionalFormatting>
  <conditionalFormatting sqref="E4:E207">
    <cfRule type="expression" dxfId="26" priority="2">
      <formula>$F4="Y"</formula>
    </cfRule>
  </conditionalFormatting>
  <conditionalFormatting sqref="A4:V207">
    <cfRule type="expression" dxfId="27"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Rate Lookup</vt:lpstr>
      <vt:lpstr>Challan Master</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2026-09-20T10:46:48Z</dcterms:created>
  <dcterms:modified xsi:type="dcterms:W3CDTF">2026-09-20T10:46:48Z</dcterms:modified>
</cp:coreProperties>
</file>